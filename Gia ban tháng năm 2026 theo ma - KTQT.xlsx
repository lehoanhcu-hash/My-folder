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KTQT\Giá bán\Giá bán Tháng_Năm\2026\"/>
    </mc:Choice>
  </mc:AlternateContent>
  <xr:revisionPtr revIDLastSave="0" documentId="13_ncr:1_{DF198170-0ACA-44AE-AC10-C1F19E45AD7B}" xr6:coauthVersionLast="47" xr6:coauthVersionMax="47" xr10:uidLastSave="{00000000-0000-0000-0000-000000000000}"/>
  <bookViews>
    <workbookView xWindow="-110" yWindow="-110" windowWidth="19420" windowHeight="10300" xr2:uid="{FFA523A8-6C50-4096-A6CD-B7BF30EEDBD6}"/>
  </bookViews>
  <sheets>
    <sheet name="Trình bày 2026" sheetId="7" r:id="rId1"/>
    <sheet name="Trình bày T1" sheetId="6" r:id="rId2"/>
    <sheet name="Trình bày T2" sheetId="5" r:id="rId3"/>
    <sheet name="Trình bày T3" sheetId="4" r:id="rId4"/>
    <sheet name="Trình bày T4" sheetId="2" r:id="rId5"/>
    <sheet name="tồn TP 17.03" sheetId="1" r:id="rId6"/>
    <sheet name="data" sheetId="3" r:id="rId7"/>
  </sheets>
  <externalReferences>
    <externalReference r:id="rId8"/>
    <externalReference r:id="rId9"/>
  </externalReferences>
  <definedNames>
    <definedName name="\A">#REF!</definedName>
    <definedName name="\M">#REF!</definedName>
    <definedName name="_" hidden="1">#REF!</definedName>
    <definedName name="__" hidden="1">#REF!</definedName>
    <definedName name="______a1" hidden="1">{"cashflow",#N/A,FALSE,"CASHFLOW "}</definedName>
    <definedName name="______a10" hidden="1">{"sales",#N/A,FALSE,"SALES"}</definedName>
    <definedName name="______a2" hidden="1">{"hilight1",#N/A,FALSE,"HILIGHT1"}</definedName>
    <definedName name="______a3" hidden="1">{"hilight2",#N/A,FALSE,"HILIGHT2"}</definedName>
    <definedName name="______a4" hidden="1">{"hilight3",#N/A,FALSE,"HILIGHT3"}</definedName>
    <definedName name="______a5" hidden="1">{"income",#N/A,FALSE,"INCOME"}</definedName>
    <definedName name="______a6" hidden="1">{"index",#N/A,FALSE,"INDEX"}</definedName>
    <definedName name="______a7" hidden="1">{"PRINT_EST",#N/A,FALSE,"ESTMON"}</definedName>
    <definedName name="______a8" hidden="1">{"revsale",#N/A,FALSE,"REV-ยุพดี"}</definedName>
    <definedName name="______a9" hidden="1">{"revable",#N/A,FALSE,"REVABLE"}</definedName>
    <definedName name="_____a1" hidden="1">{"cashflow",#N/A,FALSE,"CASHFLOW "}</definedName>
    <definedName name="_____a10" hidden="1">{"sales",#N/A,FALSE,"SALES"}</definedName>
    <definedName name="_____a2" hidden="1">{"hilight1",#N/A,FALSE,"HILIGHT1"}</definedName>
    <definedName name="_____a3" hidden="1">{"hilight2",#N/A,FALSE,"HILIGHT2"}</definedName>
    <definedName name="_____a4" hidden="1">{"hilight3",#N/A,FALSE,"HILIGHT3"}</definedName>
    <definedName name="_____a5" hidden="1">{"income",#N/A,FALSE,"INCOME"}</definedName>
    <definedName name="_____a6" hidden="1">{"index",#N/A,FALSE,"INDEX"}</definedName>
    <definedName name="_____a7" hidden="1">{"PRINT_EST",#N/A,FALSE,"ESTMON"}</definedName>
    <definedName name="_____a8" hidden="1">{"revsale",#N/A,FALSE,"REV-ยุพดี"}</definedName>
    <definedName name="_____a9" hidden="1">{"revable",#N/A,FALSE,"REVABLE"}</definedName>
    <definedName name="____a1" hidden="1">{"cashflow",#N/A,FALSE,"CASHFLOW "}</definedName>
    <definedName name="____a10" hidden="1">{"sales",#N/A,FALSE,"SALES"}</definedName>
    <definedName name="____a2" hidden="1">{"hilight1",#N/A,FALSE,"HILIGHT1"}</definedName>
    <definedName name="____a3" hidden="1">{"hilight2",#N/A,FALSE,"HILIGHT2"}</definedName>
    <definedName name="____a4" hidden="1">{"hilight3",#N/A,FALSE,"HILIGHT3"}</definedName>
    <definedName name="____a5" hidden="1">{"income",#N/A,FALSE,"INCOME"}</definedName>
    <definedName name="____a6" hidden="1">{"index",#N/A,FALSE,"INDEX"}</definedName>
    <definedName name="____a7" hidden="1">{"PRINT_EST",#N/A,FALSE,"ESTMON"}</definedName>
    <definedName name="____a8" hidden="1">{"revsale",#N/A,FALSE,"REV-ยุพดี"}</definedName>
    <definedName name="____a9" hidden="1">{"revable",#N/A,FALSE,"REVABLE"}</definedName>
    <definedName name="____NSO2" hidden="1">{"'Sheet1'!$L$16"}</definedName>
    <definedName name="___a1" hidden="1">{"cashflow",#N/A,FALSE,"CASHFLOW "}</definedName>
    <definedName name="___a10" hidden="1">{"sales",#N/A,FALSE,"SALES"}</definedName>
    <definedName name="___a2" hidden="1">{"hilight1",#N/A,FALSE,"HILIGHT1"}</definedName>
    <definedName name="___a3" hidden="1">{"hilight2",#N/A,FALSE,"HILIGHT2"}</definedName>
    <definedName name="___a4" hidden="1">{"hilight3",#N/A,FALSE,"HILIGHT3"}</definedName>
    <definedName name="___a5" hidden="1">{"income",#N/A,FALSE,"INCOME"}</definedName>
    <definedName name="___a6" hidden="1">{"index",#N/A,FALSE,"INDEX"}</definedName>
    <definedName name="___a7" hidden="1">{"PRINT_EST",#N/A,FALSE,"ESTMON"}</definedName>
    <definedName name="___a8" hidden="1">{"revsale",#N/A,FALSE,"REV-ยุพดี"}</definedName>
    <definedName name="___a9" hidden="1">{"revable",#N/A,FALSE,"REVABLE"}</definedName>
    <definedName name="___ATS98">#REF!</definedName>
    <definedName name="___BGT02">#REF!</definedName>
    <definedName name="___CHF98">#REF!</definedName>
    <definedName name="___CHX2002">#REF!</definedName>
    <definedName name="___CHX2003">#REF!</definedName>
    <definedName name="___CHX2004">#REF!</definedName>
    <definedName name="___CHX2005">#REF!</definedName>
    <definedName name="___DTB2003">#REF!</definedName>
    <definedName name="___DTB2004">#REF!</definedName>
    <definedName name="___h2" hidden="1">{"'Sheet1'!$L$16"}</definedName>
    <definedName name="___LY01">#REF!</definedName>
    <definedName name="___Mkt1">#REF!</definedName>
    <definedName name="___NSO2" hidden="1">{"'Sheet1'!$L$16"}</definedName>
    <definedName name="___tm2" hidden="1">{#N/A,#N/A,FALSE,"Chi tiÆt"}</definedName>
    <definedName name="___VAR1">#REF!</definedName>
    <definedName name="___VAR2">#REF!</definedName>
    <definedName name="___var22">#REF!</definedName>
    <definedName name="___VAR3">#REF!</definedName>
    <definedName name="___VAR4">#REF!</definedName>
    <definedName name="___VAR5">#REF!</definedName>
    <definedName name="___VAR6">#REF!</definedName>
    <definedName name="___VAR7">#REF!</definedName>
    <definedName name="__a1" hidden="1">{"cashflow",#N/A,FALSE,"CASHFLOW "}</definedName>
    <definedName name="__a10" hidden="1">{"sales",#N/A,FALSE,"SALES"}</definedName>
    <definedName name="__A123" hidden="1">#REF!</definedName>
    <definedName name="__a2" hidden="1">{"hilight1",#N/A,FALSE,"HILIGHT1"}</definedName>
    <definedName name="__a3" hidden="1">{"hilight2",#N/A,FALSE,"HILIGHT2"}</definedName>
    <definedName name="__a4" hidden="1">{"hilight3",#N/A,FALSE,"HILIGHT3"}</definedName>
    <definedName name="__a5" hidden="1">{"income",#N/A,FALSE,"INCOME"}</definedName>
    <definedName name="__a6" hidden="1">{"index",#N/A,FALSE,"INDEX"}</definedName>
    <definedName name="__a7" hidden="1">{"PRINT_EST",#N/A,FALSE,"ESTMON"}</definedName>
    <definedName name="__a8" hidden="1">{"revsale",#N/A,FALSE,"REV-ยุพดี"}</definedName>
    <definedName name="__a9" hidden="1">{"revable",#N/A,FALSE,"REVABLE"}</definedName>
    <definedName name="__ATS98">#REF!</definedName>
    <definedName name="__BGT02">#REF!</definedName>
    <definedName name="__cad2" hidden="1">{#N/A,#N/A,TRUE,"BT M200 da 10x20"}</definedName>
    <definedName name="__CHF98">#REF!</definedName>
    <definedName name="__CHX2002">#REF!</definedName>
    <definedName name="__CHX2003">#REF!</definedName>
    <definedName name="__CHX2004">#REF!</definedName>
    <definedName name="__CHX200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6">#REF!</definedName>
    <definedName name="__DAT7">#REF!</definedName>
    <definedName name="__DAT8">#REF!</definedName>
    <definedName name="__DAT9">#REF!</definedName>
    <definedName name="__DTB2003">#REF!</definedName>
    <definedName name="__DTB2004">#REF!</definedName>
    <definedName name="__f5" hidden="1">{"'Sheet1'!$L$16"}</definedName>
    <definedName name="__FDS_HYPERLINK_TOGGLE_STATE__" hidden="1">"ON"</definedName>
    <definedName name="__FOH2006" hidden="1">{#N/A,#N/A,FALSE,"TL";#N/A,#N/A,FALSE,"KK";#N/A,#N/A,FALSE,"TS";#N/A,#N/A,FALSE,"KW";#N/A,#N/A,FALSE,"LP";#N/A,#N/A,FALSE,"DC"}</definedName>
    <definedName name="__h2" hidden="1">{"'Sheet1'!$L$16"}</definedName>
    <definedName name="__huy1" hidden="1">{"'Sheet1'!$L$16"}</definedName>
    <definedName name="__IntlFixup" hidden="1">TRUE</definedName>
    <definedName name="__IntlFixupTable" hidden="1">#REF!</definedName>
    <definedName name="__KP300" hidden="1">{"level1",#N/A,FALSE,"1_LEV";"LEVEL1",#N/A,FALSE,"1_LEV"}</definedName>
    <definedName name="__LY01">#REF!</definedName>
    <definedName name="__Mkt1">#REF!</definedName>
    <definedName name="__NS03" hidden="1">{"'Sheet1'!$L$16"}</definedName>
    <definedName name="__NSO2" hidden="1">{"'Sheet1'!$L$16"}</definedName>
    <definedName name="__PA1">#REF!</definedName>
    <definedName name="__PA112">#REF!</definedName>
    <definedName name="__PAM1">#REF!</definedName>
    <definedName name="__PL1">#REF!</definedName>
    <definedName name="__PL2">#REF!</definedName>
    <definedName name="__PL3">#REF!</definedName>
    <definedName name="__RMA1">#REF!</definedName>
    <definedName name="__T01" hidden="1">#REF!</definedName>
    <definedName name="__tab1">#REF!</definedName>
    <definedName name="__TAB2">#REF!</definedName>
    <definedName name="__tab3">#REF!</definedName>
    <definedName name="__tm2" hidden="1">{#N/A,#N/A,FALSE,"Chi tiÆt"}</definedName>
    <definedName name="__txB06">#REF!</definedName>
    <definedName name="__VAR1">#REF!</definedName>
    <definedName name="__VAR2">#REF!</definedName>
    <definedName name="__var22">#REF!</definedName>
    <definedName name="__VAR3">#REF!</definedName>
    <definedName name="__VAR4">#REF!</definedName>
    <definedName name="__VAR5">#REF!</definedName>
    <definedName name="__VAR6">#REF!</definedName>
    <definedName name="__VAR7">#REF!</definedName>
    <definedName name="__xlfn.BAHTTEXT" hidden="1">#NAME?</definedName>
    <definedName name="__YP34">#REF!</definedName>
    <definedName name="_1">#REF!</definedName>
    <definedName name="_1_" hidden="1">#REF!</definedName>
    <definedName name="_10">#REF!</definedName>
    <definedName name="_1000A01">#N/A</definedName>
    <definedName name="_10F" hidden="1">#REF!</definedName>
    <definedName name="_11">#REF!</definedName>
    <definedName name="_11_0_0_F" hidden="1">#REF!</definedName>
    <definedName name="_116">#REF!</definedName>
    <definedName name="_12">#REF!</definedName>
    <definedName name="_12F" hidden="1">#REF!</definedName>
    <definedName name="_13">#REF!</definedName>
    <definedName name="_14">#REF!</definedName>
    <definedName name="_1400B">#REF!</definedName>
    <definedName name="_14F" hidden="1">#REF!</definedName>
    <definedName name="_15">#REF!</definedName>
    <definedName name="_15_0_0_F" hidden="1">#REF!</definedName>
    <definedName name="_15F" hidden="1">#REF!</definedName>
    <definedName name="_16">#REF!</definedName>
    <definedName name="_19_0_0_F" hidden="1">#REF!</definedName>
    <definedName name="_1996A_Fatura_Tage_echt_Germany">#REF!</definedName>
    <definedName name="_1996A_Sales">#REF!</definedName>
    <definedName name="_1996A_Trading_Profit_BMI">#REF!</definedName>
    <definedName name="_1997A_Fatura_Tage_echt_Germany">#REF!</definedName>
    <definedName name="_1997A_Sales">#REF!</definedName>
    <definedName name="_1997A_Trading_Profit_BMI">#REF!</definedName>
    <definedName name="_1998A_Fatura_Tage_echt_Germany">#REF!</definedName>
    <definedName name="_1998A_Sales">#REF!</definedName>
    <definedName name="_1998A_Trading_Profit_BMI">#REF!</definedName>
    <definedName name="_1998Axd_Fatura_Tage_echt_Germany">#REF!</definedName>
    <definedName name="_1998Axd_Sales">#REF!</definedName>
    <definedName name="_1998Axd_Trading_Profit_BMI">#REF!</definedName>
    <definedName name="_1999B_Fatura_Tage_echt_Germany">#REF!</definedName>
    <definedName name="_1999B_Sales">#REF!</definedName>
    <definedName name="_1999B_Trading_Profit_BMI">#REF!</definedName>
    <definedName name="_1999FC49_Fatura_Tage_echt_Germany">#REF!</definedName>
    <definedName name="_1999FC49_Sales">#REF!</definedName>
    <definedName name="_1999FC49_Trading_Profit_BMI">#REF!</definedName>
    <definedName name="_2">#REF!</definedName>
    <definedName name="_2_0_0_F" hidden="1">#REF!</definedName>
    <definedName name="_20_0_0_F" hidden="1">#REF!</definedName>
    <definedName name="_2000P_Fatura_Tage_echt_Germany">#REF!</definedName>
    <definedName name="_2000P_Sales">#REF!</definedName>
    <definedName name="_2000P_Trading_Profit_BMI">#REF!</definedName>
    <definedName name="_2001P_Fatura_Tage_echt_Germany">#REF!</definedName>
    <definedName name="_2001P_Sales">#REF!</definedName>
    <definedName name="_2001P_Trading_Profit_BMI">#REF!</definedName>
    <definedName name="_2002P_Fatura_Tage_echt_Germany">#REF!</definedName>
    <definedName name="_2002P_Sales">#REF!</definedName>
    <definedName name="_2002P_Trading_Profit_BMI">#REF!</definedName>
    <definedName name="_21_0_0_F" hidden="1">#REF!</definedName>
    <definedName name="_22">#REF!</definedName>
    <definedName name="_23">#REF!</definedName>
    <definedName name="_24">#REF!</definedName>
    <definedName name="_25">#REF!</definedName>
    <definedName name="_26_0_0_F" hidden="1">#REF!</definedName>
    <definedName name="_27">#REF!</definedName>
    <definedName name="_27_0_0_F" hidden="1">#REF!</definedName>
    <definedName name="_28">#REF!</definedName>
    <definedName name="_28_0_0_F" hidden="1">#REF!</definedName>
    <definedName name="_29">#REF!</definedName>
    <definedName name="_2F" hidden="1">#REF!</definedName>
    <definedName name="_3">#REF!</definedName>
    <definedName name="_3_0_0_F" hidden="1">#REF!</definedName>
    <definedName name="_30">#REF!</definedName>
    <definedName name="_300_0_0_F" hidden="1">#REF!</definedName>
    <definedName name="_301_0_0_F" hidden="1">#REF!</definedName>
    <definedName name="_31">#REF!</definedName>
    <definedName name="_32">#REF!</definedName>
    <definedName name="_33">#REF!</definedName>
    <definedName name="_34">#REF!</definedName>
    <definedName name="_36_0_0_F" hidden="1">#REF!</definedName>
    <definedName name="_37_0_0_F" hidden="1">#REF!</definedName>
    <definedName name="_4">#REF!</definedName>
    <definedName name="_4_0_0_F" hidden="1">#REF!</definedName>
    <definedName name="_403">#REF!</definedName>
    <definedName name="_403B">#REF!</definedName>
    <definedName name="_4F" hidden="1">#REF!</definedName>
    <definedName name="_5">#REF!</definedName>
    <definedName name="_5_0_0_F" hidden="1">#REF!</definedName>
    <definedName name="_5F" hidden="1">#REF!</definedName>
    <definedName name="_6">#REF!</definedName>
    <definedName name="_6_0_0_F" hidden="1">#REF!</definedName>
    <definedName name="_60">#REF!</definedName>
    <definedName name="_61">#REF!</definedName>
    <definedName name="_6F" hidden="1">#REF!</definedName>
    <definedName name="_7">#REF!</definedName>
    <definedName name="_7_0_0_F" hidden="1">#REF!</definedName>
    <definedName name="_7530111">#REF!</definedName>
    <definedName name="_7530112">#REF!</definedName>
    <definedName name="_7530113">#REF!</definedName>
    <definedName name="_8">#REF!</definedName>
    <definedName name="_8_0_0_F" hidden="1">#REF!</definedName>
    <definedName name="_9">#REF!</definedName>
    <definedName name="_a1" hidden="1">{"cashflow",#N/A,FALSE,"CASHFLOW "}</definedName>
    <definedName name="_a10" hidden="1">{"sales",#N/A,FALSE,"SALES"}</definedName>
    <definedName name="_A123" hidden="1">#REF!</definedName>
    <definedName name="_a2" hidden="1">{"hilight1",#N/A,FALSE,"HILIGHT1"}</definedName>
    <definedName name="_a3" hidden="1">{"hilight2",#N/A,FALSE,"HILIGHT2"}</definedName>
    <definedName name="_a4" hidden="1">{"hilight3",#N/A,FALSE,"HILIGHT3"}</definedName>
    <definedName name="_a5" hidden="1">{"income",#N/A,FALSE,"INCOME"}</definedName>
    <definedName name="_a6" hidden="1">{"index",#N/A,FALSE,"INDEX"}</definedName>
    <definedName name="_a7" hidden="1">{"PRINT_EST",#N/A,FALSE,"ESTMON"}</definedName>
    <definedName name="_a8" hidden="1">{"revsale",#N/A,FALSE,"REV-ยุพดี"}</definedName>
    <definedName name="_a9" hidden="1">{"revable",#N/A,FALSE,"REVABLE"}</definedName>
    <definedName name="_ATS98">#REF!</definedName>
    <definedName name="_b_NPD_SKU_Zeit_Germany">#REF!</definedName>
    <definedName name="_B1">#REF!</definedName>
    <definedName name="_BGT02">#REF!</definedName>
    <definedName name="_BTM250">#REF!</definedName>
    <definedName name="_Builtin155" hidden="1">#N/A</definedName>
    <definedName name="_cad2" hidden="1">{#N/A,#N/A,TRUE,"BT M200 da 10x20"}</definedName>
    <definedName name="_CD2" hidden="1">{"'Sheet1'!$L$16"}</definedName>
    <definedName name="_CHF98">#REF!</definedName>
    <definedName name="_CHX2002">#REF!</definedName>
    <definedName name="_CHX2003">#REF!</definedName>
    <definedName name="_CHX2004">#REF!</definedName>
    <definedName name="_CHX2005">#REF!</definedName>
    <definedName name="_COL1">#REF!</definedName>
    <definedName name="_COL2">#REF!</definedName>
    <definedName name="_COL3">#REF!</definedName>
    <definedName name="_COL4">#REF!</definedName>
    <definedName name="_COL5">#REF!</definedName>
    <definedName name="_CON1">#REF!</definedName>
    <definedName name="_CON2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6">#REF!</definedName>
    <definedName name="_DAT7">#REF!</definedName>
    <definedName name="_DAT8">#REF!</definedName>
    <definedName name="_DAT9">#REF!</definedName>
    <definedName name="_ddn400">#REF!</definedName>
    <definedName name="_ddn600">#REF!</definedName>
    <definedName name="_DTB2003">#REF!</definedName>
    <definedName name="_DTB2004">#REF!</definedName>
    <definedName name="_f5" hidden="1">{"'Sheet1'!$L$16"}</definedName>
    <definedName name="_Fill" hidden="1">#REF!</definedName>
    <definedName name="_xlnm._FilterDatabase" localSheetId="6" hidden="1">data!$A$1:$E$116</definedName>
    <definedName name="_xlnm._FilterDatabase" localSheetId="5" hidden="1">'tồn TP 17.03'!$A$2:$R$90</definedName>
    <definedName name="_xlnm._FilterDatabase" localSheetId="0" hidden="1">'Trình bày 2026'!$A$4:$M$113</definedName>
    <definedName name="_xlnm._FilterDatabase" localSheetId="1" hidden="1">'Trình bày T1'!$A$4:$O$113</definedName>
    <definedName name="_xlnm._FilterDatabase" localSheetId="2" hidden="1">'Trình bày T2'!$A$4:$O$113</definedName>
    <definedName name="_xlnm._FilterDatabase" localSheetId="3" hidden="1">'Trình bày T3'!$A$4:$O$113</definedName>
    <definedName name="_xlnm._FilterDatabase" localSheetId="4" hidden="1">'Trình bày T4'!$A$4:$O$113</definedName>
    <definedName name="_xlnm._FilterDatabase" hidden="1">#REF!</definedName>
    <definedName name="_FOH2006" hidden="1">{#N/A,#N/A,FALSE,"TL";#N/A,#N/A,FALSE,"KK";#N/A,#N/A,FALSE,"TS";#N/A,#N/A,FALSE,"KW";#N/A,#N/A,FALSE,"LP";#N/A,#N/A,FALSE,"DC"}</definedName>
    <definedName name="_GFE28">#REF!</definedName>
    <definedName name="_Goc1">#REF!</definedName>
    <definedName name="_Goc4">#REF!</definedName>
    <definedName name="_Goc5">#REF!</definedName>
    <definedName name="_Goc6">#REF!</definedName>
    <definedName name="_Goc7">#REF!</definedName>
    <definedName name="_Goi8" hidden="1">{"'Sheet1'!$L$16"}</definedName>
    <definedName name="_gon4">#REF!</definedName>
    <definedName name="_h2" hidden="1">{"'Sheet1'!$L$16"}</definedName>
    <definedName name="_huy1" hidden="1">{"'Sheet1'!$L$16"}</definedName>
    <definedName name="_IMP2">#REF!</definedName>
    <definedName name="_IRR1">#REF!</definedName>
    <definedName name="_IRR2">#REF!</definedName>
    <definedName name="_Key1" hidden="1">#REF!</definedName>
    <definedName name="_Key2" hidden="1">#REF!</definedName>
    <definedName name="_KP300" hidden="1">{"level1",#N/A,FALSE,"1_LEV";"LEVEL1",#N/A,FALSE,"1_LEV"}</definedName>
    <definedName name="_KY1">#REF!</definedName>
    <definedName name="_Lai1">#REF!</definedName>
    <definedName name="_lai2002">#REF!</definedName>
    <definedName name="_LY01">#REF!</definedName>
    <definedName name="_MA2">#REF!</definedName>
    <definedName name="_MAC12">#REF!</definedName>
    <definedName name="_MAC46">#REF!</definedName>
    <definedName name="_MB03">#REF!</definedName>
    <definedName name="_Mkt1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PV2">#REF!</definedName>
    <definedName name="_NS03" hidden="1">{"'Sheet1'!$L$16"}</definedName>
    <definedName name="_NSO2" hidden="1">{"'Sheet1'!$L$16"}</definedName>
    <definedName name="_Order1" hidden="1">255</definedName>
    <definedName name="_Order2" hidden="1">255</definedName>
    <definedName name="_OUT2">#REF!</definedName>
    <definedName name="_PA1">#REF!</definedName>
    <definedName name="_PA112">#REF!</definedName>
    <definedName name="_PAM1">#REF!</definedName>
    <definedName name="_Parse_In" hidden="1">#REF!</definedName>
    <definedName name="_Parse_Out" hidden="1">#REF!</definedName>
    <definedName name="_PL1">#REF!</definedName>
    <definedName name="_PL2">#REF!</definedName>
    <definedName name="_PL3">#REF!</definedName>
    <definedName name="_Regression_Out" hidden="1">#REF!</definedName>
    <definedName name="_Regression_X" hidden="1">#REF!</definedName>
    <definedName name="_Regression_Y" hidden="1">#REF!</definedName>
    <definedName name="_RMA1">#REF!</definedName>
    <definedName name="_sc1">#REF!</definedName>
    <definedName name="_SC2">#REF!</definedName>
    <definedName name="_sc3">#REF!</definedName>
    <definedName name="_SCD18">#REF!</definedName>
    <definedName name="_SN3">#REF!</definedName>
    <definedName name="_Sort" hidden="1">#REF!</definedName>
    <definedName name="_T01" hidden="1">#REF!</definedName>
    <definedName name="_tab1">#REF!</definedName>
    <definedName name="_TAB2">#REF!</definedName>
    <definedName name="_tab3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hu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2" hidden="1">{#N/A,#N/A,FALSE,"Chi tiÆt"}</definedName>
    <definedName name="_txB06">#REF!</definedName>
    <definedName name="_tz593">#REF!</definedName>
    <definedName name="_VAR1">#REF!</definedName>
    <definedName name="_VAR2">#REF!</definedName>
    <definedName name="_var22">#REF!</definedName>
    <definedName name="_VAR3">#REF!</definedName>
    <definedName name="_VAR4">#REF!</definedName>
    <definedName name="_VAR5">#REF!</definedName>
    <definedName name="_VAR6">#REF!</definedName>
    <definedName name="_VAR7">#REF!</definedName>
    <definedName name="_VCP1">#REF!</definedName>
    <definedName name="_VCP2">#REF!</definedName>
    <definedName name="_VDK1">#REF!</definedName>
    <definedName name="_VDK2">#REF!</definedName>
    <definedName name="_VL100">#REF!</definedName>
    <definedName name="_VL200">#REF!</definedName>
    <definedName name="_VL250">#REF!</definedName>
    <definedName name="_ww2" hidden="1">{#N/A,#N/A,FALSE,"Admin";#N/A,#N/A,FALSE,"Other"}</definedName>
    <definedName name="_YP34">#REF!</definedName>
    <definedName name="_Z1" hidden="1">{"'ตัวอย่าง'!$A$1:$O$21"}</definedName>
    <definedName name="±a¼oAμ¾E">#REF!</definedName>
    <definedName name="°¡¶÷≫o≫c">#REF!</definedName>
    <definedName name="a">#REF!</definedName>
    <definedName name="â" hidden="1">{"'Sheet1'!$L$16"}</definedName>
    <definedName name="A_2">#REF!</definedName>
    <definedName name="A_2A">#REF!</definedName>
    <definedName name="A_2B">#REF!</definedName>
    <definedName name="A_2C">#REF!</definedName>
    <definedName name="A_2D30G">#REF!</definedName>
    <definedName name="A_2D514">#REF!</definedName>
    <definedName name="A_2D536">#REF!</definedName>
    <definedName name="A_2E">#REF!</definedName>
    <definedName name="A_2F03">#REF!</definedName>
    <definedName name="A_2F13">#REF!</definedName>
    <definedName name="A_2F14">#REF!</definedName>
    <definedName name="A_2F15">#REF!</definedName>
    <definedName name="A_2F20">#REF!</definedName>
    <definedName name="A_2F31">#REF!</definedName>
    <definedName name="A_2F41">#REF!</definedName>
    <definedName name="A_2F51">#REF!</definedName>
    <definedName name="A_2F53">#REF!</definedName>
    <definedName name="A_2YA21">#REF!</definedName>
    <definedName name="A_2YA22">#REF!</definedName>
    <definedName name="A_2YA24">#REF!</definedName>
    <definedName name="A_2YA31">#REF!</definedName>
    <definedName name="A_2YA32">#REF!</definedName>
    <definedName name="A_2YA33">#REF!</definedName>
    <definedName name="A_2YA34">#REF!</definedName>
    <definedName name="A_2YA4">#REF!</definedName>
    <definedName name="A_2YP1">#REF!</definedName>
    <definedName name="A_2YP2">#REF!</definedName>
    <definedName name="A_2YP31">#REF!</definedName>
    <definedName name="A_2YP32">#REF!</definedName>
    <definedName name="A_2YP33">#REF!</definedName>
    <definedName name="A_2YP34">#REF!</definedName>
    <definedName name="A_2YP4">#REF!</definedName>
    <definedName name="A_Pilca_SPR_05_FC2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1AR">#REF!</definedName>
    <definedName name="A1BR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.Report.Files" hidden="1">#REF!</definedName>
    <definedName name="AA.Reports.Available" hidden="1">#REF!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hidden="1">{"Profit",#N/A,FALSE,"448k";"Capital",#N/A,FALSE,"448k"}</definedName>
    <definedName name="AAAAAAAAAAAAA" hidden="1">#REF!</definedName>
    <definedName name="aaaaaaaaaaaaaaaaaaaaaaaaaaaaaa">#REF!</definedName>
    <definedName name="AAR">#REF!</definedName>
    <definedName name="ABC">#REF!</definedName>
    <definedName name="abp">#N/A</definedName>
    <definedName name="ABR">#REF!</definedName>
    <definedName name="ABT_2003">#REF!</definedName>
    <definedName name="ABT_2004">#REF!</definedName>
    <definedName name="ABT_2004_CD_FC2">#REF!</definedName>
    <definedName name="ABT_2004_SPR_FC2">#REF!</definedName>
    <definedName name="ABT_2005">#REF!</definedName>
    <definedName name="ABT_2005_CD_FC2">#REF!</definedName>
    <definedName name="ABT_2005_SPR_FC2">#REF!</definedName>
    <definedName name="ABT_2006_CD_FC2">#REF!</definedName>
    <definedName name="ABT_2006_SPR_FC2">#REF!</definedName>
    <definedName name="ABT_2007_CD_FC2">#REF!</definedName>
    <definedName name="ABT_2007_SPR_FC2">#REF!</definedName>
    <definedName name="ABT_AU_2003">#REF!</definedName>
    <definedName name="ABT_AU_2004">#REF!</definedName>
    <definedName name="ABT_AU_2004_FC2">#REF!</definedName>
    <definedName name="ABT_AU_2004CD_FC2">#REF!</definedName>
    <definedName name="ABT_AU_2005">#REF!</definedName>
    <definedName name="ABT_AU_2005_FC2">#REF!</definedName>
    <definedName name="ABT_AU_2005CD_FC2">#REF!</definedName>
    <definedName name="ABT_AU_2006_FC2">#REF!</definedName>
    <definedName name="ABT_AU_2006CD_FC2">#REF!</definedName>
    <definedName name="ABT_AU_2007_FC2">#REF!</definedName>
    <definedName name="ABT_AU_2007CD_FC2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Opt" hidden="1">"Yes"</definedName>
    <definedName name="account">#REF!</definedName>
    <definedName name="Accounts">#REF!</definedName>
    <definedName name="ACCRUAL">#REF!</definedName>
    <definedName name="Accruelook1">#REF!</definedName>
    <definedName name="Accruelook2">#REF!</definedName>
    <definedName name="Accruelook3">#REF!</definedName>
    <definedName name="ACCTCODE">#REF!</definedName>
    <definedName name="ACT">#REF!</definedName>
    <definedName name="ACTA">#REF!</definedName>
    <definedName name="ACTB">#REF!</definedName>
    <definedName name="ACTC">#REF!</definedName>
    <definedName name="ACTD30G">#REF!</definedName>
    <definedName name="ACTD514">#REF!</definedName>
    <definedName name="ACTD536">#REF!</definedName>
    <definedName name="ACTE">#REF!</definedName>
    <definedName name="ACTF03">#REF!</definedName>
    <definedName name="ACTF13">#REF!</definedName>
    <definedName name="ACTF14">#REF!</definedName>
    <definedName name="ACTF15">#REF!</definedName>
    <definedName name="ACTF20">#REF!</definedName>
    <definedName name="ACTF31">#REF!</definedName>
    <definedName name="ACTF41">#REF!</definedName>
    <definedName name="ACTF51">#REF!</definedName>
    <definedName name="ACTF53">#REF!</definedName>
    <definedName name="Activity_Reports">#REF!</definedName>
    <definedName name="Actual">(PeriodInActual*(#REF!&gt;0))*PeriodInPlan</definedName>
    <definedName name="Actual_Monat">#REF!</definedName>
    <definedName name="ActualBeyond">PeriodInActual*(#REF!&gt;0)</definedName>
    <definedName name="ACTUALS">#REF!</definedName>
    <definedName name="ACTYA21">#REF!</definedName>
    <definedName name="ACTYA22">#REF!</definedName>
    <definedName name="ACTYA24">#REF!</definedName>
    <definedName name="ACTYA31">#REF!</definedName>
    <definedName name="ACTYA32">#REF!</definedName>
    <definedName name="ACTYA33">#REF!</definedName>
    <definedName name="ACTYA34">#REF!</definedName>
    <definedName name="ACTYA4">#REF!</definedName>
    <definedName name="ACTYP1">#REF!</definedName>
    <definedName name="ACTYP2">#REF!</definedName>
    <definedName name="ACTYP31">#REF!</definedName>
    <definedName name="ACTYP32">#REF!</definedName>
    <definedName name="ACTYP33">#REF!</definedName>
    <definedName name="ACTYP34">#REF!</definedName>
    <definedName name="ACTYP4">#REF!</definedName>
    <definedName name="AD">#N/A</definedName>
    <definedName name="Admin">#REF!</definedName>
    <definedName name="Adv">#REF!</definedName>
    <definedName name="Advance">#REF!</definedName>
    <definedName name="aef" hidden="1">{"'ตัวอย่าง'!$A$1:$O$21"}</definedName>
    <definedName name="afd" hidden="1">{"'ตัวอย่าง'!$A$1:$O$21"}</definedName>
    <definedName name="AFR">#REF!</definedName>
    <definedName name="ag15F80">#REF!</definedName>
    <definedName name="Agree">#REF!</definedName>
    <definedName name="agree1">#REF!</definedName>
    <definedName name="ai" hidden="1">{"level1",#N/A,FALSE,"1_LEV";"LEVEL1",#N/A,FALSE,"1_LEV"}</definedName>
    <definedName name="Akt_Mo">#REF!</definedName>
    <definedName name="Aktiviere_A_ABT">#N/A</definedName>
    <definedName name="Aktiviere_A_OHC">#N/A</definedName>
    <definedName name="Aktiviere_A_OTC">#N/A</definedName>
    <definedName name="Aktiviere_A_TOT">#N/A</definedName>
    <definedName name="Aktiviere_ASABT">#N/A</definedName>
    <definedName name="Aktiviere_ASOHC">#N/A</definedName>
    <definedName name="Aktiviere_ASOTC">#N/A</definedName>
    <definedName name="Aktiviere_ASTOT">#N/A</definedName>
    <definedName name="Aktiviere_AUL_IDE">#N/A</definedName>
    <definedName name="Aktiviere_AUL_IHD">#N/A</definedName>
    <definedName name="Aktiviere_AXABT">#N/A</definedName>
    <definedName name="Aktiviere_AXOHC">#N/A</definedName>
    <definedName name="Aktiviere_AXOTC">#N/A</definedName>
    <definedName name="Aktiviere_AXTOT">#N/A</definedName>
    <definedName name="Aktiviere_B_ABT">#N/A</definedName>
    <definedName name="Aktiviere_B_OHC">#N/A</definedName>
    <definedName name="Aktiviere_B_TOT">#N/A</definedName>
    <definedName name="Aktiviere_CHG_PROD">#N/A</definedName>
    <definedName name="Aktiviere_CHG_TOPL">#N/A</definedName>
    <definedName name="Aktiviere_DL_Products">#N/A</definedName>
    <definedName name="Aktiviere_DL_Toplines">#N/A</definedName>
    <definedName name="Aktiviere_FMS_ADJ">#N/A</definedName>
    <definedName name="Aktiviere_HC">#N/A</definedName>
    <definedName name="Aktiviere_HC_E">#N/A</definedName>
    <definedName name="Aktiviere_LYABT">#N/A</definedName>
    <definedName name="Aktiviere_LYOHC">#N/A</definedName>
    <definedName name="Aktiviere_LYOTC">#N/A</definedName>
    <definedName name="Aktiviere_LYTOT">#N/A</definedName>
    <definedName name="Aktiviere_Notes">#N/A</definedName>
    <definedName name="Aktiviere_OH_Rates">#N/A</definedName>
    <definedName name="Aktiviere_PROD">#N/A</definedName>
    <definedName name="Aktiviere_PROD_C">#N/A</definedName>
    <definedName name="Aktiviere_PROD_E">#N/A</definedName>
    <definedName name="Aktiviere_UNI_PROD">#N/A</definedName>
    <definedName name="Aktiviere_UNI_TOPL">#N/A</definedName>
    <definedName name="Aktiviere_UTL">#N/A</definedName>
    <definedName name="Aktiviere_UTL_E">#N/A</definedName>
    <definedName name="Aktueller_Monat">#REF!</definedName>
    <definedName name="Aktuelles_Jahr">#REF!</definedName>
    <definedName name="Aktuelles_Land">#REF!</definedName>
    <definedName name="AL">#REF!</definedName>
    <definedName name="All_Data">#REF!</definedName>
    <definedName name="All_Item">#REF!</definedName>
    <definedName name="AllHouseGross">#REF!</definedName>
    <definedName name="Alluna_2003">#REF!</definedName>
    <definedName name="Alluna_2004">#REF!</definedName>
    <definedName name="Alluna_2005">#REF!</definedName>
    <definedName name="ALPIN">#N/A</definedName>
    <definedName name="ALPJYOU">#N/A</definedName>
    <definedName name="ALPTOI">#N/A</definedName>
    <definedName name="AME">#REF!</definedName>
    <definedName name="AMENWC">#REF!</definedName>
    <definedName name="Amerique">#REF!</definedName>
    <definedName name="annee">#REF!</definedName>
    <definedName name="Année">#REF!</definedName>
    <definedName name="anscount" hidden="1">1</definedName>
    <definedName name="AP">#REF!</definedName>
    <definedName name="APMM_Net_Result_Total">#REF!</definedName>
    <definedName name="APMM_Net_Result_Total_Budget">#REF!</definedName>
    <definedName name="Application">#REF!</definedName>
    <definedName name="Aprleave">#REF!</definedName>
    <definedName name="Area">#REF!</definedName>
    <definedName name="AREANWC">#REF!</definedName>
    <definedName name="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2DocOpenMode" hidden="1">"AS2DocumentEdit"</definedName>
    <definedName name="asd">#REF!</definedName>
    <definedName name="asda" hidden="1">#REF!</definedName>
    <definedName name="asdf" hidden="1">#REF!</definedName>
    <definedName name="asdjfk">#REF!</definedName>
    <definedName name="Asia">#REF!</definedName>
    <definedName name="ass" hidden="1">{"revable",#N/A,FALSE,"REVABLE"}</definedName>
    <definedName name="Assets_Total">#REF!</definedName>
    <definedName name="ASSUMP3">#REF!</definedName>
    <definedName name="ASSUMP4">#REF!</definedName>
    <definedName name="ATS_1998">#REF!</definedName>
    <definedName name="ATS_1999">#REF!</definedName>
    <definedName name="ATS_in_DE8_ACT">#REF!</definedName>
    <definedName name="ATS_in_DE8_LY">#REF!</definedName>
    <definedName name="ATS_in_DEM_ACT">#REF!</definedName>
    <definedName name="ATS_in_DEM_LY">#REF!</definedName>
    <definedName name="ATS_in_DM_Plan01">#REF!</definedName>
    <definedName name="ATS_in_DM_Plan02">#REF!</definedName>
    <definedName name="ATS_in_DM_Plan03">#REF!</definedName>
    <definedName name="ATS_in_EUR_ACT">#REF!</definedName>
    <definedName name="ATS_in_EUR_LY">#REF!</definedName>
    <definedName name="ATS_in_EUR_Plan01">#REF!</definedName>
    <definedName name="ATS_in_EUR_Plan02">#REF!</definedName>
    <definedName name="ATS_in_EUR_Plan03">#REF!</definedName>
    <definedName name="ATS_in_EUR_Plan2001">#REF!</definedName>
    <definedName name="AÙ">#REF!</definedName>
    <definedName name="AUGFIX01" hidden="1">{"level1",#N/A,FALSE,"1_LEV";"LEVEL1",#N/A,FALSE,"1_LEV"}</definedName>
    <definedName name="AUGFIX02" hidden="1">{"level1",#N/A,FALSE,"1_LEV";"LEVEL1",#N/A,FALSE,"1_LEV"}</definedName>
    <definedName name="AUS">#REF!</definedName>
    <definedName name="Austria">#REF!</definedName>
    <definedName name="AutRE">#REF!</definedName>
    <definedName name="Autres">#REF!</definedName>
    <definedName name="Autresachats">#REF!</definedName>
    <definedName name="axedoc1">#REF!,#REF!,#REF!</definedName>
    <definedName name="B">#REF!</definedName>
    <definedName name="B_04">#REF!</definedName>
    <definedName name="B_Isc">#REF!</definedName>
    <definedName name="B2_Blätter">#REF!</definedName>
    <definedName name="back">#REF!</definedName>
    <definedName name="BadA">#REF!</definedName>
    <definedName name="balance">#REF!</definedName>
    <definedName name="balanceassets">#REF!</definedName>
    <definedName name="bang">#REF!</definedName>
    <definedName name="Bang_cly">#REF!</definedName>
    <definedName name="Bang_CVC">#REF!</definedName>
    <definedName name="bang_gia">#REF!</definedName>
    <definedName name="Bang_Tinh">#REF!</definedName>
    <definedName name="Bang_travl">#REF!</definedName>
    <definedName name="banking1" hidden="1">{"'Sheet1'!$L$16"}</definedName>
    <definedName name="Bảo_vệ">#REF!</definedName>
    <definedName name="BarData">#REF!</definedName>
    <definedName name="BASE">#REF!</definedName>
    <definedName name="Baseline">#REF!</definedName>
    <definedName name="bats00dm">#REF!</definedName>
    <definedName name="bats01dm">#REF!</definedName>
    <definedName name="bats02dm">#REF!</definedName>
    <definedName name="bats96dm">#REF!</definedName>
    <definedName name="bats97dm">#REF!</definedName>
    <definedName name="bats98dm">#REF!</definedName>
    <definedName name="bats99dm">#REF!</definedName>
    <definedName name="BB">#REF!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CDKH">#REF!</definedName>
    <definedName name="BCDSCKC">#REF!</definedName>
    <definedName name="BCDSCKN">#REF!</definedName>
    <definedName name="BCDSDNC">#REF!</definedName>
    <definedName name="BCDSDNN">#REF!</definedName>
    <definedName name="BCLKSPSCO">#REF!</definedName>
    <definedName name="BCLKSPSNO">#REF!</definedName>
    <definedName name="BCSCKCO">#REF!</definedName>
    <definedName name="BCSCKNO">#REF!</definedName>
    <definedName name="BCSDKCO">#REF!</definedName>
    <definedName name="BCSDKNO">#REF!</definedName>
    <definedName name="BCSDNCO">#REF!</definedName>
    <definedName name="BCSDNNO">#REF!</definedName>
    <definedName name="BCSHCT">#REF!</definedName>
    <definedName name="BCSHTK">#REF!</definedName>
    <definedName name="BCSPSCO">#REF!</definedName>
    <definedName name="BCSPSNO">#REF!</definedName>
    <definedName name="Benchmark_HPU">#REF!</definedName>
    <definedName name="bi" hidden="1">{"HK PR",#N/A,FALSE,"HK";"SUMMARY",#N/A,FALSE,"PAYROLL";"SUMMARY",#N/A,FALSE,"PAYROLL";"HK PR",#N/A,FALSE,"HK"}</definedName>
    <definedName name="bieudo" hidden="1">{"'Sheet1'!$L$16"}</definedName>
    <definedName name="bieudo1" hidden="1">{"'Sheet1'!$L$16"}</definedName>
    <definedName name="binh1" hidden="1">{"'Sheet1'!$L$16"}</definedName>
    <definedName name="BKBDT">#REF!</definedName>
    <definedName name="BKBKHDT">#REF!</definedName>
    <definedName name="BKDTKHTD">#REF!</definedName>
    <definedName name="BKDTTIEN">#REF!</definedName>
    <definedName name="Blank">"-"</definedName>
    <definedName name="BLOCK6">#REF!</definedName>
    <definedName name="BMargin">#REF!</definedName>
    <definedName name="BMSale">#REF!</definedName>
    <definedName name="BO00043B7E1E324A3B816B38E3ACAE0671" hidden="1">#REF!</definedName>
    <definedName name="BO0007353E98C84C90990324AADCC29B40" hidden="1">#REF!</definedName>
    <definedName name="BO001D509B859B4E6D8B03981122F6CF9A" hidden="1">#REF!</definedName>
    <definedName name="BO00469B4A8FC24A3B870A9D7B502678F0" hidden="1">#REF!</definedName>
    <definedName name="BO00511179B958499598FEC41C5AC390A4" hidden="1">#REF!</definedName>
    <definedName name="BO0058A5E0C1104588BFD1FC5F694286F9" hidden="1">#REF!</definedName>
    <definedName name="BO005A577D92864FC8B40998831CDFE7A8" hidden="1">#REF!</definedName>
    <definedName name="BO005BDC81E98343A093AADEF94EB59FAF" hidden="1">#REF!</definedName>
    <definedName name="BO006EB7602ECB4617926F9BF23B814C2B" hidden="1">#REF!</definedName>
    <definedName name="BO0072FE9EACD94DEDAA496B23B65E7D1C" hidden="1">#REF!</definedName>
    <definedName name="BO00812175877B44EE88DDEE95E65B5A27" hidden="1">#REF!</definedName>
    <definedName name="BO00A6737BAC0E4619AF80A481C30796C1" hidden="1">#REF!</definedName>
    <definedName name="BO00AF1B8FB5C74830AF6C90ECD1289A90" hidden="1">#REF!</definedName>
    <definedName name="BO00CD9D7A0C624F4BB2AF0F67622C7F91" hidden="1">#REF!</definedName>
    <definedName name="BO00D8F3CF7CD2475BB9B1385DA290D0F5" hidden="1">#REF!</definedName>
    <definedName name="BO010C1152C9AA4686BBA23F5C14948D90" hidden="1">#REF!</definedName>
    <definedName name="BO0129892555A4411A8EC61716113918DD" hidden="1">#REF!</definedName>
    <definedName name="BO018E3CCFDE224CDDABC737A9A76A8FDA" hidden="1">#REF!</definedName>
    <definedName name="BO01C72B19B7EE45BC8CE7B0BD936E7956" hidden="1">#REF!</definedName>
    <definedName name="BO01D0E16CBD0C473996504B44510A2B25" hidden="1">#REF!</definedName>
    <definedName name="BO01EF9BC3509746939ED1C0E4F00BF055" hidden="1">#REF!</definedName>
    <definedName name="BO020F2E97F5CF403D8F93927170418F64" hidden="1">#REF!</definedName>
    <definedName name="BO0216458ABC754695A1F9A8CDB0DD094C" hidden="1">#REF!</definedName>
    <definedName name="BO022317F8B3944CD883A13E728C129916" hidden="1">#REF!</definedName>
    <definedName name="BO02392633CA99433B88D46F2EF39F428A" hidden="1">#REF!</definedName>
    <definedName name="BO02516734C6DF4EF2B0A72A47B8AABEFB" hidden="1">#REF!</definedName>
    <definedName name="BO025AE4BEE53A48D9A746940840AC45E3" hidden="1">#REF!</definedName>
    <definedName name="BO0263C4E4D97940D39436F60599A2C5F1" hidden="1">#REF!</definedName>
    <definedName name="BO0267242988E74024A09BC21EDF6C64A4" hidden="1">#REF!</definedName>
    <definedName name="BO0267FAC085D24B43ABFECB24098612DA" hidden="1">#REF!</definedName>
    <definedName name="BO028E39D140FF49049FAF8BBBD288FBDC" hidden="1">#REF!</definedName>
    <definedName name="BO0298FD225F294931811B0F63E6435B0F" hidden="1">#REF!</definedName>
    <definedName name="BO02A5060651364F86A67E16B0D01E5044" hidden="1">#REF!</definedName>
    <definedName name="BO02A8FD3A8942468DBAD7F1EDD7F87346" hidden="1">#REF!</definedName>
    <definedName name="BO02B45FA6AADE4C048DCAE919837D312D" hidden="1">#REF!</definedName>
    <definedName name="BO02B4A629B0A64CA08F02737274717F08" hidden="1">#REF!</definedName>
    <definedName name="BO02DC581C85D44A4389CC4C44151E1DB0" hidden="1">#REF!</definedName>
    <definedName name="BO02EDCEDFE10D4AC2A231A3CBE58F7EE5" hidden="1">#REF!</definedName>
    <definedName name="BO0310434ADBE047E4A5F0AD18050F6D5F" hidden="1">#REF!</definedName>
    <definedName name="BO0314764F4C5D42EA9D1F72E84948A9BB" hidden="1">#REF!</definedName>
    <definedName name="BO0316956B2BAC45A481DC8002316172FC" hidden="1">#REF!</definedName>
    <definedName name="BO031CB95051AA419CB611A1C0F7545ED6" hidden="1">#REF!</definedName>
    <definedName name="BO0328F39573D7436EA381251DD7480737" hidden="1">#REF!</definedName>
    <definedName name="BO0329DF376872482BAF40387242076A6D" hidden="1">#REF!</definedName>
    <definedName name="BO034C1D37DF534343A97C0F61C184324C" hidden="1">#REF!</definedName>
    <definedName name="BO036A36663A234B36B1D4EE07A3B64966" hidden="1">#REF!</definedName>
    <definedName name="BO036F67714744474AB1F77029EE79AB51" hidden="1">#REF!</definedName>
    <definedName name="BO03977E62870F485EB06A6C1FDEA877E5" hidden="1">#REF!</definedName>
    <definedName name="BO039A64D8FDDC49A880B52646C73F8551" hidden="1">#REF!</definedName>
    <definedName name="BO03A3D34B8CDB4916966D3B9D7530964C" hidden="1">#REF!</definedName>
    <definedName name="BO03AEAA8135F246B6B78DE44E056257DC" hidden="1">#REF!</definedName>
    <definedName name="BO03B0651779BF413996A5DE334F47529E" hidden="1">#REF!</definedName>
    <definedName name="BO03D993E14C9345D9A09E5317112E649E" hidden="1">#REF!</definedName>
    <definedName name="BO03F1070120594A87AB0062B6EC7563DC" hidden="1">#REF!</definedName>
    <definedName name="BO03FF099F75314586A6835C388F1BF0E1" hidden="1">#REF!</definedName>
    <definedName name="BO0417ED1D7CBF4ED2B28EA719E997CA52" hidden="1">#REF!</definedName>
    <definedName name="BO041904C037764F3D843C1624A04C02AC" hidden="1">#REF!</definedName>
    <definedName name="BO04411B9C03EF4B029504628119BA38BE" hidden="1">#REF!</definedName>
    <definedName name="BO0441DA88C7F74AE9BFADC1941F5CF686" hidden="1">#REF!</definedName>
    <definedName name="BO04421AD5ACB3481FAC4353D581E82D5A" hidden="1">#REF!</definedName>
    <definedName name="BO044F0637C2AD47F09DFC37A56C115C0E" hidden="1">#REF!</definedName>
    <definedName name="BO0468B70DCA464DEB896E51909AE6CC0A" hidden="1">#REF!</definedName>
    <definedName name="BO048A491E9D8F402587ED350C273C7635" hidden="1">#REF!</definedName>
    <definedName name="BO048C4D3FE93F49AA8198D2880A899608" hidden="1">#REF!</definedName>
    <definedName name="BO049368304C694928BF12E8C39A084E34" hidden="1">#REF!</definedName>
    <definedName name="BO0497D4BA7B1F46C88C265E498D165441" hidden="1">#REF!</definedName>
    <definedName name="BO049DD26879614F4D8D1A8B4DE85A5A00" hidden="1">#REF!</definedName>
    <definedName name="BO04B25781FA1341529AF5AB3CBE3AC2CB" hidden="1">#REF!</definedName>
    <definedName name="BO04B75EC4531244EA841D17B01F38E684" hidden="1">#REF!</definedName>
    <definedName name="BO04BE305BE627425DA7C2FEF199FBCBA2" hidden="1">#REF!</definedName>
    <definedName name="BO04BF788D29F64A1989788FA25E12E023" hidden="1">#REF!</definedName>
    <definedName name="BO04D714BBB7F04DF3900CB84A582E797F" hidden="1">#REF!</definedName>
    <definedName name="BO04E64DD9362740CC9D10E316836F8F67" hidden="1">#REF!</definedName>
    <definedName name="BO051C1091726B452B8D655520FF5EE783" hidden="1">#REF!</definedName>
    <definedName name="BO053101CB6B5347D1A1EBDB90D6FB228A" hidden="1">#REF!</definedName>
    <definedName name="BO05364567627347FCA1CA8CE5B4A3FB26" hidden="1">#REF!</definedName>
    <definedName name="BO05419C07D7B6466394350974D9D4F877" hidden="1">#REF!</definedName>
    <definedName name="BO054ED8F6C4F44487ADB29B59982252CC" hidden="1">#REF!</definedName>
    <definedName name="BO0556F300631C480EA6B463850051DA74" hidden="1">#REF!</definedName>
    <definedName name="BO055E5CFDB95646998EC626861A0C2B73" hidden="1">#REF!</definedName>
    <definedName name="BO05825FB84EB24E3B83FF5DCC93F10D81" hidden="1">#REF!</definedName>
    <definedName name="BO05995E7AB6704082ADAB4A0B58C5CEEF" hidden="1">#REF!</definedName>
    <definedName name="BO05A3F61282EC43B3B97A691A40F7C450" hidden="1">#REF!</definedName>
    <definedName name="BO05C2DB77C7B947E98528927DCA453F7F" hidden="1">#REF!</definedName>
    <definedName name="BO05CDD744762749858557A0B082E5E0CC" hidden="1">#REF!</definedName>
    <definedName name="BO05D7BFBA926C4BEA996341E2927DBF40" hidden="1">#REF!</definedName>
    <definedName name="BO05E365F7C10B4BA4BB1703328868651A" hidden="1">#REF!</definedName>
    <definedName name="BO05E40BCD1D3C46B9A30A4697F9797A57" hidden="1">#REF!</definedName>
    <definedName name="BO060F8C52B3094EAC877EBE571B0DF8B1" hidden="1">#REF!</definedName>
    <definedName name="BO062524A44C3C4563B104F4101474D932" hidden="1">#REF!</definedName>
    <definedName name="BO0625991EB72E4657A577E0A4DF41E2A5" hidden="1">#REF!</definedName>
    <definedName name="BO0628130A34F34472B8E9063AF8F9AFC3" hidden="1">#REF!</definedName>
    <definedName name="BO06444E01A6B34207B4CD327BA584CFFF" hidden="1">#REF!</definedName>
    <definedName name="BO065127342F5E49D488919F425C845667" hidden="1">#REF!</definedName>
    <definedName name="BO0661E126B4BF4E8EACCA3FBD6C2C87CF" hidden="1">#REF!</definedName>
    <definedName name="BO06680EA4F77447F799C43FA166DF7162" hidden="1">#REF!</definedName>
    <definedName name="BO066A4C1DA23B49DFACCCAF1FA429A2B9" hidden="1">#REF!</definedName>
    <definedName name="BO0670AF263C42445F9ACE8605F789AEE5" hidden="1">#REF!</definedName>
    <definedName name="BO06760500AD0C4142A407DB3927CE2BAE" hidden="1">#REF!</definedName>
    <definedName name="BO06857A035FAF4289957CDE75EB967671" hidden="1">#REF!</definedName>
    <definedName name="BO068ED56E4F9942A496A1732FE7C6436F" hidden="1">#REF!</definedName>
    <definedName name="BO069278A1412F47DE85C43EB68CAF717F" hidden="1">#REF!</definedName>
    <definedName name="BO069D95D7128C4CDBB80B0FA7654B69D1" hidden="1">#REF!</definedName>
    <definedName name="BO069FFAF6E0F24557A494D9ED7F76D822" hidden="1">#REF!</definedName>
    <definedName name="BO06A1D57108984BD8BFF93A7198192A58" hidden="1">#REF!</definedName>
    <definedName name="BO06B55AE9F1974782A547E2592A91DC44" hidden="1">#REF!</definedName>
    <definedName name="BO06CDADE6119F4877A0512DB59C5C94BF" hidden="1">#REF!</definedName>
    <definedName name="BO06E32C35EADD426283277A6F4767C6B0" hidden="1">#REF!</definedName>
    <definedName name="BO06F7275DF23345599284D3C4A571E0B7" hidden="1">#REF!</definedName>
    <definedName name="BO06F84B2E93AF42B79BEE7ACF7916F30F" hidden="1">#REF!</definedName>
    <definedName name="BO072E9D4BFB3B48A99E31E6E0F4FF1CFC" hidden="1">#REF!</definedName>
    <definedName name="BO0748F9E9364A44AAB45528629279E47E" hidden="1">#REF!</definedName>
    <definedName name="BO0757CF0ECADF45B9B3960183597987D1" hidden="1">#REF!</definedName>
    <definedName name="BO076D271E53024E82B0564BC6E6B8C52B" hidden="1">#REF!</definedName>
    <definedName name="BO07720AA381684C1982634DF097D5658D" hidden="1">#REF!</definedName>
    <definedName name="BO0777C7463E304517B7CBFBC815B79B02" hidden="1">#REF!</definedName>
    <definedName name="BO0789E5305658448CB66B462D6CE4F4BA" hidden="1">#REF!</definedName>
    <definedName name="BO07A8CDC0A3CF441BAAE2615CC7E6C67A" hidden="1">#REF!</definedName>
    <definedName name="BO07B5E13CAA4346C2B80A18CCB51064C0" hidden="1">#REF!</definedName>
    <definedName name="BO07BC23E784F941FAADD17157A1CB33AD" hidden="1">#REF!</definedName>
    <definedName name="BO07BEF03937C14F1F82EB8B092E03BDC0" hidden="1">#REF!</definedName>
    <definedName name="BO07CB7ABA9AC54540B9F268B3B8AD172C" hidden="1">#REF!</definedName>
    <definedName name="BO07CF77C24A4B44DDB08669A0C267D9E2" hidden="1">#REF!</definedName>
    <definedName name="BO07DA355DE5DC4B13B806344DD774A4B4" hidden="1">#REF!</definedName>
    <definedName name="BO080FC624DC7D4EC58A73B6445EFE83D5" hidden="1">#REF!</definedName>
    <definedName name="BO08108BE3901A43B4BB727284F0DE1350" hidden="1">#REF!</definedName>
    <definedName name="BO0813779BF7A441E4B829B7EE15E1F5B1" hidden="1">#REF!</definedName>
    <definedName name="BO082937E7E8384EE39F50885F11A99C90" hidden="1">#REF!</definedName>
    <definedName name="BO08675A85626246288A2D9C5FCE88641E" hidden="1">#REF!</definedName>
    <definedName name="BO0880E86E8DAA4FBE98CCD8F4F1DAC7F6" hidden="1">#REF!</definedName>
    <definedName name="BO08B225E9BF8A41A8B4A0D670AAFC1E69" hidden="1">#REF!</definedName>
    <definedName name="BO08C0B8997F0C4C86BD4457E57CD5A310" hidden="1">#REF!</definedName>
    <definedName name="BO08C624A094B64DA8B640575212B5C126" hidden="1">#REF!</definedName>
    <definedName name="BO08CEA8CEF6B74CF1973592DF7B11817A" hidden="1">#REF!</definedName>
    <definedName name="BO08D9E70F5D7D4899B7F098067EC1CF0D" hidden="1">#REF!</definedName>
    <definedName name="BO08DB01CDE2CD4C38AEBBE72539089923" hidden="1">#REF!</definedName>
    <definedName name="BO08E8A4D0D99A45F4AB50AB8CCC759E80" hidden="1">#REF!</definedName>
    <definedName name="BO08EF964A3F544A6A9831BD58A1BDB761" hidden="1">#REF!</definedName>
    <definedName name="BO08F1FCFB0DC54FFDAB14A30F80F47C43" hidden="1">#REF!</definedName>
    <definedName name="BO0903D2D3A4AC4D208D66680ACCFC17BD" hidden="1">#REF!</definedName>
    <definedName name="BO09400289551E4CF0B83BB913BE045720" hidden="1">#REF!</definedName>
    <definedName name="BO094B22A2B81E4A909F1E33DDC80B47F0" hidden="1">#REF!</definedName>
    <definedName name="BO096A288CD2B241D3B6E5D99F7CC46080" hidden="1">#REF!</definedName>
    <definedName name="BO096CE2A90C4A41B5B366879C41DFCDAA" hidden="1">#REF!</definedName>
    <definedName name="BO0973353AECB245E5A9E7CB101539D7B9" hidden="1">#REF!</definedName>
    <definedName name="BO097FA591C7F24B78A7B81D10C92CD657" hidden="1">#REF!</definedName>
    <definedName name="BO09858E7F51104BCE9A132E93A02FD9A5" hidden="1">#REF!</definedName>
    <definedName name="BO0987A8D37A4C454297D5EE0C1416C72B" hidden="1">#REF!</definedName>
    <definedName name="BO098886531A7840E2991AED7761D2C8C3" hidden="1">#REF!</definedName>
    <definedName name="BO099F887F9C5F4068BA6B8F1084394257" hidden="1">#REF!</definedName>
    <definedName name="BO09A92B216FCC406388E7D75F758060D5" hidden="1">#REF!</definedName>
    <definedName name="BO09B01FBE487D42169A0B01DC62FE7DDC" hidden="1">#REF!</definedName>
    <definedName name="BO09B1C52A1D8443609A270B3D7E126A13" hidden="1">#REF!</definedName>
    <definedName name="BO09C22B1D529145609DEC624CE7B07293" hidden="1">#REF!</definedName>
    <definedName name="BO09C3E790E8D9462BAE7754E47C08E4E9" hidden="1">#REF!</definedName>
    <definedName name="BO09D2135A97CF4588B42BF527E4D09C55" hidden="1">#REF!</definedName>
    <definedName name="BO09D401756279444FB19C8C325604ED43" hidden="1">#REF!</definedName>
    <definedName name="BO09F9926728774B699D17E2EB79FE2047" hidden="1">#REF!</definedName>
    <definedName name="BO09FB4DFBEE664BB5A9A0F935EDAE0910" hidden="1">#REF!</definedName>
    <definedName name="BO0A23B7D284D446FE9C1DD53288BD27DE" hidden="1">#REF!</definedName>
    <definedName name="BO0A26688140CC479E85A39F5B4D96731B" hidden="1">#REF!</definedName>
    <definedName name="BO0A32B6AC654D44CDBB9B2636FFAA73B0" hidden="1">#REF!</definedName>
    <definedName name="BO0A60F033F2924CC68F7477FB671B2584" hidden="1">#REF!</definedName>
    <definedName name="BO0A692014A9F34BC5A0E9C318C9192144" hidden="1">#REF!</definedName>
    <definedName name="BO0A6D31301EBA402CA4AFD772113DF1FA" hidden="1">#REF!</definedName>
    <definedName name="BO0A748E0D694E4A95BE1F938C385817CA" hidden="1">#REF!</definedName>
    <definedName name="BO0A7575E7F6E74826988292EB5B4093AE" hidden="1">#REF!</definedName>
    <definedName name="BO0A920544EB81456B85FAC9B67A3FF171" hidden="1">#REF!</definedName>
    <definedName name="BO0A9E68CC5A7043BB960BEADB03EBE2E9" hidden="1">#REF!</definedName>
    <definedName name="BO0AA1A74152C84E97A93B0166215E6148" hidden="1">#REF!</definedName>
    <definedName name="BO0AA2FDCFA64447DF8256CCDAAF790D83" hidden="1">#REF!</definedName>
    <definedName name="BO0AAD29D46ECD4A74B1A519EEC09B7712" hidden="1">#REF!</definedName>
    <definedName name="BO0AAFC0DF972C4902B8D8F14ADF55A818" hidden="1">#REF!</definedName>
    <definedName name="BO0AB2BAACBF594870B22CA7819C14CABA" hidden="1">#REF!</definedName>
    <definedName name="BO0AB3771B806B45068A9904218B7C5228" hidden="1">#REF!</definedName>
    <definedName name="BO0ADF9A38BBB74FA484953A9E1DBDB5E6" hidden="1">#REF!</definedName>
    <definedName name="BO0AE3BB74CA744F94A22F4DF3A34121FC" hidden="1">#REF!</definedName>
    <definedName name="BO0AE560EC229F4837AAC8130E0FC6643F" hidden="1">#REF!</definedName>
    <definedName name="BO0AED5766F290418EA468FBD50205C876" hidden="1">#REF!</definedName>
    <definedName name="BO0AF1D3719BCC455AA423A32958FD52DE" hidden="1">#REF!</definedName>
    <definedName name="BO0AF400996B154884A98D817AD5C8B0E2" hidden="1">#REF!</definedName>
    <definedName name="BO0AFF424C36204448B856F7E76F89ACE1" hidden="1">#REF!</definedName>
    <definedName name="BO0B15AAC55B6F4E83950274F89A679C15" hidden="1">#REF!</definedName>
    <definedName name="BO0B2915A5CD7547679E86A924C22B6E1E" hidden="1">#REF!</definedName>
    <definedName name="BO0B350E1C3CF3474682956773D7FA86BE" hidden="1">#REF!</definedName>
    <definedName name="BO0B4162F0BA614929BBA6B308050817A0" hidden="1">#REF!</definedName>
    <definedName name="BO0B417597CBF74CC483AEBD408A5D6361" hidden="1">#REF!</definedName>
    <definedName name="BO0B4C25BF3EE541BABF6D7C3DFF218BFE" hidden="1">#REF!</definedName>
    <definedName name="BO0B77B5296AD7452A84BBA0611ADF01A7" hidden="1">#REF!</definedName>
    <definedName name="BO0B799600F21B407FAD75621D5B997825" hidden="1">#REF!</definedName>
    <definedName name="BO0BAA9F17511F4BA28D51F58A0C77E99A" hidden="1">#REF!</definedName>
    <definedName name="BO0BB9C7D9B7924A759172EB280C1A3056" hidden="1">#REF!</definedName>
    <definedName name="BO0BBF1A7A0878418D95B9CAE48927AE44" hidden="1">#REF!</definedName>
    <definedName name="BO0BD0AEE8541F48F3B1E2E1BA54D1700B" hidden="1">#REF!</definedName>
    <definedName name="BO0BE3A585969F49B1B1C585B4CB0CDC8D" hidden="1">#REF!</definedName>
    <definedName name="BO0BE95B3C4C274F49B67AA10EF360BE54" hidden="1">#REF!</definedName>
    <definedName name="BO0BF454E88EF74B48803129AEC45ADD55" hidden="1">#REF!</definedName>
    <definedName name="BO0BF54ECC1B91414CA99737DFFBC96540" hidden="1">#REF!</definedName>
    <definedName name="BO0C00665F68114FC08E6F90C337B79243" hidden="1">#REF!</definedName>
    <definedName name="BO0C04366928374EDCB515F848C6813152" hidden="1">#REF!</definedName>
    <definedName name="BO0C0A2392D627480DAAA517D2036A1F89" hidden="1">#REF!</definedName>
    <definedName name="BO0C1588B296D24080A5CF6ADCD90CC710" hidden="1">#REF!</definedName>
    <definedName name="BO0C17E817C2D144F2834C6BD18FADD8FA" hidden="1">#REF!</definedName>
    <definedName name="BO0C38F2CF945940E5A5FE470897C4E1BF" hidden="1">#REF!</definedName>
    <definedName name="BO0C47F1EFD66949C894B83296C952B213" hidden="1">#REF!</definedName>
    <definedName name="BO0C5AC168B74E4DC5B44FC5C62A5781B6" hidden="1">#REF!</definedName>
    <definedName name="BO0C682FC5412C40CB8E66A95C573D3EDD" hidden="1">#REF!</definedName>
    <definedName name="BO0C6E3F00004541F98642D415C462327D" hidden="1">#REF!</definedName>
    <definedName name="BO0C6EB03FCF5943CFBD625011881D07ED" hidden="1">#REF!</definedName>
    <definedName name="BO0C7282636F7C4F2887993571F995D137" hidden="1">#REF!</definedName>
    <definedName name="BO0C810AA895444AD0BB032874CD9CA293" hidden="1">#REF!</definedName>
    <definedName name="BO0C8471AFC6804FFFA3591B15EACBD181" hidden="1">#REF!</definedName>
    <definedName name="BO0C8517565CE449748D03306C29DCE056" hidden="1">#REF!</definedName>
    <definedName name="BO0CD122B513B74229B1D51F8E728EC17C" hidden="1">#REF!</definedName>
    <definedName name="BO0CE33488C0A54C0F8DD310C6DAAD5047" hidden="1">#REF!</definedName>
    <definedName name="BO0CFA6370884047D781BA7E539B6DE0F8" hidden="1">#REF!</definedName>
    <definedName name="BO0D0885D874E64D488FF822FF769A04BA" hidden="1">#REF!</definedName>
    <definedName name="BO0D1171CA4E83447CBBFB38FF514A00EB" hidden="1">#REF!</definedName>
    <definedName name="BO0D12A207895945AF91F604B363C11B8D" hidden="1">#REF!</definedName>
    <definedName name="BO0D2433943B3E48368AB07223E9910CAE" hidden="1">#REF!</definedName>
    <definedName name="BO0D2C66BD3B2A47E9A03737A81D4255AF" hidden="1">#REF!</definedName>
    <definedName name="BO0D3B883DBEC7423D8D6BB9751EAA4632" hidden="1">#REF!</definedName>
    <definedName name="BO0D433F8DB1E648C5BE62989780E9E6E7" hidden="1">#REF!</definedName>
    <definedName name="BO0D5DE5C5C65345BA8072D9DE42B13845" hidden="1">#REF!</definedName>
    <definedName name="BO0D6139AA4DE64478A9DFB6305BBA4B1F" hidden="1">#REF!</definedName>
    <definedName name="BO0D75094176B84C4887901A09EF434B93" hidden="1">#REF!</definedName>
    <definedName name="BO0D8012E44B8345678130C08C96324DA3" hidden="1">#REF!</definedName>
    <definedName name="BO0D85A3ADC8614F02A05CFEC7007DD5F0" hidden="1">#REF!</definedName>
    <definedName name="BO0D8BA2F600A945BF86F3792D70670A12" hidden="1">#REF!</definedName>
    <definedName name="BO0D95BE2323944543B198A1E5AD9E727B" hidden="1">#REF!</definedName>
    <definedName name="BO0DA1A11034A84E7E82B04D9C814FEE12" hidden="1">#REF!</definedName>
    <definedName name="BO0DBD8E3011484F65BB422F97E0DD5E0F" hidden="1">#REF!</definedName>
    <definedName name="BO0DCC56FC632247BBB9075437D1DA9F49" hidden="1">#REF!</definedName>
    <definedName name="BO0DE2162A0DD5431B976DE1FE86CABB61" hidden="1">#REF!</definedName>
    <definedName name="BO0DE5B032BD554D358472765883129529" hidden="1">#REF!</definedName>
    <definedName name="BO0DEE62251EE3431BA1CFEE75DE054F7D" hidden="1">#REF!</definedName>
    <definedName name="BO0DEFFF53638E47B7BD9B6541FF332A8D" hidden="1">#REF!</definedName>
    <definedName name="BO0DF53BCEFF7B4846999D4811F5D2AEFE" hidden="1">#REF!</definedName>
    <definedName name="BO0DFE2B2A71CA47C88A9CD3DA026363B1" hidden="1">#REF!</definedName>
    <definedName name="BO0E0DCCA8662A4B7D9624048C956E2349" hidden="1">#REF!</definedName>
    <definedName name="BO0E1DDD3522754DDC8A2031EAAEF606DD" hidden="1">#REF!</definedName>
    <definedName name="BO0E1E2F80FC8D4C0DB3564683D16EEFC1" hidden="1">#REF!</definedName>
    <definedName name="BO0E27F1CD072948F29AECF05EFC4A7578" hidden="1">#REF!</definedName>
    <definedName name="BO0E3744B5B95B4593842CB858CD9C693E" hidden="1">#REF!</definedName>
    <definedName name="BO0E430A5E4F144A208D9D5B3C20B5D29F" hidden="1">#REF!</definedName>
    <definedName name="BO0E92C76E22454378A2ADA4C84B066AE2" hidden="1">#REF!</definedName>
    <definedName name="BO0E95F4D81CCD49788BFD31E660E08DEA" hidden="1">#REF!</definedName>
    <definedName name="BO0EBF7920EE1540FE9C216E0BC226AC65" hidden="1">#REF!</definedName>
    <definedName name="BO0ED34E55770945A08E026206F28AABA2" hidden="1">#REF!</definedName>
    <definedName name="BO0ED3A526643C438EAB31E6145C4E45A0" hidden="1">#REF!</definedName>
    <definedName name="BO0ED883B059E145E7AD618EAA4D4C0021" hidden="1">#REF!</definedName>
    <definedName name="BO0EF0E1F710E14D64B0318AE457F6C85A" hidden="1">#REF!</definedName>
    <definedName name="BO0EFE864F0335421B9CA21E51583EA657" hidden="1">#REF!</definedName>
    <definedName name="BO0F2EC114AED841FCBA53DD2D2A185A40" hidden="1">#REF!</definedName>
    <definedName name="BO0F2F1527902543118B3B0891D0B4342A" hidden="1">#REF!</definedName>
    <definedName name="BO0F40139F378C4754978E7B648F5EF76C" hidden="1">#REF!</definedName>
    <definedName name="BO0F4D33F674534ACBAEA5A52A9D5B3732" hidden="1">#REF!</definedName>
    <definedName name="BO0F5F084DF9434109A1D0148673E339CE" hidden="1">#REF!</definedName>
    <definedName name="BO0F607125CD504928928E6D4416EEEFC4" hidden="1">#REF!</definedName>
    <definedName name="BO0F6173E5083F40248C720708B2C24E8F" hidden="1">#REF!</definedName>
    <definedName name="BO0F61A735D9814416BAF32AED7B332B69" hidden="1">#REF!</definedName>
    <definedName name="BO0F63C06E3E0A406D81A8D980865B4A8C" hidden="1">#REF!</definedName>
    <definedName name="BO0F8ED4536B0445B4946298F4B61EE3C4" hidden="1">#REF!</definedName>
    <definedName name="BO0FA8E789E3794953BF206F3E6698D7B0" hidden="1">#REF!</definedName>
    <definedName name="BO0FAA206141644A4A9CC2F711A9169654" hidden="1">#REF!</definedName>
    <definedName name="BO0FC2A6E48EF44F31A2E66CB2160C2660" hidden="1">#REF!</definedName>
    <definedName name="BO0FE7F6805CD74E4EA2B3D39BD3AF18E3" hidden="1">#REF!</definedName>
    <definedName name="BO0FF6A12E1DFF43F68000BB41263C6766" hidden="1">#REF!</definedName>
    <definedName name="BO0FF82BB103FB4B9A882AD5330EAE4FC6" hidden="1">#REF!</definedName>
    <definedName name="BO100DAFF26E56419D9A8CFC5AE2565CB4" hidden="1">#REF!</definedName>
    <definedName name="BO1011EFDB7313475AB25630C77E2CD7FB" hidden="1">#REF!</definedName>
    <definedName name="BO101B3CBA1D804854AA097B099DEACA06" hidden="1">#REF!</definedName>
    <definedName name="BO101EDBA5B09D4FBEA5C83431A243009A" hidden="1">#REF!</definedName>
    <definedName name="BO1026C64ECF28460A8F1662BA42D1D66F" hidden="1">#REF!</definedName>
    <definedName name="BO1037E116A07A44E8BF4CCE2C73F3599D" hidden="1">#REF!</definedName>
    <definedName name="BO103B44D247244130906D01A5B85452F0" hidden="1">#REF!</definedName>
    <definedName name="BO10494918D7FB4CDC81288D2F49DA6940" hidden="1">#REF!</definedName>
    <definedName name="BO104E67F80A4845CEBB2B25939F001D94" hidden="1">#REF!</definedName>
    <definedName name="BO105AC2E8F90843D8B7ADAB6EF572B8A9" hidden="1">#REF!</definedName>
    <definedName name="BO107867BBEC8E4659B0BADEC7ACCB8848" hidden="1">#REF!</definedName>
    <definedName name="BO107CF8CCC73047BAA48A0F3417125FB3" hidden="1">#REF!</definedName>
    <definedName name="BO108536F420A44B898203C55E26974DDA" hidden="1">#REF!</definedName>
    <definedName name="BO10AB82431FBA49A8BB620D1CF48AA554" hidden="1">#REF!</definedName>
    <definedName name="BO10CFBC7FAF1B442DBB6CD191B6E80A4F" hidden="1">#REF!</definedName>
    <definedName name="BO10F37521359A421C8066E3BC8A799CCA" hidden="1">#REF!</definedName>
    <definedName name="BO10FD9B82E935477A99C13BA68F0F0892" hidden="1">#REF!</definedName>
    <definedName name="BO10FE631D5B854D8485FF6A769D0051AA" hidden="1">#REF!</definedName>
    <definedName name="BO1101C49490DF47B5980F23740F262DF6" hidden="1">#REF!</definedName>
    <definedName name="BO11037C9217AC4B2F88E1DE47DA1D1C83" hidden="1">#REF!</definedName>
    <definedName name="BO110AA3EE62DF43429ADD659CD1FCDE5F" hidden="1">#REF!</definedName>
    <definedName name="BO110F6DA28A5F4A4DACE1463A9CC4D1DE" hidden="1">#REF!</definedName>
    <definedName name="BO11157839ABA24ED0B1CFAA63ED39C8AE" hidden="1">#REF!</definedName>
    <definedName name="BO11355E49788346F2A5B6A69F2D6F5DB4" hidden="1">#REF!</definedName>
    <definedName name="BO1139C50622C14FD3ACAD05489B0A6DDA" hidden="1">#REF!</definedName>
    <definedName name="BO113AADB3EE164AB287BD823572C08C85" hidden="1">#REF!</definedName>
    <definedName name="BO113DBA7EFF8042ED8AB3ECF88DF64EDF" hidden="1">#REF!</definedName>
    <definedName name="BO113DFCDBE1B84417AB30F58EB74C8A02" hidden="1">#REF!</definedName>
    <definedName name="BO113E1DCC2AFC49139CF1B61A6B72D8D0" hidden="1">#REF!</definedName>
    <definedName name="BO115150121C404B92B8292215FD47A676" hidden="1">#REF!</definedName>
    <definedName name="BO115FA841010345EA87622617C00ED59F" hidden="1">#REF!</definedName>
    <definedName name="BO115FD69D0BB94E1398EBFC921472CD65" hidden="1">#REF!</definedName>
    <definedName name="BO1177CD42210745D08166DB6025B4FF48" hidden="1">#REF!</definedName>
    <definedName name="BO1195F61C7239451DBF66E2469B3C5F36" hidden="1">#REF!</definedName>
    <definedName name="BO11973B6561A0498FA3706C023A116B05" hidden="1">#REF!</definedName>
    <definedName name="BO11D45D2A380E4753A698027552BE513C" hidden="1">#REF!</definedName>
    <definedName name="BO11E833F928CD449A92CD2F043A3EC300" hidden="1">#REF!</definedName>
    <definedName name="BO11EAB705D2034743837BC0B8152BBB41" hidden="1">#REF!</definedName>
    <definedName name="BO121210BE9D85473E8E940B3B7BB1F400" hidden="1">#REF!</definedName>
    <definedName name="BO123545DC7DE2411AADB44CC104165E5B" hidden="1">#REF!</definedName>
    <definedName name="BO1247719AFAA8494CB660516F8BCEC32F" hidden="1">#REF!</definedName>
    <definedName name="BO1270E2A70D83427D90B7976FDB8D7F6B" hidden="1">#REF!</definedName>
    <definedName name="BO127F6BE867F948EF815573ED75221EA1" hidden="1">#REF!</definedName>
    <definedName name="BO128CE600A5504ED1A4D4FBE83A131854" hidden="1">#REF!</definedName>
    <definedName name="BO128DA76DA2644090B145C6D45306439F" hidden="1">#REF!</definedName>
    <definedName name="BO12A467DD3B954167AD2B4FF98B2FCDC7" hidden="1">#REF!</definedName>
    <definedName name="BO12C40EA206EF41DEA0E055BF665F9DCC" hidden="1">#REF!</definedName>
    <definedName name="BO12CAFE7F98384CD4BDCF0A675CCD2E18" hidden="1">#REF!</definedName>
    <definedName name="BO12D65E4D89CC47F990F5C7B82F2A72E7" hidden="1">#REF!</definedName>
    <definedName name="BO12DC5938A45A4514A9A3F1A5168F3DED" hidden="1">#REF!</definedName>
    <definedName name="BO12EA6B9B0705428C95E35AC2181BA78D" hidden="1">#REF!</definedName>
    <definedName name="BO12F9F287D7A04850829E8211565B6932" hidden="1">#REF!</definedName>
    <definedName name="BO1325986E870C41DDAE8ED05A1B9FE297" hidden="1">#REF!</definedName>
    <definedName name="BO1327AE4521634660B2EA04CBE197447B" hidden="1">#REF!</definedName>
    <definedName name="BO13284B9AEB7C46979258C1EEAE6390B3" hidden="1">#REF!</definedName>
    <definedName name="BO132943BF05E04514A93936E60D34EDC6" hidden="1">#REF!</definedName>
    <definedName name="BO133812EBE2564D9A91868085D2693F63" hidden="1">#REF!</definedName>
    <definedName name="BO133BC354B9924865B5E109C64C6F65C6" hidden="1">#REF!</definedName>
    <definedName name="BO13509C2E07C648D7ACC69CCC771BF5CF" hidden="1">#REF!</definedName>
    <definedName name="BO13599CB01A8D47B4B378E70E8D7C41BC" hidden="1">#REF!</definedName>
    <definedName name="BO13601DDCE16947E4BBE8CFA87C2969F9" hidden="1">#REF!</definedName>
    <definedName name="BO1378F1D0A4EC4F5C83A1A4FDFA8578E9" hidden="1">#REF!</definedName>
    <definedName name="BO137F3B29748F4BD5886E798FD23F54F8" hidden="1">#REF!</definedName>
    <definedName name="BO1385D29733C14D91B3EEF21CA0EBBD24" hidden="1">#REF!</definedName>
    <definedName name="BO1393899720BE4F51912354E268AF38C4" hidden="1">#REF!</definedName>
    <definedName name="BO13AA8629806448649C43B362638EC5D5" hidden="1">#REF!</definedName>
    <definedName name="BO13EDEA9D5522465593F850664C5C2BA8" hidden="1">#REF!</definedName>
    <definedName name="BO1429D896D9EB44B1BB7DB6A2DCCFF7AF" hidden="1">#REF!</definedName>
    <definedName name="BO142B466C524B45059DA17FB555951F6C" hidden="1">#REF!</definedName>
    <definedName name="BO1453CFE36C1B4BF2A5B088432FC66299" hidden="1">#REF!</definedName>
    <definedName name="BO1478593DE5BF432496448798888CD526" hidden="1">#REF!</definedName>
    <definedName name="BO147AF726DF344222A289DB3D24063E1C" hidden="1">#REF!</definedName>
    <definedName name="BO1488627F89A5401EA8339050A5CD2FC3" hidden="1">#REF!</definedName>
    <definedName name="BO1498F5E9895C4C44BECAF99E0DD344F8" hidden="1">#REF!</definedName>
    <definedName name="BO14A602C0C40349EBBDF7570C69069E69" hidden="1">#REF!</definedName>
    <definedName name="BO14B13E512A4A4C3184B0D232C078EF83" hidden="1">#REF!</definedName>
    <definedName name="BO14C3044CB93D4F5C9AED3ABC0CD1704D" hidden="1">#REF!</definedName>
    <definedName name="BO14DB5AB40E69462D90B5A15B8FE2BA3C" hidden="1">#REF!</definedName>
    <definedName name="BO14DD6ABB03004D7CACDDFD4CF6783330" hidden="1">#REF!</definedName>
    <definedName name="BO1507CFEE743840409D2F11233AA6FC68" hidden="1">#REF!</definedName>
    <definedName name="BO150A5E3D977F48E993F3CB56BD24DB0C" hidden="1">#REF!</definedName>
    <definedName name="BO150F2145D9F048989F095910F6DB863A" hidden="1">#REF!</definedName>
    <definedName name="BO151DE5F71231460FAC324E04EE97CB34" hidden="1">#REF!</definedName>
    <definedName name="BO152CDB1E4CEB4659B8841DB4159ADA15" hidden="1">#REF!</definedName>
    <definedName name="BO152D3E36CF9A407C85522B9E34DE1E18" hidden="1">#REF!</definedName>
    <definedName name="BO153483A588284650A7BD009046AA2A34" hidden="1">#REF!</definedName>
    <definedName name="BO15435AD0E2494D44AB2FC90BAA762FEF" hidden="1">#REF!</definedName>
    <definedName name="BO155DA562D2034A63A73AA1D1CB835492" hidden="1">#REF!</definedName>
    <definedName name="BO156F4CA0C17044BBAEA485119D8DDB0B" hidden="1">#REF!</definedName>
    <definedName name="BO1575C37D064348359FE3C18641571703" hidden="1">#REF!</definedName>
    <definedName name="BO158544AA7C2642BE9E99B8FEC83AE723" hidden="1">#REF!</definedName>
    <definedName name="BO1591B43BA01344D1B97CD782CDC8DF16" hidden="1">#REF!</definedName>
    <definedName name="BO159858E6E4B3459B85B3DD31CEAF0F99" hidden="1">#REF!</definedName>
    <definedName name="BO15A51EBB65FC4ADCA8B71334F6366727" hidden="1">#REF!</definedName>
    <definedName name="BO15A8C795BCCE4ED5B0B7C53F0BCAFBBE" hidden="1">#REF!</definedName>
    <definedName name="BO15B2232AD123452E8EB2FB306E61CCDE" hidden="1">#REF!</definedName>
    <definedName name="BO15C144F4B3E0469891DC697BD9C1532A" hidden="1">#REF!</definedName>
    <definedName name="BO15D04F80BAD14079AC0E057DA37BA3CD" hidden="1">#REF!</definedName>
    <definedName name="BO15E059F2D6684847B48D8C2905311580" hidden="1">#REF!</definedName>
    <definedName name="BO15EDE4B451AD44888135FEEE3E0298D5" hidden="1">#REF!</definedName>
    <definedName name="BO15F32B9C3C6B413C8055C2621DDF9142" hidden="1">#REF!</definedName>
    <definedName name="BO161E10F17E0D466E9A9C9B20AB00C9AF" hidden="1">#REF!</definedName>
    <definedName name="BO1623BAFCAF594E84A7809584A5470354" hidden="1">#REF!</definedName>
    <definedName name="BO164749F1448E47DF9BFE38ADAF77EE9E" hidden="1">#REF!</definedName>
    <definedName name="BO16A96BA04BF447C3B965113AFD504FB1" hidden="1">#REF!</definedName>
    <definedName name="BO16BAEA0CA1FE4C08A4AB96BAE8EA3C4D" hidden="1">#REF!</definedName>
    <definedName name="BO16BEC480B13743C7B4D19D3239087E0A" hidden="1">#REF!</definedName>
    <definedName name="BO16E6CF1611C14A0EBDD8FD3FC37EDCA0" hidden="1">#REF!</definedName>
    <definedName name="BO16E719CF451040DD83A70BFD72F820E4" hidden="1">#REF!</definedName>
    <definedName name="BO171128F9C4FC4C4891D9BA50B799FCE6" hidden="1">#REF!</definedName>
    <definedName name="BO1714AEA5DF784205B2B908570C457908" hidden="1">#REF!</definedName>
    <definedName name="BO17253B1CDC5445F6BD6ED18530291193" hidden="1">#REF!</definedName>
    <definedName name="BO172BCEEE3A3F4D809343101B94AB01E5" hidden="1">#REF!</definedName>
    <definedName name="BO17410FA9D88B422384CB63228AB1DD7B" hidden="1">#REF!</definedName>
    <definedName name="BO174E8E33D1F3487195DAB1253FBC4A1A" hidden="1">#REF!</definedName>
    <definedName name="BO17631C5077E14E1B9FC7BB2D669F8782" hidden="1">#REF!</definedName>
    <definedName name="BO17785A0FEDA848A8B2B52956AF0EC1CF" hidden="1">#REF!</definedName>
    <definedName name="BO177B0CF65E3645D0BBE680158748C808" hidden="1">#REF!</definedName>
    <definedName name="BO177BA839AE674922AEA63344BBF3A7BB" hidden="1">#REF!</definedName>
    <definedName name="BO177BC8CBF9BB4395B5B5C8077A20D6A2" hidden="1">#REF!</definedName>
    <definedName name="BO177FD663E8B648A99045AF62199C01E4" hidden="1">#REF!</definedName>
    <definedName name="BO17A2A1D406F047C099D338A44B33078D" hidden="1">#REF!</definedName>
    <definedName name="BO17BF6E1ED3D74D5C891613E72B07CFBB" hidden="1">#REF!</definedName>
    <definedName name="BO17C622E24BA8475B9EEF613B3144940E" hidden="1">#REF!</definedName>
    <definedName name="BO17D8EC688EDA43DD93524C9D3736E1FF" hidden="1">#REF!</definedName>
    <definedName name="BO17EDADCCB1F2469B880B4636F8708393" hidden="1">#REF!</definedName>
    <definedName name="BO17EE338A98D9485985C87A805C6D247A" hidden="1">#REF!</definedName>
    <definedName name="BO17EE9EE03DE24CD1A252F64AB1CC9899" hidden="1">#REF!</definedName>
    <definedName name="BO17F77ADE17FD4586B5AE23DE524AA455" hidden="1">#REF!</definedName>
    <definedName name="BO180D5AC456C54B1AA485F04675F631C7" hidden="1">#REF!</definedName>
    <definedName name="BO18286B73E6C94321BA98CC7D3C230477" hidden="1">#REF!</definedName>
    <definedName name="BO182E18D1D972408CAAB284BA109EA4A9" hidden="1">#REF!</definedName>
    <definedName name="BO1841E0F7D2C548279375AB6B11931155" hidden="1">#REF!</definedName>
    <definedName name="BO1859BF306768463FA574AA023797F17E" hidden="1">#REF!</definedName>
    <definedName name="BO1860AE00FE214A399CE58B8709759EC4" hidden="1">#REF!</definedName>
    <definedName name="BO186B93828BB04A65A458AA35FB43BF82" hidden="1">#REF!</definedName>
    <definedName name="BO187EFF24D30343939F56FCB2C2527482" hidden="1">#REF!</definedName>
    <definedName name="BO188E34D07D9F4FC1B9B37BE561100B55" hidden="1">#REF!</definedName>
    <definedName name="BO189425889FCB441882A0ACDE25BC335F" hidden="1">#REF!</definedName>
    <definedName name="BO18ABC490230E43E0A9932B3D2EAEFD3C" hidden="1">#REF!</definedName>
    <definedName name="BO18B335B027494BA28F3346E6D7569434" hidden="1">#REF!</definedName>
    <definedName name="BO18B8EA73DA0243A7A08A02D2737471FB" hidden="1">#REF!</definedName>
    <definedName name="BO18D6B184C7EB4992AA27ABFE268A664B" hidden="1">#REF!</definedName>
    <definedName name="BO18FD27173E114434BAF0E07DADAC899D" hidden="1">#REF!</definedName>
    <definedName name="BO18FF1F4F75384C64A29B08F84D535D5D" hidden="1">#REF!</definedName>
    <definedName name="BO1901F05E215441F4B85A362B44AB1606" hidden="1">#REF!</definedName>
    <definedName name="BO19031D55D27F49D9A2A13E00425DECD2" hidden="1">#REF!</definedName>
    <definedName name="BO19032ED5DCCA4E539567A43957CF8F6D" hidden="1">#REF!</definedName>
    <definedName name="BO190E33B43B6B4814BED567F6F94D0F8A" hidden="1">#REF!</definedName>
    <definedName name="BO191EB76E52D341518882C76B1B666C25" hidden="1">#REF!</definedName>
    <definedName name="BO19271774A13B4E309F1D197D8074CC60" hidden="1">#REF!</definedName>
    <definedName name="BO1948DAE2ECF640E1AB72B496B8CC297B" hidden="1">#REF!</definedName>
    <definedName name="BO19541F74D54F4C42844BF088836BCFF7" hidden="1">#REF!</definedName>
    <definedName name="BO1955E5E2F84D47328A7B082C432275B4" hidden="1">#REF!</definedName>
    <definedName name="BO195858CCF4FE4B8BB30D59A947338D91" hidden="1">#REF!</definedName>
    <definedName name="BO1961457D86D84BBA95FA88A8DF50B156" hidden="1">#REF!</definedName>
    <definedName name="BO196837DFBFD0453B801D2D54C09D47F0" hidden="1">#REF!</definedName>
    <definedName name="BO196AD46038C94804B4B05CA9A5E476C0" hidden="1">#REF!</definedName>
    <definedName name="BO197553773BDA4D21AFEC976B776A0563" hidden="1">#REF!</definedName>
    <definedName name="BO197AE668082B4509A27DC19CDF4FE657" hidden="1">#REF!</definedName>
    <definedName name="BO1989D73DD8E742CFAEEE8C8414B0CA99" hidden="1">#REF!</definedName>
    <definedName name="BO198A513E10804472981802D3B027DECD" hidden="1">#REF!</definedName>
    <definedName name="BO1996EE9E65EB44D2A94B65EA7FA4719A" hidden="1">#REF!</definedName>
    <definedName name="BO19AC5E7FAAA44074AAE72C6AE25E9BCD" hidden="1">#REF!</definedName>
    <definedName name="BO19B0487A4D6440129B02FCE268C19FB9" hidden="1">#REF!</definedName>
    <definedName name="BO19D5A475E08D4A889C32EEC9C05039D4" hidden="1">#REF!</definedName>
    <definedName name="BO19E1910C2F5A46D18CB4F5A5F99E96FE" hidden="1">#REF!</definedName>
    <definedName name="BO1A19F96E42C44C9788DD31CC15F3E865" hidden="1">#REF!</definedName>
    <definedName name="BO1A2406B3F537422AAD62498E0B9D9268" hidden="1">#REF!</definedName>
    <definedName name="BO1A6C5B1CAE1345999D9DFDEED0721750" hidden="1">#REF!</definedName>
    <definedName name="BO1A6D43836A6140C9A4A3DDC0F9C242C2" hidden="1">#REF!</definedName>
    <definedName name="BO1A7B5B24042C45D5A4DC4CEE4CD7BDC0" hidden="1">#REF!</definedName>
    <definedName name="BO1A96BAFE1D2B4F0484E9CA10AA8758FA" hidden="1">#REF!</definedName>
    <definedName name="BO1AC66FF2ECD349EF953269C92986DDB4" hidden="1">#REF!</definedName>
    <definedName name="BO1ADA73E3E9D246E7A2989225A110C045" hidden="1">#REF!</definedName>
    <definedName name="BO1AE9E3C4A71942E4916D9548584CBF6D" hidden="1">#REF!</definedName>
    <definedName name="BO1AEE622C21DF461FA38FD56BF34EB5D8" hidden="1">#REF!</definedName>
    <definedName name="BO1AEEEEBA4DB94394924EA5BB23DB97CD" hidden="1">#REF!</definedName>
    <definedName name="BO1AF61F63D93C4BD185FFB4575C6D3068" hidden="1">#REF!</definedName>
    <definedName name="BO1B0C1F3412774AAD82B1A0048F43394C" hidden="1">#REF!</definedName>
    <definedName name="BO1B10157A8E4842A4BEDBBEED9EB0EBDF" hidden="1">#REF!</definedName>
    <definedName name="BO1B17439E64F746AD90B805470BBCE780" hidden="1">#REF!</definedName>
    <definedName name="BO1B1B69B3E7F34247AA4214A1CAFDA616" hidden="1">#REF!</definedName>
    <definedName name="BO1B5569CB29824C4E8F5B2DAF2429F6C5" hidden="1">#REF!</definedName>
    <definedName name="BO1B5944B18CAE4F4EA64888896EA98CE3" hidden="1">#REF!</definedName>
    <definedName name="BO1B61D9263A604D6F87E6EA1BA0EF7D65" hidden="1">#REF!</definedName>
    <definedName name="BO1B6A254ADDFE4E2BB4495FF2B8DBC33D" hidden="1">#REF!</definedName>
    <definedName name="BO1B6D4533806140F4BC15106CD0280204" hidden="1">#REF!</definedName>
    <definedName name="BO1B85A883F95C49CEB98C6DF26555C60B" hidden="1">#REF!</definedName>
    <definedName name="BO1B88135960FA42718BA4F85F97379171" hidden="1">#REF!</definedName>
    <definedName name="BO1B90ABA7502449F9BE97B6F6D1279601" hidden="1">#REF!</definedName>
    <definedName name="BO1BA0F85FEE9946789FB634B8E9D9DBBB" hidden="1">#REF!</definedName>
    <definedName name="BO1BA2B97483984E6BBF9E41A420E910D6" hidden="1">#REF!</definedName>
    <definedName name="BO1BB6877A87E34858B9490BC9C17E86A9" hidden="1">#REF!</definedName>
    <definedName name="BO1BBDD457650D419E8E27930E41AFEA26" hidden="1">#REF!</definedName>
    <definedName name="BO1BD01FF0E4524022A25C824C6E59111D" hidden="1">#REF!</definedName>
    <definedName name="BO1BD3FB86C9A0455BB37599C94BB564CE" hidden="1">#REF!</definedName>
    <definedName name="BO1BD5BEE3F0664E2299E441B511B97CD6" hidden="1">#REF!</definedName>
    <definedName name="BO1BD7F6ACD4384F4B9F3447154798A6E4" hidden="1">#REF!</definedName>
    <definedName name="BO1BF9E66E763B4EB98D25AC0291A05922" hidden="1">#REF!</definedName>
    <definedName name="BO1BFBB0B2A4FD488786350A7D065100AB" hidden="1">#REF!</definedName>
    <definedName name="BO1C1B872000E84603A42BE7E77F4FBEEA" hidden="1">#REF!</definedName>
    <definedName name="BO1C212F7E93FD425EB8C7E403A359ADC4" hidden="1">#REF!</definedName>
    <definedName name="BO1C221C7E133F46F290B6C8355CE46EEB" hidden="1">#REF!</definedName>
    <definedName name="BO1C27CE54798C47D99CE7E44A1F3E5C18" hidden="1">#REF!</definedName>
    <definedName name="BO1C36BC29610C42C4B8952DC4538EE635" hidden="1">#REF!</definedName>
    <definedName name="BO1C59A825313742469F5CF8BC150F5CF5" hidden="1">#REF!</definedName>
    <definedName name="BO1C5C8D2C30914762A13EA7F12F743B68" hidden="1">#REF!</definedName>
    <definedName name="BO1C72E371E5BF4DB78F64CCD26B9AC7DB" hidden="1">#REF!</definedName>
    <definedName name="BO1C72ECD1AFB84967A04F2182D9966D7B" hidden="1">#REF!</definedName>
    <definedName name="BO1C952A70454146FA80004A73026D2827" hidden="1">#REF!</definedName>
    <definedName name="BO1C971F33474941669EB07DD6AEBF0DED" hidden="1">#REF!</definedName>
    <definedName name="BO1C9C013EB3684B2482400A3F3678BCBC" hidden="1">#REF!</definedName>
    <definedName name="BO1CD39B8D2EC34025B6B15A4EA88A8628" hidden="1">#REF!</definedName>
    <definedName name="BO1CDFABE9376F4369B49FB2A91466507B" hidden="1">#REF!</definedName>
    <definedName name="BO1CE38C2DEBA34856B512C24EE3ADC823" hidden="1">#REF!</definedName>
    <definedName name="BO1CEB62F304CB498984EEC2C249932E4A" hidden="1">#REF!</definedName>
    <definedName name="BO1CF14D5BC014427E91BDD21A2BB0F8BA" hidden="1">#REF!</definedName>
    <definedName name="BO1CF529E556D54B818D5B714782BF3FE4" hidden="1">#REF!</definedName>
    <definedName name="BO1CF581918036492BA441CBB8D16F1A47" hidden="1">#REF!</definedName>
    <definedName name="BO1D05B246E26B4B8C8A2B36D4400529E2" hidden="1">#REF!</definedName>
    <definedName name="BO1D0D73E58467401F8877953CC3097C21" hidden="1">#REF!</definedName>
    <definedName name="BO1D0FD343DD8B4600A3486EB3014D0D06" hidden="1">#REF!</definedName>
    <definedName name="BO1D23FB2FBF8C4252A7791F7F788891E5" hidden="1">#REF!</definedName>
    <definedName name="BO1D2ADEC55EF5420896D6F7D0C4D1DE3D" hidden="1">#REF!</definedName>
    <definedName name="BO1D4294C1EA4C4BAEBCA94586D74D1DC5" hidden="1">#REF!</definedName>
    <definedName name="BO1D4A365C386E4B4EA630D6FCE844C385" hidden="1">#REF!</definedName>
    <definedName name="BO1D6DD3B04A7849DEB77D645CDFFD2B77" hidden="1">#REF!</definedName>
    <definedName name="BO1D7F19F81E884F1C88B420EEB5B912FC" hidden="1">#REF!</definedName>
    <definedName name="BO1D951DB00F204B15B36EDAB20E703593" hidden="1">#REF!</definedName>
    <definedName name="BO1DB8A055D05744F090E605B1BB368519" hidden="1">#REF!</definedName>
    <definedName name="BO1DC1363A774A4136B6D67FACEDEFA16E" hidden="1">#REF!</definedName>
    <definedName name="BO1DC1739350EF409D823B9B266AB509D2" hidden="1">#REF!</definedName>
    <definedName name="BO1DD62ED34D4A4EB2A2EF53C6A29AB304" hidden="1">#REF!</definedName>
    <definedName name="BO1DD7CB6F78AA47618C6AB453D76DE9D7" hidden="1">#REF!</definedName>
    <definedName name="BO1DE0C534720C457AADD6950A7451EF52" hidden="1">#REF!</definedName>
    <definedName name="BO1DEBCC2789B44855B1BB23695D3A9CA2" hidden="1">#REF!</definedName>
    <definedName name="BO1DFF825EB91946929006FEA854EA4371" hidden="1">#REF!</definedName>
    <definedName name="BO1E06E01C8E8C40AA893C6E5B435CE4EB" hidden="1">#REF!</definedName>
    <definedName name="BO1E2194D8CDFB4D9BA7F5D75EC1B7BF1B" hidden="1">#REF!</definedName>
    <definedName name="BO1E280BFD04604DE0915A57BBF4DA734B" hidden="1">#REF!</definedName>
    <definedName name="BO1E3B0593914449F998675C1B0C3C63B4" hidden="1">#REF!</definedName>
    <definedName name="BO1E5BC917DFFF4EBE850AACAA83574F0D" hidden="1">#REF!</definedName>
    <definedName name="BO1E66013F35AB46B4BB7BA3843995F77B" hidden="1">#REF!</definedName>
    <definedName name="BO1E8D0549E90A410B9A6343B381B9A6B7" hidden="1">#REF!</definedName>
    <definedName name="BO1E9F6FB57BDC47189F17FD8561162E6D" hidden="1">#REF!</definedName>
    <definedName name="BO1EEB43E5768B490D93158CAC36C32735" hidden="1">#REF!</definedName>
    <definedName name="BO1EFB23C23AC144D6B782AFAB5174C8C5" hidden="1">#REF!</definedName>
    <definedName name="BO1F112F21AFB243A0AF34C83DC1FE8821" hidden="1">#REF!</definedName>
    <definedName name="BO1F19FB8B2D90469C9331D054AD85DE56" hidden="1">#REF!</definedName>
    <definedName name="BO1F1DA32087A64A21B113D4CC5083B6F1" hidden="1">#REF!</definedName>
    <definedName name="BO1F1F0AC333B54AB8AA0A2B6A21DD90F9" hidden="1">#REF!</definedName>
    <definedName name="BO1F2247B4D19F44989217F8B7B69B91A2" hidden="1">#REF!</definedName>
    <definedName name="BO1F2388D8E5D94EDA824094FA6DB984E7" hidden="1">#REF!</definedName>
    <definedName name="BO1F2F2D39B9134E14BF6909B867BD7AF6" hidden="1">#REF!</definedName>
    <definedName name="BO1F40136287DB45C281852C607267BFE6" hidden="1">#REF!</definedName>
    <definedName name="BO1F45738259304D689C9B54D5215835EF" hidden="1">#REF!</definedName>
    <definedName name="BO1F671E2851F6442C9E4A4092DB82D97A" hidden="1">#REF!</definedName>
    <definedName name="BO1F7081CF9E5A4E7B96BAB76C8C9DA6D1" hidden="1">#REF!</definedName>
    <definedName name="BO1F82DEF7BC6F4ABA8238DDF74DBBDCFA" hidden="1">#REF!</definedName>
    <definedName name="BO1F89B89382C44E3E9EA1286F9B7631AA" hidden="1">#REF!</definedName>
    <definedName name="BO1F8F14A650D04420837B2B50639E20F4" hidden="1">#REF!</definedName>
    <definedName name="BO1F8F27E10B774F248B6619F83E4ED608" hidden="1">#REF!</definedName>
    <definedName name="BO1FA9FCA33FAF4441B7CFFFF6A5BBDF34" hidden="1">#REF!</definedName>
    <definedName name="BO1FB5EE69C9D54E86B909D9D4F34381B5" hidden="1">#REF!</definedName>
    <definedName name="BO1FBD4BEC64DF4340B7E401CF1287E3AA" hidden="1">#REF!</definedName>
    <definedName name="BO1FC573480CA240178FF48E2670B7A4A0" hidden="1">#REF!</definedName>
    <definedName name="BO1FCF13EA22DA4A34A96BB43C0482914C" hidden="1">#REF!</definedName>
    <definedName name="BO1FF27D17B8BA45C2ABE26C54D300D75C" hidden="1">#REF!</definedName>
    <definedName name="BO2000FE749D724E9FA707A10923AA63BA" hidden="1">#REF!</definedName>
    <definedName name="BO202FAD8063BB419499B0BCEC2828F51B" hidden="1">#REF!</definedName>
    <definedName name="BO20321A83463342B6BE9EED47341BE910" hidden="1">#REF!</definedName>
    <definedName name="BO2034D10499B544CB9B0F74995F6888FC" hidden="1">#REF!</definedName>
    <definedName name="BO203CE104D06B4FB38E875039B216A33F" hidden="1">#REF!</definedName>
    <definedName name="BO203FF1C3A1E142D1B63E1B44172413DA" hidden="1">#REF!</definedName>
    <definedName name="BO204642FE513F4864BD957482DEE68B8F" hidden="1">#REF!</definedName>
    <definedName name="BO204FF4941138448AB83E89CC50327F00" hidden="1">#REF!</definedName>
    <definedName name="BO2050121A0DF142E7ACBF0C2149DF60DB" hidden="1">#REF!</definedName>
    <definedName name="BO206329EB267149C4A8AA8B5A10CA0B23" hidden="1">#REF!</definedName>
    <definedName name="BO207B3037F6444D969B50828F275890CA" hidden="1">#REF!</definedName>
    <definedName name="BO20A54F086F624E93B717496A1B4132C9" hidden="1">#REF!</definedName>
    <definedName name="BO20B1EF585C2845948F50CE07BBB23873" hidden="1">#REF!</definedName>
    <definedName name="BO20CF201E4BD14331B50E1720C6B405A2" hidden="1">#REF!</definedName>
    <definedName name="BO20D1E453DC204AA7855E147F78DD6AAD" hidden="1">#REF!</definedName>
    <definedName name="BO20D7CEB906A442EDABD66FC70141FB4D" hidden="1">#REF!</definedName>
    <definedName name="BO212DD771873C47AAA57B60EB6B9F57BD" hidden="1">#REF!</definedName>
    <definedName name="BO21411822AB8F4E6E8B6896E3D3E1645B" hidden="1">#REF!</definedName>
    <definedName name="BO2141B7A372D84289999CB27B02DD1B1F" hidden="1">#REF!</definedName>
    <definedName name="BO214488B37F2C49C698D6B5AB57289540" hidden="1">#REF!</definedName>
    <definedName name="BO214D132833814397B2BD1FE796DC5190" hidden="1">#REF!</definedName>
    <definedName name="BO215053EE872749AEBA9B00A1BB1FFEDA" hidden="1">#REF!</definedName>
    <definedName name="BO21545020FCFF4D56B98295C96A8B077E" hidden="1">#REF!</definedName>
    <definedName name="BO2161E39FF33049389EFD95828BAD1D73" hidden="1">#REF!</definedName>
    <definedName name="BO217988AF085C4BACAAF426DE9B872531" hidden="1">#REF!</definedName>
    <definedName name="BO217A065BE728400285F9A68018248B4B" hidden="1">#REF!</definedName>
    <definedName name="BO2189DB829D7F4206905850992E33E0A4" hidden="1">#REF!</definedName>
    <definedName name="BO218A670230344DEF80294058CE4C9F7F" hidden="1">#REF!</definedName>
    <definedName name="BO218F81DAEFAD49AF9B3A72E321755754" hidden="1">#REF!</definedName>
    <definedName name="BO2190258695E940FAB040CCF6CA7B1588" hidden="1">#REF!</definedName>
    <definedName name="BO219D681483954E00B66D718362DF21D1" hidden="1">#REF!</definedName>
    <definedName name="BO21B20B02CDD146DF8497564C05C765A4" hidden="1">#REF!</definedName>
    <definedName name="BO21B7D6B787174BE2B8F6B01A9D6AA5FE" hidden="1">#REF!</definedName>
    <definedName name="BO21C4FB5FE3604329AEA394B58537129B" hidden="1">#REF!</definedName>
    <definedName name="BO21D0E81725D8466AA71608F53692D790" hidden="1">#REF!</definedName>
    <definedName name="BO21D7421808CD43AEB5C11E05C94292F9" hidden="1">#REF!</definedName>
    <definedName name="BO21EC1D4F18934A23B7AC52A326C7BDA2" hidden="1">#REF!</definedName>
    <definedName name="BO2205B08A30A4409FA799FD8E9BEFE75F" hidden="1">#REF!</definedName>
    <definedName name="BO220D7DC8FBCC46DB8AE26ED60EB83250" hidden="1">#REF!</definedName>
    <definedName name="BO220DE1C2BF2340CEA36C2E77EC9B1C8C" hidden="1">#REF!</definedName>
    <definedName name="BO2231071A1FEB453B856DCA3CF4DBB552" hidden="1">#REF!</definedName>
    <definedName name="BO2240036397344197845A0A01D1474D23" hidden="1">#REF!</definedName>
    <definedName name="BO225263C52B3C4F878169478C66E33134" hidden="1">#REF!</definedName>
    <definedName name="BO225AD737FABD40FEB1BD400F18DAFD79" hidden="1">#REF!</definedName>
    <definedName name="BO22610F6E625A439A8F25394A176010A4" hidden="1">#REF!</definedName>
    <definedName name="BO226B96C1DBB34F6C8CC9B9974159275C" hidden="1">#REF!</definedName>
    <definedName name="BO227B01F824A3434990F27C39FBDF7F99" hidden="1">#REF!</definedName>
    <definedName name="BO22888E30CEE943998FCB14107ADFE414" hidden="1">#REF!</definedName>
    <definedName name="BO228F47AF9DF4454598ED125BC46429B3" hidden="1">#REF!</definedName>
    <definedName name="BO22916AF3B18045F194E6B4C88878CC89" hidden="1">#REF!</definedName>
    <definedName name="BO2293E5DE2C1E4AF389A9F0A14D86F5AF" hidden="1">#REF!</definedName>
    <definedName name="BO22A1A8DA83ED4E61AB9D4458E8BFBF5E" hidden="1">#REF!</definedName>
    <definedName name="BO22C69EDF24274F8C8A799D028C666604" hidden="1">#REF!</definedName>
    <definedName name="BO22D3C349283B473E826A3190CEF9563F" hidden="1">#REF!</definedName>
    <definedName name="BO22DAEE4154BE4F90AEB9FD073AD52242" hidden="1">#REF!</definedName>
    <definedName name="BO22EE0BE4D85F4BD5970962FBF8CEBA68" hidden="1">#REF!</definedName>
    <definedName name="BO22F1E184403440EA94041E4061CD1A36" hidden="1">#REF!</definedName>
    <definedName name="BO23012F6BDC194152B0763334AA8DE09A" hidden="1">#REF!</definedName>
    <definedName name="BO230E6EF6C8C94B8F8C47CFF59CC50C9A" hidden="1">#REF!</definedName>
    <definedName name="BO23209D5E42F647BC859A30AF7205B1EB" hidden="1">#REF!</definedName>
    <definedName name="BO232A1F5D59654CA6A0C19E0D0B1835E8" hidden="1">#REF!</definedName>
    <definedName name="BO2354506FB73B40758D7271BB733EF7EA" hidden="1">#REF!</definedName>
    <definedName name="BO236C109499124F4E80ACAA9C9D0DC86E" hidden="1">#REF!</definedName>
    <definedName name="BO238D5E71A2E1462CB8F96F7465F66260" hidden="1">#REF!</definedName>
    <definedName name="BO239512C7B5004432BAAF1A7F1FC243C5" hidden="1">#REF!</definedName>
    <definedName name="BO23AD48D3F0FF4E00B57ABF30917F461A" hidden="1">#REF!</definedName>
    <definedName name="BO23C11F2418AF424A9FB7F13AE8573CB8" hidden="1">#REF!</definedName>
    <definedName name="BO23C6AAE56A2449618B0EB245E68264AA" hidden="1">#REF!</definedName>
    <definedName name="BO23C787C3A9AF4D63ADA1DC818379D5A3" hidden="1">#REF!</definedName>
    <definedName name="BO23E745F6E6F748179ECDE765648E29FF" hidden="1">#REF!</definedName>
    <definedName name="BO23F1CFE4BC1D46BEB7ED2DB6E28AB9F7" hidden="1">#REF!</definedName>
    <definedName name="BO23F2C6ECD3204761B1472B44EEBBA0DE" hidden="1">#REF!</definedName>
    <definedName name="BO24191E4F06BB400EB4E45CA4B52D5A66" hidden="1">#REF!</definedName>
    <definedName name="BO242B22001A3D463EB3087B393B5D8480" hidden="1">#REF!</definedName>
    <definedName name="BO244E8830D7A2432883AB77D0D44C3518" hidden="1">#REF!</definedName>
    <definedName name="BO245314F5F48D49ECB9E2294C5FD21EF4" hidden="1">#REF!</definedName>
    <definedName name="BO245D8EA194704D799213C24B96126A35" hidden="1">#REF!</definedName>
    <definedName name="BO246E872D11F54CBDA9CAAE7F3CEE8A3B" hidden="1">#REF!</definedName>
    <definedName name="BO247C057B70AB4F658019AC17263404FD" hidden="1">#REF!</definedName>
    <definedName name="BO24808A7805734A67B9F3A052643276C5" hidden="1">#REF!</definedName>
    <definedName name="BO248CF0663C3845EA91C27C65CD94A27B" hidden="1">#REF!</definedName>
    <definedName name="BO248FCFD187D14607903BF0499FC1EB08" hidden="1">#REF!</definedName>
    <definedName name="BO2491BAC9A38342598DD19C9D4DB0A34F" hidden="1">#REF!</definedName>
    <definedName name="BO24937DC7BA1D49788C07B02DFD3C6342" hidden="1">#REF!</definedName>
    <definedName name="BO2495A54824434CB189951F5549DEB370" hidden="1">#REF!</definedName>
    <definedName name="BO249C67D551B148328F4AB326E8B9F4C3" hidden="1">#REF!</definedName>
    <definedName name="BO24A8918ECB1C4B1EAAC4F1A0663C1145" hidden="1">#REF!</definedName>
    <definedName name="BO24BA25EDB1A44A8E8DBB72F1D4D29577" hidden="1">#REF!</definedName>
    <definedName name="BO24E59B9E468244B094E12543813C34CF" hidden="1">#REF!</definedName>
    <definedName name="BO24E609E1B65A4E6D90B359EFB6863E2A" hidden="1">#REF!</definedName>
    <definedName name="BO24F6F06ED01C4C22AA58ACACC4605B6E" hidden="1">#REF!</definedName>
    <definedName name="BO25093A0D3FA94928B03F855003D8D3E4" hidden="1">#REF!</definedName>
    <definedName name="BO2519A3AFD9904F0EA701766B92D044A5" hidden="1">#REF!</definedName>
    <definedName name="BO251EB7BFC4E14C0681BE2DCEEAD845E7" hidden="1">#REF!</definedName>
    <definedName name="BO252423B9C6834C65AEB050F7CED8E2BC" hidden="1">#REF!</definedName>
    <definedName name="BO252C3CBD29A243C0AEDAC1F87AD31F53" hidden="1">#REF!</definedName>
    <definedName name="BO252E1F1B616045209E24B8B2BB08F011" hidden="1">#REF!</definedName>
    <definedName name="BO253ACAECC53145009F3843BD2D2D919F" hidden="1">#REF!</definedName>
    <definedName name="BO254702AF37084A989C9C0D98E2CCCDF3" hidden="1">#REF!</definedName>
    <definedName name="BO25534CD9966549BBBEF5257F84D5DBE7" hidden="1">#REF!</definedName>
    <definedName name="BO256ABB33FDA44F459E85B26D8DD4914A" hidden="1">#REF!</definedName>
    <definedName name="BO256CEA9DBE3C4AD0A1636278271A9EB8" hidden="1">#REF!</definedName>
    <definedName name="BO256F638AB26747CBA5D7602B20D8AD7C" hidden="1">#REF!</definedName>
    <definedName name="BO2581D827D67C492AB6F1E29B12DE33F1" hidden="1">#REF!</definedName>
    <definedName name="BO258A9ECB60464A8388B0908E365683DA" hidden="1">#REF!</definedName>
    <definedName name="BO258F936A6F324905A7D2D954B13649D9" hidden="1">#REF!</definedName>
    <definedName name="BO25972B76844C4D6090FBC7E7F45106D6" hidden="1">#REF!</definedName>
    <definedName name="BO25AF9ADA308342C187BFCECCC794CF43" hidden="1">#REF!</definedName>
    <definedName name="BO25CC43297124428EB72F08A9A2E14CDC" hidden="1">#REF!</definedName>
    <definedName name="BO25CC6BFE92064DBF8830573B2D9FD4B4" hidden="1">#REF!</definedName>
    <definedName name="BO25CE6931E52947EC9FF070514959E42A" hidden="1">#REF!</definedName>
    <definedName name="BO25DE2F7FA990464E9F8072C85E51FC96" hidden="1">#REF!</definedName>
    <definedName name="BO25E9553CF8974A33892EB1745060FD61" hidden="1">#REF!</definedName>
    <definedName name="BO2605237EAE654A23B72B55DAF523B6A6" hidden="1">#REF!</definedName>
    <definedName name="BO260C75EB0FE34E039A2639B39BA79B3D" hidden="1">#REF!</definedName>
    <definedName name="BO260CD5A6C36945F0889CD82152A4F67D" hidden="1">#REF!</definedName>
    <definedName name="BO260E4C1AD61241F5B2B6159395B2919A" hidden="1">#REF!</definedName>
    <definedName name="BO261B8E29B9B540D5B595913F2F3E772C" hidden="1">#REF!</definedName>
    <definedName name="BO2621C14BA85E4F63813A3AA292ECE0ED" hidden="1">#REF!</definedName>
    <definedName name="BO263B4B971A0F41C788C42BA2F9A5D53C" hidden="1">#REF!</definedName>
    <definedName name="BO263E075F494444DD84B1B7BE398676C9" hidden="1">#REF!</definedName>
    <definedName name="BO263FD10022B946D7941BB791BCB0FFAF" hidden="1">#REF!</definedName>
    <definedName name="BO26560F3BC6064631902DC58D0D8AEFAF" hidden="1">#REF!</definedName>
    <definedName name="BO2672883EFAC5493481EFB4B31BDD63E6" hidden="1">#REF!</definedName>
    <definedName name="BO2684A03C65AE4FAC9C61F096104EFFBA" hidden="1">#REF!</definedName>
    <definedName name="BO26B4CA84091B46B0AA4A7DC046DB89D9" hidden="1">#REF!</definedName>
    <definedName name="BO26C7B304F6FA4B03AB8CF8A8BA949F2F" hidden="1">#REF!</definedName>
    <definedName name="BO26DA3E3B12F143B6A03B8DB89DEB0945" hidden="1">#REF!</definedName>
    <definedName name="BO26E084514C0D49058DBC96E0B99F9586" hidden="1">#REF!</definedName>
    <definedName name="BO270A5D31B3524AE3B86DF95ACF263DA5" hidden="1">#REF!</definedName>
    <definedName name="BO2712061D2CEE4515A14E98D80E1B0F54" hidden="1">#REF!</definedName>
    <definedName name="BO2713576DE8C640EB8F34FBFBC18DC2CF" hidden="1">#REF!</definedName>
    <definedName name="BO2736BE2C649942CAAD9C76A4AF14A7B5" hidden="1">#REF!</definedName>
    <definedName name="BO273AC48D586C4EE0AF06727CEFD221DF" hidden="1">#REF!</definedName>
    <definedName name="BO2746CE4B614C491EB43F40E15D1840DF" hidden="1">#REF!</definedName>
    <definedName name="BO275E25DD631F40F8B24EDCD86DD7FEC2" hidden="1">#REF!</definedName>
    <definedName name="BO275E4ECEE6494ABA8F39B3E706DB36F1" hidden="1">#REF!</definedName>
    <definedName name="BO2764088E77EF4BB4BF11B9FB77B9F21C" hidden="1">#REF!</definedName>
    <definedName name="BO276A19D8C2B04DC29C9152E8680B3A3A" hidden="1">#REF!</definedName>
    <definedName name="BO276E5B75752E42ABA7FFE433FA7483DB" hidden="1">#REF!</definedName>
    <definedName name="BO27717F5DF82846BD86BDA741114D21B0" hidden="1">#REF!</definedName>
    <definedName name="BO27816D7F127044918D1598D188090C9A" hidden="1">#REF!</definedName>
    <definedName name="BO2799BFF607054122BDC70E3D886E6FF4" hidden="1">#REF!</definedName>
    <definedName name="BO27AFB7AC1D91473EA7307E41C74A7165" hidden="1">#REF!</definedName>
    <definedName name="BO27BA4C88B9F94146BEB079537EB2F2D0" hidden="1">#REF!</definedName>
    <definedName name="BO27C322ECB31949E18971F08D0502AFDC" hidden="1">#REF!</definedName>
    <definedName name="BO27D814C769454C58B42460776C0DC153" hidden="1">#REF!</definedName>
    <definedName name="BO27F80846804E4B759237B12FDF2310EB" hidden="1">#REF!</definedName>
    <definedName name="BO27F84F5B264D41BEB1375882ABF59F20" hidden="1">#REF!</definedName>
    <definedName name="BO27FD3284091B4111A920005D69671CC4" hidden="1">#REF!</definedName>
    <definedName name="BO27FD91C334984D72A39703E8C8776582" hidden="1">#REF!</definedName>
    <definedName name="BO28058A6D0D9E43548DE48D1A42EF83A4" hidden="1">#REF!</definedName>
    <definedName name="BO281DC2682F094143838494BE94ACF0D3" hidden="1">#REF!</definedName>
    <definedName name="BO2820D853115942E2941DF3C43B838765" hidden="1">#REF!</definedName>
    <definedName name="BO2822CE5A46F546959CCC53503C2BEEA3" hidden="1">#REF!</definedName>
    <definedName name="BO285080CA7C46493D8FE264D0E8577415" hidden="1">#REF!</definedName>
    <definedName name="BO287AFF6B4DE34974973655CA955E3AEC" hidden="1">#REF!</definedName>
    <definedName name="BO287E7F9F8DFC4F1B9069C51543542F7E" hidden="1">#REF!</definedName>
    <definedName name="BO28806E61810544FAB47AD484DFC52AF6" hidden="1">#REF!</definedName>
    <definedName name="BO2882E657EAED48D8B17C07929490FB16" hidden="1">#REF!</definedName>
    <definedName name="BO289041DB794344C0BEE419C711E28AD3" hidden="1">#REF!</definedName>
    <definedName name="BO28A81A1FC39E4E82A093D754724CA956" hidden="1">#REF!</definedName>
    <definedName name="BO28ADD8D60FE240D793C9FCF23B3D9EE7" hidden="1">#REF!</definedName>
    <definedName name="BO28E41B589A2C42DAAACA1F4AC4D0BB29" hidden="1">#REF!</definedName>
    <definedName name="BO28EADA40EE6742078E028BF90E477956" hidden="1">#REF!</definedName>
    <definedName name="BO28F284D5E1154013B0BD0FEA710FFC22" hidden="1">#REF!</definedName>
    <definedName name="BO2901DA2CDDB049CD918B3CA425F08564" hidden="1">#REF!</definedName>
    <definedName name="BO29059DBAFB024C1B8E44428FD7EDBCF7" hidden="1">#REF!</definedName>
    <definedName name="BO290A6FD38F404C51BC3B4B7F0B1BDE96" hidden="1">#REF!</definedName>
    <definedName name="BO292558CF2526419C8B5C330E0685DA10" hidden="1">#REF!</definedName>
    <definedName name="BO2925793A7C194A11BECC1104CFF5C022" hidden="1">#REF!</definedName>
    <definedName name="BO294002F89D534F1D8DDF694873C95021" hidden="1">#REF!</definedName>
    <definedName name="BO2950441D89D4497BB606AF9DBCCFB690" hidden="1">#REF!</definedName>
    <definedName name="BO29559B6771214E08BBE8E294498D2BAE" hidden="1">#REF!</definedName>
    <definedName name="BO295EFD04D22C4A1E87AF56BE5A809813" hidden="1">#REF!</definedName>
    <definedName name="BO296FA9CC25174A31A87655830BCB999A" hidden="1">#REF!</definedName>
    <definedName name="BO297EB9602E6F4DA79ACB542C5EBAFE90" hidden="1">#REF!</definedName>
    <definedName name="BO2995AB99558F44B4816D44C804BC8267" hidden="1">#REF!</definedName>
    <definedName name="BO29999A213FBF4583A9F7E72E99075BD1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C38DA236A540BE9064CCFDB1A6DA95" hidden="1">#REF!</definedName>
    <definedName name="BO29C9620213C749BEBC28E1FECC545490" hidden="1">#REF!</definedName>
    <definedName name="BO29CFEBF42BA04B0F9EF2B73368DD7D36" hidden="1">#REF!</definedName>
    <definedName name="BO29D9B6BABE6F40EDA1A64BAFBAAD0029" hidden="1">#REF!</definedName>
    <definedName name="BO29DF8390BF4D4D4C9C109B7FB0800587" hidden="1">#REF!</definedName>
    <definedName name="BO29EA5B2BE6EF4D02A0D124032B2C74A3" hidden="1">#REF!</definedName>
    <definedName name="BO29F37DD04DF84D13A76F83F278993FF5" hidden="1">#REF!</definedName>
    <definedName name="BO2A00A50A17854DB4993CD4DA31111B21" hidden="1">#REF!</definedName>
    <definedName name="BO2A3663D01ABA40F1964CB61CBC037AFA" hidden="1">#REF!</definedName>
    <definedName name="BO2A3E54D24A3B47668D71E1C7274E7F28" hidden="1">#REF!</definedName>
    <definedName name="BO2A5AB8BFF7D74F2AB4A5439111B8A085" hidden="1">#REF!</definedName>
    <definedName name="BO2A68C8385C834137AB6A597C4C15F834" hidden="1">#REF!</definedName>
    <definedName name="BO2ACBDBD170934826BFE6D567BD2B0828" hidden="1">#REF!</definedName>
    <definedName name="BO2ACEC73771DA4CA29214F27324CDF669" hidden="1">#REF!</definedName>
    <definedName name="BO2B0A73BCB20041ED801C025EAB93632D" hidden="1">#REF!</definedName>
    <definedName name="BO2B0E8BE977F44AA2916D9902C43A3328" hidden="1">#REF!</definedName>
    <definedName name="BO2B2448DD4C9644248EC5E9D25F4F48D6" hidden="1">#REF!</definedName>
    <definedName name="BO2B3121A9F6A5434F8155A58F553EAB1C" hidden="1">#REF!</definedName>
    <definedName name="BO2B35EC858E5E4498AB5E85A1F36C0B55" hidden="1">#REF!</definedName>
    <definedName name="BO2B380880C86546499F8834AC12F6DED7" hidden="1">#REF!</definedName>
    <definedName name="BO2B3C5F919A5A4B3E98665B4E17AFD301" hidden="1">#REF!</definedName>
    <definedName name="BO2B4252BB76D04F66A45B9EE60EBB29B5" hidden="1">#REF!</definedName>
    <definedName name="BO2B6AAA2881A84B7C9BDD628A5D6EEC2D" hidden="1">#REF!</definedName>
    <definedName name="BO2B82B2EDBA004E4583F58BC9C0478BC6" hidden="1">#REF!</definedName>
    <definedName name="BO2B91C0FF7A1E481CAFD2A997AED66625" hidden="1">#REF!</definedName>
    <definedName name="BO2B9FFCE021A0461C872DCA59C3D3166F" hidden="1">#REF!</definedName>
    <definedName name="BO2BA0327C074A41968868F4F926999ECF" hidden="1">#REF!</definedName>
    <definedName name="BO2BA86B254A414DDB8F10CD94B5839C2C" hidden="1">#REF!</definedName>
    <definedName name="BO2BD4C66A4E4A45A7AE3E7F29889ECD99" hidden="1">#REF!</definedName>
    <definedName name="BO2BEDCDF495A14574A976ABA84DC1AA9D" hidden="1">#REF!</definedName>
    <definedName name="BO2BFF76DEECCD4DF484E8CCDE5D6B2362" hidden="1">#REF!</definedName>
    <definedName name="BO2BFF9769E4C94BB790EEE557FF7DDB56" hidden="1">#REF!</definedName>
    <definedName name="BO2BFFFF55E91E412EAA08B005F0A65541" hidden="1">#REF!</definedName>
    <definedName name="BO2C00DA879D9C45FF879BA5A20E5BC9E9" hidden="1">#REF!</definedName>
    <definedName name="BO2C017A82654F43CF943A7D066ECB72BB" hidden="1">#REF!</definedName>
    <definedName name="BO2C0ACD3804CE4D4D9D67ADE61B2EE690" hidden="1">#REF!</definedName>
    <definedName name="BO2C178AE72FBD4E4B980E039EB05BB49F" hidden="1">#REF!</definedName>
    <definedName name="BO2C1806E0404042B78822AEF94A769B46" hidden="1">#REF!</definedName>
    <definedName name="BO2C367D597C6245EBA841FD9D9C4237E2" hidden="1">#REF!</definedName>
    <definedName name="BO2C5CAB4265E84DD5856C73EB10FF96C8" hidden="1">#REF!</definedName>
    <definedName name="BO2C783B4F85E24FB88F7951E6B8A86AB0" hidden="1">#REF!</definedName>
    <definedName name="BO2C889DD7D9D4453389EF2CC7C7400910" hidden="1">#REF!</definedName>
    <definedName name="BO2C893EF3E06045B8AAE30677A78003B4" hidden="1">#REF!</definedName>
    <definedName name="BO2C8C60696A424B1EACBBFDDE272D0A50" hidden="1">#REF!</definedName>
    <definedName name="BO2C8F21327DD74BE885434F409F574BEC" hidden="1">#REF!</definedName>
    <definedName name="BO2C9B63E184774916BE8749B98B8AE796" hidden="1">#REF!</definedName>
    <definedName name="BO2CAD8F94E59F41D18ADFAF1D7F6F2436" hidden="1">#REF!</definedName>
    <definedName name="BO2CAEB9A05E524B25B5984BDCD9C073D6" hidden="1">#REF!</definedName>
    <definedName name="BO2CB7639AD20549F3B40E039515EFF2EA" hidden="1">#REF!</definedName>
    <definedName name="BO2CD21433E9524DD5B5827FD905224972" hidden="1">#REF!</definedName>
    <definedName name="BO2CFDBA12D8E94FF6AF9B5EA62A3C061E" hidden="1">#REF!</definedName>
    <definedName name="BO2D06A4A023464C6A8482AF000275C1A3" hidden="1">#REF!</definedName>
    <definedName name="BO2D1F21BF2A004FDF8CA1E7654CA055CF" hidden="1">#REF!</definedName>
    <definedName name="BO2D26B3DF58A8486183A106C7BF1FA67E" hidden="1">#REF!</definedName>
    <definedName name="BO2D2D530CDDF14D92997712EB4C8C7BF9" hidden="1">#REF!</definedName>
    <definedName name="BO2D31A6FA7EB244579F44D35B99A4A8E4" hidden="1">#REF!</definedName>
    <definedName name="BO2D4C4FD75CCF41B9B9D387274FF128C4" hidden="1">#REF!</definedName>
    <definedName name="BO2D54BAB3A82B44928B563DE60EC0FD7D" hidden="1">#REF!</definedName>
    <definedName name="BO2D56E23DE46E41278B653EC68C177F70" hidden="1">#REF!</definedName>
    <definedName name="BO2D5D96F8B7FD47F0AF757643F2DFB67D" hidden="1">#REF!</definedName>
    <definedName name="BO2D5ED7DAF43E440CBA2EDD04007603F7" hidden="1">#REF!</definedName>
    <definedName name="BO2D6952FC28424398BBE67A8663C3CAAA" hidden="1">#REF!</definedName>
    <definedName name="BO2D87AEA7FFE24D6298B56D6AC2B80C69" hidden="1">#REF!</definedName>
    <definedName name="BO2D8A0ACBD3AA4BDA919337ECA4360112" hidden="1">#REF!</definedName>
    <definedName name="BO2D8BC348CDD041779ECE70F98BC3F557" hidden="1">#REF!</definedName>
    <definedName name="BO2D8E3A6420914965BF19B696C6FDDB98" hidden="1">#REF!</definedName>
    <definedName name="BO2D9AC84D96AF42AA92BCDA8C34005373" hidden="1">#REF!</definedName>
    <definedName name="BO2D9C9221DB91418EABFC641573A61A0E" hidden="1">#REF!</definedName>
    <definedName name="BO2DA17E8925E843DF9AD707E98574AD6E" hidden="1">#REF!</definedName>
    <definedName name="BO2DA4307D91F7429B9D5B5DDF2085790C" hidden="1">#REF!</definedName>
    <definedName name="BO2DBD82CD6B5747D7A5D8C6F9F7CDAD2F" hidden="1">#REF!</definedName>
    <definedName name="BO2DCD5B6ED5004362994797D85763A69B" hidden="1">#REF!</definedName>
    <definedName name="BO2DCDE4D261A04AAC852472517C848C64" hidden="1">#REF!</definedName>
    <definedName name="BO2DCF80E250E645A29463073D5E33DF72" hidden="1">#REF!</definedName>
    <definedName name="BO2DD4678FCE224E6994B756524707755F" hidden="1">#REF!</definedName>
    <definedName name="BO2DD4E3C6BF6E4DA983890148DF40506D" hidden="1">#REF!</definedName>
    <definedName name="BO2DDB0BD841F340A8880296264AC1AD09" hidden="1">#REF!</definedName>
    <definedName name="BO2DE9E90DC8284B20BB40C194A2FBA813" hidden="1">#REF!</definedName>
    <definedName name="BO2DED502E1D1E4D9C9CCEC23CEB3F40DD" hidden="1">#REF!</definedName>
    <definedName name="BO2DED886FB72E452D80B8CDB76E9B61DE" hidden="1">#REF!</definedName>
    <definedName name="BO2DF6685EBC6440CEBADE1F180B3EC72A" hidden="1">#REF!</definedName>
    <definedName name="BO2DFBC5D95CCE4CFEBFF900CE3D346556" hidden="1">#REF!</definedName>
    <definedName name="BO2E070348823940B5AC91D46880537C79" hidden="1">#REF!</definedName>
    <definedName name="BO2E0ADDF3EDA5412893AD4ACADC83B2FE" hidden="1">#REF!</definedName>
    <definedName name="BO2E0CEBF6C3334D0486E22BAF923C84FB" hidden="1">#REF!</definedName>
    <definedName name="BO2E13EDA225FE494DB0E60E9756B990AC" hidden="1">#REF!</definedName>
    <definedName name="BO2E2390FFDE3D4330BB420875EF44FAD1" hidden="1">#REF!</definedName>
    <definedName name="BO2E73369191B74B4C886F1DDBD22EA363" hidden="1">#REF!</definedName>
    <definedName name="BO2E79F7D1C81542F6BDF2A3F7C689762E" hidden="1">#REF!</definedName>
    <definedName name="BO2E827E447FD14CADBF765D781BC193C2" hidden="1">#REF!</definedName>
    <definedName name="BO2E9E3090B08D47EBBC36CF959D2176D1" hidden="1">#REF!</definedName>
    <definedName name="BO2EA6321A40EE44FE881B78984B02B217" hidden="1">#REF!</definedName>
    <definedName name="BO2EAD9B0C059247AC8F367208CFDD4EB3" hidden="1">#REF!</definedName>
    <definedName name="BO2EC14E88B62947F3AFFA21166BB0AA7A" hidden="1">#REF!</definedName>
    <definedName name="BO2EC57A3E2D884825BA0BD928EF4AE1AD" hidden="1">#REF!</definedName>
    <definedName name="BO2EC6D26CDEB347D78EAE0F11E5C52867" hidden="1">#REF!</definedName>
    <definedName name="BO2EDBF44490984D53A344E7B9CA6A35D0" hidden="1">#REF!</definedName>
    <definedName name="BO2EF97F81DD964566ABA785620A36892C" hidden="1">#REF!</definedName>
    <definedName name="BO2F048AD87674415EBAF572BA92AF1215" hidden="1">#REF!</definedName>
    <definedName name="BO2F166ED9BE3F4F8AB2267F7697917DD0" hidden="1">#REF!</definedName>
    <definedName name="BO2F204193D00C4D88A012296B8E77A759" hidden="1">#REF!</definedName>
    <definedName name="BO2F358C635E6F441BBFA6F1602189C967" hidden="1">#REF!</definedName>
    <definedName name="BO2F42D219D08048A58C2AC9A1FE6D0FB2" hidden="1">#REF!</definedName>
    <definedName name="BO2F4539B649B74DA99365C8555DF35795" hidden="1">#REF!</definedName>
    <definedName name="BO2F4A80B58C7249F39C3A1B337E9D6D68" hidden="1">#REF!</definedName>
    <definedName name="BO2F62BC4AE8D5460C8C4622B39652869D" hidden="1">#REF!</definedName>
    <definedName name="BO2F6D4FCC2ECE4F8E86291FE9436839CB" hidden="1">#REF!</definedName>
    <definedName name="BO2F6D718B7E994EE6A3AB38E7D4068FAD" hidden="1">#REF!</definedName>
    <definedName name="BO2F88AEEFB75E4DDBA8A5EBA600E78302" hidden="1">#REF!</definedName>
    <definedName name="BO2F8E3968D439492A86A864A71D39F8D2" hidden="1">#REF!</definedName>
    <definedName name="BO2FB7BBF1D6104358A3FD7E2E098C7429" hidden="1">#REF!</definedName>
    <definedName name="BO2FB9B240E0EA492F83769264D9892D15" hidden="1">#REF!</definedName>
    <definedName name="BO2FC0DF53050A4C7B94AD703F384F6DBC" hidden="1">#REF!</definedName>
    <definedName name="BO2FC349B9327645118BC37D9143F7FAD5" hidden="1">#REF!</definedName>
    <definedName name="BO2FC45C16A3F54D729E26F3464A622F47" hidden="1">#REF!</definedName>
    <definedName name="BO2FD0E480BF914730B1552E6648072D26" hidden="1">#REF!</definedName>
    <definedName name="BO2FD62BE74CC149888B880AC01EF87DF2" hidden="1">#REF!</definedName>
    <definedName name="BO2FF79A8750344AFB9FAEF3F2584B6878" hidden="1">#REF!</definedName>
    <definedName name="BO3003ED9EC2F1488EB4D2C53225440780" hidden="1">#REF!</definedName>
    <definedName name="BO300927459DDB41E399246A651525A949" hidden="1">#REF!</definedName>
    <definedName name="BO3035AC54ACEE4A0690E155DADE14BF37" hidden="1">#REF!</definedName>
    <definedName name="BO303817AB93D240FFA8A9F7B0CB8DBC70" hidden="1">#REF!</definedName>
    <definedName name="BO3048B1FEEEB9407289145FE7A15203C5" hidden="1">#REF!</definedName>
    <definedName name="BO305A4EE83CF84699A049D21A38BA74BC" hidden="1">#REF!</definedName>
    <definedName name="BO305FCC173BF54F10B9CFB9C7D81F1623" hidden="1">#REF!</definedName>
    <definedName name="BO307C20FB9DBD4FB39B6363829CD0B876" hidden="1">#REF!</definedName>
    <definedName name="BO30AEB6F35CD1422794B692A2CB4D39DD" hidden="1">#REF!</definedName>
    <definedName name="BO30BB2A290A4B4A7A86CF91ABD473B52C" hidden="1">#REF!</definedName>
    <definedName name="BO30F82A0F45F0488B9BF672A0DD5384B3" hidden="1">#REF!</definedName>
    <definedName name="BO3109EDD8560A4446A3446598A733F1C5" hidden="1">#REF!</definedName>
    <definedName name="BO3122C041F6CB43D3A06CF77A073228C3" hidden="1">#REF!</definedName>
    <definedName name="BO312587118F00438F8D4DDD5EC86D6441" hidden="1">#REF!</definedName>
    <definedName name="BO3185C5AFD18F419BAA9951E27A665BEC" hidden="1">#REF!</definedName>
    <definedName name="BO319702CB1B184F81AAFD2A7C9B29902F" hidden="1">#REF!</definedName>
    <definedName name="BO31977218B9E2476B845FBBC8E5D5D3F1" hidden="1">#REF!</definedName>
    <definedName name="BO31AE2847EEBD4163AFD0D5ACEBEE6896" hidden="1">#REF!</definedName>
    <definedName name="BO31B1C27CA2784591B3BD7B8F97CEC20D" hidden="1">#REF!</definedName>
    <definedName name="BO31B3626C280842DDB0F0576C3AB66A35" hidden="1">#REF!</definedName>
    <definedName name="BO31CD43A4563F48E3ADEF3B086F77F412" hidden="1">#REF!</definedName>
    <definedName name="BO31D8C066076E4283A10C0EDC7E92C950" hidden="1">#REF!</definedName>
    <definedName name="BO31DA1E9AC58D4BD2AA9F8600C99DE660" hidden="1">#REF!</definedName>
    <definedName name="BO31F8670C7F834ADE839FE3FDD7AF81CC" hidden="1">#REF!</definedName>
    <definedName name="BO31FF4845F0134E159EDFA068B8DF1456" hidden="1">#REF!</definedName>
    <definedName name="BO320065802A964F15869394242DAC3970" hidden="1">#REF!</definedName>
    <definedName name="BO320E319854F24796AD6DD070BBD74A29" hidden="1">#REF!</definedName>
    <definedName name="BO32106E86308346B79ACBCBA8F0EEF58B" hidden="1">#REF!</definedName>
    <definedName name="BO3222B69EF72A4FDCB62A2B1B7EA476CD" hidden="1">#REF!</definedName>
    <definedName name="BO322E7FA478294784B9114B9FB7640AE4" hidden="1">#REF!</definedName>
    <definedName name="BO325BFB84D0B6488F9FC002710A98FC55" hidden="1">#REF!</definedName>
    <definedName name="BO327C7F9E4E9D4477B4611F339FE9E318" hidden="1">#REF!</definedName>
    <definedName name="BO3289F49EFC034457B8AB42EB6E44BB67" hidden="1">#REF!</definedName>
    <definedName name="BO328D22DDDB2F4A2280EF41B7DC2EF946" hidden="1">#REF!</definedName>
    <definedName name="BO329031B61E9B4E1CB748E2BF18453CBA" hidden="1">#REF!</definedName>
    <definedName name="BO329794FEEEA848A3A8CD1316B34A9B9B" hidden="1">#REF!</definedName>
    <definedName name="BO32CC748630CD44A78FE35D7DD55C5CB1" hidden="1">#REF!</definedName>
    <definedName name="BO32D7FC19F8CD43D5BD353992747AA1E4" hidden="1">#REF!</definedName>
    <definedName name="BO32D8C11D52E246B8B1167589D681611B" hidden="1">#REF!</definedName>
    <definedName name="BO32E5AAF47BE844E89F8DAB3CAEDFA7E3" hidden="1">#REF!</definedName>
    <definedName name="BO32FCC3651E0F431EB99F7A93F30F5188" hidden="1">#REF!</definedName>
    <definedName name="BO332B1AA5D6A74B38966890E057DD824F" hidden="1">#REF!</definedName>
    <definedName name="BO333C6704208C4D37A85C8AEE75D910E8" hidden="1">#REF!</definedName>
    <definedName name="BO333D57822999400485D339F3D480F37D" hidden="1">#REF!</definedName>
    <definedName name="BO3341BFB16B4E4BE2BED80336E52ECDD0" hidden="1">#REF!</definedName>
    <definedName name="BO335C45EE2A284BF89E6240DCA1DE7061" hidden="1">#REF!</definedName>
    <definedName name="BO3361CC5D96CC46409F71EB663340E25A" hidden="1">#REF!</definedName>
    <definedName name="BO336A46CA04594F34A8DAD1681E609B21" hidden="1">#REF!</definedName>
    <definedName name="BO338ED8E6AEF84AA7BEB7D4A6F5B2FAFD" hidden="1">#REF!</definedName>
    <definedName name="BO33A986EB05E14342B05CFAE40A8B8CB3" hidden="1">#REF!</definedName>
    <definedName name="BO33D34A04E794407EB7D70351E3E2CD74" hidden="1">#REF!</definedName>
    <definedName name="BO33D5D2E635444CE09A98AAF2ADA7433D" hidden="1">#REF!</definedName>
    <definedName name="BO33D763AF3FAC4952A10B927B908EADC3" hidden="1">#REF!</definedName>
    <definedName name="BO33E5D2DECC00492E98BB2AE9970273F4" hidden="1">#REF!</definedName>
    <definedName name="BO33FD8712A61E414D87225F072C193D93" hidden="1">#REF!</definedName>
    <definedName name="BO3401980CAE564BF1889B707647DEED49" hidden="1">#REF!</definedName>
    <definedName name="BO341DA2EF6C0D4599939FE134BD02B7EF" hidden="1">#REF!</definedName>
    <definedName name="BO341EE39D379B4F1692B5673AD1B32900" hidden="1">#REF!</definedName>
    <definedName name="BO342168E36A904096BD6580C7ACB8B99C" hidden="1">#REF!</definedName>
    <definedName name="BO3428847CCB69407782357E437CAF7103" hidden="1">#REF!</definedName>
    <definedName name="BO342EF0430196463A93A5EFECDFE96085" hidden="1">#REF!</definedName>
    <definedName name="BO34546B46330B469FB089735939C3C993" hidden="1">#REF!</definedName>
    <definedName name="BO346624D04D19471187E08B54F19FA456" hidden="1">#REF!</definedName>
    <definedName name="BO3476F33D9F5F41FAAEA1A8A30DF6E387" hidden="1">#REF!</definedName>
    <definedName name="BO3480F6D05C1B4D25A9F4BB124CD688E0" hidden="1">#REF!</definedName>
    <definedName name="BO34844047730546EFADB54B4453557BA8" hidden="1">#REF!</definedName>
    <definedName name="BO348D5DD8702F4F70A5106B888B0D1864" hidden="1">#REF!</definedName>
    <definedName name="BO348D72898BA34A23AB865FC6A40AC6D1" hidden="1">#REF!</definedName>
    <definedName name="BO349A315A66EA42FABF123E6021FEDE75" hidden="1">#REF!</definedName>
    <definedName name="BO34A51ACF7F2348C2B8A2A67B919197DB" hidden="1">#REF!</definedName>
    <definedName name="BO34B0D1C3C2DF41599DDC64764EE93927" hidden="1">#REF!</definedName>
    <definedName name="BO34B7BDFF82DF4756A8B9115EECD3DD5D" hidden="1">#REF!</definedName>
    <definedName name="BO34B9AB942C344D85A1622FACF048EBB6" hidden="1">#REF!</definedName>
    <definedName name="BO34D62F43660440BF9F470BD093905410" hidden="1">#REF!</definedName>
    <definedName name="BO34E1086C2CB448A4B4786D3476C021AD" hidden="1">#REF!</definedName>
    <definedName name="BO34ECD4B14C4A4E6C9DA339E125472BD3" hidden="1">#REF!</definedName>
    <definedName name="BO34EE21784DAD4CCA918D3C16B4469249" hidden="1">#REF!</definedName>
    <definedName name="BO34F8285B186C43BB897559D9234C4F7C" hidden="1">#REF!</definedName>
    <definedName name="BO35264F09D5384B21A7EBC93B5F190AEB" hidden="1">#REF!</definedName>
    <definedName name="BO35580ED606624538AE7550123952CBEA" hidden="1">#REF!</definedName>
    <definedName name="BO35622FA1F1354C5196130C748559B8D8" hidden="1">#REF!</definedName>
    <definedName name="BO3563D84EA33A4C5BBB3D0FCAA7200346" hidden="1">#REF!</definedName>
    <definedName name="BO358B49D1F8814D74835F2822C0388256" hidden="1">#REF!</definedName>
    <definedName name="BO35A8670D0A25417799946F87A89846C7" hidden="1">#REF!</definedName>
    <definedName name="BO35C8047FFF54448D8A6763D6C5459131" hidden="1">#REF!</definedName>
    <definedName name="BO35CA3E17081642D39D09C6DF175E5552" hidden="1">#REF!</definedName>
    <definedName name="BO35D589D7C3EF4F3FAEA7A06BFCA51C0D" hidden="1">#REF!</definedName>
    <definedName name="BO35FDB2AB3FBE44869B1B8C3CB0C955E2" hidden="1">#REF!</definedName>
    <definedName name="BO361CD271CDE149DDACAFE0A75902BEA7" hidden="1">#REF!</definedName>
    <definedName name="BO36229FA1503B490B9C120D6B8009CFE6" hidden="1">#REF!</definedName>
    <definedName name="BO36400FF89C9A46C3BBF786F7A6F287FA" hidden="1">#REF!</definedName>
    <definedName name="BO36664B1477D445069A19156D22ACED78" hidden="1">#REF!</definedName>
    <definedName name="BO366D6676AFEE4484ABCE347F2E4F7AE4" hidden="1">#REF!</definedName>
    <definedName name="BO36850B0C5FF24A3B907803044F256C2A" hidden="1">#REF!</definedName>
    <definedName name="BO368F4AD371F04BB38CB57807C1D01438" hidden="1">#REF!</definedName>
    <definedName name="BO36B9487F3641418B8ACA31CB944BB8AC" hidden="1">#REF!</definedName>
    <definedName name="BO36C4508DEA7F40C0A94189CB472FEECD" hidden="1">#REF!</definedName>
    <definedName name="BO36CC36EEBD19426B8489215F05CAE479" hidden="1">#REF!</definedName>
    <definedName name="BO36F15484A3C04DFF9F3A02F2965E078A" hidden="1">#REF!</definedName>
    <definedName name="BO36F8F4F092E74C3FADA3603009439CA3" hidden="1">#REF!</definedName>
    <definedName name="BO36FCC1C5E1AF49029E2528DB50E43E11" hidden="1">#REF!</definedName>
    <definedName name="BO372580F35EB94DCB9B281AD98E2EDC25" hidden="1">#REF!</definedName>
    <definedName name="BO3728122716B1408E8B7F370B9BBFDADD" hidden="1">#REF!</definedName>
    <definedName name="BO372B76582FE64CDDB640E1C4CC66816E" hidden="1">#REF!</definedName>
    <definedName name="BO37340AA5A61D4C2BACAB348564C36793" hidden="1">#REF!</definedName>
    <definedName name="BO37357DFCCF2E4C95A13F5E9BDBE13910" hidden="1">#REF!</definedName>
    <definedName name="BO374DA8768B8840DD89E1BD17E3812962" hidden="1">#REF!</definedName>
    <definedName name="BO375D335D9054414FAE3AF4C765CD8FED" hidden="1">#REF!</definedName>
    <definedName name="BO376DE4D003544ECDA74174738FE1B747" hidden="1">#REF!</definedName>
    <definedName name="BO377B7DA4F59240ABAFF4CD152B5A32BD" hidden="1">#REF!</definedName>
    <definedName name="BO3792264F2CE543AEB8B229F81459D3B0" hidden="1">#REF!</definedName>
    <definedName name="BO37987DC4E7E64BA0A01C92162B351132" hidden="1">#REF!</definedName>
    <definedName name="BO37A8522087C146439B47E95567DA2B00" hidden="1">#REF!</definedName>
    <definedName name="BO37B380A5EF9E4B5785D42AEFE11DD44F" hidden="1">#REF!</definedName>
    <definedName name="BO37B5B0565C814B4A8335B6363188FD11" hidden="1">#REF!</definedName>
    <definedName name="BO37B7674CC9D940CE88895911F98A3658" hidden="1">#REF!</definedName>
    <definedName name="BO37DE2C87F23F492A883E07ACF3059AEC" hidden="1">#REF!</definedName>
    <definedName name="BO37E5C32029EF417DBAE749FA4EA393F1" hidden="1">#REF!</definedName>
    <definedName name="BO37E9B4F24D7044948C8E1450B6B2939F" hidden="1">#REF!</definedName>
    <definedName name="BO3805FF74986D4E4E954446E3B0CA6F78" hidden="1">#REF!</definedName>
    <definedName name="BO380BDFB5B2F341DE821942CE260EF734" hidden="1">#REF!</definedName>
    <definedName name="BO380C1362F5C049059095DD3D5CD093B6" hidden="1">#REF!</definedName>
    <definedName name="BO381BA5D3D1904961827A5C2547F80342" hidden="1">#REF!</definedName>
    <definedName name="BO382A1E6396504E4297DEF4C35772D619" hidden="1">#REF!</definedName>
    <definedName name="BO382AB72B5084486E8979DEAE18FAB05E" hidden="1">#REF!</definedName>
    <definedName name="BO3833AF0366A74FD49AF696A151BE080B" hidden="1">#REF!</definedName>
    <definedName name="BO38358F4EB3074DEA9456C0100889315C" hidden="1">#REF!</definedName>
    <definedName name="BO3845D84FBF0F408F8AD81ECA1975371A" hidden="1">#REF!</definedName>
    <definedName name="BO384B1C23A2F047BB88E36A83ACA8E726" hidden="1">#REF!</definedName>
    <definedName name="BO3858F02FBCD24FCDAD01F2C896446155" hidden="1">#REF!</definedName>
    <definedName name="BO3860910B7F314B8E93C1E2BDB2BC603C" hidden="1">#REF!</definedName>
    <definedName name="BO38880C9BAD5B4C55BB1BE90ADC595507" hidden="1">#REF!</definedName>
    <definedName name="BO38A41CF779E143F79CB56048E8EE831A" hidden="1">#REF!</definedName>
    <definedName name="BO38A9FA4A3B584052AB9E990F00374890" hidden="1">#REF!</definedName>
    <definedName name="BO38ACFF41E1054C7884A26494448FE045" hidden="1">#REF!</definedName>
    <definedName name="BO38AEB7FA35AE4703BA65534B072B7455" hidden="1">#REF!</definedName>
    <definedName name="BO38C6A5E04E454711AB215A544C43EF9A" hidden="1">#REF!</definedName>
    <definedName name="BO38C7A245BD944E6DAF71D4CC689E700E" hidden="1">#REF!</definedName>
    <definedName name="BO38C852A3BEFD4E049C63EBDB6D47D298" hidden="1">#REF!</definedName>
    <definedName name="BO38D898D4B14F4460A586C53095BA18F1" hidden="1">#REF!</definedName>
    <definedName name="BO38DB88D5EA76448681C9344402936062" hidden="1">#REF!</definedName>
    <definedName name="BO38E08F936A624D69BF859377C8C692BA" hidden="1">#REF!</definedName>
    <definedName name="BO38E2291784D446E59218071F4DBDB8E0" hidden="1">#REF!</definedName>
    <definedName name="BO38EA9067C1B14EAFA815E47B0EDFB2C0" hidden="1">#REF!</definedName>
    <definedName name="BO3905A32D80CC4E4ABF239EBD20D3FB27" hidden="1">#REF!</definedName>
    <definedName name="BO3909BFA3143A4B58B6B8CEB581E9528C" hidden="1">#REF!</definedName>
    <definedName name="BO391485D7A3744249AFEF297F87D28D9C" hidden="1">#REF!</definedName>
    <definedName name="BO39253DB67439440A8208AFD7A588CDDB" hidden="1">#REF!</definedName>
    <definedName name="BO392A098005984AFF8D735A33037308AD" hidden="1">#REF!</definedName>
    <definedName name="BO392F5AFEC2BE4937BD3679C489E57222" hidden="1">#REF!</definedName>
    <definedName name="BO3949FD8C43E84F93B3A81C3E9948A54A" hidden="1">#REF!</definedName>
    <definedName name="BO394F50F2B1F041FC8CEEF06DA709E3C0" hidden="1">#REF!</definedName>
    <definedName name="BO39756B922D9C432DBFA61969CBCA9537" hidden="1">#REF!</definedName>
    <definedName name="BO3985A4598A9D481AAE5ECB1A0809010B" hidden="1">#REF!</definedName>
    <definedName name="BO39885748B68841FCB380E071FCAACD45" hidden="1">#REF!</definedName>
    <definedName name="BO39988816C53E418DBF7E44AA1E4EA016" hidden="1">#REF!</definedName>
    <definedName name="BO399E5D7E445147B68FD2A13DF7A45368" hidden="1">#REF!</definedName>
    <definedName name="BO399E898D81B24AB29973E46703961D2A" hidden="1">#REF!</definedName>
    <definedName name="BO39A1D382DADD49169680C4D2158FB11D" hidden="1">#REF!</definedName>
    <definedName name="BO39A392411DC44588A12AD338FD5B7171" hidden="1">#REF!</definedName>
    <definedName name="BO39A42AF3D9DD42E98E5C5FFF35775A0D" hidden="1">#REF!</definedName>
    <definedName name="BO39B50DA3D1EA4BEDBB225AD6845FE6FF" hidden="1">#REF!</definedName>
    <definedName name="BO39B7451E2AAF47BE960AD17DF0F782DE" hidden="1">#REF!</definedName>
    <definedName name="BO39C193184E7C4F8F84819185AAE66C7B" hidden="1">#REF!</definedName>
    <definedName name="BO39CB891DF0E94491AB4A94D8C58BB0A1" hidden="1">#REF!</definedName>
    <definedName name="BO39D7F0EB4B3148E7B7BE8DAB5CFD140F" hidden="1">#REF!</definedName>
    <definedName name="BO39E93846D34F4481997BAB1C14AA417D" hidden="1">#REF!</definedName>
    <definedName name="BO39ECCBD90BAE46D5897252E4AD51E92A" hidden="1">#REF!</definedName>
    <definedName name="BO39F1C0CF94004E2AAC6539D1393D3197" hidden="1">#REF!</definedName>
    <definedName name="BO39F8056FEEF141EAAC3CB8637657E823" hidden="1">#REF!</definedName>
    <definedName name="BO3A082BF9E2544F1B8E70C6A31AC774D0" hidden="1">#REF!</definedName>
    <definedName name="BO3A0BA0E91DAE4579BBD495FE36F95B7E" hidden="1">#REF!</definedName>
    <definedName name="BO3A231BD9A23C4FDCBF6F696E1A5ECAD0" hidden="1">#REF!</definedName>
    <definedName name="BO3A302AAAA99A45A4B52693FD8F28331A" hidden="1">#REF!</definedName>
    <definedName name="BO3A309A78D58A4D8DA0112124B97664D2" hidden="1">#REF!</definedName>
    <definedName name="BO3A3BDD3BEC6C4C3997F49262585037D2" hidden="1">#REF!</definedName>
    <definedName name="BO3A498BF898CC42EB8475ADF78D5F459D" hidden="1">#REF!</definedName>
    <definedName name="BO3A6A9E2B4DE641478A77ABFA2941AA4C" hidden="1">#REF!</definedName>
    <definedName name="BO3A7BEE7E3EFD480AA772048E5372CDAB" hidden="1">#REF!</definedName>
    <definedName name="BO3A8D374CA8A6407D9DDE8967BC719965" hidden="1">#REF!</definedName>
    <definedName name="BO3A9B34DFE8A742B487EF3D486DAB6796" hidden="1">#REF!</definedName>
    <definedName name="BO3ABD65BAE2F140A4A16C912B5EE21F8F" hidden="1">#REF!</definedName>
    <definedName name="BO3AC2A9FDD45D446BBDC4DA26B0A39772" hidden="1">#REF!</definedName>
    <definedName name="BO3ACB7C4849DE463297CDF3DAC73C5285" hidden="1">#REF!</definedName>
    <definedName name="BO3ADDEB4313F740D0B5D5C9F254C3976C" hidden="1">#REF!</definedName>
    <definedName name="BO3AE0DE712186448FAFA5C4A7BF05A200" hidden="1">#REF!</definedName>
    <definedName name="BO3AE41EA4A3164A209AB34C8C50631526" hidden="1">#REF!</definedName>
    <definedName name="BO3B02E8F8E6B94C10B3E37C67BA50F8F7" hidden="1">#REF!</definedName>
    <definedName name="BO3B1B3DA9259A455C9ACEBCBBE041D12D" hidden="1">#REF!</definedName>
    <definedName name="BO3B2CDB5333A74563A69EF8EE0FB8BAEA" hidden="1">#REF!</definedName>
    <definedName name="BO3B303A9A732542CEB07F8235F68B611B" hidden="1">#REF!</definedName>
    <definedName name="BO3B46AD7B22E9452EA7B74971395C2D28" hidden="1">#REF!</definedName>
    <definedName name="BO3B4B4359ACB74AA28F48054B266015F7" hidden="1">#REF!</definedName>
    <definedName name="BO3B6144B377CE45D39F7399D88759882F" hidden="1">#REF!</definedName>
    <definedName name="BO3B69F70D80D24E68B90597EA312D2252" hidden="1">#REF!</definedName>
    <definedName name="BO3B704C8087B542E29B354FC73C2EB35C" hidden="1">#REF!</definedName>
    <definedName name="BO3B8EDFAE9CEF4668895EF6B04607C798" hidden="1">#REF!</definedName>
    <definedName name="BO3BB1FCE0D8D34D60B9C97911F55F888B" hidden="1">#REF!</definedName>
    <definedName name="BO3BB47AFD6C3C4971AFD5084619AE3BC2" hidden="1">#REF!</definedName>
    <definedName name="BO3BBB82BB706843BC90A32933333AC14B" hidden="1">#REF!</definedName>
    <definedName name="BO3BDEAE21F10241608264370D63F42C81" hidden="1">#REF!</definedName>
    <definedName name="BO3BFFC976FA9B48C4A3837B2DF792D717" hidden="1">#REF!</definedName>
    <definedName name="BO3C009D6162E945079F62871652230BC5" hidden="1">#REF!</definedName>
    <definedName name="BO3C06EB17E87B4F95AA9705D0810CA23A" hidden="1">#REF!</definedName>
    <definedName name="BO3C2040FAEA0E4F0F9AE59BA082DF29C0" hidden="1">#REF!</definedName>
    <definedName name="BO3C20AA00B8524A36A69E57CC252BA225" hidden="1">#REF!</definedName>
    <definedName name="BO3C2452A4E0E9497692527DA970710D00" hidden="1">#REF!</definedName>
    <definedName name="BO3C27A8CCF46440DFA286B770A5F55B3C" hidden="1">#REF!</definedName>
    <definedName name="BO3C419CB004854AE2935F1E064428A32F" hidden="1">#REF!</definedName>
    <definedName name="BO3C422DC098C34CF1AA80F4C76DA45CFD" hidden="1">#REF!</definedName>
    <definedName name="BO3C690EE4FC0A4846BF2BD994CD0FEA6B" hidden="1">#REF!</definedName>
    <definedName name="BO3C82848169FA4D11A8672F7A9FE72C51" hidden="1">#REF!</definedName>
    <definedName name="BO3C98730A70FB4EF395F688F4CD7413F7" hidden="1">#REF!</definedName>
    <definedName name="BO3C99E538887C4467A365E8624D9B808D" hidden="1">#REF!</definedName>
    <definedName name="BO3CB504CE67F84322A30047C7F65DA37A" hidden="1">#REF!</definedName>
    <definedName name="BO3CCC9B2BC38C4D488D8B1493A73B781B" hidden="1">#REF!</definedName>
    <definedName name="BO3CF460B8A5E946E8BDFBA44D273CAC49" hidden="1">#REF!</definedName>
    <definedName name="BO3D04697C553443CE81E5698A9A11D376" hidden="1">#REF!</definedName>
    <definedName name="BO3D1106863D374B788E66E383A493EFFD" hidden="1">#REF!</definedName>
    <definedName name="BO3D1A10996843471B9599D1F9A98B8BE9" hidden="1">#REF!</definedName>
    <definedName name="BO3D2A93D0CEE640F2A7237D66055200CB" hidden="1">#REF!</definedName>
    <definedName name="BO3D2F486FFEA84E548438ED9ED135ADB5" hidden="1">#REF!</definedName>
    <definedName name="BO3D344CA86F824CC58E2074DCE334FF25" hidden="1">#REF!</definedName>
    <definedName name="BO3D4564B23F3B4C9895009145888A42D0" hidden="1">#REF!</definedName>
    <definedName name="BO3D49C3ACBF084CF2854C8BDB4F4D4739" hidden="1">#REF!</definedName>
    <definedName name="BO3D4DADB8C3B3486BB54ED2DD9C4828A9" hidden="1">#REF!</definedName>
    <definedName name="BO3D58F6B200714A04B8FB8517E9A5ABBD" hidden="1">#REF!</definedName>
    <definedName name="BO3D5A94F872944439AEFDA585DD8D96C0" hidden="1">#REF!</definedName>
    <definedName name="BO3D63A776BB8B413697ACFD0792A79F25" hidden="1">#REF!</definedName>
    <definedName name="BO3D8149A4C7DD46C098821ABD82FCCBFC" hidden="1">#REF!</definedName>
    <definedName name="BO3DC117E13B3C42B9907D611763187DDF" hidden="1">#REF!</definedName>
    <definedName name="BO3DD455DA9C3F4985830B274EB82D6985" hidden="1">#REF!</definedName>
    <definedName name="BO3DD8925F4ED1403BA08078768C0A4C45" hidden="1">#REF!</definedName>
    <definedName name="BO3DF299FE9B5B44C7963D1B09FF3DB4A1" hidden="1">#REF!</definedName>
    <definedName name="BO3DFD3150EBD24A179876FCA23FC32956" hidden="1">#REF!</definedName>
    <definedName name="BO3DFEB735DF724D6A8195AAA7B2170B35" hidden="1">#REF!</definedName>
    <definedName name="BO3E07E937F13046F48C23FB837C43BEC3" hidden="1">#REF!</definedName>
    <definedName name="BO3E0B648F64D242B6B9E0CABA98A66A26" hidden="1">#REF!</definedName>
    <definedName name="BO3E2ABB9A8F2D4DB7A7A51D906D984800" hidden="1">#REF!</definedName>
    <definedName name="BO3E3B69E4A48549E397F924DAB3FD5677" hidden="1">#REF!</definedName>
    <definedName name="BO3E44B34E81934F858FED8ABE3415A299" hidden="1">#REF!</definedName>
    <definedName name="BO3E459BCD5325438A8CB8D2C92AFA1CCA" hidden="1">#REF!</definedName>
    <definedName name="BO3E4674A939C24DFAA1C88B525C373305" hidden="1">#REF!</definedName>
    <definedName name="BO3E47F0D838F3454DA566A603391E2CA9" hidden="1">#REF!</definedName>
    <definedName name="BO3E58EA1F6C6B4B1EA49307682BA84A0D" hidden="1">#REF!</definedName>
    <definedName name="BO3E7FBEBF3E3B4877BA4A6DFA9A116BD1" hidden="1">#REF!</definedName>
    <definedName name="BO3EA4D71C982148B2BA47407118E2D06A" hidden="1">#REF!</definedName>
    <definedName name="BO3EB98F7D879348158884714BB62D2C9B" hidden="1">#REF!</definedName>
    <definedName name="BO3EDDDE35F2BC4BF9A8EAD3D01D0AFA69" hidden="1">#REF!</definedName>
    <definedName name="BO3EEDD1275B594EE6931BB2B423647F40" hidden="1">#REF!</definedName>
    <definedName name="BO3F00F2E605A84C248AEFDEF964BF8003" hidden="1">#REF!</definedName>
    <definedName name="BO3F0398545889487D954D70C6205F57CF" hidden="1">#REF!</definedName>
    <definedName name="BO3F1562F088B64257BDECA4996A9FB66B" hidden="1">#REF!</definedName>
    <definedName name="BO3F3294E57B9647968D10CFA39A0D80ED" hidden="1">#REF!</definedName>
    <definedName name="BO3F4B598DFBCE4609B65057CE90121278" hidden="1">#REF!</definedName>
    <definedName name="BO3F698B30FA064BED80373131F8DA772C" hidden="1">#REF!</definedName>
    <definedName name="BO3F8A8F5552A148359E8D094469D72F7B" hidden="1">#REF!</definedName>
    <definedName name="BO3F9E4F72F7344C8797FE289DFD0BB660" hidden="1">#REF!</definedName>
    <definedName name="BO3FA34D64D5DD4492A3C440A2EB0A2226" hidden="1">#REF!</definedName>
    <definedName name="BO3FA6B2DD0EBE48EBAE25B1625634C636" hidden="1">#REF!</definedName>
    <definedName name="BO3FA804A2DEEC44DF99E6D77CD74316FA" hidden="1">#REF!</definedName>
    <definedName name="BO3FE2E13F4E574FA6AD7AABFC17EF909A" hidden="1">#REF!</definedName>
    <definedName name="BO3FE97BDF42F4430989912E426BBA6502" hidden="1">#REF!</definedName>
    <definedName name="BO3FF06A3D405D4AFEBD23C74161F7F412" hidden="1">#REF!</definedName>
    <definedName name="BO3FFE516B40344851A14862AFC49D6E66" hidden="1">#REF!</definedName>
    <definedName name="BO401E6D3F698C4F018BDA573568ADC4E6" hidden="1">#REF!</definedName>
    <definedName name="BO40245ECD8B79440BBC14C8DF1C0BF8B2" hidden="1">#REF!</definedName>
    <definedName name="BO403079319B0C43EEB6940DB9EBC384AB" hidden="1">#REF!</definedName>
    <definedName name="BO40355E13A4AF4311A062DC0DC188997A" hidden="1">#REF!</definedName>
    <definedName name="BO4057EC314CEC47798B0627DC202DE337" hidden="1">#REF!</definedName>
    <definedName name="BO406956B8DA1449F7A85FCAF9D714DC11" hidden="1">#REF!</definedName>
    <definedName name="BO406B5E0DD44D489B88870815BE1210AE" hidden="1">#REF!</definedName>
    <definedName name="BO40A83F555A3A46FC8D7622D2461C15B6" hidden="1">#REF!</definedName>
    <definedName name="BO40B0DAC65A66497B994FCA747A9D2A39" hidden="1">#REF!</definedName>
    <definedName name="BO40C86DE5C5854E9FA416FC598691D107" hidden="1">#REF!</definedName>
    <definedName name="BO40DBB652AFEC435CBECB93AC0C44ADAB" hidden="1">#REF!</definedName>
    <definedName name="BO40E48E25225B4A02828BB2163C89438D" hidden="1">#REF!</definedName>
    <definedName name="BO410312A8086944CA8381547B55028E0E" hidden="1">#REF!</definedName>
    <definedName name="BO41031EE5E6A248E8BA41187F37ABEDC4" hidden="1">#REF!</definedName>
    <definedName name="BO411C13859B9846DD940DC0A353B24BE7" hidden="1">#REF!</definedName>
    <definedName name="BO41243F0247BF4C158DDAA73055D584C2" hidden="1">#REF!</definedName>
    <definedName name="BO41260E467C6A4B66B7BFDF929CD17EED" hidden="1">#REF!</definedName>
    <definedName name="BO4135D03543BD40A08EB3B933328A7109" hidden="1">#REF!</definedName>
    <definedName name="BO415E58E2EDC64710A19A5560EF454110" hidden="1">#REF!</definedName>
    <definedName name="BO41616448539148F68A11325B0B832164" hidden="1">#REF!</definedName>
    <definedName name="BO41676043571047D0A758DC87F4D8C2A4" hidden="1">#REF!</definedName>
    <definedName name="BO4169C83E21A04810A6025B377B6CE576" hidden="1">#REF!</definedName>
    <definedName name="BO41736F10648940F7980E8A794564F6D4" hidden="1">#REF!</definedName>
    <definedName name="BO417ED596DE2C416FBDA6BD1547497DF5" hidden="1">#REF!</definedName>
    <definedName name="BO418270B3A37648588D932CCCDECD1D57" hidden="1">#REF!</definedName>
    <definedName name="BO41BB107A914849ABAE3078D2C7A0D711" hidden="1">#REF!</definedName>
    <definedName name="BO41C9F9AFBDC248DF84A970BBB0C13F07" hidden="1">#REF!</definedName>
    <definedName name="BO41D812429BE0472984006118F1FD8940" hidden="1">#REF!</definedName>
    <definedName name="BO41DD20B575EE48A98BE33181A6371F62" hidden="1">#REF!</definedName>
    <definedName name="BO41FF1036DC0E4DA69C38C814641389B3" hidden="1">#REF!</definedName>
    <definedName name="BO41FF61B766784424AEC7FF81791873A4" hidden="1">#REF!</definedName>
    <definedName name="BO420EE246BD9A4484A3CEE9E910F48F96" hidden="1">#REF!</definedName>
    <definedName name="BO4217883C6C8A412D9F87DEAB2DD56119" hidden="1">#REF!</definedName>
    <definedName name="BO421FECEE45954080B884507B26A35D8B" hidden="1">#REF!</definedName>
    <definedName name="BO4221A85BBAE74BFE98901247F57B8632" hidden="1">#REF!</definedName>
    <definedName name="BO42410C79967D49DA9246424E9F8E187C" hidden="1">#REF!</definedName>
    <definedName name="BO4273FC1195AE428CB0D860732542EB6B" hidden="1">#REF!</definedName>
    <definedName name="BO429FEAEDBFA547BF85025B1F1844D466" hidden="1">#REF!</definedName>
    <definedName name="BO42A0B3431CAC44BA97E83B69B05F5E78" hidden="1">#REF!</definedName>
    <definedName name="BO42A5BD996C7D408782243AC130FD2D1D" hidden="1">#REF!</definedName>
    <definedName name="BO42AB2BC2CCE848C8AC443E2B750DB14A" hidden="1">#REF!</definedName>
    <definedName name="BO42C24C62919C4F06911501D27330F51B" hidden="1">#REF!</definedName>
    <definedName name="BO42C7102A3C9549A7A1E004531E8189D3" hidden="1">#REF!</definedName>
    <definedName name="BO42D81867CEB44392820AB3E06D5C5875" hidden="1">#REF!</definedName>
    <definedName name="BO42DB59B560DD480797F4E5A255CE0336" hidden="1">#REF!</definedName>
    <definedName name="BO42DE0767E9894AD0ADEB4EE728EC3A14" hidden="1">#REF!</definedName>
    <definedName name="BO42E106C3D4A4413983C2F6ABB79F5A3C" hidden="1">#REF!</definedName>
    <definedName name="BO42F344B5F6214CA8BB1AE642166F8254" hidden="1">#REF!</definedName>
    <definedName name="BO431F7CF865994F508B75F0C14E72E755" hidden="1">#REF!</definedName>
    <definedName name="BO4320DAEC9A57472595ADE0FCF8777C35" hidden="1">#REF!</definedName>
    <definedName name="BO4325C4CE5A6A40EDB239CE3FEA93D616" hidden="1">#REF!</definedName>
    <definedName name="BO433499B555AB4935A23F3FB59353D2EE" hidden="1">#REF!</definedName>
    <definedName name="BO4335FDB3189549F5BF6D0B206D64D24B" hidden="1">#REF!</definedName>
    <definedName name="BO434317F8DA9741658242E88E107EFF2F" hidden="1">#REF!</definedName>
    <definedName name="BO435DD626F933429CBF3601013675993A" hidden="1">#REF!</definedName>
    <definedName name="BO43641DD769414698AF63B91F89C2CE66" hidden="1">#REF!</definedName>
    <definedName name="BO437340D478E246C384AB3FC8B836891C" hidden="1">#REF!</definedName>
    <definedName name="BO437B6247218446FC90C69DA42EF2740F" hidden="1">#REF!</definedName>
    <definedName name="BO43B5E94059604478947C29F18B21D8D7" hidden="1">#REF!</definedName>
    <definedName name="BO43BB16D693FD4B14A412C62D211E4945" hidden="1">#REF!</definedName>
    <definedName name="BO43C6ED75220C443CB4A3CB0484EC60D0" hidden="1">#REF!</definedName>
    <definedName name="BO43DD2C399C0A4D70AB69F950604099C5" hidden="1">#REF!</definedName>
    <definedName name="BO43EB85519579432D96861AA14F27E482" hidden="1">#REF!</definedName>
    <definedName name="BO43FF37EA3FEC470BAD34B6B7B9FF9C29" hidden="1">#REF!</definedName>
    <definedName name="BO4405FE650B77473191B594E32962A972" hidden="1">#REF!</definedName>
    <definedName name="BO440EEAD675174955BD846EE77A000DA5" hidden="1">#REF!</definedName>
    <definedName name="BO442358FA8333417E864723C79749E79D" hidden="1">#REF!</definedName>
    <definedName name="BO442BBCA5D45646AD90365043AA617937" hidden="1">#REF!</definedName>
    <definedName name="BO44305DEC1291483A9BF50984E7D8088F" hidden="1">#REF!</definedName>
    <definedName name="BO4448F3777E804A28B9FE5DE6398EF8E9" hidden="1">#REF!</definedName>
    <definedName name="BO44650C66E1F2450F8F6D26CFA87EFD2F" hidden="1">#REF!</definedName>
    <definedName name="BO447862D0784D4CB6A29406F28A1DF6DF" hidden="1">#REF!</definedName>
    <definedName name="BO44794421BDF649C2A479F6EC511746E4" hidden="1">#REF!</definedName>
    <definedName name="BO4483061E9B2A4171B99EC0E776EDF54F" hidden="1">#REF!</definedName>
    <definedName name="BO44856DBA988C4E0E879D3156A5E9A508" hidden="1">#REF!</definedName>
    <definedName name="BO448A7EE0DCBB4BDF9A056D395A4E5D46" hidden="1">#REF!</definedName>
    <definedName name="BO44966D833E7B447CB1EEF7669223CAB0" hidden="1">#REF!</definedName>
    <definedName name="BO44AE8484FFA742C4B46C37615EE6FD7A" hidden="1">#REF!</definedName>
    <definedName name="BO44C317D2FCB94123ACD72C772F41D43B" hidden="1">#REF!</definedName>
    <definedName name="BO44C5C84E7EC247B397DE1BAB4E58E2D5" hidden="1">#REF!</definedName>
    <definedName name="BO44CD97FFE3F348C4964C90E9ACD6D609" hidden="1">#REF!</definedName>
    <definedName name="BO44D1CF2949C64A60A739B2A441AD051B" hidden="1">#REF!</definedName>
    <definedName name="BO44D4229713E3428698EACDF7F9B51DFC" hidden="1">#REF!</definedName>
    <definedName name="BO44DA8E66CD4940489F111E91BC74453C" hidden="1">#REF!</definedName>
    <definedName name="BO450BF2E58EA947E1859F4E314D70B8FD" hidden="1">#REF!</definedName>
    <definedName name="BO4517FCA32061410786FEDB1D7C97D930" hidden="1">#REF!</definedName>
    <definedName name="BO453E695211A44670A7D5BD823FFE8B9F" hidden="1">#REF!</definedName>
    <definedName name="BO454B0919734547149C52E9C479EA789E" hidden="1">#REF!</definedName>
    <definedName name="BO454BFF91FD534BF88883176101908687" hidden="1">#REF!</definedName>
    <definedName name="BO454FCE682D15476BA296B3D94BCB2BFB" hidden="1">#REF!</definedName>
    <definedName name="BO4559A96E8A974B1DAC918F8F2EB94EF9" hidden="1">#REF!</definedName>
    <definedName name="BO45804B962C68497694DCF5D3FE1DA2A4" hidden="1">#REF!</definedName>
    <definedName name="BO45878D15BC764FF3AB65C7517F4B4468" hidden="1">#REF!</definedName>
    <definedName name="BO4589A3998667433AB12346FFCE80C594" hidden="1">#REF!</definedName>
    <definedName name="BO45904099936743BABF24BA42E132C38D" hidden="1">#REF!</definedName>
    <definedName name="BO45928791D89146CFA303388DFBD1C736" hidden="1">#REF!</definedName>
    <definedName name="BO45B21A31A07443E493B4B0CE970B67BE" hidden="1">#REF!</definedName>
    <definedName name="BO45D0085A87D04401B4F9F611A1910640" hidden="1">#REF!</definedName>
    <definedName name="BO45F6FE83A2134871849A67ECDF7C40C3" hidden="1">#REF!</definedName>
    <definedName name="BO461ADB48F2164CC09A68460175FC630C" hidden="1">#REF!</definedName>
    <definedName name="BO463661CF73734FB0A40B7FB6F9FB14E9" hidden="1">#REF!</definedName>
    <definedName name="BO4640BA9D61FA4EFF91C323AFF3CDD0AF" hidden="1">#REF!</definedName>
    <definedName name="BO4654F35AE4A94B88914D5564F493E506" hidden="1">#REF!</definedName>
    <definedName name="BO469232BE89F143549B8E870E500AC925" hidden="1">#REF!</definedName>
    <definedName name="BO46CE713E74794E9F8F0DAAA6B64AA6A0" hidden="1">#REF!</definedName>
    <definedName name="BO46DBEA407B254EC3A7F2F74C140332A7" hidden="1">#REF!</definedName>
    <definedName name="BO46E4971BDD314D19AFF57EF1186E0498" hidden="1">#REF!</definedName>
    <definedName name="BO46EA610EBFC643F5B313EF854D068321" hidden="1">#REF!</definedName>
    <definedName name="BO470BEB276B644DD69D23B9E0261E2A43" hidden="1">#REF!</definedName>
    <definedName name="BO4711256397AA4016B645A39EED010AEC" hidden="1">#REF!</definedName>
    <definedName name="BO472FDF9D1E3B4E9991920C454290CCB8" hidden="1">#REF!</definedName>
    <definedName name="BO47305FE1425C42EE8297FD2C4DE5D7DC" hidden="1">#REF!</definedName>
    <definedName name="BO474B274A10974507BC20B22971C89927" hidden="1">#REF!</definedName>
    <definedName name="BO47503073D5464DFA9E49AAF712123CB8" hidden="1">#REF!</definedName>
    <definedName name="BO4765F1B9752F4104B13E2D2D8439107F" hidden="1">#REF!</definedName>
    <definedName name="BO47738B1418294B9889FC0348BEC8078D" hidden="1">#REF!</definedName>
    <definedName name="BO477AF323BBAF4D949363F8CF4B007300" hidden="1">#REF!</definedName>
    <definedName name="BO4792AAFA02C24ED6AA0BB01C79C4D53D" hidden="1">#REF!</definedName>
    <definedName name="BO47B81A3C714044DBAE4F550DA61320B4" hidden="1">#REF!</definedName>
    <definedName name="BO47CB1926C4224D5191C8B45468721815" hidden="1">#REF!</definedName>
    <definedName name="BO47CF2416E1E4433CB14DF1CD9BB47325" hidden="1">#REF!</definedName>
    <definedName name="BO47D208B24F444CEC9765F7A1992B8C86" hidden="1">#REF!</definedName>
    <definedName name="BO47F43F7C60F64E7C8F5511C18A7D9150" hidden="1">#REF!</definedName>
    <definedName name="BO47FE1908C88F4900971BC7AD61476814" hidden="1">#REF!</definedName>
    <definedName name="BO4804DD0A23C449CB93E1E1206BC6D76E" hidden="1">#REF!</definedName>
    <definedName name="BO4811BB6D363246B4B8C029A31B50EC37" hidden="1">#REF!</definedName>
    <definedName name="BO48158C876A054053A8BF1B1066B5769F" hidden="1">#REF!</definedName>
    <definedName name="BO481EEF2746434CA3955011739E810936" hidden="1">#REF!</definedName>
    <definedName name="BO4831E7C9F1E24C75885AEE45966CF51F" hidden="1">#REF!</definedName>
    <definedName name="BO4848436D292F4BCEA9EC60F4FC29E337" hidden="1">#REF!</definedName>
    <definedName name="BO484DA2D43C574948877D69CEA2096392" hidden="1">#REF!</definedName>
    <definedName name="BO4854E1474B1D46A19A781B3BFD329D0A" hidden="1">#REF!</definedName>
    <definedName name="BO48625DD0CD294A78BC0FD2353D172185" hidden="1">#REF!</definedName>
    <definedName name="BO4864DAE644064F4C863015857F2EB9B0" hidden="1">#REF!</definedName>
    <definedName name="BO4874FCDB87824222B8F51298606DB3AA" hidden="1">#REF!</definedName>
    <definedName name="BO487D47B103CC4E238C8EFE10B92F2135" hidden="1">#REF!</definedName>
    <definedName name="BO48835453620245AEB7B610E2C50EAB3D" hidden="1">#REF!</definedName>
    <definedName name="BO4887C41B3A3D4467937C836F4CF3AEDD" hidden="1">#REF!</definedName>
    <definedName name="BO488FBC168F184AF8846C0D796230044B" hidden="1">#REF!</definedName>
    <definedName name="BO48B69C9C3A4A4DA2AFD812AE32ED98F2" hidden="1">#REF!</definedName>
    <definedName name="BO48BFEE7784694DD1BD00F205B77FB95D" hidden="1">#REF!</definedName>
    <definedName name="BO48D151814232468CBC2887DCAC36C30D" hidden="1">#REF!</definedName>
    <definedName name="BO48D7E34863BE4993AB520DB7520B5A44" hidden="1">#REF!</definedName>
    <definedName name="BO48EBA3B837A6434EA0A818AEF37DBEF6" hidden="1">#REF!</definedName>
    <definedName name="BO48EE5418E8DD4622BB78F4DF1C2A142A" hidden="1">#REF!</definedName>
    <definedName name="BO4916C9E82339496E9E8B2313A3C7B604" hidden="1">#REF!</definedName>
    <definedName name="BO4917F57A689A4DAB833B3984737BB84B" hidden="1">#REF!</definedName>
    <definedName name="BO491DF1B87A35419FB7FA4840BFC287E4" hidden="1">#REF!</definedName>
    <definedName name="BO492FF71352564A0B906D969350494321" hidden="1">#REF!</definedName>
    <definedName name="BO49562CCAA6134CE4BD6EA3F56225B806" hidden="1">#REF!</definedName>
    <definedName name="BO495F8EDE280E496EA6BFC9579129817E" hidden="1">#REF!</definedName>
    <definedName name="BO496A271603F746FD8768E3BE7C35AC8B" hidden="1">#REF!</definedName>
    <definedName name="BO4989BD6C49D9472F9577212E5508BA42" hidden="1">#REF!</definedName>
    <definedName name="BO49A6D95CCEA64D59993EA0E2F6D1B481" hidden="1">#REF!</definedName>
    <definedName name="BO49BE17222F1C4BB58D35D46E4E2F888A" hidden="1">#REF!</definedName>
    <definedName name="BO49BE7643709D4E51B4CE6E9827246CC0" hidden="1">#REF!</definedName>
    <definedName name="BO49C03189CFB64DD2ABF19BD409F593CB" hidden="1">#REF!</definedName>
    <definedName name="BO49DCD65C43EB4DFCA8847B0CC8D9697F" hidden="1">#REF!</definedName>
    <definedName name="BO4A28F013D07F4826B45917F0DAC8318B" hidden="1">#REF!</definedName>
    <definedName name="BO4A305139E4E54B8A90896F56C75B8915" hidden="1">#REF!</definedName>
    <definedName name="BO4A3DBBE544E8425CA26337B568D90565" hidden="1">#REF!</definedName>
    <definedName name="BO4A3EA82712D4443FBE70BEF91D9E21B5" hidden="1">#REF!</definedName>
    <definedName name="BO4A47E059A2E64E29805369062AC0FA3B" hidden="1">#REF!</definedName>
    <definedName name="BO4A648412D7AD41F39C281FF6AACFFB1C" hidden="1">#REF!</definedName>
    <definedName name="BO4A6CA9DE3CAC47E5838DF623704141E8" hidden="1">#REF!</definedName>
    <definedName name="BO4A70980CD8584D6A87A415B79DB75135" hidden="1">#REF!</definedName>
    <definedName name="BO4A7EDF1F721E44818AAF14D4EE421965" hidden="1">#REF!</definedName>
    <definedName name="BO4A7F68E8A67444FEAA4814D4E59CF9B5" hidden="1">#REF!</definedName>
    <definedName name="BO4A97231BDEE843AD9E673C72C89CD017" hidden="1">#REF!</definedName>
    <definedName name="BO4AAE3B29CE214B3288C1C3E46EDEE779" hidden="1">#REF!</definedName>
    <definedName name="BO4AAF3ED43D1F4BA0A617F05B5FA98022" hidden="1">#REF!</definedName>
    <definedName name="BO4ABD4D97307B4665ADA92858FAEF49D4" hidden="1">#REF!</definedName>
    <definedName name="BO4AD6EA5278B146B49BB6298E4865E4B4" hidden="1">#REF!</definedName>
    <definedName name="BO4B55FBE7704D4E8ABFBBA6B9FCFCCE0B" hidden="1">#REF!</definedName>
    <definedName name="BO4B600A1E72F94C77B9817B555BEAFCFC" hidden="1">#REF!</definedName>
    <definedName name="BO4B85FA2CA3EB4164B387DE75A013145C" hidden="1">#REF!</definedName>
    <definedName name="BO4B9082ADEF134F52A343B2776FB647AC" hidden="1">#REF!</definedName>
    <definedName name="BO4B9541F852604A37ABEF98A3DF88713F" hidden="1">#REF!</definedName>
    <definedName name="BO4B9820C141B1499BB7BD6CD1C5A977AA" hidden="1">#REF!</definedName>
    <definedName name="BO4BB9A2BC1129469286DE1F8ABA253435" hidden="1">#REF!</definedName>
    <definedName name="BO4BBF67B692A048F4AD993CFF0F18B8CF" hidden="1">#REF!</definedName>
    <definedName name="BO4BC8086F4AEF4C3C9334AF9706BACA0B" hidden="1">#REF!</definedName>
    <definedName name="BO4BD17015B7194A9D87BC14DAC5F8D21B" hidden="1">#REF!</definedName>
    <definedName name="BO4BD38689778A48EBBEEC8F6135335B1E" hidden="1">#REF!</definedName>
    <definedName name="BO4BE4F8B0149843BEA0DE682311914928" hidden="1">#REF!</definedName>
    <definedName name="BO4BFE0CC99A3944368A42CB17D02A49DD" hidden="1">#REF!</definedName>
    <definedName name="BO4C0243B70A9541D291A1FBB0DE639578" hidden="1">#REF!</definedName>
    <definedName name="BO4C18F56268464DE2B1FD9FFC8DC75C4A" hidden="1">#REF!</definedName>
    <definedName name="BO4C1CD1D203F04562A4E31D080D642AB1" hidden="1">#REF!</definedName>
    <definedName name="BO4C270054B24B409CBCB5EFD94CEFD51A" hidden="1">#REF!</definedName>
    <definedName name="BO4C2931E343344998B228A10FB6A6255F" hidden="1">#REF!</definedName>
    <definedName name="BO4C322C3F08A04888A840CDEC0E0EEECC" hidden="1">#REF!</definedName>
    <definedName name="BO4C3F2B01E1944D59BEB55C5175EBAEA9" hidden="1">#REF!</definedName>
    <definedName name="BO4C43050B90E04C87B55DD5F46779E3E5" hidden="1">#REF!</definedName>
    <definedName name="BO4C49BA149189441D82286AD70F0DBFBA" hidden="1">#REF!</definedName>
    <definedName name="BO4C59317BCB434D4AAB8264AC52E949F2" hidden="1">#REF!</definedName>
    <definedName name="BO4C748FEDC50D4D05BF6C3AE45DF27C96" hidden="1">#REF!</definedName>
    <definedName name="BO4C74A53862CA458B84FB13899C4C27A0" hidden="1">#REF!</definedName>
    <definedName name="BO4C764C5A90244445872E36779DE6C2AB" hidden="1">#REF!</definedName>
    <definedName name="BO4C7FCC50D77946A2BCAB6BEAEF47F94E" hidden="1">#REF!</definedName>
    <definedName name="BO4C83A188953648E1A45C60CAD52D495C" hidden="1">#REF!</definedName>
    <definedName name="BO4CA027B4B11C4E88BEA7D5AB0FBFE55C" hidden="1">#REF!</definedName>
    <definedName name="BO4CABAE3124EC4EA3BBD9ACA318D3884A" hidden="1">#REF!</definedName>
    <definedName name="BO4CBA748CA1904ABEAC4916C51F3632CD" hidden="1">#REF!</definedName>
    <definedName name="BO4CC413BA91B24160B10C346B184D4378" hidden="1">#REF!</definedName>
    <definedName name="BO4CD39991FB7D4B3EA474B7C8CAB5921A" hidden="1">#REF!</definedName>
    <definedName name="BO4CD80EE9E82D4A789B5EA3447CD850B6" hidden="1">#REF!</definedName>
    <definedName name="BO4CF4185D197F40448CE36FEDF9D760A5" hidden="1">#REF!</definedName>
    <definedName name="BO4CF7712420B0467CA6C396B58471C17C" hidden="1">#REF!</definedName>
    <definedName name="BO4CFE4749AA3E4E43BC1AC4E546D31AFE" hidden="1">#REF!</definedName>
    <definedName name="BO4D111DFC879A4267A8F215A9F3EE7545" hidden="1">#REF!</definedName>
    <definedName name="BO4D176891D0D447959B2CE9E30A490257" hidden="1">#REF!</definedName>
    <definedName name="BO4D217C14FE744B10921607668507E5E5" hidden="1">#REF!</definedName>
    <definedName name="BO4D312C5249F84A419336714CC3247A5D" hidden="1">#REF!</definedName>
    <definedName name="BO4D3DB98A61DE49538E9508F8DA930509" hidden="1">#REF!</definedName>
    <definedName name="BO4D4B68E0EB674E5A8741358C839FECA5" hidden="1">#REF!</definedName>
    <definedName name="BO4D4DDFF07BD043B78E96FC9DF7827C31" hidden="1">#REF!</definedName>
    <definedName name="BO4D5CBBC8C3334B4889FEFA7DB9C0B2B3" hidden="1">#REF!</definedName>
    <definedName name="BO4D622B63467C42F99F1CF3912C0F4402" hidden="1">#REF!</definedName>
    <definedName name="BO4D7EF8973A5442E4BB251E072767DEA7" hidden="1">#REF!</definedName>
    <definedName name="BO4D80DEACB63F40C8B074073E6B1CCF17" hidden="1">#REF!</definedName>
    <definedName name="BO4D95CA0E2A4B43CA8A504EE9704A811B" hidden="1">#REF!</definedName>
    <definedName name="BO4DA1003C33144689ACDCC88DCAD76CEC" hidden="1">#REF!</definedName>
    <definedName name="BO4DA2550066EC4DC9A10AB9D177E0377D" hidden="1">#REF!</definedName>
    <definedName name="BO4DB231ECD89749BBB61C8672C325C9B6" hidden="1">#REF!</definedName>
    <definedName name="BO4DB260A6004845549622728FD5CF77DF" hidden="1">#REF!</definedName>
    <definedName name="BO4DD314D665044619A83BDBBF98520D3E" hidden="1">#REF!</definedName>
    <definedName name="BO4DD3E06B30D0453591537146FB44B655" hidden="1">#REF!</definedName>
    <definedName name="BO4DD73151A5FB4ADD9BDF74C7632D38D9" hidden="1">#REF!</definedName>
    <definedName name="BO4DDB1BA95BC64F86A40A7B2E257A35E3" hidden="1">#REF!</definedName>
    <definedName name="BO4DF0AF32BA4041D98D60CE58B013B4E7" hidden="1">#REF!</definedName>
    <definedName name="BO4DF2AB7750BF42EB9D57BA4D725243B3" hidden="1">#REF!</definedName>
    <definedName name="BO4DFB7B7FA8F84E68883B0A3A73557F62" hidden="1">#REF!</definedName>
    <definedName name="BO4E01D32940D4421789A79F65FBE5B853" hidden="1">#REF!</definedName>
    <definedName name="BO4E224232AAA9422ABBADA09C17231477" hidden="1">#REF!</definedName>
    <definedName name="BO4E5A5B2226B446818FD3052673DBE06E" hidden="1">#REF!</definedName>
    <definedName name="BO4EABBA73A2DA454BA953C9AE702A13FB" hidden="1">#REF!</definedName>
    <definedName name="BO4EB58024FECD4AAD9C54E6C0EC901032" hidden="1">#REF!</definedName>
    <definedName name="BO4EB5FF97F4A542CFA5FBAACB4196BD8F" hidden="1">#REF!</definedName>
    <definedName name="BO4EB62A5D99B44412981CC2DBA16B65A3" hidden="1">#REF!</definedName>
    <definedName name="BO4EC7C41902974BF0A985E634282CB07E" hidden="1">#REF!</definedName>
    <definedName name="BO4ED0CF4E0A724C8EA740079DC90628C3" hidden="1">#REF!</definedName>
    <definedName name="BO4ED6C94AEE84498698E997DC83194ED4" hidden="1">#REF!</definedName>
    <definedName name="BO4EDAA2EA53034F5195BF4F4E9E1246E3" hidden="1">#REF!</definedName>
    <definedName name="BO4EE02845C0FE46798F58F735CDA933D5" hidden="1">#REF!</definedName>
    <definedName name="BO4F082A8E044C49F8BC480A70B601A36E" hidden="1">#REF!</definedName>
    <definedName name="BO4F0FF9C21C6E41768DF300AE990AF1DC" hidden="1">#REF!</definedName>
    <definedName name="BO4F174CF711D441F9848DE1A3F0E09B80" hidden="1">#REF!</definedName>
    <definedName name="BO4F1DDF5EB2F44AFAA8C5516DEF485905" hidden="1">#REF!</definedName>
    <definedName name="BO4F28111B51394391ABC9CC6B0B64372F" hidden="1">#REF!</definedName>
    <definedName name="BO4F382251407541D4B94F5AF416857C88" hidden="1">#REF!</definedName>
    <definedName name="BO4F59D60EB52644AC9849F75E566DAD76" hidden="1">#REF!</definedName>
    <definedName name="BO4F600CC4FC104082B27C8384C45C1689" hidden="1">#REF!</definedName>
    <definedName name="BO4F77A214CAB642EB9221536F5E451DF6" hidden="1">#REF!</definedName>
    <definedName name="BO4FA1B3AC851D45A28FA6115A499D0A10" hidden="1">#REF!</definedName>
    <definedName name="BO4FB15011AD8F454A8CD511C1B415323F" hidden="1">#REF!</definedName>
    <definedName name="BO4FB289186CC049ACAF17B8C85DFF71C8" hidden="1">#REF!</definedName>
    <definedName name="BO4FBDF91826A240BB846445744835ECAA" hidden="1">#REF!</definedName>
    <definedName name="BO4FE75D3F23F444EA8A91B3C77C9F2398" hidden="1">#REF!</definedName>
    <definedName name="BO500F607281384E709BC81BB8D0E05040" hidden="1">#REF!</definedName>
    <definedName name="BO5041B9A4B8C146FA8D61B1D6914A3DEC" hidden="1">#REF!</definedName>
    <definedName name="BO5044CF74C1B14DFE9C7967E1F8C74201" hidden="1">#REF!</definedName>
    <definedName name="BO504980E9F631410CBE413DD6676DD743" hidden="1">#REF!</definedName>
    <definedName name="BO504C15136FB74A77A4F09278BD552098" hidden="1">#REF!</definedName>
    <definedName name="BO5060B8055B22479FB2B032CFBC156B9A" hidden="1">#REF!</definedName>
    <definedName name="BO5066FECA22CC4BFE848A07A9D41D21D5" hidden="1">#REF!</definedName>
    <definedName name="BO5080FCBB1AFE4582AB0AEF756E02AB2A" hidden="1">#REF!</definedName>
    <definedName name="BO5080FCC582E643189FFE295E935AE5DE" hidden="1">#REF!</definedName>
    <definedName name="BO50827176D61E43EE93F18B39EFF6DF13" hidden="1">#REF!</definedName>
    <definedName name="BO50859751527B4027B87A739BAF1FB8E0" hidden="1">#REF!</definedName>
    <definedName name="BO509669C9ED7840288304BF14BF625147" hidden="1">#REF!</definedName>
    <definedName name="BO50A6D000423F4E1B9339E4FC009963E8" hidden="1">#REF!</definedName>
    <definedName name="BO50A9A9E6831241658F508DEAFE2A7553" hidden="1">#REF!</definedName>
    <definedName name="BO50BE6952315E4252BE4C2834487F1211" hidden="1">#REF!</definedName>
    <definedName name="BO50C2EEC4061B4787A85B1D811F966E44" hidden="1">#REF!</definedName>
    <definedName name="BO50C6DA095ECB4B7CA4AC4CD835A96561" hidden="1">#REF!</definedName>
    <definedName name="BO510065BD015D4F95A15752285E2AE65E" hidden="1">#REF!</definedName>
    <definedName name="BO5124F12717414DAC96ABA4A8269ECB84" hidden="1">#REF!</definedName>
    <definedName name="BO513861991D7C4A5FBB93C7EA0C759CFD" hidden="1">#REF!</definedName>
    <definedName name="BO5149FE314DC944E8A970EC95B668DE7C" hidden="1">#REF!</definedName>
    <definedName name="BO514D95FAE90F482C849C11DE38AE8DA0" hidden="1">#REF!</definedName>
    <definedName name="BO51549E3DAD0C401EA0B7175099C6B370" hidden="1">#REF!</definedName>
    <definedName name="BO517046412D50492290187FB9607D7C18" hidden="1">#REF!</definedName>
    <definedName name="BO5188834242E0421FB7501E32878E3A34" hidden="1">#REF!</definedName>
    <definedName name="BO51A8FA915C9A4F9D89273CF63EE46FE8" hidden="1">#REF!</definedName>
    <definedName name="BO51C8FC979EAE441F9F289915887365C5" hidden="1">#REF!</definedName>
    <definedName name="BO51CAB7BED6F34AAC81D276031A77B343" hidden="1">#REF!</definedName>
    <definedName name="BO51D7545D5BBF431988C5A808A9A78425" hidden="1">#REF!</definedName>
    <definedName name="BO51E8E80C42284454A7DFE690E58BDCE8" hidden="1">#REF!</definedName>
    <definedName name="BO51F5A3B3AA5A46A5A5EFF180F8EF46B5" hidden="1">#REF!</definedName>
    <definedName name="BO51F608F52D8F4C42869432170B976399" hidden="1">#REF!</definedName>
    <definedName name="BO520559A6ACD745EB89E7383B1F3D3B13" hidden="1">#REF!</definedName>
    <definedName name="BO521515863B2B48D0A1DA81523D22A0E9" hidden="1">#REF!</definedName>
    <definedName name="BO5225587466CB4E64950F3A977CD53BB5" hidden="1">#REF!</definedName>
    <definedName name="BO522BE2FBF700464AAFC7A88746B3102A" hidden="1">#REF!</definedName>
    <definedName name="BO523DE52BFFDA4227A8E78C3E253F130B" hidden="1">#REF!</definedName>
    <definedName name="BO523E151E1B1A4DEDAD3390FF9E08BB41" hidden="1">#REF!</definedName>
    <definedName name="BO5260A82048CC4FADAD92DC55975D9422" hidden="1">#REF!</definedName>
    <definedName name="BO5262A0DCF2324A41BAF8DB1D4CA84E56" hidden="1">#REF!</definedName>
    <definedName name="BO526E08859F644BE480E6EA86F7851C8C" hidden="1">#REF!</definedName>
    <definedName name="BO5272CD73798D4534BCDE414B46752168" hidden="1">#REF!</definedName>
    <definedName name="BO52860BC000B441A293866777E87E949C" hidden="1">#REF!</definedName>
    <definedName name="BO528E13D4C0DB4D2F959E2E0AE4BF6A43" hidden="1">#REF!</definedName>
    <definedName name="BO529918D9CBAF4FEAA843CC9784C1B958" hidden="1">#REF!</definedName>
    <definedName name="BO52BE609CECE24F668D2E97E40E865353" hidden="1">#REF!</definedName>
    <definedName name="BO52CE692751DA48EBB514C5E4839C6C35" hidden="1">#REF!</definedName>
    <definedName name="BO52D5C0A0C34646D0A9DBF31C7B4681BE" hidden="1">#REF!</definedName>
    <definedName name="BO52DF8A78A51242BE926EF8EC5F6971A7" hidden="1">#REF!</definedName>
    <definedName name="BO53012BAC33CB4AAE9E4A844D26642E0F" hidden="1">#REF!</definedName>
    <definedName name="BO53076DABED03457BA1A6CC7DE8E548B8" hidden="1">#REF!</definedName>
    <definedName name="BO531951EF37274BB4BA6B253AABF3B259" hidden="1">#REF!</definedName>
    <definedName name="BO531D49320A344064B41A5223C7F109B1" hidden="1">#REF!</definedName>
    <definedName name="BO531F40EBDFD2499781D4ACD8FBBC913E" hidden="1">#REF!</definedName>
    <definedName name="BO5325677A58DD4E678732C8AB1BFC801A" hidden="1">#REF!</definedName>
    <definedName name="BO5335F0546ACD4A6887C3CE85EDBFD24E" hidden="1">#REF!</definedName>
    <definedName name="BO533748EE339C4F6A862B18FDD81C9AA0" hidden="1">#REF!</definedName>
    <definedName name="BO53388E846AC947EB99E66A4CCDCEDD27" hidden="1">#REF!</definedName>
    <definedName name="BO534DCBC592E14F5BBA67C8914AE77CA8" hidden="1">#REF!</definedName>
    <definedName name="BO535460E4AB39414AB1F623062720C048" hidden="1">#REF!</definedName>
    <definedName name="BO537518734AB84AB49EB5AAA63CCE1585" hidden="1">#REF!</definedName>
    <definedName name="BO53795B0958F44E0282061BA77BFBA6DD" hidden="1">#REF!</definedName>
    <definedName name="BO539D9F144F84435A876FC596334AF9E3" hidden="1">#REF!</definedName>
    <definedName name="BO53A13D7951334900A0A1A872901E57A2" hidden="1">#REF!</definedName>
    <definedName name="BO53AB5D3CCB4A413EA144664C99503047" hidden="1">#REF!</definedName>
    <definedName name="BO53C1AD7020A246D19C492B988C284605" hidden="1">#REF!</definedName>
    <definedName name="BO53EB7E26F34145258939F9D27853A768" hidden="1">#REF!</definedName>
    <definedName name="BO53FC468444E242A794DB77EB7D6A0B1D" hidden="1">#REF!</definedName>
    <definedName name="BO53FD180040484DF9AD12C0F43F525431" hidden="1">#REF!</definedName>
    <definedName name="BO54170C69A5B443B9A46A563B24D7A02A" hidden="1">#REF!</definedName>
    <definedName name="BO541B429733D9464BAA0F472DC5A390A6" hidden="1">#REF!</definedName>
    <definedName name="BO5428BC2AC15245C392FAD48AC0E1D1D3" hidden="1">#REF!</definedName>
    <definedName name="BO54379D2A778B4EDC8D666466E7F51442" hidden="1">#REF!</definedName>
    <definedName name="BO544626CD308F402D801521FB8B2AD34C" hidden="1">#REF!</definedName>
    <definedName name="BO54519C0009494E2A9D2496EF776FBDEF" hidden="1">#REF!</definedName>
    <definedName name="BO547D617DA19944FD9F05968F08E6D309" hidden="1">#REF!</definedName>
    <definedName name="BO5480837E22434DED90AE7C00C082A9A1" hidden="1">#REF!</definedName>
    <definedName name="BO5484F71A0B8B45979B9D569008231679" hidden="1">#REF!</definedName>
    <definedName name="BO548C3CB6EEE64DC991F72FB7E54B3F0E" hidden="1">#REF!</definedName>
    <definedName name="BO54966A0B410A4295A1BBC4E266509877" hidden="1">#REF!</definedName>
    <definedName name="BO5499CDCA6C7E4DB980595814BFE113E8" hidden="1">#REF!</definedName>
    <definedName name="BO549D4B4A3783426FA7D5E53A4728900E" hidden="1">#REF!</definedName>
    <definedName name="BO549F4A437480450A867B69EE35C77253" hidden="1">#REF!</definedName>
    <definedName name="BO54BC5EA573944120A2762F060194BA1E" hidden="1">#REF!</definedName>
    <definedName name="BO54CE381202A648A6936EA80CBA642C0F" hidden="1">#REF!</definedName>
    <definedName name="BO54DB55663F334C03B8ADD851DEA5C745" hidden="1">#REF!</definedName>
    <definedName name="BO54E8BAC9CCCE44BC963133C9AE4B630A" hidden="1">#REF!</definedName>
    <definedName name="BO5507E6215F3F4FC097A3E11986F2AC10" hidden="1">#REF!</definedName>
    <definedName name="BO550B27D935D4459DBAD38DC3153E9204" hidden="1">#REF!</definedName>
    <definedName name="BO55240D5E45B04FAE87A19DEA34A4CC05" hidden="1">#REF!</definedName>
    <definedName name="BO55268CF52D0E4B16BECF562C3B319068" hidden="1">#REF!</definedName>
    <definedName name="BO552A4C6B034E44139D762597E2BD29E8" hidden="1">#REF!</definedName>
    <definedName name="BO552C873EA045489C95CBBB77F440FE29" hidden="1">#REF!</definedName>
    <definedName name="BO553055AF53024915ABC604AF1B889E5B" hidden="1">#REF!</definedName>
    <definedName name="BO553136AC6422422C818B96B66C2C3990" hidden="1">#REF!</definedName>
    <definedName name="BO553F838E21284938B9776FB50EF6D503" hidden="1">#REF!</definedName>
    <definedName name="BO55500317978C42FF8C3FC694FF2C212D" hidden="1">#REF!</definedName>
    <definedName name="BO555B1633F11C47E89A1801F074518A32" hidden="1">#REF!</definedName>
    <definedName name="BO5567A7BED87F42A9B8315385DA7E9968" hidden="1">#REF!</definedName>
    <definedName name="BO5567B2C97D0E4BE8B839F13F009C2AAB" hidden="1">#REF!</definedName>
    <definedName name="BO556B076474824AD88F5741175DEED0D3" hidden="1">#REF!</definedName>
    <definedName name="BO556F9D67D63B485490BE4A5B2DAA0424" hidden="1">#REF!</definedName>
    <definedName name="BO5573662C4A00410AA097D755481BE91F" hidden="1">#REF!</definedName>
    <definedName name="BO5595574A40CB43FBBB0381249CAE5A01" hidden="1">#REF!</definedName>
    <definedName name="BO55ABAFAD7C574B2D9E3DBF3E48F61137" hidden="1">#REF!</definedName>
    <definedName name="BO55CF211F16644D80AFDC0678AEFA8592" hidden="1">#REF!</definedName>
    <definedName name="BO56000E80CBD9491E83BFDEA83A1EE6AD" hidden="1">#REF!</definedName>
    <definedName name="BO560251BCD11740889928CA8EA1D6C8BB" hidden="1">#REF!</definedName>
    <definedName name="BO561D5317C414499886A7446B060E5292" hidden="1">#REF!</definedName>
    <definedName name="BO5625EF84032E4129A4F1C26C707CB6A3" hidden="1">#REF!</definedName>
    <definedName name="BO562715D02FD545A995527CAABB6D801A" hidden="1">#REF!</definedName>
    <definedName name="BO563FCE97DF97426EB7D91F44C76515D6" hidden="1">#REF!</definedName>
    <definedName name="BO56511C056B644925BB9E09A5CE15BBF3" hidden="1">#REF!</definedName>
    <definedName name="BO565771992FE84D6C9DDDD43E6049AEA8" hidden="1">#REF!</definedName>
    <definedName name="BO565AC04ECFB24EB78486E4E53E96AD45" hidden="1">#REF!</definedName>
    <definedName name="BO569A5FBFD6F24C0C8A17193DE8B0987E" hidden="1">#REF!</definedName>
    <definedName name="BO56BBB0E7E8B7442983625866E175D9D1" hidden="1">#REF!</definedName>
    <definedName name="BO56C770FA42EA4B9A99A1030E1F99D589" hidden="1">#REF!</definedName>
    <definedName name="BO56C93C031ADA4A8CB9AA79E06B808B71" hidden="1">#REF!</definedName>
    <definedName name="BO56D93BE1E882447E8198CDDBD810A34A" hidden="1">#REF!</definedName>
    <definedName name="BO56DC94197E294360B6A59153FF03457A" hidden="1">#REF!</definedName>
    <definedName name="BO56E22477476841508EDA127C8CFBE0CB" hidden="1">#REF!</definedName>
    <definedName name="BO5728800FC3614D5FA9339DD541345C90" hidden="1">#REF!</definedName>
    <definedName name="BO572CFABAF41940FF91E1FCB300267B32" hidden="1">#REF!</definedName>
    <definedName name="BO5738990410A546D3B22F638D3052C681" hidden="1">#REF!</definedName>
    <definedName name="BO573908E795394C08BE080A14100FFFBF" hidden="1">#REF!</definedName>
    <definedName name="BO5739551D4F9D4472AAE2ECDB22E3C2C7" hidden="1">#REF!</definedName>
    <definedName name="BO57492025E3734968B443F2156F6E5611" hidden="1">#REF!</definedName>
    <definedName name="BO575061F004714FB7A0E1B314F3625225" hidden="1">#REF!</definedName>
    <definedName name="BO57544A4DD8D040EE8060E1C9E846EC7F" hidden="1">#REF!</definedName>
    <definedName name="BO575F08F36F1744AB9596B19069D05C38" hidden="1">#REF!</definedName>
    <definedName name="BO576B79A6DA164E21974CFF5F7C3EA285" hidden="1">#REF!</definedName>
    <definedName name="BO578F669344B943B2ACBCC36BC4A76D24" hidden="1">#REF!</definedName>
    <definedName name="BO5799DF1DC6FF4B2DB3252E6FB0A0F139" hidden="1">#REF!</definedName>
    <definedName name="BO57A6BD4AE8E243E494577EAD1CBE5386" hidden="1">#REF!</definedName>
    <definedName name="BO57B95B501F9743B1975E90BCF4891783" hidden="1">#REF!</definedName>
    <definedName name="BO57D32E0CD41A495289CBDB65D3B5BAA9" hidden="1">#REF!</definedName>
    <definedName name="BO57D550A977154BF89DC103F830F3D467" hidden="1">#REF!</definedName>
    <definedName name="BO57E3E16B3039468C918A2851F2906987" hidden="1">#REF!</definedName>
    <definedName name="BO57FDDF1F6FFB4E55A7F2E13CB281DAF1" hidden="1">#REF!</definedName>
    <definedName name="BO58121DDA319942C2A9FE4D51FCAA6436" hidden="1">#REF!</definedName>
    <definedName name="BO581F7C20F3F0407099EF769043553AFA" hidden="1">#REF!</definedName>
    <definedName name="BO5826FBEBA0D7470F894B86E852A5FE0F" hidden="1">#REF!</definedName>
    <definedName name="BO583B69D2114749F5A55CE9DF13098368" hidden="1">#REF!</definedName>
    <definedName name="BO583C6F5C29CF4F41A54EA713AA1355F6" hidden="1">#REF!</definedName>
    <definedName name="BO583D606991DB4709938F0F2AB616CA8C" hidden="1">#REF!</definedName>
    <definedName name="BO5847B8E7D8464C7589B526A59971A5F1" hidden="1">#REF!</definedName>
    <definedName name="BO5859F625EF8F43838446B41A5B13BE9B" hidden="1">#REF!</definedName>
    <definedName name="BO58B0760CD8F245CEA3CCE06D7CF1481E" hidden="1">#REF!</definedName>
    <definedName name="BO58B56024014C4E80B3014C3EBF2F4731" hidden="1">#REF!</definedName>
    <definedName name="BO58C0409804204ACC886A26B469A98FCA" hidden="1">#REF!</definedName>
    <definedName name="BO58C4AC72229D4A05A6B102FC5BA2C9B0" hidden="1">#REF!</definedName>
    <definedName name="BO58CB515C808C48BEBC52F4E8A8B10863" hidden="1">#REF!</definedName>
    <definedName name="BO58D440EFC4EE4DE98ED236F1697C5D62" hidden="1">#REF!</definedName>
    <definedName name="BO58F664DD369B413BBE0AA6C680221346" hidden="1">#REF!</definedName>
    <definedName name="BO59022A7082424F6F9E45409E01156BA1" hidden="1">#REF!</definedName>
    <definedName name="BO590D5A3FBEC64BFBB064D49E5F4A3AA5" hidden="1">#REF!</definedName>
    <definedName name="BO590E714A7D0E4DA3948D6F1D551BECF2" hidden="1">#REF!</definedName>
    <definedName name="BO590F0D7F6F8D46C29B2EED8932DD87BD" hidden="1">#REF!</definedName>
    <definedName name="BO5913EAA7CCA04185881C1E92EBBAE733" hidden="1">#REF!</definedName>
    <definedName name="BO592E3D457DC3430DB54EBC54823DCBC4" hidden="1">#REF!</definedName>
    <definedName name="BO59384E7DCDEE4351A4263865DC557B5A" hidden="1">#REF!</definedName>
    <definedName name="BO593C02F3586C400B9C127B9BEFF5A3A3" hidden="1">#REF!</definedName>
    <definedName name="BO594059A6BB774C32931101FDBA9AA2A6" hidden="1">#REF!</definedName>
    <definedName name="BO594A5066E3D64A9B96E87EEE60E35000" hidden="1">#REF!</definedName>
    <definedName name="BO594BD2AAE0EE4E13924FA8AD8CA67DF1" hidden="1">#REF!</definedName>
    <definedName name="BO5956D9BCE4364C56A9714DB73C6D3E8D" hidden="1">#REF!</definedName>
    <definedName name="BO596B387D06DE485CB1426B95E64D527C" hidden="1">#REF!</definedName>
    <definedName name="BO597DDE6E95004F7F9C963613977B9F66" hidden="1">#REF!</definedName>
    <definedName name="BO598E92CF380C4F02A1EC553289B7A624" hidden="1">#REF!</definedName>
    <definedName name="BO5997EDDB9A3E43A48E697B46A2584551" hidden="1">#REF!</definedName>
    <definedName name="BO599B6CBC43504E33AD45ECD15A182A0F" hidden="1">#REF!</definedName>
    <definedName name="BO59AC885CA8D145A48A78E7E87EA008B0" hidden="1">#REF!</definedName>
    <definedName name="BO59C567DB691F4B6DB56F5A3F1EBC5DED" hidden="1">#REF!</definedName>
    <definedName name="BO59D768DCFA394415A9FA22D804593B67" hidden="1">#REF!</definedName>
    <definedName name="BO59EA90BB35B144EEAD1E7140AFED97FD" hidden="1">#REF!</definedName>
    <definedName name="BO59EABF3D307B40AA89D51822A5BF1DDB" hidden="1">#REF!</definedName>
    <definedName name="BO59EB251B1EF049F5939B63C7C6224FEB" hidden="1">#REF!</definedName>
    <definedName name="BO59EB7E7CCC0E46CA8F1085CF5441DED8" hidden="1">#REF!</definedName>
    <definedName name="BO59FCCD41CD2D4A809251677722F31B4F" hidden="1">#REF!</definedName>
    <definedName name="BO5A0DCF8D6B61431A864637A2BCEE82C9" hidden="1">#REF!</definedName>
    <definedName name="BO5A267AB6DD8A4A2AB76DBE8AFC86BBD2" hidden="1">#REF!</definedName>
    <definedName name="BO5A32EE71A0ED4A16AA699D92CEC98B47" hidden="1">#REF!</definedName>
    <definedName name="BO5A3ED020BCED4A83ABA0A0B88F8487AC" hidden="1">#REF!</definedName>
    <definedName name="BO5A45EF78C2844B2C86F0440381E23580" hidden="1">#REF!</definedName>
    <definedName name="BO5A49E0BA3B6948218E99F3817B959221" hidden="1">#REF!</definedName>
    <definedName name="BO5A66AEE217574EB0820B61084A6E64CF" hidden="1">#REF!</definedName>
    <definedName name="BO5A6A224EDF754A9C8DAE2269DFAFB953" hidden="1">#REF!</definedName>
    <definedName name="BO5A6ACB3BF5214FB89E5482871875990D" hidden="1">#REF!</definedName>
    <definedName name="BO5A6AD76D3EAB4ACFA29294696A1C575C" hidden="1">#REF!</definedName>
    <definedName name="BO5A6B60F0E8034ECCBE9A1A4C0EFC6987" hidden="1">#REF!</definedName>
    <definedName name="BO5A81CA1FE8AD4707A0412775188A8DEC" hidden="1">#REF!</definedName>
    <definedName name="BO5A827E28BB4A49E68F61C5E84805D769" hidden="1">#REF!</definedName>
    <definedName name="BO5ADD7A0B4F8643948793596858585348" hidden="1">#REF!</definedName>
    <definedName name="BO5AE1DA02840541BDB53CAA98160D1E97" hidden="1">#REF!</definedName>
    <definedName name="BO5AF15FD77702431BBFEC3BE53FAFC51F" hidden="1">#REF!</definedName>
    <definedName name="BO5B17EB1DC2314204AAAB4C10CD014779" hidden="1">#REF!</definedName>
    <definedName name="BO5B20057ECFD04152B0F8766338210D8E" hidden="1">#REF!</definedName>
    <definedName name="BO5B27E855FA5040EB86FED41A3DE59A24" hidden="1">#REF!</definedName>
    <definedName name="BO5B2C521B9D9A42D49C89CDF8F4742308" hidden="1">#REF!</definedName>
    <definedName name="BO5B3F6E178E114DF088F00C8568A47DBA" hidden="1">#REF!,#REF!,#REF!</definedName>
    <definedName name="BO5B4F0CF744DC4B488CF71D96F8AA06B0" hidden="1">#REF!</definedName>
    <definedName name="BO5B52615A450A4CC1B8803DBA2D89031C" hidden="1">#REF!</definedName>
    <definedName name="BO5B55604609A24CB3BC03E06DDE68A82D" hidden="1">#REF!</definedName>
    <definedName name="BO5B5DBF9A9EF44018BFA2A181AD7141DD" hidden="1">#REF!</definedName>
    <definedName name="BO5B6647E500B64C49A067CFE98195A323" hidden="1">#REF!</definedName>
    <definedName name="BO5B6D18ACF15C4612A1495972701D8AE5" hidden="1">#REF!</definedName>
    <definedName name="BO5B70F57BA7724AE09F3CBFD04F4D0C8C" hidden="1">#REF!</definedName>
    <definedName name="BO5B72659E6EF848908B910D06901253C2" hidden="1">#REF!</definedName>
    <definedName name="BO5B82CC81807D42DBBAA1146914966A56" hidden="1">#REF!</definedName>
    <definedName name="BO5B9CA8ABC9A346AEA3B9F7CB5CF6A740" hidden="1">#REF!</definedName>
    <definedName name="BO5BB0B277A3394326AFBAAAF6450E4E42" hidden="1">#REF!</definedName>
    <definedName name="BO5BB13408EB904A3BAC559B9AC215AB1A" hidden="1">#REF!</definedName>
    <definedName name="BO5BB33AC2DC2D4FD6AB71938AF1DA173D" hidden="1">#REF!</definedName>
    <definedName name="BO5BB90F35827F4C8CB35EB5880E3DFBF5" hidden="1">#REF!</definedName>
    <definedName name="BO5BBAD0D8246443EE9D8084F5B590596E" hidden="1">#REF!</definedName>
    <definedName name="BO5BC31258B8F8431DBC9B1836B8016102" hidden="1">#REF!</definedName>
    <definedName name="BO5BD8EB8E62ED48D6BA69F65CED12804D" hidden="1">#REF!</definedName>
    <definedName name="BO5BE732993B4846D58B3911D46AD6038D" hidden="1">#REF!</definedName>
    <definedName name="BO5C12622CAD9743559EF012A1914D88CA" hidden="1">#REF!</definedName>
    <definedName name="BO5C39A7588D8A4EB3A28D61CACE05FB93" hidden="1">#REF!</definedName>
    <definedName name="BO5C434CDBC29B4D8A8B8862AEC720DBCD" hidden="1">#REF!</definedName>
    <definedName name="BO5C43685B69DC4275893F095AB017D6CE" hidden="1">#REF!</definedName>
    <definedName name="BO5C56946051DC47BC8EAAAD7534E42CF3" hidden="1">#REF!</definedName>
    <definedName name="BO5C6AE5D18D554D7E8159E2BAE8FA382F" hidden="1">#REF!</definedName>
    <definedName name="BO5C73CAE6A2834A4B94D14E18B48EAF16" hidden="1">#REF!</definedName>
    <definedName name="BO5C73D9FEF2674C1BBDE971AE169419EC" hidden="1">#REF!</definedName>
    <definedName name="BO5C8124D2D9FB4EAAB76560D5A15737B8" hidden="1">#REF!</definedName>
    <definedName name="BO5C88962D8A4E4316A42DE38FBCE2303D" hidden="1">#REF!</definedName>
    <definedName name="BO5C902D60CF47456FA169B1087280482B" hidden="1">#REF!</definedName>
    <definedName name="BO5C920D0B5B1345BABC2366B7DA1C5E25" hidden="1">#REF!</definedName>
    <definedName name="BO5C93DD374DC2423B967014357CA2D571" hidden="1">#REF!</definedName>
    <definedName name="BO5CDE450990984959AE300DAC644A2FF4" hidden="1">#REF!</definedName>
    <definedName name="BO5CF7FE1385DD4292AE9F612853C6FE33" hidden="1">#REF!</definedName>
    <definedName name="BO5D05E09EECF5457DA33727FC8D15191F" hidden="1">#REF!</definedName>
    <definedName name="BO5D1E63DBC558443384A529936C012D26" hidden="1">#REF!</definedName>
    <definedName name="BO5D3A29F492374C6C925AC1A20ED66BEB" hidden="1">#REF!</definedName>
    <definedName name="BO5D45774D31BA47B8AE1E174DE6B88DC5" hidden="1">#REF!</definedName>
    <definedName name="BO5D46C9AD71BC4FDD877EA97718D4BBE9" hidden="1">#REF!</definedName>
    <definedName name="BO5D53DC92829E4BB3B851B388A11032F7" hidden="1">#REF!</definedName>
    <definedName name="BO5D5F2491E93B4AA3B9D27F259616BD98" hidden="1">#REF!</definedName>
    <definedName name="BO5D8CD6A969174366A721D16A14A45C76" hidden="1">#REF!</definedName>
    <definedName name="BO5D8DDEA539B94BF8ADF2FE3FCCF8C381" hidden="1">#REF!</definedName>
    <definedName name="BO5D8F589A53DA42018080ED77A6B492DE" hidden="1">#REF!</definedName>
    <definedName name="BO5D9DFDE61A224480A6661F17796BBA5F" hidden="1">#REF!</definedName>
    <definedName name="BO5DA46E589A6F4C6C8DB03D492C1C2878" hidden="1">#REF!</definedName>
    <definedName name="BO5DAA29757857417FB43F3DD813DE0653" hidden="1">#REF!</definedName>
    <definedName name="BO5DBC1413A4EF4004B35971E058515E30" hidden="1">#REF!</definedName>
    <definedName name="BO5DCAB14EFA5C4FE3BFD9A86392942047" hidden="1">#REF!</definedName>
    <definedName name="BO5DE7BFB8DA2247CA88F53F0852D0D978" hidden="1">#REF!</definedName>
    <definedName name="BO5DFCB56992D44322ADC1421A3B901C42" hidden="1">#REF!</definedName>
    <definedName name="BO5DFF17F65E144CB0837C415C67612916" hidden="1">#REF!</definedName>
    <definedName name="BO5E15162F9C004ABAA5599FEAD7B0B618" hidden="1">#REF!</definedName>
    <definedName name="BO5E3521EC573C4D1095E01CA58AD9FF10" hidden="1">#REF!</definedName>
    <definedName name="BO5E3AEC809E10421B846FB0743CBC6A3D" hidden="1">#REF!</definedName>
    <definedName name="BO5E3D11B36BB24ABE9E39A8B7C3313197" hidden="1">#REF!</definedName>
    <definedName name="BO5E4EFB78D6D043F8BD8B4785CD5E7216" hidden="1">#REF!</definedName>
    <definedName name="BO5E543CAB34A54B94A48D330415EE4DD1" hidden="1">#REF!</definedName>
    <definedName name="BO5E6433AEBB09449AAB690755E35CE034" hidden="1">#REF!</definedName>
    <definedName name="BO5E6F18A1750D4760B7498A21B6D88CA2" hidden="1">#REF!</definedName>
    <definedName name="BO5E987388D63B47DD9549162B619084F7" hidden="1">#REF!</definedName>
    <definedName name="BO5E9EAF32C3934102B559632956743BBB" hidden="1">#REF!</definedName>
    <definedName name="BO5EABBF3BF19F4A4A85944C3DAEA4DB28" hidden="1">#REF!</definedName>
    <definedName name="BO5EB0027199674D819EBA32CE0557D9DA" hidden="1">#REF!</definedName>
    <definedName name="BO5EB3A4D52BE74C6EAB70B27B3AF53D6A" hidden="1">#REF!</definedName>
    <definedName name="BO5EB64E23C1AF448B84C2883AC71C22E3" hidden="1">#REF!</definedName>
    <definedName name="BO5EBBE63C669F462BAFB60AE49A5A162A" hidden="1">#REF!</definedName>
    <definedName name="BO5ECC2535998F4014B54D2B6BC3C72E48" hidden="1">#REF!</definedName>
    <definedName name="BO5ED9A67CB86A47D68BB8537766EF330A" hidden="1">#REF!</definedName>
    <definedName name="BO5EE24DD3075F4792AE64061541B4A691" hidden="1">#REF!</definedName>
    <definedName name="BO5EFD84FDD9014E5C905F42675B5FBB6D" hidden="1">#REF!</definedName>
    <definedName name="BO5EFF581C31E94D0B9DC78606248B24D7" hidden="1">#REF!</definedName>
    <definedName name="BO5F0E4A5C4627496F99950E09FB952717" hidden="1">#REF!</definedName>
    <definedName name="BO5F169185BC3A43F783223A4E39E97CA7" hidden="1">#REF!</definedName>
    <definedName name="BO5F183ECE0B6F4CD582CE8D75DE8E61A1" hidden="1">#REF!</definedName>
    <definedName name="BO5F3A3B097B6E405593E1AEEA4240D978" hidden="1">#REF!</definedName>
    <definedName name="BO5F459209386748FDB50D8C98E6A67013" hidden="1">#REF!</definedName>
    <definedName name="BO5F4CD9BE29494CD380952D53C530DBA2" hidden="1">#REF!</definedName>
    <definedName name="BO5F4D61EC1AC0466F99DDD0262E888D3D" hidden="1">#REF!</definedName>
    <definedName name="BO5F6BA2DEE1744AF1A2DC4DBE6AB563FB" hidden="1">#REF!</definedName>
    <definedName name="BO5F7BA0B96A7C4F7A90ACFCB804B8F5F2" hidden="1">#REF!</definedName>
    <definedName name="BO5F905E63F3BB424BB231F0911BD9D24C" hidden="1">#REF!</definedName>
    <definedName name="BO5F92419A2B2042A88CF6F07560803C22" hidden="1">#REF!</definedName>
    <definedName name="BO5F999F7554654FB78B1725F023976533" hidden="1">#REF!</definedName>
    <definedName name="BO5FA9FE156258454F97E163543A3F3899" hidden="1">#REF!</definedName>
    <definedName name="BO5FB0F31CE83C4F349F5236A7AD7A1C53" hidden="1">#REF!</definedName>
    <definedName name="BO5FBA6BD6E8024E6389A93B0AA2ACCA5B" hidden="1">#REF!</definedName>
    <definedName name="BO5FC59423E6644D09A05577F2F26A0D55" hidden="1">#REF!</definedName>
    <definedName name="BO5FC82D2B3FCB499BAA5955760CB32BD2" hidden="1">#REF!</definedName>
    <definedName name="BO5FC8C193100E40F8BC9B627DDDA066DF" hidden="1">#REF!</definedName>
    <definedName name="BO5FD18E77AE8647D2B1214CC539C6DD9C" hidden="1">#REF!</definedName>
    <definedName name="BO5FDF2F8A77E547E79687E3F84EAA65E9" hidden="1">#REF!</definedName>
    <definedName name="BO5FDF8E481C454A13ACB9B762A5157BFA" hidden="1">#REF!</definedName>
    <definedName name="BO5FE351D30E804EB8A5BBFD3F645D8143" hidden="1">#REF!</definedName>
    <definedName name="BO5FF99CFB143E400A866224CA1BBC6242" hidden="1">#REF!</definedName>
    <definedName name="BO600F54E397614713BEE3F62A5C4E08B2" hidden="1">#REF!</definedName>
    <definedName name="BO603BD3EE00A0424498DAF2F7E091225B" hidden="1">#REF!</definedName>
    <definedName name="BO604736B173DB48DA8E4B59C73C561390" hidden="1">#REF!</definedName>
    <definedName name="BO60496C515CE8453080E955E01CE46F24" hidden="1">#REF!</definedName>
    <definedName name="BO604C0B294184428DB9B66E0FCEDFD21D" hidden="1">#REF!</definedName>
    <definedName name="BO60690B06BA2D4FC3B273607D5109FA73" hidden="1">#REF!</definedName>
    <definedName name="BO606A959C28714F2DAEC588E014AEAB7E" hidden="1">#REF!</definedName>
    <definedName name="BO6070DE28BB4644D28CE73DFC17FD800D" hidden="1">#REF!</definedName>
    <definedName name="BO607D9A60550B4FA7A677D228FC06A7CB" hidden="1">#REF!</definedName>
    <definedName name="BO6084E8173B2D4E35A087C3F78A650D59" hidden="1">#REF!</definedName>
    <definedName name="BO60ACD47DE3334CBEB0CF8D48699D41E9" hidden="1">#REF!</definedName>
    <definedName name="BO60BD75B8DBEA4387803CB4AFC1DE479F" hidden="1">#REF!</definedName>
    <definedName name="BO60E65E92B8684B449A67B00A499AB712" hidden="1">#REF!</definedName>
    <definedName name="BO611D13C989224B55A0AF3A1DA5167095" hidden="1">#REF!</definedName>
    <definedName name="BO613F759C26A74335BB3EF9023610D70E" hidden="1">#REF!</definedName>
    <definedName name="BO615909B743C44F0A96BD891389726A2E" hidden="1">#REF!</definedName>
    <definedName name="BO615D15D8CAE34558B13E3F0CC5844365" hidden="1">#REF!</definedName>
    <definedName name="BO615E4CFF6FF24456B6A15408BA0D9B76" hidden="1">#REF!</definedName>
    <definedName name="BO616BD729B62B4825946A716B2C525B15" hidden="1">#REF!</definedName>
    <definedName name="BO616DE8E79C5040E298F97684B931231A" hidden="1">#REF!</definedName>
    <definedName name="BO61724CCC0F794E86A985D3AADDC1FA83" hidden="1">#REF!</definedName>
    <definedName name="BO617494DDEDE24BE9B3FA2D5E1CC6872A" hidden="1">#REF!</definedName>
    <definedName name="BO6176C8ADB7DA45CAB2379E250E1F35F3" hidden="1">#REF!</definedName>
    <definedName name="BO618C10BE0BB3499B8FDADB407ACB1D57" hidden="1">#REF!</definedName>
    <definedName name="BO61939F664A7B4148A014D08C0F83009E" hidden="1">#REF!</definedName>
    <definedName name="BO619CB18B8DA24CC9AA61D02FC231E39C" hidden="1">#REF!</definedName>
    <definedName name="BO61B828EEB9754A03997662A14AC12055" hidden="1">#REF!</definedName>
    <definedName name="BO61BF0D9724194D4B90626961658132AD" hidden="1">#REF!</definedName>
    <definedName name="BO61C4C9B3A4784662A302783044378B55" hidden="1">#REF!</definedName>
    <definedName name="BO621C36DB681340B7BD878FA247E58938" hidden="1">#REF!</definedName>
    <definedName name="BO6236A60D4B464EC6987D2DC453EEDD17" hidden="1">#REF!</definedName>
    <definedName name="BO6255D22CCF4A48E2927E16A99513F380" hidden="1">#REF!</definedName>
    <definedName name="BO6259BB8601F74518B211D5FED555AD9C" hidden="1">#REF!</definedName>
    <definedName name="BO625E9C7377164C3EB7B70D9236FBD8A0" hidden="1">#REF!</definedName>
    <definedName name="BO62709EA163854F29A7B9CCE8A1EFA75D" hidden="1">#REF!</definedName>
    <definedName name="BO627607EF9B44464A878AD3A742DE38FE" hidden="1">#REF!</definedName>
    <definedName name="BO6279D5DC0FE34C5EBAB97B5AA7532D48" hidden="1">#REF!</definedName>
    <definedName name="BO627C340A60A343CFA3D66ED18F22CDAB" hidden="1">#REF!</definedName>
    <definedName name="BO6281174E8A3C4BAABC1FDD976EFB8A21" hidden="1">#REF!</definedName>
    <definedName name="BO62A1E4942FED470D874ED59DCC2A4AA5" hidden="1">#REF!</definedName>
    <definedName name="BO62A400A078E0451CB6563EF81DF7EB35" hidden="1">#REF!</definedName>
    <definedName name="BO62C3A62D73D544798477143C570BB94C" hidden="1">#REF!</definedName>
    <definedName name="BO62C87419694C44B78FBEA351EB0AA358" hidden="1">#REF!</definedName>
    <definedName name="BO62D36540D0034AA48DE063297A413BDD" hidden="1">#REF!</definedName>
    <definedName name="BO62E9E5A3CFEE4537B18132A4636405C6" hidden="1">#REF!</definedName>
    <definedName name="BO62EA898CF22D44DF8EF3BDDF92CB0D5D" hidden="1">#REF!</definedName>
    <definedName name="BO62F1D3C327D74D10BB4CBC700956417D" hidden="1">#REF!</definedName>
    <definedName name="BO62FB596520A9413EB3511352F520B1BE" hidden="1">#REF!</definedName>
    <definedName name="BO632DFF1320444CAC9F1D15C603120C89" hidden="1">#REF!</definedName>
    <definedName name="BO632F30B76259416E8B4AABED4E04E9C1" hidden="1">#REF!</definedName>
    <definedName name="BO63342495192B4BB3926FE91DBC7CDF80" hidden="1">#REF!</definedName>
    <definedName name="BO6343DE6C7B704817A0546885E051A1D6" hidden="1">#REF!</definedName>
    <definedName name="BO634873F74EAC469682BBECE9867D6B58" hidden="1">#REF!</definedName>
    <definedName name="BO63594AD2F89C441C93AEE7BA06352B19" hidden="1">#REF!</definedName>
    <definedName name="BO636255F5B39145ACA1FE181B679FF5F4" hidden="1">#REF!</definedName>
    <definedName name="BO6381051203C045D0AEB800BAFA8A135F" hidden="1">#REF!</definedName>
    <definedName name="BO63A5C79CE7C34139B49BE467539FA87F" hidden="1">#REF!</definedName>
    <definedName name="BO63D552482BAF4546BC5CB730EBE6FD91" hidden="1">#REF!</definedName>
    <definedName name="BO63E38032E3F644E4BB42E4B51865F168" hidden="1">#REF!</definedName>
    <definedName name="BO63EA90CDEA784E94B8AFC4EC8E6D4E1D" hidden="1">#REF!</definedName>
    <definedName name="BO63EB694AE718408AAD85F588618E2E06" hidden="1">#REF!</definedName>
    <definedName name="BO63ED429219D8463DABEF3E421AFA5D2E" hidden="1">#REF!</definedName>
    <definedName name="BO6411FC75981E4DC0B09655907D7CA477" hidden="1">#REF!</definedName>
    <definedName name="BO64159BC2B6EB41A7AEDE3EC6A5A731B5" hidden="1">#REF!</definedName>
    <definedName name="BO6423233F3D194C0D8979ED4AE7B7CDB9" hidden="1">#REF!</definedName>
    <definedName name="BO6423CEBDDD0A412CBBFAAB3898A9206F" hidden="1">#REF!</definedName>
    <definedName name="BO6432D82A7F18425BBB54846393D2B2B6" hidden="1">#REF!</definedName>
    <definedName name="BO6433583BE03A4C8795312841BAC5EF1E" hidden="1">#REF!</definedName>
    <definedName name="BO643487FBABFD47D1B9671E6FF468E5ED" hidden="1">#REF!</definedName>
    <definedName name="BO6439C973EC234BA5ACB68AB3BE50D62B" hidden="1">#REF!</definedName>
    <definedName name="BO645E3A0AD04E4BA2BD89519BB941D318" hidden="1">#REF!</definedName>
    <definedName name="BO645EE44B4E7D4700B1DFD7503111F62B" hidden="1">#REF!</definedName>
    <definedName name="BO64606B68BF2F487AB9378AADB3D97375" hidden="1">#REF!</definedName>
    <definedName name="BO6462179A1619417A83A9792363E455E4" hidden="1">#REF!</definedName>
    <definedName name="BO6463DB2388284AA895DD7500B09B93C0" hidden="1">#REF!</definedName>
    <definedName name="BO6469F20DC373405B993702B81D5913A5" hidden="1">#REF!</definedName>
    <definedName name="BO6483DEE8FC8B40C7B8F594FC1921C0AB" hidden="1">#REF!</definedName>
    <definedName name="BO64850A1AB52248958D764563AF3B88F1" hidden="1">#REF!</definedName>
    <definedName name="BO64859DECF7D341928F046D284A3663C8" hidden="1">#REF!</definedName>
    <definedName name="BO64891934A661472996AF48149F2FA3CB" hidden="1">#REF!</definedName>
    <definedName name="BO6497356C7659467F83DE769F74DB2C5F" hidden="1">#REF!</definedName>
    <definedName name="BO649FFE5066254E14859C79638F81E31A" hidden="1">#REF!</definedName>
    <definedName name="BO64B9D18A339B4E82BEB117EFBA715E4B" hidden="1">#REF!</definedName>
    <definedName name="BO64BA9EB027D44053B51402E27D984D43" hidden="1">#REF!</definedName>
    <definedName name="BO64CC6257C5BB4544B1EF1D944471BF05" hidden="1">#REF!</definedName>
    <definedName name="BO64DD43D1C5F943F18128ECE58B8A02BC" hidden="1">#REF!</definedName>
    <definedName name="BO64EE1B3E2E524BC1931408F07E22E440" hidden="1">#REF!</definedName>
    <definedName name="BO64F2C7DDE0A34E8BB903ADDBBF23AFA9" hidden="1">#REF!</definedName>
    <definedName name="BO6508BB2AD8E641B69C5D9B319D75ADB7" hidden="1">#REF!</definedName>
    <definedName name="BO650C13AE83C343EBACC8BB1D5111021D" hidden="1">#REF!</definedName>
    <definedName name="BO6532AD466881482590E03ADF20DC051D" hidden="1">#REF!</definedName>
    <definedName name="BO6539F88810B44600B3CC44F202A3E9A1" hidden="1">#REF!</definedName>
    <definedName name="BO653AC79F78084F98BF30F3686F64DB4D" hidden="1">#REF!</definedName>
    <definedName name="BO6544D5D30FE94C7893711F5903A3B5D9" hidden="1">#REF!</definedName>
    <definedName name="BO6575576B73CA4712BEFB29A3A9A228F9" hidden="1">#REF!</definedName>
    <definedName name="BO65A8281E60C44053BCA2C62905C7294C" hidden="1">#REF!</definedName>
    <definedName name="BO65AF0ADBEA604FABB6F823015E2A0312" hidden="1">#REF!</definedName>
    <definedName name="BO65B1FC7930AC4569A87D782EFEA863CD" hidden="1">#REF!</definedName>
    <definedName name="BO65BA49055D564A788303C1D5B6B70FAE" hidden="1">#REF!</definedName>
    <definedName name="BO65C848D545844E74AEAC85B6656A7F71" hidden="1">#REF!</definedName>
    <definedName name="BO65D4C34990C749D99149EFB3442902EC" hidden="1">#REF!</definedName>
    <definedName name="BO65D9F3B0FD514C85A62029A7AF689E83" hidden="1">#REF!</definedName>
    <definedName name="BO66029D8B1A41481A90060C3EA1F21888" hidden="1">#REF!</definedName>
    <definedName name="BO660F27E76F2743E0A9CA43DB71AE88AD" hidden="1">#REF!</definedName>
    <definedName name="BO662440E41F1741A2A2721ECCCA48BE17" hidden="1">#REF!</definedName>
    <definedName name="BO6627790CD7274958AD09391A717C7A39" hidden="1">#REF!</definedName>
    <definedName name="BO662B6CEAD0AF4B30B7CBEFE678A5085C" hidden="1">#REF!</definedName>
    <definedName name="BO663F42AAAB2E4481BC57610860CD06FF" hidden="1">#REF!</definedName>
    <definedName name="BO664A2099EDCA4D7DBF42D984D09C77F0" hidden="1">#REF!</definedName>
    <definedName name="BO664B4581B48F4D89A18D2147666EF6D7" hidden="1">#REF!</definedName>
    <definedName name="BO666B53C5597A48199D7B652E49ACE44D" hidden="1">#REF!</definedName>
    <definedName name="BO667A065EC72B4C18B71122F74A6AA78A" hidden="1">#REF!</definedName>
    <definedName name="BO667B660A002E46F59446A55E83F3DD2A" hidden="1">#REF!</definedName>
    <definedName name="BO66986FCDE027458FA62A037F00F43F61" hidden="1">#REF!</definedName>
    <definedName name="BO66A2EFF7776948BA9AA7A175301560AA" hidden="1">#REF!</definedName>
    <definedName name="BO66BA8761FCBD409AA9CB741F5346428E" hidden="1">#REF!</definedName>
    <definedName name="BO66BB94EBB1DA4F5B9588AE37EECDD337" hidden="1">#REF!</definedName>
    <definedName name="BO66CAA06315CE4A0D83632A168E695E98" hidden="1">#REF!</definedName>
    <definedName name="BO66D2B05D857142ADB41334DF2CA1C491" hidden="1">#REF!</definedName>
    <definedName name="BO66E03743A4EE438F9AB7257C6CB4C2E7" hidden="1">#REF!</definedName>
    <definedName name="BO66E25294A0CA42FE928999169BC25F11" hidden="1">#REF!</definedName>
    <definedName name="BO66ED4AA2CC034116BDB91C024F555558" hidden="1">#REF!</definedName>
    <definedName name="BO66F41CB22A0E4A64B013AF3850EBED07" hidden="1">#REF!</definedName>
    <definedName name="BO670E0CA6E03A4A80B1636E22CFB5D3A8" hidden="1">#REF!</definedName>
    <definedName name="BO67127D65C8B244B5BB412DE17003715D" hidden="1">#REF!</definedName>
    <definedName name="BO671688DCDB4B483A894E29F6D231299E" hidden="1">#REF!</definedName>
    <definedName name="BO671FC621F5464305BB220A1036FBD91D" hidden="1">#REF!</definedName>
    <definedName name="BO67235AAEA53943DA8E3A17FEA2A9CDE9" hidden="1">#REF!</definedName>
    <definedName name="BO672A7578B531443F973979F5A0969D97" hidden="1">#REF!</definedName>
    <definedName name="BO672E8FDFBD36414597A72D4B7E94182B" hidden="1">#REF!</definedName>
    <definedName name="BO673063B8FF87430BB9EDBF3A4E143F53" hidden="1">#REF!</definedName>
    <definedName name="BO6739F45E8554427FB54A8E466A8E249A" hidden="1">#REF!</definedName>
    <definedName name="BO673BB21E54314F00973589AC368E30B2" hidden="1">#REF!</definedName>
    <definedName name="BO673E6BEB2EE142289E3C30746E488B75" hidden="1">#REF!</definedName>
    <definedName name="BO6741355C0F014A508192A4CD03692F11" hidden="1">#REF!</definedName>
    <definedName name="BO6749F6A4197B4D6E9187ADBD4C6D3E9A" hidden="1">#REF!</definedName>
    <definedName name="BO67533EA6D04240D48B3A9395CDECDB8D" hidden="1">#REF!</definedName>
    <definedName name="BO675C8934274A466E92901183185078EA" hidden="1">#REF!</definedName>
    <definedName name="BO676E843689F14388A99B0E52C08F2CA0" hidden="1">#REF!</definedName>
    <definedName name="BO677D79CB5B4E450EB369C28034B70BE1" hidden="1">#REF!</definedName>
    <definedName name="BO679AB8A3716F4B5EBA114C65534C764C" hidden="1">#REF!</definedName>
    <definedName name="BO67B46DF4647042ADAA12A8F572440497" hidden="1">#REF!</definedName>
    <definedName name="BO67C9522D8D07468EBB50A8437EC99CF6" hidden="1">#REF!</definedName>
    <definedName name="BO67CEA359E9CE4C999392E4F16D5B712B" hidden="1">#REF!</definedName>
    <definedName name="BO67D49399466648019AA41AA9784A31C6" hidden="1">#REF!</definedName>
    <definedName name="BO67E874D176F9487AB65D8ED364F1979D" hidden="1">#REF!</definedName>
    <definedName name="BO680A36C2E43E4245934EE681ECC82FC1" hidden="1">#REF!</definedName>
    <definedName name="BO68175D75669744F7AF9A63EEA9BB3D66" hidden="1">#REF!</definedName>
    <definedName name="BO682A4AEBA1664BAAADB94A3FAC074D26" hidden="1">#REF!</definedName>
    <definedName name="BO684ADD0D089040709774B5CFD2C3443B" hidden="1">#REF!</definedName>
    <definedName name="BO686267FE2EE84D7281054756EF140D91" hidden="1">#REF!</definedName>
    <definedName name="BO6875B76CC8C447C0B62021C394829A61" hidden="1">#REF!</definedName>
    <definedName name="BO6877ECFB96CD4021B816A19E43C7EA90" hidden="1">#REF!</definedName>
    <definedName name="BO6885C2074E0345E486028EA8690C5A58" hidden="1">#REF!</definedName>
    <definedName name="BO688913F3AD24462DB5D92F928851154E" hidden="1">#REF!</definedName>
    <definedName name="BO68983402BEF841C6A14B8790F2BB14F3" hidden="1">#REF!</definedName>
    <definedName name="BO68A52EDB58B047EBAB692AD4AD9092B4" hidden="1">#REF!</definedName>
    <definedName name="BO68B5D0347A3B4C45B93128A49F2C24BC" hidden="1">#REF!</definedName>
    <definedName name="BO68C53041BF4B4D679CDA7400750A51EB" hidden="1">#REF!</definedName>
    <definedName name="BO68CBB64A056C4E64BB288A7CB4A517C5" hidden="1">#REF!</definedName>
    <definedName name="BO68D12A85E19F4B13A5B938E85DFDE2C3" hidden="1">#REF!</definedName>
    <definedName name="BO68D494F3DC4249C7A3C6B5F72B708493" hidden="1">#REF!</definedName>
    <definedName name="BO68DA9BD1E2964BE2A3F04AF59C32DBE5" hidden="1">#REF!</definedName>
    <definedName name="BO68E69B5C80AA460C8EB65FD70C065684" hidden="1">#REF!</definedName>
    <definedName name="BO68F34104A81B4001B16F25117594BF83" hidden="1">#REF!</definedName>
    <definedName name="BO690095ECCDDA47759583E0F63E46CB8D" hidden="1">#REF!</definedName>
    <definedName name="BO690333D99E21475BA1F1C889808EFC50" hidden="1">#REF!</definedName>
    <definedName name="BO6918ADAA8D3B4DDAB0A5DA0166130D2D" hidden="1">#REF!</definedName>
    <definedName name="BO693117EFAD7746E0A2E0AED86126C5BC" hidden="1">#REF!</definedName>
    <definedName name="BO6932CE89466A4A42B78148CFA7240123" hidden="1">#REF!</definedName>
    <definedName name="BO693FC971D6ED4A55A86888919A9DB0CF" hidden="1">#REF!</definedName>
    <definedName name="BO696156486CFD4840B0BCEC1EFF93B48D" hidden="1">#REF!</definedName>
    <definedName name="BO698D432785E141D3900FB94F366D3A63" hidden="1">#REF!</definedName>
    <definedName name="BO69AA4ECF12B044EEAFD9A73AA05E9DD3" hidden="1">#REF!</definedName>
    <definedName name="BO69B6C97168F643EBAEAF15C4252B386D" hidden="1">#REF!</definedName>
    <definedName name="BO69BB0513E70142D1A0A910E1E9902F95" hidden="1">#REF!</definedName>
    <definedName name="BO69BDD9E0EAF141A0AE757EC95ED2148A" hidden="1">#REF!</definedName>
    <definedName name="BO69C5B13FC2FF4218B0BC1C23456D8181" hidden="1">#REF!</definedName>
    <definedName name="BO69C80D35123349E5BF90B92945C649EC" hidden="1">#REF!</definedName>
    <definedName name="BO69CD81248F9B4AA3802DF8219F9F278E" hidden="1">#REF!</definedName>
    <definedName name="BO69D2D572C628441A9870809362A4640F" hidden="1">#REF!</definedName>
    <definedName name="BO69D9A3CA1E984FD0BE77F559C481649E" hidden="1">#REF!</definedName>
    <definedName name="BO69E3955CB2274252BFEEB4D5CEFF48BD" hidden="1">#REF!</definedName>
    <definedName name="BO69EFFF11C1D64A69977193D988175ABD" hidden="1">#REF!</definedName>
    <definedName name="BO69F6A0B841EB4905AA96A37B690FED7C" hidden="1">#REF!</definedName>
    <definedName name="BO69FC4A14559D4FC7A82396779DCCF87F" hidden="1">#REF!</definedName>
    <definedName name="BO6A0F97D1C1E44CB5AF6CF13D3CFF16C9" hidden="1">#REF!</definedName>
    <definedName name="BO6A1828A3B89B4F16A5CD51EC593037F8" hidden="1">#REF!</definedName>
    <definedName name="BO6A37866A83634F9E95613C4072888AD6" hidden="1">#REF!</definedName>
    <definedName name="BO6A3DDA6506544E82B855C0D104B49B31" hidden="1">#REF!</definedName>
    <definedName name="BO6A5FD84F6F2D4ACA986DAF8954370CFC" hidden="1">#REF!</definedName>
    <definedName name="BO6A6A105B80F247498AEB7B7C2424902B" hidden="1">#REF!</definedName>
    <definedName name="BO6A75FD17C5F84A5B895D0872AAC774EA" hidden="1">#REF!</definedName>
    <definedName name="BO6A8D4384F4F04AB68C360BC19A8E888B" hidden="1">#REF!</definedName>
    <definedName name="BO6A8F74DF85B74789BF09E157CAC29EA7" hidden="1">#REF!</definedName>
    <definedName name="BO6A98F138473F4322B0D217EE73407139" hidden="1">#REF!</definedName>
    <definedName name="BO6AB88B5E27914A5A809CAE5034823875" hidden="1">#REF!</definedName>
    <definedName name="BO6ABD9CCC4D25488E99F8208B897C4684" hidden="1">#REF!</definedName>
    <definedName name="BO6AD23BDF244147F8AF7DA4DDD31EE46C" hidden="1">#REF!</definedName>
    <definedName name="BO6AD5CB46C52F45AD89FE0A78E993415F" hidden="1">#REF!</definedName>
    <definedName name="BO6ADA4A7B015A47E48CE18453C09A9A28" hidden="1">#REF!</definedName>
    <definedName name="BO6ADEE4E9D1B24ABE9AB27B51E75371AD" hidden="1">#REF!</definedName>
    <definedName name="BO6AF18A10CDCF440DB1E02F7DBB82CAD7" hidden="1">#REF!</definedName>
    <definedName name="BO6AF477B638E44E20A0BD692E64AEB6F0" hidden="1">#REF!</definedName>
    <definedName name="BO6B1945964BE143908741B3F2E29A94C6" hidden="1">#REF!</definedName>
    <definedName name="BO6B1B62AE30874F499FA666BE2F327947" hidden="1">#REF!</definedName>
    <definedName name="BO6B2CF716FD1A4BC3928BCB0EC72E3B0D" hidden="1">#REF!</definedName>
    <definedName name="BO6B633C7623204F9094615B141A8633A2" hidden="1">#REF!</definedName>
    <definedName name="BO6B65AA80B7B94E3EBB44EA3773D6040B" hidden="1">#REF!</definedName>
    <definedName name="BO6B71F895F44643F6AAD789C645D0E8E0" hidden="1">#REF!</definedName>
    <definedName name="BO6B73A17D64BA4782926E463DAFDD5DE6" hidden="1">#REF!</definedName>
    <definedName name="BO6B812A897E8A4C32A95A884582F071DE" hidden="1">#REF!</definedName>
    <definedName name="BO6B9278E652164F859465D5128E6C2661" hidden="1">#REF!</definedName>
    <definedName name="BO6B9770CD5DD64888A71AF866E1317654" hidden="1">#REF!</definedName>
    <definedName name="BO6B97BB91ACFB4324BA4CFC955A81ADAA" hidden="1">#REF!</definedName>
    <definedName name="BO6BB6CEC9030845D6AFE276314C069DEC" hidden="1">#REF!</definedName>
    <definedName name="BO6BC86BAA41A547468F6E9AD7931F5287" hidden="1">#REF!</definedName>
    <definedName name="BO6BCCBE0EB9B748A89BDEE5D538ACCDED" hidden="1">#REF!</definedName>
    <definedName name="BO6BCFA7C129A2467E97E597A5147106E1" hidden="1">#REF!</definedName>
    <definedName name="BO6BD7D8156ED44891A5AF1DABF35D4404" hidden="1">#REF!</definedName>
    <definedName name="BO6C05F334454F41C8B0B3678171CEC732" hidden="1">#REF!</definedName>
    <definedName name="BO6C082E03050E482090B01D3CEE896CE6" hidden="1">#REF!</definedName>
    <definedName name="BO6C14BF4B04934E5CBE6EE431E789557C" hidden="1">#REF!</definedName>
    <definedName name="BO6C32A595014942B9A3831CB8C8F5E2EA" hidden="1">#REF!</definedName>
    <definedName name="BO6C53FE4A9545404182096D5994AC6984" hidden="1">#REF!</definedName>
    <definedName name="BO6C68BCC504F8443F856209C9C3C616C1" hidden="1">#REF!</definedName>
    <definedName name="BO6C7B68AFFBF542AB92C74DA9AC564B9F" hidden="1">#REF!</definedName>
    <definedName name="BO6C8F4C54FA22481EA25C9A6E14DB3EE0" hidden="1">#REF!</definedName>
    <definedName name="BO6C9B49F98CDA4EA0BEE9A12B41DE321B" hidden="1">#REF!</definedName>
    <definedName name="BO6CA34BCFD336480891D464857FAA1BFF" hidden="1">#REF!</definedName>
    <definedName name="BO6CAC87F339424FCBA71C90521188D9F3" hidden="1">#REF!</definedName>
    <definedName name="BO6CB7E9FA015D4601B74A9160B4320DF4" hidden="1">#REF!</definedName>
    <definedName name="BO6CDAACDB80C44EE08FD1B48B64874B5D" hidden="1">#REF!</definedName>
    <definedName name="BO6D0F59F7AB17425391677B66BABB84D6" hidden="1">#REF!</definedName>
    <definedName name="BO6D170E9FBADE4FC38A06EEAB1545E1EA" hidden="1">#REF!</definedName>
    <definedName name="BO6D216F35BD0F4066AC051FA2D670BD8D" hidden="1">#REF!</definedName>
    <definedName name="BO6D36F5B3B1B24C41BA7F9A26F47F6E6F" hidden="1">#REF!</definedName>
    <definedName name="BO6D446ED435C340BBB7D6E1DABF2612F9" hidden="1">#REF!</definedName>
    <definedName name="BO6D48B3A216EA475B9802212D00F2F43D" hidden="1">#REF!</definedName>
    <definedName name="BO6D535671CDBC4974AB1282A1B1D89024" hidden="1">#REF!</definedName>
    <definedName name="BO6D66D61AD1F44BC591494E58F4633655" hidden="1">#REF!</definedName>
    <definedName name="BO6D68ACA13E9945B3B4DF4A816D7D68D5" hidden="1">#REF!</definedName>
    <definedName name="BO6D89CBAC72F246149DB7693180F006CD" hidden="1">#REF!</definedName>
    <definedName name="BO6DA4F1D73BA6411E9FBD0CE47971B2CD" hidden="1">#REF!</definedName>
    <definedName name="BO6DA6B561581B4C5A827566AE19789900" hidden="1">#REF!</definedName>
    <definedName name="BO6DC11329AD0740E799763A031043BBD3" hidden="1">#REF!</definedName>
    <definedName name="BO6DC931580F3C4359A5BC7F266049ACC9" hidden="1">#REF!</definedName>
    <definedName name="BO6E14624575F84422ACE75B64EBEB0BB3" hidden="1">#REF!</definedName>
    <definedName name="BO6E1A2CC213FE4F4C939E930D9EB83860" hidden="1">#REF!</definedName>
    <definedName name="BO6E20ACC79B454036B34808A961B58196" hidden="1">#REF!</definedName>
    <definedName name="BO6E21344F47774A6EB1FA9F73B7BD2423" hidden="1">#REF!</definedName>
    <definedName name="BO6E22843EA19844B0B55F5C791BB96366" hidden="1">#REF!</definedName>
    <definedName name="BO6E23B8A0EB9046A88185C392A061ABB5" hidden="1">#REF!</definedName>
    <definedName name="BO6E2C21D508264F6B8B5C46A44C349884" hidden="1">#REF!</definedName>
    <definedName name="BO6E3332008FDA467AA9504CA65176743A" hidden="1">#REF!</definedName>
    <definedName name="BO6E3B087FC35F4CEF8A675BF257C8954A" hidden="1">#REF!</definedName>
    <definedName name="BO6E3F7562572A4DBB9CCB8552A974008A" hidden="1">#REF!</definedName>
    <definedName name="BO6E4A146D0BBC4F9E809CD4A7ADDFE62E" hidden="1">#REF!</definedName>
    <definedName name="BO6E525CCAF5C14CE58AA18850F7DD1E07" hidden="1">#REF!</definedName>
    <definedName name="BO6E6B27F605174A62AFD4C10620DE81C5" hidden="1">#REF!</definedName>
    <definedName name="BO6E6E118DE50042B0B09AD0A25D65F394" hidden="1">#REF!</definedName>
    <definedName name="BO6E70B28951014364A451420F03B782CE" hidden="1">#REF!</definedName>
    <definedName name="BO6EAC14737525425DB3D048A74D3C2555" hidden="1">#REF!</definedName>
    <definedName name="BO6EB9FF4451774C2DB2F4D3926A2E04F6" hidden="1">#REF!</definedName>
    <definedName name="BO6EDC325F257E4ED6ACC7EAE5B7ACFF4E" hidden="1">#REF!</definedName>
    <definedName name="BO6EFECEF948934EE8B681373562125C2A" hidden="1">#REF!</definedName>
    <definedName name="BO6F1385820D1146F59BF8E33FCC8B729C" hidden="1">#REF!</definedName>
    <definedName name="BO6F1609D75ECD4FF6BC0FF6228940675C" hidden="1">#REF!</definedName>
    <definedName name="BO6F1E1F5F203B44BC9BB6CFF0E412E2D8" hidden="1">#REF!</definedName>
    <definedName name="BO6F28430159734749B88F699C86A3550B" hidden="1">#REF!</definedName>
    <definedName name="BO6F2B543083E5431B81CF7A901F753BB3" hidden="1">#REF!</definedName>
    <definedName name="BO6F3A5D1BC4944DBFBC8CE1F552DF33DA" hidden="1">#REF!</definedName>
    <definedName name="BO6F5267EB45D64C5F926243284B69BCA6" hidden="1">#REF!</definedName>
    <definedName name="BO6F536741FBB948678BFEC393C691E5D5" hidden="1">#REF!</definedName>
    <definedName name="BO6F70F171E044490BBAE91DB164C68637" hidden="1">#REF!</definedName>
    <definedName name="BO6F7397E62F854ABC9A4B8569B35A4877" hidden="1">#REF!</definedName>
    <definedName name="BO6F876995575C4527A03B04DA744B73FB" hidden="1">#REF!</definedName>
    <definedName name="BO6F8B2C78A55547ABB0C48FC6934DCF63" hidden="1">#REF!</definedName>
    <definedName name="BO6F8BE8BFA7B14E74A66FAD1B14B2A888" hidden="1">#REF!</definedName>
    <definedName name="BO6F92FC3693EE4EEBB198A7240B443EAC" hidden="1">#REF!</definedName>
    <definedName name="BO6FA06320574E4113A9F484A352C77D5F" hidden="1">#REF!</definedName>
    <definedName name="BO6FA2D2E1C86D45A9AAD071B3BB6FAF17" hidden="1">#REF!</definedName>
    <definedName name="BO6FA69CEBBC6742018331746C19B43A60" hidden="1">#REF!</definedName>
    <definedName name="BO6FC7AAE6DE0245BF93272BB56E0A78F5" hidden="1">#REF!</definedName>
    <definedName name="BO6FC857D8CD534A2BBA93AA618401DDF0" hidden="1">#REF!</definedName>
    <definedName name="BO6FDA6E7D206B4B7B81E7695256A17B10" hidden="1">#REF!</definedName>
    <definedName name="BO6FED0E09E17C44269179A5BC3F6CC318" hidden="1">#REF!</definedName>
    <definedName name="BO700D962BEB2C4A76B4DB1654681DB4D5" hidden="1">#REF!</definedName>
    <definedName name="BO7015443836B74EC2A91F23CB32C3480B" hidden="1">#REF!</definedName>
    <definedName name="BO703AED9A8E984D3DB066D87D9CC0AAF8" hidden="1">#REF!</definedName>
    <definedName name="BO704C6C247BF34D5D872EAA7A4550FBEE" hidden="1">#REF!</definedName>
    <definedName name="BO7051D964B75444359686A6D8EA8EE8AB" hidden="1">#REF!</definedName>
    <definedName name="BO705AA68EEE5045D5ABD49408A5B998C9" hidden="1">#REF!</definedName>
    <definedName name="BO705CF1DFE0DE4D389EF730530C15C154" hidden="1">#REF!</definedName>
    <definedName name="BO7061C029DB7E4C3CB5AA4DDE2460392C" hidden="1">#REF!</definedName>
    <definedName name="BO70721C3B367B422481FFAAD104DCCCA2" hidden="1">#REF!</definedName>
    <definedName name="BO7094E562A1184812844CD42EA41E280A" hidden="1">#REF!</definedName>
    <definedName name="BO709D805274E54AF3AA32CF1B6AD15A1C" hidden="1">#REF!</definedName>
    <definedName name="BO70B2AA6445EA47EDB7786D6CD3A62236" hidden="1">#REF!</definedName>
    <definedName name="BO70BDCDFEA7D14BD68ED91DF4F317EEA2" hidden="1">#REF!</definedName>
    <definedName name="BO70D0854C22B14EAE9D1F54762135E8FE" hidden="1">#REF!</definedName>
    <definedName name="BO70E92A1D6FF74D27867C0F32BAB90DD4" hidden="1">#REF!</definedName>
    <definedName name="BO70ECA966E29F418D9D52FC442E1E8353" hidden="1">#REF!</definedName>
    <definedName name="BO7106DC84060C4E658091D86955D71B96" hidden="1">#REF!</definedName>
    <definedName name="BO7115A024589A458DBCF979CC6D4B6CB8" hidden="1">#REF!</definedName>
    <definedName name="BO71164FEDC0414AD99851253B5348D961" hidden="1">#REF!</definedName>
    <definedName name="BO711B66F082F44A9088D212AFA6F0C640" hidden="1">#REF!</definedName>
    <definedName name="BO71325101CDD14BD4847E605FB812E00E" hidden="1">#REF!</definedName>
    <definedName name="BO71392F77D91448CF871C0C981693FA2E" hidden="1">#REF!</definedName>
    <definedName name="BO713ED7417A1C4961A087E5B2B6BF355D" hidden="1">#REF!</definedName>
    <definedName name="BO714401B393DD4212943A782A10935BE5" hidden="1">#REF!</definedName>
    <definedName name="BO71501A619EC940FFBE5BCA0DEF8E66DF" hidden="1">#REF!</definedName>
    <definedName name="BO71647D71CEE34A698C626CC0B63F81FC" hidden="1">#REF!</definedName>
    <definedName name="BO7175CAAF3192416F81818DEE2F4223B0" hidden="1">#REF!</definedName>
    <definedName name="BO7193371CFD16425AA21553D11A0FB8E3" hidden="1">#REF!</definedName>
    <definedName name="BO71A1222E47594EE5868DB4CC220999C8" hidden="1">#REF!</definedName>
    <definedName name="BO71B3C99DBD0646128A15EEAB772F5CED" hidden="1">#REF!</definedName>
    <definedName name="BO71B52B4755A04EEEBA1DD42664113096" hidden="1">#REF!</definedName>
    <definedName name="BO71B62A503F0F4126B139358A87402C5F" hidden="1">#REF!</definedName>
    <definedName name="BO71B7589B9856461080585E9960F4C5F2" hidden="1">#REF!</definedName>
    <definedName name="BO71CBB851E18B4919B08BECFF7D168564" hidden="1">#REF!</definedName>
    <definedName name="BO71D22361E628411D99E583D71033DC8A" hidden="1">#REF!</definedName>
    <definedName name="BO71E3CA1F3102488E93395246AD1ED12F" hidden="1">#REF!</definedName>
    <definedName name="BO71E95B7CDEEB417C88423FBD234F13B1" hidden="1">#REF!</definedName>
    <definedName name="BO71F0E3143CF5473C86FFF303BA8CD219" hidden="1">#REF!</definedName>
    <definedName name="BO71F834AEB5174A799F92A83D02A96630" hidden="1">#REF!</definedName>
    <definedName name="BO720382D08E8E4C7CA64CA1B2D5DF0FB5" hidden="1">#REF!</definedName>
    <definedName name="BO720E17A1FC904AEA9771020EAD10F005" hidden="1">#REF!</definedName>
    <definedName name="BO72215A72BC8D474AA13A45CAD99CBE96" hidden="1">#REF!</definedName>
    <definedName name="BO723F3F9D1C9D4E4984DAF709942090DC" hidden="1">#REF!</definedName>
    <definedName name="BO72594168DF2A494A91D06EC22DAB422F" hidden="1">#REF!</definedName>
    <definedName name="BO72696F3AD0DC4BB4A8849A9C62103D38" hidden="1">#REF!</definedName>
    <definedName name="BO7279B40C726743AEA1D10F4FDA82E066" hidden="1">#REF!</definedName>
    <definedName name="BO728B0017AA77456B8E2C6F6B30752208" hidden="1">#REF!</definedName>
    <definedName name="BO729C7144BF3B410F86A028559201D1BC" hidden="1">#REF!</definedName>
    <definedName name="BO72DF2669029F43D4A7EE2D39EBA2DB8E" hidden="1">#REF!</definedName>
    <definedName name="BO72E529392E8C430F8DEA197B49A0A5F6" hidden="1">#REF!</definedName>
    <definedName name="BO72E60F5DCCF74F1B93CFA3ADB443A3E4" hidden="1">#REF!</definedName>
    <definedName name="BO7307D59A4B214EAE86562607C85423E4" hidden="1">#REF!</definedName>
    <definedName name="BO732A8554BE6E48928EC9FA8C27CBB115" hidden="1">#REF!</definedName>
    <definedName name="BO733A76867FB140DD84019718911041D5" hidden="1">#REF!</definedName>
    <definedName name="BO733E15FC2902430994339FF32CD32B87" hidden="1">#REF!</definedName>
    <definedName name="BO739D4ED563DB42BFA16CE320226F8C0E" hidden="1">#REF!</definedName>
    <definedName name="BO73C8D12805554866BDCFE518BBA0B179" hidden="1">#REF!</definedName>
    <definedName name="BO73D5E3CE0DB6414399F7EE6D4D82A5D9" hidden="1">#REF!</definedName>
    <definedName name="BO73DBB5DE1D1C4A9AA93FF45D7FECB44A" hidden="1">#REF!</definedName>
    <definedName name="BO740BD9ACD53D4068A50D01FBE388B184" hidden="1">#REF!</definedName>
    <definedName name="BO742F8B43AB074371B4AD08D54D922616" hidden="1">#REF!</definedName>
    <definedName name="BO7433D289F3EE4AD5B3DDD614BA44F5B7" hidden="1">#REF!</definedName>
    <definedName name="BO744C6FF338404A72B908880C1000DC85" hidden="1">#REF!</definedName>
    <definedName name="BO745C72726784433CA2465633D103E307" hidden="1">#REF!</definedName>
    <definedName name="BO747581AAE69340A3AA55D7E0E33F3BD2" hidden="1">#REF!</definedName>
    <definedName name="BO747777D08E1846DC8991CCBC7164B956" hidden="1">#REF!</definedName>
    <definedName name="BO74850815E6B1496FB74F7BD6E50A4B3F" hidden="1">#REF!</definedName>
    <definedName name="BO7489D89D257D4CE6801233C07C739082" hidden="1">#REF!</definedName>
    <definedName name="BO748A034528AC408E83941B792E8FA572" hidden="1">#REF!</definedName>
    <definedName name="BO749E262EE3F74E87B01233AA40976477" hidden="1">#REF!</definedName>
    <definedName name="BO749F772B071B40049D72BA25C5D2063A" hidden="1">#REF!</definedName>
    <definedName name="BO74A1A29B69E9443FA4638F301D0015DC" hidden="1">#REF!</definedName>
    <definedName name="BO74AA6B1CC6D84BBFA988B6B4C90AD17D" hidden="1">#REF!</definedName>
    <definedName name="BO74AD698488404B1CB4177B8361C2BBAC" hidden="1">#REF!</definedName>
    <definedName name="BO74E54C7D3DB246FD92CE6991D9B2A618" hidden="1">#REF!</definedName>
    <definedName name="BO74EBB284B6E44D8F991552BD3F66BCEE" hidden="1">#REF!</definedName>
    <definedName name="BO74F61FD7579A48E9B280208A620C9635" hidden="1">#REF!</definedName>
    <definedName name="BO74FA7C7274734F50A2C7ABA669DD3A3A" hidden="1">#REF!</definedName>
    <definedName name="BO74FB646248E345A29000CB6D66A465DD" hidden="1">#REF!</definedName>
    <definedName name="BO751BB62B928C4F22B20A477A18A85A03" hidden="1">#REF!</definedName>
    <definedName name="BO751EFE8409AB404FA29414B918942BC8" hidden="1">#REF!</definedName>
    <definedName name="BO75258E2858A9487EB7D94A55D3F6F8F6" hidden="1">#REF!</definedName>
    <definedName name="BO7552B7430960451983BCA0E9C2DDE054" hidden="1">#REF!</definedName>
    <definedName name="BO755BFAF8F1BE47CE93D2E222DC51550B" hidden="1">#REF!</definedName>
    <definedName name="BO7562C53675A4442291F4941566F0657B" hidden="1">#REF!</definedName>
    <definedName name="BO75691212455E4A329A200FEED489F25F" hidden="1">#REF!</definedName>
    <definedName name="BO756E3C1445D247469896FA894EC4F005" hidden="1">#REF!</definedName>
    <definedName name="BO7580E6D7B3D94206932D02E17C652894" hidden="1">#REF!</definedName>
    <definedName name="BO759F8AE7EA794C918C72E12E9DCF68A2" hidden="1">#REF!</definedName>
    <definedName name="BO75A2E743AECE46AFA74D486D82926E01" hidden="1">#REF!</definedName>
    <definedName name="BO75ADB4F32A9B4C6B9B23A6F06C77B2FA" hidden="1">#REF!</definedName>
    <definedName name="BO75B1AFE3E773475FB97325EBA97E15D4" hidden="1">#REF!</definedName>
    <definedName name="BO75B2A50A512A4FA7836B1E29BCA91A33" hidden="1">#REF!</definedName>
    <definedName name="BO75C4101A9A9A47BE958056E317701004" hidden="1">#REF!</definedName>
    <definedName name="BO75EC821199834E478B5ABFB12B4E254B" hidden="1">#REF!</definedName>
    <definedName name="BO75FF3FD4DDA84CB39C4F91511EB9CE55" hidden="1">#REF!</definedName>
    <definedName name="BO76000B08B14A42FA8E260991624932B5" hidden="1">#REF!</definedName>
    <definedName name="BO760478BC3AC541D48B8B653180858CA8" hidden="1">#REF!</definedName>
    <definedName name="BO7616C585F3CB41AAB5664406530DF865" hidden="1">#REF!</definedName>
    <definedName name="BO7635DBD7D9EA4A9EB2FDC8887484CB03" hidden="1">#REF!</definedName>
    <definedName name="BO764BF2A83F7648B194FC408EF8CFF943" hidden="1">#REF!</definedName>
    <definedName name="BO765AA2EEEF294B398E999B00181EB5D2" hidden="1">#REF!</definedName>
    <definedName name="BO7663B46CDF5746FEA8D1B90DAA9D7343" hidden="1">#REF!</definedName>
    <definedName name="BO769763BAB5954C2CB9C8F0FB4E51FD3C" hidden="1">#REF!</definedName>
    <definedName name="BO76AB248C19CA4AC8A89A4E53C9FA6D85" hidden="1">#REF!</definedName>
    <definedName name="BO76BFF644480C4F3281F232780DF5A3C3" hidden="1">#REF!</definedName>
    <definedName name="BO76C044F1E3A04423B809A94C35FD6957" hidden="1">#REF!</definedName>
    <definedName name="BO76CA88E084EC4A54AEC7CA1F00F2CFC4" hidden="1">#REF!</definedName>
    <definedName name="BO76DA8C49D5AC48959D01ACC0A51323E6" hidden="1">#REF!</definedName>
    <definedName name="BO76DE8D9A64C642A29533096617FC630B" hidden="1">#REF!</definedName>
    <definedName name="BO76E22452186B46008F3660DC31EBD910" hidden="1">#REF!</definedName>
    <definedName name="BO76E9430E1E124C8E90FE35356FFD4346" hidden="1">#REF!</definedName>
    <definedName name="BO76F1277B777341A8B7E848FB8850450E" hidden="1">#REF!</definedName>
    <definedName name="BO7700E20E746149E291ACCD677C9D0766" hidden="1">#REF!</definedName>
    <definedName name="BO77161466E3A248C6B42360A44488D5EB" hidden="1">#REF!</definedName>
    <definedName name="BO772857C878F74C8EBAC2132A89BCE5D2" hidden="1">#REF!</definedName>
    <definedName name="BO773483D3E1804CA69CB9EBAB8EDF44E2" hidden="1">#REF!</definedName>
    <definedName name="BO7735543194A245FBAB0BB9E8F74851DA" hidden="1">#REF!</definedName>
    <definedName name="BO7764E7B14F1F4E928E4376007F22ABAF" hidden="1">#REF!</definedName>
    <definedName name="BO77695282BC6543E78901B61E174FC4C5" hidden="1">#REF!</definedName>
    <definedName name="BO776D31E7DE54463996D9740301E09A69" hidden="1">#REF!</definedName>
    <definedName name="BO77723F0E62C44BD3A26ABA5DD53B4F2A" hidden="1">#REF!</definedName>
    <definedName name="BO779B8AFDFA224D6E80183E1B1730EF55" hidden="1">#REF!</definedName>
    <definedName name="BO77A82294730E49ADA1F07FC8F00AA69D" hidden="1">#REF!</definedName>
    <definedName name="BO77B7B8FE7C7C407188A917BF9894F7B3" hidden="1">#REF!</definedName>
    <definedName name="BO77C82593E41A45ECB6AACAD24353B3C8" hidden="1">#REF!</definedName>
    <definedName name="BO77CC4968C6FB4AE891D9203BB882D196" hidden="1">#REF!</definedName>
    <definedName name="BO77D9D9C12007469C8117D346871D21B6" hidden="1">#REF!</definedName>
    <definedName name="BO77DD96FC41644A179BBE4D77953EA545" hidden="1">#REF!</definedName>
    <definedName name="BO77DDF20EB7E747B18FDB62A0C4C1FFAD" hidden="1">#REF!</definedName>
    <definedName name="BO77E21B89C8AB4C31920492CF930D9D60" hidden="1">#REF!</definedName>
    <definedName name="BO77E3BD8340C8474DA7D45CEC71ECC2E7" hidden="1">#REF!</definedName>
    <definedName name="BO77E8C8B472FB4B819A91453E470878FD" hidden="1">#REF!</definedName>
    <definedName name="BO77F95E176C874197841F89E81E80D23A" hidden="1">#REF!</definedName>
    <definedName name="BO780FE6F4A17D423CAAAE5E547813AF83" hidden="1">#REF!</definedName>
    <definedName name="BO7825A254A3284232B88DD51D44537CE6" hidden="1">#REF!</definedName>
    <definedName name="BO78293AB6CE91423691629BC52DBE67C5" hidden="1">#REF!</definedName>
    <definedName name="BO782BF3A2FE74493EA32AE98343C4B741" hidden="1">#REF!</definedName>
    <definedName name="BO78415DE1130A4BCAA846B21E0EC5D667" hidden="1">#REF!</definedName>
    <definedName name="BO786482A3A5514950BBE4162F7C12A46A" hidden="1">#REF!</definedName>
    <definedName name="BO786697ABC0C84CF1B19EE4CA49BA3E7D" hidden="1">#REF!</definedName>
    <definedName name="BO788202490D204F1EBB6ABB5D2CC3CA1D" hidden="1">#REF!</definedName>
    <definedName name="BO788E5D3E853547BEB61F3C3B672B183E" hidden="1">#REF!</definedName>
    <definedName name="BO788ED74ED939412CB753298F77C36E43" hidden="1">#REF!</definedName>
    <definedName name="BO7893E4A0FDDA4DEFB6C87748B1C0D7E5" hidden="1">#REF!</definedName>
    <definedName name="BO789DA51DABB64E6DAEBD39A29FB548FA" hidden="1">#REF!</definedName>
    <definedName name="BO78A26449E14A4E0898706C634FB8920A" hidden="1">#REF!</definedName>
    <definedName name="BO78B26688225A431E92C72662FBF21F94" hidden="1">#REF!</definedName>
    <definedName name="BO78C24C51799B48EC9BAD7647746A6F2F" hidden="1">#REF!</definedName>
    <definedName name="BO78CEEB703E4C4D78A579EE8F6D76D929" hidden="1">#REF!</definedName>
    <definedName name="BO78F8A1A2414E4CD5960CB76850A8B04C" hidden="1">#REF!</definedName>
    <definedName name="BO7900DBEF3E8C481CB1DBCA63E0704C8E" hidden="1">#REF!</definedName>
    <definedName name="BO7907856B095644F1BD520AE5B6D99E5F" hidden="1">#REF!</definedName>
    <definedName name="BO795DAC5776584A17BFAB7AF1C9225AC0" hidden="1">#REF!</definedName>
    <definedName name="BO796520ECF0BA480DBCDDCB64C9832C4C" hidden="1">#REF!</definedName>
    <definedName name="BO797DA6191F9E43AB8625A5F6351A1609" hidden="1">#REF!</definedName>
    <definedName name="BO798FD8E248DE4C92A7F81EAC0A8F29A7" hidden="1">#REF!</definedName>
    <definedName name="BO79948B60261640309A720BF242FA8F54" hidden="1">#REF!</definedName>
    <definedName name="BO7998588D8B2D4D6AAEC4719E0F0A55A4" hidden="1">#REF!</definedName>
    <definedName name="BO79D15267513B4CBA9180350F07F3A98C" hidden="1">#REF!</definedName>
    <definedName name="BO79E32D484B7043B8941F1061F02622FB" hidden="1">#REF!</definedName>
    <definedName name="BO79F79C58C8A641CF81752FDEA72C10D9" hidden="1">#REF!</definedName>
    <definedName name="BO7A14BDFD5B2841A8BDFFCCE11C18BE90" hidden="1">#REF!</definedName>
    <definedName name="BO7A202200EAB14FDA887086A174E5A6C1" hidden="1">#REF!</definedName>
    <definedName name="BO7A24046088BC4828885DC2A18F24CE23" hidden="1">#REF!</definedName>
    <definedName name="BO7A3E4B6B1E6246EAA461969DE7AEB47B" hidden="1">#REF!</definedName>
    <definedName name="BO7A4C279B99F74092AC42F095C92BBBB6" hidden="1">#REF!</definedName>
    <definedName name="BO7A4C7D16C870427DAE3F6995AA7A83C6" hidden="1">#REF!</definedName>
    <definedName name="BO7A56D81323D346BCB253ED202182F14C" hidden="1">#REF!</definedName>
    <definedName name="BO7A67D1A3C2D1457494C925FBF571D683" hidden="1">#REF!</definedName>
    <definedName name="BO7A73F44C59344433A028EE2772B5F68A" hidden="1">#REF!</definedName>
    <definedName name="BO7A77E7DD81CB4CC68FEEABE2F3743C94" hidden="1">#REF!</definedName>
    <definedName name="BO7A84B87F8EDA4FDBAFF63724D92A7D16" hidden="1">#REF!</definedName>
    <definedName name="BO7A9B727FA00D457E953FD66C4384A791" hidden="1">#REF!</definedName>
    <definedName name="BO7ACA129047DD45B99142AD4BF2FE6CE9" hidden="1">#REF!</definedName>
    <definedName name="BO7ADAAAF76D5D4F11A1D6DCE52EDC3F0E" hidden="1">#REF!</definedName>
    <definedName name="BO7AE3A7858A9F4CE792E7BB1F7DE939D9" hidden="1">#REF!</definedName>
    <definedName name="BO7AECE17A45E947888D280C0A3669697F" hidden="1">#REF!</definedName>
    <definedName name="BO7AF2782FB7104FC28CFE46F4B181C0A8" hidden="1">#REF!</definedName>
    <definedName name="BO7AFBC0003ACC41D3BA1FD46C5FD36617" hidden="1">#REF!</definedName>
    <definedName name="BO7B0621E09728458A94F2FFFD9FFF1CCB" hidden="1">#REF!</definedName>
    <definedName name="BO7B29F6DCD4094D928F64FE4B08254D88" hidden="1">#REF!</definedName>
    <definedName name="BO7B3C9D6DC3A74194A444220E230F90D1" hidden="1">#REF!</definedName>
    <definedName name="BO7B3F57C7D37A4D9F932F412B50E3A9C5" hidden="1">#REF!</definedName>
    <definedName name="BO7B4C1F4DCA5C4F91BE3808330ED991B4" hidden="1">#REF!</definedName>
    <definedName name="BO7B5705FA795B4415A95726BFE7507495" hidden="1">#REF!</definedName>
    <definedName name="BO7B6ECD01275743B881052FD39FD5FD32" hidden="1">#REF!</definedName>
    <definedName name="BO7BB71DF7CC7F4BF49D180F690BD5DBBE" hidden="1">#REF!</definedName>
    <definedName name="BO7BB7CC54118D40FAA4097E91803D491F" hidden="1">#REF!</definedName>
    <definedName name="BO7BBECD97126749A5BD63E736BE94A255" hidden="1">#REF!</definedName>
    <definedName name="BO7BBF0D3FE4F24ABEA7EB00545E696EF3" hidden="1">#REF!</definedName>
    <definedName name="BO7BC170CD198B41C692619BD0B2829984" hidden="1">#REF!</definedName>
    <definedName name="BO7BCFAE042E0C491C8680E5ABCBBF7957" hidden="1">#REF!</definedName>
    <definedName name="BO7BD1D386F31048E1AA08A85FDF52F5D4" hidden="1">#REF!</definedName>
    <definedName name="BO7BFEA2FCFFCB48E5B36F4809D85D5E7B" hidden="1">#REF!</definedName>
    <definedName name="BO7BFF594E1FEE4946BBAF27C54ADD6291" hidden="1">#REF!</definedName>
    <definedName name="BO7C16913B80E24B5DBA9EBB5E5FE3FBBC" hidden="1">#REF!</definedName>
    <definedName name="BO7C19B3987BE64CFDB6C34F6F1FBFB432" hidden="1">#REF!</definedName>
    <definedName name="BO7C47A86CF33C4FCDAA0C54AA65B095A3" hidden="1">#REF!</definedName>
    <definedName name="BO7C4CD6B9E9C044EB9EC6C389774E6C65" hidden="1">#REF!</definedName>
    <definedName name="BO7C4E1B7E876445188B34969A634BA9DA" hidden="1">#REF!</definedName>
    <definedName name="BO7C57E414F8F944E194E4986AEC4E1CC6" hidden="1">#REF!</definedName>
    <definedName name="BO7C6282EF7FAA49768A71688A643EEC31" hidden="1">#REF!</definedName>
    <definedName name="BO7C63A409D70E4E928BFEFC2C74E6728A" hidden="1">#REF!</definedName>
    <definedName name="BO7C7DABCD75A7494CA0243D508880E90D" hidden="1">#REF!</definedName>
    <definedName name="BO7CB19D575BA4421B91CCC82C209C8073" hidden="1">#REF!</definedName>
    <definedName name="BO7CB713453E414A90B10F3550A0F253EC" hidden="1">#REF!</definedName>
    <definedName name="BO7CC386BC612F4996866980D6A2E0A4C5" hidden="1">#REF!</definedName>
    <definedName name="BO7CD34C71EDCC427CB2934EAF7FC6D50E" hidden="1">#REF!</definedName>
    <definedName name="BO7CDE0708B32D4B0FBA3A684377AE0820" hidden="1">#REF!</definedName>
    <definedName name="BO7CF80174494E42BABF42C12A8C546D70" hidden="1">#REF!</definedName>
    <definedName name="BO7D1FDB8727184C13B4570E65F80DC3A8" hidden="1">#REF!</definedName>
    <definedName name="BO7D225AD2344747EE88955A2CECB92136" hidden="1">#REF!</definedName>
    <definedName name="BO7D2EA66DF2E7481DA3B087A68D516C3D" hidden="1">#REF!</definedName>
    <definedName name="BO7D3A1BBFA8E7440E8EE04478EB465AE4" hidden="1">#REF!</definedName>
    <definedName name="BO7D3E7D4B3AAD47D79CFD56AC28C06CD5" hidden="1">#REF!</definedName>
    <definedName name="BO7D5153C33D554CE4A1BA32177D5DE9B3" hidden="1">#REF!</definedName>
    <definedName name="BO7D74CA4352B94CADA69060B858A229A7" hidden="1">#REF!</definedName>
    <definedName name="BO7D82E5864E5942ADB92BAC45EDEE2373" hidden="1">#REF!</definedName>
    <definedName name="BO7D89FACA725047CB91C9B25626B1B1A8" hidden="1">#REF!</definedName>
    <definedName name="BO7D93C65EB0A44BBF9FCB07C446798A2C" hidden="1">#REF!</definedName>
    <definedName name="BO7D9EC14CB2C94E22AF59562547C8BB47" hidden="1">#REF!</definedName>
    <definedName name="BO7DAC06DCC8FC40D5A38F085EF24C110B" hidden="1">#REF!</definedName>
    <definedName name="BO7DB9636AF6B6464587E05192DDA8F0FA" hidden="1">#REF!</definedName>
    <definedName name="BO7DB99E66FA9F4C188B1DA2EB33053C58" hidden="1">#REF!</definedName>
    <definedName name="BO7DBBE8B2D3EF445282BC0CB8AD4B8131" hidden="1">#REF!</definedName>
    <definedName name="BO7DCF6E63D2294BA5BF155FE231B51F47" hidden="1">#REF!</definedName>
    <definedName name="BO7DFCA2EAF924464885C3726D73AC2909" hidden="1">#REF!</definedName>
    <definedName name="BO7E13A36E29824D7DA3BB02348F36583D" hidden="1">#REF!</definedName>
    <definedName name="BO7E1EB127D17647DCAF66576435571B9D" hidden="1">#REF!</definedName>
    <definedName name="BO7E20AF36C10E4DE1ACFF5DAB21E6F0CF" hidden="1">#REF!</definedName>
    <definedName name="BO7E34B31EA5A046C898316D1B32E4249F" hidden="1">#REF!</definedName>
    <definedName name="BO7E3CE31DF3F446469C5C0194D7FDB09A" hidden="1">#REF!</definedName>
    <definedName name="BO7E41D564AEEA4C6280E66CE7C612FD8B" hidden="1">#REF!</definedName>
    <definedName name="BO7E5AD48C85964A4DA0892651C66FB5FA" hidden="1">#REF!</definedName>
    <definedName name="BO7E74EB17091144229C8DA32E72D0B0DE" hidden="1">#REF!</definedName>
    <definedName name="BO7E8D4FF65DA347CBBE0C81402A68E512" hidden="1">#REF!</definedName>
    <definedName name="BO7EAA87F33603446D90C1C1B2BB3DC1D0" hidden="1">#REF!</definedName>
    <definedName name="BO7EBB704D18074803A628A60B199945C8" hidden="1">#REF!</definedName>
    <definedName name="BO7ECA0CE87AD5486E8B520A1B3C302741" hidden="1">#REF!</definedName>
    <definedName name="BO7ED2877E1E044BF588CE91B0F73A907C" hidden="1">#REF!</definedName>
    <definedName name="BO7F100A3F2F3C4DA28A51351899E364CF" hidden="1">#REF!</definedName>
    <definedName name="BO7F2C1B6954774144A8688BBF844181A3" hidden="1">#REF!</definedName>
    <definedName name="BO7F328DF0B87B4733927898ED428C4902" hidden="1">#REF!</definedName>
    <definedName name="BO7F4A0B14B06E49EBB97E18A4B15BA51E" hidden="1">#REF!</definedName>
    <definedName name="BO7F5D4C35425E426D8A302B12D509ECAC" hidden="1">#REF!</definedName>
    <definedName name="BO7F733737D2164EB396378752B251DF56" hidden="1">#REF!</definedName>
    <definedName name="BO7F7734244CAF4A0CA43F95079155139D" hidden="1">#REF!</definedName>
    <definedName name="BO7FA568F38B8549BD8CCB4099EBA6D59E" hidden="1">#REF!</definedName>
    <definedName name="BO7FA7C81A947B44988C21EE55C79EFB07" hidden="1">#REF!</definedName>
    <definedName name="BO7FD411C057C44D5C88A5710AA4342420" hidden="1">#REF!</definedName>
    <definedName name="BO7FE15ABA24B8440CB3D66CB2BEB8CD57" hidden="1">#REF!</definedName>
    <definedName name="BO7FE3D3568EFB45599936A66C07E97E9B" hidden="1">#REF!</definedName>
    <definedName name="BO7FED074D327A46A5B3846340D3E435AA" hidden="1">#REF!</definedName>
    <definedName name="BO7FFA1DF9AE0E46DCBADDF27E62FE0F6F" hidden="1">#REF!</definedName>
    <definedName name="BO8025E890FFF74E7AA455F9CFB6C77A45" hidden="1">#REF!</definedName>
    <definedName name="BO8026067F176D423BB8A45430475AA310" hidden="1">#REF!</definedName>
    <definedName name="BO8026F1FD9624415A83D6DD000F349036" hidden="1">#REF!</definedName>
    <definedName name="BO8036027B31214345B621FD51102032D4" hidden="1">#REF!</definedName>
    <definedName name="BO806F055F6D3248B38530AA53D8ABD768" hidden="1">#REF!</definedName>
    <definedName name="BO80886FD3215348608E5DC92F04FC62B8" hidden="1">#REF!</definedName>
    <definedName name="BO808D0BF0B2354262A1BDB96849FA811D" hidden="1">#REF!</definedName>
    <definedName name="BO809078F987EF4B93AEDA12E8563A1B55" hidden="1">#REF!</definedName>
    <definedName name="BO80C02804DA2744ABBBE454BF6D80A4D3" hidden="1">#REF!</definedName>
    <definedName name="BO80E41CB5CADD420F8D0E1B0833B86BE7" hidden="1">#REF!</definedName>
    <definedName name="BO80F01F433AED4BA9B57F1088CBCCE98C" hidden="1">#REF!</definedName>
    <definedName name="BO81056B718AE84C1B9C92BA3450F435BA" hidden="1">#REF!</definedName>
    <definedName name="BO810998062223484C991CD91FD6A6BB28" hidden="1">#REF!</definedName>
    <definedName name="BO81124862005F424FA1E78C5F5A56CE77" hidden="1">#REF!</definedName>
    <definedName name="BO8116D3330FC0481ABDE5EA390248C0FB" hidden="1">#REF!</definedName>
    <definedName name="BO81195C6D5FD448CCA88808ADC384B729" hidden="1">#REF!</definedName>
    <definedName name="BO8123F167E50048FC943435D5C43BEAD6" hidden="1">#REF!</definedName>
    <definedName name="BO8129AD0FD5674B83BC5405EF191ADA7B" hidden="1">#REF!</definedName>
    <definedName name="BO812D1D90173740FF9EB59A105954F73E" hidden="1">#REF!</definedName>
    <definedName name="BO81398069C13F4CF48755661AA61D4B05" hidden="1">#REF!</definedName>
    <definedName name="BO813B65ED679A4ED08E62569F3A62E909" hidden="1">#REF!</definedName>
    <definedName name="BO8140CB8CB4934D52A45138EFCF43482F" hidden="1">#REF!</definedName>
    <definedName name="BO8152E1CBEABA406BB88B1EA29F8BD9B5" hidden="1">#REF!</definedName>
    <definedName name="BO815A38454A38422DAE2CBA1F342AB384" hidden="1">#REF!</definedName>
    <definedName name="BO8160DAE7346B4302A174200177384D45" hidden="1">#REF!</definedName>
    <definedName name="BO8161C454A2A04D77934C4F2B83E1D4AB" hidden="1">#REF!</definedName>
    <definedName name="BO816B7D96E133441DB33D05D34EA0ABD3" hidden="1">#REF!</definedName>
    <definedName name="BO8171ABCBF01049B4A05A79AC4000141F" hidden="1">#REF!</definedName>
    <definedName name="BO818525C2CFF2438484295F6096E668F5" hidden="1">#REF!</definedName>
    <definedName name="BO8185A22756D844D485A4345BFAA5E51B" hidden="1">#REF!</definedName>
    <definedName name="BO81889E13E8BD4C878CCC1CCC34498B32" hidden="1">#REF!</definedName>
    <definedName name="BO81AA5F438ECA417D8B8750AEE7E7416D" hidden="1">#REF!</definedName>
    <definedName name="BO81AEAD8E3AC448D99EC68869FDA8ECAD" hidden="1">#REF!</definedName>
    <definedName name="BO81B3415116AC43AF9C57F6B7F24B9CC4" hidden="1">#REF!</definedName>
    <definedName name="BO81D37D16DB894932AABCA35600FE54D0" hidden="1">#REF!</definedName>
    <definedName name="BO81EB4DF8F6194B6D99943B71E32D1F8E" hidden="1">#REF!</definedName>
    <definedName name="BO81EF3F27087C4D98ACC351EF41E7665F" hidden="1">#REF!</definedName>
    <definedName name="BO8204C98D845C47289C2A48ACE7BB360F" hidden="1">#REF!</definedName>
    <definedName name="BO821B1683C6C940ACA20F3FF7CBA6AE5C" hidden="1">#REF!</definedName>
    <definedName name="BO823A35FDC9FF43708B18DB11AE72EA46" hidden="1">#REF!</definedName>
    <definedName name="BO82599D26C22F4ECBAFBDBDDD0AC6B9DC" hidden="1">#REF!</definedName>
    <definedName name="BO8270DC61B3634703802A06111963247A" hidden="1">#REF!</definedName>
    <definedName name="BO8271FF2B72A4468699A1BEBB1CE7770A" hidden="1">#REF!</definedName>
    <definedName name="BO828C727B9F184011B97187B8FE59D9AE" hidden="1">#REF!</definedName>
    <definedName name="BO829B2CAC9A73456CB1E64F2A6FD9E525" hidden="1">#REF!</definedName>
    <definedName name="BO82AF49A840DC4E97A1E3E116C1017164" hidden="1">#REF!</definedName>
    <definedName name="BO82BC65E019234EAF896CAC4231F81781" hidden="1">#REF!</definedName>
    <definedName name="BO82BD64F9F4B5472788A8268E41273643" hidden="1">#REF!</definedName>
    <definedName name="BO82CDE0C0F8AE420C9AB086E3F934D0FC" hidden="1">#REF!</definedName>
    <definedName name="BO82D0E1CF095B4D65B4D7B212912DA8E2" hidden="1">#REF!</definedName>
    <definedName name="BO82EB354C95144FA395BD4842E6B5BDAA" hidden="1">#REF!</definedName>
    <definedName name="BO82ED3D19CD6E4FE3941A3E1F6AD39401" hidden="1">#REF!</definedName>
    <definedName name="BO833E4554C21346058C4C27AA4CDB728C" hidden="1">#REF!</definedName>
    <definedName name="BO834ED8D711B54779884FECD0FD6C40F5" hidden="1">#REF!</definedName>
    <definedName name="BO835775321D284060B20BC052F1967F91" hidden="1">#REF!</definedName>
    <definedName name="BO836104A2FDD3439ABE6D95097289FA9B" hidden="1">#REF!</definedName>
    <definedName name="BO83770CED4E3B4DBBB35ECE8F2EE2B766" hidden="1">#REF!</definedName>
    <definedName name="BO839EC6977FFA4254B663B0964DDDCBA1" hidden="1">#REF!</definedName>
    <definedName name="BO83CE56D9AAF2431890D1640D1749EBC9" hidden="1">#REF!</definedName>
    <definedName name="BO83DE305067F04E1FAF2073E158A42ED1" hidden="1">#REF!</definedName>
    <definedName name="BO83F96117CD7E43729C8F78CE6AA55364" hidden="1">#REF!</definedName>
    <definedName name="BO84012C663BB84BFFB01BF078251981BF" hidden="1">#REF!</definedName>
    <definedName name="BO8416A4D86F564528B66337D998D6342F" hidden="1">#REF!</definedName>
    <definedName name="BO841E9D2788184F4B99B75B2D56050952" hidden="1">#REF!</definedName>
    <definedName name="BO8436F0542EE941958838E9648A7A10B6" hidden="1">#REF!</definedName>
    <definedName name="BO845C63CD4426489B984D7A614921953B" hidden="1">#REF!</definedName>
    <definedName name="BO8462467AC4C04364864AA7B0E1E7103B" hidden="1">#REF!</definedName>
    <definedName name="BO847CD7266F44473E873D0BAC81568EE4" hidden="1">#REF!</definedName>
    <definedName name="BO84816916A3374C44A33B2B1E7CCBF62D" hidden="1">#REF!</definedName>
    <definedName name="BO8490395EA5A34B7281F95374AA651140" hidden="1">#REF!</definedName>
    <definedName name="BO849DAABD57DE400C976DE83FBD70852D" hidden="1">#REF!</definedName>
    <definedName name="BO84ACB7EA827D44EA920269A783FD03AF" hidden="1">#REF!</definedName>
    <definedName name="BO84D950D3D7C6403596FDAB0EECC85121" hidden="1">#REF!</definedName>
    <definedName name="BO851125B4C9CF4507A505DFFE9759796E" hidden="1">#REF!</definedName>
    <definedName name="BO851F8174A7F2485A89E2AAB0F844764D" hidden="1">#REF!</definedName>
    <definedName name="BO852DC564F3D6438A9E05CD1FB6220525" hidden="1">#REF!</definedName>
    <definedName name="BO8537B991C1704514852540F58377C0F2" hidden="1">#REF!</definedName>
    <definedName name="BO8549AD1E42034B56A5A757A435BE5F99" hidden="1">#REF!</definedName>
    <definedName name="BO856B8D4C3C8E4F50B0953DB05DCC130D" hidden="1">#REF!</definedName>
    <definedName name="BO859CB049DE164366843D9C4F49208836" hidden="1">#REF!</definedName>
    <definedName name="BO85A46695882A420C817331A985BB9006" hidden="1">#REF!</definedName>
    <definedName name="BO85B3AD2EFD8B4EB4ACC21B67E6729BC4" hidden="1">#REF!</definedName>
    <definedName name="BO85BA97FE264442F3930B470E2E37938C" hidden="1">#REF!</definedName>
    <definedName name="BO85C6C482DAE5494095442C853659524C" hidden="1">#REF!</definedName>
    <definedName name="BO85CA8185403D4829A471E3C021F11823" hidden="1">#REF!</definedName>
    <definedName name="BO85DDB79C9E3147EDA8EDD03CB77413B6" hidden="1">#REF!</definedName>
    <definedName name="BO85E3116B44E149108141A164679AAEBE" hidden="1">#REF!</definedName>
    <definedName name="BO85EB01DFCFE245209787E6272A712082" hidden="1">#REF!</definedName>
    <definedName name="BO85ED7871C7614337A901E50D63FCCD26" hidden="1">#REF!</definedName>
    <definedName name="BO85F78F97543D4BAEBAA665AE23BF5F6E" hidden="1">#REF!</definedName>
    <definedName name="BO860B46EE55A44A1D96FD320551FA6677" hidden="1">#REF!</definedName>
    <definedName name="BO86157C32F3D14F2F8FBEDF25DA18783E" hidden="1">#REF!</definedName>
    <definedName name="BO8639A9B559F64F969DAB29512C30B990" hidden="1">#REF!</definedName>
    <definedName name="BO865E85FAE63F471990E87A9EEEA0EBE2" hidden="1">#REF!</definedName>
    <definedName name="BO866A0D13F47E44558B185A80CB233625" hidden="1">#REF!</definedName>
    <definedName name="BO866EBE59FF044B5082276522A607294F" hidden="1">#REF!</definedName>
    <definedName name="BO8674B77AC9C34190AE9EF29F8B3699AA" hidden="1">#REF!</definedName>
    <definedName name="BO867C2CDF9C4D43A7B8AA119BEA09C19A" hidden="1">#REF!</definedName>
    <definedName name="BO86887E9489924B3CB6F2E988412CFB38" hidden="1">#REF!</definedName>
    <definedName name="BO868F562CA4E84985BF12F71371CCBC43" hidden="1">#REF!</definedName>
    <definedName name="BO869869F86405489C95E91C46BD49C775" hidden="1">#REF!</definedName>
    <definedName name="BO86B6149BCDCC48A98A3D3C8A3A2729E6" hidden="1">#REF!</definedName>
    <definedName name="BO86B8FF6FC3DB4DF7AA0E3A8B7F9264C7" hidden="1">#REF!</definedName>
    <definedName name="BO86BA1D0544E24C5C8A8180FF78CB5B06" hidden="1">#REF!</definedName>
    <definedName name="BO86C100F65CDE4670B4F5822465A92A71" hidden="1">#REF!</definedName>
    <definedName name="BO86D1438E23664D2B9FCD09512F3A93F8" hidden="1">#REF!</definedName>
    <definedName name="BO86DDB813E7034F3BBABBE6BC528F2ED9" hidden="1">#REF!</definedName>
    <definedName name="BO86E27B393E134A5C9DD139177FA60F80" hidden="1">#REF!</definedName>
    <definedName name="BO8703EEC12706416FB6ED04E179922738" hidden="1">#REF!</definedName>
    <definedName name="BO870886B6C73540E7BF1183ECA9AFF2B9" hidden="1">#REF!</definedName>
    <definedName name="BO870B411164F546AD97AF975FD177C9B0" hidden="1">#REF!</definedName>
    <definedName name="BO8711D358A64C4D6AA1DE8CD9A503C0BD" hidden="1">#REF!</definedName>
    <definedName name="BO87120653DAB74A7A80EC7DBB6462E1D6" hidden="1">#REF!</definedName>
    <definedName name="BO872486E16E314D1DA6CDB4E161361B3E" hidden="1">#REF!</definedName>
    <definedName name="BO8725CADBABC140858BCC21E139FB989C" hidden="1">#REF!</definedName>
    <definedName name="BO87299F945EA94175941F16F36740FD72" hidden="1">#REF!</definedName>
    <definedName name="BO872E1A2490304FA6B522A3A73C631044" hidden="1">#REF!</definedName>
    <definedName name="BO8774AB7115B9480BA7502A21831439EB" hidden="1">#REF!</definedName>
    <definedName name="BO878FECCD84B24D5D83FA753C239D53A9" hidden="1">#REF!</definedName>
    <definedName name="BO879CBD59307A43159AF2A4CED84C7472" hidden="1">#REF!</definedName>
    <definedName name="BO87A85BA1E62143F6B9FC3F8F4734BBDA" hidden="1">#REF!</definedName>
    <definedName name="BO87B8EF89B2C846A289AE2145FA25030D" hidden="1">#REF!</definedName>
    <definedName name="BO87CACAE458564193B56975B2B5153420" hidden="1">#REF!</definedName>
    <definedName name="BO87EFB9D6293B401CAA2DD394C2338C23" hidden="1">#REF!</definedName>
    <definedName name="BO87F88410ED7F4182BE480F68D5F7E898" hidden="1">#REF!</definedName>
    <definedName name="BO8803BCBBE7974E4D88C057E49C0A7E07" hidden="1">#REF!</definedName>
    <definedName name="BO8826276A6F2B469B97553CEA5B5F3ACB" hidden="1">#REF!</definedName>
    <definedName name="BO8827CF9AC78B41C79197737D53769A81" hidden="1">#REF!</definedName>
    <definedName name="BO884007A616A14E82BF8896F6D6B26A5A" hidden="1">#REF!</definedName>
    <definedName name="BO88621C2D24DC4AB6A85F375E6836771A" hidden="1">#REF!</definedName>
    <definedName name="BO886E487C7EC9459489C12770C18ABEFD" hidden="1">#REF!</definedName>
    <definedName name="BO8897A3A3F634452E8E4DD8F314983433" hidden="1">#REF!</definedName>
    <definedName name="BO88A0ED37476047A9B79C3A73D5CAC3D2" hidden="1">#REF!</definedName>
    <definedName name="BO88AA8F0163F746A78528BD5A52EB26BD" hidden="1">#REF!</definedName>
    <definedName name="BO88B4A6CA845B4661AD2C9B0437234540" hidden="1">#REF!</definedName>
    <definedName name="BO88B5EC94BCB644DBB0B8B9FD72197407" hidden="1">#REF!</definedName>
    <definedName name="BO88CD73995BA045218F082047A7B7979F" hidden="1">#REF!</definedName>
    <definedName name="BO88CF233CB45B4C82A1AC5BE791438BCF" hidden="1">#REF!</definedName>
    <definedName name="BO88D455E4ACC843D4B075A8838BBF7D0C" hidden="1">#REF!</definedName>
    <definedName name="BO88E2219A0197449ABDA7E50060F6B1FE" hidden="1">#REF!</definedName>
    <definedName name="BO890E5A8D96FA4050BF15B802C7620F76" hidden="1">#REF!</definedName>
    <definedName name="BO8916BA3A93DA473688862DC75848CA2A" hidden="1">#REF!</definedName>
    <definedName name="BO891CBAC1FEC041A9B1D2D5CAF876C3F0" hidden="1">#REF!</definedName>
    <definedName name="BO891FBC517DE746748A172799A83F07CB" hidden="1">#REF!</definedName>
    <definedName name="BO8927EF1CD9AD4425AA2D6F4D606A0185" hidden="1">#REF!</definedName>
    <definedName name="BO892CFB3B77F84724BE348F89B434721C" hidden="1">#REF!</definedName>
    <definedName name="BO893A612FBBF546A793F9B2F896C82AB5" hidden="1">#REF!</definedName>
    <definedName name="BO896731F41BBF4213B3E24429048CEBA0" hidden="1">#REF!</definedName>
    <definedName name="BO89717E38C823414CA5D56CDDCAF64E8D" hidden="1">#REF!</definedName>
    <definedName name="BO897389AC65794E96B87A0E76349A7E34" hidden="1">#REF!</definedName>
    <definedName name="BO8989F6C0B5DE414BADE674ECD51A4FFF" hidden="1">#REF!</definedName>
    <definedName name="BO89B86AF7C49A40C3A9D991022D36372F" hidden="1">#REF!</definedName>
    <definedName name="BO89C875904AC94159A112D5E62824CEB8" hidden="1">#REF!</definedName>
    <definedName name="BO89D827B7EF21445F830158AB1DB86EC3" hidden="1">#REF!</definedName>
    <definedName name="BO89D829D6275C4F39A9B54F431BCB1CF2" hidden="1">#REF!</definedName>
    <definedName name="BO89DF3A0093C34577A9CBE507F654F9B4" hidden="1">#REF!</definedName>
    <definedName name="BO89EB193C9BF34E028B60BA2D06CDA850" hidden="1">#REF!</definedName>
    <definedName name="BO89F9BF5F1CD24F618FE42E6AEBC567DA" hidden="1">#REF!</definedName>
    <definedName name="BO8A079A6956DB410B984EC37853DBF391" hidden="1">#REF!</definedName>
    <definedName name="BO8A11D840060F48A7A732512C54D8EAE5" hidden="1">#REF!</definedName>
    <definedName name="BO8A270233A6574574A5A316C2111A6B1A" hidden="1">#REF!</definedName>
    <definedName name="BO8A3FB210E5754FC58F8E696469D4717E" hidden="1">#REF!</definedName>
    <definedName name="BO8A64A4873C0043DFB3995AAF8DC72790" hidden="1">#REF!</definedName>
    <definedName name="BO8A6F64578EA54D39B172DBB5F3870C6C" hidden="1">#REF!</definedName>
    <definedName name="BO8A742A3411094EA2AE29F3285CBDE97D" hidden="1">#REF!</definedName>
    <definedName name="BO8A76E1E597094F4AB0C09CE276EBB2AD" hidden="1">#REF!</definedName>
    <definedName name="BO8A921E1B07E84FE58A86CBFB254FC057" hidden="1">#REF!</definedName>
    <definedName name="BO8AA1781CDFE7451D8158DA9690BFD0CF" hidden="1">#REF!</definedName>
    <definedName name="BO8AA46CB98A254FACB30AED9A52808C46" hidden="1">#REF!</definedName>
    <definedName name="BO8AADC658B26A496996C7F1373A6991A2" hidden="1">#REF!</definedName>
    <definedName name="BO8ABE68A54E9F4069ADD8462748851C18" hidden="1">#REF!</definedName>
    <definedName name="BO8AC7E18C57C84E229E0484E8B9B6A88C" hidden="1">#REF!</definedName>
    <definedName name="BO8ACBA67537FE40D9B10DE69058561E8E" hidden="1">#REF!</definedName>
    <definedName name="BO8AD26858CE7246D39A84D558B6479282" hidden="1">#REF!</definedName>
    <definedName name="BO8AF467F5CFC742359BF81CAD81A58A87" hidden="1">#REF!</definedName>
    <definedName name="BO8AFC5A8B26994047A4277D08BC2B4522" hidden="1">#REF!</definedName>
    <definedName name="BO8B01F477F3764249AF76A3D9C3C246ED" hidden="1">#REF!</definedName>
    <definedName name="BO8B0E799EB2E747E08CC00A5CB7983720" hidden="1">#REF!</definedName>
    <definedName name="BO8B1E0FBE9EA7489994044C2057A8D12B" hidden="1">#REF!</definedName>
    <definedName name="BO8B2A7D94ED794D9F8685C24218676006" hidden="1">#REF!</definedName>
    <definedName name="BO8B313457CD884D279D2548003F5D238D" hidden="1">#REF!</definedName>
    <definedName name="BO8B5D8EDB30964E5A907DA7CCE903A60B" hidden="1">#REF!</definedName>
    <definedName name="BO8B73BD8E9A0442A5A9F90AA4A70F6203" hidden="1">#REF!</definedName>
    <definedName name="BO8B8251CC1EE24CD69F29929F012C4450" hidden="1">#REF!</definedName>
    <definedName name="BO8B979C2BC098453D8F62F9ADF5FEC071" hidden="1">#REF!</definedName>
    <definedName name="BO8BAFA77CB8BD4A9592F0A86BBD33A1B0" hidden="1">#REF!</definedName>
    <definedName name="BO8BB4B4D171DB49F489C18C0E6B688E40" hidden="1">#REF!</definedName>
    <definedName name="BO8BDE8563DFDD419597EA3D1993A8E10E" hidden="1">#REF!</definedName>
    <definedName name="BO8BE0ACC613A044B19017AAB43B6473ED" hidden="1">#REF!</definedName>
    <definedName name="BO8BEFE8F9E9D94E0B8690BCF6FF778891" hidden="1">#REF!</definedName>
    <definedName name="BO8BF82CAB71EB4877BE2981B52240CDDB" hidden="1">#REF!</definedName>
    <definedName name="BO8BFBEE5EC43D4067962E8A52A23B2D50" hidden="1">#REF!</definedName>
    <definedName name="BO8C0049F46034494F9A9EA954789841B0" hidden="1">#REF!</definedName>
    <definedName name="BO8C0CC75C4CA4484B8290FC4E64C3C7B7" hidden="1">#REF!</definedName>
    <definedName name="BO8C190EE956EF4ADD87EDB038BA9D5AE1" hidden="1">#REF!</definedName>
    <definedName name="BO8C2C15F699E14EDC94E42D4D15367A0D" hidden="1">#REF!</definedName>
    <definedName name="BO8C3209A055A7451690BC047DB49C40F8" hidden="1">#REF!</definedName>
    <definedName name="BO8C46C2D3D27C44F1AA60C52DBE893015" hidden="1">#REF!</definedName>
    <definedName name="BO8C54B39154C04A089EB3A2B03C75FCAD" hidden="1">#REF!</definedName>
    <definedName name="BO8C5D16B390B84E039A4F635DC9723990" hidden="1">#REF!</definedName>
    <definedName name="BO8C5D1AEB64E34CF69E4AEDEE394D2DF0" hidden="1">#REF!</definedName>
    <definedName name="BO8C6D0EB130764DFAB8C78529E8B56690" hidden="1">#REF!</definedName>
    <definedName name="BO8C756DB6D0084392A94AD363D9B3578A" hidden="1">#REF!</definedName>
    <definedName name="BO8C78667FFC67462C9A1643AC3DEA1B4D" hidden="1">#REF!</definedName>
    <definedName name="BO8C79291520C14D76B12F6B3100DC8B42" hidden="1">#REF!</definedName>
    <definedName name="BO8C9CBE8407744000A8B85C9F87D30B73" hidden="1">#REF!</definedName>
    <definedName name="BO8CBBCEEC97B6431FB6ACA8A2940866E3" hidden="1">#REF!</definedName>
    <definedName name="BO8CC5B39B3E324C918A32819C9A07A727" hidden="1">#REF!</definedName>
    <definedName name="BO8CCECE712FB74550BFA0956F61B247A8" hidden="1">#REF!</definedName>
    <definedName name="BO8CD76D68B350487FA0250A4A2EC5C2AD" hidden="1">#REF!</definedName>
    <definedName name="BO8CF360641B31422092E7199008DC5639" hidden="1">#REF!</definedName>
    <definedName name="BO8D0213375C7F4E22A8FB01B418680B0B" hidden="1">#REF!</definedName>
    <definedName name="BO8D0ABD8164D04FC8B630B28D32646B09" hidden="1">#REF!</definedName>
    <definedName name="BO8D1B1B1B73DB404588CEED5EB7DBE08B" hidden="1">#REF!</definedName>
    <definedName name="BO8D1BEBCF693D4028B4E7DA6832E7DE1E" hidden="1">#REF!</definedName>
    <definedName name="BO8D24E811C41141359E065633B90B3ACB" hidden="1">#REF!</definedName>
    <definedName name="BO8D321DF303514F60BA7EE216E1F75E46" hidden="1">#REF!</definedName>
    <definedName name="BO8D4A19F885E642D98251152558F518D0" hidden="1">#REF!</definedName>
    <definedName name="BO8D675C8D2C204F9EA5F6FB0C91BE9377" hidden="1">#REF!</definedName>
    <definedName name="BO8D6FEDE63E4A416086011E251EB6EA77" hidden="1">#REF!</definedName>
    <definedName name="BO8D8CDB5D0D984AF78FA24D1842552A13" hidden="1">#REF!</definedName>
    <definedName name="BO8D92C13F5BA5476F87ACCBE5339379A3" hidden="1">#REF!</definedName>
    <definedName name="BO8DE89F4B4DB24B028D65D7B1C37D49A6" hidden="1">#REF!</definedName>
    <definedName name="BO8DE8B8490FA243048849705E95F6A3E7" hidden="1">#REF!</definedName>
    <definedName name="BO8E010C83029D4BB2BDE80224D34C78B4" hidden="1">#REF!</definedName>
    <definedName name="BO8E04539AF5EA48F4A85BB9D8405EFE31" hidden="1">#REF!</definedName>
    <definedName name="BO8E0A9401A23B4C8E815CF381C01FDB6A" hidden="1">#REF!</definedName>
    <definedName name="BO8E247A336E7641BA8C759FA12C34B429" hidden="1">#REF!</definedName>
    <definedName name="BO8E4728713A0C4DC6904A8D6FFE392729" hidden="1">#REF!</definedName>
    <definedName name="BO8E64C19B77C74B4DA67868374DB4E3C8" hidden="1">#REF!</definedName>
    <definedName name="BO8E8DEEC5116D492E933D50098C61B5D3" hidden="1">#REF!</definedName>
    <definedName name="BO8E95876454BF4F2CA6988C26A165276E" hidden="1">#REF!</definedName>
    <definedName name="BO8E9F198DEB16434A9D0753A88CDF5215" hidden="1">#REF!</definedName>
    <definedName name="BO8EA5CD8275A64439ABF3E0E90503E2EB" hidden="1">#REF!</definedName>
    <definedName name="BO8EAFF7EBC66B4843859F00C277E10C35" hidden="1">#REF!</definedName>
    <definedName name="BO8ECAFF7837A84846BB773DF5FAC7EDA0" hidden="1">#REF!</definedName>
    <definedName name="BO8ED02D762180437385E47C88BB9EEC20" hidden="1">#REF!</definedName>
    <definedName name="BO8ED1BD07506B48ABA6BB05855F788508" hidden="1">#REF!</definedName>
    <definedName name="BO8ED76D7C2EA548BEA6E8742375CD84EF" hidden="1">#REF!</definedName>
    <definedName name="BO8EDFDB3F4A244405BD653340E001817F" hidden="1">#REF!</definedName>
    <definedName name="BO8EECD65D65CA4E8DAD403EDFEFC8E1F0" hidden="1">#REF!</definedName>
    <definedName name="BO8EED6EA8341647B18E46E12EF5981737" hidden="1">#REF!</definedName>
    <definedName name="BO8EEF0273BAB94AB99929DC92B3C49FD3" hidden="1">#REF!</definedName>
    <definedName name="BO8F091315B8CA470AAF9722F85C3A0CE2" hidden="1">#REF!</definedName>
    <definedName name="BO8F3233C6D2A5455D8200C97146186B1B" hidden="1">#REF!</definedName>
    <definedName name="BO8F3F75AB3A994609B8A1BAA8D827B7D0" hidden="1">#REF!</definedName>
    <definedName name="BO8F41BE8B0884445DB22D3AF21577B665" hidden="1">#REF!</definedName>
    <definedName name="BO8F4458B31E284C0B90A9336E9C28C284" hidden="1">#REF!</definedName>
    <definedName name="BO8F49357E67B7472885ECAB31F5CC16E6" hidden="1">#REF!</definedName>
    <definedName name="BO8F5878AEF4E240D9BC43182A686A5D27" hidden="1">#REF!</definedName>
    <definedName name="BO8F5C237F8C7C40E58D0B879F90947365" hidden="1">#REF!</definedName>
    <definedName name="BO8F69E36AA533438FB255DE448D2F78C1" hidden="1">#REF!</definedName>
    <definedName name="BO8F9ADFA732534966ACC45B4222D08278" hidden="1">#REF!</definedName>
    <definedName name="BO8FA9605250AA4130BA5F75AB0EFC5DEB" hidden="1">#REF!</definedName>
    <definedName name="BO8FAB3988FD7A4610BB4D6F6553753FB0" hidden="1">#REF!</definedName>
    <definedName name="BO8FB6EDE92460437DB46269B760A9FF87" hidden="1">#REF!</definedName>
    <definedName name="BO8FD31CDD8C5E4206A507AADDC9D6C673" hidden="1">#REF!</definedName>
    <definedName name="BO8FD4F0F291D744408EB3D0DD329A4362" hidden="1">#REF!</definedName>
    <definedName name="BO90039EB774D94E2699982989E87797FD" hidden="1">#REF!</definedName>
    <definedName name="BO9003C2B1CEA04D4799A07D012743DEC1" hidden="1">#REF!</definedName>
    <definedName name="BO901024E83D29496B899A127B34EC4440" hidden="1">#REF!</definedName>
    <definedName name="BO9010F2C0CC9E494A99E197637D325788" hidden="1">#REF!</definedName>
    <definedName name="BO9027C5BD01DF42DC93C5D78821D24A6C" hidden="1">#REF!</definedName>
    <definedName name="BO904BCFDAB4C44A96A1BAD24E7B5C4CFB" hidden="1">#REF!</definedName>
    <definedName name="BO90721953D91A42828345C72DA2C886EF" hidden="1">#REF!</definedName>
    <definedName name="BO90D5B7AE6DF34FC6A182261CEF953B81" hidden="1">#REF!</definedName>
    <definedName name="BO90EEFBEB72EB4656B432B75775270CA5" hidden="1">#REF!</definedName>
    <definedName name="BO90F76DFC9F5F430F88B468A9892E4AC4" hidden="1">#REF!</definedName>
    <definedName name="BO91262F6339964C14984FDE97C6306DF7" hidden="1">#REF!</definedName>
    <definedName name="BO912C815D25B14437B2384596EA95EA90" hidden="1">#REF!</definedName>
    <definedName name="BO91511019934B448E8E0723C0742ED2AE" hidden="1">#REF!</definedName>
    <definedName name="BO9155D541487B4FBC9E854615EB1B4E06" hidden="1">#REF!</definedName>
    <definedName name="BO9156F8C70A7E432BB0F7C9352F66ADFB" hidden="1">#REF!</definedName>
    <definedName name="BO9159C1E514C74EDAB686FCB93521755B" hidden="1">#REF!</definedName>
    <definedName name="BO915CED5CBC0E4429841109423F532DF9" hidden="1">#REF!</definedName>
    <definedName name="BO916C4117211C44169C4A9D976B942F83" hidden="1">#REF!</definedName>
    <definedName name="BO916F5615504D45DF9BCB395BFB03B3FF" hidden="1">#REF!</definedName>
    <definedName name="BO91AF57D4731E42D3BD43C805328349BB" hidden="1">#REF!</definedName>
    <definedName name="BO91B1C71622B84DC09FCF82790CCC6703" hidden="1">#REF!</definedName>
    <definedName name="BO91C46125583D4C069EE7155B503E3BDC" hidden="1">#REF!</definedName>
    <definedName name="BO91F28D1F98F0476AB8F319C85A3CBF30" hidden="1">#REF!</definedName>
    <definedName name="BO9209CA01353F43708376005F2BA05633" hidden="1">#REF!</definedName>
    <definedName name="BO920A4D58587E4B348E656E2FB55DBF5A" hidden="1">#REF!</definedName>
    <definedName name="BO9218C06E74B64331BCDF493C8E0A7196" hidden="1">#REF!</definedName>
    <definedName name="BO9233729CCAA145D78574A18BD7908B12" hidden="1">#REF!</definedName>
    <definedName name="BO924B50D148534EB4BFAB07809F576F86" hidden="1">#REF!</definedName>
    <definedName name="BO92544256210E49188C03B1EBD2040774" hidden="1">#REF!</definedName>
    <definedName name="BO925E159D06D846E6AD9C0AA27E04C23B" hidden="1">#REF!</definedName>
    <definedName name="BO9268349F1CCF49DEB0561574CF57C558" hidden="1">#REF!</definedName>
    <definedName name="BO926B3E618F034DF3AD93D000C65C8AF4" hidden="1">#REF!</definedName>
    <definedName name="BO926B5DA94093402CAF44525268D29478" hidden="1">#REF!</definedName>
    <definedName name="BO92714A6ED6124D27829A03BD605CFABF" hidden="1">#REF!</definedName>
    <definedName name="BO928DC16886B2445797C8B9905F1CD971" hidden="1">#REF!</definedName>
    <definedName name="BO92A6C34ADF1E4E8A9235A4C8830AC515" hidden="1">#REF!</definedName>
    <definedName name="BO92C9ED6F059A4A3FBF49382DA781E052" hidden="1">#REF!</definedName>
    <definedName name="BO92D072B2A4ED4A6FB51EB0BC9A66BC2C" hidden="1">#REF!</definedName>
    <definedName name="BO92E4A5A634AC407AA555219E0CC6BDF7" hidden="1">#REF!</definedName>
    <definedName name="BO92EA0833D1CB48CFB02613AE12C820A4" hidden="1">#REF!</definedName>
    <definedName name="BO92EFCC3CC64A4D068BF90CD047BA59AD" hidden="1">#REF!</definedName>
    <definedName name="BO92EFFAEB634443FE91C7F58365598D5E" hidden="1">#REF!</definedName>
    <definedName name="BO92F451DEC859406FB5A047DAF76D55B3" hidden="1">#REF!</definedName>
    <definedName name="BO92F6D42A17AC4074BBD00DCE92DF03C9" hidden="1">#REF!</definedName>
    <definedName name="BO9304DD1CC2BA492080B19ECEA8B95022" hidden="1">#REF!</definedName>
    <definedName name="BO930DA66B28B14BEAA44697A5823258AA" hidden="1">#REF!</definedName>
    <definedName name="BO930FD1E9B9EB478BBAD94346BAE68338" hidden="1">#REF!</definedName>
    <definedName name="BO9318EA8A5D654DFD954B723F2DF49F55" hidden="1">#REF!</definedName>
    <definedName name="BO9329BF9F354242D086A1F242CA6684D6" hidden="1">#REF!</definedName>
    <definedName name="BO932B0A19ACC444A2BB8954EED654465A" hidden="1">#REF!</definedName>
    <definedName name="BO933ED92411824C6FAC78C97BA2A11AAB" hidden="1">#REF!</definedName>
    <definedName name="BO933FAA4514814F85818066C84AF854C9" hidden="1">#REF!</definedName>
    <definedName name="BO93461350D91044D7B6FB7F171C0D4DF3" hidden="1">#REF!</definedName>
    <definedName name="BO9378AF1544364341B8417AB6D7DE3BC3" hidden="1">#REF!</definedName>
    <definedName name="BO938B4E5108EE4D0787D0282B08DF9636" hidden="1">#REF!</definedName>
    <definedName name="BO93A4D280E8CA43DC8B02811F751ABAA2" hidden="1">#REF!</definedName>
    <definedName name="BO93B2980E647143A5A17C67935ED6DC7F" hidden="1">#REF!</definedName>
    <definedName name="BO93D6D3AB4F4C47298478E33C059169D0" hidden="1">#REF!</definedName>
    <definedName name="BO93D6EA051CB245BA91965E989CAB2741" hidden="1">#REF!</definedName>
    <definedName name="BO93E74F3970FD46C489BC2A92AE9C7404" hidden="1">#REF!</definedName>
    <definedName name="BO93EBF6734EA34A90BA493473DE688EBF" hidden="1">#REF!</definedName>
    <definedName name="BO93ECFE632155481DA0FDBB0615E7281C" hidden="1">#REF!</definedName>
    <definedName name="BO93F310F9C2F24700BD756AB5D39C0C70" hidden="1">#REF!</definedName>
    <definedName name="BO9406D55A95A444A3B45C4B90FE2D125A" hidden="1">#REF!</definedName>
    <definedName name="BO94073230D0F44D879F25D75E8A1F6E7E" hidden="1">#REF!</definedName>
    <definedName name="BO94129E648DD24670B784451C9BAC14C1" hidden="1">#REF!</definedName>
    <definedName name="BO94220D9907CC4E24A9678F2D022262BF" hidden="1">#REF!</definedName>
    <definedName name="BO94286E15B5C249DF83B6D785E99910F3" hidden="1">#REF!</definedName>
    <definedName name="BO942AFFE69A8B4A8C80C2C626B5017758" hidden="1">#REF!</definedName>
    <definedName name="BO943F7197EDF04FF2A7D1A29789D38FC7" hidden="1">#REF!</definedName>
    <definedName name="BO9440F575DEAD4D009356CD54D15D0646" hidden="1">#REF!</definedName>
    <definedName name="BO94495E5071E549F38B009DDBC5A15023" hidden="1">#REF!</definedName>
    <definedName name="BO945D4AE586B049C4B26F43D2964BF053" hidden="1">#REF!</definedName>
    <definedName name="BO9479247504A240DB8AA62248BA3AD62A" hidden="1">#REF!</definedName>
    <definedName name="BO948E4098C46048728921E52405E20CE2" hidden="1">#REF!</definedName>
    <definedName name="BO9494C43445E94B2F9101B150DA348936" hidden="1">#REF!</definedName>
    <definedName name="BO94ACFBA87DCA4A049A7A7B2CF5A0099B" hidden="1">#REF!</definedName>
    <definedName name="BO94B2F239D2624039A1DCB8FB12649BA6" hidden="1">#REF!</definedName>
    <definedName name="BO94C268B1ABDC4BE5AF160FC92E6E930E" hidden="1">#REF!</definedName>
    <definedName name="BO94C8B881FE184D5BBD91B9F2519B9593" hidden="1">#REF!</definedName>
    <definedName name="BO94CAC1B2B9184A0CA149982A6B0EDA40" hidden="1">#REF!</definedName>
    <definedName name="BO94FF7F224A1F4978B7E420C2A0B05C3D" hidden="1">#REF!</definedName>
    <definedName name="BO9513E9F1846A4523A6F0F1F3198A11D1" hidden="1">#REF!</definedName>
    <definedName name="BO95297CC5443C4A87921219AEDB0053A4" hidden="1">#REF!</definedName>
    <definedName name="BO95315A491963462088AB010F1E6536ED" hidden="1">#REF!</definedName>
    <definedName name="BO9531F6C583AD4A5B8EACA1697DCA76E5" hidden="1">#REF!</definedName>
    <definedName name="BO9546AAE559804D05934EF2CC58527114" hidden="1">#REF!</definedName>
    <definedName name="BO954E396D800B4BF9935B12333E3AE848" hidden="1">#REF!</definedName>
    <definedName name="BO955821DBA81848509481FD646A939426" hidden="1">#REF!</definedName>
    <definedName name="BO9569473B49744295BBBB13BF84496763" hidden="1">#REF!</definedName>
    <definedName name="BO956DB3C951D8464EB60637865E1D1216" hidden="1">#REF!</definedName>
    <definedName name="BO956E011291D64BEEB8399D6027B0FD14" hidden="1">#REF!</definedName>
    <definedName name="BO959272DCF99441B0A2452A49A4FBE909" hidden="1">#REF!</definedName>
    <definedName name="BO95B8948E71674C9BBD6DC47262E07D3C" hidden="1">#REF!</definedName>
    <definedName name="BO95CD0D87A86547D789C5C76C1E4685B8" hidden="1">#REF!</definedName>
    <definedName name="BO95FBA05EBB1A49DCA3E32B3AB30D7E98" hidden="1">#REF!</definedName>
    <definedName name="BO96012A3695F24EEDA41060270FB23FD7" hidden="1">#REF!</definedName>
    <definedName name="BO96073E7E2DD143EFB77B21DB51546EEA" hidden="1">#REF!</definedName>
    <definedName name="BO9614567D53B747AA9B29D726BA8A5F57" hidden="1">#REF!</definedName>
    <definedName name="BO961753E720B34B64928183DBF2D50EF4" hidden="1">#REF!</definedName>
    <definedName name="BO9619A3E64E904BBF830DEA71105C6554" hidden="1">#REF!</definedName>
    <definedName name="BO961B2829573B4BF3AEDBD5F574CBDFBE" hidden="1">#REF!</definedName>
    <definedName name="BO963AA06C95F0448C98E7B7ADF814B641" hidden="1">#REF!</definedName>
    <definedName name="BO9655D4D083304B6B84234D7B3D520D2C" hidden="1">#REF!</definedName>
    <definedName name="BO96B0D7DFBDD64B7F99A29B72A17CCBF3" hidden="1">#REF!</definedName>
    <definedName name="BO96C96D0DC4524E10AD2A3B05945FC3F1" hidden="1">#REF!</definedName>
    <definedName name="BO96D6B2D14BCE426B82DFC4BC6BE36452" hidden="1">#REF!</definedName>
    <definedName name="BO96DD60ACDEAB49279901EDA429A1D057" hidden="1">#REF!</definedName>
    <definedName name="BO96E0ACA67F90404598B7ED8E51093BC6" hidden="1">#REF!</definedName>
    <definedName name="BO96FD81C5B8DB4FBB8AA6463A2345EF65" hidden="1">#REF!</definedName>
    <definedName name="BO9705DA3C5FE549B1B6C232BEE3BE0B4A" hidden="1">#REF!</definedName>
    <definedName name="BO970E49E77A1641C28131031D36D4FD21" hidden="1">#REF!</definedName>
    <definedName name="BO971ABF41FC324365BB3C3958837215AD" hidden="1">#REF!</definedName>
    <definedName name="BO971BBD42956545928E334B292F6A0C5F" hidden="1">#REF!</definedName>
    <definedName name="BO971F9F004F88452E9A8104EDA914DE4A" hidden="1">#REF!</definedName>
    <definedName name="BO972EF9E0468B46789B22F42FA9EDF429" hidden="1">#REF!</definedName>
    <definedName name="BO9743127732D6480CBCDA2CD93BE4A029" hidden="1">#REF!</definedName>
    <definedName name="BO97435E36457D4D9F8A41E78406793419" hidden="1">#REF!</definedName>
    <definedName name="BO974DD56617CC44BB82F4580C5391D3C4" hidden="1">#REF!</definedName>
    <definedName name="BO974F495CBB5F4BE9B6A2ECAD26192CF3" hidden="1">#REF!</definedName>
    <definedName name="BO9763C8E8672C44EE9CC8F3034DE59781" hidden="1">#REF!</definedName>
    <definedName name="BO9764AE7C0FE548A687C092A5848411A0" hidden="1">#REF!</definedName>
    <definedName name="BO97705033685D404CA111963901512904" hidden="1">#REF!</definedName>
    <definedName name="BO97754172F33648A1B02D0D2E9D35C937" hidden="1">#REF!</definedName>
    <definedName name="BO977D0E2D3367462C8476C351B447CE71" hidden="1">#REF!</definedName>
    <definedName name="BO97B220745DA94ED7BB96EECFA8DC4E6E" hidden="1">#REF!</definedName>
    <definedName name="BO97E864FF22354435934B5E0583930B1A" hidden="1">#REF!</definedName>
    <definedName name="BO9809C12F3B384ADF849C353B35FBAA0D" hidden="1">#REF!</definedName>
    <definedName name="BO9847A201EFCB4ACB9B307CE635AEB5E1" hidden="1">#REF!</definedName>
    <definedName name="BO985BAF614F20419688C24910DA7EDD6A" hidden="1">#REF!</definedName>
    <definedName name="BO988C711F507447F1888939DBB79CE12A" hidden="1">#REF!</definedName>
    <definedName name="BO989A56968B1F48DCB1E51A21B2C17893" hidden="1">#REF!</definedName>
    <definedName name="BO98CB2505045548E2961B8E6D1605915E" hidden="1">#REF!</definedName>
    <definedName name="BO98D37362E38B4CDA8C9E54163DEBEB0D" hidden="1">#REF!</definedName>
    <definedName name="BO98E1498590614A7C8C9700EFA3B34ECF" hidden="1">#REF!</definedName>
    <definedName name="BO98E5E992939548CE8FEDD43F3C859A4F" hidden="1">#REF!</definedName>
    <definedName name="BO98EB4F0F414E453C9E8C0303365FB71E" hidden="1">#REF!</definedName>
    <definedName name="BO98EE941FAF8946578E04E20339EF8603" hidden="1">#REF!</definedName>
    <definedName name="BO99037B02ECF24BFFB3D99208DAE0221F" hidden="1">#REF!</definedName>
    <definedName name="BO9916AA24635F4BF297FA83B8070D44FE" hidden="1">#REF!</definedName>
    <definedName name="BO9922DCDDA14C416E94C27CE584A50205" hidden="1">#REF!</definedName>
    <definedName name="BO992471B0FCAA46B99A5CEF437922D47F" hidden="1">#REF!</definedName>
    <definedName name="BO99463C74974B4349A5BE8BFBF4C76308" hidden="1">#REF!</definedName>
    <definedName name="BO9952FD1FDB394000A77CFF0ECF03E8D2" hidden="1">#REF!</definedName>
    <definedName name="BO995DA1F47F9849D8A8D8EDAA9B7534E0" hidden="1">#REF!</definedName>
    <definedName name="BO9966FC2A064D44348ED41FEA6E021D6E" hidden="1">#REF!</definedName>
    <definedName name="BO99746685114E4D81834B645CEAD25AA3" hidden="1">#REF!</definedName>
    <definedName name="BO9984FAA95CC94B57809C5AA8ADD50266" hidden="1">#REF!</definedName>
    <definedName name="BO99886BC7CEF1473A89BBEEB83C430EE7" hidden="1">#REF!</definedName>
    <definedName name="BO99898C4BDEA24D1E99CE6C1A3A6BD908" hidden="1">#REF!</definedName>
    <definedName name="BO998E1909613041318FA45C8F7B14B775" hidden="1">#REF!</definedName>
    <definedName name="BO9997214558D14F72B1FAB36FBAC8578A" hidden="1">#REF!</definedName>
    <definedName name="BO99986C2F1A874F3AB3EFFC6732063BAA" hidden="1">#REF!</definedName>
    <definedName name="BO9999A410B168401BA23B06933F517548" hidden="1">#REF!</definedName>
    <definedName name="BO999FA66A56B04354964E9C8EDEB59AEF" hidden="1">#REF!</definedName>
    <definedName name="BO99A5EA3B6465412E99F307619EFF22BA" hidden="1">#REF!</definedName>
    <definedName name="BO99BAC6217DB74194A730AF104092B111" hidden="1">#REF!</definedName>
    <definedName name="BO99C4CA4681754EEA872316A386BE91B9" hidden="1">#REF!</definedName>
    <definedName name="BO99C517B46B44471084074AC92355F6B2" hidden="1">#REF!</definedName>
    <definedName name="BO99DC1A7172B84F838B475B6B0075ABEB" hidden="1">#REF!</definedName>
    <definedName name="BO99DE02B5579048E1BBE4F4225324DE80" hidden="1">#REF!</definedName>
    <definedName name="BO99E873DF55E2407AA79BE4AC482D57C1" hidden="1">#REF!</definedName>
    <definedName name="BO99F730DA3CE3438682559D78DBEB1137" hidden="1">#REF!</definedName>
    <definedName name="BO99FFBEBD80BD4018998241073ABBEC36" hidden="1">#REF!</definedName>
    <definedName name="BO9A0190849D034618A6D850654E79D887" hidden="1">#REF!</definedName>
    <definedName name="BO9A05D1ED402548C7BCD6598F99A3D539" hidden="1">#REF!</definedName>
    <definedName name="BO9A0785458B914172B6CA6F98503A5540" hidden="1">#REF!</definedName>
    <definedName name="BO9A0A3EF557FE4FF79C9C276FF2750A78" hidden="1">#REF!</definedName>
    <definedName name="BO9A1F9BAB994C48F6B91F15AE74E2EFF2" hidden="1">#REF!</definedName>
    <definedName name="BO9A2A567F0CC545CC9043BF9A4C5F101F" hidden="1">#REF!</definedName>
    <definedName name="BO9A3C310BF6CB47C486BB15C6F7DE7E32" hidden="1">#REF!</definedName>
    <definedName name="BO9A4A94F5AF7D4C0395CB3119F73CE421" hidden="1">#REF!</definedName>
    <definedName name="BO9A4DAFC646744B0ABE9AC8B748F29403" hidden="1">#REF!</definedName>
    <definedName name="BO9A59FC65E18E4F21B33CA5B9F96320B3" hidden="1">#REF!</definedName>
    <definedName name="BO9A62340DC7DF4552A6743C7FF6FF0E8A" hidden="1">#REF!</definedName>
    <definedName name="BO9A78932710404751B80863614952311A" hidden="1">#REF!</definedName>
    <definedName name="BO9AB4EE1BE75A4835A849BC3D07FB835E" hidden="1">#REF!</definedName>
    <definedName name="BO9AB9669C18D8408FB7B971802388C9D2" hidden="1">#REF!</definedName>
    <definedName name="BO9AD37D1B6D6E485CB10128FACD00A19D" hidden="1">#REF!</definedName>
    <definedName name="BO9AD7468F6951475F80B883FFA1EFF394" hidden="1">#REF!</definedName>
    <definedName name="BO9ADBAF030D114371A37BB3731A2FF1BB" hidden="1">#REF!</definedName>
    <definedName name="BO9AE63B8B66BF4271961E67AB87C27BE3" hidden="1">#REF!</definedName>
    <definedName name="BO9AFDD4CFEDE84C3CAEAD110DF748A416" hidden="1">#REF!</definedName>
    <definedName name="BO9B07B29E896D4E689C3E019FE42771E7" hidden="1">#REF!</definedName>
    <definedName name="BO9B0C18E18D78469EB56DF09655A49385" hidden="1">#REF!</definedName>
    <definedName name="BO9B3B4252A5054C8AA9BB04D57CE43C60" hidden="1">#REF!</definedName>
    <definedName name="BO9B3B6F3CBDDD4CB0B98E9DAC2E6DFBB4" hidden="1">#REF!</definedName>
    <definedName name="BO9B50918CCB56446A9A55F218C6E249D8" hidden="1">#REF!</definedName>
    <definedName name="BO9B608C1909F54F72A214116195B465F5" hidden="1">#REF!</definedName>
    <definedName name="BO9B640C81FAC3478A9C0CE081CB3E73D5" hidden="1">#REF!</definedName>
    <definedName name="BO9B6675559D5942B3B387B2E69918ECCC" hidden="1">#REF!</definedName>
    <definedName name="BO9B9AF7C9673C48CD8E8EAE4AC4E281CA" hidden="1">#REF!</definedName>
    <definedName name="BO9BA4A83B399349A6805DDB7F94980F05" hidden="1">#REF!</definedName>
    <definedName name="BO9BAECBA19405487FB031825E7B70BE1C" hidden="1">#REF!</definedName>
    <definedName name="BO9BB7786E205641A9BCB10515C5FB9C5C" hidden="1">#REF!</definedName>
    <definedName name="BO9BBBD5E6AA58480F99501CB155F50055" hidden="1">#REF!</definedName>
    <definedName name="BO9BC62009464D4CDC8AFA09C3FB8BBE87" hidden="1">#REF!</definedName>
    <definedName name="BO9BCD390675784E7E92A69F40BE3A5B62" hidden="1">#REF!</definedName>
    <definedName name="BO9BCF658BBEEB42C89189AA47132AC73A" hidden="1">#REF!</definedName>
    <definedName name="BO9BDABA118D9D4B17BB4B2AFD791E1CCC" hidden="1">#REF!</definedName>
    <definedName name="BO9BE41D1F231A418F830EAA8396305640" hidden="1">#REF!</definedName>
    <definedName name="BO9BEB34EF464948388646CD1E9CCF3C88" hidden="1">#REF!</definedName>
    <definedName name="BO9BF2158E63B442B6BEC0EE989CB555C9" hidden="1">#REF!</definedName>
    <definedName name="BO9C033AF8DD7140CC9F74276E8579218B" hidden="1">#REF!</definedName>
    <definedName name="BO9C17161872F74DB0BA6C03506E72CEFE" hidden="1">#REF!</definedName>
    <definedName name="BO9C1F66450CA4433BB8C0BEAC39F38580" hidden="1">#REF!</definedName>
    <definedName name="BO9C479AB7F7D14AD789E89AA8AD2EDBA9" hidden="1">#REF!</definedName>
    <definedName name="BO9C4B3E52D44242F9BA45E8B9651946DF" hidden="1">#REF!</definedName>
    <definedName name="BO9C4C9AEDF4FB429794E3DF9F17DD6F21" hidden="1">#REF!</definedName>
    <definedName name="BO9C725E2A3E6744A4B42FF9D8973D7DA9" hidden="1">#REF!</definedName>
    <definedName name="BO9C7B299EE2BA47F5AD0F7F0898271140" hidden="1">#REF!</definedName>
    <definedName name="BO9C8818FA281B477AB49B83D582EDEADA" hidden="1">#REF!</definedName>
    <definedName name="BO9C95306ECA8A4DF29A67E71B4C27512C" hidden="1">#REF!</definedName>
    <definedName name="BO9C99F13B52A74EB890D5789B98CB5E29" hidden="1">#REF!</definedName>
    <definedName name="BO9CA845EC09454761BFF0DC05A2EB3A06" hidden="1">#REF!</definedName>
    <definedName name="BO9CBCC0D3894A44B58DAC2B863B7E25B3" hidden="1">#REF!</definedName>
    <definedName name="BO9CCC8A5BD0E94CE7A450335354BBAA57" hidden="1">#REF!</definedName>
    <definedName name="BO9CEC345C1FA942F3BD104BEB133857F2" hidden="1">#REF!</definedName>
    <definedName name="BO9CEDA0A1EF9D4D08B668B573749EC76F" hidden="1">#REF!</definedName>
    <definedName name="BO9CF4BD0812244316BF5A6F72EE779638" hidden="1">#REF!</definedName>
    <definedName name="BO9D0CC3A36C1141B3BAC1D990DFF8E548" hidden="1">#REF!</definedName>
    <definedName name="BO9D0FB7C1C3B841A59A5E9CAD840B8C0F" hidden="1">#REF!</definedName>
    <definedName name="BO9D29BEF5122E4539AACF8FB3DA3A12F3" hidden="1">#REF!</definedName>
    <definedName name="BO9D2EC89415594DFCBFA383F91B4F5835" hidden="1">#REF!</definedName>
    <definedName name="BO9D31DD6E049A4E7FB735DB29E71A97F2" hidden="1">#REF!</definedName>
    <definedName name="BO9D382EA010864BB39B897D3D6C08CE6F" hidden="1">#REF!</definedName>
    <definedName name="BO9D40568C162041729FECE5EACF95E36F" hidden="1">#REF!</definedName>
    <definedName name="BO9D566E07211A4542B709221142FB26CC" hidden="1">#REF!</definedName>
    <definedName name="BO9D5B83458C744002B63E411CDE03ECB7" hidden="1">#REF!</definedName>
    <definedName name="BO9D679CDB0BC745C492504DED9E16F0C1" hidden="1">#REF!</definedName>
    <definedName name="BO9D8E5AEE91D145AC8C361FB584A61FB0" hidden="1">#REF!</definedName>
    <definedName name="BO9D9E159D0FE347688EBFFA8002E44AD0" hidden="1">#REF!</definedName>
    <definedName name="BO9DAD193BB5774035B644B57E4E0C052B" hidden="1">#REF!</definedName>
    <definedName name="BO9DBD98EF44DB43599D5AF4FF920BC4FE" hidden="1">#REF!</definedName>
    <definedName name="BO9DBFA7A314A14358A1BDB1236CC63047" hidden="1">#REF!</definedName>
    <definedName name="BO9DE21AB0C811455699C778ECB24B4AD9" hidden="1">#REF!</definedName>
    <definedName name="BO9DEDFE5942A34E648C390FC7789F54A7" hidden="1">#REF!</definedName>
    <definedName name="BO9DEF2EE08D964A7E8310419E9921EE75" hidden="1">#REF!</definedName>
    <definedName name="BO9E003DA1F36B44AB9EC08ACBAEE6F65D" hidden="1">#REF!</definedName>
    <definedName name="BO9E02CEC9FD5A474CAE0151837DDCCD27" hidden="1">#REF!</definedName>
    <definedName name="BO9E0C25B7E0C84BFE9426A44CBF8937BB" hidden="1">#REF!</definedName>
    <definedName name="BO9E3D1164FF204D198D23C9100A1AEA98" hidden="1">#REF!</definedName>
    <definedName name="BO9E4FD01082214E3F8437C9DF0F856DBF" hidden="1">#REF!</definedName>
    <definedName name="BO9E52B7B4CF9B4D71A2D5614FA890F443" hidden="1">#REF!</definedName>
    <definedName name="BO9E592C4A1FD54960AAB050B54EBC10CB" hidden="1">#REF!</definedName>
    <definedName name="BO9E607AF5BE064FB299442D5B6D3479FB" hidden="1">#REF!</definedName>
    <definedName name="BO9E638BDAC1EF49E1B331A2651DF806E3" hidden="1">#REF!</definedName>
    <definedName name="BO9E6BBB658B144A95A52B25E62829C5F7" hidden="1">#REF!</definedName>
    <definedName name="BO9E79B2F2FD414D0995239E41D7EEB412" hidden="1">#REF!</definedName>
    <definedName name="BO9E99CD5583BF4ABC9E6E2B3ECDCCA708" hidden="1">#REF!</definedName>
    <definedName name="BO9EA1640B67314D7784B5ADB06B85918D" hidden="1">#REF!</definedName>
    <definedName name="BO9EC96CBE66E94173B9AD6AFFF322328A" hidden="1">#REF!</definedName>
    <definedName name="BO9EE40B3D0579479EA703138ABB06409C" hidden="1">#REF!</definedName>
    <definedName name="BO9EE65237CE8142E28DABAA00F78B15A0" hidden="1">#REF!</definedName>
    <definedName name="BO9EEDCF5DB65140C1B2B70A982B0F3E91" hidden="1">#REF!</definedName>
    <definedName name="BO9EFE4D2657B548BBB5C13871BBB7BAC2" hidden="1">#REF!</definedName>
    <definedName name="BO9F07CBAC4C5F49DE92CC2A52C21CAB7E" hidden="1">#REF!</definedName>
    <definedName name="BO9F10227E96244783A05F5235335876C8" hidden="1">#REF!</definedName>
    <definedName name="BO9F10FA186178484FABB4E8B074B15420" hidden="1">#REF!</definedName>
    <definedName name="BO9F26A0F83AA44AE185F0CBE7F46308A4" hidden="1">#REF!</definedName>
    <definedName name="BO9F298459EE0D48A59935D8D99AE4ACE1" hidden="1">#REF!</definedName>
    <definedName name="BO9F3149EE152D44A5A91DF5FD2E8AD0C2" hidden="1">#REF!</definedName>
    <definedName name="BO9F34E55FDD3A4D32B20E4E980B02C425" hidden="1">#REF!</definedName>
    <definedName name="BO9F40D694D9684B508FA9A8F103228394" hidden="1">#REF!</definedName>
    <definedName name="BO9F4A27EFD11E460095F71A06612D9B82" hidden="1">#REF!</definedName>
    <definedName name="BO9F4F8274C78042D0BEB7613F8F9B1120" hidden="1">#REF!</definedName>
    <definedName name="BO9F54818F41EF40E6A9F3633AB2F2EA20" hidden="1">#REF!</definedName>
    <definedName name="BO9F59A2B8F33B445B9BAB375D17851174" hidden="1">#REF!</definedName>
    <definedName name="BO9F6B8C696CF146C280FEB5D6C749222C" hidden="1">#REF!</definedName>
    <definedName name="BO9F71EDDE4E924BF3A0A7E8E09E21BF3A" hidden="1">#REF!</definedName>
    <definedName name="BO9F763178201E45C3AC52177777B00C3E" hidden="1">#REF!</definedName>
    <definedName name="BO9F7F85E5F8D34CDDA86FC6528443462F" hidden="1">#REF!</definedName>
    <definedName name="BO9F8DFCDB096345B68BCF462FC11B9706" hidden="1">#REF!</definedName>
    <definedName name="BO9FBFFA7083694DD3AD4640D05A58F483" hidden="1">#REF!</definedName>
    <definedName name="BO9FDB53228D304274A31FEEB51F85A06C" hidden="1">#REF!</definedName>
    <definedName name="BO9FDC777231194DEBAE529B75C7703B12" hidden="1">#REF!</definedName>
    <definedName name="BO9FE9A5BF8BD8442BA30E8B0FCB850D69" hidden="1">#REF!</definedName>
    <definedName name="BOA006F4ABB05B4841864CE9366EE3464D" hidden="1">#REF!</definedName>
    <definedName name="BOA01AB44C3CB1473A905F71A02375605D" hidden="1">#REF!</definedName>
    <definedName name="BOA026BD8E29134FEA874EB6DD15E9507D" hidden="1">#REF!</definedName>
    <definedName name="BOA034EFB2DC1E4E55A8F064011238DBAC" hidden="1">#REF!</definedName>
    <definedName name="BOA038D6F17568471A95ECC63C7C7EE5A5" hidden="1">#REF!</definedName>
    <definedName name="BOA03D360312ED4F30BACC528D9A68ADA8" hidden="1">#REF!</definedName>
    <definedName name="BOA04463B6BB4147F38D9C9AA41D435B2D" hidden="1">#REF!</definedName>
    <definedName name="BOA06C5CCA5DD647F9984948B45BC34825" hidden="1">#REF!</definedName>
    <definedName name="BOA07290F0219743E58ED937A47AFEFA7D" hidden="1">#REF!</definedName>
    <definedName name="BOA0805D20D5424E0F98EEF4B0F54DFE47" hidden="1">#REF!</definedName>
    <definedName name="BOA092EBD10A39436D961FC4626BA9D54B" hidden="1">#REF!</definedName>
    <definedName name="BOA0973CD7CB0D4427822DCC15C8DC36E6" hidden="1">#REF!</definedName>
    <definedName name="BOA09939E62F734F3790CB58BAACFAF893" hidden="1">#REF!</definedName>
    <definedName name="BOA09FAFD901694A93A2FF2944A08E1E84" hidden="1">#REF!</definedName>
    <definedName name="BOA0A6F7DBC13340D99A8C09D43A8C5FDD" hidden="1">#REF!</definedName>
    <definedName name="BOA0A8CC93F5D64DCD97471686FFBAD7A1" hidden="1">#REF!</definedName>
    <definedName name="BOA0FA4B67BA284BD299EE7E6AE4F796D3" hidden="1">#REF!</definedName>
    <definedName name="BOA103EFA0D3EE40399ECD9FAE4B4DC409" hidden="1">#REF!</definedName>
    <definedName name="BOA11A3364279C4FC0B49B5233DDFB7141" hidden="1">#REF!</definedName>
    <definedName name="BOA128A3FA0B6C4D55AF9568C49CAD3B45" hidden="1">#REF!</definedName>
    <definedName name="BOA12F3EEDA20B4FD9B8C4F5748C7E15C6" hidden="1">#REF!</definedName>
    <definedName name="BOA1352C67E57F45F18A3132F095B04042" hidden="1">#REF!</definedName>
    <definedName name="BOA13EC5CDB2214E749DF116E65443FF6F" hidden="1">#REF!</definedName>
    <definedName name="BOA141CE166F8440C3A8CD0C0AB35AE9C6" hidden="1">#REF!</definedName>
    <definedName name="BOA146747F9920445B838D6464550D1773" hidden="1">#REF!</definedName>
    <definedName name="BOA152F44A37C4455681690219A61BB8B3" hidden="1">#REF!</definedName>
    <definedName name="BOA15AEAA763514B49B56E0598A1F4F5B6" hidden="1">#REF!</definedName>
    <definedName name="BOA161645A570249BAA9140EF1ADACF4CD" hidden="1">#REF!</definedName>
    <definedName name="BOA169A3CB6EE44860BB3708E0DF1BC3AF" hidden="1">#REF!</definedName>
    <definedName name="BOA1758065E1644D98A1D35456D11460EC" hidden="1">#REF!</definedName>
    <definedName name="BOA1A05E26429E4F3195FA94B46415BFDA" hidden="1">#REF!</definedName>
    <definedName name="BOA1E2968796FB4C2684E70A880C2C563B" hidden="1">#REF!</definedName>
    <definedName name="BOA1E2A5EE861F49C38EE305E436EEFE96" hidden="1">#REF!</definedName>
    <definedName name="BOA1FF26CC55B443828B3455BBCDFFD9E1" hidden="1">#REF!</definedName>
    <definedName name="BOA203464495D44B83890EDB7027EA84F7" hidden="1">#REF!</definedName>
    <definedName name="BOA20E04A39F4B4A3BA218F72A29F29A62" hidden="1">#REF!</definedName>
    <definedName name="BOA226A8EB8CDF40E2A826892868C06AC9" hidden="1">#REF!</definedName>
    <definedName name="BOA22B3CD7328748DCA7244693DF118DB7" hidden="1">#REF!</definedName>
    <definedName name="BOA238E633EA8D43B6938A6FDF897467C5" hidden="1">#REF!</definedName>
    <definedName name="BOA2412A5E6D57468B938BE2B72C05DA56" hidden="1">#REF!</definedName>
    <definedName name="BOA244AF15CBE14BEF83C03EEAC7E9F048" hidden="1">#REF!</definedName>
    <definedName name="BOA2534E435EDB40A392C16CD7756BF8AC" hidden="1">#REF!</definedName>
    <definedName name="BOA25701E9AB1B461DA8DCB7C322980C49" hidden="1">#REF!</definedName>
    <definedName name="BOA26F5341832B4FDD924FDA0363189BB2" hidden="1">#REF!</definedName>
    <definedName name="BOA27561E4E6D54D2E82204A11F24FBE9A" hidden="1">#REF!</definedName>
    <definedName name="BOA283388003664BE3B1DC3A3FFF38FE73" hidden="1">#REF!</definedName>
    <definedName name="BOA2859B8A4F184F7D8C8ACEB84BCC80E1" hidden="1">#REF!</definedName>
    <definedName name="BOA289AA4645634A87B4FB1CCD6F128776" hidden="1">#REF!</definedName>
    <definedName name="BOA2932D13796047F9BE9474AE2E533D39" hidden="1">#REF!</definedName>
    <definedName name="BOA29A022FDF4143D5ABDBC8C38B3D7806" hidden="1">#REF!</definedName>
    <definedName name="BOA29B3938849B4A3C87A0DE3336238EAE" hidden="1">#REF!</definedName>
    <definedName name="BOA29FDB1E987A460A9ACA8783CC2538FB" hidden="1">#REF!</definedName>
    <definedName name="BOA2A0FA23CD564225A72813CC35CFC8D6" hidden="1">#REF!</definedName>
    <definedName name="BOA2BFF17EDE7441DE8B2192F7F4BAB195" hidden="1">#REF!</definedName>
    <definedName name="BOA2CC00FFAA57489F9D9480BE93021654" hidden="1">#REF!</definedName>
    <definedName name="BOA2D1DDA741CE4F6B9D71E5D5771574D6" hidden="1">#REF!</definedName>
    <definedName name="BOA2E484543D694D02994BC4EC2F655330" hidden="1">#REF!</definedName>
    <definedName name="BOA2E89E420EFF429C914C1396BC3B6E85" hidden="1">#REF!</definedName>
    <definedName name="BOA2F83AA2B90A4D128D93F12778168CD0" hidden="1">#REF!</definedName>
    <definedName name="BOA315AA4931CC4001A9EC8F6920A91C79" hidden="1">#REF!</definedName>
    <definedName name="BOA32426FCD5BF4607A33D160E9645EB0D" hidden="1">#REF!</definedName>
    <definedName name="BOA329B79A6633435092448BF3EF8FC818" hidden="1">#REF!</definedName>
    <definedName name="BOA33A7D819F024B85B56B7D2A2E4484D7" hidden="1">#REF!</definedName>
    <definedName name="BOA352B72344F0429E86D9ED262C4398FA" hidden="1">#REF!</definedName>
    <definedName name="BOA35594FBAC6C4023A87A6DCB6BA099EA" hidden="1">#REF!</definedName>
    <definedName name="BOA37F6F9C519E4F40A4DA2ED6DF252D1D" hidden="1">#REF!</definedName>
    <definedName name="BOA3875A77EC7744BFA6C75D3365CD27B9" hidden="1">#REF!</definedName>
    <definedName name="BOA39EB795244B453F9C0B7BB24072C50B" hidden="1">#REF!</definedName>
    <definedName name="BOA3ABC3ACDB7C467FA9004B72803A383E" hidden="1">#REF!</definedName>
    <definedName name="BOA3B2EB35C3BF4AD2AE5C9FBEA422359B" hidden="1">#REF!</definedName>
    <definedName name="BOA3B6C2E31A424B5884BD468565BC45E1" hidden="1">#REF!</definedName>
    <definedName name="BOA3C4CE09FB0449E9B7E9CA671975ACCF" hidden="1">#REF!</definedName>
    <definedName name="BOA3C7B609878E4121A64E04D6B7F8A65F" hidden="1">#REF!</definedName>
    <definedName name="BOA3F98ABF94274EBDBA8B8C0A346CF6BF" hidden="1">#REF!</definedName>
    <definedName name="BOA42602D37E80421497F71AE8DF396BFB" hidden="1">#REF!</definedName>
    <definedName name="BOA439A957F73944B38D8C767CF10E9716" hidden="1">#REF!</definedName>
    <definedName name="BOA44AE348903746CA9B8ABE6EF71D1077" hidden="1">#REF!</definedName>
    <definedName name="BOA462C80DE3494FC685782204231EF933" hidden="1">#REF!</definedName>
    <definedName name="BOA4649298C78E4096A85D8FD30642C288" hidden="1">#REF!</definedName>
    <definedName name="BOA4655D7AD88B4E3E9DBE986C4E74894C" hidden="1">#REF!</definedName>
    <definedName name="BOA46D3E826AD34836A0E60CE28F3015D1" hidden="1">#REF!</definedName>
    <definedName name="BOA4748AD854304C5B817167E99614D86A" hidden="1">#REF!</definedName>
    <definedName name="BOA47CF37286DB448EBB70B3729F6F59CC" hidden="1">#REF!</definedName>
    <definedName name="BOA47E09412705450888DD8453BF6DCA12" hidden="1">#REF!</definedName>
    <definedName name="BOA480A24809644C1CAA54BDDC44F294D9" hidden="1">#REF!</definedName>
    <definedName name="BOA4940DB879CF4599A4F180784D029065" hidden="1">#REF!</definedName>
    <definedName name="BOA4A383CBB5DA4205B715E501850002D6" hidden="1">#REF!</definedName>
    <definedName name="BOA4A4F6B69A2C4AB6B5CD14430985CCB0" hidden="1">#REF!</definedName>
    <definedName name="BOA4B854E4A98E4EE8B599A4C36A99C92F" hidden="1">#REF!</definedName>
    <definedName name="BOA4DF3CBC0DFB41228237A09E59236542" hidden="1">#REF!</definedName>
    <definedName name="BOA4DF64C9C3CA43B696B1A8C6180B681B" hidden="1">#REF!</definedName>
    <definedName name="BOA4ED650C391F4D5183F4E03627D41666" hidden="1">#REF!</definedName>
    <definedName name="BOA4F66357C5124D408BDE2D48F6F81BDA" hidden="1">#REF!</definedName>
    <definedName name="BOA4FC8C2D15F947AD8609EA814791EC02" hidden="1">#REF!</definedName>
    <definedName name="BOA50372BAFCAA49439AF1A75FA936229B" hidden="1">#REF!</definedName>
    <definedName name="BOA50776DD34F341719EF3B1C7B8D350A9" hidden="1">#REF!</definedName>
    <definedName name="BOA50D35BF58B44C59BF73F7E6757FA980" hidden="1">#REF!</definedName>
    <definedName name="BOA518504A72CB404F97B9250DAF6B141C" hidden="1">#REF!</definedName>
    <definedName name="BOA52077D9BB274AFAB79A440D6D5E9C65" hidden="1">#REF!</definedName>
    <definedName name="BOA522AA7990414D558303C13D7EEA8E7C" hidden="1">#REF!</definedName>
    <definedName name="BOA54577F42D974EFD95DB79ED0E039122" hidden="1">#REF!</definedName>
    <definedName name="BOA55144CF16B44B83A70A3CE1429CAB79" hidden="1">#REF!</definedName>
    <definedName name="BOA5563290A14545B291A1460769DA573E" hidden="1">#REF!</definedName>
    <definedName name="BOA556A474DB384B9BA1CAD568D1920BF5" hidden="1">#REF!</definedName>
    <definedName name="BOA56250C6D113490494A85508FA96F117" hidden="1">#REF!</definedName>
    <definedName name="BOA569850F54084856964BAC3DD63DE6CF" hidden="1">#REF!</definedName>
    <definedName name="BOA57105DE22D24F41BC5F6A588AD9DFDB" hidden="1">#REF!</definedName>
    <definedName name="BOA57BAACC082A40159BEF18E4E3DB2ACD" hidden="1">#REF!</definedName>
    <definedName name="BOA5816702A94C4F9789F32B0767C335FC" hidden="1">#REF!</definedName>
    <definedName name="BOA581B3576FD14DDA8428A257E41BD465" hidden="1">#REF!</definedName>
    <definedName name="BOA59812A6C8F6471D8B7808CD5A2D4E46" hidden="1">#REF!</definedName>
    <definedName name="BOA59C328FE6F9489E983BC5E8CEB12C49" hidden="1">#REF!</definedName>
    <definedName name="BOA5DDD8C7B53F4A399F7458EC992FAB25" hidden="1">#REF!</definedName>
    <definedName name="BOA5F3303F0029428991ECBD9C0A9612AB" hidden="1">#REF!</definedName>
    <definedName name="BOA5F52A81589749329CDCE8685E3175F2" hidden="1">#REF!</definedName>
    <definedName name="BOA6016830A7DF4EB7AFE8DAA66029B319" hidden="1">#REF!</definedName>
    <definedName name="BOA61741D1C15A4602B78F1B159E500C22" hidden="1">#REF!</definedName>
    <definedName name="BOA617E4079642433B8B3B94647637C378" hidden="1">#REF!</definedName>
    <definedName name="BOA61A6AC1202F4579BCCF9BDB3C59424F" hidden="1">#REF!</definedName>
    <definedName name="BOA63016B9CA5C48358232AA6085522469" hidden="1">#REF!</definedName>
    <definedName name="BOA632E1E19F6146D8B540BA96DD9F15BF" hidden="1">#REF!</definedName>
    <definedName name="BOA6492DB40AC04A3A80E365CC0ADE8B7D" hidden="1">#REF!</definedName>
    <definedName name="BOA65CEC24542D4292AAD5283DBB046FE4" hidden="1">#REF!</definedName>
    <definedName name="BOA684382D3DF540B69C2C947110404DBD" hidden="1">#REF!</definedName>
    <definedName name="BOA690D3D0B3014F479F8938DA2A24028D" hidden="1">#REF!</definedName>
    <definedName name="BOA6C4DC084F9741808784C5E58ABF8EEB" hidden="1">#REF!</definedName>
    <definedName name="BOA6CEB363B62D4A5E8653E0BEE5CE80FD" hidden="1">#REF!</definedName>
    <definedName name="BOA6E203E4C48E4F42A3FA31107DA549DE" hidden="1">#REF!</definedName>
    <definedName name="BOA6E22D89726B4A9BBFC5174129578A94" hidden="1">#REF!</definedName>
    <definedName name="BOA6EAB4CBF9114A5BA124C6C55E274254" hidden="1">#REF!</definedName>
    <definedName name="BOA70749E9ECCF4CA1818678F8E46F0055" hidden="1">#REF!</definedName>
    <definedName name="BOA707A60280214C118EE4576BCB8B7DAB" hidden="1">#REF!</definedName>
    <definedName name="BOA712AA636CCB425093E780C6F6E88895" hidden="1">#REF!</definedName>
    <definedName name="BOA71E9E0A6B654860B10DCBA2CFBBCEE1" hidden="1">#REF!</definedName>
    <definedName name="BOA728B6EAF7A14885845F7AA7D62EB408" hidden="1">#REF!</definedName>
    <definedName name="BOA7455FF6DF214261A4347081C1D9C8EE" hidden="1">#REF!</definedName>
    <definedName name="BOA746A2AB5671481DA3DD991C94176C8A" hidden="1">#REF!</definedName>
    <definedName name="BOA7472CE27BE2443AB87D3947C054158F" hidden="1">#REF!</definedName>
    <definedName name="BOA7493DA3C3234852AED9DDE2E10E4132" hidden="1">#REF!</definedName>
    <definedName name="BOA74AA104568E47BD86B932FFDA257D7C" hidden="1">#REF!</definedName>
    <definedName name="BOA753111F650D4E3095432AD4FD5F611C" hidden="1">#REF!</definedName>
    <definedName name="BOA75545E5DDD144219F5A61A771BF481F" hidden="1">#REF!</definedName>
    <definedName name="BOA771331D481D4B8DB85C4953B28F2BC7" hidden="1">#REF!</definedName>
    <definedName name="BOA78A2F476D7443DA9A43D445AD643547" hidden="1">#REF!</definedName>
    <definedName name="BOA791A74458E94B4FBEE935AC97E2C20A" hidden="1">#REF!</definedName>
    <definedName name="BOA79FF83862C844F696454C0522D0843E" hidden="1">#REF!</definedName>
    <definedName name="BOA7A841224BCF4816A8C6F0C97888E4C7" hidden="1">#REF!</definedName>
    <definedName name="BOA7DEC5F243FB4F35912907E0D2F89E0A" hidden="1">#REF!</definedName>
    <definedName name="BOA7E83106D21847819E57AA451D3CD0AE" hidden="1">#REF!</definedName>
    <definedName name="BOA7F95C09DDE14ED9ADF146BB8E5485E7" hidden="1">#REF!</definedName>
    <definedName name="BOA7FF2C28276841DDA5FD8013F2976256" hidden="1">#REF!</definedName>
    <definedName name="BOA806F94152BC41B4924D421A3978D877" hidden="1">#REF!</definedName>
    <definedName name="BOA80A354E42AB46F8BB5D1820B60A5551" hidden="1">#REF!</definedName>
    <definedName name="BOA80D127E18A246B88B551764EB40D88D" hidden="1">#REF!</definedName>
    <definedName name="BOA8206628314E4A578EFEF6514ED8FA60" hidden="1">#REF!</definedName>
    <definedName name="BOA83C165DFCC4407CA727BF99F0C45526" hidden="1">#REF!</definedName>
    <definedName name="BOA845FB7BA6F94DD384D9239414F1084D" hidden="1">#REF!</definedName>
    <definedName name="BOA8540DFBF8EF49C5AB8D4B08918806F3" hidden="1">#REF!</definedName>
    <definedName name="BOA85953DDC645497D94B1F0DC98AB88F3" hidden="1">#REF!</definedName>
    <definedName name="BOA86399A514B142459FA538ED95ED75D7" hidden="1">#REF!</definedName>
    <definedName name="BOA867A12A4E9B4122A055945A85515980" hidden="1">#REF!</definedName>
    <definedName name="BOA867EE6FED6649569D2F804794756A2C" hidden="1">#REF!</definedName>
    <definedName name="BOA879FFE6ECBE4F8ABCD12D7BCBA427F4" hidden="1">#REF!</definedName>
    <definedName name="BOA880BD92CB5B4C59AA5C0A8CA4F5372F" hidden="1">#REF!</definedName>
    <definedName name="BOA892C39EF82841FD9511259DD72D5BAC" hidden="1">#REF!</definedName>
    <definedName name="BOA8957C86FB6643AC809FD39567629B64" hidden="1">#REF!</definedName>
    <definedName name="BOA8AB53237752430BB0B4104856BA4E2A" hidden="1">#REF!</definedName>
    <definedName name="BOA8B6BA915B2046D49E6CCA0FAABA1AB0" hidden="1">#REF!</definedName>
    <definedName name="BOA8B6E7E580EC46D5A167ECCE259105F9" hidden="1">#REF!</definedName>
    <definedName name="BOA8BBACE96EA04C5395CDAD4B7730F1A9" hidden="1">#REF!</definedName>
    <definedName name="BOA8BDC17C9B004D55A015D84C15CB45EB" hidden="1">#REF!</definedName>
    <definedName name="BOA8D1E2E64BB645C680E24AB89AEDFCE3" hidden="1">#REF!</definedName>
    <definedName name="BOA901AF30926D453BB7505F619BF078C6" hidden="1">#REF!</definedName>
    <definedName name="BOA905A35F3C83427BAF8078DEA92E3DCC" hidden="1">#REF!</definedName>
    <definedName name="BOA91942887A174391853984C0DB8FA258" hidden="1">#REF!</definedName>
    <definedName name="BOA924C8471B3D4BEFBFB2779ECB07D4B5" hidden="1">#REF!</definedName>
    <definedName name="BOA92A7DA0406B44A3B5068E2C2403AEF8" hidden="1">#REF!</definedName>
    <definedName name="BOA92CD5ABDF7142A9A3BBE8219AB7AD1E" hidden="1">#REF!</definedName>
    <definedName name="BOA9348BE012FB4ED0B39EEDCD3E06F5F2" hidden="1">#REF!</definedName>
    <definedName name="BOA936BD839D6F41B1B928DEA2E612643F" hidden="1">#REF!</definedName>
    <definedName name="BOA941C0CD3F314CADA478A0C1CD85D250" hidden="1">#REF!</definedName>
    <definedName name="BOA960BBD34FE24271BB6009F552117A5E" hidden="1">#REF!</definedName>
    <definedName name="BOA97962AF99094B3CAD20F26EF024F3B8" hidden="1">#REF!</definedName>
    <definedName name="BOA97D1C5882D9460FB9B7E8BE3E06D7C7" hidden="1">#REF!</definedName>
    <definedName name="BOA981BC77D539446780CCABF5840EB5CC" hidden="1">#REF!</definedName>
    <definedName name="BOA99B3EA44A6444AD81F311DA7CDA0E02" hidden="1">#REF!</definedName>
    <definedName name="BOA9AFF096E6444A7E8455417EDE43E417" hidden="1">#REF!</definedName>
    <definedName name="BOA9DCE25621BA40C296FF0BBC64986F2B" hidden="1">#REF!</definedName>
    <definedName name="BOA9DE90E757EF4234987B6089AAE9083F" hidden="1">#REF!</definedName>
    <definedName name="BOA9E34BE9692245F381021991986CA770" hidden="1">#REF!</definedName>
    <definedName name="BOA9F3030815134B05A7558100392E38FB" hidden="1">#REF!</definedName>
    <definedName name="BOAA01475766094341BAC5937C45B98679" hidden="1">#REF!</definedName>
    <definedName name="BOAA0860BF715E47AC9514FA50EA6E61AF" hidden="1">#REF!</definedName>
    <definedName name="BOAA1E223595434D068D4C203B89333068" hidden="1">#REF!</definedName>
    <definedName name="BOAA37683A5AAF416AA96E3DADC31E1AC4" hidden="1">#REF!</definedName>
    <definedName name="BOAA3F9143BD93402B92B4D5E889675490" hidden="1">#REF!</definedName>
    <definedName name="BOAA55DDAA55074BAC962C2EAD02CE9726" hidden="1">#REF!</definedName>
    <definedName name="BOAA652F21BEDB4AC6AC7727649CE8D61F" hidden="1">#REF!</definedName>
    <definedName name="BOAA653AB974824D93A798765A54C0EB79" hidden="1">#REF!</definedName>
    <definedName name="BOAA7F88AD6DC24F15815B41B5545C66B0" hidden="1">#REF!</definedName>
    <definedName name="BOAA7FB2E90CAF41F0A8156714764841D1" hidden="1">#REF!</definedName>
    <definedName name="BOAA98F55B3C264C12B78EEDFCEDE06C07" hidden="1">#REF!</definedName>
    <definedName name="BOAAB11C84339D4299BFC1AA6D04698F2A" hidden="1">#REF!</definedName>
    <definedName name="BOAAB249B9593B4344AD2BC41488FF9294" hidden="1">#REF!</definedName>
    <definedName name="BOAAF327AFC0664C7091659BAFCB27C490" hidden="1">#REF!</definedName>
    <definedName name="BOAAF9B49CFC784CCA971E3C64A3E41A64" hidden="1">#REF!</definedName>
    <definedName name="BOAAFA5A1A37E6419880DFDAD5355E1D06" hidden="1">#REF!</definedName>
    <definedName name="BOAAFFA14D3B8C42998A9CCDB720EFA746" hidden="1">#REF!</definedName>
    <definedName name="BOAB10402BC8264153B84775082374D8C1" hidden="1">#REF!</definedName>
    <definedName name="BOAB29207EFA5F431C8F9196A9CBABBF09" hidden="1">#REF!</definedName>
    <definedName name="BOAB2FFF70AB0E4B7DBDC7FC821977E79A" hidden="1">#REF!</definedName>
    <definedName name="BOAB4EA31D04C5441EB64651C401666C2E" hidden="1">#REF!</definedName>
    <definedName name="BOAB55A49C750F4A04BB95727169E240E7" hidden="1">#REF!</definedName>
    <definedName name="BOAB59664B5FA1468B95E5481856A3ABA4" hidden="1">#REF!</definedName>
    <definedName name="BOAB61742FDFEA41718895C17AF1E070B3" hidden="1">#REF!</definedName>
    <definedName name="BOAB8040E3A5124FA2AD95125626ED80CC" hidden="1">#REF!</definedName>
    <definedName name="BOAB82E269C9C44E749643F11D7E8DC781" hidden="1">#REF!</definedName>
    <definedName name="BOABA37D4AAAF34670989EA3781641E276" hidden="1">#REF!</definedName>
    <definedName name="BOABBB8A5582AF477181C945BF9631CC31" hidden="1">#REF!</definedName>
    <definedName name="BOABBC3E842C2D4577BD91AB57CA8D6791" hidden="1">#REF!</definedName>
    <definedName name="BOABBCC65C502741CFA6171DACF843BA39" hidden="1">#REF!</definedName>
    <definedName name="BOABBEDF0B098A4D5BAD03B9ADDF109A8A" hidden="1">#REF!</definedName>
    <definedName name="BOABE17346E5364BC6BC09CCC3833A87D6" hidden="1">#REF!</definedName>
    <definedName name="BOABE634B5257648299573C5F63F4789DB" hidden="1">#REF!</definedName>
    <definedName name="BOABE6D56CADF540788764AC6DE708AE41" hidden="1">#REF!</definedName>
    <definedName name="BOABE796C119AC4DD4AD13723882F95431" hidden="1">#REF!</definedName>
    <definedName name="BOABF49C33DA224342BB7F2E87F17C1DB3" hidden="1">#REF!</definedName>
    <definedName name="BOAC02D46F12594606ADE7DD9C89989778" hidden="1">#REF!</definedName>
    <definedName name="BOAC079C7332FB405D90554C0619547187" hidden="1">#REF!</definedName>
    <definedName name="BOAC1900755BEA493D96C5D8B738F821F6" hidden="1">#REF!</definedName>
    <definedName name="BOAC20EFF8A0BF4A449CF6FC64F7797071" hidden="1">#REF!</definedName>
    <definedName name="BOAC254DA305B94649A40A1818F4397657" hidden="1">#REF!</definedName>
    <definedName name="BOAC27256DB5324A7AB0F019D8BBBFFA50" hidden="1">#REF!</definedName>
    <definedName name="BOAC2BA54B1244447C94697D45AF1623C2" hidden="1">#REF!</definedName>
    <definedName name="BOAC3E93766CD34580B216A7CF53D20103" hidden="1">#REF!</definedName>
    <definedName name="BOAC42AA5A12354BB6ABF8F402A90E9584" hidden="1">#REF!</definedName>
    <definedName name="BOAC589E242BED4D2782DB5354106024F8" hidden="1">#REF!</definedName>
    <definedName name="BOAC61F7699EB644B28983D0AA8E23DC41" hidden="1">#REF!</definedName>
    <definedName name="BOAC688BA399274B6C828579F23AF552F0" hidden="1">#REF!</definedName>
    <definedName name="BOAC6F009BD4564DF482F3FD521B8DD5EC" hidden="1">#REF!</definedName>
    <definedName name="BOAC7DFA81944141B4AAA095F10C90F884" hidden="1">#REF!</definedName>
    <definedName name="BOAC99D26F3C3749C0B07E837B64380195" hidden="1">#REF!</definedName>
    <definedName name="BOAC9D19CAAE6E4BA58BB8B42C2FEB90A0" hidden="1">#REF!</definedName>
    <definedName name="BOACB00B10EC8E4F8C8358B497747DC6D8" hidden="1">#REF!</definedName>
    <definedName name="BOACB4EB5ACCF641E594B4370068A37C9C" hidden="1">#REF!</definedName>
    <definedName name="BOACBE6399B62B4EE0940B3DE41E102E4C" hidden="1">#REF!</definedName>
    <definedName name="BOACC1A393A0E84692B8D52F9A7AA2DA18" hidden="1">#REF!</definedName>
    <definedName name="BOACF5FD6570824E3C96A90193052BBD0B" hidden="1">#REF!</definedName>
    <definedName name="BOAD0868B57674469FAEBAADBB497C74BA" hidden="1">#REF!</definedName>
    <definedName name="BOAD0F026DF7974FB398A8875797779089" hidden="1">#REF!</definedName>
    <definedName name="BOAD109524018746029F061D1102BE87A6" hidden="1">#REF!</definedName>
    <definedName name="BOAD1714D8D753476785B2A34D98446407" hidden="1">#REF!</definedName>
    <definedName name="BOAD18DDE0978E4523B5DB503B3DD0530F" hidden="1">#REF!</definedName>
    <definedName name="BOAD20497ABDDF428683C9AA6B905928CA" hidden="1">#REF!</definedName>
    <definedName name="BOAD4C8585543C420C9900B3D1DE628AFD" hidden="1">#REF!</definedName>
    <definedName name="BOAD51263348C74E31A45ED9361BB8E768" hidden="1">#REF!</definedName>
    <definedName name="BOAD51D154FD2A44888BB75B466BB3E12D" hidden="1">#REF!</definedName>
    <definedName name="BOAD616A0644E843968166BAAF341567A8" hidden="1">#REF!</definedName>
    <definedName name="BOAD67323FB34B41F68D678F348C3EE180" hidden="1">#REF!</definedName>
    <definedName name="BOAD9B53F3B63740B18D3775C2FC0BEF7F" hidden="1">#REF!</definedName>
    <definedName name="BOADA7B463158B4CDE8AB36B4F72817DAD" hidden="1">#REF!</definedName>
    <definedName name="BOADAF0A087880435C925996C1AAEA8F22" hidden="1">#REF!</definedName>
    <definedName name="BOADEA752D0A9F4765BC7D7C566BFED409" hidden="1">#REF!</definedName>
    <definedName name="BOADF5449B6E78471788DE53CF0F67654B" hidden="1">#REF!</definedName>
    <definedName name="BOADF5EDCE176E45429B9FB32CEB349C04" hidden="1">#REF!</definedName>
    <definedName name="BOAE03B6416C174C3C959BE294997057DF" hidden="1">#REF!</definedName>
    <definedName name="BOAE216CC5B8D845F8813B2A359845EA1B" hidden="1">#REF!</definedName>
    <definedName name="BOAE295A2356024909986D303C5B70AF71" hidden="1">#REF!</definedName>
    <definedName name="BOAE2DB0A19A4B422BA3B306218E74F053" hidden="1">#REF!</definedName>
    <definedName name="BOAE4073CA1ED04D1DB1E227D28BA177DD" hidden="1">#REF!</definedName>
    <definedName name="BOAE43C9E5ED7544BF9AA630E3E7AC4A0F" hidden="1">#REF!</definedName>
    <definedName name="BOAE4C8B932C004E6DBD20DD30CA3B1C31" hidden="1">#REF!</definedName>
    <definedName name="BOAE62644DF78A4A79879DE7E6C0CC7E80" hidden="1">#REF!</definedName>
    <definedName name="BOAE6A42DF7B264DF2A1C13174620DCAD0" hidden="1">#REF!</definedName>
    <definedName name="BOAE845F26838B4190AB1940D3C571CCD4" hidden="1">#REF!</definedName>
    <definedName name="BOAE8A454357A54A7496954F9B58CDE6BA" hidden="1">#REF!</definedName>
    <definedName name="BOAE8FCAC5D5AF4CBB8C97C5BFCA8A3F71" hidden="1">#REF!</definedName>
    <definedName name="BOAE9A5402D50645F0AF1D1E3ECB6210EA" hidden="1">#REF!</definedName>
    <definedName name="BOAEB5105A7F20486E8B6F6E1B13A29BCE" hidden="1">#REF!</definedName>
    <definedName name="BOAECC4E2710DA49978423665B98EFB884" hidden="1">#REF!</definedName>
    <definedName name="BOAEDD543BADF14D9EA25B3AA584C0E475" hidden="1">#REF!</definedName>
    <definedName name="BOAEDE2D12CB7E485F9D076390A0D1B42E" hidden="1">#REF!</definedName>
    <definedName name="BOAEE4C7AD3A0D4945BAAE43130AE8345F" hidden="1">#REF!</definedName>
    <definedName name="BOAF1B98F1E4DC4A63B1711F6E8BC3F91E" hidden="1">#REF!</definedName>
    <definedName name="BOAF2A59C7AB284CBC9C9842486CA487DB" hidden="1">#REF!</definedName>
    <definedName name="BOAF632807084E4AE9A37796276AFC117D" hidden="1">#REF!</definedName>
    <definedName name="BOAF651A9896FF42F0BDE2EF05576DFDD4" hidden="1">#REF!</definedName>
    <definedName name="BOAF70E8C078C44B15848B0157DAEB030D" hidden="1">#REF!</definedName>
    <definedName name="BOAF8E97A633AE4FB7BA6538C295FFDAB0" hidden="1">#REF!</definedName>
    <definedName name="BOAFB48AC82A044805A64B6552F84ABBAA" hidden="1">#REF!</definedName>
    <definedName name="BOAFB5008126224A26BA881737AA508EB3" hidden="1">#REF!</definedName>
    <definedName name="BOAFBF5BC91E864459B81AE95D7785A432" hidden="1">#REF!</definedName>
    <definedName name="BOAFD8DF7EACA74EA2B318FDBFC14617AF" hidden="1">#REF!</definedName>
    <definedName name="BOAFE182F766BE4779BE06CF0DCFCE9311" hidden="1">#REF!</definedName>
    <definedName name="BOAFEF08D3BC8E4FA4AF0F9B54EC8311E3" hidden="1">#REF!</definedName>
    <definedName name="BOAFFA253B0A494FF99EAD581A3593F29C" hidden="1">#REF!</definedName>
    <definedName name="BOB0005FEC357741F1B08AFDCDA6737282" hidden="1">#REF!</definedName>
    <definedName name="BOB0049AA4CD4D4D1892427D67B519DEA4" hidden="1">#REF!</definedName>
    <definedName name="BOB01F42041F9B4FD590138210D0FAEC59" hidden="1">#REF!</definedName>
    <definedName name="BOB024884F944F4BE897DA31369F91C40B" hidden="1">#REF!</definedName>
    <definedName name="BOB024CCF181264ECE85BFF081215167FF" hidden="1">#REF!</definedName>
    <definedName name="BOB02BC9D528FA4B75B01C33BF857A715D" hidden="1">#REF!</definedName>
    <definedName name="BOB0303C1B628447BCA7FB11706C51960E" hidden="1">#REF!</definedName>
    <definedName name="BOB06879D010704034846308A026AC0104" hidden="1">#REF!</definedName>
    <definedName name="BOB07B7C18C6C940DCA55EFA4F331BC4D8" hidden="1">#REF!</definedName>
    <definedName name="BOB0A173BB0A3E41EBAA502CCDCED916FA" hidden="1">#REF!</definedName>
    <definedName name="BOB0A8006A5C3C4137AF2318AB5D1BB7FC" hidden="1">#REF!</definedName>
    <definedName name="BOB0ADE433516B4482B5672D405EDF049B" hidden="1">#REF!</definedName>
    <definedName name="BOB0B5EBB01010451C850F99AE34C5C492" hidden="1">#REF!</definedName>
    <definedName name="BOB0BE7D4CE6D14C9DA36D1C928B2C6AE6" hidden="1">#REF!</definedName>
    <definedName name="BOB0C47C0F6B6341EDA110D37233A5DC39" hidden="1">#REF!</definedName>
    <definedName name="BOB0CACCD738524BF98BF13A8D99CB826A" hidden="1">#REF!</definedName>
    <definedName name="BOB0D1157E835946EF8B49FC7A4D347D33" hidden="1">#REF!</definedName>
    <definedName name="BOB0D2AF1AC1F1427A846060FD12E3CC32" hidden="1">#REF!</definedName>
    <definedName name="BOB0DB03BB544B4DDC80F0339B570ABDFD" hidden="1">#REF!</definedName>
    <definedName name="BOB0DE2293AB3D439CABB387AA445D830E" hidden="1">#REF!</definedName>
    <definedName name="BOB0E665E57F50460EAFE68DA73B20B1FB" hidden="1">#REF!</definedName>
    <definedName name="BOB10B2889454D4065AB5DBDCE170B9FBC" hidden="1">#REF!</definedName>
    <definedName name="BOB11060B5867C45D4993AC9F1A7E144B0" hidden="1">#REF!</definedName>
    <definedName name="BOB118B30094824A7BB27DE65C8F1CA545" hidden="1">#REF!</definedName>
    <definedName name="BOB11D84AB9CB346269E0235E71A883A60" hidden="1">#REF!</definedName>
    <definedName name="BOB11E3C10088E4498AEAA83D086237A5F" hidden="1">#REF!</definedName>
    <definedName name="BOB1378CE222264DCFA73EBB47436B5203" hidden="1">#REF!</definedName>
    <definedName name="BOB13AB377472C4EDEBB446C5D4CFD7FF3" hidden="1">#REF!</definedName>
    <definedName name="BOB150CA86B28B4403A5EE78CB121C47A8" hidden="1">#REF!</definedName>
    <definedName name="BOB164B6102F874C55A0CDB3820F15FD1E" hidden="1">#REF!</definedName>
    <definedName name="BOB184616FB5BC4637B82004F40B23E788" hidden="1">#REF!</definedName>
    <definedName name="BOB185D168B4244E8483A302F590E19A55" hidden="1">#REF!</definedName>
    <definedName name="BOB188E5D80CE54C6E9C0C0A1FA286C203" hidden="1">#REF!</definedName>
    <definedName name="BOB18CA3F64CB04767AED01AA8490DB779" hidden="1">#REF!</definedName>
    <definedName name="BOB192B41B51FB4D3290C8EF0B144C8A4C" hidden="1">#REF!</definedName>
    <definedName name="BOB19B4ED5A5DF4C8AAA9FAB05B282DC3E" hidden="1">#REF!</definedName>
    <definedName name="BOB1A32C6099FF4546A04BF8812180DAC5" hidden="1">#REF!</definedName>
    <definedName name="BOB1F1C272A006471A914ACD7DF91D3F84" hidden="1">#REF!</definedName>
    <definedName name="BOB1F3558029C34A18BE2B422B0D9601AB" hidden="1">#REF!</definedName>
    <definedName name="BOB1FC6C03F3E749DF83826D310F4971EC" hidden="1">#REF!</definedName>
    <definedName name="BOB2121768159748418F929263EFA12598" hidden="1">#REF!</definedName>
    <definedName name="BOB2174B9FD1A845A0AE1CE36C64119C7B" hidden="1">#REF!</definedName>
    <definedName name="BOB2187ECA0E1B4D86BE3F24606F147AA6" hidden="1">#REF!</definedName>
    <definedName name="BOB21C3FD8E21A44B2B586FFD7C3FC4E2D" hidden="1">#REF!</definedName>
    <definedName name="BOB230A453DC64451DB1350892857D7E50" hidden="1">#REF!</definedName>
    <definedName name="BOB231078CC1BE4BFB9F70EDEC1BC2E95E" hidden="1">#REF!</definedName>
    <definedName name="BOB2405573CB0740B1863A54342D6FBB8F" hidden="1">#REF!</definedName>
    <definedName name="BOB25C2C23C245424EB9EE1D9E9F34950B" hidden="1">#REF!</definedName>
    <definedName name="BOB26205A33F8B495DB98591C55C49AFEB" hidden="1">#REF!</definedName>
    <definedName name="BOB262E38128BE44AFACB9773BC536ACC0" hidden="1">#REF!</definedName>
    <definedName name="BOB283D9F9D72443F7A979A2F7F8EE33AA" hidden="1">#REF!</definedName>
    <definedName name="BOB28D198A17724199854C56E873CA3CD9" hidden="1">#REF!</definedName>
    <definedName name="BOB2CDB6289A4B4BB4A3FAB1C2EAB572B6" hidden="1">#REF!</definedName>
    <definedName name="BOB2CFF02E995448899DD7AA9BFA754975" hidden="1">#REF!</definedName>
    <definedName name="BOB2E6C59B39DD4FDDADBB253AB1CA4A42" hidden="1">#REF!</definedName>
    <definedName name="BOB2EC1F6E53524B0FB3EAAB47B75E1A4A" hidden="1">#REF!</definedName>
    <definedName name="BOB2F6FFE34E634C66A9B57DE44435AB83" hidden="1">#REF!</definedName>
    <definedName name="BOB2FF2C05B4B24566A4378E9F6A30DAA6" hidden="1">#REF!</definedName>
    <definedName name="BOB30878E62D94405B94EB42E77D410AA6" hidden="1">#REF!</definedName>
    <definedName name="BOB32873555AE143EA88E5ECB11A189316" hidden="1">#REF!</definedName>
    <definedName name="BOB329501850594F9189215DD4D0EF8766" hidden="1">#REF!</definedName>
    <definedName name="BOB35A440D208A4881A3ABF94FA1592708" hidden="1">#REF!</definedName>
    <definedName name="BOB38D67F23F9D4FC7BC49234B4E6C543E" hidden="1">#REF!</definedName>
    <definedName name="BOB393F60FD434431697488CF3B58AF759" hidden="1">#REF!</definedName>
    <definedName name="BOB394F8C1BC9E4FFFB00A89B6B1F07030" hidden="1">#REF!</definedName>
    <definedName name="BOB395CA91DEAD4CCC9061F1B642223103" hidden="1">#REF!</definedName>
    <definedName name="BOB3B219A51230444381894BD848BAC154" hidden="1">#REF!</definedName>
    <definedName name="BOB3BED51348A144A482D58659F020672D" hidden="1">#REF!</definedName>
    <definedName name="BOB3C5CC03F6A34326A9609245B8E768CE" hidden="1">#REF!</definedName>
    <definedName name="BOB3CE1CD35A54422E875DB187D2308B05" hidden="1">#REF!</definedName>
    <definedName name="BOB3E2F4C5C24F4FDB859294B731A7526D" hidden="1">#REF!</definedName>
    <definedName name="BOB40E52CEE8564B77A41F6A21CE7B305D" hidden="1">#REF!</definedName>
    <definedName name="BOB416943CDCFB4F43AA7C6819E2F9B12D" hidden="1">#REF!</definedName>
    <definedName name="BOB42CD81F746C4B4E95ACCE3D02580BE7" hidden="1">#REF!</definedName>
    <definedName name="BOB43E8F503CCB4AF8BF46E83C4606A14A" hidden="1">#REF!</definedName>
    <definedName name="BOB43F86CF00F74F48B06EECB2304B477D" hidden="1">#REF!</definedName>
    <definedName name="BOB445E9AD75E847939A2B1557BF5971F9" hidden="1">#REF!</definedName>
    <definedName name="BOB44D38CF9AD74198A7DF868ABCE46418" hidden="1">#REF!</definedName>
    <definedName name="BOB45883938D764C47AD4E572DD596ECB1" hidden="1">#REF!</definedName>
    <definedName name="BOB479A46B5B804011BD5757EB99D00230" hidden="1">#REF!</definedName>
    <definedName name="BOB47EC867FA694A8EA6C1398390EEDAF4" hidden="1">#REF!</definedName>
    <definedName name="BOB47FC43118E146BDB3CAAF1100AE4BA9" hidden="1">#REF!</definedName>
    <definedName name="BOB495CE962C54487E97B309BB06596846" hidden="1">#REF!</definedName>
    <definedName name="BOB499772055A24A87B84BB365CB71EF04" hidden="1">#REF!</definedName>
    <definedName name="BOB49D75FC4F944B8BA43274A1AC9F7C6C" hidden="1">#REF!</definedName>
    <definedName name="BOB4A5DEAD9211473FB9CAA0729DF86EC7" hidden="1">#REF!</definedName>
    <definedName name="BOB4A87CDC6FDE4A35B1775778E7BB3283" hidden="1">#REF!</definedName>
    <definedName name="BOB4AC7EF692F84E2DA30ABC01858F46BF" hidden="1">#REF!</definedName>
    <definedName name="BOB4D58F6CEA4F46F39E33BABEF09100B9" hidden="1">#REF!</definedName>
    <definedName name="BOB4E2CA0EE6E74647B60DA3564245A717" hidden="1">#REF!</definedName>
    <definedName name="BOB4F909951281411BA3D0308FE1DB1279" hidden="1">#REF!</definedName>
    <definedName name="BOB50BF41DCD164684B1F2B21C949F656F" hidden="1">#REF!</definedName>
    <definedName name="BOB525C53518AB4A02BE25D4B41ACF2016" hidden="1">#REF!</definedName>
    <definedName name="BOB53972A3FF444E36B5C5A6F9314FEF44" hidden="1">#REF!</definedName>
    <definedName name="BOB53F19375DA7437B9A71EF65654A8304" hidden="1">#REF!</definedName>
    <definedName name="BOB546E34B99724FD190B40D9FA545C0A1" hidden="1">#REF!</definedName>
    <definedName name="BOB56475FD822948B7A28C547B153EB0B6" hidden="1">#REF!</definedName>
    <definedName name="BOB57709B4B68746E7B7B36AE6CD17CA91" hidden="1">#REF!</definedName>
    <definedName name="BOB5800D5CE2E347D5B60A49B83A20920C" hidden="1">#REF!</definedName>
    <definedName name="BOB586C45A216D499AB66025CE7A6B7F8A" hidden="1">#REF!</definedName>
    <definedName name="BOB58C2859469F4F7E8180DA5462279541" hidden="1">#REF!</definedName>
    <definedName name="BOB596E9268DED478AB9C99865ADF4A688" hidden="1">#REF!</definedName>
    <definedName name="BOB599A09F8E8C43EDA96DE5174F3C32D0" hidden="1">#REF!</definedName>
    <definedName name="BOB5CF8FE1F8DB4D92A2D9F21738C1DD7B" hidden="1">#REF!</definedName>
    <definedName name="BOB5D1339BC11C47F9996A96FA13719AC5" hidden="1">#REF!</definedName>
    <definedName name="BOB5D13E5D44334A739359F65EDFA9ADB4" hidden="1">#REF!</definedName>
    <definedName name="BOB5D16031AAE94686A01B98E3F1B32BB1" hidden="1">#REF!</definedName>
    <definedName name="BOB5E7D5E3D37A45A2B0423392CFC0180B" hidden="1">#REF!</definedName>
    <definedName name="BOB61F1D7767114687812A69756748869E" hidden="1">#REF!</definedName>
    <definedName name="BOB63700DC41E8405192EC6B4CED6A1B62" hidden="1">#REF!</definedName>
    <definedName name="BOB664A434F7C242089CB97CD90496E73A" hidden="1">#REF!</definedName>
    <definedName name="BOB666B5A1CA664A37B71F765D2CEA59FD" hidden="1">#REF!</definedName>
    <definedName name="BOB666F4C81F064229824D71C1ACDD7D25" hidden="1">#REF!</definedName>
    <definedName name="BOB6711245BFC04DC491D154B426C58F12" hidden="1">#REF!</definedName>
    <definedName name="BOB67CDFE7D8564CF2B432FB362DF5E4EC" hidden="1">#REF!</definedName>
    <definedName name="BOB6847AB6F9074269B19E5A286DD0E87D" hidden="1">#REF!</definedName>
    <definedName name="BOB6870DB4AF074130A54E1277C2C63A76" hidden="1">#REF!</definedName>
    <definedName name="BOB69A54AB6B0843AA8F5A296614E69E51" hidden="1">#REF!</definedName>
    <definedName name="BOB6A0A16FDDBC445698D5A7013BFF4FAD" hidden="1">#REF!</definedName>
    <definedName name="BOB6A457D7367441AF833D44B69FA81AB6" hidden="1">#REF!</definedName>
    <definedName name="BOB6BE203896AE4B5F9E9159DF242E4376" hidden="1">#REF!</definedName>
    <definedName name="BOB6D129999EB44AFD9CF95BD75D6F32D5" hidden="1">#REF!</definedName>
    <definedName name="BOB6D73283C9BC4F85BC7AEA002E570DEE" hidden="1">#REF!</definedName>
    <definedName name="BOB6DE128EBDC34CDBA0BD884A6F7C123F" hidden="1">#REF!</definedName>
    <definedName name="BOB6E0FE0BC9F54AA39091C68F180696BA" hidden="1">#REF!</definedName>
    <definedName name="BOB6E1122AFC4141AA87003E5075AEB9A7" hidden="1">#REF!</definedName>
    <definedName name="BOB6EFB2EA5A0B4E55BF5DE792AE3FBB08" hidden="1">#REF!</definedName>
    <definedName name="BOB6FE0DC7564F4CF19EFE12E8331481FA" hidden="1">#REF!</definedName>
    <definedName name="BOB708B38059ED4CA8BCD9FA179C36EB24" hidden="1">#REF!</definedName>
    <definedName name="BOB7145384A50344518D8FD9948CD1C4E7" hidden="1">#REF!</definedName>
    <definedName name="BOB72930F608574554957BB4C2630750F3" hidden="1">#REF!</definedName>
    <definedName name="BOB72AA02BF9A34E5883D50DF5166AA840" hidden="1">#REF!</definedName>
    <definedName name="BOB73244D126D84E6FBBB6019A4C10FE40" hidden="1">#REF!</definedName>
    <definedName name="BOB738380A5C4F44718CE18A24DB8669B8" hidden="1">#REF!</definedName>
    <definedName name="BOB740B50D59FA4EB29F2E8DBE8D7A2963" hidden="1">#REF!</definedName>
    <definedName name="BOB745ABB0C9DD4252A2C7D60FF6CA5E11" hidden="1">#REF!</definedName>
    <definedName name="BOB75514712DB1432096F03400D2F79140" hidden="1">#REF!</definedName>
    <definedName name="BOB76C63B311474B4E869F1347F0606665" hidden="1">#REF!</definedName>
    <definedName name="BOB7E638B66C0D4AABBFDB7133545B74DA" hidden="1">#REF!</definedName>
    <definedName name="BOB7EAC19C0E064061BCE69150006E856F" hidden="1">#REF!</definedName>
    <definedName name="BOB81DDCB9D6F440109D88A0156DC0D5C7" hidden="1">#REF!</definedName>
    <definedName name="BOB82684B002CF467A9A281F1253F57824" hidden="1">#REF!</definedName>
    <definedName name="BOB832FDF088D846C4895BA05113DA0AD7" hidden="1">#REF!</definedName>
    <definedName name="BOB85A3D6CAB4F43F29017967DC75100EA" hidden="1">#REF!</definedName>
    <definedName name="BOB86C8D0306854CD4B0F867E8A8158DAB" hidden="1">#REF!</definedName>
    <definedName name="BOB87165E3118C47D38853C793508C9940" hidden="1">#REF!</definedName>
    <definedName name="BOB883505093734FB1AB2DD45A35A46C3D" hidden="1">#REF!</definedName>
    <definedName name="BOB8A2BD8F28DA4E0889FED3D46EF7038E" hidden="1">#REF!</definedName>
    <definedName name="BOB8C1A9F1BC7A40A998408F04E6A4901D" hidden="1">#REF!</definedName>
    <definedName name="BOB8D84C69820C440982813CB320AAA6A8" hidden="1">#REF!</definedName>
    <definedName name="BOB8E45A4C043B45E088448297898BB517" hidden="1">#REF!</definedName>
    <definedName name="BOB8EB3415EB7541BDBF2E4458A48CD21E" hidden="1">#REF!</definedName>
    <definedName name="BOB8FA4CCA1A4B448494A6D5FBD7007F00" hidden="1">#REF!</definedName>
    <definedName name="BOB90EAF3FF0A343A7BFDA7E349CB8A6C8" hidden="1">#REF!</definedName>
    <definedName name="BOB916E67475FD40C0B6F612D224A65F1D" hidden="1">#REF!</definedName>
    <definedName name="BOB916F1019B8D468080C4FD3EF654B3C3" hidden="1">#REF!</definedName>
    <definedName name="BOB92068EA4611437D9E749EF243B324A3" hidden="1">#REF!</definedName>
    <definedName name="BOB921C37B1DC4491B8A8F9B327DF07744" hidden="1">#REF!</definedName>
    <definedName name="BOB924A6DB1ECD4BDD99284D82B8B15702" hidden="1">#REF!</definedName>
    <definedName name="BOB927AF17B5D64907A58FBD85C928A1C6" hidden="1">#REF!</definedName>
    <definedName name="BOB92EC7BA00894C32BC9F274B21BD4F7B" hidden="1">#REF!</definedName>
    <definedName name="BOB92F720C9B1B450B9A4805D33E47FC3A" hidden="1">#REF!</definedName>
    <definedName name="BOB9304C7E29B04D9C9C77B24A55EEE53F" hidden="1">#REF!</definedName>
    <definedName name="BOB933B109328E43B08122C926D1EEDE14" hidden="1">#REF!</definedName>
    <definedName name="BOB937C5BB51C5427E89AFBEB9DD4D3D62" hidden="1">#REF!</definedName>
    <definedName name="BOB94BA94A44584A5AB62D61925DD38822" hidden="1">#REF!</definedName>
    <definedName name="BOB9612299393A4BC3A5F1CCFE8BF39A25" hidden="1">#REF!</definedName>
    <definedName name="BOB961899833344E3E9D6F7AE490FEECCA" hidden="1">#REF!</definedName>
    <definedName name="BOB9A7D0ABBEBB4A47B83BA26B7F7B8266" hidden="1">#REF!</definedName>
    <definedName name="BOB9A864333B474750BC94F0F19FB1DCE8" hidden="1">#REF!</definedName>
    <definedName name="BOB9A9269337994CD9995912095A03586A" hidden="1">#REF!</definedName>
    <definedName name="BOB9B45A094FC5466DA50A36E680DC9A81" hidden="1">#REF!</definedName>
    <definedName name="BOB9BBB49714DB4EE2B2836E268EC4C0B0" hidden="1">#REF!</definedName>
    <definedName name="BOB9C2620F339940858AD12CD36E4FB0C9" hidden="1">#REF!</definedName>
    <definedName name="BOB9CD86A41188490480D64297D67D7C20" hidden="1">#REF!</definedName>
    <definedName name="BOB9DE946B8FB1406C90B7AFE22653C4C5" hidden="1">#REF!</definedName>
    <definedName name="BOB9F5CC26ACB74B1D8DCB7426CA653F78" hidden="1">#REF!</definedName>
    <definedName name="BOBA07D5FEDDBF4CFFACB6E315D8998C1F" hidden="1">#REF!</definedName>
    <definedName name="BOBA12CCBB83DC490293B4024877957D98" hidden="1">#REF!</definedName>
    <definedName name="BOBA1531C0E20242BE83F04A00BB5CBF04" hidden="1">#REF!</definedName>
    <definedName name="BOBA181222A7AE4A45AD62F5ED0E622660" hidden="1">#REF!</definedName>
    <definedName name="BOBA24DFB554AF460B8AB282C13492A629" hidden="1">#REF!</definedName>
    <definedName name="BOBA2A09FA3F74474E9CB8537C38559D3A" hidden="1">#REF!</definedName>
    <definedName name="BOBA34D01E25FC4AF18006E289F2DEA305" hidden="1">#REF!</definedName>
    <definedName name="BOBA41BEAA693343BE815B2B2F6FDB6D57" hidden="1">#REF!</definedName>
    <definedName name="BOBA6F771A713D44818466A48A99D86999" hidden="1">#REF!</definedName>
    <definedName name="BOBA7996250A2C48C0A1B2A9E9E89C4F08" hidden="1">#REF!</definedName>
    <definedName name="BOBA83205E5F2841FC8E5118CDCEC79269" hidden="1">#REF!</definedName>
    <definedName name="BOBA90B5C8415648418BCF8A02E6BD45AB" hidden="1">#REF!</definedName>
    <definedName name="BOBAB788881F1D4460854EE1FBFFE8B2E0" hidden="1">#REF!</definedName>
    <definedName name="BOBACC3EB41E7D4536869AAA67F5F9FB2B" hidden="1">#REF!</definedName>
    <definedName name="BOBACCE1244BE543CDA5221569B28D11F8" hidden="1">#REF!</definedName>
    <definedName name="BOBAD3156B21EB4D5BB08E216238378245" hidden="1">#REF!</definedName>
    <definedName name="BOBADED6FB922F4A3CAA610B246C015166" hidden="1">#REF!</definedName>
    <definedName name="BOBAE47B872A5345298D6CFC1292FF0229" hidden="1">#REF!</definedName>
    <definedName name="BOBAFB4065FE1843AFA6D5DDB34CFE46C8" hidden="1">#REF!</definedName>
    <definedName name="BOBB2CD22C468846029AA7E79B86A82CEF" hidden="1">#REF!</definedName>
    <definedName name="BOBB45F71539614D0090D4B6087D188B78" hidden="1">#REF!</definedName>
    <definedName name="BOBB58D5EDD0B1467AB5D9915F132ADF94" hidden="1">#REF!</definedName>
    <definedName name="BOBB5BB6FEEFA64B79BB64C92031FA3AE8" hidden="1">#REF!</definedName>
    <definedName name="BOBB6AE77CF3A54CC3AC51350B77472DF8" hidden="1">#REF!</definedName>
    <definedName name="BOBB9D4C0897DA494AA513D0A883F9D1D4" hidden="1">#REF!</definedName>
    <definedName name="BOBBAA7F824582476F88CDCFB08F1934D5" hidden="1">#REF!</definedName>
    <definedName name="BOBBC7EB09CEDF4E1098D2496572376A11" hidden="1">#REF!</definedName>
    <definedName name="BOBBD209B4392944CFB684A2FB646D31BF" hidden="1">#REF!</definedName>
    <definedName name="BOBBDC73CDE37B4F45AB68C38A9635AF80" hidden="1">#REF!</definedName>
    <definedName name="BOBBE13D1C51EA43BBA2A175568FE81762" hidden="1">#REF!</definedName>
    <definedName name="BOBBE4AA840EEC4997B000A639F871E6CE" hidden="1">#REF!</definedName>
    <definedName name="BOBBEA4F95A23E45E1B25DDDD7FC411C90" hidden="1">#REF!</definedName>
    <definedName name="BOBBED5FCD6DFA46F191B2338FE1244774" hidden="1">#REF!</definedName>
    <definedName name="BOBBFB9F89706B45C69C77FDDBB1E333BC" hidden="1">#REF!</definedName>
    <definedName name="BOBBFF3E077BF14AC5A144DF028B17968A" hidden="1">#REF!</definedName>
    <definedName name="BOBC04FB3E707E4D2489786AEF4796C806" hidden="1">#REF!</definedName>
    <definedName name="BOBC16CFAF95AD4A8D86D3641EA9FE0CCA" hidden="1">#REF!</definedName>
    <definedName name="BOBC26361192634C519AD3E18D48CFA644" hidden="1">#REF!</definedName>
    <definedName name="BOBC47A5543D69470F874698BB291135DA" hidden="1">#REF!</definedName>
    <definedName name="BOBC4952F10CCA478992D5EC40D685DDEC" hidden="1">#REF!</definedName>
    <definedName name="BOBC4B15CA572E4683B22D1E93207B42A3" hidden="1">#REF!</definedName>
    <definedName name="BOBC7C71DE64364CBC9244EA234BE295B4" hidden="1">#REF!</definedName>
    <definedName name="BOBC8009AB97724AB7B944FF6F455E412C" hidden="1">#REF!</definedName>
    <definedName name="BOBC9B074D66F44CED8CF3AE037C32A078" hidden="1">#REF!</definedName>
    <definedName name="BOBC9E30F080984844B237570A172714A0" hidden="1">#REF!</definedName>
    <definedName name="BOBCA981DE42CC4E7D8E87C59D0E898852" hidden="1">#REF!</definedName>
    <definedName name="BOBCAADD13A1F84467B1BBFB74C99EC30A" hidden="1">#REF!</definedName>
    <definedName name="BOBCAF9E5E43204C27A0A0DA4C966CE239" hidden="1">#REF!</definedName>
    <definedName name="BOBCB33588A4614DF39553836F9E9B99A7" hidden="1">#REF!</definedName>
    <definedName name="BOBCB659E37C914B95889F0BA231A33A7B" hidden="1">#REF!</definedName>
    <definedName name="BOBCC3AAA972FC42AA9E24EB2236551DE7" hidden="1">#REF!</definedName>
    <definedName name="BOBCD1D56E09DB4DFAA7DB1D9A7130ED97" hidden="1">#REF!</definedName>
    <definedName name="BOBCE6D0590F1F4A9BBA41EA7B159799C7" hidden="1">#REF!</definedName>
    <definedName name="BOBCED2AACC6914DECAE998EC76EA0E62E" hidden="1">#REF!</definedName>
    <definedName name="BOBCEF82B4A18646D583662D742CB2C342" hidden="1">#REF!</definedName>
    <definedName name="BOBCF840ED273A41608C4A037ED35225A8" hidden="1">#REF!</definedName>
    <definedName name="BOBD17A2C2D8F347BD99946B7CD678E633" hidden="1">#REF!</definedName>
    <definedName name="BOBD17ACF591A04BA2A7F3EA73A1F5EFD0" hidden="1">#REF!</definedName>
    <definedName name="BOBD3418D3E6034A599B7DAEA5496D5FDE" hidden="1">#REF!</definedName>
    <definedName name="BOBD479A54EDE440F2A6DE6820F419F93B" hidden="1">#REF!</definedName>
    <definedName name="BOBD4AB5E2FE574DC99B097054215C9A1B" hidden="1">#REF!</definedName>
    <definedName name="BOBD51A79D7FDA451D81D3D3FA930EF10E" hidden="1">#REF!</definedName>
    <definedName name="BOBD6ABC8171D74055B247324595D2BAED" hidden="1">#REF!</definedName>
    <definedName name="BOBDB7BCC242824D929E9C9D027CA30CF4" hidden="1">#REF!</definedName>
    <definedName name="BOBDCBC5CEFC9147E19737AA97A932005B" hidden="1">#REF!</definedName>
    <definedName name="BOBDD667D5CB3D464786E9850160CC53F4" hidden="1">#REF!</definedName>
    <definedName name="BOBDD7F3ADA3694C6E8F1CAE0F4BE4749B" hidden="1">#REF!</definedName>
    <definedName name="BOBDDDE587C0FE4B2BB4CA177ADFC0167B" hidden="1">#REF!</definedName>
    <definedName name="BOBE0DF057A7504555B1A60B727B77B93E" hidden="1">#REF!</definedName>
    <definedName name="BOBE539086D02E49FCAA6D14E00A770963" hidden="1">#REF!</definedName>
    <definedName name="BOBE61C7C64C434F1C9630D720A27FF02A" hidden="1">#REF!</definedName>
    <definedName name="BOBE64B328AAE74680BC628D5D06A638E1" hidden="1">#REF!</definedName>
    <definedName name="BOBE6F1C81ABDC49D6BE391DA0E617C00A" hidden="1">#REF!</definedName>
    <definedName name="BOBE799C21EE8C42C49338EEFB001F4B5B" hidden="1">#REF!</definedName>
    <definedName name="BOBE7B4D87C80344B08B4F8BB7D4366873" hidden="1">#REF!</definedName>
    <definedName name="BOBE836A4F3D514C76A86E6929F69D34D2" hidden="1">#REF!</definedName>
    <definedName name="BOBE8AAFA23457438CAE738A616F622246" hidden="1">#REF!</definedName>
    <definedName name="BOBE8F924DB3BC4F038EED0771BA85527D" hidden="1">#REF!</definedName>
    <definedName name="BOBE9E067C7210472B81073CBDC8230580" hidden="1">#REF!</definedName>
    <definedName name="BOBE9E33F6E4374A1FA4BDFB49B0EC0372" hidden="1">#REF!</definedName>
    <definedName name="BOBEA7830841314FCDB7120FD70396E04B" hidden="1">#REF!</definedName>
    <definedName name="BOBEA7B5BBB87048D49DF67B697A931813" hidden="1">#REF!</definedName>
    <definedName name="BOBEBC91AB89344689A508D7928603507D" hidden="1">#REF!</definedName>
    <definedName name="BOBECB0D0B7613455DAA1DD6EA3B2F3EB8" hidden="1">#REF!</definedName>
    <definedName name="BOBEDB25FFFAF545899AA7025FE56C6C2F" hidden="1">#REF!</definedName>
    <definedName name="BOBEDF7874AE9D470FA8757B3FE1C5C49B" hidden="1">#REF!</definedName>
    <definedName name="BOBEEF2C06CF874C2FAA2B6B8AB73BBB51" hidden="1">#REF!</definedName>
    <definedName name="BOBEF20D5D659B4B528AC490A20D65F0F3" hidden="1">#REF!</definedName>
    <definedName name="BOBEF6317A442A4A9E948D523D43949516" hidden="1">#REF!</definedName>
    <definedName name="BOBF066253C59B4751B64F555F9CA9FFAF" hidden="1">#REF!</definedName>
    <definedName name="BOBF142D9479B14F8E9B45711F84FD30EB" hidden="1">#REF!</definedName>
    <definedName name="BOBF14B3CAA77F4CC1B3F7F20024F8A96A" hidden="1">#REF!</definedName>
    <definedName name="BOBF166ABC8C78432CA8BFD934BBE79972" hidden="1">#REF!</definedName>
    <definedName name="BOBF218951A49F4995BB917FB43DBD1E9A" hidden="1">#REF!</definedName>
    <definedName name="BOBF2EB7AC0C2E4E0C9817C4936D0FC1CA" hidden="1">#REF!</definedName>
    <definedName name="BOBF387716EA054B5A88F16E8D2F5071A2" hidden="1">#REF!</definedName>
    <definedName name="BOBF44EA3972BE4BD4AD10908DF27E5F85" hidden="1">#REF!</definedName>
    <definedName name="BOBF4988CD268949D4A253EEEA2B64894B" hidden="1">#REF!</definedName>
    <definedName name="BOBF4F7BD348414E56A6677B9119B98873" hidden="1">#REF!</definedName>
    <definedName name="BOBF647C178E4E491893792F1C674F829C" hidden="1">#REF!</definedName>
    <definedName name="BOBF71F05A89BF45EA8C5D468675F75348" hidden="1">#REF!</definedName>
    <definedName name="BOBF72A77C10CA4EB1AB2AE062D421AC07" hidden="1">#REF!</definedName>
    <definedName name="BOBF7E32863A8C47FD9D860B42158D5E82" hidden="1">#REF!</definedName>
    <definedName name="BOBF8216921A30407686F2EBD0638399EE" hidden="1">#REF!</definedName>
    <definedName name="BOBF8626AAA64142D7A0D7E6CE6FFDCB08" hidden="1">#REF!</definedName>
    <definedName name="BOBF946EC04D3547D3BB1C2D55230B5FB2" hidden="1">#REF!</definedName>
    <definedName name="BOBF9EB6CB51E34B34889BED779D439BA7" hidden="1">#REF!</definedName>
    <definedName name="BOBFB076550A1949DD896F1E10865B958D" hidden="1">#REF!</definedName>
    <definedName name="BOBFB6324E87F045BD9652F2FD4088F44D" hidden="1">#REF!</definedName>
    <definedName name="BOBFB9EA6C68994C4DA36158FCBD8427AF" hidden="1">#REF!</definedName>
    <definedName name="BOBFCE70D506DA4B6EB944A29AC6F839D9" hidden="1">#REF!</definedName>
    <definedName name="BOBFD4B575ED5646078BEB666C525EE1C8" hidden="1">#REF!</definedName>
    <definedName name="BOBFD9CC23DB384AEC827B9A999CB051CF" hidden="1">#REF!</definedName>
    <definedName name="BOBFE362FD57D248889A4B2F38E6FDA204" hidden="1">#REF!</definedName>
    <definedName name="BOBFEF109A12EF43C5AF471C2D8B5331FC" hidden="1">#REF!</definedName>
    <definedName name="BOBFFDDF01966245CEAD50F02A4E5CFF2B" hidden="1">#REF!</definedName>
    <definedName name="BOC029C03D489640C28C30B97E1E431499" hidden="1">#REF!</definedName>
    <definedName name="BOC03D34745BAC448FBC3B84E6F54C143B" hidden="1">#REF!</definedName>
    <definedName name="BOC04CF57DCDFC4B82907B0EB8306FB82B" hidden="1">#REF!</definedName>
    <definedName name="BOC07A64E270DD4266B426B50E9F125A1D" hidden="1">#REF!</definedName>
    <definedName name="BOC083451CA9584C4B9FAD7385194CD451" hidden="1">#REF!</definedName>
    <definedName name="BOC0900F33D9F74D8B8DE586CFA4561C28" hidden="1">#REF!</definedName>
    <definedName name="BOC09371D1F2E84BEEAD586C8440AF9E85" hidden="1">#REF!</definedName>
    <definedName name="BOC09DE70AAE1B4B418DE53F4ECC7B9EB2" hidden="1">#REF!</definedName>
    <definedName name="BOC0ABDBB886B842F69C3CB1E7777ECD75" hidden="1">#REF!</definedName>
    <definedName name="BOC0C46799AA654064BAABB120434E442C" hidden="1">#REF!</definedName>
    <definedName name="BOC0CCCA46296644AC85907467EEB67A86" hidden="1">#REF!</definedName>
    <definedName name="BOC0D0C0813EBF4F33917CB76FDBFB7C60" hidden="1">#REF!</definedName>
    <definedName name="BOC0F15969C89D48C69143FB4ED17F067E" hidden="1">#REF!</definedName>
    <definedName name="BOC107B6717B674C2EB1E24E70C8A2D78E" hidden="1">#REF!</definedName>
    <definedName name="BOC12A2E070A794A458E08E9586400CA94" hidden="1">#REF!</definedName>
    <definedName name="BOC1331A3748714271B2B009F21159B493" hidden="1">#REF!</definedName>
    <definedName name="BOC1447D764B914C4680D31BC4F864671D" hidden="1">#REF!</definedName>
    <definedName name="BOC1540D5EA63B44AAB228E5C3495F8EA1" hidden="1">#REF!</definedName>
    <definedName name="BOC156AACB264943ED8DE9584787C81FE3" hidden="1">#REF!</definedName>
    <definedName name="BOC15FB12785484F4FA926E3E4BA4FA48C" hidden="1">#REF!</definedName>
    <definedName name="BOC1665FF270474C74A986A0655C0C97F8" hidden="1">#REF!</definedName>
    <definedName name="BOC18E7BBD67BA4B1C81CCA1EB312491F5" hidden="1">#REF!</definedName>
    <definedName name="BOC1B168E7277D4E52B90082739573F647" hidden="1">#REF!</definedName>
    <definedName name="BOC1BF282BE1BE476088A0D359CD2ABE06" hidden="1">#REF!</definedName>
    <definedName name="BOC1D51866C6B14E63851A380E2D581C14" hidden="1">#REF!</definedName>
    <definedName name="BOC1DD356020184557A3FA39220108A500" hidden="1">#REF!</definedName>
    <definedName name="BOC1E3AFDEC6DE4B529A2CC02210E9AD12" hidden="1">#REF!</definedName>
    <definedName name="BOC1EB78BA40C6402384910947B22306F7" hidden="1">#REF!</definedName>
    <definedName name="BOC20D6A8136474E8982B135F07AD78981" hidden="1">#REF!</definedName>
    <definedName name="BOC21C60F7B7DB471EB3E0E1B5CD744F62" hidden="1">#REF!</definedName>
    <definedName name="BOC2235F9F289D44D995C8FD8B0D8E1663" hidden="1">#REF!</definedName>
    <definedName name="BOC22B8AB3BC004F3E84FF5709DE8AB691" hidden="1">#REF!</definedName>
    <definedName name="BOC23B38ADE2474E59996815F2E26415AB" hidden="1">#REF!</definedName>
    <definedName name="BOC2452160117D45398C90A3A74E219282" hidden="1">#REF!</definedName>
    <definedName name="BOC24E490CEF91434FA9BEEC1F9F62F377" hidden="1">#REF!</definedName>
    <definedName name="BOC25CA19C04EB461383765BC725F1A9C0" hidden="1">#REF!</definedName>
    <definedName name="BOC262AD47CD4C46F1918088408A71FFB7" hidden="1">#REF!</definedName>
    <definedName name="BOC27910CCBD7F4B3BBE5E23D088987029" hidden="1">#REF!</definedName>
    <definedName name="BOC2991FBF63B04256A3D7886BB4EF764B" hidden="1">#REF!</definedName>
    <definedName name="BOC2A368458B8C466A8EAB350D814B6553" hidden="1">#REF!</definedName>
    <definedName name="BOC2BD5FFDAEE6428485C3A37469FC06C9" hidden="1">#REF!</definedName>
    <definedName name="BOC30112A4C82B4FDB9A0BE4DE668F4582" hidden="1">#REF!</definedName>
    <definedName name="BOC315C16ABF3241D98DA43390C5DA0144" hidden="1">#REF!</definedName>
    <definedName name="BOC33F726F883A41B8958DFE6F3AD2FBC6" hidden="1">#REF!</definedName>
    <definedName name="BOC343F21B6DD940F0A688481148243E9A" hidden="1">#REF!</definedName>
    <definedName name="BOC346959D12604E6AA3F4213550E113BC" hidden="1">#REF!</definedName>
    <definedName name="BOC3568EEBF2E1419EA9BEFDDFA241C67E" hidden="1">#REF!</definedName>
    <definedName name="BOC35ADF6F14B948919BD25280A05E3AC1" hidden="1">#REF!</definedName>
    <definedName name="BOC365FC61CAF6449BB1865E7D5BCCE2C3" hidden="1">#REF!</definedName>
    <definedName name="BOC36FB1CFCC55488DBE1D9D0C21E5BBA7" hidden="1">#REF!</definedName>
    <definedName name="BOC39750E43B5B4EC892EABA56991C183A" hidden="1">#REF!</definedName>
    <definedName name="BOC3A2C5E32A78490FA02F0D6AFD24DFC0" hidden="1">#REF!</definedName>
    <definedName name="BOC3A9C703D7634F08B5DF2513CF26EEDB" hidden="1">#REF!</definedName>
    <definedName name="BOC3BE0B3CB78343F4A399BBD08E033B34" hidden="1">#REF!</definedName>
    <definedName name="BOC3CBB290D163430A91DDA7599ED108F6" hidden="1">#REF!</definedName>
    <definedName name="BOC3E2F600260C4B2CBBE8729CC1ACAA06" hidden="1">#REF!</definedName>
    <definedName name="BOC3E7BE7CDD614CCDA81E58B92747C264" hidden="1">#REF!</definedName>
    <definedName name="BOC3EDBD5E04274C828D0583C086AECB10" hidden="1">#REF!</definedName>
    <definedName name="BOC405110C7ACE4B42877F3AAB5A0BB863" hidden="1">#REF!</definedName>
    <definedName name="BOC438E5AB00C9410DAB817A8739F9C426" hidden="1">#REF!</definedName>
    <definedName name="BOC439B4B26F0C4D33B0293C6A9EA4AF33" hidden="1">#REF!</definedName>
    <definedName name="BOC43B69839854400A904778932A9E664F" hidden="1">#REF!</definedName>
    <definedName name="BOC4471151C06B43499A16E3B350A1CB30" hidden="1">#REF!</definedName>
    <definedName name="BOC454901313FE439D9572F5B9DD403A53" hidden="1">#REF!</definedName>
    <definedName name="BOC473037395EF41CB9003BD66C5957660" hidden="1">#REF!</definedName>
    <definedName name="BOC482F327D8574379A20E908BC5EB2993" hidden="1">#REF!</definedName>
    <definedName name="BOC49D30DCC91B4948B1B91B358D1BFDF4" hidden="1">#REF!</definedName>
    <definedName name="BOC49E9A4987384DF7928DE15609690700" hidden="1">#REF!</definedName>
    <definedName name="BOC4A44047BA05405EAEEF214300009915" hidden="1">#REF!</definedName>
    <definedName name="BOC4A6BB89CD2B435293F191D82C0F58C9" hidden="1">#REF!</definedName>
    <definedName name="BOC4A767B09284438782DDCA88D6B4AA77" hidden="1">#REF!</definedName>
    <definedName name="BOC4B00C308D204BE4B36D6D0F97F6EE83" hidden="1">#REF!</definedName>
    <definedName name="BOC4C1021C64E347E98DBB04790018748A" hidden="1">#REF!</definedName>
    <definedName name="BOC4C301D63FB048DFBBB6C1766C1386B8" hidden="1">#REF!</definedName>
    <definedName name="BOC4C4A4CB425E4BEBA454F692F9A55D64" hidden="1">#REF!</definedName>
    <definedName name="BOC4CD3783D6684663939B79F770F1581D" hidden="1">#REF!</definedName>
    <definedName name="BOC4E10706ED9D43BA88876806383214AF" hidden="1">#REF!</definedName>
    <definedName name="BOC511D83A0C974EF8AD8E92A38214A8D5" hidden="1">#REF!</definedName>
    <definedName name="BOC5188E1B24F64FDDB5925AA2B865D6BD" hidden="1">#REF!</definedName>
    <definedName name="BOC522634DDC464314809CDF99493533FC" hidden="1">#REF!</definedName>
    <definedName name="BOC52F979622BD461AAED93206E628CE9A" hidden="1">#REF!</definedName>
    <definedName name="BOC53ABAD117D147CD96973836FCDA8BE3" hidden="1">#REF!</definedName>
    <definedName name="BOC53AC4CB11C347AEBC20162A7FF8B50D" hidden="1">#REF!</definedName>
    <definedName name="BOC54204551F1D42B9BD6174DBDD9D741F" hidden="1">#REF!</definedName>
    <definedName name="BOC54DEECFAAAB4DBB87EE4DD5A89BD6C9" hidden="1">#REF!</definedName>
    <definedName name="BOC551D7779FF74F4EB6CC609F3CB55CD9" hidden="1">#REF!</definedName>
    <definedName name="BOC551DE2E91D44244ADD2A1963C33F5E1" hidden="1">#REF!</definedName>
    <definedName name="BOC55FB86CC555433C8D103CA108AA7E48" hidden="1">#REF!</definedName>
    <definedName name="BOC57265C045CA450DBB172F33D90D9979" hidden="1">#REF!</definedName>
    <definedName name="BOC58BA568B16F45909ABF7CBE66360C96" hidden="1">#REF!</definedName>
    <definedName name="BOC594B4F835E7418D90F061F92E8FB202" hidden="1">#REF!</definedName>
    <definedName name="BOC5AAE40B455D4043B6078A525F8433B7" hidden="1">#REF!</definedName>
    <definedName name="BOC5B50A3B093A4281A75D4209F6A75893" hidden="1">#REF!</definedName>
    <definedName name="BOC5C310983B4A4E16AECA5B9C6C7341BA" hidden="1">#REF!</definedName>
    <definedName name="BOC5D2085595774C20ADD41578FFB4B463" hidden="1">#REF!</definedName>
    <definedName name="BOC5D38918F0F646518F9BF5563B971E18" hidden="1">#REF!</definedName>
    <definedName name="BOC5FB79A4E3E540F8AE42FE861B1410EC" hidden="1">#REF!</definedName>
    <definedName name="BOC611376B3C6C45C99450D1DCF9397302" hidden="1">#REF!</definedName>
    <definedName name="BOC611F0AC63CB47E09FB9F42D0B6DA82B" hidden="1">#REF!</definedName>
    <definedName name="BOC612254B51284FEE866CB31C88AFD453" hidden="1">#REF!</definedName>
    <definedName name="BOC6136ACAF1304E288216E27040F4D5E2" hidden="1">#REF!</definedName>
    <definedName name="BOC61DAC29429047E49941643414EF43CB" hidden="1">#REF!</definedName>
    <definedName name="BOC635E4B3F5B44401A9DC58B91B784FD5" hidden="1">#REF!</definedName>
    <definedName name="BOC6468585AB6A4AE28970E03B2C62231E" hidden="1">#REF!</definedName>
    <definedName name="BOC64C2B32864B4E13A1508C1A5913F163" hidden="1">#REF!</definedName>
    <definedName name="BOC65919DB60B64FFF93DB70579668EFC1" hidden="1">#REF!</definedName>
    <definedName name="BOC659C53743D5499EADD2474C5A6BE0FB" hidden="1">#REF!</definedName>
    <definedName name="BOC6601207ADB74941835C10583405D57E" hidden="1">#REF!</definedName>
    <definedName name="BOC6AF8DD1DEA34721BD0118E22F55322B" hidden="1">#REF!</definedName>
    <definedName name="BOC713767E8337488AAE5F930FE124F2D3" hidden="1">#REF!</definedName>
    <definedName name="BOC720578C9E594CF695ACFADC24BF33A4" hidden="1">#REF!</definedName>
    <definedName name="BOC72642EAE84F4C0096A0010541BCB983" hidden="1">#REF!</definedName>
    <definedName name="BOC72BB273A64E48D8828E544B36E74CCB" hidden="1">#REF!</definedName>
    <definedName name="BOC74E2E52F1F04BCDB8806902B5A8B9EC" hidden="1">#REF!</definedName>
    <definedName name="BOC7550D6B285E490293662B72CB034999" hidden="1">#REF!</definedName>
    <definedName name="BOC757C86E45244719B2561FDD31404836" hidden="1">#REF!</definedName>
    <definedName name="BOC7648B68F3584BF2A4591BD690092222" hidden="1">#REF!</definedName>
    <definedName name="BOC77E0AB3D3CA4A1C8329F9857EE8F36C" hidden="1">#REF!</definedName>
    <definedName name="BOC77F535725A6438A8AAAC952740EF899" hidden="1">#REF!</definedName>
    <definedName name="BOC7B274FF472245C2B140F67E5FD1665B" hidden="1">#REF!</definedName>
    <definedName name="BOC7D2E11843E0453DB764C67C96D9ADF1" hidden="1">#REF!</definedName>
    <definedName name="BOC7FECB190F654212AF3F13F583581D59" hidden="1">#REF!</definedName>
    <definedName name="BOC809B7F8F4B14E208E5C54561FDB0F73" hidden="1">#REF!</definedName>
    <definedName name="BOC812A08FFF08478E87D119AB81FAE120" hidden="1">#REF!</definedName>
    <definedName name="BOC8137838440B47DAAC1ED794C15C441F" hidden="1">#REF!</definedName>
    <definedName name="BOC8231C2E9D8D4406BEC83D6F992CA139" hidden="1">#REF!</definedName>
    <definedName name="BOC83FD12B13AF491DB29F996D5C65F9BF" hidden="1">#REF!</definedName>
    <definedName name="BOC869EDE25CC544CEA5A645A5E7A6B9AD" hidden="1">#REF!</definedName>
    <definedName name="BOC87D3336154245E3827858692226AFA4" hidden="1">#REF!</definedName>
    <definedName name="BOC88CDAF756A04342B92A57969166ABBF" hidden="1">#REF!</definedName>
    <definedName name="BOC896FC9D8F0841CAB1EA5A7E80358CCE" hidden="1">#REF!</definedName>
    <definedName name="BOC89ECEB280F34A1B87031041C2CF7847" hidden="1">#REF!</definedName>
    <definedName name="BOC8BC5627E1B34E0A8B05A4AAB8DD2DE8" hidden="1">#REF!</definedName>
    <definedName name="BOC8C22820924F41ED968636277E46E23C" hidden="1">#REF!</definedName>
    <definedName name="BOC8CE017DA77240AD9FD0EC7D16051AA6" hidden="1">#REF!</definedName>
    <definedName name="BOC8D9B846059147558F9CDF6DDE6F808E" hidden="1">#REF!</definedName>
    <definedName name="BOC8EC8578074A43D4B656A355E293A424" hidden="1">#REF!</definedName>
    <definedName name="BOC8F24FC03F1147E9972C8D9D76295327" hidden="1">#REF!</definedName>
    <definedName name="BOC8F736F7F35B46449C6EA935FC34011E" hidden="1">#REF!</definedName>
    <definedName name="BOC8F8BFA1E2E240EF87708C41A0FCD4AA" hidden="1">#REF!</definedName>
    <definedName name="BOC8FC302D9D3C4DBE9F61A4BE46DA363D" hidden="1">#REF!</definedName>
    <definedName name="BOC9021DAEC8534AA88821959B876F2AB8" hidden="1">#REF!</definedName>
    <definedName name="BOC9078726475D48768A4B800B228B8B8C" hidden="1">#REF!</definedName>
    <definedName name="BOC9263CE772734C2E8AD2FE5BF49E1935" hidden="1">#REF!</definedName>
    <definedName name="BOC92BDE64A88C4F4888056339739F0504" hidden="1">#REF!</definedName>
    <definedName name="BOC93D76F627824034AADA8A9F13A2889A" hidden="1">#REF!</definedName>
    <definedName name="BOC950DD4DA7E84CE19D5093BB2A29BCD3" hidden="1">#REF!</definedName>
    <definedName name="BOC96D8191DBAE4D6183DEA37F46B8436D" hidden="1">#REF!</definedName>
    <definedName name="BOC9786DD1B39B43A0BD52CC797EB809F9" hidden="1">#REF!</definedName>
    <definedName name="BOC979AF26AC844C15B0C4A390E47EDEFD" hidden="1">#REF!</definedName>
    <definedName name="BOC98DCB7764E4486B867068ABA319D462" hidden="1">#REF!</definedName>
    <definedName name="BOC99848AFCA2E467790F4F070D21E06FE" hidden="1">#REF!</definedName>
    <definedName name="BOC9B43FE1F9D84461AFB00DB17BAEB487" hidden="1">#REF!</definedName>
    <definedName name="BOC9BBB4DACC774AC68E12F41F3006FEDF" hidden="1">#REF!</definedName>
    <definedName name="BOC9CF91C01B79495EB3EDF264630F3035" hidden="1">#REF!</definedName>
    <definedName name="BOC9D043ABD5CB459188E6E3FD93946123" hidden="1">#REF!</definedName>
    <definedName name="BOC9D31B8DE85F4101924D1B4E95A0067F" hidden="1">#REF!</definedName>
    <definedName name="BOC9D95B0EB260403EA353B563DF3E864D" hidden="1">#REF!</definedName>
    <definedName name="BOC9E4040A57114DFCB9F0D7BD866C5EEB" hidden="1">#REF!</definedName>
    <definedName name="BOC9F21C7CF09F466083E14352E2F00ADE" hidden="1">#REF!</definedName>
    <definedName name="BOC9F6FB789B49475F8EC58C51FC50F2F2" hidden="1">#REF!</definedName>
    <definedName name="BOCA1F88327DEB4D2DBBA1D321DBFE4FA3" hidden="1">#REF!</definedName>
    <definedName name="BOCA1FB259D8714151AA2B3C6AEA1F0770" hidden="1">#REF!</definedName>
    <definedName name="BOCA37046B007E407686AA5E82F7A8FFC7" hidden="1">#REF!</definedName>
    <definedName name="BOCA5133A1A0DD490591E8590A5076EDB5" hidden="1">#REF!</definedName>
    <definedName name="BOCA75119F5C0045BE938582789941C464" hidden="1">#REF!</definedName>
    <definedName name="BOCA7ED576C19B404997CEB1F51D09DA13" hidden="1">#REF!</definedName>
    <definedName name="BOCA84DF66C3974E1198D779DD61F1FC34" hidden="1">#REF!</definedName>
    <definedName name="BOCAA115C0C73F434EA7166415664F3B35" hidden="1">#REF!</definedName>
    <definedName name="BOCAA350231833419C86E36ADB23F5F796" hidden="1">#REF!</definedName>
    <definedName name="BOCAC2D227DE334A3285172873CB817EB8" hidden="1">#REF!</definedName>
    <definedName name="BOCAE778C3378D4DEA8C59D3D493F17D92" hidden="1">#REF!</definedName>
    <definedName name="BOCAF796DEFB314CBA8204F5CF77373078" hidden="1">#REF!</definedName>
    <definedName name="BOCB09C30E731E4D1190FA3B9A15C8ACF6" hidden="1">#REF!</definedName>
    <definedName name="BOCB20F1B9F3C846A48126BE531FB918DF" hidden="1">#REF!</definedName>
    <definedName name="BOCB275BC87A58422EA0F9349C40EF7779" hidden="1">#REF!</definedName>
    <definedName name="BOCB8074FBA17A4CE38C38F3AC2E8080D0" hidden="1">#REF!</definedName>
    <definedName name="BOCBA1B95825D144B78E2D686F9E99757B" hidden="1">#REF!</definedName>
    <definedName name="BOCBDE0B20605B40EEA3C37E228578C785" hidden="1">#REF!</definedName>
    <definedName name="BOCBECE0B77CC842D393B20B9F944CEBB5" hidden="1">#REF!</definedName>
    <definedName name="BOCBF59B6853AE4F78B44ECC74F3D6E9CA" hidden="1">#REF!</definedName>
    <definedName name="BOCBFAF1D642934F1D84D4B8F7579C0857" hidden="1">#REF!</definedName>
    <definedName name="BOCBFFC71FCD4147AC9DD2C072424779AB" hidden="1">#REF!</definedName>
    <definedName name="BOCC015C3F6DE2411193F245BD350A3872" hidden="1">#REF!</definedName>
    <definedName name="BOCC17F3D79FCE420E9EED1275FF4527C9" hidden="1">#REF!</definedName>
    <definedName name="BOCC1EA691A78A4CF0974017D9802E6A50" hidden="1">#REF!</definedName>
    <definedName name="BOCC330219F2FA42238AA019FA4A7434C7" hidden="1">#REF!</definedName>
    <definedName name="BOCC4E1F0139CA4CCE842276D221283B25" hidden="1">#REF!</definedName>
    <definedName name="BOCC6C656FA9124B6681219691125CFB34" hidden="1">#REF!</definedName>
    <definedName name="BOCC78DAB77DC04DC1985D2967AC0AA686" hidden="1">#REF!</definedName>
    <definedName name="BOCC858C19D7F047F6ADFC5A40DFBF24A1" hidden="1">#REF!</definedName>
    <definedName name="BOCCD1FE718E274B399D0AD2982733BCF8" hidden="1">#REF!</definedName>
    <definedName name="BOCCD7D15A72A443D9A5418393952F71A2" hidden="1">#REF!</definedName>
    <definedName name="BOCCE1C932CCA344CE9ECE3EB0DD94638C" hidden="1">#REF!</definedName>
    <definedName name="BOCCED56BF6C8F44DF8BC00A979E5B14BD" hidden="1">#REF!</definedName>
    <definedName name="BOCCF334A9BDB64C2697AE9352A937B6E5" hidden="1">#REF!</definedName>
    <definedName name="BOCD098CDB76E04AFABC1C8D36DC51D884" hidden="1">#REF!</definedName>
    <definedName name="BOCD19B2F2E8774A589EFF3317FDB5225C" hidden="1">#REF!</definedName>
    <definedName name="BOCD20F214D4AA41C281599C484FB99FDC" hidden="1">#REF!</definedName>
    <definedName name="BOCD23F0C3BE5D4A57B07C7B46AAE9B586" hidden="1">#REF!</definedName>
    <definedName name="BOCD2C6B11CEED44B287F63EABF1C67668" hidden="1">#REF!</definedName>
    <definedName name="BOCD316364C89949588B6EA9EFB7EFED71" hidden="1">#REF!</definedName>
    <definedName name="BOCD3E920BAE7C41B5B4C491D4AB8D55B6" hidden="1">#REF!</definedName>
    <definedName name="BOCD7638E6D88E4E258E54DB04D2220A3A" hidden="1">#REF!</definedName>
    <definedName name="BOCD84FAB3ED4E4F168656FE12415FA3D7" hidden="1">#REF!</definedName>
    <definedName name="BOCD94EC8563CB4322AAB39F7BBEABB319" hidden="1">#REF!</definedName>
    <definedName name="BOCD97881AE04342B9B58E7D82FD2B45E9" hidden="1">#REF!</definedName>
    <definedName name="BOCDA9B7CBD5D9427E84053F8E38F252A0" hidden="1">#REF!</definedName>
    <definedName name="BOCDBD4F3A3DA349B2A9734E12B4FA4152" hidden="1">#REF!</definedName>
    <definedName name="BOCDCDF8EF0E5646DAB0D5AEEACD436DBA" hidden="1">#REF!</definedName>
    <definedName name="BOCDD9929C645542878E90D6D900B798EE" hidden="1">#REF!</definedName>
    <definedName name="BOCDDF34207A80477DB43C25A250543B94" hidden="1">#REF!</definedName>
    <definedName name="BOCDE5918EBB334619A6908303B5E70081" hidden="1">#REF!</definedName>
    <definedName name="BOCDE7F75740B346FC9E55D667CD9EC425" hidden="1">#REF!</definedName>
    <definedName name="BOCDED67C8566647ED9C954DE6FCEBFBFF" hidden="1">#REF!</definedName>
    <definedName name="BOCDF00353D53047B6A4A85487D43B9AF1" hidden="1">#REF!</definedName>
    <definedName name="BOCE1431147F334E33B41B0302E1BD9519" hidden="1">#REF!</definedName>
    <definedName name="BOCE1BF69715794F4E87C7B791630E9EED" hidden="1">#REF!</definedName>
    <definedName name="BOCE1CB0DEEAB74D7FA6001FCA37FCE4E4" hidden="1">#REF!</definedName>
    <definedName name="BOCE1D2212C92D4302ADFD62D5ACB65176" hidden="1">#REF!</definedName>
    <definedName name="BOCE2AE90EDC5B48F6A441CA47CF7EAAAC" hidden="1">#REF!</definedName>
    <definedName name="BOCE31297C1C3141CAAF79CBF4B2C5DEB3" hidden="1">#REF!</definedName>
    <definedName name="BOCE3F4651FC6D47F6888CAACD6B895BD6" hidden="1">#REF!</definedName>
    <definedName name="BOCE5078CB7E104277832DC3F09395B864" hidden="1">#REF!</definedName>
    <definedName name="BOCE59D3DAB1844F599AC2D0EF7482C0ED" hidden="1">#REF!</definedName>
    <definedName name="BOCE67FF2FA24D40DD9118C75519C95FB6" hidden="1">#REF!</definedName>
    <definedName name="BOCE7B486027AE454FB22C30F0E405C940" hidden="1">#REF!</definedName>
    <definedName name="BOCE9D063D545D48CDA5A5DE1DC67A4DBD" hidden="1">#REF!</definedName>
    <definedName name="BOCEBE29A3E8094395A0CF9CD1AAA1D065" hidden="1">#REF!</definedName>
    <definedName name="BOCED7368BDC814EA9977A0FC117CC1EEF" hidden="1">#REF!</definedName>
    <definedName name="BOCEF4E6C9C1C54035920C0F5831A632B2" hidden="1">#REF!</definedName>
    <definedName name="BOCF038B17D1434B6A86DE2821F3844C2A" hidden="1">#REF!</definedName>
    <definedName name="BOCF2CA454D7714DF7803655110854DC0F" hidden="1">#REF!</definedName>
    <definedName name="BOCF33E2485A254155968B051D04677DF4" hidden="1">#REF!</definedName>
    <definedName name="BOCF3D1CC14C5E4EFAA13121DC4E701CF2" hidden="1">#REF!</definedName>
    <definedName name="BOCF3DB2061515477CB72FD3225BBF6DE3" hidden="1">#REF!</definedName>
    <definedName name="BOCF523EEE92D345E98BFF5F175FC3CF90" hidden="1">#REF!</definedName>
    <definedName name="BOCF5983A1FADD40DAAC7E6892F1622A11" hidden="1">#REF!</definedName>
    <definedName name="BOCF7C5B983CBF42DBBDD6CD92650B00B0" hidden="1">#REF!</definedName>
    <definedName name="BOCF89873156A349CD99C522010DADF9FB" hidden="1">#REF!</definedName>
    <definedName name="BOCF96717DA6014EDC80C3AA39BE91443A" hidden="1">#REF!</definedName>
    <definedName name="BOCFA1FD879FBE40E888D70E24903590CE" hidden="1">#REF!</definedName>
    <definedName name="BOCFC28344B50E4F72945BC627F69A7D0D" hidden="1">#REF!</definedName>
    <definedName name="BOCFC5F04A27E646818E21BB31308C53B4" hidden="1">#REF!</definedName>
    <definedName name="BOCFE909907ABB4425B593E2B71EEFF844" hidden="1">#REF!</definedName>
    <definedName name="BOCFF10463B8B74290BAEB73D22A672AFB" hidden="1">#REF!</definedName>
    <definedName name="BOCFFC8BCEEE4D457780EB2C0F6A742897" hidden="1">#REF!</definedName>
    <definedName name="BOD022D0B0AA2F400990B9D79B813E697C" hidden="1">#REF!</definedName>
    <definedName name="BOD02715C58E2543A29F3834F1630A423E" hidden="1">#REF!</definedName>
    <definedName name="BOD0382903153C4298A06C72FB4C2F82BC" hidden="1">#REF!</definedName>
    <definedName name="BOD03B24E3812D4D1F9DEACD2021BC2C03" hidden="1">#REF!</definedName>
    <definedName name="BOD03FD50591A1425293C16D8979726923" hidden="1">#REF!</definedName>
    <definedName name="BOD0447A1F84A848AE8FE0265DA4E43469" hidden="1">#REF!</definedName>
    <definedName name="BOD049906584524697915E494D82ABEA6C" hidden="1">#REF!</definedName>
    <definedName name="BOD056B2F6DB5042B8B6EC8567B27BBEF3" hidden="1">#REF!</definedName>
    <definedName name="BOD0ACCA99C91345F482A513BFCE9186E0" hidden="1">#REF!</definedName>
    <definedName name="BOD0B7618F45734D0692AB268234D6A01C" hidden="1">#REF!</definedName>
    <definedName name="BOD0CB0066C5E0481CA6F4063B5732F78C" hidden="1">#REF!</definedName>
    <definedName name="BOD0CE909846AF4B5C93B759B9FE505ADE" hidden="1">#REF!</definedName>
    <definedName name="BOD0DA67F1503A423BA41430DE89D08195" hidden="1">#REF!</definedName>
    <definedName name="BOD1136A820E4A4A349A22DDBE03368A79" hidden="1">#REF!</definedName>
    <definedName name="BOD129B1AAD1A8454A988FD077660E0746" hidden="1">#REF!</definedName>
    <definedName name="BOD14638B491F746CA808EE455711E2DFA" hidden="1">#REF!</definedName>
    <definedName name="BOD148997563D34744A2BC6D5EC2CFB6DA" hidden="1">#REF!</definedName>
    <definedName name="BOD1571EBC9EFC4719B17E00444AC145C8" hidden="1">#REF!</definedName>
    <definedName name="BOD16D4E30F94E4951AB3786D1D961D3FE" hidden="1">#REF!</definedName>
    <definedName name="BOD17D44121A10469ABE3326D95064F60F" hidden="1">#REF!</definedName>
    <definedName name="BOD17FA3FAED794DC6B94FFD7FBE15CA8E" hidden="1">#REF!</definedName>
    <definedName name="BOD18366E2D7ED44AB882E4F1C65113825" hidden="1">#REF!</definedName>
    <definedName name="BOD19EE91F5D99468F9C79D62A64548F42" hidden="1">#REF!</definedName>
    <definedName name="BOD1A2B097B6EE493987038C13F0FEC6E1" hidden="1">#REF!</definedName>
    <definedName name="BOD1B4E181CA874869848C1FBE57F02A3F" hidden="1">#REF!</definedName>
    <definedName name="BOD1D5BE4C0FB24EE798AA74F90F407A1A" hidden="1">#REF!</definedName>
    <definedName name="BOD1F9357DA9A64BF5B6306A06275A8872" hidden="1">#REF!</definedName>
    <definedName name="BOD211DE122DB3497AB5D76A1542188482" hidden="1">#REF!</definedName>
    <definedName name="BOD22B62E0D3D9450598F759030DDF895E" hidden="1">#REF!</definedName>
    <definedName name="BOD230302E244347D0800B1FE794A98043" hidden="1">#REF!</definedName>
    <definedName name="BOD2367E7BD60547E68E9D20C429DC1536" hidden="1">#REF!</definedName>
    <definedName name="BOD2974288C8344CB9981C0B5A2E924BBC" hidden="1">#REF!</definedName>
    <definedName name="BOD29B85F30059475EB1A1F754BCB776DA" hidden="1">#REF!</definedName>
    <definedName name="BOD2BEFACD2977445FAEB9DA9A6231C7CB" hidden="1">#REF!</definedName>
    <definedName name="BOD2C554D8AE93485080A325180B5B1547" hidden="1">#REF!</definedName>
    <definedName name="BOD2C79FC8C724435B8ECF79D05A2AE2B6" hidden="1">#REF!</definedName>
    <definedName name="BOD2F3002A94364616A5454F53ABC67AA0" hidden="1">#REF!</definedName>
    <definedName name="BOD30584112A9549E48949A93D8039E4F6" hidden="1">#REF!</definedName>
    <definedName name="BOD307E5F479264767B463B99E251AE3B1" hidden="1">#REF!</definedName>
    <definedName name="BOD30D13AEE9E7446FB06AF1124ADA1234" hidden="1">#REF!</definedName>
    <definedName name="BOD313E22A34B04E23B47C0E5E5EB75735" hidden="1">#REF!</definedName>
    <definedName name="BOD3199742205244989F9D13F991DA5DF7" hidden="1">#REF!</definedName>
    <definedName name="BOD3233EC1DAE745DBA86761394BD457FF" hidden="1">#REF!</definedName>
    <definedName name="BOD362591848624AB7BE2C8B3AAD7614EC" hidden="1">#REF!</definedName>
    <definedName name="BOD37DA28F57614F96B398A517189087E8" hidden="1">#REF!</definedName>
    <definedName name="BOD39DF835BE604ABB9E3F39720FDDEB99" hidden="1">#REF!</definedName>
    <definedName name="BOD3AC1AE62968479AA5A373821C711DA4" hidden="1">#REF!</definedName>
    <definedName name="BOD3B4567942A74870ACFA86C24659E392" hidden="1">#REF!</definedName>
    <definedName name="BOD3C6335D1FD34F8B8C6DFE16938F85A1" hidden="1">#REF!</definedName>
    <definedName name="BOD3C8E760EBF4481FA1151651A2CE45F5" hidden="1">#REF!</definedName>
    <definedName name="BOD3CF0471BBA140C293A38AE7B62C4035" hidden="1">#REF!</definedName>
    <definedName name="BOD3D164D82A744D349944A2A4C12AC6C2" hidden="1">#REF!</definedName>
    <definedName name="BOD3D705DAB5324AE6A0460FD1B8021FD2" hidden="1">#REF!</definedName>
    <definedName name="BOD3E1F51E40214CA9BA586B3CCF2553E6" hidden="1">#REF!</definedName>
    <definedName name="BOD404D5F4D6104339BA3ACB5CB4FD091A" hidden="1">#REF!</definedName>
    <definedName name="BOD40A44E9E5CC4E3693AE1D015F4948F7" hidden="1">#REF!</definedName>
    <definedName name="BOD4231139BE32440691C524A5AC6B51CB" hidden="1">#REF!</definedName>
    <definedName name="BOD44B51F9CAEC44EB8A89ACAF1AC743EC" hidden="1">#REF!</definedName>
    <definedName name="BOD4711DE6256742A694ECBB7691ACD7FC" hidden="1">#REF!</definedName>
    <definedName name="BOD475444D2F7646A1932BB6C5A1117279" hidden="1">#REF!</definedName>
    <definedName name="BOD4793859B0B7457FB6A827C920A2CA47" hidden="1">#REF!</definedName>
    <definedName name="BOD47D934DAF094CEBA5E9CFC2F97A3DDA" hidden="1">#REF!</definedName>
    <definedName name="BOD484ECF67C214C179402F1A9DB88B556" hidden="1">#REF!</definedName>
    <definedName name="BOD49D864EF37940C2BBE06C10AD0855BA" hidden="1">#REF!</definedName>
    <definedName name="BOD4B7420058AA4F979C0B8C00C68EF00A" hidden="1">#REF!</definedName>
    <definedName name="BOD4B8AEC8EB9B455EBC82ADE84BFE1969" hidden="1">#REF!</definedName>
    <definedName name="BOD4BD4EA80BB64B69A4F0C30D912FAB30" hidden="1">#REF!</definedName>
    <definedName name="BOD4C2216847B647D8B4D3A0954B6CB148" hidden="1">#REF!</definedName>
    <definedName name="BOD4C74FD8D1C64510899C02AFBA21037D" hidden="1">#REF!</definedName>
    <definedName name="BOD4CE7227FF3D4303904247EEDE03DD8F" hidden="1">#REF!</definedName>
    <definedName name="BOD4CEEF9498C248E9983A09680CE09C62" hidden="1">#REF!</definedName>
    <definedName name="BOD4D26CA1C52F43BDBE4F64A3B560F6ED" hidden="1">#REF!</definedName>
    <definedName name="BOD4D6DC950453479987BD158BA0C1813A" hidden="1">#REF!</definedName>
    <definedName name="BOD4DCCA0A12ED4D94A14E69FDE2AC9819" hidden="1">#REF!</definedName>
    <definedName name="BOD4F0099CA2E5413C90FDBEAE610F6613" hidden="1">#REF!</definedName>
    <definedName name="BOD4F78C2E32CE40AEB95B29DBD0B9E6A8" hidden="1">#REF!</definedName>
    <definedName name="BOD5055A451CD64068A909C853CCD5C767" hidden="1">#REF!</definedName>
    <definedName name="BOD56983E5837D4255991E6CB791DEA783" hidden="1">#REF!</definedName>
    <definedName name="BOD57573FE855B4090AFC8679A2693A5D5" hidden="1">#REF!</definedName>
    <definedName name="BOD589C64A18FB4E39808CD1A9801D9FF1" hidden="1">#REF!</definedName>
    <definedName name="BOD5A1654692584EBD9A4C27B60244E347" hidden="1">#REF!</definedName>
    <definedName name="BOD5A4F4265C1649699029070BA7454D38" hidden="1">#REF!</definedName>
    <definedName name="BOD5AC6DCB5AFB4CAB92836B1090B745A2" hidden="1">#REF!</definedName>
    <definedName name="BOD5B944D7D611407DBE1C2E9AD4B12423" hidden="1">#REF!</definedName>
    <definedName name="BOD5BA562CEF6B4E8593C7650256496875" hidden="1">#REF!</definedName>
    <definedName name="BOD5BF9DDC39094DD28213EEF6FFA7EF1F" hidden="1">#REF!</definedName>
    <definedName name="BOD5C7B98DA0E641D4B6429D65F168544B" hidden="1">#REF!</definedName>
    <definedName name="BOD5DC52A04ED0433ABB69292AD8520C02" hidden="1">#REF!</definedName>
    <definedName name="BOD5ECDEB795404D34B355340D0C1BD6ED" hidden="1">#REF!</definedName>
    <definedName name="BOD5F38165B4F64CCEAE1233F99E1C1D10" hidden="1">#REF!</definedName>
    <definedName name="BOD5FBDB6792ED490294B58B91280CB793" hidden="1">#REF!</definedName>
    <definedName name="BOD6000BBE6ADA4F37B41FCA2EA4794054" hidden="1">#REF!</definedName>
    <definedName name="BOD60071B25C744E1C9E65631330830418" hidden="1">#REF!</definedName>
    <definedName name="BOD6020AB232644F01B1734FF23D753A12" hidden="1">#REF!</definedName>
    <definedName name="BOD60711644F20496292DAB17C2A10CD22" hidden="1">#REF!</definedName>
    <definedName name="BOD6091EBE9E4D4E7088A85736BE77FBC4" hidden="1">#REF!</definedName>
    <definedName name="BOD6093DB2F42544739F3F0BC6B185776E" hidden="1">#REF!</definedName>
    <definedName name="BOD616EB6B252A485DB2E914540E19A79E" hidden="1">#REF!</definedName>
    <definedName name="BOD666E0EA748C4906A50FDE186DC7A343" hidden="1">#REF!</definedName>
    <definedName name="BOD66ADEE373754C2FAE5666D1DDC249C0" hidden="1">#REF!</definedName>
    <definedName name="BOD689611FA42248308D3AEC62500BF17E" hidden="1">#REF!</definedName>
    <definedName name="BOD6ACA46E696C48099B7105C274041B40" hidden="1">#REF!</definedName>
    <definedName name="BOD6C2AF20BFCC436F8212AE446F7FBF3F" hidden="1">#REF!</definedName>
    <definedName name="BOD6C7698113FD4935A5A3EABBC34BA462" hidden="1">#REF!</definedName>
    <definedName name="BOD6F75FC25E2D470E8DEA7A2C735F8787" hidden="1">#REF!</definedName>
    <definedName name="BOD7117E6358C242E3A1E99B0A14C7E296" hidden="1">#REF!</definedName>
    <definedName name="BOD7194385889F4AA5832169115F3ABE5C" hidden="1">#REF!</definedName>
    <definedName name="BOD7196686218346498FCA8AB0A8D5405D" hidden="1">#REF!</definedName>
    <definedName name="BOD7359D4D72344971A55B6DE10166EC3A" hidden="1">#REF!</definedName>
    <definedName name="BOD745217FC9384622A8C168310D120ED2" hidden="1">#REF!</definedName>
    <definedName name="BOD74816BF53604C1A8EBE7794E78C6157" hidden="1">#REF!</definedName>
    <definedName name="BOD7586665A8C34212B753B89334948FA3" hidden="1">#REF!</definedName>
    <definedName name="BOD75E9FD91EEB4991967840667D14ADE1" hidden="1">#REF!</definedName>
    <definedName name="BOD7619C4CBE234EA9ACB18176025ACAF4" hidden="1">#REF!</definedName>
    <definedName name="BOD76BF873E80B46C185A9B2BC59BE204A" hidden="1">#REF!</definedName>
    <definedName name="BOD76C4C62ED6349BA82C6E762885F9C42" hidden="1">#REF!</definedName>
    <definedName name="BOD7827679259E487A82EFBD97FB249CE4" hidden="1">#REF!</definedName>
    <definedName name="BOD78580AFD3EB40F0961C65CA7CA45022" hidden="1">#REF!</definedName>
    <definedName name="BOD789790B96514DC59042719B5805E3D6" hidden="1">#REF!</definedName>
    <definedName name="BOD78D0FCDEF9745FCBAAA5BFB79E12511" hidden="1">#REF!</definedName>
    <definedName name="BOD7933E219BAA477986EEC38701E45AC5" hidden="1">#REF!</definedName>
    <definedName name="BOD79BB154A4C94C8DAA4055CD3C3942B9" hidden="1">#REF!</definedName>
    <definedName name="BOD7A20F011DC3496F8EABD9053412155F" hidden="1">#REF!</definedName>
    <definedName name="BOD7AFEA3A122B4538910DFD018D3BE33D" hidden="1">#REF!</definedName>
    <definedName name="BOD7B36FA1093347AF921EC7DB87118C4F" hidden="1">#REF!</definedName>
    <definedName name="BOD7B64D0A79904E5DB0613D63A8246F45" hidden="1">#REF!</definedName>
    <definedName name="BOD7B89932E1BE40CEBA0F84C41A299960" hidden="1">#REF!</definedName>
    <definedName name="BOD7C772C9C2CF43C391523BECE58602D5" hidden="1">#REF!</definedName>
    <definedName name="BOD7CA487090DF4C4EBD65FE35935F4905" hidden="1">#REF!</definedName>
    <definedName name="BOD7CF765C287649F89DE2903BE507C970" hidden="1">#REF!</definedName>
    <definedName name="BOD7D258278B4E4E4AA509D9197261A0B6" hidden="1">#REF!</definedName>
    <definedName name="BOD7D4711B87494F72B9462DABAD2DC16A" hidden="1">#REF!</definedName>
    <definedName name="BOD7D61BB333884A59A2C1D33A88CD9F47" hidden="1">#REF!</definedName>
    <definedName name="BOD7DA78831B7D48AE8E9730BE01D093B4" hidden="1">#REF!</definedName>
    <definedName name="BOD7EEE9F941AB4C77878AEC64AB6C2613" hidden="1">#REF!</definedName>
    <definedName name="BOD81ED292189C47DEA6970AAA79A5892D" hidden="1">#REF!</definedName>
    <definedName name="BOD829974450B945C5A22B9631131E3E46" hidden="1">#REF!</definedName>
    <definedName name="BOD850650076FB4BE9871891647862E226" hidden="1">#REF!</definedName>
    <definedName name="BOD854837A39AD429A8903E340E077C23B" hidden="1">#REF!</definedName>
    <definedName name="BOD86240FF503D4482871F210F78E6EAF1" hidden="1">#REF!</definedName>
    <definedName name="BOD8667399EA71405F87B99EFA114442CA" hidden="1">#REF!</definedName>
    <definedName name="BOD874E9B7452B43E3896CE7DCCA6B8098" hidden="1">#REF!</definedName>
    <definedName name="BOD87AF798F4114AAE832DA72E182DC955" hidden="1">#REF!</definedName>
    <definedName name="BOD87DFC9C06C0415F9A038368D154EF22" hidden="1">#REF!</definedName>
    <definedName name="BOD8824FBBCC4043BFA09064A8590BCB4C" hidden="1">#REF!</definedName>
    <definedName name="BOD89421961BB04B30A18D09156E068BB7" hidden="1">#REF!</definedName>
    <definedName name="BOD8AF3276631E4F4EA12C8BE0583BC6A0" hidden="1">#REF!</definedName>
    <definedName name="BOD8C36005E5704ACBBF8998526F689178" hidden="1">#REF!</definedName>
    <definedName name="BOD8CA7DA232CE4CEA906568DC4EAB285D" hidden="1">#REF!</definedName>
    <definedName name="BOD8D7DCA760A14AAA9E6D993CA3E63755" hidden="1">#REF!</definedName>
    <definedName name="BOD8E842838F524D1EA55E8AE43E2BDE14" hidden="1">#REF!</definedName>
    <definedName name="BOD8EB2254C9FA416E8485C656FECB85AF" hidden="1">#REF!</definedName>
    <definedName name="BOD8F132C61D834425A5AB58E021D51B78" hidden="1">#REF!</definedName>
    <definedName name="BOD8F992839054469DB4A9E17508EDD4F2" hidden="1">#REF!</definedName>
    <definedName name="BOD9075F94CA5E4DF49026448EF16C6BC2" hidden="1">#REF!</definedName>
    <definedName name="BOD914C8C08C4E474391CF11AAA9240A0D" hidden="1">#REF!</definedName>
    <definedName name="BOD932BB85A2EA4DE7821393AA49C1C395" hidden="1">#REF!</definedName>
    <definedName name="BOD943A115A65C44929A9117010923227D" hidden="1">#REF!</definedName>
    <definedName name="BOD9559A9C37E4433E9A2515161293F207" hidden="1">#REF!</definedName>
    <definedName name="BOD95A4F3C7E5643819BB2404D8D3C844B" hidden="1">#REF!</definedName>
    <definedName name="BOD96324D7AA0D403DA0608422F8714591" hidden="1">#REF!</definedName>
    <definedName name="BOD965C71921F547F4919C4260E8AFEA1C" hidden="1">#REF!</definedName>
    <definedName name="BOD96AF82529F54504A665EA4AEF6C316F" hidden="1">#REF!</definedName>
    <definedName name="BOD96E3FB0F08B4BA793D580A9BB11918A" hidden="1">#REF!</definedName>
    <definedName name="BOD97A7A863D5C44C092790535B5B97C77" hidden="1">#REF!</definedName>
    <definedName name="BOD981E82152094511911FD1D2869AA239" hidden="1">#REF!</definedName>
    <definedName name="BOD985D8DFEF844A22A4066793823C10D6" hidden="1">#REF!</definedName>
    <definedName name="BOD99A1BF81C5B41C8AE446A73B518337B" hidden="1">#REF!</definedName>
    <definedName name="BOD99BCDC70C184DDFAF6D60D7C6E5517B" hidden="1">#REF!</definedName>
    <definedName name="BOD9A42C58406D4E608CC8FCBA4AFB85CF" hidden="1">#REF!</definedName>
    <definedName name="BOD9B23D74A48F48E8851F1C2BFD33ED70" hidden="1">#REF!</definedName>
    <definedName name="BOD9CBE21A389F433C9F848ACC7773ED42" hidden="1">#REF!</definedName>
    <definedName name="BOD9DB9BF2A0EA40BF9A03C2B390F2B062" hidden="1">#REF!</definedName>
    <definedName name="BOD9EA03238BFE408BB92D91C3BF5D8E41" hidden="1">#REF!</definedName>
    <definedName name="BOD9F39022658945498ED7C00DDC18DBD4" hidden="1">#REF!</definedName>
    <definedName name="BODA1470E097EA42CBBCAAA3699B4E750C" hidden="1">#REF!</definedName>
    <definedName name="BODA1B90113A6C40CA9E096765DDAA5869" hidden="1">#REF!</definedName>
    <definedName name="BODA338A674B3C4E438385E224DC5CBA6E" hidden="1">#REF!</definedName>
    <definedName name="BODA375714EEA345AB87E9DFF80B6A4F21" hidden="1">#REF!</definedName>
    <definedName name="BODA43B8E6CC44409AB32EDA5EC1C2D534" hidden="1">#REF!</definedName>
    <definedName name="BODA4831D6E47C4B77A7ABF48A042405A8" hidden="1">#REF!</definedName>
    <definedName name="BODA4BB33FF9E64FF5820E7F9B0AA4D353" hidden="1">#REF!</definedName>
    <definedName name="BODA59F1709B4845B3B26BD0C5FF1FA0AB" hidden="1">#REF!</definedName>
    <definedName name="BODA5A40D6E6F14474A347255EB2CE0830" hidden="1">#REF!</definedName>
    <definedName name="BODA7B6ECB5BD9411FA5F149FBD6A417D8" hidden="1">#REF!</definedName>
    <definedName name="BODA96815803994119B481057BFF9E1AFA" hidden="1">#REF!</definedName>
    <definedName name="BODA9867BC01F9479E9FC7C63A4381A0F7" hidden="1">#REF!</definedName>
    <definedName name="BODA9AD64DEA334B8DB8670E7F631989B9" hidden="1">#REF!</definedName>
    <definedName name="BODABDCE3D8B174C999B17A4BE22A0EF20" hidden="1">#REF!</definedName>
    <definedName name="BODADA2F4581F642CE9110CA83D2F68CC5" hidden="1">#REF!</definedName>
    <definedName name="BODAFB0CAB609E4CA39F3FD602BDFDC0D2" hidden="1">#REF!</definedName>
    <definedName name="BODAFE33F3F0F24DF68180B0C5FACF094E" hidden="1">#REF!</definedName>
    <definedName name="BODAFE438D2A524D94896C2A23B0EBD390" hidden="1">#REF!</definedName>
    <definedName name="BODB0C9EA7F9E84CCB8A6DC486429D1E29" hidden="1">#REF!</definedName>
    <definedName name="BODB0E20DA4E824027B6AECDF2DE233B08" hidden="1">#REF!</definedName>
    <definedName name="BODB16C94A8F7340149C596D2DA07B926A" hidden="1">#REF!</definedName>
    <definedName name="BODB3669F697EC45B796BA3501D9BC63ED" hidden="1">#REF!</definedName>
    <definedName name="BODB51402C13E54FD9ACD87EBAAB07CBAD" hidden="1">#REF!</definedName>
    <definedName name="BODB51BE5B571349E385E6FEA6C989AC6C" hidden="1">#REF!</definedName>
    <definedName name="BODB66DCDDEF424B2E888590D7B8A75B7A" hidden="1">#REF!</definedName>
    <definedName name="BODB6D0286CAFA43D0B1FF4F03C3CCED95" hidden="1">#REF!</definedName>
    <definedName name="BODB8D1BF6E5DA4A67AC16C08B05DABAF3" hidden="1">#REF!</definedName>
    <definedName name="BODBA61B9A973B4DBF80DAFFCFA52A46F7" hidden="1">#REF!</definedName>
    <definedName name="BODBADA1B9C8BF4CA9838067C8B1B26328" hidden="1">#REF!</definedName>
    <definedName name="BODBC3E114B6BA433B95744F76179805E1" hidden="1">#REF!</definedName>
    <definedName name="BODBD351D67E7342638656268F62E3FEAD" hidden="1">#REF!</definedName>
    <definedName name="BODC0816D7CED344118C5EB0DBFEA5F8D1" hidden="1">#REF!</definedName>
    <definedName name="BODC0BEA6CBAE44FEB818CC99C8EE7BEB5" hidden="1">#REF!</definedName>
    <definedName name="BODC11A036287544A692FB3B0A95501128" hidden="1">#REF!</definedName>
    <definedName name="BODC12D5C9AE1345F38FFB7CC8A3BE043C" hidden="1">#REF!</definedName>
    <definedName name="BODC220663FBB74F02974446BA3646197F" hidden="1">#REF!</definedName>
    <definedName name="BODC2F0323AD924436ABFB4D23525B29AF" hidden="1">#REF!</definedName>
    <definedName name="BODC3184633E8742FBA3167884FC5BCEE0" hidden="1">#REF!</definedName>
    <definedName name="BODC342A3652B944F09E1FCD60DF1F133D" hidden="1">#REF!</definedName>
    <definedName name="BODC35D2D9197948F5B41EF4D2CE5E8576" hidden="1">#REF!</definedName>
    <definedName name="BODC41F515A6854C65B7381E561B739377" hidden="1">#REF!</definedName>
    <definedName name="BODC43C42893F5471992092AACDD77C08F" hidden="1">#REF!</definedName>
    <definedName name="BODC4D145DB1F54CE999BD1B07C1604457" hidden="1">#REF!</definedName>
    <definedName name="BODC633285E9B14312ADEEA39AE824C381" hidden="1">#REF!</definedName>
    <definedName name="BODC9A5120A3E54974884C1E0966270E1D" hidden="1">#REF!</definedName>
    <definedName name="BODC9CDFBF83FD4A15A56843AC021AA216" hidden="1">#REF!</definedName>
    <definedName name="BODCACB442AFF147DA8534A6D75C35399F" hidden="1">#REF!</definedName>
    <definedName name="BODCC0923712804C9C95BB07CA2C802707" hidden="1">#REF!</definedName>
    <definedName name="BODCC1D836ABB24B558E36AF88F3C87FBD" hidden="1">#REF!</definedName>
    <definedName name="BODCD1E36379C240E2A3A66084F6E8370B" hidden="1">#REF!</definedName>
    <definedName name="BODCDC60E0DAE14E1A87E177A39424DBBA" hidden="1">#REF!</definedName>
    <definedName name="BODCDF74A234874FCF91D8CF3F326CCEE9" hidden="1">#REF!</definedName>
    <definedName name="BODCF121E3D58D43D6BE73F27E1CC73EE7" hidden="1">#REF!</definedName>
    <definedName name="BODCF9B3C3B64847C5B7AA49E141E8367F" hidden="1">#REF!</definedName>
    <definedName name="BODD55D711679540EBA8B4626BAFC0C961" hidden="1">#REF!</definedName>
    <definedName name="BODD87356B32F3448BA7F6D80C4681836A" hidden="1">#REF!</definedName>
    <definedName name="BODD8BC23F37314198A145ED4FBAAB35EC" hidden="1">#REF!</definedName>
    <definedName name="BODD912D5833004681A88D2F9EF257B7C0" hidden="1">#REF!</definedName>
    <definedName name="BODD9480E3CACE4F268ADF8A4111607E56" hidden="1">#REF!</definedName>
    <definedName name="BODDA82180A02945AABDD7BADBD4BB12C4" hidden="1">#REF!</definedName>
    <definedName name="BODDB1D72214CA41239764E0DECCD4DA95" hidden="1">#REF!</definedName>
    <definedName name="BODDB5253D5F32416BABF3BF7EDD155689" hidden="1">#REF!</definedName>
    <definedName name="BODDB896D7741E41A79748DDDCACAC04DF" hidden="1">#REF!</definedName>
    <definedName name="BODDC65C1306484FAD8C5B5098B18FA369" hidden="1">#REF!</definedName>
    <definedName name="BODDDAA25E2BDE441090400F21BA5C34FD" hidden="1">#REF!</definedName>
    <definedName name="BODDE486C3BA604263A250727A6C11879D" hidden="1">#REF!</definedName>
    <definedName name="BODDED182ABDB64103A544558BCD871E84" hidden="1">#REF!</definedName>
    <definedName name="BODDEFC0D0572B4042AB60AB186BB501E7" hidden="1">#REF!</definedName>
    <definedName name="BODE2D4ACD78D44C82B08895EE5ACA0346" hidden="1">#REF!</definedName>
    <definedName name="BODE40BF5CBE26430282B79A6769A9E4EE" hidden="1">#REF!</definedName>
    <definedName name="BODE4189FC7F7448B2915AB754F15BBE48" hidden="1">#REF!</definedName>
    <definedName name="BODE5407DA8DBA4F0E8BCF3F381509E496" hidden="1">#REF!</definedName>
    <definedName name="BODE5C9656178241B9854DC0E7B7BB4C1D" hidden="1">#REF!</definedName>
    <definedName name="BODE766549A64A432EB2326459544CB14C" hidden="1">#REF!</definedName>
    <definedName name="BODE768A9B2D54461F9A71EC094B8BFEA9" hidden="1">#REF!</definedName>
    <definedName name="BODE811A6228654F54939A745212057316" hidden="1">#REF!</definedName>
    <definedName name="BODE8857979773440E91FB8184A1123FB6" hidden="1">#REF!</definedName>
    <definedName name="BODE89B1DA731A4454A01E45129D52F892" hidden="1">#REF!</definedName>
    <definedName name="BODE9072EB3BFB4B1C92C8FCDBBE8360D7" hidden="1">#REF!</definedName>
    <definedName name="BODE90C2081AC947AAA25825A4212847DA" hidden="1">#REF!</definedName>
    <definedName name="BODEC00C0FE625435EAB16BBF3CF5423FA" hidden="1">#REF!</definedName>
    <definedName name="BODECEBD48E9604A83A10F1F22350794BF" hidden="1">#REF!</definedName>
    <definedName name="BODECF7922D5794E779C6CADC7B440F3E1" hidden="1">#REF!</definedName>
    <definedName name="BODEF3253214EB42739241C6059132B79D" hidden="1">#REF!</definedName>
    <definedName name="BODEF855BA96974D2A810C62FD879CA905" hidden="1">#REF!</definedName>
    <definedName name="BODF01B683526347E0ACBE5A579DBFCF9C" hidden="1">#REF!</definedName>
    <definedName name="BODF073AE731E849BDACD3A7E9DA3E9CE6" hidden="1">#REF!</definedName>
    <definedName name="BODF094FBD134141929A57AFD3107DEBE1" hidden="1">#REF!</definedName>
    <definedName name="BODF0BD33E1E0443CE8483C28E0E36B7C7" hidden="1">#REF!</definedName>
    <definedName name="BODF41055F82FD4E13A72F24B843EA9DFC" hidden="1">#REF!</definedName>
    <definedName name="BODF5481EF0D8242338AC6A9279893495A" hidden="1">#REF!</definedName>
    <definedName name="BODF610E99470C43D38E09E70D253A0417" hidden="1">#REF!</definedName>
    <definedName name="BODF6C52BDAF784C8DA0DE36C5A3A0FAC5" hidden="1">#REF!</definedName>
    <definedName name="BODF744399BFC0430AA3F357277380EE88" hidden="1">#REF!</definedName>
    <definedName name="BODF77706ED7E34A5A900A58C6D57862BA" hidden="1">#REF!</definedName>
    <definedName name="BODF99A39BC384481FBFDC5E890C45567B" hidden="1">#REF!</definedName>
    <definedName name="BODFAFE6B7B5DD494DA46E02F336EB4451" hidden="1">#REF!</definedName>
    <definedName name="BODFB578F516AA465893C1FE1B2B12D366" hidden="1">#REF!</definedName>
    <definedName name="BODFC655E5FEAA46A6AAA4DD7EBB1B6FC9" hidden="1">#REF!</definedName>
    <definedName name="BODFD955186509466399B149EBC7F41889" hidden="1">#REF!</definedName>
    <definedName name="BODFF1D75CBB984E5386ADEC2DD5294935" hidden="1">#REF!</definedName>
    <definedName name="BOE006847D0A6D4D4D8D2533E19C49D667" hidden="1">#REF!</definedName>
    <definedName name="BOE006ED9E20C3444F8CEAF6E03763551D" hidden="1">#REF!</definedName>
    <definedName name="BOE00BEC4426FF43188CE29BB96DC0F80F" hidden="1">#REF!</definedName>
    <definedName name="BOE00DA9EEAD2747C89688401F227A1B47" hidden="1">#REF!</definedName>
    <definedName name="BOE017B1FDF9474AB39B4D907FFF9B93B4" hidden="1">#REF!</definedName>
    <definedName name="BOE01975F2337B4CF497E063FDD5307278" hidden="1">#REF!</definedName>
    <definedName name="BOE026125E78E5458981F88E04737F5FDD" hidden="1">#REF!</definedName>
    <definedName name="BOE02614A0A19B4F258E74DD2A6B824165" hidden="1">#REF!</definedName>
    <definedName name="BOE034E323591D4D3081245B383BB615E3" hidden="1">#REF!</definedName>
    <definedName name="BOE0360C2D533540EA91E5BF1F73B1D78C" hidden="1">#REF!</definedName>
    <definedName name="BOE03C9A76BF5645C8B3879F6DAAA6A0CC" hidden="1">#REF!</definedName>
    <definedName name="BOE04F564E56244E679008C05151265BD2" hidden="1">#REF!</definedName>
    <definedName name="BOE0576357A0FB48FFB1C2EE97C539209D" hidden="1">#REF!</definedName>
    <definedName name="BOE05AB811E6DC47F588E989213BDA0E49" hidden="1">#REF!</definedName>
    <definedName name="BOE072055565B440F0B96E015B8A86281B" hidden="1">#REF!</definedName>
    <definedName name="BOE07673114B354AADB2FE0F4CF47306B1" hidden="1">#REF!</definedName>
    <definedName name="BOE07C99ECF2B04F24AF66BE9134092175" hidden="1">#REF!</definedName>
    <definedName name="BOE083A145E5C848BDA424776CBBBABB50" hidden="1">#REF!</definedName>
    <definedName name="BOE0A1D40228754B4C876192AB193072D1" hidden="1">#REF!</definedName>
    <definedName name="BOE0B6104F47D1419F89C67EC20A2DA044" hidden="1">#REF!</definedName>
    <definedName name="BOE0B675C6FF644F25ABE231535B04807E" hidden="1">#REF!</definedName>
    <definedName name="BOE0BE8FB3CBC74049B3BDC5FBC4F0515A" hidden="1">#REF!</definedName>
    <definedName name="BOE0CD3CF6DBB3497390CB5277E7F6C8AD" hidden="1">#REF!</definedName>
    <definedName name="BOE0EF37DB9397402C85FD74674C2C8B76" hidden="1">#REF!</definedName>
    <definedName name="BOE0F80A181E3C4F628830B11216FE6E5C" hidden="1">#REF!</definedName>
    <definedName name="BOE113B46E25494F8880A260061D312852" hidden="1">#REF!</definedName>
    <definedName name="BOE11978DCD81043259E316E7A919B3956" hidden="1">#REF!</definedName>
    <definedName name="BOE12937672CEA40B2A2C0AC7904CC44AE" hidden="1">#REF!</definedName>
    <definedName name="BOE13AB4235AC2402DAB027B3936B550B9" hidden="1">#REF!</definedName>
    <definedName name="BOE1437EAD564140B7A229C91CBF6C98B1" hidden="1">#REF!</definedName>
    <definedName name="BOE153C64737424AE6B4DB32194D7FF0E2" hidden="1">#REF!</definedName>
    <definedName name="BOE17C1FE72C2E44D483586A1F2A390573" hidden="1">#REF!</definedName>
    <definedName name="BOE18C517FEAEA45E8BCA8C8C731F3D920" hidden="1">#REF!</definedName>
    <definedName name="BOE18EC19E8AEF402EAE2B0F9CB5CCA3AB" hidden="1">#REF!</definedName>
    <definedName name="BOE19089FAC16F4B8688A0492982FF446E" hidden="1">#REF!</definedName>
    <definedName name="BOE19447B0E1FA443EA962493A52D7BD82" hidden="1">#REF!</definedName>
    <definedName name="BOE1B8E510BC864F9295EDA0C6EFD2B924" hidden="1">#REF!</definedName>
    <definedName name="BOE1D5BDF45331474CB5BCDA5D62240B3B" hidden="1">#REF!</definedName>
    <definedName name="BOE1D864672D394290A795746A1DE77B08" hidden="1">#REF!</definedName>
    <definedName name="BOE1DCF35953BD4E46AB93DFAE95B5DDE6" hidden="1">#REF!</definedName>
    <definedName name="BOE1E83BBD57EF4F62BB16307A030D949D" hidden="1">#REF!</definedName>
    <definedName name="BOE2120FD099664455B8C4D55E1FF026FD" hidden="1">#REF!</definedName>
    <definedName name="BOE214051AC1A748E081A158A11E4ADD05" hidden="1">#REF!</definedName>
    <definedName name="BOE22CD0E0569A49439417A071544CE72A" hidden="1">#REF!</definedName>
    <definedName name="BOE25B77D6C27540E6AAA556148B083B53" hidden="1">#REF!</definedName>
    <definedName name="BOE25CCFBF99E04C3C9C21034E1A81C33C" hidden="1">#REF!</definedName>
    <definedName name="BOE263959986DE4AC8B573670D83DDB9EF" hidden="1">#REF!</definedName>
    <definedName name="BOE28EA0D9163A45FDBB2590D2729647C9" hidden="1">#REF!</definedName>
    <definedName name="BOE2D85861CE134B2899A88CE95589BEA9" hidden="1">#REF!</definedName>
    <definedName name="BOE2DCE93BA40342CDBF2ECCF7399B2179" hidden="1">#REF!</definedName>
    <definedName name="BOE307F88CF982433D8A5E1A5800FD2AD4" hidden="1">#REF!</definedName>
    <definedName name="BOE30BF0B6F57D416BA3039619FAA9605D" hidden="1">#REF!</definedName>
    <definedName name="BOE32845D4217248B5A29BB1EF05A74B53" hidden="1">#REF!</definedName>
    <definedName name="BOE337F40BCDB04761B6982A92D8288043" hidden="1">#REF!</definedName>
    <definedName name="BOE347813C36D0451295D9EE70757D67B2" hidden="1">#REF!</definedName>
    <definedName name="BOE34F0954816D4BBD9169ACA9A7C37DD1" hidden="1">#REF!</definedName>
    <definedName name="BOE3552AD5E6ED416399005EF3DA64417C" hidden="1">#REF!</definedName>
    <definedName name="BOE35C1617BB404A5B831C0C937DEE30C3" hidden="1">#REF!</definedName>
    <definedName name="BOE363A80728314E40A98FDA2C6658342F" hidden="1">#REF!</definedName>
    <definedName name="BOE376496472834A1187F8B2D218F47A9C" hidden="1">#REF!</definedName>
    <definedName name="BOE3903726787A43369D14E2CFD75168C1" hidden="1">#REF!</definedName>
    <definedName name="BOE398E17A4D2C4403AC2E55DCE59A4DB3" hidden="1">#REF!</definedName>
    <definedName name="BOE39AF0DF1C984911B29CBDF7D432692E" hidden="1">#REF!</definedName>
    <definedName name="BOE3A3B50773CB4F1396741469B50E2D6C" hidden="1">#REF!</definedName>
    <definedName name="BOE3A961B9C77F419C80AA8DBDE61BF21F" hidden="1">#REF!</definedName>
    <definedName name="BOE3D3C537354043529495944246227E54" hidden="1">#REF!</definedName>
    <definedName name="BOE3EAB94B34994813A192F85F34F64788" hidden="1">#REF!</definedName>
    <definedName name="BOE42252CC391A472EBB6BEB429AE625B1" hidden="1">#REF!</definedName>
    <definedName name="BOE43AD6076DD34055B0BF7215A02B8CB7" hidden="1">#REF!</definedName>
    <definedName name="BOE447A50A6A0445EDA278C8F6684F9F56" hidden="1">#REF!</definedName>
    <definedName name="BOE449661142474D1998C432F3D15150A8" hidden="1">#REF!</definedName>
    <definedName name="BOE4553A17435E44E1A73A3E8C5BB03776" hidden="1">#REF!</definedName>
    <definedName name="BOE4570C8160CD449BA2EB7A5799F3D970" hidden="1">#REF!</definedName>
    <definedName name="BOE46F6DB57CC5418DB632FD6AA4046084" hidden="1">#REF!</definedName>
    <definedName name="BOE4864185A3864D3AB1C30FBB75915886" hidden="1">#REF!</definedName>
    <definedName name="BOE48A2F73BAB549DEA757EA28C9F0C570" hidden="1">#REF!</definedName>
    <definedName name="BOE49A28902F614E22AADB7D311EBA846E" hidden="1">#REF!</definedName>
    <definedName name="BOE4CBEA97B39C41D8BA6F03263BFA8066" hidden="1">#REF!</definedName>
    <definedName name="BOE4CDD2D15E3D4D3DB6FD662A62BE5138" hidden="1">#REF!</definedName>
    <definedName name="BOE4D5A5154F4C482B944548BC47E31E5D" hidden="1">#REF!</definedName>
    <definedName name="BOE4DA8B1764E74E3F85C29CAEBA8EEE05" hidden="1">#REF!</definedName>
    <definedName name="BOE4EC52FAC01E4D389789FE914DC05BF6" hidden="1">#REF!</definedName>
    <definedName name="BOE4F84BC0C3E14178AEB6DBA2F66C752F" hidden="1">#REF!</definedName>
    <definedName name="BOE503A37C2DDD4514A5244826E6A6DB54" hidden="1">#REF!</definedName>
    <definedName name="BOE51DFD1C9562469194F32690B232F3D3" hidden="1">#REF!</definedName>
    <definedName name="BOE545914D51B74F8F80A99121E9F681D3" hidden="1">#REF!</definedName>
    <definedName name="BOE5480C2C9C554E828BCF6B26CE00644E" hidden="1">#REF!</definedName>
    <definedName name="BOE549C9E705DE4877993E07C59BDC0CE5" hidden="1">#REF!</definedName>
    <definedName name="BOE55435D37049454395ECA083E501131D" hidden="1">#REF!</definedName>
    <definedName name="BOE57D2810DF2F40AA8FB1D0C2ECDAA661" hidden="1">#REF!</definedName>
    <definedName name="BOE580F8701F94415D999408A7EB0D4CAF" hidden="1">#REF!</definedName>
    <definedName name="BOE585DC72C4564FA68F5AA993D43A7E96" hidden="1">#REF!</definedName>
    <definedName name="BOE5AA83923A2A4251A365967B0FABE997" hidden="1">#REF!</definedName>
    <definedName name="BOE5AE82CD21E14B1A83E16DA898862D4C" hidden="1">#REF!</definedName>
    <definedName name="BOE5C36DE72DD74A34BA37E9397BF4B1BF" hidden="1">#REF!</definedName>
    <definedName name="BOE5C551016A6B4610B9618412B77DEAAA" hidden="1">#REF!</definedName>
    <definedName name="BOE5D737DF7DC04EF4A3F1879E3C59FBA5" hidden="1">#REF!</definedName>
    <definedName name="BOE5D8E07A0DA54017A84CE8B381368A63" hidden="1">#REF!</definedName>
    <definedName name="BOE5DB18EC4BF143CAB33F7AB9CE0BC7AD" hidden="1">#REF!</definedName>
    <definedName name="BOE5E15CBA8693404E95C6E7532B0455DE" hidden="1">#REF!</definedName>
    <definedName name="BOE5E5B6038D70411E8F6D4F21F0FA20C5" hidden="1">#REF!</definedName>
    <definedName name="BOE5F1AA16B89C46E08917B4E586F61146" hidden="1">#REF!</definedName>
    <definedName name="BOE5FA3D0D59214D4693F8F49DA4B9C3EB" hidden="1">#REF!</definedName>
    <definedName name="BOE6016488BD9B43AB807B2FDE97A1E5C6" hidden="1">#REF!</definedName>
    <definedName name="BOE63184FD11AE4350B81A2E3DEADFE9D1" hidden="1">#REF!</definedName>
    <definedName name="BOE642644C80644606B590C952B2B679BB" hidden="1">#REF!</definedName>
    <definedName name="BOE6472F62E05843E3A42485F3FC4DAA7B" hidden="1">#REF!</definedName>
    <definedName name="BOE64B65D0B2E3477D965DA34BE633B705" hidden="1">#REF!</definedName>
    <definedName name="BOE64E13F456404669B6432E1A33D3CBD6" hidden="1">#REF!</definedName>
    <definedName name="BOE661CBEEEF90471390ADE4AAA5F64EFA" hidden="1">#REF!</definedName>
    <definedName name="BOE66722F8DA48439DBE5F8DDC84C75A6D" hidden="1">#REF!</definedName>
    <definedName name="BOE671A811FEE443B0AF77FFD7B973E3D8" hidden="1">#REF!</definedName>
    <definedName name="BOE69C3DC8F1834A25A33C8F0EE876A611" hidden="1">#REF!</definedName>
    <definedName name="BOE69EC63A965D4D389109A1397229FE81" hidden="1">#REF!</definedName>
    <definedName name="BOE69EEB4E559349B8B062EE7B68357594" hidden="1">#REF!</definedName>
    <definedName name="BOE6C4B7010CBE4A0C8E565D645E7BD5D5" hidden="1">#REF!</definedName>
    <definedName name="BOE6CF0641D1CF4974818BF6A3C75563DF" hidden="1">#REF!</definedName>
    <definedName name="BOE6CF7371C48B4B4CA75BF8C02972E606" hidden="1">#REF!</definedName>
    <definedName name="BOE6D827D9E2DE489ABEBB24B97E6503E8" hidden="1">#REF!</definedName>
    <definedName name="BOE6DD34E9F52A467DA397C498162119B7" hidden="1">#REF!</definedName>
    <definedName name="BOE6E77A9C02A748EE9D27A0F8CBE7B2E7" hidden="1">#REF!</definedName>
    <definedName name="BOE6EC2B01DAAC4CAA860BFF94370676C8" hidden="1">#REF!</definedName>
    <definedName name="BOE719ECF60BC44D039355F9578D584D96" hidden="1">#REF!</definedName>
    <definedName name="BOE71EFE4B5B724994B58B2D05B75ABFE9" hidden="1">#REF!</definedName>
    <definedName name="BOE723E5A34F7C49D89A97CE036F53E20A" hidden="1">#REF!</definedName>
    <definedName name="BOE72A0D75227F4086B9721585982D462D" hidden="1">#REF!</definedName>
    <definedName name="BOE741AA47A5B7491BB12A8962C001BCD6" hidden="1">#REF!</definedName>
    <definedName name="BOE74688F5AC1E4867865C628E71974C74" hidden="1">#REF!</definedName>
    <definedName name="BOE749E2E453224EDE819CB02CD51A08BE" hidden="1">#REF!</definedName>
    <definedName name="BOE75047C68AF14F03B8E94DC5C2EF621F" hidden="1">#REF!</definedName>
    <definedName name="BOE75B49FAF61B4EF69763E611B56CE634" hidden="1">#REF!</definedName>
    <definedName name="BOE76250712D36454EA8BD340089539AD6" hidden="1">#REF!</definedName>
    <definedName name="BOE76431D47602405BB3C0FF818CC34755" hidden="1">#REF!</definedName>
    <definedName name="BOE7648C666E9144698BA38608382BE64C" hidden="1">#REF!</definedName>
    <definedName name="BOE776B09F34E244928F8EA22D197685DA" hidden="1">#REF!</definedName>
    <definedName name="BOE7850C2DA14C416998D009562C874153" hidden="1">#REF!</definedName>
    <definedName name="BOE798598350E04FBFAF7A6A194F1568BE" hidden="1">#REF!</definedName>
    <definedName name="BOE79D0A6383EE444D9AE6E0E159C5B362" hidden="1">#REF!</definedName>
    <definedName name="BOE7A344A367254A7493AA6568A37CB5CE" hidden="1">#REF!</definedName>
    <definedName name="BOE7CBB0CC34384B958962B499B09B2EFE" hidden="1">#REF!</definedName>
    <definedName name="BOE7DD506A20324A81886280B1FD147980" hidden="1">#REF!</definedName>
    <definedName name="BOE7DFAF165385446BA6A3484A6449F5EB" hidden="1">#REF!</definedName>
    <definedName name="BOE7EC9B4E00164CB5B67EF6A26F794461" hidden="1">#REF!</definedName>
    <definedName name="BOE7F286C313164F68BF206AFA08DBC094" hidden="1">#REF!</definedName>
    <definedName name="BOE7F829FCBE4544A39C39A9F40F05285E" hidden="1">#REF!</definedName>
    <definedName name="BOE7FB822E1C854B0080C789D2304CB9DE" hidden="1">#REF!</definedName>
    <definedName name="BOE7FF59A65485454D9BAF35A631532BE7" hidden="1">#REF!</definedName>
    <definedName name="BOE8052FE958B8496D959F6782B970EA25" hidden="1">#REF!</definedName>
    <definedName name="BOE81D5E8040614B75BE51C7C2CD55F6C4" hidden="1">#REF!</definedName>
    <definedName name="BOE8379345D4E5404BB73937AA0ECF88F4" hidden="1">#REF!</definedName>
    <definedName name="BOE841241352624CA99AA46EB72F6B7B4D" hidden="1">#REF!</definedName>
    <definedName name="BOE8473256F0E74B51A0AF9E07903BA006" hidden="1">#REF!</definedName>
    <definedName name="BOE84E82EEFCCE41D0BA91EFACF23EBFA7" hidden="1">#REF!</definedName>
    <definedName name="BOE84FCC406C184191AFE42CCF04997FEE" hidden="1">#REF!</definedName>
    <definedName name="BOE87120EC35BC4CF0AA0F2833DE8CE423" hidden="1">#REF!</definedName>
    <definedName name="BOE8777DCF295E415D8A6502B9107C4DC7" hidden="1">#REF!</definedName>
    <definedName name="BOE884DB0E080F4026AEDEAD76588B78FC" hidden="1">#REF!</definedName>
    <definedName name="BOE889379A26C646989693795D14E52885" hidden="1">#REF!</definedName>
    <definedName name="BOE8970DB59C714C8BA0FB79E01170D916" hidden="1">#REF!</definedName>
    <definedName name="BOE8AD63032C0A490FBAC61B51F1D45DAD" hidden="1">#REF!</definedName>
    <definedName name="BOE8C9C3ED265B48589109A08A9505A1D1" hidden="1">#REF!</definedName>
    <definedName name="BOE8CCD114C0324135B66AD58BCC1AE5AD" hidden="1">#REF!</definedName>
    <definedName name="BOE8DBD581E91E43A295718AF22899C040" hidden="1">#REF!</definedName>
    <definedName name="BOE8E979548B0A4930A3A17959B35976EE" hidden="1">#REF!</definedName>
    <definedName name="BOE8FD561F920B4D0EB0A7FF754C48EC59" hidden="1">#REF!</definedName>
    <definedName name="BOE9070F3F0E5C4CECA88BDCD0FE83FACA" hidden="1">#REF!</definedName>
    <definedName name="BOE9145CAB99E74AFE9E99E9CC29206FC8" hidden="1">#REF!</definedName>
    <definedName name="BOE919721A160440009B2F08B691E057F6" hidden="1">#REF!</definedName>
    <definedName name="BOE9365DA92F0142D688109164C3F00B4C" hidden="1">#REF!</definedName>
    <definedName name="BOE93CCA0121AD4A57BAAE639408245A27" hidden="1">#REF!</definedName>
    <definedName name="BOE93FF485CBB143C8B17639519B225C67" hidden="1">#REF!</definedName>
    <definedName name="BOE9711470A17248E1818E183991FEFBE1" hidden="1">#REF!</definedName>
    <definedName name="BOE986598D3BE2456398E521806F001BFE" hidden="1">#REF!</definedName>
    <definedName name="BOE986E94CE98349AE8748D58895E44442" hidden="1">#REF!</definedName>
    <definedName name="BOE9A1B08188334180912AF680225F52F6" hidden="1">#REF!</definedName>
    <definedName name="BOE9A94086040D4182824491AC50D5A715" hidden="1">#REF!</definedName>
    <definedName name="BOE9C1CB3E7BDF4A4B99B9C11169458EA4" hidden="1">#REF!</definedName>
    <definedName name="BOE9C1EFA87B754F90B746334F49DCFB40" hidden="1">#REF!</definedName>
    <definedName name="BOE9CD6FC928854E02ABAB5F8976907E7E" hidden="1">#REF!</definedName>
    <definedName name="BOE9D930B87D734F9798F59AA71877AC27" hidden="1">#REF!</definedName>
    <definedName name="BOE9E6BF7CEFB94FE1A00EF1AF9DE0670D" hidden="1">#REF!</definedName>
    <definedName name="BOE9FC0ABA10294F26A828ED5FDB8CBF79" hidden="1">#REF!</definedName>
    <definedName name="BOEA098A4B60624CF2B7A0F533DB8197B7" hidden="1">#REF!</definedName>
    <definedName name="BOEA0CC7422F9A4DA4BDFFE2D8E68A55C8" hidden="1">#REF!</definedName>
    <definedName name="BOEA2022A9A1164C34ADC50B500FCE6440" hidden="1">#REF!</definedName>
    <definedName name="BOEA23F73FE7434EFCA0F38B740B2A71CE" hidden="1">#REF!</definedName>
    <definedName name="BOEA24131FE3B34D1F9614F7212C119A06" hidden="1">#REF!</definedName>
    <definedName name="BOEA250B12AC0048F08246845DA3D06B8B" hidden="1">#REF!</definedName>
    <definedName name="BOEA3DBC7CAAA9402E85E619F5B8A0658D" hidden="1">#REF!</definedName>
    <definedName name="BOEA45133290A5471DA1865C6961B27895" hidden="1">#REF!</definedName>
    <definedName name="BOEA487DFBBB0446B0A8D7FEFB2D9E7C93" hidden="1">#REF!</definedName>
    <definedName name="BOEA5D843AED3F487DA8DF194A445D9459" hidden="1">#REF!</definedName>
    <definedName name="BOEA9B539225F2465DB73C0568F4794B5B" hidden="1">#REF!</definedName>
    <definedName name="BOEAAEAC0456A54FB68E3A6AB4B0D69E69" hidden="1">#REF!</definedName>
    <definedName name="BOEACA8BE71163406DA815A83E0BBE41F2" hidden="1">#REF!</definedName>
    <definedName name="BOEACBE5F6676B4B4EBDE3B535FCA7F70E" hidden="1">#REF!</definedName>
    <definedName name="BOEAD6D7767DC54CBEBCE421A3DB34DE6B" hidden="1">#REF!</definedName>
    <definedName name="BOEADD9A517C9E4CB4999114D4B9BD6920" hidden="1">#REF!</definedName>
    <definedName name="BOEAF3B895ABCD49308AF2F5A2E22BBC94" hidden="1">#REF!</definedName>
    <definedName name="BOEAFDF322262145CB86BF48DC1DB6B5A2" hidden="1">#REF!</definedName>
    <definedName name="BOEB0E75BF9AEA444FA574EF153F2DE2A5" hidden="1">#REF!</definedName>
    <definedName name="BOEB1A90E26030462182E41AFAB6A4D4A6" hidden="1">#REF!</definedName>
    <definedName name="BOEB1FBF1FAD7F4ECC8BB20074F709319C" hidden="1">#REF!</definedName>
    <definedName name="BOEB2058ED531F48A98C063949C294546B" hidden="1">#REF!</definedName>
    <definedName name="BOEB217BD039004C72ABA77A436DA8A424" hidden="1">#REF!</definedName>
    <definedName name="BOEB2F3E3D02774730BB926D13D9071C2B" hidden="1">#REF!</definedName>
    <definedName name="BOEB44B4B099F346859CBEA9A2EE368103" hidden="1">#REF!</definedName>
    <definedName name="BOEB4510D91D1B48B2A12E2E404B685DE1" hidden="1">#REF!</definedName>
    <definedName name="BOEB458FBEB36F4ACDA8C9CB398BDD60AB" hidden="1">#REF!</definedName>
    <definedName name="BOEB548C7313074BA98E76084F204B688B" hidden="1">#REF!</definedName>
    <definedName name="BOEB64424FE0CD410CAD6BB2B58AC93D1E" hidden="1">#REF!</definedName>
    <definedName name="BOEB6C1FD3E2364828BDC755821A471BA7" hidden="1">#REF!</definedName>
    <definedName name="BOEB7ECE9285934C488E6B2136A2F0641C" hidden="1">#REF!</definedName>
    <definedName name="BOEBB477EA004747AC923498244421587D" hidden="1">#REF!</definedName>
    <definedName name="BOEBBC73E30C5E459DB8E9982D70CCFA83" hidden="1">#REF!</definedName>
    <definedName name="BOEBC5109A663F41D1AD3E9DFAA22080A7" hidden="1">#REF!</definedName>
    <definedName name="BOEC0BCDB4FA624FE89507CCDAFB2DE5F3" hidden="1">#REF!</definedName>
    <definedName name="BOEC0DD3F439BA4003AD46A41F29874030" hidden="1">#REF!</definedName>
    <definedName name="BOEC10CC55F3EF49AB9D602AD6C82928C8" hidden="1">#REF!</definedName>
    <definedName name="BOEC1A5FBA282D4E98AC0A8B6E60EA9049" hidden="1">#REF!</definedName>
    <definedName name="BOEC2CED11F9424CA5846E3A10F2466FC0" hidden="1">#REF!</definedName>
    <definedName name="BOEC35FA1EB6AE4D7397B6BCA448918A7B" hidden="1">#REF!</definedName>
    <definedName name="BOEC3F2E58E5E44307B2E206499188E1FC" hidden="1">#REF!</definedName>
    <definedName name="BOEC425E786A5F4CE78604F43CC4690D0E" hidden="1">#REF!</definedName>
    <definedName name="BOEC4699DC2F29484FBE3C12668389EEA6" hidden="1">#REF!</definedName>
    <definedName name="BOEC5B408FC72D40DAAEAB05CE85838531" hidden="1">#REF!</definedName>
    <definedName name="BOEC684DE0189A4785A63BA14BCF85B1E7" hidden="1">#REF!</definedName>
    <definedName name="BOEC6B3D1B408C4BEA9A1E84D8EDF0F1D8" hidden="1">#REF!</definedName>
    <definedName name="BOEC9441F1F2BC449ABE8AE312BBF036C6" hidden="1">#REF!</definedName>
    <definedName name="BOEC9B5B1AD36D4F2AA7A07F0BDCAA69E4" hidden="1">#REF!</definedName>
    <definedName name="BOECC4B07A4BE4408580DC3F8B01467DED" hidden="1">#REF!</definedName>
    <definedName name="BOECDF813F5B044D3090546B36A2795F21" hidden="1">#REF!</definedName>
    <definedName name="BOECE5166EAB9949B5B97B399AF6E970C1" hidden="1">#REF!</definedName>
    <definedName name="BOECF8FF9A3492427BA40FF8CA6171F72D" hidden="1">#REF!</definedName>
    <definedName name="BOED028ED253934245B174B1D83D982EFB" hidden="1">#REF!</definedName>
    <definedName name="BOED05B2F2B9E94F6187B09D58E9239D88" hidden="1">#REF!</definedName>
    <definedName name="BOED1EA8F825644ABA99CA16B474D79E3E" hidden="1">#REF!</definedName>
    <definedName name="BOED40A408DF64448DA734D39E2DEFB694" hidden="1">#REF!</definedName>
    <definedName name="BOED562F54123C431F9027C5E4DD931301" hidden="1">#REF!</definedName>
    <definedName name="BOED67A72F32524AAD94FDE98C20568A62" hidden="1">#REF!</definedName>
    <definedName name="BOED90211738DC45B88535CD01C1135A78" hidden="1">#REF!</definedName>
    <definedName name="BOED91281EFE664FDC911DBF9E8DDC436C" hidden="1">#REF!</definedName>
    <definedName name="BOED9B5B430AEB4498A92D70891BFA4A07" hidden="1">#REF!</definedName>
    <definedName name="BOED9EE50BAF774E2AA4A7596663A49FC4" hidden="1">#REF!</definedName>
    <definedName name="BOEDA36C9CE4FA4581A52255AF23DB93A0" hidden="1">#REF!</definedName>
    <definedName name="BOEDAF63C7A34644ED8132A22D90B0304E" hidden="1">#REF!</definedName>
    <definedName name="BOEDAFCF8033B845069453D4F5AC7EFC85" hidden="1">#REF!</definedName>
    <definedName name="BOEDB3BA53AFC3453DB990331E0B5780A0" hidden="1">#REF!</definedName>
    <definedName name="BOEDBABC0C059545189DC8E8F1C8E61166" hidden="1">#REF!</definedName>
    <definedName name="BOEDD6B47B122B4DEA9F2B21565620B1A1" hidden="1">#REF!</definedName>
    <definedName name="BOEDE32FE5EB604C1F930D99BA4C3B57D5" hidden="1">#REF!</definedName>
    <definedName name="BOEDE768E044204D4896FC83EA9E0DED28" hidden="1">#REF!</definedName>
    <definedName name="BOEDF260BEC9454C2AAB8653DAA455274C" hidden="1">#REF!</definedName>
    <definedName name="BOEDFE33E509F943EB8068C63B6FBA2CD7" hidden="1">#REF!</definedName>
    <definedName name="BOEE0353DEA87047D1BC8BA1A10AA66E19" hidden="1">#REF!</definedName>
    <definedName name="BOEE1FD7AE1A934708895B803112ACBDC6" hidden="1">#REF!</definedName>
    <definedName name="BOEE35D5C86323412A87FF75BC83F4AD39" hidden="1">#REF!</definedName>
    <definedName name="BOEE695C4E495447F5BC24329921892ECC" hidden="1">#REF!</definedName>
    <definedName name="BOEE86E561C95E4976B53094DF773C08D4" hidden="1">#REF!</definedName>
    <definedName name="BOEE89452115254AA5AD1B4A4D53F5D207" hidden="1">#REF!</definedName>
    <definedName name="BOEE969C5DA6044948B6E86EFBEE871C3D" hidden="1">#REF!</definedName>
    <definedName name="BOEEACC20B9FE44B1AA33590292E5D0028" hidden="1">#REF!</definedName>
    <definedName name="BOEEDA0B6B46114ED382263C8C9D55A945" hidden="1">#REF!</definedName>
    <definedName name="BOEEDD810CAF5049BA9B98A9987D83A97B" hidden="1">#REF!</definedName>
    <definedName name="BOEEE402F4521E4129B8F3DAFD319B8DE9" hidden="1">#REF!</definedName>
    <definedName name="BOEEF8CE2E6E4D4EA7AF47FF0921906FB9" hidden="1">#REF!</definedName>
    <definedName name="BOEF09111C797F49CBB03D24DAA5E99592" hidden="1">#REF!</definedName>
    <definedName name="BOEF0E71DAB3B445CB9E23CE7414E25A44" hidden="1">#REF!</definedName>
    <definedName name="BOEF183B30FC8C444BAAD415A50AD2C13F" hidden="1">#REF!</definedName>
    <definedName name="BOEF2A7FCFBFDE45C38DAD158B2415679A" hidden="1">#REF!</definedName>
    <definedName name="BOEF3940E6E677491BAE23FF17364EF17E" hidden="1">#REF!</definedName>
    <definedName name="BOEF406C0827AE4CBCAA017E0C0DCC3DED" hidden="1">#REF!</definedName>
    <definedName name="BOEF4087D55BDF4CBC9286104B11C6C0D2" hidden="1">#REF!</definedName>
    <definedName name="BOEF52A8E4ACA749519CF938EB280A646E" hidden="1">#REF!</definedName>
    <definedName name="BOEF56D01AD3D14C099D494FBC502954D5" hidden="1">#REF!</definedName>
    <definedName name="BOEF7322C278CF4E74A4F50631FF61E1A4" hidden="1">#REF!</definedName>
    <definedName name="BOEFBD1451554C46C5B09F0AEEE7170DBE" hidden="1">#REF!</definedName>
    <definedName name="BOEFC0926F6314407AA33095A2281E870F" hidden="1">#REF!</definedName>
    <definedName name="BOEFC38C6084D4401087A1495EDEB30DD0" hidden="1">#REF!</definedName>
    <definedName name="BOEFDD5BD4C03D4F32B9F685B7CD2ECAA2" hidden="1">#REF!</definedName>
    <definedName name="BOEFED11C55B7D42F0BA74E1AC52FFFCB6" hidden="1">#REF!</definedName>
    <definedName name="BOEFFA9E855A8D4352994E68849AF48905" hidden="1">#REF!</definedName>
    <definedName name="BOF0097F757062493FBA6E5AC459D99ACD" hidden="1">#REF!</definedName>
    <definedName name="BOF0100A92ADA14111A38DCB300766F521" hidden="1">#REF!</definedName>
    <definedName name="BOF01838A6DDBE45D4B2B655AAD88D5B0E" hidden="1">#REF!</definedName>
    <definedName name="BOF02333F78A05422AA5A1F733A8834CD6" hidden="1">#REF!</definedName>
    <definedName name="BOF030BA9CEED74A339BEC1FCA16DDD5F7" hidden="1">#REF!</definedName>
    <definedName name="BOF040FE5AF14A461C9B72854FC26275EA" hidden="1">#REF!</definedName>
    <definedName name="BOF047E4600A444563A62764BC83105CC3" hidden="1">#REF!</definedName>
    <definedName name="BOF057084B941A46DCB13220E48F9C2DAD" hidden="1">#REF!</definedName>
    <definedName name="BOF05939FDE2F5456590C798E429F0BEBE" hidden="1">#REF!</definedName>
    <definedName name="BOF05E6310E06849798562BB8BD53C4F28" hidden="1">#REF!</definedName>
    <definedName name="BOF05FFF3AC94B4E36925B5EDAAC8C1C53" hidden="1">#REF!</definedName>
    <definedName name="BOF0905563093845A997A50AF692884153" hidden="1">#REF!</definedName>
    <definedName name="BOF093E5DF6BB241FDA0C27F6C9C16A9DD" hidden="1">#REF!</definedName>
    <definedName name="BOF0988203238E4889AFFCDE8D40B632A0" hidden="1">#REF!</definedName>
    <definedName name="BOF0A0FAACB6BB477591F225FDDF4BE7AD" hidden="1">#REF!</definedName>
    <definedName name="BOF0A825745E464D13A54ABA20B609B9E8" hidden="1">#REF!</definedName>
    <definedName name="BOF0C33265976142698ACBDF91D15A28FF" hidden="1">#REF!</definedName>
    <definedName name="BOF0C59731D4AE4017B5B4169F3C9AA2A6" hidden="1">#REF!</definedName>
    <definedName name="BOF0CBC11E611C46CAA732EB2558A413AB" hidden="1">#REF!</definedName>
    <definedName name="BOF0D4EF18741047F1B1043984130F0FA6" hidden="1">#REF!</definedName>
    <definedName name="BOF0DBB60FBA7B487483C6404113C66C6E" hidden="1">#REF!</definedName>
    <definedName name="BOF0E3743744E240A992B06E29FA68C50A" hidden="1">#REF!</definedName>
    <definedName name="BOF0E6E6B0E78C42E08BE2CDEA8CF44D78" hidden="1">#REF!</definedName>
    <definedName name="BOF109CEBDEEAC441FA6E936017139B088" hidden="1">#REF!</definedName>
    <definedName name="BOF116490C0E814BFB92B3B78084E30664" hidden="1">#REF!</definedName>
    <definedName name="BOF11B68CA497B4432A6CC3AFAFDDBE9FB" hidden="1">#REF!</definedName>
    <definedName name="BOF121F1F343C6493AAB63BBF3F6B28F08" hidden="1">#REF!</definedName>
    <definedName name="BOF127975B3BB54DDA9463E9C491F056A3" hidden="1">#REF!</definedName>
    <definedName name="BOF141B2A6A68B4B36951873FFC7FA2211" hidden="1">#REF!</definedName>
    <definedName name="BOF15DE6D3DE7443C8A22FA3AD98F9E106" hidden="1">#REF!</definedName>
    <definedName name="BOF15E20C21B1C4680B293AE7291F7DD0F" hidden="1">#REF!</definedName>
    <definedName name="BOF1713F3A451043ED83650CF65558317A" hidden="1">#REF!</definedName>
    <definedName name="BOF17A501E52C9417589ECB44884047CE2" hidden="1">#REF!</definedName>
    <definedName name="BOF1ABC4FD00E64BA58CFF06D348B0C5C3" hidden="1">#REF!</definedName>
    <definedName name="BOF1AEBC9A7BD44233A1943849C28C4FEC" hidden="1">#REF!</definedName>
    <definedName name="BOF1B8AD00099048A2A8AEC0999BE156F5" hidden="1">#REF!</definedName>
    <definedName name="BOF1CCE096EE874AF382A668D7FE951A20" hidden="1">#REF!</definedName>
    <definedName name="BOF20CCB7468C540F09F18FAB754EC370F" hidden="1">#REF!</definedName>
    <definedName name="BOF23D7E5217A24026827BA1D213504D2A" hidden="1">#REF!</definedName>
    <definedName name="BOF24138F12ED24CEF9500511C170B5BBA" hidden="1">#REF!</definedName>
    <definedName name="BOF24947DB82D64635840A8DB5866B51FD" hidden="1">#REF!</definedName>
    <definedName name="BOF253E547CD19417B85C345A050C3AB8D" hidden="1">#REF!</definedName>
    <definedName name="BOF263D17C59CD4195923580B4D30F3F76" hidden="1">#REF!</definedName>
    <definedName name="BOF27712BD4E094407ACB4899BA5C49295" hidden="1">#REF!</definedName>
    <definedName name="BOF27AC05A1FBB441997D081D917D7813E" hidden="1">#REF!</definedName>
    <definedName name="BOF2850F87583C4C5F9B0B14B695A8460D" hidden="1">#REF!</definedName>
    <definedName name="BOF28675E81D624568B83E5006EE4DAB41" hidden="1">#REF!</definedName>
    <definedName name="BOF287C0DE87E04A9FA22B2ECD2F94C614" hidden="1">#REF!</definedName>
    <definedName name="BOF2E4E26EFA1B45A6B451A32AF9340BA2" hidden="1">#REF!</definedName>
    <definedName name="BOF2E96E202FFA4C7FAAAF5539AE50BF20" hidden="1">#REF!</definedName>
    <definedName name="BOF2E9D408E0CE4BE8BFEABB6B73934CC2" hidden="1">#REF!</definedName>
    <definedName name="BOF2EBB03F32CB43D982795A06A0CE7F14" hidden="1">#REF!</definedName>
    <definedName name="BOF2ED9B84F0014707AE8E96E655EA83CB" hidden="1">#REF!</definedName>
    <definedName name="BOF2FF48AA091D4BA99B50E6B5AC55A3E5" hidden="1">#REF!</definedName>
    <definedName name="BOF3239FBE6C4C47D0AA40E65F1AF1C1FC" hidden="1">#REF!</definedName>
    <definedName name="BOF33205490E834D1E954D98ED7145934B" hidden="1">#REF!</definedName>
    <definedName name="BOF33D6B6D93C74BB18FE3D6E0FF794B23" hidden="1">#REF!</definedName>
    <definedName name="BOF34C9901813B49D8AD7DEF7B8BF5D5E7" hidden="1">#REF!</definedName>
    <definedName name="BOF35C53425D3341BAA04DD8DB42127399" hidden="1">#REF!</definedName>
    <definedName name="BOF36997466DCA419EB5BB546C26585165" hidden="1">#REF!</definedName>
    <definedName name="BOF36B04952D7E494D8982DF32678ED517" hidden="1">#REF!</definedName>
    <definedName name="BOF36D05A66EE34CD39407E87E086E789B" hidden="1">#REF!</definedName>
    <definedName name="BOF37F793DBD86486CB8F124C4A5B4790A" hidden="1">#REF!</definedName>
    <definedName name="BOF3A90882C3F646AC8E52826DE77B4F42" hidden="1">#REF!</definedName>
    <definedName name="BOF3C2FA67E9714243A6A0E31921FBEEBC" hidden="1">#REF!</definedName>
    <definedName name="BOF3E50E227A544F7F8427DB69807893E0" hidden="1">#REF!</definedName>
    <definedName name="BOF3E6876AE1B7457AB3A864C16B14A115" hidden="1">#REF!</definedName>
    <definedName name="BOF3F8EC36F0584B21B040E4FAE9B8810F" hidden="1">#REF!</definedName>
    <definedName name="BOF40B8D5DE4EF48C8A142F2738685DF4E" hidden="1">#REF!</definedName>
    <definedName name="BOF40D19766CE04F19935929CE2DA3EB55" hidden="1">#REF!</definedName>
    <definedName name="BOF4114871BFE4412A94F702635BE768DB" hidden="1">#REF!</definedName>
    <definedName name="BOF474B784011942EE8F9762B58E2206C2" hidden="1">#REF!</definedName>
    <definedName name="BOF477823A8ED5496EA6AAE4F2A47FF673" hidden="1">#REF!</definedName>
    <definedName name="BOF4BA7E8EAF9E403393D1A9F98BB7C67E" hidden="1">#REF!</definedName>
    <definedName name="BOF4C0FA40C07F4E7086D02D7A36CC878C" hidden="1">#REF!</definedName>
    <definedName name="BOF4CCF65C0AB248CE8B3EBF1FF477CB5C" hidden="1">#REF!</definedName>
    <definedName name="BOF4D51DD2D7014AA0B2374CCC27DA6B48" hidden="1">#REF!</definedName>
    <definedName name="BOF4E734F5E0B346399B3F74EDDE1364EA" hidden="1">#REF!</definedName>
    <definedName name="BOF4F541C0A6C94B61A4CE373A6C565169" hidden="1">#REF!</definedName>
    <definedName name="BOF51A52841A654E94BE5B17633A966825" hidden="1">#REF!</definedName>
    <definedName name="BOF52AF955B89242C8BE3354CF28DE98A3" hidden="1">#REF!</definedName>
    <definedName name="BOF5396AD784C946F0BAD3D6C84FA64794" hidden="1">#REF!</definedName>
    <definedName name="BOF53CCAFB02904DA4AF21417141E6C458" hidden="1">#REF!</definedName>
    <definedName name="BOF5497173AE06489E9550275FB325A5AD" hidden="1">#REF!</definedName>
    <definedName name="BOF55C86C98D884DCF805287D2AAB2A342" hidden="1">#REF!</definedName>
    <definedName name="BOF55CF31ECD7A406CA38DE801694F8552" hidden="1">#REF!</definedName>
    <definedName name="BOF5631028159044D78779C45CA65FC43B" hidden="1">#REF!</definedName>
    <definedName name="BOF585D8968C854C30B591C88227EDB648" hidden="1">#REF!</definedName>
    <definedName name="BOF5A5E290196040079D7DE62A2550AA5C" hidden="1">#REF!</definedName>
    <definedName name="BOF5AEE545461542C7A1A82997EB41AB35" hidden="1">#REF!</definedName>
    <definedName name="BOF5CB44B1A6E44FDC89B7F2976A7CE3A8" hidden="1">#REF!</definedName>
    <definedName name="BOF5D646679BF64364ACDA18EFA320F112" hidden="1">#REF!</definedName>
    <definedName name="BOF5DC32DE31BD4B50B0267F468F4E4CB0" hidden="1">#REF!</definedName>
    <definedName name="BOF604F32E6DAC49BBA3716C381BEBAB3A" hidden="1">#REF!</definedName>
    <definedName name="BOF6116786263A474F8EB13C9D525A5BBF" hidden="1">#REF!</definedName>
    <definedName name="BOF611A9E8BB0F49E497EFF27831772058" hidden="1">#REF!</definedName>
    <definedName name="BOF62D3D4F777949DA8A29FDC4707A82D9" hidden="1">#REF!</definedName>
    <definedName name="BOF63D3B4EB0E544EFA271FEA8860AC25D" hidden="1">#REF!</definedName>
    <definedName name="BOF65F19D7E1904C5FA112E30614E0B372" hidden="1">#REF!</definedName>
    <definedName name="BOF669A2D2BA994424B1F5A8AC117A55CA" hidden="1">#REF!</definedName>
    <definedName name="BOF66F23777B7C431BBA70EAF3374BA9DD" hidden="1">#REF!</definedName>
    <definedName name="BOF67F5AA185884F23B340D90B4494144F" hidden="1">#REF!</definedName>
    <definedName name="BOF6825EEC29BD4F43B7715AE96EC32379" hidden="1">#REF!</definedName>
    <definedName name="BOF683395E38EC43DA91DAFE24FDCFD464" hidden="1">#REF!</definedName>
    <definedName name="BOF687F176C001453A8BDD5BE28067C5E9" hidden="1">#REF!</definedName>
    <definedName name="BOF6AE8BD0902148AA869657E40D971E11" hidden="1">#REF!</definedName>
    <definedName name="BOF6C435831C884A2B958ECF1499C5AE81" hidden="1">#REF!</definedName>
    <definedName name="BOF6C9B9EED16443ED8CB7FF99A5DBCC26" hidden="1">#REF!</definedName>
    <definedName name="BOF6CCD54417AC4931901DEF75EEA84F24" hidden="1">#REF!</definedName>
    <definedName name="BOF6CDA264C92D4DF2907EB1622B5003D6" hidden="1">#REF!</definedName>
    <definedName name="BOF6D3B02F600746DFB75C12B28AF70310" hidden="1">#REF!</definedName>
    <definedName name="BOF6E9F1E9C5B04DAA88A54F6FE2A57C42" hidden="1">#REF!</definedName>
    <definedName name="BOF708D1281373454597A1A056AB3A3531" hidden="1">#REF!</definedName>
    <definedName name="BOF714C5C24C504900BC9BC026DF0955B8" hidden="1">#REF!</definedName>
    <definedName name="BOF72B7E5688A24599B26396DA1025418E" hidden="1">#REF!</definedName>
    <definedName name="BOF74765F291A940459E3745B048FFF204" hidden="1">#REF!</definedName>
    <definedName name="BOF75BD264DBB04172906E6710FDC5CE9B" hidden="1">#REF!</definedName>
    <definedName name="BOF7648B04C3A44727ABAE4D315B581096" hidden="1">#REF!</definedName>
    <definedName name="BOF770BE81EB0647A29E9CE4D634384356" hidden="1">#REF!</definedName>
    <definedName name="BOF77B331BE93848B7BCD11717BB266D2A" hidden="1">#REF!</definedName>
    <definedName name="BOF7976E88AE214F67B9CBB47608F7DDA9" hidden="1">#REF!</definedName>
    <definedName name="BOF7991C6F519D41A3B8AC572703E833AD" hidden="1">#REF!</definedName>
    <definedName name="BOF79C8057618541DB900AC860DEA92122" hidden="1">#REF!</definedName>
    <definedName name="BOF7B5D1FBB8764A4FB0220E77B2881D62" hidden="1">#REF!</definedName>
    <definedName name="BOF7B5FA1754E0413AAFB010856810A5BA" hidden="1">#REF!</definedName>
    <definedName name="BOF7C0B15686234EACBE0FB09FC35AFFF4" hidden="1">#REF!</definedName>
    <definedName name="BOF7CF94FFA36A46ACB0FCB81905FBD824" hidden="1">#REF!</definedName>
    <definedName name="BOF7D6CB602C3C435CA5300FBF0F07FA65" hidden="1">#REF!</definedName>
    <definedName name="BOF7D9E525CB4F48E38052E076240378BE" hidden="1">#REF!</definedName>
    <definedName name="BOF7F7F74ADE6A456697D7D82B02256B6F" hidden="1">#REF!</definedName>
    <definedName name="BOF83559FBC7D04204ADB4B6AED114EAF7" hidden="1">#REF!</definedName>
    <definedName name="BOF835CA3093464BB98CC8821172B1F91C" hidden="1">#REF!</definedName>
    <definedName name="BOF83DEA7B15B144748CB58ECF71457F2B" hidden="1">#REF!</definedName>
    <definedName name="BOF85E6CCF6A57462A8CA36AA9540D141F" hidden="1">#REF!</definedName>
    <definedName name="BOF861024EEF514C6389B851E8D3982275" hidden="1">#REF!</definedName>
    <definedName name="BOF861BE762D5946F094E60ECD73982CA6" hidden="1">#REF!</definedName>
    <definedName name="BOF86B41F85B3F42E4B7EFE1B2C2199C1B" hidden="1">#REF!</definedName>
    <definedName name="BOF87E495A74FB4EFAB3F46E6715C2B04E" hidden="1">#REF!</definedName>
    <definedName name="BOF8A092991A38448696CCC4DC0FC01693" hidden="1">#REF!</definedName>
    <definedName name="BOF8A31B6DA98148FFA1C515F3B8149A40" hidden="1">#REF!</definedName>
    <definedName name="BOF8A6D5FDFCE442C28D9A96416D2DEA48" hidden="1">#REF!</definedName>
    <definedName name="BOF8B846D7E8B34D05B384F863E85A28E5" hidden="1">#REF!</definedName>
    <definedName name="BOF8DAC2FEC53B494E8A09152EAB6B7B4F" hidden="1">#REF!</definedName>
    <definedName name="BOF8E11A3752FB43269C6043A6F8D6A566" hidden="1">#REF!</definedName>
    <definedName name="BOF8E521594CB6424A882EA938563567D8" hidden="1">#REF!</definedName>
    <definedName name="BOF8F113671AB242A0A31C324D25132756" hidden="1">#REF!</definedName>
    <definedName name="BOF8F3838231C243239CFF1B4B6BCC87C2" hidden="1">#REF!</definedName>
    <definedName name="BOF90C081FC31448DE8B5AE57F93E88D5A" hidden="1">#REF!</definedName>
    <definedName name="BOF92F726FD98E4A5195B52ABBCF4CBAC8" hidden="1">#REF!</definedName>
    <definedName name="BOF9347D78A59A426A86C26A3751F3B5BD" hidden="1">#REF!</definedName>
    <definedName name="BOF9376400C8CF4FCD85B320E7EAD04A94" hidden="1">#REF!</definedName>
    <definedName name="BOF9473E9311E344EEA252202567A23848" hidden="1">#REF!</definedName>
    <definedName name="BOF9495CF6160944879E041E0D38789F50" hidden="1">#REF!</definedName>
    <definedName name="BOF9509C2000054150B4B30DF7C43A4A51" hidden="1">#REF!</definedName>
    <definedName name="BOF96C08372AB34C3A93A310CC91FD4B25" hidden="1">#REF!</definedName>
    <definedName name="BOF96D6F15B6C64D5C8030DD9389EA8255" hidden="1">#REF!</definedName>
    <definedName name="BOF972AA899FF64380B0A7A6AE986BE553" hidden="1">#REF!</definedName>
    <definedName name="BOF976143D93AF4A00A035132360605823" hidden="1">#REF!</definedName>
    <definedName name="BOF97FF29AFA964EB4A7194CFD2D06893A" hidden="1">#REF!</definedName>
    <definedName name="BOF982D863C97441DE8C3A59719A3F7A1C" hidden="1">#REF!</definedName>
    <definedName name="BOF988328A7F834104BBD14188E005B28F" hidden="1">#REF!</definedName>
    <definedName name="BOF991385FBFDD4DD7AD5E7F1640C78BB8" hidden="1">#REF!</definedName>
    <definedName name="BOF9958D4FBFBF40E68FCC6DC7A805A18F" hidden="1">#REF!</definedName>
    <definedName name="BOF9A45AB7B2A9448590E895C700767392" hidden="1">#REF!</definedName>
    <definedName name="BOF9A745490A1F4A0695067659AAAB07E4" hidden="1">#REF!</definedName>
    <definedName name="BOF9B94F5DA17443B6A4C8EFC4C72F7800" hidden="1">#REF!</definedName>
    <definedName name="BOF9CCA466DDE34243A28BEC11EA7696FC" hidden="1">#REF!</definedName>
    <definedName name="BOF9D0F7B0FC8745ADA15A7F51ACA86046" hidden="1">#REF!</definedName>
    <definedName name="BOF9E3ACA774784CC185178823C21D0683" hidden="1">#REF!</definedName>
    <definedName name="BOF9E4F58BD63540A68A019559C64FCADD" hidden="1">#REF!</definedName>
    <definedName name="BOF9F15082364A4134B98686203548E9D2" hidden="1">#REF!</definedName>
    <definedName name="BOF9F2E505E437475E8029DC8D894C88D9" hidden="1">#REF!</definedName>
    <definedName name="BOF9F503D5C8DC4F159CA92378C6C2F165" hidden="1">#REF!</definedName>
    <definedName name="BOFA14A2D8CB234719B612B2CD55B5C9B9" hidden="1">#REF!</definedName>
    <definedName name="BOFA189D6399D741059121AB58C4681E1B" hidden="1">#REF!</definedName>
    <definedName name="BOFA2E4C0C11F94E2B84554B33EB6B97A8" hidden="1">#REF!</definedName>
    <definedName name="BOFA2EA8565515456BB492A0487B3028BB" hidden="1">#REF!</definedName>
    <definedName name="BOFA2F87762DFD484D94075FC95CB64240" hidden="1">#REF!</definedName>
    <definedName name="BOFA6FBCF148F348859DF1A84441CCBAE5" hidden="1">#REF!</definedName>
    <definedName name="BOFA8184CFE1FC4338A3A88450CE7FBCDE" hidden="1">#REF!</definedName>
    <definedName name="BOFA864009E0984036BEA4C678AD54A99F" hidden="1">#REF!</definedName>
    <definedName name="BOFAABE7614B284661B98C71FC73AF5357" hidden="1">#REF!</definedName>
    <definedName name="BOFAAF7563489F4EBB846DBD7F7F25745D" hidden="1">#REF!</definedName>
    <definedName name="BOFABF281E7BCD4437A50537084E3DF70B" hidden="1">#REF!</definedName>
    <definedName name="BOFAC709B4C59A409D8062E376F00BEAEB" hidden="1">#REF!</definedName>
    <definedName name="BOFAD762ED2D514C759268845816353004" hidden="1">#REF!</definedName>
    <definedName name="BOFADB24AA3390485390007D2B3F839443" hidden="1">#REF!</definedName>
    <definedName name="BOFADCBEB7759F40CA91F6F631953F161A" hidden="1">#REF!</definedName>
    <definedName name="BOFADD414F69F540FF8B531AF652DF4925" hidden="1">#REF!</definedName>
    <definedName name="BOFAE7E4251410458986CD581678A37D58" hidden="1">#REF!</definedName>
    <definedName name="BOFAF108511F4F4BAEA60AD9274BE9D23E" hidden="1">#REF!</definedName>
    <definedName name="BOFB0ED15CCAEE44CC83241EE8F264C79F" hidden="1">#REF!</definedName>
    <definedName name="BOFB0EFF5180C64CC58011020FA1EED728" hidden="1">#REF!</definedName>
    <definedName name="BOFB1C41C30B6E4FDDB1D2E412168345EA" hidden="1">#REF!</definedName>
    <definedName name="BOFB23DD2B62EB470992A82EC97423E4B4" hidden="1">#REF!</definedName>
    <definedName name="BOFB24A1F273BD4AAB9F0EB3D97D98BE90" hidden="1">#REF!</definedName>
    <definedName name="BOFB336458987A4A00A14567345C5A3BC3" hidden="1">#REF!</definedName>
    <definedName name="BOFB38EB43E6304712AF177DBDED21937E" hidden="1">#REF!</definedName>
    <definedName name="BOFB61BAF274A844AA886C85D6CD7CC1BD" hidden="1">#REF!</definedName>
    <definedName name="BOFB68B3AB13A949D6B91D57867C55ACBD" hidden="1">#REF!</definedName>
    <definedName name="BOFB8FF5299BAC4A3980A0C9D97B2C2A8F" hidden="1">#REF!</definedName>
    <definedName name="BOFB968A6400F743F4854F733F192BCE8B" hidden="1">#REF!</definedName>
    <definedName name="BOFBD1BBF7BCC14007A52AFA1AC14DFD90" hidden="1">#REF!</definedName>
    <definedName name="BOFBFA26DFEF144767B8A3C37E2B38B6F9" hidden="1">#REF!</definedName>
    <definedName name="BOFC008101E26942739BCE45A22FDC1809" hidden="1">#REF!</definedName>
    <definedName name="BOFC045940DE784286BED8F1C82FAE062C" hidden="1">#REF!</definedName>
    <definedName name="BOFC0AD63A8DF04E2694B0F8B680580A51" hidden="1">#REF!</definedName>
    <definedName name="BOFC101594CCBD46F69B92FD32FB5B2967" hidden="1">#REF!</definedName>
    <definedName name="BOFC20CB619321432096E32CF8510489B8" hidden="1">#REF!</definedName>
    <definedName name="BOFC33C63EDBAF47EB8A640EEA56C78CFD" hidden="1">#REF!</definedName>
    <definedName name="BOFC3CE9B777E942BF8427BC366D3B0A70" hidden="1">#REF!</definedName>
    <definedName name="BOFC4D075129CE42B6A11BB16DE21CCC94" hidden="1">#REF!</definedName>
    <definedName name="BOFC57A9C3720F428986EA4B1EC7CA21AB" hidden="1">#REF!</definedName>
    <definedName name="BOFC5BF5B340284577A6C0DA03F1824FF8" hidden="1">#REF!</definedName>
    <definedName name="BOFC63B121E6E140ADA0046BB9BE7A9060" hidden="1">#REF!</definedName>
    <definedName name="BOFC6609E556BD4F95B45D1F09F1AEA6EE" hidden="1">#REF!</definedName>
    <definedName name="BOFC691235AADD4AF99E5F69CD249F2546" hidden="1">#REF!</definedName>
    <definedName name="BOFC6F26D94F9449DDB7564BA7882684D4" hidden="1">#REF!</definedName>
    <definedName name="BOFC779837E3E04A1985835E5DF253266E" hidden="1">#REF!</definedName>
    <definedName name="BOFC7F5101C80E4CB49BB40D848A9BC45C" hidden="1">#REF!</definedName>
    <definedName name="BOFC8258CEE69144D39FFA958E0FC3F2A7" hidden="1">#REF!</definedName>
    <definedName name="BOFC9287FB937E45768ACB07545CEEA2D9" hidden="1">#REF!</definedName>
    <definedName name="BOFCAD2E401667477E9D464FB1AA22C096" hidden="1">#REF!</definedName>
    <definedName name="BOFCB243D312254A6495E9987C2B550B68" hidden="1">#REF!</definedName>
    <definedName name="BOFCBB253B873A4BF4812203F3D9F1159E" hidden="1">#REF!</definedName>
    <definedName name="BOFCBD10D75B584C3B8A3E8226942B145A" hidden="1">#REF!</definedName>
    <definedName name="BOFCD34CDD80394B87AEAC50BECDC201A3" hidden="1">#REF!</definedName>
    <definedName name="BOFCDFF25E56A14D89BFF3E1405350803E" hidden="1">#REF!</definedName>
    <definedName name="BOFCED67DF69DE4476812BDAF010897053" hidden="1">#REF!</definedName>
    <definedName name="BOFCF51C93505B48AC82B9911B1E5E5C72" hidden="1">#REF!</definedName>
    <definedName name="BOFCF5F88759524BD49F9A58056E524EC0" hidden="1">#REF!</definedName>
    <definedName name="BOFD09022DAC094A40B6A03F0E06944AFA" hidden="1">#REF!</definedName>
    <definedName name="BOFD35A9EBC9AF4FBEBE5A0479FE5879B2" hidden="1">#REF!</definedName>
    <definedName name="BOFD529BCDFD5B4DC1A3A3F2BB939D10F7" hidden="1">#REF!</definedName>
    <definedName name="BOFD5E2143B12F483587A09AD3B288A61C" hidden="1">#REF!</definedName>
    <definedName name="BOFD79C7BF9A1346D0A685FB6DB1AADE0A" hidden="1">#REF!</definedName>
    <definedName name="BOFD82A95F5FB94E42A8A06E3851F79812" hidden="1">#REF!</definedName>
    <definedName name="BOFD874DA25FE34C4491FF7FD101BDB413" hidden="1">#REF!</definedName>
    <definedName name="BOFD8DF3176E384B91BF0EC93EA8ADD67B" hidden="1">#REF!</definedName>
    <definedName name="BOFDCC656927E84A0FADEE4B8B6A1DF3D9" hidden="1">#REF!</definedName>
    <definedName name="BOFDD38408EFBA4E48B1BF3BB4C93F7722" hidden="1">#REF!</definedName>
    <definedName name="BOFDE93B5065FB45D986A9CD4335AFE32A" hidden="1">#REF!</definedName>
    <definedName name="BOFE00DF51A0EB49A7A34E8FA3390A298A" hidden="1">#REF!</definedName>
    <definedName name="BOFE0305390B704C48BA2EC4A05D8EC976" hidden="1">#REF!</definedName>
    <definedName name="BOFE0FFADB41B0470093CD34743DAA5984" hidden="1">#REF!</definedName>
    <definedName name="BOFE104079BCB74F42AC8C73CF51936A57" hidden="1">#REF!</definedName>
    <definedName name="BOFE2C082080CE48AA8E4C30C2B75D5825" hidden="1">#REF!</definedName>
    <definedName name="BOFE2E98B7B96147599125BD16B196EA9A" hidden="1">#REF!</definedName>
    <definedName name="BOFE41334C9AD242EEA312F0B97D8E3059" hidden="1">#REF!</definedName>
    <definedName name="BOFE459DCF30C94B4DACF4260619CAA431" hidden="1">#REF!</definedName>
    <definedName name="BOFE4D5636C6C1455EB8E15538F807A9DF" hidden="1">#REF!</definedName>
    <definedName name="BOFE80B2BAD5AA490FB1090A0F5A6B2D3E" hidden="1">#REF!</definedName>
    <definedName name="BOFEA2179B495045B3A4AEF004A8395435" hidden="1">#REF!</definedName>
    <definedName name="BOFEA268FA880B4422B6FC7D3D19D7E134" hidden="1">#REF!</definedName>
    <definedName name="BOFEA5122D1E64440F99EE2A3A11DF2E00" hidden="1">#REF!</definedName>
    <definedName name="BOFEA6BEA308954340BEC08D6EE88D6232" hidden="1">#REF!</definedName>
    <definedName name="BOFEBB355536364ED8B2C1BF3DA875F9C0" hidden="1">#REF!</definedName>
    <definedName name="BOFECBA6BF0DDF47A399CF8EFFFD2E6585" hidden="1">#REF!</definedName>
    <definedName name="BOFEEA8528210641EAAB5BD7AF7B5A478A" hidden="1">#REF!</definedName>
    <definedName name="BOFEEC3A32A9914EA8B78F465349332185" hidden="1">#REF!</definedName>
    <definedName name="BOFF2E1E2C77F74388A8E5E3760D657FFD" hidden="1">#REF!</definedName>
    <definedName name="BOFF32ED69DF574CE1B5269D9FDC3CA006" hidden="1">#REF!</definedName>
    <definedName name="BOFF3F97E7FAA347979ACC7B2E0F8F09D1" hidden="1">#REF!</definedName>
    <definedName name="BOFF458E10C67C4BAB8744461B7772FA47" hidden="1">#REF!</definedName>
    <definedName name="BOFF4D952AA1C249788BD8E15A5BF80074" hidden="1">#REF!</definedName>
    <definedName name="BOFF5152834B86472C8425B2909C1A43A0" hidden="1">#REF!</definedName>
    <definedName name="BOFF5544F0476F470FA140C6EE947E013F" hidden="1">#REF!</definedName>
    <definedName name="BOFF61E3DC87BE4E8894E44CFB42BEB0B5" hidden="1">#REF!</definedName>
    <definedName name="BOFF7354F4CFE744118927DE3AC1F26857" hidden="1">#REF!</definedName>
    <definedName name="BOFF7CC3ACE061481A91BF100123E466EF" hidden="1">#REF!</definedName>
    <definedName name="BOFF87B8F6B5864EECBDE77815553155A1" hidden="1">#REF!</definedName>
    <definedName name="BOFFAD1CB3BE7244B592EB425A803DEA0A" hidden="1">#REF!</definedName>
    <definedName name="BOFFB810C12CDE4118959DABB722F07483" hidden="1">#REF!</definedName>
    <definedName name="BOFFC6A738E872423F9F535B7F1AC62C55" hidden="1">#REF!</definedName>
    <definedName name="BOFFC7E6E57EB640D7BEF9BDA03B1F0924" hidden="1">#REF!</definedName>
    <definedName name="BOFFD8B225E60E4EF78F585F6FA950656C" hidden="1">#REF!</definedName>
    <definedName name="BOFFE294C8BEC14E96831F290FF84C2EFA" hidden="1">#REF!</definedName>
    <definedName name="BOFFFD3BC2598042B6B6D7E8BEE0BC46D2" hidden="1">#REF!</definedName>
    <definedName name="BOH">#REF!</definedName>
    <definedName name="Bonus">#REF!</definedName>
    <definedName name="boonthak" hidden="1">{"'ตัวอย่าง'!$A$1:$O$21"}</definedName>
    <definedName name="BOQ">#REF!</definedName>
    <definedName name="Brand">#REF!</definedName>
    <definedName name="Brand_Setup">#REF!</definedName>
    <definedName name="brdwght">#REF!</definedName>
    <definedName name="BREITE_KOP">#REF!</definedName>
    <definedName name="BREITE_ZAEHLER">#REF!</definedName>
    <definedName name="BS">#REF!</definedName>
    <definedName name="BSale">#REF!</definedName>
    <definedName name="bsfr00dm">#REF!</definedName>
    <definedName name="bsfr01dm">#REF!</definedName>
    <definedName name="bsfr02dm">#REF!</definedName>
    <definedName name="bsfr96dm">#REF!</definedName>
    <definedName name="bsfr97dm">#REF!</definedName>
    <definedName name="bsfr98dm">#REF!</definedName>
    <definedName name="bsfr99dm">#REF!</definedName>
    <definedName name="BT">#REF!</definedName>
    <definedName name="btchiuaxitm300">#REF!</definedName>
    <definedName name="BTchiuaxm200">#REF!</definedName>
    <definedName name="btcocM400">#REF!</definedName>
    <definedName name="BTlotm100">#REF!</definedName>
    <definedName name="BUCHSTABE">#REF!</definedName>
    <definedName name="BUD_OTH">#REF!</definedName>
    <definedName name="BUD_RNG">#REF!</definedName>
    <definedName name="BUDGET">#REF!</definedName>
    <definedName name="BudgetAP">#REF!</definedName>
    <definedName name="budgets">#REF!</definedName>
    <definedName name="Bust">#REF!</definedName>
    <definedName name="bv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A">#REF!</definedName>
    <definedName name="Ca_12">#REF!</definedName>
    <definedName name="Ca_8">#REF!</definedName>
    <definedName name="caccccc" hidden="1">{"'Sheet1'!$L$16"}</definedName>
    <definedName name="CAME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sh">#REF!</definedName>
    <definedName name="Catalogue_xls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C">#REF!</definedName>
    <definedName name="CC_MONTH">#REF!</definedName>
    <definedName name="CC_YTD">#REF!</definedName>
    <definedName name="ccc" hidden="1">{"PRINT_EST",#N/A,FALSE,"ESTMON"}</definedName>
    <definedName name="CCdetails">#REF!</definedName>
    <definedName name="ccentre">#REF!</definedName>
    <definedName name="CCÑCangdung10.2" hidden="1">{"'Sheet1'!$L$16"}</definedName>
    <definedName name="CCS">#REF!</definedName>
    <definedName name="CcyCode">#REF!</definedName>
    <definedName name="CD_FC2_2006">#REF!</definedName>
    <definedName name="CD_FC2_2007">#REF!</definedName>
    <definedName name="CDD">#REF!</definedName>
    <definedName name="Cdnum">#REF!</definedName>
    <definedName name="CEE">#REF!</definedName>
    <definedName name="CENTRAL">#REF!</definedName>
    <definedName name="cfk">#REF!</definedName>
    <definedName name="ch">#REF!</definedName>
    <definedName name="Chart_Head">#REF!</definedName>
    <definedName name="Chart3" hidden="1">{"'Sheet1'!$L$16"}</definedName>
    <definedName name="CHF">#REF!</definedName>
    <definedName name="CHF_in_DE8_ACT">#REF!</definedName>
    <definedName name="CHF_in_DE8_LY">#REF!</definedName>
    <definedName name="CHF_in_DEM_ACT">#REF!</definedName>
    <definedName name="CHF_in_DEM_LY">#REF!</definedName>
    <definedName name="CHF_in_DM_Plan01">#REF!</definedName>
    <definedName name="CHF_in_DM_Plan02">#REF!</definedName>
    <definedName name="CHF_in_DM_Plan03">#REF!</definedName>
    <definedName name="CHF_in_EUR_04">#REF!</definedName>
    <definedName name="CHF_in_EUR_05">#REF!</definedName>
    <definedName name="CHF_in_EUR_Bud04">#REF!</definedName>
    <definedName name="CHF_in_EUR_Bud05">#REF!</definedName>
    <definedName name="CHF_in_EUR_Plan01">#REF!</definedName>
    <definedName name="CHF_in_EUR_Plan02">#REF!</definedName>
    <definedName name="CHF_in_EUR_Plan03">#REF!</definedName>
    <definedName name="china">#REF!</definedName>
    <definedName name="Chiphi" hidden="1">{"'Sheet1'!$L$16"}</definedName>
    <definedName name="CHN">#REF!</definedName>
    <definedName name="Cho_bộ_phận_khác_mượn">#REF!</definedName>
    <definedName name="chung">66</definedName>
    <definedName name="Chuyển_hàng">#REF!</definedName>
    <definedName name="CHX_2004_FC2">#REF!</definedName>
    <definedName name="CHX_2005_FC1">#REF!</definedName>
    <definedName name="CHX_2005_FC2">#REF!</definedName>
    <definedName name="CHX_2006_FC1">#REF!</definedName>
    <definedName name="CHX_2006_FC2">#REF!</definedName>
    <definedName name="CHX_2007_FC1">#REF!</definedName>
    <definedName name="CHX_2007_FC2">#REF!</definedName>
    <definedName name="CIQWBGuid" hidden="1">"31f98984-787e-48fc-adc8-ee1c3151ce60"</definedName>
    <definedName name="CK">#REF!</definedName>
    <definedName name="CKPTHU">#REF!</definedName>
    <definedName name="CKPTPNK">#REF!</definedName>
    <definedName name="Class.list">#REF!</definedName>
    <definedName name="CLEARING">#REF!</definedName>
    <definedName name="CLVC3">0.1</definedName>
    <definedName name="CLVCTB">#REF!</definedName>
    <definedName name="CM_ABT_2004">#REF!</definedName>
    <definedName name="CM_ABT_2005">#REF!</definedName>
    <definedName name="CM_ABT_2006">#REF!</definedName>
    <definedName name="CM_ABT_2007">#REF!</definedName>
    <definedName name="CM_Kpfl_2004">#REF!</definedName>
    <definedName name="CM_Kpfl_2005">#REF!</definedName>
    <definedName name="CM_Kpfl_2006">#REF!</definedName>
    <definedName name="CM_Kpfl_2007">#REF!</definedName>
    <definedName name="co">#REF!</definedName>
    <definedName name="COCUOIKY">#REF!</definedName>
    <definedName name="CODAUKY">#REF!</definedName>
    <definedName name="Code">#REF!</definedName>
    <definedName name="CODEID">#REF!</definedName>
    <definedName name="Cöï_ly_vaän_chuyeãn">#REF!</definedName>
    <definedName name="CÖÏ_LY_VAÄN_CHUYEÅN">#REF!</definedName>
    <definedName name="COL1BA">#REF!</definedName>
    <definedName name="COLK1">#REF!</definedName>
    <definedName name="ColorOfPlant">#REF!</definedName>
    <definedName name="Column">#REF!</definedName>
    <definedName name="Comm" localSheetId="0">BlankMacro1</definedName>
    <definedName name="Comm" localSheetId="1">BlankMacro1</definedName>
    <definedName name="Comm" localSheetId="2">BlankMacro1</definedName>
    <definedName name="Comm" localSheetId="3">BlankMacro1</definedName>
    <definedName name="Comm">BlankMacro1</definedName>
    <definedName name="COMMON">#REF!</definedName>
    <definedName name="company">#REF!</definedName>
    <definedName name="CompanyCode">#REF!</definedName>
    <definedName name="CON_EQP_COS">#REF!</definedName>
    <definedName name="CON_EQP_COST">#REF!</definedName>
    <definedName name="Cong_HM_DTCT">#REF!</definedName>
    <definedName name="Công_lđ_bộ_phận_sx__công">#REF!</definedName>
    <definedName name="Cong_M_DTCT">#REF!</definedName>
    <definedName name="Cong_NC_DTCT">#REF!</definedName>
    <definedName name="Cong_VL_DTCT">#REF!</definedName>
    <definedName name="CONST_EQ">#REF!</definedName>
    <definedName name="consumption">#REF!</definedName>
    <definedName name="Contingency">#REF!</definedName>
    <definedName name="Continue">#REF!</definedName>
    <definedName name="Contractingdiv">#REF!</definedName>
    <definedName name="conv">#REF!</definedName>
    <definedName name="COPS">#REF!</definedName>
    <definedName name="COPSLK1">#REF!</definedName>
    <definedName name="COPSLK2">#REF!</definedName>
    <definedName name="COPY">#REF!</definedName>
    <definedName name="corporate_affairs">#REF!</definedName>
    <definedName name="Cost_Centre">#REF!</definedName>
    <definedName name="cost_or_benefit">#REF!</definedName>
    <definedName name="costctr">#REF!</definedName>
    <definedName name="Costs_Accounts">#REF!</definedName>
    <definedName name="Costs_Accounts_Budget">#REF!</definedName>
    <definedName name="CoTypeCode">#REF!</definedName>
    <definedName name="Count2">#REF!</definedName>
    <definedName name="Count3">#REF!</definedName>
    <definedName name="Countries">#REF!</definedName>
    <definedName name="Country">#REF!</definedName>
    <definedName name="CountryCode">#REF!</definedName>
    <definedName name="CountryName">#REF!</definedName>
    <definedName name="COVER">#REF!</definedName>
    <definedName name="cp">#REF!</definedName>
    <definedName name="Cpbanhang">#REF!</definedName>
    <definedName name="CpBaoduong">#REF!</definedName>
    <definedName name="CpBaohiem">#REF!</definedName>
    <definedName name="CPCT">#REF!</definedName>
    <definedName name="CPCT2">#REF!</definedName>
    <definedName name="Cpdau">#REF!</definedName>
    <definedName name="Cpdien">#REF!</definedName>
    <definedName name="Cpdungcu">#REF!</definedName>
    <definedName name="Cpmaypd">#REF!</definedName>
    <definedName name="Cpnlcvlp">#REF!</definedName>
    <definedName name="Cpqldn">#REF!</definedName>
    <definedName name="CpQuanly">#REF!</definedName>
    <definedName name="Cpsxchung">#REF!</definedName>
    <definedName name="Cpthanhlap">#REF!</definedName>
    <definedName name="Cpthongtin">#REF!</definedName>
    <definedName name="Cpthuedat">#REF!</definedName>
    <definedName name="CPVC100">#REF!</definedName>
    <definedName name="CRD">#REF!</definedName>
    <definedName name="CRIT2">#REF!</definedName>
    <definedName name="_xlnm.Criteria">#REF!</definedName>
    <definedName name="CRITINST">#REF!</definedName>
    <definedName name="CRITPURC">#REF!</definedName>
    <definedName name="crrdata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SI">#REF!</definedName>
    <definedName name="Cstinh">#REF!</definedName>
    <definedName name="CT" hidden="1">{#N/A,#N/A,TRUE,"BT M200 da 10x20"}</definedName>
    <definedName name="ctiep">#REF!</definedName>
    <definedName name="CTK133DK">#REF!</definedName>
    <definedName name="CTK133LK1">#REF!</definedName>
    <definedName name="CTY">#REF!</definedName>
    <definedName name="cumul_periode">#REF!</definedName>
    <definedName name="CURR">#REF!</definedName>
    <definedName name="currency">IF(#REF!="'000 €",13.24,1)</definedName>
    <definedName name="currency_code">#REF!</definedName>
    <definedName name="Currency_code_description">#REF!</definedName>
    <definedName name="Currency06">#REF!</definedName>
    <definedName name="Current_L_Accounts">#REF!</definedName>
    <definedName name="Current_L_Total">#REF!</definedName>
    <definedName name="Current_Total">#REF!</definedName>
    <definedName name="CurrentAccount">#REF!</definedName>
    <definedName name="CurrentYear">#REF!</definedName>
    <definedName name="Customer">#N/A</definedName>
    <definedName name="cx">#REF!</definedName>
    <definedName name="D">#REF!</definedName>
    <definedName name="D_7101A_B">#REF!</definedName>
    <definedName name="da" hidden="1">{"'Sheet1'!$L$16"}</definedName>
    <definedName name="dam">78000</definedName>
    <definedName name="Dandoc">#REF!</definedName>
    <definedName name="DANHMUC">#REF!</definedName>
    <definedName name="DANHMUCA">#REF!</definedName>
    <definedName name="DANHMUCVN">#REF!</definedName>
    <definedName name="data">#REF!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7" hidden="1">#REF!</definedName>
    <definedName name="Data_Values">#REF!</definedName>
    <definedName name="data1" hidden="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hidden="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.File" hidden="1">#REF!</definedName>
    <definedName name="DataMonth">#REF!</definedName>
    <definedName name="date">#REF!</definedName>
    <definedName name="Date_of_separation">#REF!</definedName>
    <definedName name="DATEI">#REF!</definedName>
    <definedName name="DATEINAME">#REF!</definedName>
    <definedName name="DateLastNops">#REF!</definedName>
    <definedName name="DATENBANK1">#REF!</definedName>
    <definedName name="DATENBANK2">#REF!</definedName>
    <definedName name="DateNextEst_Path">#REF!</definedName>
    <definedName name="DateThisEst_Path">#REF!</definedName>
    <definedName name="DateThisNops">#REF!</definedName>
    <definedName name="DB_SORT">#REF!</definedName>
    <definedName name="DBASE">#REF!</definedName>
    <definedName name="DChannel">#REF!</definedName>
    <definedName name="DCTSC">#REF!</definedName>
    <definedName name="dd" hidden="1">{"'ตัวอย่าง'!$A$1:$O$21"}</definedName>
    <definedName name="ddd" hidden="1">{"index",#N/A,FALSE,"INDEX"}</definedName>
    <definedName name="de">#REF!</definedName>
    <definedName name="Debt_Total">#REF!</definedName>
    <definedName name="debut">#REF!</definedName>
    <definedName name="Deckblatt2">#REF!</definedName>
    <definedName name="del" hidden="1">{"level1",#N/A,FALSE,"1_LEV";"LEVEL1",#N/A,FALSE,"1_LEV"}</definedName>
    <definedName name="DELTA">#REF!</definedName>
    <definedName name="DEM_in_EUR_ACT">#REF!</definedName>
    <definedName name="DEM_in_EUR_LY">#REF!</definedName>
    <definedName name="DEM_in_EUR_Plan2000">#REF!</definedName>
    <definedName name="DEM_in_EUR_Plan2001">#REF!</definedName>
    <definedName name="DEM_in_EUR_Plan2002">#REF!</definedName>
    <definedName name="DEM_in_EUR_Plan2003">#REF!</definedName>
    <definedName name="DEM_in_EUR_Plan99">#REF!</definedName>
    <definedName name="DEM_in_GB8_ACT">#REF!</definedName>
    <definedName name="DEM_in_GB8_LY">#REF!</definedName>
    <definedName name="DEM_in_GBP_ACT">#REF!</definedName>
    <definedName name="DEM_in_GBP_LY">#REF!</definedName>
    <definedName name="Demand">#REF!</definedName>
    <definedName name="DEMI1">#N/A</definedName>
    <definedName name="DEMI2">#N/A</definedName>
    <definedName name="den_bu">#REF!</definedName>
    <definedName name="DenDK" hidden="1">{"'Sheet1'!$L$16"}</definedName>
    <definedName name="Depreciation_Accounts">#REF!</definedName>
    <definedName name="Depreciation_Accounts_Budget">#REF!</definedName>
    <definedName name="DeptCode">#REF!</definedName>
    <definedName name="dError">#REF!</definedName>
    <definedName name="deryhrfm" hidden="1">{"'Sheet1'!$L$16"}</definedName>
    <definedName name="description">#REF!</definedName>
    <definedName name="detail" hidden="1">{"index",#N/A,FALSE,"INDEX"}</definedName>
    <definedName name="DEVISE">#REF!</definedName>
    <definedName name="df">#REF!</definedName>
    <definedName name="dfdsfsdfds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GCTI592">#REF!</definedName>
    <definedName name="dgctiet">#REF!</definedName>
    <definedName name="DGFDGJEROYTMHTRH" hidden="1">{#N/A,#N/A,TRUE,"BT M200 da 10x20"}</definedName>
    <definedName name="dghp">#REF!</definedName>
    <definedName name="dgnc">#REF!</definedName>
    <definedName name="dgvl">#REF!</definedName>
    <definedName name="DILUTION">#REF!</definedName>
    <definedName name="director">#REF!</definedName>
    <definedName name="Discount" hidden="1">#REF!</definedName>
    <definedName name="display_area_2" hidden="1">#REF!</definedName>
    <definedName name="DistrAbtMM03">#REF!</definedName>
    <definedName name="DISTRIB">#REF!</definedName>
    <definedName name="distribprint">#REF!</definedName>
    <definedName name="Division">#REF!</definedName>
    <definedName name="DivisionCode">#REF!</definedName>
    <definedName name="djt" hidden="1">{"'Sheet1'!$L$16"}</definedName>
    <definedName name="DKCO">#REF!</definedName>
    <definedName name="DKNO">#REF!</definedName>
    <definedName name="DL">#REF!</definedName>
    <definedName name="DM">#REF!</definedName>
    <definedName name="DM_BTP">#REF!</definedName>
    <definedName name="DM_EUR">#REF!</definedName>
    <definedName name="DM_in_EUR_Plan01">#REF!</definedName>
    <definedName name="DM_in_EUR_Plan02">#REF!</definedName>
    <definedName name="DM_in_EUR_Plan03">#REF!</definedName>
    <definedName name="DM_in_EURO">#REF!</definedName>
    <definedName name="DN" hidden="1">#REF!</definedName>
    <definedName name="DO_INDI_VERB">#REF!</definedName>
    <definedName name="DO_KOPFZEILE">#REF!</definedName>
    <definedName name="doanhthu">#REF!</definedName>
    <definedName name="Document_array">{"Book1","bang chia luong - P.Tai vu.xls"}</definedName>
    <definedName name="Documents_array">#REF!</definedName>
    <definedName name="DONNEES">#REF!</definedName>
    <definedName name="donnéesBFRE">#REF!</definedName>
    <definedName name="donvi">#REF!</definedName>
    <definedName name="dow">#REF!</definedName>
    <definedName name="download">#REF!</definedName>
    <definedName name="DP">#REF!</definedName>
    <definedName name="DRUCK_IT">#REF!</definedName>
    <definedName name="DRUCKEN">#REF!</definedName>
    <definedName name="DRUCKMODUS">#REF!</definedName>
    <definedName name="DRUCKMODUS2">#REF!</definedName>
    <definedName name="DRUCKMODUS3">#REF!</definedName>
    <definedName name="Drydock_Accounts">#REF!</definedName>
    <definedName name="Drydock_Total">#REF!</definedName>
    <definedName name="ds">#REF!</definedName>
    <definedName name="ds\" hidden="1">#REF!</definedName>
    <definedName name="ds1pnc">#REF!</definedName>
    <definedName name="ds1pvl">#REF!</definedName>
    <definedName name="ds3pnc">#REF!</definedName>
    <definedName name="ds3pvl">#REF!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nv">#REF!</definedName>
    <definedName name="dsovd" hidden="1">{"'Sheet1'!$L$16"}</definedName>
    <definedName name="DSUMDATA">#REF!</definedName>
    <definedName name="DT">#REF!</definedName>
    <definedName name="DUCKY_CO_CD">#REF!</definedName>
    <definedName name="DUCKY_NO_CD">#REF!</definedName>
    <definedName name="DUDKY_CO_CD">#REF!</definedName>
    <definedName name="DUDKY_NO_CD">#REF!</definedName>
    <definedName name="DUNG">#REF!</definedName>
    <definedName name="Đứng_máy">#REF!</definedName>
    <definedName name="Đứng_máy_trực_tiếp">#REF!</definedName>
    <definedName name="duoi">#REF!</definedName>
    <definedName name="DVT">#REF!</definedName>
    <definedName name="DWPRICE" hidden="1">#REF!</definedName>
    <definedName name="e">#REF!</definedName>
    <definedName name="EA">#REF!</definedName>
    <definedName name="EANWC">#REF!</definedName>
    <definedName name="EAP">#REF!</definedName>
    <definedName name="EBIT_Total">#REF!</definedName>
    <definedName name="EBIT_Total_Budget">#REF!</definedName>
    <definedName name="EBITDA_Total">#REF!</definedName>
    <definedName name="EBITDA_Total_Budget">#REF!</definedName>
    <definedName name="EBT_Total">#REF!</definedName>
    <definedName name="EBT_Total_Budget">#REF!</definedName>
    <definedName name="EE">#REF!</definedName>
    <definedName name="eee" hidden="1">{"revsale",#N/A,FALSE,"REV-ยุพดี"}</definedName>
    <definedName name="EENWC">#REF!</definedName>
    <definedName name="egwgwe">#REF!</definedName>
    <definedName name="EINFÜG_ANW">#REF!</definedName>
    <definedName name="EINFÜGEN_ZEILE">#REF!</definedName>
    <definedName name="EINFÜGETXT">#REF!</definedName>
    <definedName name="EINGABE">#REF!</definedName>
    <definedName name="Einleseblätter">#REF!</definedName>
    <definedName name="el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E_SUCHEN">#REF!</definedName>
    <definedName name="Enterprise__Brands">#REF!</definedName>
    <definedName name="Equity_Accounts">#REF!</definedName>
    <definedName name="Equity_Total">#REF!</definedName>
    <definedName name="er">#REF!</definedName>
    <definedName name="ERGWRGRW">#REF!</definedName>
    <definedName name="ERP">#REF!</definedName>
    <definedName name="erwew">#REF!</definedName>
    <definedName name="ESSAI">#REF!,#REF!,#REF!</definedName>
    <definedName name="estime_mensuel">#REF!</definedName>
    <definedName name="ESTIMEACTU">#REF!</definedName>
    <definedName name="Eu">#REF!</definedName>
    <definedName name="Eur">13240</definedName>
    <definedName name="EUR_in_GBP">#REF!</definedName>
    <definedName name="EUR_in_GBP_05">#REF!</definedName>
    <definedName name="EUR_SGD">#REF!</definedName>
    <definedName name="Euro_ER_TC">IF(#REF!=2,14.34,1)</definedName>
    <definedName name="europe">#REF!,#REF!,#REF!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e" hidden="1">{"'ตัวอย่าง'!$A$1:$O$21"}</definedName>
    <definedName name="Excel_BuiltIn__FilterDatabase_6">#REF!</definedName>
    <definedName name="Excel_BuiltIn_Print_Area_3">#REF!</definedName>
    <definedName name="exchange">#REF!</definedName>
    <definedName name="EXCHRATE">#REF!</definedName>
    <definedName name="Excise">#REF!</definedName>
    <definedName name="Expectations">#REF!</definedName>
    <definedName name="EXPORT_รายหน่วยงาน" hidden="1">{"'ตัวอย่าง'!$A$1:$O$21"}</definedName>
    <definedName name="exrate">#REF!</definedName>
    <definedName name="exratefactor">#REF!</definedName>
    <definedName name="exrates">#REF!</definedName>
    <definedName name="_xlnm.Extract">#REF!</definedName>
    <definedName name="F">#REF!</definedName>
    <definedName name="F1AR">#REF!</definedName>
    <definedName name="F1BR">#REF!</definedName>
    <definedName name="F28AR">#REF!</definedName>
    <definedName name="F28BR">#REF!</definedName>
    <definedName name="F2AR">#REF!</definedName>
    <definedName name="F2BR">#REF!</definedName>
    <definedName name="f82E46">#REF!</definedName>
    <definedName name="FA">#REF!</definedName>
    <definedName name="FACTOR">#REF!</definedName>
    <definedName name="FACTRYSERV">#REF!</definedName>
    <definedName name="FAdmin">#REF!</definedName>
    <definedName name="FAMkt">#REF!</definedName>
    <definedName name="Fatura_Tage_echt_Germany">#REF!</definedName>
    <definedName name="FBE">#REF!</definedName>
    <definedName name="FC">#REF!</definedName>
    <definedName name="FC_2">#REF!</definedName>
    <definedName name="FC2Msale">#REF!</definedName>
    <definedName name="FCode" hidden="1">#REF!</definedName>
    <definedName name="fd">#REF!</definedName>
    <definedName name="fdf">#REF!</definedName>
    <definedName name="fdfdf" hidden="1">{"HK PR",#N/A,FALSE,"HK";"SUMMARY",#N/A,FALSE,"PAYROLL";"SUMMARY",#N/A,FALSE,"PAYROLL";"HK PR",#N/A,FALSE,"HK"}</definedName>
    <definedName name="fdg">#REF!</definedName>
    <definedName name="Febleave">#REF!</definedName>
    <definedName name="FELD_EINGEBEN">#REF!</definedName>
    <definedName name="ff" hidden="1">{"'ตัวอย่าง'!$A$1:$O$21"}</definedName>
    <definedName name="FFF" localSheetId="0">BlankMacro1</definedName>
    <definedName name="FFF" localSheetId="1">BlankMacro1</definedName>
    <definedName name="FFF" localSheetId="2">BlankMacro1</definedName>
    <definedName name="FFF" localSheetId="3">BlankMacro1</definedName>
    <definedName name="FFF">BlankMacro1</definedName>
    <definedName name="ffff">#REF!</definedName>
    <definedName name="fgafg" hidden="1">#REF!</definedName>
    <definedName name="fgfgfgfg" hidden="1">#REF!</definedName>
    <definedName name="fggdfg" hidden="1">{"HK PR",#N/A,FALSE,"HK";"SUMMARY",#N/A,FALSE,"PAYROLL";"SUMMARY",#N/A,FALSE,"PAYROLL";"HK PR",#N/A,FALSE,"HK"}</definedName>
    <definedName name="FiCo" hidden="1">#REF!</definedName>
    <definedName name="File.Type" hidden="1">#REF!</definedName>
    <definedName name="FILENAME">#REF!</definedName>
    <definedName name="Finanacialsys">#REF!</definedName>
    <definedName name="Financial_Non_Current_Accounts">#REF!</definedName>
    <definedName name="Financial_Non_Current_Total">#REF!</definedName>
    <definedName name="Financials_Accounts">#REF!</definedName>
    <definedName name="Financials_Accounts_Budget">#REF!</definedName>
    <definedName name="Financialsys">#REF!</definedName>
    <definedName name="FIT" localSheetId="0">BlankMacro1</definedName>
    <definedName name="FIT" localSheetId="1">BlankMacro1</definedName>
    <definedName name="FIT" localSheetId="2">BlankMacro1</definedName>
    <definedName name="FIT" localSheetId="3">BlankMacro1</definedName>
    <definedName name="FIT">BlankMacro1</definedName>
    <definedName name="FITT2" localSheetId="0">BlankMacro1</definedName>
    <definedName name="FITT2" localSheetId="1">BlankMacro1</definedName>
    <definedName name="FITT2" localSheetId="2">BlankMacro1</definedName>
    <definedName name="FITT2" localSheetId="3">BlankMacro1</definedName>
    <definedName name="FITT2">BlankMacro1</definedName>
    <definedName name="FITTING2" localSheetId="0">BlankMacro1</definedName>
    <definedName name="FITTING2" localSheetId="1">BlankMacro1</definedName>
    <definedName name="FITTING2" localSheetId="2">BlankMacro1</definedName>
    <definedName name="FITTING2" localSheetId="3">BlankMacro1</definedName>
    <definedName name="FITTING2">BlankMacro1</definedName>
    <definedName name="Fixed_Assets_Total">#REF!</definedName>
    <definedName name="fixed_cost">#REF!</definedName>
    <definedName name="FLG" localSheetId="0">BlankMacro1</definedName>
    <definedName name="FLG" localSheetId="1">BlankMacro1</definedName>
    <definedName name="FLG" localSheetId="2">BlankMacro1</definedName>
    <definedName name="FLG" localSheetId="3">BlankMacro1</definedName>
    <definedName name="FLG">BlankMacro1</definedName>
    <definedName name="FNA">#REF!</definedName>
    <definedName name="FO">#N/A</definedName>
    <definedName name="FOCDetail">#REF!</definedName>
    <definedName name="FOODS2">#REF!+#REF!+#REF!+#REF!+#REF!+#REF!+#REF!+#REF!+#REF!</definedName>
    <definedName name="footer">#REF!</definedName>
    <definedName name="FOREVER" hidden="1">{#N/A,#N/A,FALSE,"Chi tiÆt"}</definedName>
    <definedName name="FORM">#REF!</definedName>
    <definedName name="Formula">#REF!</definedName>
    <definedName name="FRAdmin">#REF!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Sale">#REF!</definedName>
    <definedName name="fsdfdsf" hidden="1">{"HK PR",#N/A,FALSE,"HK";"SUMMARY",#N/A,FALSE,"PAYROLL";"SUMMARY",#N/A,FALSE,"PAYROLL";"HK PR",#N/A,FALSE,"HK"}</definedName>
    <definedName name="FundRate">#REF!</definedName>
    <definedName name="FX_rate">#REF!</definedName>
    <definedName name="fxfile">#REF!</definedName>
    <definedName name="Fye">#REF!</definedName>
    <definedName name="G">#REF!</definedName>
    <definedName name="G_ME">#REF!</definedName>
    <definedName name="GBP">#REF!</definedName>
    <definedName name="GBP_in_DM_Plan01">#REF!</definedName>
    <definedName name="GBP_in_DM_Plan02">#REF!</definedName>
    <definedName name="GBP_in_DM_Plan03">#REF!</definedName>
    <definedName name="GBP_in_EUR">#REF!</definedName>
    <definedName name="GBPalt">#REF!</definedName>
    <definedName name="gbpandm2">#REF!</definedName>
    <definedName name="GCE_OCF">#REF!</definedName>
    <definedName name="GENERAL">#REF!,#REF!,#REF!,#REF!,#REF!,#REF!,#REF!</definedName>
    <definedName name="GESCHL_O">#REF!</definedName>
    <definedName name="GewähltesProdukt">#REF!</definedName>
    <definedName name="gfd">#REF!</definedName>
    <definedName name="gg" hidden="1">{"'ตัวอย่าง'!$A$1:$O$21"}</definedName>
    <definedName name="gh" hidden="1">{"revsale",#N/A,FALSE,"REV-ยุพดี"}</definedName>
    <definedName name="ghdfgdf" hidden="1">{"HK PR",#N/A,FALSE,"HK";"SUMMARY",#N/A,FALSE,"PAYROLL";"SUMMARY",#N/A,FALSE,"PAYROLL";"HK PR",#N/A,FALSE,"HK"}</definedName>
    <definedName name="GHF" hidden="1">{#N/A,#N/A,FALSE,"sum";#N/A,#N/A,FALSE,"MARTV";#N/A,#N/A,FALSE,"APRTV"}</definedName>
    <definedName name="gia_tien">#REF!</definedName>
    <definedName name="gia_tien_BTN">#REF!</definedName>
    <definedName name="giaban">#REF!</definedName>
    <definedName name="Gián_tiếp">#REF!</definedName>
    <definedName name="giathanh">#REF!</definedName>
    <definedName name="Giatri">#REF!</definedName>
    <definedName name="Giocong">#REF!</definedName>
    <definedName name="GJVIF" hidden="1">{"Profit",#N/A,FALSE,"4500(12)";"Capital",#N/A,FALSE,"4500(12)";"Profit",#N/A,FALSE,"Cisco4000";"Capital",#N/A,FALSE,"Cisco4000"}</definedName>
    <definedName name="gl">#REF!</definedName>
    <definedName name="gl3p">#REF!</definedName>
    <definedName name="GMSAL">#REF!</definedName>
    <definedName name="gnfg" hidden="1">{"HK PR",#N/A,FALSE,"HK";"SUMMARY",#N/A,FALSE,"PAYROLL";"SUMMARY",#N/A,FALSE,"PAYROLL";"HK PR",#N/A,FALSE,"HK"}</definedName>
    <definedName name="gocl2">#REF!</definedName>
    <definedName name="gocl3">#REF!</definedName>
    <definedName name="GROSS_PROFIT">#REF!</definedName>
    <definedName name="GrossUp">#REF!</definedName>
    <definedName name="group_matters">#REF!</definedName>
    <definedName name="GSL_DRUCKEN">#REF!</definedName>
    <definedName name="GTM" hidden="1">{"'Sheet1'!$L$16"}</definedName>
    <definedName name="H">#REF!</definedName>
    <definedName name="H_30">#REF!</definedName>
    <definedName name="ha">#REF!</definedName>
    <definedName name="hallo">#REF!</definedName>
    <definedName name="HANGHOA">#REF!</definedName>
    <definedName name="HANGMUC">#REF!</definedName>
    <definedName name="hanh" hidden="1">{"'Sheet1'!$L$16"}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bbbbb" hidden="1">{"'Sheet1'!$L$16"}</definedName>
    <definedName name="HC">#REF!</definedName>
    <definedName name="hdfh">#REF!</definedName>
    <definedName name="he">#N/A</definedName>
    <definedName name="Heä_soá_laép_xaø_H">1.7</definedName>
    <definedName name="heä_soá_sình_laày">#REF!</definedName>
    <definedName name="HEADCOUNT">#REF!</definedName>
    <definedName name="Hello">#REF!</definedName>
    <definedName name="hfgdas" hidden="1">#REF!</definedName>
    <definedName name="hg">#REF!</definedName>
    <definedName name="hgf" localSheetId="0">BlankMacro1</definedName>
    <definedName name="hgf" localSheetId="1">BlankMacro1</definedName>
    <definedName name="hgf" localSheetId="2">BlankMacro1</definedName>
    <definedName name="hgf" localSheetId="3">BlankMacro1</definedName>
    <definedName name="hgf">BlankMacro1</definedName>
    <definedName name="hghghg" hidden="1">{"HK PR",#N/A,FALSE,"HK";"SUMMARY",#N/A,FALSE,"PAYROLL";"SUMMARY",#N/A,FALSE,"PAYROLL";"HK PR",#N/A,FALSE,"HK"}</definedName>
    <definedName name="hghghghg" hidden="1">{"'Sheet1'!$L$16"}</definedName>
    <definedName name="HH">#REF!</definedName>
    <definedName name="HHDVB">#REF!</definedName>
    <definedName name="HHDVM">#REF!</definedName>
    <definedName name="hhh">#REF!</definedName>
    <definedName name="hhhh" hidden="1">{"'Sheet1'!$L$16"}</definedName>
    <definedName name="hhhhh" hidden="1">{"'Sheet1'!$L$16"}</definedName>
    <definedName name="hhhhhh" hidden="1">{"'Sheet1'!$L$16"}</definedName>
    <definedName name="HiddenRows" hidden="1">#REF!</definedName>
    <definedName name="HIEN">#REF!</definedName>
    <definedName name="hiengiathu">#REF!</definedName>
    <definedName name="HIEU" hidden="1">{"'Sheet1'!$L$16"}</definedName>
    <definedName name="HINHTHUC">#REF!</definedName>
    <definedName name="hjjkl" hidden="1">{"'Sheet1'!$L$16"}</definedName>
    <definedName name="HK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oaHop">"XN Hoµ Hîp"</definedName>
    <definedName name="hoc">55000</definedName>
    <definedName name="HOCH">#REF!</definedName>
    <definedName name="HOME_MANP">#REF!</definedName>
    <definedName name="HOMEOFFICE_COST">#REF!</definedName>
    <definedName name="hp" hidden="1">{"Reader",#N/A,FALSE,"Summary";"Reader",#N/A,FALSE,"Buildup";"Reader",#N/A,FALSE,"Financials";"Reader",#N/A,FALSE,"Debt &amp; Other"}</definedName>
    <definedName name="HPCE">#REF!</definedName>
    <definedName name="HPCNA">#REF!</definedName>
    <definedName name="HQ_DOPPELT">#REF!</definedName>
    <definedName name="HQ_FSTL_M">#REF!</definedName>
    <definedName name="HSCT3">0.1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LXH">1.7</definedName>
    <definedName name="HSSL">#REF!</definedName>
    <definedName name="HSVC1">#REF!</definedName>
    <definedName name="HSVC2">#REF!</definedName>
    <definedName name="HSVC3">#REF!</definedName>
    <definedName name="htg" hidden="1">{#N/A,#N/A,TRUE,"BT M200 da 10x20"}</definedName>
    <definedName name="html" hidden="1">{"'Sheet1'!$L$16"}</definedName>
    <definedName name="HTML_CodePage" hidden="1">874</definedName>
    <definedName name="HTML_Control" hidden="1">{"'Model'!$A$1:$N$53"}</definedName>
    <definedName name="HTML_Control1" hidden="1">{"'Model'!$A$1:$N$53"}</definedName>
    <definedName name="HTML_Description" hidden="1">""</definedName>
    <definedName name="HTML_Email" hidden="1">""</definedName>
    <definedName name="HTML_Header" hidden="1">"Model"</definedName>
    <definedName name="HTML_LastUpdate" hidden="1">"31/7/01"</definedName>
    <definedName name="HTML_LineAfter" hidden="1">FALSE</definedName>
    <definedName name="HTML_LineBefore" hidden="1">FALSE</definedName>
    <definedName name="HTML_Name" hidden="1">"Bundit Sanguanprasert"</definedName>
    <definedName name="HTML_OBDlg2" hidden="1">TRUE</definedName>
    <definedName name="HTML_OBDlg4" hidden="1">TRUE</definedName>
    <definedName name="HTML_OS" hidden="1">0</definedName>
    <definedName name="HTML_PathFile" hidden="1">"C:\My Documents\TPS project\Carried Loss\SCC2.htm"</definedName>
    <definedName name="HTML_Title" hidden="1">"Model SCC"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hidden="1">{"'Sheet1'!$L$16"}</definedName>
    <definedName name="HTNC">#REF!</definedName>
    <definedName name="HTQTHCM">"CN CTY CP XNK TVN T¹i TP HCM"</definedName>
    <definedName name="httk">#REF!</definedName>
    <definedName name="HTTKCK">#REF!</definedName>
    <definedName name="HTTKDK">#REF!</definedName>
    <definedName name="HTVL">#REF!</definedName>
    <definedName name="HTXBinhminh">"HTX B×nh minh "</definedName>
    <definedName name="HU">#REF!</definedName>
    <definedName name="hue">#REF!</definedName>
    <definedName name="huong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hidden="1">{"'Sheet1'!$L$16"}</definedName>
    <definedName name="huyy" hidden="1">{"'Sheet1'!$L$16"}</definedName>
    <definedName name="huyyy" hidden="1">{"'Sheet1'!$L$16"}</definedName>
    <definedName name="HV">#N/A</definedName>
    <definedName name="I">#REF!</definedName>
    <definedName name="ICFE">#REF!</definedName>
    <definedName name="IDLAB_COST">#REF!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MP">#REF!</definedName>
    <definedName name="IMpact">#REF!</definedName>
    <definedName name="IMPRIMANTE">#REF!</definedName>
    <definedName name="imprsynth">#REF!,#REF!,#REF!,#REF!,#REF!,#REF!,#REF!,#REF!</definedName>
    <definedName name="imptout">#REF!</definedName>
    <definedName name="in" hidden="1">#REF!</definedName>
    <definedName name="include_exclude">#REF!</definedName>
    <definedName name="income">#REF!</definedName>
    <definedName name="INCOME_TAX">#REF!</definedName>
    <definedName name="IND_LAB">#REF!</definedName>
    <definedName name="Index">100%</definedName>
    <definedName name="INDI_VERB">#REF!</definedName>
    <definedName name="India">#REF!</definedName>
    <definedName name="INDMANP">#REF!</definedName>
    <definedName name="Inflation_WC">#REF!</definedName>
    <definedName name="info2" hidden="1">{"level1",#N/A,FALSE,"1_LEV";"LEVEL1",#N/A,FALSE,"1_LEV"}</definedName>
    <definedName name="INIT">#REF!</definedName>
    <definedName name="Intangible_Accounts">#REF!</definedName>
    <definedName name="Intangible_Total">#REF!</definedName>
    <definedName name="Internalaudit">#REF!</definedName>
    <definedName name="IntroPrintArea" hidden="1">#REF!</definedName>
    <definedName name="Inventory_Graph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" hidden="1">{"HK PR",#N/A,FALSE,"HK";"SUMMARY",#N/A,FALSE,"PAYROLL";"SUMMARY",#N/A,FALSE,"PAYROLL";"HK PR",#N/A,FALSE,"HK"}</definedName>
    <definedName name="Isolation">#REF!</definedName>
    <definedName name="Item">#REF!</definedName>
    <definedName name="itemcell">#REF!</definedName>
    <definedName name="j">#REF!</definedName>
    <definedName name="j356C8">#REF!</definedName>
    <definedName name="Jan">#REF!</definedName>
    <definedName name="Janleave">#REF!</definedName>
    <definedName name="jh">#REF!</definedName>
    <definedName name="jhgj" localSheetId="0">BlankMacro1</definedName>
    <definedName name="jhgj" localSheetId="1">BlankMacro1</definedName>
    <definedName name="jhgj" localSheetId="2">BlankMacro1</definedName>
    <definedName name="jhgj" localSheetId="3">BlankMacro1</definedName>
    <definedName name="jhgj">BlankMacro1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hidden="1">{"'Sheet1'!$L$16"}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obTileCode">#REF!</definedName>
    <definedName name="ju" hidden="1">{"'Sheet1'!$L$16"}</definedName>
    <definedName name="Jul">#REF!</definedName>
    <definedName name="k">#REF!</definedName>
    <definedName name="K_O">#REF!</definedName>
    <definedName name="K_ZEILE">#REF!</definedName>
    <definedName name="kcong">#REF!</definedName>
    <definedName name="KCS_chuyền">#REF!</definedName>
    <definedName name="Kế_toán">#REF!</definedName>
    <definedName name="KH">#REF!</definedName>
    <definedName name="khac">2</definedName>
    <definedName name="khauhao2003">#REF!</definedName>
    <definedName name="KHCBNV">#REF!</definedName>
    <definedName name="KHKQKD">#REF!</definedName>
    <definedName name="khltk">#REF!</definedName>
    <definedName name="Kho_cho_muon">#REF!</definedName>
    <definedName name="Kho_muon">#REF!</definedName>
    <definedName name="Kho_nghi_phep">#REF!</definedName>
    <definedName name="khptvt">#REF!</definedName>
    <definedName name="KHTHUE">#REF!</definedName>
    <definedName name="KHTP">#REF!</definedName>
    <definedName name="Kiem_tra_trung_ten">#REF!</definedName>
    <definedName name="kk" hidden="1">#REF!</definedName>
    <definedName name="KKE_Sheet10_List">#REF!</definedName>
    <definedName name="kl_ME">#REF!</definedName>
    <definedName name="KL_Phế">#REF!</definedName>
    <definedName name="KL_TP">#REF!</definedName>
    <definedName name="KNKH_DL01">#REF!</definedName>
    <definedName name="KNKH_DL02">#REF!</definedName>
    <definedName name="KOPIE_ANZAHL">#REF!</definedName>
    <definedName name="kp1ph">#REF!</definedName>
    <definedName name="KSD">#REF!</definedName>
    <definedName name="KT">#REF!</definedName>
    <definedName name="KU" hidden="1">{"'Sheet1'!$L$16"}</definedName>
    <definedName name="KUNDENR">#REF!</definedName>
    <definedName name="KÜRBISKERNE">#REF!</definedName>
    <definedName name="KURZ_SUCHEN">#REF!</definedName>
    <definedName name="Kỹ_thuật_bảo_trì">#REF!</definedName>
    <definedName name="Kỹ_thuật_điện">#REF!</definedName>
    <definedName name="Kỹ_thuật_viên_xưởng">#REF!</definedName>
    <definedName name="KY0">#REF!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hidden="1">#REF!</definedName>
    <definedName name="kyd.ElementType.01." hidden="1">3</definedName>
    <definedName name="kyd.ItemType.01." hidden="1">2</definedName>
    <definedName name="kyd.MacroAtEnd.">""</definedName>
    <definedName name="kyd.MacroEachCycle.">""</definedName>
    <definedName name="kyd.MacroEndOfEachCycle.">""</definedName>
    <definedName name="kyd.MemoSortHide.">FALSE</definedName>
    <definedName name="kyd.NumLevels.01." hidden="1">1</definedName>
    <definedName name="kyd.PanicStop.">FALSE</definedName>
    <definedName name="kyd.ParentName.01." hidden="1">""</definedName>
    <definedName name="kyd.PreScreenData.">FALSE</definedName>
    <definedName name="kyd.PrintMemo.">FALSE</definedName>
    <definedName name="kyd.PrintParent.01." hidden="1">TRUE</definedName>
    <definedName name="kyd.PrintStdWhen.">1</definedName>
    <definedName name="kyd.SaveAsFile.">FALSE</definedName>
    <definedName name="kyd.SaveMemo.">FALSE</definedName>
    <definedName name="kyd.SelectString.01." hidden="1">"*"</definedName>
    <definedName name="kyd.StdSortHide.">FALSE</definedName>
    <definedName name="kyd.StopRow.">65536</definedName>
    <definedName name="kyd.WriteMemWhenOptn.">3</definedName>
    <definedName name="l">#REF!</definedName>
    <definedName name="L_">#REF!</definedName>
    <definedName name="LA">#REF!</definedName>
    <definedName name="LABOR_TAX" hidden="1">#REF!</definedName>
    <definedName name="Lai" hidden="1">{"'Sheet1'!$L$16"}</definedName>
    <definedName name="lainam2">#REF!</definedName>
    <definedName name="lainam3">#REF!</definedName>
    <definedName name="lainam4">#REF!</definedName>
    <definedName name="lainam5">#REF!</definedName>
    <definedName name="Laivay">#REF!</definedName>
    <definedName name="Laivld">#REF!</definedName>
    <definedName name="LAM" hidden="1">{#N/A,#N/A,TRUE,"BT M200 da 10x20"}</definedName>
    <definedName name="Lamphat">#REF!</definedName>
    <definedName name="lan" hidden="1">{#N/A,#N/A,TRUE,"BT M200 da 10x20"}</definedName>
    <definedName name="Langue">#REF!</definedName>
    <definedName name="LAPLAI">#REF!</definedName>
    <definedName name="last_year">#REF!</definedName>
    <definedName name="lastmonth">#REF!</definedName>
    <definedName name="launch_date">#REF!</definedName>
    <definedName name="LBO">#REF!</definedName>
    <definedName name="LCTT_GT_page1">#REF!</definedName>
    <definedName name="LCTT_GT_page2">#REF!</definedName>
    <definedName name="leave">#REF!</definedName>
    <definedName name="legal">#REF!</definedName>
    <definedName name="LFYE">#REF!</definedName>
    <definedName name="Liabilities_Total">#REF!</definedName>
    <definedName name="lic">#REF!</definedName>
    <definedName name="license">#REF!</definedName>
    <definedName name="limcount" hidden="1">1</definedName>
    <definedName name="Liquid_Accounts">#REF!</definedName>
    <definedName name="Liquid_Total">#REF!</definedName>
    <definedName name="List">#REF!</definedName>
    <definedName name="list2">#REF!</definedName>
    <definedName name="list3">#REF!</definedName>
    <definedName name="list4">#REF!</definedName>
    <definedName name="liza" hidden="1">{"level1",#N/A,FALSE,"1_LEV";"LEVEL1",#N/A,FALSE,"1_LEV"}</definedName>
    <definedName name="lll" hidden="1">{"sales",#N/A,FALSE,"SALES"}</definedName>
    <definedName name="LLLL" hidden="1">{#N/A,#N/A,FALSE,"Chi tiÆt"}</definedName>
    <definedName name="LLLLL" hidden="1">{#N/A,#N/A,FALSE,"Chi tiÆt"}</definedName>
    <definedName name="Lmk">#REF!</definedName>
    <definedName name="Lmonth">#REF!</definedName>
    <definedName name="Lnsc">#REF!</definedName>
    <definedName name="Loan" hidden="1">#REF!</definedName>
    <definedName name="local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num">#REF!</definedName>
    <definedName name="LocalPGrossUp">#REF!</definedName>
    <definedName name="Localpit">#REF!</definedName>
    <definedName name="LocalProposePit">#REF!</definedName>
    <definedName name="Long_Debt_Accounts">#REF!</definedName>
    <definedName name="Long_Debt_Total">#REF!</definedName>
    <definedName name="LÖSCHEN_ZEILE">#REF!</definedName>
    <definedName name="LÖSCHNR">#REF!</definedName>
    <definedName name="Lotsize">#REF!</definedName>
    <definedName name="LR_ANTW">#REF!</definedName>
    <definedName name="Lyear">#REF!</definedName>
    <definedName name="M">#REF!</definedName>
    <definedName name="M_CURR">#REF!</definedName>
    <definedName name="M_PREV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hieu">#REF!</definedName>
    <definedName name="MAIN">#REF!</definedName>
    <definedName name="Main_P_L">#REF!</definedName>
    <definedName name="Main_sheet">#N/A</definedName>
    <definedName name="MAJ_CON_EQP">#REF!</definedName>
    <definedName name="MAKE_VIEW">#REF!</definedName>
    <definedName name="MAKRO_ANLEITUNG">#REF!</definedName>
    <definedName name="MALOI1">#REF!</definedName>
    <definedName name="MALOI2">#REF!</definedName>
    <definedName name="MALOI3">#REF!</definedName>
    <definedName name="MAND_SPAL">#REF!</definedName>
    <definedName name="Maõ">#REF!</definedName>
    <definedName name="marc">#REF!</definedName>
    <definedName name="marce">#REF!</definedName>
    <definedName name="Margin">#REF!</definedName>
    <definedName name="MARKET">#REF!</definedName>
    <definedName name="Marleave">#REF!</definedName>
    <definedName name="MASO">#REF!</definedName>
    <definedName name="MAT_A">#REF!</definedName>
    <definedName name="MAT_B">#REF!</definedName>
    <definedName name="mat_eff">#REF!</definedName>
    <definedName name="MAT_Sell_In_Month">#REF!</definedName>
    <definedName name="Material_efficiency">#REF!</definedName>
    <definedName name="MaterialCodeN">#REF!</definedName>
    <definedName name="MaterialCodeO">#REF!</definedName>
    <definedName name="MaterialNumber">#REF!</definedName>
    <definedName name="MaTK">#REF!</definedName>
    <definedName name="MATK_CD">#REF!</definedName>
    <definedName name="MATK_M">#REF!</definedName>
    <definedName name="MATRIX_HIER">#REF!</definedName>
    <definedName name="may">#REF!</definedName>
    <definedName name="Máy_2NV">#REF!</definedName>
    <definedName name="Máy_3NV">#REF!</definedName>
    <definedName name="Máy_4NV">#REF!</definedName>
    <definedName name="Máy_5NV">#REF!</definedName>
    <definedName name="Máy_6NV">#REF!</definedName>
    <definedName name="Máy_ép_phôi_hđ">#REF!</definedName>
    <definedName name="Máy_hoạt_động">#REF!</definedName>
    <definedName name="Máy_ngưng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CMAIL">#REF!</definedName>
    <definedName name="mco" hidden="1">{"'Sheet1'!$L$16"}</definedName>
    <definedName name="MCR">#REF!</definedName>
    <definedName name="MDB">#REF!</definedName>
    <definedName name="me">#REF!</definedName>
    <definedName name="MeasureListbox">#REF!</definedName>
    <definedName name="MEDIA">#REF!</definedName>
    <definedName name="MEHRERE_VERB">#REF!</definedName>
    <definedName name="mensuel">#REF!</definedName>
    <definedName name="MERKER">#REF!</definedName>
    <definedName name="MG">#REF!</definedName>
    <definedName name="MG_A">#REF!</definedName>
    <definedName name="Minority_Accounts">#REF!</definedName>
    <definedName name="Minority_Accounts_Budget">#REF!</definedName>
    <definedName name="Minority_L_Accounts">#REF!</definedName>
    <definedName name="Minority_L_Total">#REF!</definedName>
    <definedName name="minus_1_Year">#REF!</definedName>
    <definedName name="minus_2_Year">#REF!</definedName>
    <definedName name="mkt">#REF!</definedName>
    <definedName name="MLANG_KURZ">#REF!</definedName>
    <definedName name="mn">#REF!</definedName>
    <definedName name="mnth">#REF!</definedName>
    <definedName name="mnth_tab">#REF!</definedName>
    <definedName name="MOFF_GESL">#REF!</definedName>
    <definedName name="moi" hidden="1">{"'Sheet1'!$L$16"}</definedName>
    <definedName name="mois">#REF!</definedName>
    <definedName name="moisactu">#REF!</definedName>
    <definedName name="moisprec">#REF!</definedName>
    <definedName name="MonatNameYTD">#REF!</definedName>
    <definedName name="MonatNameYTG">#REF!</definedName>
    <definedName name="MOnth">#REF!</definedName>
    <definedName name="Monthly">#REF!</definedName>
    <definedName name="Morong">#REF!</definedName>
    <definedName name="Morong4054_85">#REF!</definedName>
    <definedName name="morong4054_98">#REF!</definedName>
    <definedName name="MouRE">#REF!</definedName>
    <definedName name="MQty">#REF!</definedName>
    <definedName name="MqtySdry">#REF!</definedName>
    <definedName name="mrkt">#REF!</definedName>
    <definedName name="MRPController">#REF!</definedName>
    <definedName name="MRPGroup">#REF!</definedName>
    <definedName name="MRPTYPE">#REF!</definedName>
    <definedName name="MSale">#REF!</definedName>
    <definedName name="MSG_ZELLE">#REF!</definedName>
    <definedName name="MSPALTENBR">#REF!</definedName>
    <definedName name="msvt">#REF!</definedName>
    <definedName name="Mth">#REF!</definedName>
    <definedName name="MTMAC12">#REF!</definedName>
    <definedName name="mtram">#REF!</definedName>
    <definedName name="mua" hidden="1">{"'Sheet1'!$L$16"}</definedName>
    <definedName name="MULTIPLES">#REF!</definedName>
    <definedName name="multiplier">#REF!</definedName>
    <definedName name="Mượn_bộ_phận_khác">#REF!</definedName>
    <definedName name="MV_UMBRUCH">#REF!</definedName>
    <definedName name="N">#REF!</definedName>
    <definedName name="n1pig">#REF!</definedName>
    <definedName name="n1pind">#REF!</definedName>
    <definedName name="n1ping">#REF!</definedName>
    <definedName name="n1pint">#REF!</definedName>
    <definedName name="NA">#REF!</definedName>
    <definedName name="Nama">#REF!</definedName>
    <definedName name="namaa">#REF!</definedName>
    <definedName name="Name">#REF!</definedName>
    <definedName name="năng_suất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on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_lookup">#REF!</definedName>
    <definedName name="Negara">#REF!</definedName>
    <definedName name="Negaraa">#REF!</definedName>
    <definedName name="Negaraab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Result_Total">#REF!</definedName>
    <definedName name="Net_Result_Total_Budget">#REF!</definedName>
    <definedName name="Net_Sales">#REF!</definedName>
    <definedName name="new">#REF!</definedName>
    <definedName name="neww" hidden="1">OFFSET(#REF!,1,0)</definedName>
    <definedName name="Nghỉ_phép">#REF!</definedName>
    <definedName name="ngonngu">#REF!</definedName>
    <definedName name="NH">#REF!</definedName>
    <definedName name="Nhan_Xet">#REF!</definedName>
    <definedName name="nhn">#REF!</definedName>
    <definedName name="NHot">#REF!</definedName>
    <definedName name="NICE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CHINH">#REF!</definedName>
    <definedName name="nlnc3p">#REF!</definedName>
    <definedName name="nlnc3pha">#REF!</definedName>
    <definedName name="NLTK1p">#REF!</definedName>
    <definedName name="nlvl3p">#REF!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1p">#REF!</definedName>
    <definedName name="nn3p">#REF!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c3p">#REF!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vl3p">#REF!</definedName>
    <definedName name="no">#REF!</definedName>
    <definedName name="NOCUOIKY">#REF!</definedName>
    <definedName name="NODAUKY">#REF!</definedName>
    <definedName name="NOLK1">#REF!</definedName>
    <definedName name="Nomination">#REF!</definedName>
    <definedName name="Non_Current_Accounts">#REF!</definedName>
    <definedName name="Non_Current_Total">#REF!</definedName>
    <definedName name="none">#REF!</definedName>
    <definedName name="NOPS">#REF!</definedName>
    <definedName name="NOPSLK1">#REF!</definedName>
    <definedName name="NOPSLK2">#REF!</definedName>
    <definedName name="NORTH">#REF!</definedName>
    <definedName name="NotUse" hidden="1">{"'ตัวอย่าง'!$A$1:$O$21"}</definedName>
    <definedName name="npd_fixed">#REF!</definedName>
    <definedName name="NPP" hidden="1">#REF!</definedName>
    <definedName name="npv">#REF!</definedName>
    <definedName name="NRAREA">#REF!</definedName>
    <definedName name="nt">#REF!</definedName>
    <definedName name="NTK133DK">#REF!</definedName>
    <definedName name="NTK133LK1">#REF!</definedName>
    <definedName name="ntla">#REF!</definedName>
    <definedName name="NumberOfSelected">#REF!</definedName>
    <definedName name="numlib">#REF!</definedName>
    <definedName name="nwe" hidden="1">{"'Sheet1'!$L$16"}</definedName>
    <definedName name="nzcodes">#REF!</definedName>
    <definedName name="O">#REF!</definedName>
    <definedName name="OBG">#REF!</definedName>
    <definedName name="OFN_DRUCKEN">#REF!</definedName>
    <definedName name="OH">#REF!</definedName>
    <definedName name="Oher_services">#REF!</definedName>
    <definedName name="OLDTONEW">#REF!</definedName>
    <definedName name="ooooo" hidden="1">{"'connew '!$C$40:$C$60"}</definedName>
    <definedName name="op">#REF!</definedName>
    <definedName name="OP_Graph">#REF!</definedName>
    <definedName name="Operating_Costs">#REF!</definedName>
    <definedName name="Operating_Costs2">#REF!</definedName>
    <definedName name="OPERATIONAL_PLAN_1998">#REF!</definedName>
    <definedName name="opq">#N/A</definedName>
    <definedName name="OrderTable" hidden="1">#REF!</definedName>
    <definedName name="ORG_NAME">#REF!</definedName>
    <definedName name="orgn_issues">#REF!</definedName>
    <definedName name="OrgUnitList">#REF!</definedName>
    <definedName name="OT">#REF!</definedName>
    <definedName name="OTH_BUD">#REF!</definedName>
    <definedName name="OthBD_2002">#REF!</definedName>
    <definedName name="Other_Income_Accounts">#REF!</definedName>
    <definedName name="Other_Income_Accounts_Budget">#REF!</definedName>
    <definedName name="Other_Income_Total">#REF!</definedName>
    <definedName name="Other_Income_Total_Budget">#REF!</definedName>
    <definedName name="OthersBD_2003">#REF!</definedName>
    <definedName name="OthersBD_2004">#REF!</definedName>
    <definedName name="OthersBD_2005">#REF!</definedName>
    <definedName name="outfile">#REF!</definedName>
    <definedName name="Ownership" hidden="1">OFFSET(#REF!,1,0)</definedName>
    <definedName name="p" hidden="1">{"'ตัวอย่าง'!$A$1:$O$21"}</definedName>
    <definedName name="P_1999">#REF!</definedName>
    <definedName name="P_2000">#REF!</definedName>
    <definedName name="P_2001">#REF!</definedName>
    <definedName name="P1AR">#REF!</definedName>
    <definedName name="P1BR">#REF!</definedName>
    <definedName name="P2BR">#REF!</definedName>
    <definedName name="P3BR">#REF!</definedName>
    <definedName name="PA">#REF!</definedName>
    <definedName name="PA112SOC">#REF!</definedName>
    <definedName name="PA1M1">#REF!</definedName>
    <definedName name="PA1M1SOC">#REF!</definedName>
    <definedName name="PA1SOC">#REF!</definedName>
    <definedName name="PACTU">#REF!</definedName>
    <definedName name="PACTUSOC">#REF!</definedName>
    <definedName name="Page01">#REF!</definedName>
    <definedName name="Page02">#REF!</definedName>
    <definedName name="Page03">#REF!</definedName>
    <definedName name="Page04">#REF!</definedName>
    <definedName name="Page05">#REF!</definedName>
    <definedName name="Page06">#REF!</definedName>
    <definedName name="Page07">#REF!</definedName>
    <definedName name="Page08">#REF!</definedName>
    <definedName name="Page09">#REF!</definedName>
    <definedName name="page1">#REF!</definedName>
    <definedName name="PAM1SOC">#REF!</definedName>
    <definedName name="Pangkat">#REF!</definedName>
    <definedName name="pangkata">#REF!</definedName>
    <definedName name="Parametres">#REF!</definedName>
    <definedName name="PARTS_TAX" hidden="1">#REF!</definedName>
    <definedName name="PASOC">#REF!</definedName>
    <definedName name="pats00dm">#REF!</definedName>
    <definedName name="pats01dm">#REF!</definedName>
    <definedName name="pats02dm">#REF!</definedName>
    <definedName name="pats96dm">#REF!</definedName>
    <definedName name="pats97dm">#REF!</definedName>
    <definedName name="pats98dm">#REF!</definedName>
    <definedName name="pats99dm">#REF!</definedName>
    <definedName name="PBU">#REF!</definedName>
    <definedName name="PBUDI">#REF!</definedName>
    <definedName name="PBUDISOC">#REF!</definedName>
    <definedName name="PBUM1">#REF!</definedName>
    <definedName name="PBUM1SOC">#REF!</definedName>
    <definedName name="PBUSOC">#REF!</definedName>
    <definedName name="PC_msg" hidden="1">"Yes"</definedName>
    <definedName name="pending_settlement">#REF!</definedName>
    <definedName name="Pending_Settlements___Employees_who_have_left_and_F_F_papers_are_yet_to_come_to_payroll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">#REF!</definedName>
    <definedName name="period_selected">#REF!</definedName>
    <definedName name="Period1">#REF!</definedName>
    <definedName name="Periode">#REF!</definedName>
    <definedName name="PeriodInActual">#REF!=MEDIAN(#REF!,#REF!,#REF!+#REF!-1)</definedName>
    <definedName name="PeriodInPlan">#REF!=MEDIAN(#REF!,#REF!,#REF!+#REF!-1)</definedName>
    <definedName name="PeriodListbox">#REF!</definedName>
    <definedName name="periodr">#REF!</definedName>
    <definedName name="periods">#REF!</definedName>
    <definedName name="PHANLOAI">#REF!</definedName>
    <definedName name="phc">#N/A</definedName>
    <definedName name="phế_phẩm">#REF!</definedName>
    <definedName name="phu_luc_vua">#REF!</definedName>
    <definedName name="phuoc">#REF!</definedName>
    <definedName name="PHUONG" hidden="1">{#N/A,#N/A,TRUE,"BT M200 da 10x20"}</definedName>
    <definedName name="picklook">#REF!</definedName>
    <definedName name="picklookF02">#REF!</definedName>
    <definedName name="Pil_2002">#REF!</definedName>
    <definedName name="Pilca_2003">#REF!</definedName>
    <definedName name="Pilca_2004">#REF!</definedName>
    <definedName name="Pilca_2005">#REF!</definedName>
    <definedName name="Pilca_AU_2003">#REF!</definedName>
    <definedName name="Pilca_AU_2004">#REF!</definedName>
    <definedName name="PILCA_AU_2004CD_FC2">#REF!</definedName>
    <definedName name="PILCA_AU_2004SPR_FC2">#REF!</definedName>
    <definedName name="Pilca_AU_2005">#REF!</definedName>
    <definedName name="PILCA_AU_2005CD_FC2">#REF!</definedName>
    <definedName name="PILCA_AU_2005SPR_FC2">#REF!</definedName>
    <definedName name="PILCA_AU_2006CD_FC2">#REF!</definedName>
    <definedName name="PILCA_AU_2006SPR_FC2">#REF!</definedName>
    <definedName name="PILCA_AU_2007CD_FC2">#REF!</definedName>
    <definedName name="PILCA_AU_2007SPR_FC2">#REF!</definedName>
    <definedName name="Pilca_SPR_2004_FC2">#REF!</definedName>
    <definedName name="Pilca_SPR_2005_FC2">#REF!</definedName>
    <definedName name="Pilca_SPR_2006_FC2">#REF!</definedName>
    <definedName name="Pilca_SPR_2007_FC2">#REF!</definedName>
    <definedName name="PIP" localSheetId="0">BlankMacro1</definedName>
    <definedName name="PIP" localSheetId="1">BlankMacro1</definedName>
    <definedName name="PIP" localSheetId="2">BlankMacro1</definedName>
    <definedName name="PIP" localSheetId="3">BlankMacro1</definedName>
    <definedName name="PIP">BlankMacro1</definedName>
    <definedName name="PIPE2" localSheetId="0">BlankMacro1</definedName>
    <definedName name="PIPE2" localSheetId="1">BlankMacro1</definedName>
    <definedName name="PIPE2" localSheetId="2">BlankMacro1</definedName>
    <definedName name="PIPE2" localSheetId="3">BlankMacro1</definedName>
    <definedName name="PIPE2">BlankMacro1</definedName>
    <definedName name="pis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t">#REF!</definedName>
    <definedName name="Pivot1">#REF!</definedName>
    <definedName name="Pivot2">#REF!</definedName>
    <definedName name="Pivot3">#REF!</definedName>
    <definedName name="Pivot4">#REF!</definedName>
    <definedName name="Pivot5">#REF!</definedName>
    <definedName name="Pivot6">#REF!</definedName>
    <definedName name="PKTN." hidden="1">{"'Sheet1'!$L$16"}</definedName>
    <definedName name="PKTNN" hidden="1">{"'Sheet1'!$L$16"}</definedName>
    <definedName name="pl">#REF!</definedName>
    <definedName name="PL1A">#REF!</definedName>
    <definedName name="PL1B">#REF!</definedName>
    <definedName name="PL1C">#REF!</definedName>
    <definedName name="PL1D30G">#REF!</definedName>
    <definedName name="PL1D514">#REF!</definedName>
    <definedName name="PL1D536">#REF!</definedName>
    <definedName name="PL1E">#REF!</definedName>
    <definedName name="PL1F03">#REF!</definedName>
    <definedName name="PL1F13">#REF!</definedName>
    <definedName name="PL1F14">#REF!</definedName>
    <definedName name="PL1F15">#REF!</definedName>
    <definedName name="PL1F20">#REF!</definedName>
    <definedName name="PL1F31">#REF!</definedName>
    <definedName name="PL1F41">#REF!</definedName>
    <definedName name="PL1F51">#REF!</definedName>
    <definedName name="PL1F53">#REF!</definedName>
    <definedName name="PL1YA21">#REF!</definedName>
    <definedName name="PL1YA22">#REF!</definedName>
    <definedName name="PL1YA24">#REF!</definedName>
    <definedName name="PL1YA31">#REF!</definedName>
    <definedName name="PL1YA32">#REF!</definedName>
    <definedName name="PL1YA33">#REF!</definedName>
    <definedName name="PL1YA34">#REF!</definedName>
    <definedName name="PL1YA4">#REF!</definedName>
    <definedName name="PL1YP1">#REF!</definedName>
    <definedName name="PL1YP2">#REF!</definedName>
    <definedName name="PL1YP31">#REF!</definedName>
    <definedName name="PL1YP32">#REF!</definedName>
    <definedName name="PL1YP33">#REF!</definedName>
    <definedName name="PL1YP34">#REF!</definedName>
    <definedName name="PL1YP4">#REF!</definedName>
    <definedName name="PL2A">#REF!</definedName>
    <definedName name="PL2B">#REF!</definedName>
    <definedName name="PL2C">#REF!</definedName>
    <definedName name="PL2D30G">#REF!</definedName>
    <definedName name="PL2D514">#REF!</definedName>
    <definedName name="PL2D536">#REF!</definedName>
    <definedName name="PL2E">#REF!</definedName>
    <definedName name="PL2F03">#REF!</definedName>
    <definedName name="PL2F13">#REF!</definedName>
    <definedName name="PL2F14">#REF!</definedName>
    <definedName name="PL2F15">#REF!</definedName>
    <definedName name="PL2F20">#REF!</definedName>
    <definedName name="PL2F31">#REF!</definedName>
    <definedName name="PL2F41">#REF!</definedName>
    <definedName name="PL2F51">#REF!</definedName>
    <definedName name="PL2F53">#REF!</definedName>
    <definedName name="PL2YA21">#REF!</definedName>
    <definedName name="PL2YA22">#REF!</definedName>
    <definedName name="PL2YA24">#REF!</definedName>
    <definedName name="PL2YA31">#REF!</definedName>
    <definedName name="PL2YA32">#REF!</definedName>
    <definedName name="PL2YA33">#REF!</definedName>
    <definedName name="PL2YA34">#REF!</definedName>
    <definedName name="PL2YA4">#REF!</definedName>
    <definedName name="PL2YP1">#REF!</definedName>
    <definedName name="PL2YP2">#REF!</definedName>
    <definedName name="PL2YP31">#REF!</definedName>
    <definedName name="PL2YP32">#REF!</definedName>
    <definedName name="PL2YP33">#REF!</definedName>
    <definedName name="PL2YP34">#REF!</definedName>
    <definedName name="PL2YP4">#REF!</definedName>
    <definedName name="PL3A">#REF!</definedName>
    <definedName name="PL3B">#REF!</definedName>
    <definedName name="PL3C">#REF!</definedName>
    <definedName name="PL3D30G">#REF!</definedName>
    <definedName name="PL3D514">#REF!</definedName>
    <definedName name="PL3D536">#REF!</definedName>
    <definedName name="PL3E">#REF!</definedName>
    <definedName name="PL3F03">#REF!</definedName>
    <definedName name="PL3F13">#REF!</definedName>
    <definedName name="PL3F14">#REF!</definedName>
    <definedName name="PL3F15">#REF!</definedName>
    <definedName name="PL3F20">#REF!</definedName>
    <definedName name="PL3F31">#REF!</definedName>
    <definedName name="PL3F41">#REF!</definedName>
    <definedName name="PL3F51">#REF!</definedName>
    <definedName name="PL3F53">#REF!</definedName>
    <definedName name="PL3YA21">#REF!</definedName>
    <definedName name="PL3YA22">#REF!</definedName>
    <definedName name="PL3YA24">#REF!</definedName>
    <definedName name="PL3YA31">#REF!</definedName>
    <definedName name="PL3YA32">#REF!</definedName>
    <definedName name="PL3YA33">#REF!</definedName>
    <definedName name="PL3YA34">#REF!</definedName>
    <definedName name="PL3YA4">#REF!</definedName>
    <definedName name="PL3YP1">#REF!</definedName>
    <definedName name="PL3YP2">#REF!</definedName>
    <definedName name="PL3YP31">#REF!</definedName>
    <definedName name="PL3YP32">#REF!</definedName>
    <definedName name="PL3YP33">#REF!</definedName>
    <definedName name="PL3YP34">#REF!</definedName>
    <definedName name="PL3YP4">#REF!</definedName>
    <definedName name="plage">#REF!</definedName>
    <definedName name="Plan">PeriodInPlan*(#REF!&gt;0)</definedName>
    <definedName name="PLAN1">#REF!</definedName>
    <definedName name="PLAN3">#REF!</definedName>
    <definedName name="plantexrates">#REF!</definedName>
    <definedName name="PlaRE">#REF!</definedName>
    <definedName name="plastervolbudytd">#REF!</definedName>
    <definedName name="PLL">#REF!</definedName>
    <definedName name="Plus_1_Year">#REF!</definedName>
    <definedName name="Plus_2_Year">#REF!</definedName>
    <definedName name="Plus_3_Year">#REF!</definedName>
    <definedName name="PMonth">#REF!</definedName>
    <definedName name="PNVF">#REF!</definedName>
    <definedName name="PNVFT">#REF!</definedName>
    <definedName name="Poland">#REF!</definedName>
    <definedName name="POlineno">#REF!</definedName>
    <definedName name="PP" hidden="1">{"'Model'!$A$1:$N$53"}</definedName>
    <definedName name="PPC">#REF!</definedName>
    <definedName name="PPCSOC">#REF!</definedName>
    <definedName name="PPP" localSheetId="0">BlankMacro1</definedName>
    <definedName name="PPP" localSheetId="1">BlankMacro1</definedName>
    <definedName name="PPP" localSheetId="2">BlankMacro1</definedName>
    <definedName name="PPP" localSheetId="3">BlankMacro1</definedName>
    <definedName name="PPP">BlankMacro1</definedName>
    <definedName name="PREV">#REF!</definedName>
    <definedName name="prev_mnth">#REF!</definedName>
    <definedName name="prevmonth">#REF!</definedName>
    <definedName name="prevmonthII">#REF!</definedName>
    <definedName name="prevyear">#REF!</definedName>
    <definedName name="PRICE">#REF!</definedName>
    <definedName name="Price_A">#REF!</definedName>
    <definedName name="Price_B">#REF!</definedName>
    <definedName name="PRICE1">#REF!</definedName>
    <definedName name="Pricecontrol">#REF!</definedName>
    <definedName name="print">#REF!</definedName>
    <definedName name="_xlnm.Print_Area">#REF!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intrisks">#REF!</definedName>
    <definedName name="printsch1">#REF!</definedName>
    <definedName name="printsch2aiioralbd">#REF!</definedName>
    <definedName name="printsch2nuts">#REF!</definedName>
    <definedName name="printsch2oral">#REF!</definedName>
    <definedName name="printsch2otc">#REF!</definedName>
    <definedName name="printsch2summary">#REF!</definedName>
    <definedName name="printsch3new">#REF!</definedName>
    <definedName name="printsch3risks">#REF!</definedName>
    <definedName name="printSPvar">#REF!</definedName>
    <definedName name="prjName">#REF!</definedName>
    <definedName name="prjNo">#REF!</definedName>
    <definedName name="Process">#REF!</definedName>
    <definedName name="ProcurementType">#REF!</definedName>
    <definedName name="ProdForm" hidden="1">#REF!</definedName>
    <definedName name="Product" hidden="1">#REF!</definedName>
    <definedName name="Production">#REF!</definedName>
    <definedName name="Production_hours">#REF!</definedName>
    <definedName name="Products">#REF!</definedName>
    <definedName name="Produkte">#REF!</definedName>
    <definedName name="ProjectMaster">#REF!</definedName>
    <definedName name="Projectmaster1">#REF!</definedName>
    <definedName name="Promo">#REF!</definedName>
    <definedName name="PROMODET">#REF!</definedName>
    <definedName name="PROPOSAL">#REF!</definedName>
    <definedName name="Provisions_Accounts">#REF!</definedName>
    <definedName name="Provisions_Total">#REF!</definedName>
    <definedName name="PRT">#REF!</definedName>
    <definedName name="PRÜFVARI">#REF!</definedName>
    <definedName name="PSCo">#REF!</definedName>
    <definedName name="PSCO_CD">#REF!</definedName>
    <definedName name="psfr00dm">#REF!</definedName>
    <definedName name="psfr01dm">#REF!</definedName>
    <definedName name="psfr02dm">#REF!</definedName>
    <definedName name="psfr96dm">#REF!</definedName>
    <definedName name="psfr97dm">#REF!</definedName>
    <definedName name="psfr98dm">#REF!</definedName>
    <definedName name="psfr99dm">#REF!</definedName>
    <definedName name="PSNo">#REF!</definedName>
    <definedName name="PSNO_CD">#REF!</definedName>
    <definedName name="PT" localSheetId="0">BlankMacro1</definedName>
    <definedName name="PT" localSheetId="1">BlankMacro1</definedName>
    <definedName name="PT" localSheetId="2">BlankMacro1</definedName>
    <definedName name="PT" localSheetId="3">BlankMacro1</definedName>
    <definedName name="PT">BlankMacro1</definedName>
    <definedName name="PT_Duong">#REF!</definedName>
    <definedName name="PTCKH">#REF!</definedName>
    <definedName name="PTCNB">#REF!</definedName>
    <definedName name="ptdg">#REF!</definedName>
    <definedName name="PTDG_cau">#REF!</definedName>
    <definedName name="ptdg_cong">#REF!</definedName>
    <definedName name="ptdg_duong">#REF!</definedName>
    <definedName name="ptdg_ke">#REF!</definedName>
    <definedName name="PtG">#REF!</definedName>
    <definedName name="PurchasingOrg">#REF!</definedName>
    <definedName name="PUTA" hidden="1">{"revsale",#N/A,FALSE,"REV-ยุพดี"}</definedName>
    <definedName name="PV_HIER">#REF!</definedName>
    <definedName name="PXL_DLQM_01">#REF!</definedName>
    <definedName name="PXL_DLQM_02">#REF!</definedName>
    <definedName name="PYear">#REF!</definedName>
    <definedName name="pytax">#REF!</definedName>
    <definedName name="q">#REF!</definedName>
    <definedName name="qeqe" hidden="1">{"'Sheet1'!$L$16"}</definedName>
    <definedName name="qq" hidden="1">{"'ตัวอย่าง'!$A$1:$O$21"}</definedName>
    <definedName name="qqq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uản_đốc">#REF!</definedName>
    <definedName name="QUANDOC">#REF!</definedName>
    <definedName name="Query1">#REF!</definedName>
    <definedName name="quote">#REF!</definedName>
    <definedName name="Quydoi">#REF!</definedName>
    <definedName name="R_03">#REF!</definedName>
    <definedName name="R_98">#REF!</definedName>
    <definedName name="R_99">#REF!</definedName>
    <definedName name="ra">#REF!</definedName>
    <definedName name="ra11p">#REF!</definedName>
    <definedName name="ra13p">#REF!</definedName>
    <definedName name="RAND_LÖSCH">#REF!</definedName>
    <definedName name="RAND_SUCHEN">#REF!</definedName>
    <definedName name="RAND_SUCHENZ">#REF!</definedName>
    <definedName name="rate">#REF!</definedName>
    <definedName name="ratesprint">#REF!</definedName>
    <definedName name="RCArea" hidden="1">#REF!</definedName>
    <definedName name="rd" hidden="1">{"'ตัวอย่าง'!$A$1:$O$21"}</definedName>
    <definedName name="re">#REF!</definedName>
    <definedName name="RE_SEITE_DRU">#REF!</definedName>
    <definedName name="reasons">#REF!</definedName>
    <definedName name="reasons1">#REF!</definedName>
    <definedName name="Receivables_Accounts">#REF!</definedName>
    <definedName name="Receivables_Total">#REF!</definedName>
    <definedName name="RECORD">#REF!</definedName>
    <definedName name="_xlnm.Recorder">#REF!</definedName>
    <definedName name="RECORE">#REF!</definedName>
    <definedName name="RECOUT">#N/A</definedName>
    <definedName name="reel_mensuel">#REF!</definedName>
    <definedName name="REELACTU">#REF!</definedName>
    <definedName name="ref">#REF!</definedName>
    <definedName name="Refferece">#REF!</definedName>
    <definedName name="RegBestPractice">#REF!</definedName>
    <definedName name="region">#REF!</definedName>
    <definedName name="Regional_best_Practice">#REF!</definedName>
    <definedName name="RemoveTM1">#REF!</definedName>
    <definedName name="REPLACE">#REF!</definedName>
    <definedName name="report">#REF!</definedName>
    <definedName name="Retrieve1">#REF!</definedName>
    <definedName name="Retrieve10">#REF!</definedName>
    <definedName name="Retrieve11">#REF!</definedName>
    <definedName name="Retrieve12">#REF!</definedName>
    <definedName name="Retrieve13">#REF!</definedName>
    <definedName name="Retrieve2">#REF!</definedName>
    <definedName name="Retrieve3">#REF!</definedName>
    <definedName name="Retrieve4">#REF!</definedName>
    <definedName name="Retrieve5">#REF!,#REF!</definedName>
    <definedName name="Retrieve6">#REF!,#REF!</definedName>
    <definedName name="Retrieve7">#REF!</definedName>
    <definedName name="Retrieve8">#REF!</definedName>
    <definedName name="Retrieve9">#REF!</definedName>
    <definedName name="REWIND">#REF!</definedName>
    <definedName name="RF">#REF!</definedName>
    <definedName name="rfju" hidden="1">{"'Sheet1'!$L$16"}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m">#REF!</definedName>
    <definedName name="RMBUD">#REF!</definedName>
    <definedName name="RMM1A1">#REF!</definedName>
    <definedName name="RMM1BUD">#REF!</definedName>
    <definedName name="ROAROI">#REF!</definedName>
    <definedName name="RocRE">#REF!</definedName>
    <definedName name="rollingmonth">#REF!</definedName>
    <definedName name="rollingyear">#REF!</definedName>
    <definedName name="rr">#REF!</definedName>
    <definedName name="rrer" hidden="1">{"'ตัวอย่าง'!$A$1:$O$21"}</definedName>
    <definedName name="rrrr" hidden="1">{"'ตัวอย่าง'!$A$1:$O$21"}</definedName>
    <definedName name="rter" hidden="1">{#N/A,#N/A,FALSE,"sum";#N/A,#N/A,FALSE,"MARTV";#N/A,#N/A,FALSE,"APRTV"}</definedName>
    <definedName name="ru" hidden="1">{"'Sheet1'!$L$16"}</definedName>
    <definedName name="RÜCK_NUMMER">#REF!</definedName>
    <definedName name="rung" hidden="1">"sci"</definedName>
    <definedName name="s">#REF!</definedName>
    <definedName name="SA">#REF!</definedName>
    <definedName name="sad" hidden="1">{0}</definedName>
    <definedName name="Safety">#REF!</definedName>
    <definedName name="SAI_SỐ">#REF!</definedName>
    <definedName name="Sale">#REF!</definedName>
    <definedName name="SaleOrg">#REF!</definedName>
    <definedName name="SALES_TAX">#REF!</definedName>
    <definedName name="SANG" hidden="1">{#N/A,#N/A,FALSE,"sum";#N/A,#N/A,FALSE,"MARTV";#N/A,#N/A,FALSE,"APRTV"}</definedName>
    <definedName name="SANWC">#REF!</definedName>
    <definedName name="Sắp_xếp___lên_xuống_hàng">#REF!</definedName>
    <definedName name="SAPBEXrevision" hidden="1">2</definedName>
    <definedName name="SAPBEXsysID" hidden="1">"BWP"</definedName>
    <definedName name="SAPBEXwbID" hidden="1">"45TSOG149EJ5R0N9HDKCO6BXG"</definedName>
    <definedName name="sas" hidden="1">{"'ตัวอย่าง'!$A$1:$O$21"}</definedName>
    <definedName name="sasa">#REF!</definedName>
    <definedName name="SC" hidden="1">{"'Sheet1'!$L$16"}</definedName>
    <definedName name="Scale_Input">#REF!</definedName>
    <definedName name="scao98">#REF!</definedName>
    <definedName name="SCCR">#REF!</definedName>
    <definedName name="SCDT">#REF!</definedName>
    <definedName name="SCH">#REF!</definedName>
    <definedName name="school">#REF!</definedName>
    <definedName name="Schweiz">#REF!</definedName>
    <definedName name="Schweiz05">#REF!</definedName>
    <definedName name="Schweiz07">#REF!</definedName>
    <definedName name="SchweizEuro">#N/A</definedName>
    <definedName name="SchweizPlaRep">#REF!</definedName>
    <definedName name="Schweizx">#REF!</definedName>
    <definedName name="SCTB">#REF!</definedName>
    <definedName name="sdadss" hidden="1">{"HK PR",#N/A,FALSE,"HK";"SUMMARY",#N/A,FALSE,"PAYROLL";"SUMMARY",#N/A,FALSE,"PAYROLL";"HK PR",#N/A,FALSE,"HK"}</definedName>
    <definedName name="sdf" hidden="1">{"'ตัวอย่าง'!$A$1:$O$21"}</definedName>
    <definedName name="sdffd">#REF!</definedName>
    <definedName name="SDMONG">#REF!</definedName>
    <definedName name="sdsdasd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CTEUR">#REF!</definedName>
    <definedName name="SectionCode">#REF!</definedName>
    <definedName name="SEITEN_ANLEGEN">#REF!</definedName>
    <definedName name="SelectedCurrCoC">#REF!</definedName>
    <definedName name="SelectedCurrLocal">#REF!</definedName>
    <definedName name="sencount" hidden="1">1</definedName>
    <definedName name="SEPFIX01" hidden="1">{"income",#N/A,FALSE,"INCOME"}</definedName>
    <definedName name="Serier7">#REF!</definedName>
    <definedName name="Services_repairs">#REF!</definedName>
    <definedName name="Settlement_pending_on_account_of_recovery">#REF!</definedName>
    <definedName name="sfe" hidden="1">{"'ตัวอย่าง'!$A$1:$O$21"}</definedName>
    <definedName name="sfs">#REF!</definedName>
    <definedName name="SharePrice">#REF!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>#REF!</definedName>
    <definedName name="Show.Acct.Update.Warning" hidden="1">#REF!</definedName>
    <definedName name="Show.MDB.Update.Warning" hidden="1">#REF!</definedName>
    <definedName name="ShTk">#REF!</definedName>
    <definedName name="SI">#REF!</definedName>
    <definedName name="sieucao">#REF!</definedName>
    <definedName name="SIZE">#REF!</definedName>
    <definedName name="SL" hidden="1">{"Profit",#N/A,FALSE,"Cisco4500";"Capital",#N/A,FALSE,"Cisco4500"}</definedName>
    <definedName name="SL_CRD">#REF!</definedName>
    <definedName name="SL_CRS">#REF!</definedName>
    <definedName name="SL_CS">#REF!</definedName>
    <definedName name="SL_DD">#REF!</definedName>
    <definedName name="SLCOLK1">#REF!</definedName>
    <definedName name="SLCOPS">#REF!</definedName>
    <definedName name="SLCOPSLK2">#REF!</definedName>
    <definedName name="SLDAUKY">#REF!</definedName>
    <definedName name="SLNOLK1">#REF!</definedName>
    <definedName name="SLNOPS">#REF!</definedName>
    <definedName name="SLNOPSLK2">#REF!</definedName>
    <definedName name="SLPS">#REF!</definedName>
    <definedName name="SLPSLK1">#REF!</definedName>
    <definedName name="SLSP_KPH07">#REF!</definedName>
    <definedName name="SLTONCK">#REF!</definedName>
    <definedName name="SMT_Owner_1">#REF!</definedName>
    <definedName name="SO">#REF!</definedName>
    <definedName name="So_Luong">#REF!</definedName>
    <definedName name="Soá_cuoái_kyø">#REF!</definedName>
    <definedName name="Soá_ñaàu_kyø">#REF!</definedName>
    <definedName name="soc3p">#REF!</definedName>
    <definedName name="SOCIETE">#REF!</definedName>
    <definedName name="SODATA">#REF!</definedName>
    <definedName name="SodienlucQN">"Së ®iÖn lùc QNINH "</definedName>
    <definedName name="SOH">#REF!</definedName>
    <definedName name="solver_adj" hidden="1">#REF!</definedName>
    <definedName name="solver_lhs1" hidden="1">#REF!</definedName>
    <definedName name="solver_lin" hidden="1">0</definedName>
    <definedName name="solver_num" hidden="1">1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ORT">#REF!</definedName>
    <definedName name="SORTIEREN">#REF!</definedName>
    <definedName name="SOTIEN">#REF!</definedName>
    <definedName name="SOTIEN_CO_NK">#REF!</definedName>
    <definedName name="SOUTH">#REF!</definedName>
    <definedName name="South_Africa">#REF!</definedName>
    <definedName name="SOUTHAFRICA">#REF!</definedName>
    <definedName name="SP">#REF!</definedName>
    <definedName name="SPALTECOPY">#REF!</definedName>
    <definedName name="SPALTECOPY1">#REF!</definedName>
    <definedName name="SPALTEN_IV">#REF!</definedName>
    <definedName name="SPALTEN_MV">#REF!</definedName>
    <definedName name="SPALTENBK">#REF!</definedName>
    <definedName name="SPALTENBR">#REF!</definedName>
    <definedName name="Spanner_Auto_File">"C:\My Documents\tinh cdo.x2a"</definedName>
    <definedName name="SpeacialProcurement">#REF!</definedName>
    <definedName name="SPEC">#REF!</definedName>
    <definedName name="Special">#REF!</definedName>
    <definedName name="Special_proc_key">#REF!</definedName>
    <definedName name="SpecialPrice" hidden="1">#REF!</definedName>
    <definedName name="specs">#REF!</definedName>
    <definedName name="SPECSUMMARY">#REF!</definedName>
    <definedName name="SPLTN_EINGEBEN">#REF!</definedName>
    <definedName name="SPOT광주">#REF!</definedName>
    <definedName name="SPR2000ext">#REF!</definedName>
    <definedName name="SPR2000int">#REF!</definedName>
    <definedName name="SPR2001ext">#REF!</definedName>
    <definedName name="SPR2001int">#REF!</definedName>
    <definedName name="SPR2002ext">#REF!</definedName>
    <definedName name="SPR2002int">#REF!</definedName>
    <definedName name="SPR2003ext">#REF!</definedName>
    <definedName name="spr2003int">#REF!</definedName>
    <definedName name="SPRUNGTEXT">#REF!</definedName>
    <definedName name="SPSS">#REF!</definedName>
    <definedName name="srgsaergfsergaerg" hidden="1">{"month_a",#N/A,FALSE,"ACTUALS";"ytd_a",#N/A,FALSE,"ACTUALS"}</definedName>
    <definedName name="ss" localSheetId="0">BlankMacro1</definedName>
    <definedName name="ss" localSheetId="1">BlankMacro1</definedName>
    <definedName name="ss" localSheetId="2">BlankMacro1</definedName>
    <definedName name="ss" localSheetId="3">BlankMacro1</definedName>
    <definedName name="ss">BlankMacro1</definedName>
    <definedName name="ss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s" hidden="1">{"'ตัวอย่าง'!$A$1:$O$21"}</definedName>
    <definedName name="sssss" hidden="1">{"'ตัวอย่าง'!$A$1:$O$21"}</definedName>
    <definedName name="SsvApRate">#REF!</definedName>
    <definedName name="ssxsdcdsfcdsf" hidden="1">{"HK PR",#N/A,FALSE,"HK";"SUMMARY",#N/A,FALSE,"PAYROLL";"SUMMARY",#N/A,FALSE,"PAYROLL";"HK PR",#N/A,FALSE,"HK"}</definedName>
    <definedName name="st">#REF!</definedName>
    <definedName name="STA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CoC">#REF!</definedName>
    <definedName name="StartLocal">#REF!</definedName>
    <definedName name="status">#REF!</definedName>
    <definedName name="stff">#REF!</definedName>
    <definedName name="Storage_location">#REF!</definedName>
    <definedName name="Stt">#REF!</definedName>
    <definedName name="stuff">#REF!</definedName>
    <definedName name="SubCategory">#REF!</definedName>
    <definedName name="SUM">#REF!,#REF!</definedName>
    <definedName name="Sum_TCdata">#REF!</definedName>
    <definedName name="summary">#REF!</definedName>
    <definedName name="Summary_Of_Activities__July_2000">#REF!</definedName>
    <definedName name="SuperUser" hidden="1">FALSE</definedName>
    <definedName name="SYNTHESE">#REF!</definedName>
    <definedName name="T">#REF!</definedName>
    <definedName name="T03AC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1aT116">#REF!,#REF!,#REF!,#REF!,#REF!,#REF!,#REF!,#REF!,#REF!,#REF!,#REF!,#REF!,#REF!</definedName>
    <definedName name="T1àT116">#REF!,#REF!,#REF!,#REF!,#REF!,#REF!,#REF!,#REF!,#REF!,#REF!,#REF!,#REF!,#REF!</definedName>
    <definedName name="T1aT61">#REF!,#REF!,#REF!,#REF!,#REF!,#REF!,#REF!,#REF!,#REF!,#REF!,#REF!,#REF!,#REF!,#REF!,#REF!,#REF!,#REF!</definedName>
    <definedName name="T1àT61">#REF!,#REF!,#REF!,#REF!,#REF!,#REF!,#REF!,#REF!,#REF!,#REF!,#REF!,#REF!,#REF!,#REF!,#REF!,#REF!,#REF!</definedName>
    <definedName name="T22aT61">#REF!,#REF!,#REF!,#REF!,#REF!,#REF!</definedName>
    <definedName name="T22àT61">#REF!,#REF!,#REF!,#REF!,#REF!,#REF!</definedName>
    <definedName name="TA">#REF!</definedName>
    <definedName name="TAB_GH">#REF!</definedName>
    <definedName name="TABLE">#REF!</definedName>
    <definedName name="taisan" hidden="1">{"'Sheet1'!$L$16"}</definedName>
    <definedName name="TAMUNG">#REF!</definedName>
    <definedName name="Tan" hidden="1">{"'Sheet1'!$L$16"}</definedName>
    <definedName name="TangTygia">#REF!</definedName>
    <definedName name="Tạp_vụ">#REF!</definedName>
    <definedName name="tast" hidden="1">{"'connew '!$C$40:$C$60"}</definedName>
    <definedName name="TAUXACT">#REF!</definedName>
    <definedName name="tax">#REF!</definedName>
    <definedName name="Tax_Accounts">#REF!</definedName>
    <definedName name="Tax_Accounts_Budget">#REF!</definedName>
    <definedName name="TaxTV">10%</definedName>
    <definedName name="TaxXL">5%</definedName>
    <definedName name="TBA">#REF!</definedName>
    <definedName name="TBidienmo">"CTY ChÕ t¹o ThiÕt bÞ §iÖn má"</definedName>
    <definedName name="TBL.ActivityTemp">#REF!</definedName>
    <definedName name="TBL.CountryTemp">#REF!</definedName>
    <definedName name="TBL.GroupTemp">#REF!</definedName>
    <definedName name="TBL.OrganizationTemp">#REF!</definedName>
    <definedName name="TBL.PhaseTemp">#REF!</definedName>
    <definedName name="TBL.REIMItems">#REF!</definedName>
    <definedName name="TBL.ResourceLevelTemp">#REF!</definedName>
    <definedName name="tbl_ProdInfo" hidden="1">#REF!</definedName>
    <definedName name="tbtram">#REF!</definedName>
    <definedName name="TC">#REF!</definedName>
    <definedName name="TC_NHANH1">#REF!</definedName>
    <definedName name="tchinam">#REF!</definedName>
    <definedName name="Tchuan">#REF!</definedName>
    <definedName name="td1p">#REF!</definedName>
    <definedName name="td3p">#REF!</definedName>
    <definedName name="tdnc1p">#REF!</definedName>
    <definedName name="tdtr2cnc">#REF!</definedName>
    <definedName name="tdtr2cvl">#REF!</definedName>
    <definedName name="tdvl1p">#REF!</definedName>
    <definedName name="ten">#REF!</definedName>
    <definedName name="TEN_TAI_KHOAN">#REF!</definedName>
    <definedName name="TENCBNV">#REF!</definedName>
    <definedName name="TENCBNVVN">#REF!</definedName>
    <definedName name="TENSP">#REF!</definedName>
    <definedName name="Tentk">#REF!</definedName>
    <definedName name="TENTP">#REF!</definedName>
    <definedName name="TENTPVN">#REF!</definedName>
    <definedName name="test" hidden="1">{"'ตัวอย่าง'!$A$1:$O$21"}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7">#REF!</definedName>
    <definedName name="test77" hidden="1">{"'ตัวอย่าง'!$A$1:$O$21"}</definedName>
    <definedName name="TEST8">#REF!</definedName>
    <definedName name="test8888" hidden="1">{"'ตัวอย่าง'!$A$1:$O$21"}</definedName>
    <definedName name="TEST9">#REF!</definedName>
    <definedName name="testa" hidden="1">{"'ตัวอย่าง'!$A$1:$O$21"}</definedName>
    <definedName name="TESTHKEY">#REF!</definedName>
    <definedName name="TESTKEYS">#REF!</definedName>
    <definedName name="TESTVKEY">#REF!</definedName>
    <definedName name="text">#REF!,#REF!,#REF!,#REF!,#REF!</definedName>
    <definedName name="TextRefCopyRangeCount" hidden="1">5</definedName>
    <definedName name="TgCptl">#REF!</definedName>
    <definedName name="TgDat">#REF!</definedName>
    <definedName name="tgkhkhotp">#REF!</definedName>
    <definedName name="TgKHNX">#REF!</definedName>
    <definedName name="TGNH">#REF!</definedName>
    <definedName name="TGTGTDR">#REF!</definedName>
    <definedName name="TGTGTDV">#REF!</definedName>
    <definedName name="TGxayduong">#REF!</definedName>
    <definedName name="TH" hidden="1">{"'Sheet1'!$L$16"}</definedName>
    <definedName name="tha" hidden="1">{"'Sheet1'!$L$16"}</definedName>
    <definedName name="THANG">#REF!</definedName>
    <definedName name="Tháng">#REF!</definedName>
    <definedName name="thang10">#REF!</definedName>
    <definedName name="thang12">#REF!</definedName>
    <definedName name="thanh" hidden="1">{"'Sheet1'!$L$16"}</definedName>
    <definedName name="THANHPHAM">#REF!</definedName>
    <definedName name="thanhthao" hidden="1">{#N/A,#N/A,FALSE,"Chi tiÆt"}</definedName>
    <definedName name="THCP2" hidden="1">{"'Sheet1'!$L$16"}</definedName>
    <definedName name="THCPCTD" hidden="1">{"'Sheet1'!$L$16"}</definedName>
    <definedName name="Thepsan" hidden="1">{"'Sheet1'!$L$16"}</definedName>
    <definedName name="thepsan2" hidden="1">{"'Sheet1'!$L$16"}</definedName>
    <definedName name="THGO1pnc">#REF!</definedName>
    <definedName name="thht">#REF!</definedName>
    <definedName name="THI">#REF!</definedName>
    <definedName name="thisyearGIR">#REF!</definedName>
    <definedName name="thkp3">#REF!</definedName>
    <definedName name="Thổi_tay">#REF!</definedName>
    <definedName name="Thổi_TĐ">#REF!</definedName>
    <definedName name="Thống_kê_kho">#REF!</definedName>
    <definedName name="thtt">#REF!</definedName>
    <definedName name="thu" hidden="1">{"'Sheet1'!$L$16"}</definedName>
    <definedName name="Thủ_kho">#REF!</definedName>
    <definedName name="Thư_ký_xưởng">#REF!</definedName>
    <definedName name="ThucPhamTBINH">"CTY Thùc phÈm Th¸i b×nh"</definedName>
    <definedName name="thue">6</definedName>
    <definedName name="THUEDKC">#REF!</definedName>
    <definedName name="THUEDKN">#REF!</definedName>
    <definedName name="THUELKPSCO">#REF!</definedName>
    <definedName name="THUELKPSNO">#REF!</definedName>
    <definedName name="THUEMA">#REF!</definedName>
    <definedName name="THUEPSC">#REF!</definedName>
    <definedName name="THUEPSN">#REF!</definedName>
    <definedName name="thunhap2002">#REF!</definedName>
    <definedName name="thunhap2003">#REF!</definedName>
    <definedName name="thunhap2004">#REF!</definedName>
    <definedName name="thunhap2005">#REF!</definedName>
    <definedName name="thunhap2006">#REF!</definedName>
    <definedName name="thunhap2007">#REF!</definedName>
    <definedName name="thunhap2008">#REF!</definedName>
    <definedName name="thunhaplk">#REF!</definedName>
    <definedName name="TI">#REF!</definedName>
    <definedName name="Tỉ_lệ___gián_tiếp">#REF!</definedName>
    <definedName name="tien">#REF!</definedName>
    <definedName name="TIENKQKD">#REF!</definedName>
    <definedName name="Tim_Lan_Xuat_Hien">#REF!</definedName>
    <definedName name="tim_xuat_hien">#REF!</definedName>
    <definedName name="Time_efficiency">#REF!</definedName>
    <definedName name="Timing">#REF!</definedName>
    <definedName name="Tinh_Trang">#REF!</definedName>
    <definedName name="Tinhtrang">#REF!</definedName>
    <definedName name="TITAN">#REF!</definedName>
    <definedName name="TITEL">#REF!</definedName>
    <definedName name="TITEL_ANNULLI">#REF!</definedName>
    <definedName name="Title2">#REF!</definedName>
    <definedName name="Title3">#REF!</definedName>
    <definedName name="Title4">#REF!</definedName>
    <definedName name="TK">#REF!</definedName>
    <definedName name="TKCO_NK">#REF!</definedName>
    <definedName name="TKNO_NK">#REF!</definedName>
    <definedName name="TL_CHUẨN">#REF!</definedName>
    <definedName name="TL_THỰC_TẾ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g_Tren_Duoi">#REF!</definedName>
    <definedName name="TM">#REF!</definedName>
    <definedName name="TMatplan">#REF!</definedName>
    <definedName name="TN">#REF!</definedName>
    <definedName name="TO">#REF!</definedName>
    <definedName name="Tổ_trưởng">#REF!</definedName>
    <definedName name="Tổng_hiện_diện">#REF!</definedName>
    <definedName name="tongcpdt">#REF!</definedName>
    <definedName name="tongcptt">#REF!</definedName>
    <definedName name="Tongdautu">#REF!</definedName>
    <definedName name="tongdt">#REF!</definedName>
    <definedName name="Tonghop" hidden="1">{"'Sheet1'!$L$16"}</definedName>
    <definedName name="tongsl">#REF!</definedName>
    <definedName name="tongthuvay">#REF!</definedName>
    <definedName name="tongvay">#REF!</definedName>
    <definedName name="topedition">#REF!</definedName>
    <definedName name="topli2">#REF!</definedName>
    <definedName name="Topsh">#REF!</definedName>
    <definedName name="TOTAL">#REF!</definedName>
    <definedName name="Total1">#REF!</definedName>
    <definedName name="Total2">#REF!</definedName>
    <definedName name="TOTAL2P">#REF!,#REF!,#REF!,#REF!,#REF!,#REF!,#REF!,#REF!,#REF!,#REF!,#REF!,#REF!,#REF!,#REF!,#REF!</definedName>
    <definedName name="totallook">#REF!</definedName>
    <definedName name="toto">#REF!</definedName>
    <definedName name="TotRE">#REF!</definedName>
    <definedName name="tout">#REF!,#REF!,#REF!</definedName>
    <definedName name="tower_list">#REF!</definedName>
    <definedName name="TPLRP">#REF!</definedName>
    <definedName name="Tra_Cot">#REF!</definedName>
    <definedName name="Tra_DM_su_dung">#REF!</definedName>
    <definedName name="Tra_don_gia_KS">#REF!</definedName>
    <definedName name="Tra_DTCT">#REF!</definedName>
    <definedName name="Tra_ten_cong">#REF!</definedName>
    <definedName name="Tra_tim_hang_mucPT_trung">#REF!</definedName>
    <definedName name="TRA_VAT_LIEU">#REF!</definedName>
    <definedName name="TRADE2">#REF!</definedName>
    <definedName name="tragoc2003">#REF!</definedName>
    <definedName name="Transactions">#REF!</definedName>
    <definedName name="TRISO">#REF!</definedName>
    <definedName name="Trưởng_ca">#REF!</definedName>
    <definedName name="Trưởng_phòng">#REF!</definedName>
    <definedName name="trygmdgdh" hidden="1">{"'Sheet1'!$L$16"}</definedName>
    <definedName name="tt" hidden="1">{"'connew '!$C$40:$C$60"}</definedName>
    <definedName name="TT_1P">#REF!</definedName>
    <definedName name="TT_3p">#REF!</definedName>
    <definedName name="ttcd">#REF!</definedName>
    <definedName name="TTE" hidden="1">{"'ตัวอย่าง'!$A$1:$O$21"}</definedName>
    <definedName name="tthi">#REF!</definedName>
    <definedName name="tthunam">#REF!</definedName>
    <definedName name="ttronmk">#REF!</definedName>
    <definedName name="TTSC" hidden="1">{"'Sheet1'!$L$16"}</definedName>
    <definedName name="ttt" hidden="1">{"Teacher",#N/A,FALSE,"Summary";"Teacher",#N/A,FALSE,"Assumptions";"Teacher",#N/A,FALSE,"Buildup";"Teacher",#N/A,FALSE,"Financials";"Teacher",#N/A,FALSE,"Debt &amp; Other"}</definedName>
    <definedName name="tttt" hidden="1">#REF!</definedName>
    <definedName name="ttttt" hidden="1">{"Reader",#N/A,FALSE,"Summary";"Reader",#N/A,FALSE,"Buildup";"Reader",#N/A,FALSE,"Financials";"Reader",#N/A,FALSE,"Debt &amp; Other"}</definedName>
    <definedName name="T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an">#REF!</definedName>
    <definedName name="Tuần">#REF!</definedName>
    <definedName name="tuloinhuan2003">#REF!</definedName>
    <definedName name="Turnover_Accounts">#REF!</definedName>
    <definedName name="Turnover_Accounts_Budget">#REF!</definedName>
    <definedName name="Turnover_Total">#REF!</definedName>
    <definedName name="Turnover_Total_Budget">#REF!</definedName>
    <definedName name="tuy" hidden="1">{"'Sheet1'!$L$16"}</definedName>
    <definedName name="tv75nc">#REF!</definedName>
    <definedName name="tv75vl">#REF!</definedName>
    <definedName name="TVNH">#REF!</definedName>
    <definedName name="TxChgData">#REF!</definedName>
    <definedName name="TxChgUsed">#REF!</definedName>
    <definedName name="ty_le">#REF!</definedName>
    <definedName name="ty_le_BTN">#REF!</definedName>
    <definedName name="Ty_le1">#REF!</definedName>
    <definedName name="Tygia">#REF!</definedName>
    <definedName name="tygia1">#REF!</definedName>
    <definedName name="tygia2">#REF!</definedName>
    <definedName name="types">#REF!</definedName>
    <definedName name="TYT" localSheetId="0">BlankMacro1</definedName>
    <definedName name="TYT" localSheetId="1">BlankMacro1</definedName>
    <definedName name="TYT" localSheetId="2">BlankMacro1</definedName>
    <definedName name="TYT" localSheetId="3">BlankMacro1</definedName>
    <definedName name="TYT">BlankMacro1</definedName>
    <definedName name="UGVG" hidden="1">{#N/A,#N/A,TRUE,"BT M200 da 10x20"}</definedName>
    <definedName name="UMBRUCH_EINF">#REF!</definedName>
    <definedName name="unfair_comp">#REF!</definedName>
    <definedName name="unit">#REF!</definedName>
    <definedName name="Unit_1">#REF!</definedName>
    <definedName name="Unit_2">#REF!</definedName>
    <definedName name="Unit_Of_Measure">#REF!</definedName>
    <definedName name="UNITE">#REF!</definedName>
    <definedName name="unitt" localSheetId="0">BlankMacro1</definedName>
    <definedName name="unitt" localSheetId="1">BlankMacro1</definedName>
    <definedName name="unitt" localSheetId="2">BlankMacro1</definedName>
    <definedName name="unitt" localSheetId="3">BlankMacro1</definedName>
    <definedName name="unitt">BlankMacro1</definedName>
    <definedName name="UOM">#REF!</definedName>
    <definedName name="UP">#REF!,#REF!,#REF!,#REF!,#REF!,#REF!,#REF!,#REF!,#REF!,#REF!,#REF!</definedName>
    <definedName name="URSPRUNG">#REF!</definedName>
    <definedName name="USD">#REF!</definedName>
    <definedName name="USD_SGD">#REF!</definedName>
    <definedName name="USD2EURSCD">VLOOKUP("USD",#REF!,6,FALSE)</definedName>
    <definedName name="ut" localSheetId="0">BlankMacro1</definedName>
    <definedName name="ut" localSheetId="1">BlankMacro1</definedName>
    <definedName name="ut" localSheetId="2">BlankMacro1</definedName>
    <definedName name="ut" localSheetId="3">BlankMacro1</definedName>
    <definedName name="ut">BlankMacro1</definedName>
    <definedName name="v">#REF!</definedName>
    <definedName name="V_UMBR_S1">#REF!</definedName>
    <definedName name="V_UMBR_S2">#REF!</definedName>
    <definedName name="V_UMBR_SU">#REF!</definedName>
    <definedName name="VAÄT_LIEÄU">"ATRAM"</definedName>
    <definedName name="VAE">#REF!</definedName>
    <definedName name="ValuationClass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ouver">#REF!</definedName>
    <definedName name="VariDataPage1">#REF!</definedName>
    <definedName name="VariDataPage2">#REF!</definedName>
    <definedName name="VariDataPage5">#REF!</definedName>
    <definedName name="VariDataPage6">#REF!</definedName>
    <definedName name="VARIINST">#REF!</definedName>
    <definedName name="VARIPURC">#REF!</definedName>
    <definedName name="VarLevel">#REF!</definedName>
    <definedName name="vat">5</definedName>
    <definedName name="VatTuTungHangMuc">#REF!</definedName>
    <definedName name="VBGR100">#REF!</definedName>
    <definedName name="VBRG_SPRUNG">#REF!</definedName>
    <definedName name="VBRG1">#REF!</definedName>
    <definedName name="VBRG10">#REF!</definedName>
    <definedName name="VBRG11">#REF!</definedName>
    <definedName name="VBRG12">#REF!</definedName>
    <definedName name="VBRG13">#REF!</definedName>
    <definedName name="VBRG14">#REF!</definedName>
    <definedName name="VBRG15">#REF!</definedName>
    <definedName name="VBRG16">#REF!</definedName>
    <definedName name="VBRG17">#REF!</definedName>
    <definedName name="VBRG18">#REF!</definedName>
    <definedName name="VBRG19">#REF!</definedName>
    <definedName name="VBRG2">#REF!</definedName>
    <definedName name="VBRG20">#REF!</definedName>
    <definedName name="VBRG21">#REF!</definedName>
    <definedName name="VBRG22">#REF!</definedName>
    <definedName name="VBRG23">#REF!</definedName>
    <definedName name="VBRG24">#REF!</definedName>
    <definedName name="VBRG25">#REF!</definedName>
    <definedName name="VBRG26">#REF!</definedName>
    <definedName name="VBRG27">#REF!</definedName>
    <definedName name="VBRG28">#REF!</definedName>
    <definedName name="VBRG29">#REF!</definedName>
    <definedName name="VBRG3">#REF!</definedName>
    <definedName name="VBRG30">#REF!</definedName>
    <definedName name="VBRG31">#REF!</definedName>
    <definedName name="VBRG32">#REF!</definedName>
    <definedName name="VBRG33">#REF!</definedName>
    <definedName name="VBRG34">#REF!</definedName>
    <definedName name="VBRG35">#REF!</definedName>
    <definedName name="VBRG36">#REF!</definedName>
    <definedName name="VBRG37">#REF!</definedName>
    <definedName name="VBRG38">#REF!</definedName>
    <definedName name="VBRG39">#REF!</definedName>
    <definedName name="VBRG4">#REF!</definedName>
    <definedName name="VBRG40">#REF!</definedName>
    <definedName name="VBRG41">#REF!</definedName>
    <definedName name="VBRG42">#REF!</definedName>
    <definedName name="VBRG43">#REF!</definedName>
    <definedName name="VBRG44">#REF!</definedName>
    <definedName name="VBRG45">#REF!</definedName>
    <definedName name="VBRG46">#REF!</definedName>
    <definedName name="VBRG47">#REF!</definedName>
    <definedName name="VBRG48">#REF!</definedName>
    <definedName name="VBRG49">#REF!</definedName>
    <definedName name="VBRG5">#REF!</definedName>
    <definedName name="VBRG50">#REF!</definedName>
    <definedName name="VBRG51">#REF!</definedName>
    <definedName name="VBRG52">#REF!</definedName>
    <definedName name="VBRG53">#REF!</definedName>
    <definedName name="VBRG54">#REF!</definedName>
    <definedName name="VBRG55">#REF!</definedName>
    <definedName name="VBRG56">#REF!</definedName>
    <definedName name="VBRG57">#REF!</definedName>
    <definedName name="VBRG58">#REF!</definedName>
    <definedName name="VBRG59">#REF!</definedName>
    <definedName name="VBRG6">#REF!</definedName>
    <definedName name="VBRG60">#REF!</definedName>
    <definedName name="VBRG7">#REF!</definedName>
    <definedName name="VBRG8">#REF!</definedName>
    <definedName name="VBRG9">#REF!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HT">#REF!</definedName>
    <definedName name="vcp2ma">#REF!</definedName>
    <definedName name="vcp2shtk">#REF!</definedName>
    <definedName name="VCPBKKC">#REF!</definedName>
    <definedName name="VCPKHTK">#REF!</definedName>
    <definedName name="VCPTENTK">#REF!</definedName>
    <definedName name="VCPTHGV">#REF!</definedName>
    <definedName name="VCTT">#REF!</definedName>
    <definedName name="vd">#REF!</definedName>
    <definedName name="vd3p">#REF!</definedName>
    <definedName name="Vendor">#REF!</definedName>
    <definedName name="VERB_MUSTER">#REF!</definedName>
    <definedName name="VERBERG_SPALTE">#REF!</definedName>
    <definedName name="VERBERG_ZÄHL">#REF!</definedName>
    <definedName name="VERBERGEN">#REF!</definedName>
    <definedName name="VERBERGEN1">#REF!</definedName>
    <definedName name="verrouillage">#REF!,#REF!,#REF!,#REF!,#REF!,#REF!</definedName>
    <definedName name="version">#REF!</definedName>
    <definedName name="Vessels_Accounts">#REF!</definedName>
    <definedName name="Vessels_Total">#REF!</definedName>
    <definedName name="ViencokhiNLvaMo">"ViÖn c¬ khÝ NL vµ Má"</definedName>
    <definedName name="View">#REF!</definedName>
    <definedName name="VIEW_AKT">#REF!</definedName>
    <definedName name="VIEW_ERST">#REF!</definedName>
    <definedName name="VIEW_FÜLLEN">#REF!</definedName>
    <definedName name="VIEW_LEEREN">#REF!</definedName>
    <definedName name="VIEW1">#REF!</definedName>
    <definedName name="VIEW10">#REF!</definedName>
    <definedName name="VIEW11">#REF!</definedName>
    <definedName name="VIEW12">#REF!</definedName>
    <definedName name="VIEW13">#REF!</definedName>
    <definedName name="VIEW14">#REF!</definedName>
    <definedName name="VIEW15">#REF!</definedName>
    <definedName name="VIEW16">#REF!</definedName>
    <definedName name="VIEW17">#REF!</definedName>
    <definedName name="VIEW18">#REF!</definedName>
    <definedName name="VIEW19">#REF!</definedName>
    <definedName name="VIEW2">#REF!</definedName>
    <definedName name="VIEW20">#REF!</definedName>
    <definedName name="VIEW3">#REF!</definedName>
    <definedName name="VIEW4">#REF!</definedName>
    <definedName name="VIEW5">#REF!</definedName>
    <definedName name="VIEW6">#REF!</definedName>
    <definedName name="VIEW7">#REF!</definedName>
    <definedName name="VIEW8">#REF!</definedName>
    <definedName name="VIEW9">#REF!</definedName>
    <definedName name="ViTrac">"CTy Vi Tr¸c"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dn400">#REF!</definedName>
    <definedName name="vldn600">#REF!</definedName>
    <definedName name="VLOOKUP">#REF!</definedName>
    <definedName name="VLPCONGCU">#REF!</definedName>
    <definedName name="VLPNHIENLIEU">#REF!</definedName>
    <definedName name="VLPPHUTUNG">#REF!</definedName>
    <definedName name="VLPVATLIEUDIEN">#REF!</definedName>
    <definedName name="VLPVATLIEUKHAC">#REF!</definedName>
    <definedName name="VLPVATLIEUPHU">#REF!</definedName>
    <definedName name="vltram">#REF!</definedName>
    <definedName name="Vonnhaxuong">#REF!</definedName>
    <definedName name="Vonthietbi">#REF!</definedName>
    <definedName name="Vonthuedat">#REF!</definedName>
    <definedName name="Vorjahr">#REF!</definedName>
    <definedName name="VPA_calc">#REF!</definedName>
    <definedName name="vr3p">#REF!</definedName>
    <definedName name="VT">#REF!</definedName>
    <definedName name="vtu">#REF!</definedName>
    <definedName name="VUC_Accounts">#REF!</definedName>
    <definedName name="VUC_Total">#REF!</definedName>
    <definedName name="w">#REF!</definedName>
    <definedName name="WEE" hidden="1">{"'ตัวอย่าง'!$A$1:$O$21"}</definedName>
    <definedName name="WERTE_UMW">#REF!</definedName>
    <definedName name="WESTERN">#REF!</definedName>
    <definedName name="wf" hidden="1">#REF!</definedName>
    <definedName name="WIP">#REF!</definedName>
    <definedName name="WIRE1">5</definedName>
    <definedName name="WKAPITAL">#REF!</definedName>
    <definedName name="wqwqw" hidden="1">{"'ตัวอย่าง'!$A$1:$O$21"}</definedName>
    <definedName name="wrn.1_lev." hidden="1">{"level1",#N/A,FALSE,"1_LEV";"LEVEL1",#N/A,FALSE,"1_LEV"}</definedName>
    <definedName name="wrn.1_levbt." hidden="1">{"lev1bt",#N/A,FALSE,"1_LEVB-T"}</definedName>
    <definedName name="wrn.2_levmon." hidden="1">{"lev2mon",#N/A,FALSE,"2_levmon"}</definedName>
    <definedName name="wrn.2_levmonbt." hidden="1">{"lev2monbt",#N/A,FALSE,"2_levmonB-T"}</definedName>
    <definedName name="wrn.2_levytd." hidden="1">{"lev2ytd",#N/A,FALSE,"2_LEVYTD"}</definedName>
    <definedName name="wrn.2_levytdbt." hidden="1">{"lev2tytbt",#N/A,FALSE,"2_LEVYTDB-T"}</definedName>
    <definedName name="wrn.448k." hidden="1">{"Profit",#N/A,FALSE,"448k";"Capital",#N/A,FALSE,"448k"}</definedName>
    <definedName name="wrn.4500_4P." hidden="1">{"Profit",#N/A,FALSE,"4500(4P)";"Capital",#N/A,FALSE,"4500(4P)"}</definedName>
    <definedName name="wrn.4500_6P." hidden="1">{"Profit",#N/A,FALSE,"4500(6P)";"Capital",#N/A,FALSE,"4500(6P)"}</definedName>
    <definedName name="wrn.4500_8P." hidden="1">{"Profit",#N/A,FALSE,"4500(8P)";"Capital",#N/A,FALSE,"4500(8P)"}</definedName>
    <definedName name="wrn.ACCRUE._.PAYROLL." hidden="1">{"HK PR",#N/A,FALSE,"HK";"SUMMARY",#N/A,FALSE,"PAYROLL";"SUMMARY",#N/A,FALSE,"PAYROLL";"HK PR",#N/A,FALSE,"HK"}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ll.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QUIROR._.DCF." hidden="1">{"AQUIRORDCF",#N/A,FALSE,"Merger consequences";"Acquirorassns",#N/A,FALSE,"Merger consequences"}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hidden="1">{"balance",#N/A,FALSE,"BALANCE"}</definedName>
    <definedName name="wrn.BAOCAO." hidden="1">{#N/A,#N/A,FALSE,"sum";#N/A,#N/A,FALSE,"MARTV";#N/A,#N/A,FALSE,"APRTV"}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hidden="1">{"CapitalInput",#N/A,FALSE,"Equipt Input";"Capital Profile",#N/A,FALSE,"Equipt Input"}</definedName>
    <definedName name="wrn.cashflow." hidden="1">{"cashflow",#N/A,FALSE,"CASHFLOW "}</definedName>
    <definedName name="wrn.chi._.tiÆt." hidden="1">{#N/A,#N/A,FALSE,"Chi tiÆt"}</definedName>
    <definedName name="wrn.cisco2501." hidden="1">{"Profit",#N/A,FALSE,"cisco2501";"Capital",#N/A,FALSE,"cisco2501"}</definedName>
    <definedName name="wrn.cisco2501a." hidden="1">{"Profit",#N/A,FALSE,"Cisco2501a";"Capital",#N/A,FALSE,"Cisco2501a"}</definedName>
    <definedName name="wrn.cisco2514." hidden="1">{"Profit",#N/A,FALSE,"Cisco2514";"Capital",#N/A,FALSE,"Cisco2514"}</definedName>
    <definedName name="wrn.cisco4000." hidden="1">{"Profit",#N/A,FALSE,"4500(12)";"Capital",#N/A,FALSE,"4500(12)";"Profit",#N/A,FALSE,"Cisco4000";"Capital",#N/A,FALSE,"Cisco4000"}</definedName>
    <definedName name="wrn.cisco4500." hidden="1">{"Profit",#N/A,FALSE,"Cisco4500";"Capital",#N/A,FALSE,"Cisco4500"}</definedName>
    <definedName name="wrn.Cisco4500p." hidden="1">{"Profit",#N/A,FALSE,"Cisco 4500p";"Capital",#N/A,FALSE,"Cisco 4500p"}</definedName>
    <definedName name="wrn.cisco7000a." hidden="1">{"Profit",#N/A,FALSE,"Cisco7000a";"Capital",#N/A,FALSE,"Cisco7000a"}</definedName>
    <definedName name="wrn.CiscoAGS." hidden="1">{"Profit",#N/A,FALSE,"ciscoags+";"Capital",#N/A,FALSE,"ciscoags+"}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hidden="1">{"PLCustom",#N/A,FALSE,"P&amp;L summary"}</definedName>
    <definedName name="wrn.DCF." hidden="1">{"DCF1",#N/A,FALSE,"SIERRA DCF";"MATRIX1",#N/A,FALSE,"SIERRA DCF"}</definedName>
    <definedName name="wrn.DCF_Terminal_Value_qchm." hidden="1">{"qchm_dcf",#N/A,FALSE,"QCHMDCF2";"qchm_terminal",#N/A,FALSE,"QCHMDCF2"}</definedName>
    <definedName name="wrn.dep12." hidden="1">{#N/A,#N/A,FALSE,"PM1";#N/A,#N/A,FALSE,"PM2";#N/A,#N/A,FALSE,"PM3";#N/A,#N/A,FALSE,"PM4";#N/A,#N/A,FALSE,"PM5";#N/A,#N/A,FALSE,"PM6";#N/A,#N/A,FALSE,"CM1"}</definedName>
    <definedName name="wrn.Depn." hidden="1">{"Depn",#N/A,TRUE,"Equipt Input"}</definedName>
    <definedName name="wrn.Economic._.Value._.Added._.Analysis." hidden="1">{"EVA",#N/A,FALSE,"EVA";"WACC",#N/A,FALSE,"WACC"}</definedName>
    <definedName name="wrn.extn_2501." hidden="1">{"Profit",#N/A,FALSE,"extn_2501";"Capital",#N/A,FALSE,"extn_2501"}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hidden="1">{"finsumm",#N/A,FALSE,"Finsumm";"graph",#N/A,FALSE,"Finsumm";"costgraph",#N/A,FALSE,"Finsumm";"costbreakdown",#N/A,FALSE,"Finsumm"}</definedName>
    <definedName name="wrn.FIX." hidden="1">{#N/A,#N/A,FALSE,"TL";#N/A,#N/A,FALSE,"KK";#N/A,#N/A,FALSE,"TS";#N/A,#N/A,FALSE,"KW";#N/A,#N/A,FALSE,"LP";#N/A,#N/A,FALSE,"DC"}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hidden="1">{"hilight1",#N/A,FALSE,"HILIGHT1"}</definedName>
    <definedName name="wrn.hilight2." hidden="1">{"hilight2",#N/A,FALSE,"HILIGHT2"}</definedName>
    <definedName name="wrn.hilight3." hidden="1">{"hilight3",#N/A,FALSE,"HILIGHT3"}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hidden="1">{"income",#N/A,FALSE,"INCOME"}</definedName>
    <definedName name="wrn.index." hidden="1">{"index",#N/A,FALSE,"INDEX"}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MONTH._.YTD." hidden="1">{"month_a",#N/A,FALSE,"ACTUALS";"ytd_a",#N/A,FALSE,"ACTUALS"}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hidden="1">{#N/A,#N/A,FALSE,"Tabelle2";#N/A,#N/A,FALSE,"Tabelle1"}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hidden="1">{#N/A,#N/A,FALSE,"Assumptions";"Basedata",#N/A,FALSE,"BASEINPUT";"Checklist",#N/A,FALSE,"BASEINPUT"}</definedName>
    <definedName name="wrn.OUTPUT." hidden="1">{"DCF","UPSIDE CASE",FALSE,"Sheet1";"DCF","BASE CASE",FALSE,"Sheet1";"DCF","DOWNSIDE CASE",FALSE,"Sheet1"}</definedName>
    <definedName name="wrn.phak." hidden="1">{#N/A,#N/A,TRUE,"Tæng hîp"}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hidden="1">{#N/A,#N/A,FALSE,"Admin";#N/A,#N/A,FALSE,"Other"}</definedName>
    <definedName name="wrn.Reader." hidden="1">{"Reader",#N/A,FALSE,"Summary";"Reader",#N/A,FALSE,"Buildup";"Reader",#N/A,FALSE,"Financials";"Reader",#N/A,FALSE,"Debt &amp; Other"}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hidden="1">{"PRINT_EST",#N/A,FALSE,"ESTMON"}</definedName>
    <definedName name="wrn.rev_sale._.report." hidden="1">{"revsale",#N/A,FALSE,"REV-ยุพดี"}</definedName>
    <definedName name="wrn.revable." hidden="1">{"revable",#N/A,FALSE,"REVABLE"}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hidden="1">{"sales",#N/A,FALSE,"SALES"}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ummaryReport.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hidden="1">{"F3 Presentation",#N/A,FALSE,"F3 ";"F3 detail",#N/A,FALSE,"F3 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Validation._.Report.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d." hidden="1">{#N/A,#N/A,TRUE,"BT M200 da 10x20"}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ssd">#REF!</definedName>
    <definedName name="WT">#N/A</definedName>
    <definedName name="ww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w" hidden="1">{"'ตัวอย่าง'!$A$1:$O$21"}</definedName>
    <definedName name="wwwewe" hidden="1">{"'ตัวอย่าง'!$A$1:$O$21"}</definedName>
    <definedName name="X">#REF!</definedName>
    <definedName name="x1pind">#REF!</definedName>
    <definedName name="x1ping">#REF!</definedName>
    <definedName name="x1pint">#REF!</definedName>
    <definedName name="Xa">#REF!</definedName>
    <definedName name="Xadas" hidden="1">#REF!</definedName>
    <definedName name="XB_80">#REF!</definedName>
    <definedName name="XCCT">0.5</definedName>
    <definedName name="XCV">#REF!</definedName>
    <definedName name="xdfgsg" hidden="1">{"Profit",#N/A,FALSE,"Cisco7000a";"Capital",#N/A,FALSE,"Cisco7000a"}</definedName>
    <definedName name="xebdit">#REF!</definedName>
    <definedName name="xebit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eogjana" hidden="1">{"Reader",#N/A,FALSE,"Summary";"Reader",#N/A,FALSE,"Buildup";"Reader",#N/A,FALSE,"Financials";"Reader",#N/A,FALSE,"Debt &amp; Other"}</definedName>
    <definedName name="xl">#REF!</definedName>
    <definedName name="xlc">#REF!</definedName>
    <definedName name="xlk">#REF!</definedName>
    <definedName name="xls" hidden="1">{"F3 detail",#N/A,FALSE,"F1";"F3 Presentation",#N/A,FALSE,"F3 "}</definedName>
    <definedName name="xmcax">#REF!</definedName>
    <definedName name="xn">#REF!</definedName>
    <definedName name="Xuong">#REF!</definedName>
    <definedName name="xx" hidden="1">#REF!</definedName>
    <definedName name="xxx">#N/A</definedName>
    <definedName name="xxxx">#REF!</definedName>
    <definedName name="xxxxx" hidden="1">{"HK PR",#N/A,FALSE,"HK";"SUMMARY",#N/A,FALSE,"PAYROLL";"SUMMARY",#N/A,FALSE,"PAYROLL";"HK PR",#N/A,FALSE,"HK"}</definedName>
    <definedName name="y">#REF!</definedName>
    <definedName name="year">#REF!</definedName>
    <definedName name="ytdmat">#REF!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Y">#REF!</definedName>
    <definedName name="yyyy">#REF!</definedName>
    <definedName name="z" hidden="1">{"'ตัวอย่าง'!$A$1:$O$21"}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ZAEHLER">#REF!</definedName>
    <definedName name="ZÄHLER">#REF!</definedName>
    <definedName name="ZEILE1">#REF!</definedName>
    <definedName name="ZEILE10">#REF!</definedName>
    <definedName name="ZEILE1010">#REF!</definedName>
    <definedName name="ZEILE11">#REF!</definedName>
    <definedName name="ZEILE12">#REF!</definedName>
    <definedName name="ZEILE13">#REF!</definedName>
    <definedName name="ZEILE14">#REF!</definedName>
    <definedName name="ZEILE15">#REF!</definedName>
    <definedName name="ZEILE16">#REF!</definedName>
    <definedName name="ZEILE17">#REF!</definedName>
    <definedName name="ZEILE18">#REF!</definedName>
    <definedName name="ZEILE19">#REF!</definedName>
    <definedName name="ZEILE2">#REF!</definedName>
    <definedName name="ZEILE20">#REF!</definedName>
    <definedName name="ZEILE21">#REF!</definedName>
    <definedName name="ZEILE22">#REF!</definedName>
    <definedName name="ZEILE23">#REF!</definedName>
    <definedName name="ZEILE24">#REF!</definedName>
    <definedName name="ZEILE25">#REF!</definedName>
    <definedName name="ZEILE26">#REF!</definedName>
    <definedName name="ZEILE27">#REF!</definedName>
    <definedName name="ZEILE28">#REF!</definedName>
    <definedName name="ZEILE29">#REF!</definedName>
    <definedName name="ZEILE3">#REF!</definedName>
    <definedName name="ZEILE30">#REF!</definedName>
    <definedName name="ZEILE31">#REF!</definedName>
    <definedName name="ZEILE32">#REF!</definedName>
    <definedName name="ZEILE33">#REF!</definedName>
    <definedName name="ZEILE34">#REF!</definedName>
    <definedName name="ZEILE35">#REF!</definedName>
    <definedName name="ZEILE36">#REF!</definedName>
    <definedName name="ZEILE37">#REF!</definedName>
    <definedName name="ZEILE38">#REF!</definedName>
    <definedName name="ZEILE39">#REF!</definedName>
    <definedName name="ZEILE4">#REF!</definedName>
    <definedName name="ZEILE40">#REF!</definedName>
    <definedName name="ZEILE41">#REF!</definedName>
    <definedName name="ZEILE42">#REF!</definedName>
    <definedName name="ZEILE43">#REF!</definedName>
    <definedName name="ZEILE44">#REF!</definedName>
    <definedName name="ZEILE45">#REF!</definedName>
    <definedName name="ZEILE46">#REF!</definedName>
    <definedName name="ZEILE47">#REF!</definedName>
    <definedName name="ZEILE48">#REF!</definedName>
    <definedName name="ZEILE49">#REF!</definedName>
    <definedName name="ZEILE5">#REF!</definedName>
    <definedName name="ZEILE50">#REF!</definedName>
    <definedName name="ZEILE51">#REF!</definedName>
    <definedName name="ZEILE52">#REF!</definedName>
    <definedName name="ZEILE53">#REF!</definedName>
    <definedName name="ZEILE54">#REF!</definedName>
    <definedName name="ZEILE55">#REF!</definedName>
    <definedName name="ZEILE56">#REF!</definedName>
    <definedName name="ZEILE57">#REF!</definedName>
    <definedName name="ZEILE58">#REF!</definedName>
    <definedName name="ZEILE59">#REF!</definedName>
    <definedName name="ZEILE6">#REF!</definedName>
    <definedName name="ZEILE60">#REF!</definedName>
    <definedName name="ZEILE61">#REF!</definedName>
    <definedName name="ZEILE62">#REF!</definedName>
    <definedName name="ZEILE63">#REF!</definedName>
    <definedName name="ZEILE64">#REF!</definedName>
    <definedName name="ZEILE65">#REF!</definedName>
    <definedName name="ZEILE66">#REF!</definedName>
    <definedName name="ZEILE67">#REF!</definedName>
    <definedName name="ZEILE68">#REF!</definedName>
    <definedName name="ZEILE69">#REF!</definedName>
    <definedName name="ZEILE7">#REF!</definedName>
    <definedName name="ZEILE70">#REF!</definedName>
    <definedName name="ZEILE71">#REF!</definedName>
    <definedName name="ZEILE72">#REF!</definedName>
    <definedName name="ZEILE73">#REF!</definedName>
    <definedName name="ZEILE74">#REF!</definedName>
    <definedName name="ZEILE75">#REF!</definedName>
    <definedName name="ZEILE76">#REF!</definedName>
    <definedName name="ZEILE77">#REF!</definedName>
    <definedName name="ZEILE78">#REF!</definedName>
    <definedName name="ZEILE79">#REF!</definedName>
    <definedName name="ZEILE8">#REF!</definedName>
    <definedName name="ZEILE80">#REF!</definedName>
    <definedName name="ZEILE81">#REF!</definedName>
    <definedName name="ZEILE82">#REF!</definedName>
    <definedName name="ZEILE83">#REF!</definedName>
    <definedName name="ZEILE84">#REF!</definedName>
    <definedName name="ZEILE85">#REF!</definedName>
    <definedName name="ZEILE86">#REF!</definedName>
    <definedName name="ZEILE87">#REF!</definedName>
    <definedName name="ZEILE88">#REF!</definedName>
    <definedName name="ZEILE89">#REF!</definedName>
    <definedName name="ZEILE9">#REF!</definedName>
    <definedName name="ZEILE90">#REF!</definedName>
    <definedName name="ZEILE91">#REF!</definedName>
    <definedName name="ZEILE92">#REF!</definedName>
    <definedName name="ZEILE93">#REF!</definedName>
    <definedName name="ZEILE94">#REF!</definedName>
    <definedName name="ZEILE95">#REF!</definedName>
    <definedName name="ZEILE96">#REF!</definedName>
    <definedName name="ZEILE97">#REF!</definedName>
    <definedName name="ZEILE98">#REF!</definedName>
    <definedName name="ZEILE99">#REF!</definedName>
    <definedName name="ZEILEN_EINGEBEN">#REF!</definedName>
    <definedName name="ZEILEN_LEEREN">#REF!</definedName>
    <definedName name="ZEILEN_VA">#REF!</definedName>
    <definedName name="ZEILEN_VERBERG">#REF!</definedName>
    <definedName name="ZELLE1">#REF!</definedName>
    <definedName name="ZELLE10">#REF!</definedName>
    <definedName name="ZELLE11">#REF!</definedName>
    <definedName name="ZELLE12">#REF!</definedName>
    <definedName name="ZELLE13">#REF!</definedName>
    <definedName name="ZELLE14">#REF!</definedName>
    <definedName name="ZELLE15">#REF!</definedName>
    <definedName name="ZELLE16">#REF!</definedName>
    <definedName name="ZELLE17">#REF!</definedName>
    <definedName name="ZELLE18">#REF!</definedName>
    <definedName name="ZELLE19">#REF!</definedName>
    <definedName name="ZELLE2">#REF!</definedName>
    <definedName name="ZELLE20">#REF!</definedName>
    <definedName name="ZELLE21">#REF!</definedName>
    <definedName name="ZELLE22">#REF!</definedName>
    <definedName name="ZELLE23">#REF!</definedName>
    <definedName name="ZELLE24">#REF!</definedName>
    <definedName name="ZELLE25">#REF!</definedName>
    <definedName name="ZELLE26">#REF!</definedName>
    <definedName name="ZELLE27">#REF!</definedName>
    <definedName name="ZELLE28">#REF!</definedName>
    <definedName name="ZELLE29">#REF!</definedName>
    <definedName name="ZELLE3">#REF!</definedName>
    <definedName name="ZELLE30">#REF!</definedName>
    <definedName name="ZELLE31">#REF!</definedName>
    <definedName name="ZELLE32">#REF!</definedName>
    <definedName name="ZELLE33">#REF!</definedName>
    <definedName name="ZELLE34">#REF!</definedName>
    <definedName name="ZELLE35">#REF!</definedName>
    <definedName name="ZELLE36">#REF!</definedName>
    <definedName name="ZELLE37">#REF!</definedName>
    <definedName name="ZELLE38">#REF!</definedName>
    <definedName name="ZELLE39">#REF!</definedName>
    <definedName name="ZELLE4">#REF!</definedName>
    <definedName name="ZELLE40">#REF!</definedName>
    <definedName name="ZELLE5">#REF!</definedName>
    <definedName name="ZELLE6">#REF!</definedName>
    <definedName name="ZELLE7">#REF!</definedName>
    <definedName name="ZELLE8">#REF!</definedName>
    <definedName name="ZELLE9">#REF!</definedName>
    <definedName name="Zone_carat">#REF!,#REF!,#REF!,#REF!</definedName>
    <definedName name="ZONE_DE_SAISIE">#REF!</definedName>
    <definedName name="zone_resultat">#REF!</definedName>
    <definedName name="zone_source">#REF!</definedName>
    <definedName name="ZYX">#REF!</definedName>
    <definedName name="zz" hidden="1">{"cashflow",#N/A,FALSE,"CASHFLOW "}</definedName>
    <definedName name="zzz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ม.ย" hidden="1">{"'ตัวอย่าง'!$A$1:$O$21"}</definedName>
    <definedName name="เมษายน" hidden="1">{"'ตัวอย่าง'!$A$1:$O$21"}</definedName>
    <definedName name="เมษายน๑" hidden="1">{"'ตัวอย่าง'!$A$1:$O$21"}</definedName>
    <definedName name="ก" hidden="1">{"index",#N/A,FALSE,"INDEX"}</definedName>
    <definedName name="กกกกกก" hidden="1">{"PRINT_EST",#N/A,FALSE,"ESTMON"}</definedName>
    <definedName name="กดฟหกด" hidden="1">{"'ตัวอย่าง'!$A$1:$O$21"}</definedName>
    <definedName name="ชัยเจริญมารีน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ด" hidden="1">{"'ตัวอย่าง'!$A$1:$O$21"}</definedName>
    <definedName name="ดา" hidden="1">{"'ตัวอย่าง'!$A$1:$O$21"}</definedName>
    <definedName name="ดารา" hidden="1">{"'ตัวอย่าง'!$A$1:$O$21"}</definedName>
    <definedName name="ปั๊มดูดน้ำมันเก่าเข้า" hidden="1">{"'ตัวอย่าง'!$A$1:$O$21"}</definedName>
    <definedName name="ปั๊มน้ำท้าย" hidden="1">{"'ตัวอย่าง'!$A$1:$O$21"}</definedName>
    <definedName name="ปืน" hidden="1">{"'ตัวอย่าง'!$A$1:$O$21"}</definedName>
    <definedName name="พ" hidden="1">{"'ตัวอย่าง'!$A$1:$O$21"}</definedName>
    <definedName name="พ.ค." hidden="1">{"'ตัวอย่าง'!$A$1:$O$21"}</definedName>
    <definedName name="พด" hidden="1">{"'ตัวอย่าง'!$A$1:$O$21"}</definedName>
    <definedName name="พฤษภาคม" hidden="1">{"'ตัวอย่าง'!$A$1:$O$21"}</definedName>
    <definedName name="ฟ" hidden="1">{"hilight2",#N/A,FALSE,"HILIGHT2"}</definedName>
    <definedName name="ฟหด" hidden="1">{"'ตัวอย่าง'!$A$1:$O$21"}</definedName>
    <definedName name="ฟำ" hidden="1">{"'ตัวอย่าง'!$A$1:$O$21"}</definedName>
    <definedName name="ฟำดฟำ" hidden="1">{"'ตัวอย่าง'!$A$1:$O$21"}</definedName>
    <definedName name="ระบบโฟม" hidden="1">{"'ตัวอย่าง'!$A$1:$O$21"}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ห" hidden="1">{"'ตัวอย่าง'!$A$1:$O$21"}</definedName>
    <definedName name="가격">#REF!</definedName>
    <definedName name="가람상사">#REF!</definedName>
    <definedName name="근속수당">#REF!</definedName>
    <definedName name="급여">#REF!</definedName>
    <definedName name="기본급">#REF!</definedName>
    <definedName name="기수천안">#REF!</definedName>
    <definedName name="끝">#REF!</definedName>
    <definedName name="ㄴㄴ">#REF!</definedName>
    <definedName name="농협">#REF!</definedName>
    <definedName name="당일판매">#REF!,#REF!,#REF!,#REF!,#REF!,#REF!,#REF!,#REF!,#REF!,#REF!,#REF!</definedName>
    <definedName name="리얼">#REF!</definedName>
    <definedName name="ㅁㅁ">#REF!</definedName>
    <definedName name="목">#REF!</definedName>
    <definedName name="박지혜">#REF!</definedName>
    <definedName name="생리수당">#REF!</definedName>
    <definedName name="세율표">#REF!</definedName>
    <definedName name="세율표_01">#REF!</definedName>
    <definedName name="세율표01">#REF!</definedName>
    <definedName name="세율표0203">#REF!</definedName>
    <definedName name="시간외수당">#REF!</definedName>
    <definedName name="시급">#REF!</definedName>
    <definedName name="시장현황분석7월">#REF!</definedName>
    <definedName name="식대보조">#REF!</definedName>
    <definedName name="신업태지점">#REF!</definedName>
    <definedName name="신호봉">#REF!</definedName>
    <definedName name="ㅇ">#REF!</definedName>
    <definedName name="월급여">#REF!</definedName>
    <definedName name="월차수당">#REF!</definedName>
    <definedName name="유통">#REF!</definedName>
    <definedName name="인사">#REF!</definedName>
    <definedName name="인사자료">#REF!</definedName>
    <definedName name="인원">#REF!</definedName>
    <definedName name="인원2">#REF!</definedName>
    <definedName name="인원현황">#REF!</definedName>
    <definedName name="일보">#REF!,#REF!,#REF!,#REF!,#REF!,#REF!,#REF!,#REF!,#REF!,#REF!</definedName>
    <definedName name="일보가">#REF!,#REF!,#REF!,#REF!,#REF!,#REF!,#REF!,#REF!,#REF!,#REF!,#REF!</definedName>
    <definedName name="일보가.1">#REF!,#REF!,#REF!,#REF!,#REF!,#REF!,#REF!,#REF!,#REF!,#REF!,#REF!</definedName>
    <definedName name="일자">#REF!,#REF!,#REF!</definedName>
    <definedName name="일자가">#REF!,#REF!,#REF!,#REF!</definedName>
    <definedName name="임">#REF!</definedName>
    <definedName name="입사일">#REF!</definedName>
    <definedName name="재고수정">#REF!</definedName>
    <definedName name="전체DB">#REF!</definedName>
    <definedName name="정">#REF!,#REF!,#REF!,#REF!,#REF!,#REF!,#REF!,#REF!,#REF!,#REF!,#REF!</definedName>
    <definedName name="조정수당">#REF!</definedName>
    <definedName name="지점">#REF!</definedName>
    <definedName name="지점유통별">#REF!</definedName>
    <definedName name="직급">#REF!</definedName>
    <definedName name="직무수당">#REF!</definedName>
    <definedName name="직책수당">#REF!</definedName>
    <definedName name="진">#REF!</definedName>
    <definedName name="축협">#REF!</definedName>
    <definedName name="템플리트모듈1" localSheetId="0">BlankMacro1</definedName>
    <definedName name="템플리트모듈1" localSheetId="1">BlankMacro1</definedName>
    <definedName name="템플리트모듈1" localSheetId="2">BlankMacro1</definedName>
    <definedName name="템플리트모듈1" localSheetId="3">BlankMacro1</definedName>
    <definedName name="템플리트모듈1">BlankMacro1</definedName>
    <definedName name="템플리트모듈2" localSheetId="0">BlankMacro1</definedName>
    <definedName name="템플리트모듈2" localSheetId="1">BlankMacro1</definedName>
    <definedName name="템플리트모듈2" localSheetId="2">BlankMacro1</definedName>
    <definedName name="템플리트모듈2" localSheetId="3">BlankMacro1</definedName>
    <definedName name="템플리트모듈2">BlankMacro1</definedName>
    <definedName name="템플리트모듈3" localSheetId="0">BlankMacro1</definedName>
    <definedName name="템플리트모듈3" localSheetId="1">BlankMacro1</definedName>
    <definedName name="템플리트모듈3" localSheetId="2">BlankMacro1</definedName>
    <definedName name="템플리트모듈3" localSheetId="3">BlankMacro1</definedName>
    <definedName name="템플리트모듈3">BlankMacro1</definedName>
    <definedName name="템플리트모듈4" localSheetId="0">BlankMacro1</definedName>
    <definedName name="템플리트모듈4" localSheetId="1">BlankMacro1</definedName>
    <definedName name="템플리트모듈4" localSheetId="2">BlankMacro1</definedName>
    <definedName name="템플리트모듈4" localSheetId="3">BlankMacro1</definedName>
    <definedName name="템플리트모듈4">BlankMacro1</definedName>
    <definedName name="템플리트모듈5" localSheetId="0">BlankMacro1</definedName>
    <definedName name="템플리트모듈5" localSheetId="1">BlankMacro1</definedName>
    <definedName name="템플리트모듈5" localSheetId="2">BlankMacro1</definedName>
    <definedName name="템플리트모듈5" localSheetId="3">BlankMacro1</definedName>
    <definedName name="템플리트모듈5">BlankMacro1</definedName>
    <definedName name="템플리트모듈6" localSheetId="0">BlankMacro1</definedName>
    <definedName name="템플리트모듈6" localSheetId="1">BlankMacro1</definedName>
    <definedName name="템플리트모듈6" localSheetId="2">BlankMacro1</definedName>
    <definedName name="템플리트모듈6" localSheetId="3">BlankMacro1</definedName>
    <definedName name="템플리트모듈6">BlankMacro1</definedName>
    <definedName name="파트">#REF!</definedName>
    <definedName name="피벗4QTM포함">#REF!</definedName>
    <definedName name="피팅" localSheetId="0">BlankMacro1</definedName>
    <definedName name="피팅" localSheetId="1">BlankMacro1</definedName>
    <definedName name="피팅" localSheetId="2">BlankMacro1</definedName>
    <definedName name="피팅" localSheetId="3">BlankMacro1</definedName>
    <definedName name="피팅">BlankMacro1</definedName>
    <definedName name="효">#REF!,#REF!,#REF!,#REF!,#REF!,#REF!,#REF!,#REF!,#REF!</definedName>
    <definedName name="ㅠ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13" i="7" l="1"/>
  <c r="AC113" i="7"/>
  <c r="AA113" i="7"/>
  <c r="Z113" i="7"/>
  <c r="AF112" i="7"/>
  <c r="AC112" i="7"/>
  <c r="AA112" i="7"/>
  <c r="Z112" i="7"/>
  <c r="AF111" i="7"/>
  <c r="AC111" i="7"/>
  <c r="AA111" i="7"/>
  <c r="AB111" i="7" s="1"/>
  <c r="Z111" i="7"/>
  <c r="AF108" i="7"/>
  <c r="AC108" i="7"/>
  <c r="AA108" i="7"/>
  <c r="Z108" i="7"/>
  <c r="AF107" i="7"/>
  <c r="AC107" i="7"/>
  <c r="AA107" i="7"/>
  <c r="AB107" i="7" s="1"/>
  <c r="Z107" i="7"/>
  <c r="AF104" i="7"/>
  <c r="AC104" i="7"/>
  <c r="AA104" i="7"/>
  <c r="Z104" i="7"/>
  <c r="AF103" i="7"/>
  <c r="AC103" i="7"/>
  <c r="AA103" i="7"/>
  <c r="Z103" i="7"/>
  <c r="AF102" i="7"/>
  <c r="AC102" i="7"/>
  <c r="AA102" i="7"/>
  <c r="Z102" i="7"/>
  <c r="AF101" i="7"/>
  <c r="AC101" i="7"/>
  <c r="AA101" i="7"/>
  <c r="Z101" i="7"/>
  <c r="AF100" i="7"/>
  <c r="AC100" i="7"/>
  <c r="AA100" i="7"/>
  <c r="Z100" i="7"/>
  <c r="AF99" i="7"/>
  <c r="AC99" i="7"/>
  <c r="AA99" i="7"/>
  <c r="Z99" i="7"/>
  <c r="AF98" i="7"/>
  <c r="AC98" i="7"/>
  <c r="AA98" i="7"/>
  <c r="Z98" i="7"/>
  <c r="AF97" i="7"/>
  <c r="AC97" i="7"/>
  <c r="AA97" i="7"/>
  <c r="Z97" i="7"/>
  <c r="AF96" i="7"/>
  <c r="AC96" i="7"/>
  <c r="AA96" i="7"/>
  <c r="Z96" i="7"/>
  <c r="AF94" i="7"/>
  <c r="AC94" i="7"/>
  <c r="AA94" i="7"/>
  <c r="Z94" i="7"/>
  <c r="AF93" i="7"/>
  <c r="AC93" i="7"/>
  <c r="AA93" i="7"/>
  <c r="Z93" i="7"/>
  <c r="AF92" i="7"/>
  <c r="AC92" i="7"/>
  <c r="AA92" i="7"/>
  <c r="Z92" i="7"/>
  <c r="AF91" i="7"/>
  <c r="AC91" i="7"/>
  <c r="AA91" i="7"/>
  <c r="Z91" i="7"/>
  <c r="AF90" i="7"/>
  <c r="AC90" i="7"/>
  <c r="AA90" i="7"/>
  <c r="Z90" i="7"/>
  <c r="AF89" i="7"/>
  <c r="AC89" i="7"/>
  <c r="AA89" i="7"/>
  <c r="Z89" i="7"/>
  <c r="AF88" i="7"/>
  <c r="AC88" i="7"/>
  <c r="AA88" i="7"/>
  <c r="Z88" i="7"/>
  <c r="AF87" i="7"/>
  <c r="AC87" i="7"/>
  <c r="AA87" i="7"/>
  <c r="Z87" i="7"/>
  <c r="AF86" i="7"/>
  <c r="AC86" i="7"/>
  <c r="AA86" i="7"/>
  <c r="Z86" i="7"/>
  <c r="AF82" i="7"/>
  <c r="AC82" i="7"/>
  <c r="AA82" i="7"/>
  <c r="Z82" i="7"/>
  <c r="AF80" i="7"/>
  <c r="AC80" i="7"/>
  <c r="AA80" i="7"/>
  <c r="Z80" i="7"/>
  <c r="AF79" i="7"/>
  <c r="AC79" i="7"/>
  <c r="AA79" i="7"/>
  <c r="Z79" i="7"/>
  <c r="AF78" i="7"/>
  <c r="AC78" i="7"/>
  <c r="AA78" i="7"/>
  <c r="Z78" i="7"/>
  <c r="AF77" i="7"/>
  <c r="AC77" i="7"/>
  <c r="AA77" i="7"/>
  <c r="Z77" i="7"/>
  <c r="AF76" i="7"/>
  <c r="AC76" i="7"/>
  <c r="AA76" i="7"/>
  <c r="Z76" i="7"/>
  <c r="AF75" i="7"/>
  <c r="AC75" i="7"/>
  <c r="AA75" i="7"/>
  <c r="Z75" i="7"/>
  <c r="AF74" i="7"/>
  <c r="AC74" i="7"/>
  <c r="AA74" i="7"/>
  <c r="AD74" i="7" s="1"/>
  <c r="AE74" i="7" s="1"/>
  <c r="Z74" i="7"/>
  <c r="AF70" i="7"/>
  <c r="AC70" i="7"/>
  <c r="AD70" i="7" s="1"/>
  <c r="AE70" i="7" s="1"/>
  <c r="AA70" i="7"/>
  <c r="Z70" i="7"/>
  <c r="AF68" i="7"/>
  <c r="AC68" i="7"/>
  <c r="AA68" i="7"/>
  <c r="Z68" i="7"/>
  <c r="AF67" i="7"/>
  <c r="AC67" i="7"/>
  <c r="AA67" i="7"/>
  <c r="Z67" i="7"/>
  <c r="AF66" i="7"/>
  <c r="AC66" i="7"/>
  <c r="AA66" i="7"/>
  <c r="Z66" i="7"/>
  <c r="AF65" i="7"/>
  <c r="AC65" i="7"/>
  <c r="AA65" i="7"/>
  <c r="Z65" i="7"/>
  <c r="AF64" i="7"/>
  <c r="AC64" i="7"/>
  <c r="AA64" i="7"/>
  <c r="Z64" i="7"/>
  <c r="AF63" i="7"/>
  <c r="AC63" i="7"/>
  <c r="AA63" i="7"/>
  <c r="Z63" i="7"/>
  <c r="AF62" i="7"/>
  <c r="AC62" i="7"/>
  <c r="AD62" i="7" s="1"/>
  <c r="AE62" i="7" s="1"/>
  <c r="AA62" i="7"/>
  <c r="Z62" i="7"/>
  <c r="AF61" i="7"/>
  <c r="AC61" i="7"/>
  <c r="AA61" i="7"/>
  <c r="Z61" i="7"/>
  <c r="AF58" i="7"/>
  <c r="AC58" i="7"/>
  <c r="AD58" i="7" s="1"/>
  <c r="AE58" i="7" s="1"/>
  <c r="AA58" i="7"/>
  <c r="Z58" i="7"/>
  <c r="AF56" i="7"/>
  <c r="AC56" i="7"/>
  <c r="AA56" i="7"/>
  <c r="Z56" i="7"/>
  <c r="AF55" i="7"/>
  <c r="AC55" i="7"/>
  <c r="AA55" i="7"/>
  <c r="Z55" i="7"/>
  <c r="AF54" i="7"/>
  <c r="AC54" i="7"/>
  <c r="AA54" i="7"/>
  <c r="AD54" i="7" s="1"/>
  <c r="AE54" i="7" s="1"/>
  <c r="Z54" i="7"/>
  <c r="AF53" i="7"/>
  <c r="AC53" i="7"/>
  <c r="AA53" i="7"/>
  <c r="AD53" i="7" s="1"/>
  <c r="AE53" i="7" s="1"/>
  <c r="Z53" i="7"/>
  <c r="AF52" i="7"/>
  <c r="AC52" i="7"/>
  <c r="AA52" i="7"/>
  <c r="Z52" i="7"/>
  <c r="AF51" i="7"/>
  <c r="AC51" i="7"/>
  <c r="AA51" i="7"/>
  <c r="Z51" i="7"/>
  <c r="AF50" i="7"/>
  <c r="AC50" i="7"/>
  <c r="AA50" i="7"/>
  <c r="Z50" i="7"/>
  <c r="AF49" i="7"/>
  <c r="AC49" i="7"/>
  <c r="AA49" i="7"/>
  <c r="AB49" i="7" s="1"/>
  <c r="Z49" i="7"/>
  <c r="AF48" i="7"/>
  <c r="AC48" i="7"/>
  <c r="AA48" i="7"/>
  <c r="Z48" i="7"/>
  <c r="AF46" i="7"/>
  <c r="AC46" i="7"/>
  <c r="AA46" i="7"/>
  <c r="Z46" i="7"/>
  <c r="AF45" i="7"/>
  <c r="AC45" i="7"/>
  <c r="AA45" i="7"/>
  <c r="Z45" i="7"/>
  <c r="AF44" i="7"/>
  <c r="AC44" i="7"/>
  <c r="AA44" i="7"/>
  <c r="AB44" i="7" s="1"/>
  <c r="Z44" i="7"/>
  <c r="AF43" i="7"/>
  <c r="AC43" i="7"/>
  <c r="AA43" i="7"/>
  <c r="AD43" i="7" s="1"/>
  <c r="AE43" i="7" s="1"/>
  <c r="Z43" i="7"/>
  <c r="AF42" i="7"/>
  <c r="AC42" i="7"/>
  <c r="AA42" i="7"/>
  <c r="Z42" i="7"/>
  <c r="AF41" i="7"/>
  <c r="AC41" i="7"/>
  <c r="AA41" i="7"/>
  <c r="AB41" i="7" s="1"/>
  <c r="Z41" i="7"/>
  <c r="AF40" i="7"/>
  <c r="AC40" i="7"/>
  <c r="AA40" i="7"/>
  <c r="Z40" i="7"/>
  <c r="AB40" i="7" s="1"/>
  <c r="AF37" i="7"/>
  <c r="AC37" i="7"/>
  <c r="AA37" i="7"/>
  <c r="Z37" i="7"/>
  <c r="AF36" i="7"/>
  <c r="AC36" i="7"/>
  <c r="AA36" i="7"/>
  <c r="Z36" i="7"/>
  <c r="AF35" i="7"/>
  <c r="AC35" i="7"/>
  <c r="AA35" i="7"/>
  <c r="AD35" i="7" s="1"/>
  <c r="AE35" i="7" s="1"/>
  <c r="Z35" i="7"/>
  <c r="AF34" i="7"/>
  <c r="AC34" i="7"/>
  <c r="AA34" i="7"/>
  <c r="AD34" i="7" s="1"/>
  <c r="AE34" i="7" s="1"/>
  <c r="Z34" i="7"/>
  <c r="AF33" i="7"/>
  <c r="AC33" i="7"/>
  <c r="AA33" i="7"/>
  <c r="Z33" i="7"/>
  <c r="AF32" i="7"/>
  <c r="AC32" i="7"/>
  <c r="AA32" i="7"/>
  <c r="AD32" i="7" s="1"/>
  <c r="AE32" i="7" s="1"/>
  <c r="Z32" i="7"/>
  <c r="AF31" i="7"/>
  <c r="AC31" i="7"/>
  <c r="AA31" i="7"/>
  <c r="Z31" i="7"/>
  <c r="AF30" i="7"/>
  <c r="AC30" i="7"/>
  <c r="AA30" i="7"/>
  <c r="Z30" i="7"/>
  <c r="AF28" i="7"/>
  <c r="AC28" i="7"/>
  <c r="AA28" i="7"/>
  <c r="Z28" i="7"/>
  <c r="AF27" i="7"/>
  <c r="AC27" i="7"/>
  <c r="AA27" i="7"/>
  <c r="Z27" i="7"/>
  <c r="AF26" i="7"/>
  <c r="AC26" i="7"/>
  <c r="AA26" i="7"/>
  <c r="AB26" i="7" s="1"/>
  <c r="Z26" i="7"/>
  <c r="AF25" i="7"/>
  <c r="AC25" i="7"/>
  <c r="AA25" i="7"/>
  <c r="AB25" i="7" s="1"/>
  <c r="Z25" i="7"/>
  <c r="AF24" i="7"/>
  <c r="AC24" i="7"/>
  <c r="AA24" i="7"/>
  <c r="Z24" i="7"/>
  <c r="AF23" i="7"/>
  <c r="AC23" i="7"/>
  <c r="AA23" i="7"/>
  <c r="AB23" i="7" s="1"/>
  <c r="Z23" i="7"/>
  <c r="AF22" i="7"/>
  <c r="AC22" i="7"/>
  <c r="AA22" i="7"/>
  <c r="Z22" i="7"/>
  <c r="AF21" i="7"/>
  <c r="AC21" i="7"/>
  <c r="AA21" i="7"/>
  <c r="Z21" i="7"/>
  <c r="AF20" i="7"/>
  <c r="AC20" i="7"/>
  <c r="AA20" i="7"/>
  <c r="AB20" i="7" s="1"/>
  <c r="Z20" i="7"/>
  <c r="AF19" i="7"/>
  <c r="AC19" i="7"/>
  <c r="AA19" i="7"/>
  <c r="AD19" i="7" s="1"/>
  <c r="AE19" i="7" s="1"/>
  <c r="Z19" i="7"/>
  <c r="AF18" i="7"/>
  <c r="AC18" i="7"/>
  <c r="AA18" i="7"/>
  <c r="AD18" i="7" s="1"/>
  <c r="AE18" i="7" s="1"/>
  <c r="Z18" i="7"/>
  <c r="AF16" i="7"/>
  <c r="AC16" i="7"/>
  <c r="AA16" i="7"/>
  <c r="AD16" i="7" s="1"/>
  <c r="AE16" i="7" s="1"/>
  <c r="Z16" i="7"/>
  <c r="AF15" i="7"/>
  <c r="AC15" i="7"/>
  <c r="AA15" i="7"/>
  <c r="AD15" i="7" s="1"/>
  <c r="AE15" i="7" s="1"/>
  <c r="Z15" i="7"/>
  <c r="AF14" i="7"/>
  <c r="AC14" i="7"/>
  <c r="AA14" i="7"/>
  <c r="AD14" i="7" s="1"/>
  <c r="AE14" i="7" s="1"/>
  <c r="Z14" i="7"/>
  <c r="AF13" i="7"/>
  <c r="AC13" i="7"/>
  <c r="AA13" i="7"/>
  <c r="AD13" i="7" s="1"/>
  <c r="AE13" i="7" s="1"/>
  <c r="Z13" i="7"/>
  <c r="AF12" i="7"/>
  <c r="AC12" i="7"/>
  <c r="AA12" i="7"/>
  <c r="AD12" i="7" s="1"/>
  <c r="AE12" i="7" s="1"/>
  <c r="Z12" i="7"/>
  <c r="AF11" i="7"/>
  <c r="AC11" i="7"/>
  <c r="AA11" i="7"/>
  <c r="Z11" i="7"/>
  <c r="AF10" i="7"/>
  <c r="AC10" i="7"/>
  <c r="AA10" i="7"/>
  <c r="Z10" i="7"/>
  <c r="AF9" i="7"/>
  <c r="AC9" i="7"/>
  <c r="AA9" i="7"/>
  <c r="Z9" i="7"/>
  <c r="AF8" i="7"/>
  <c r="AC8" i="7"/>
  <c r="AA8" i="7"/>
  <c r="AD8" i="7" s="1"/>
  <c r="AE8" i="7" s="1"/>
  <c r="Z8" i="7"/>
  <c r="AF7" i="7"/>
  <c r="AC7" i="7"/>
  <c r="AA7" i="7"/>
  <c r="AD7" i="7" s="1"/>
  <c r="AE7" i="7" s="1"/>
  <c r="Z7" i="7"/>
  <c r="Y113" i="7"/>
  <c r="V113" i="7"/>
  <c r="W113" i="7" s="1"/>
  <c r="X113" i="7" s="1"/>
  <c r="T113" i="7"/>
  <c r="S113" i="7"/>
  <c r="U113" i="7" s="1"/>
  <c r="Y112" i="7"/>
  <c r="W112" i="7"/>
  <c r="X112" i="7" s="1"/>
  <c r="V112" i="7"/>
  <c r="U112" i="7"/>
  <c r="T112" i="7"/>
  <c r="S112" i="7"/>
  <c r="Y111" i="7"/>
  <c r="V111" i="7"/>
  <c r="W111" i="7" s="1"/>
  <c r="X111" i="7" s="1"/>
  <c r="T111" i="7"/>
  <c r="S111" i="7"/>
  <c r="U111" i="7" s="1"/>
  <c r="Y108" i="7"/>
  <c r="W108" i="7"/>
  <c r="X108" i="7" s="1"/>
  <c r="V108" i="7"/>
  <c r="U108" i="7"/>
  <c r="T108" i="7"/>
  <c r="S108" i="7"/>
  <c r="Y107" i="7"/>
  <c r="V107" i="7"/>
  <c r="W107" i="7" s="1"/>
  <c r="X107" i="7" s="1"/>
  <c r="T107" i="7"/>
  <c r="S107" i="7"/>
  <c r="U107" i="7" s="1"/>
  <c r="Y104" i="7"/>
  <c r="V104" i="7"/>
  <c r="T104" i="7"/>
  <c r="S104" i="7"/>
  <c r="Y103" i="7"/>
  <c r="V103" i="7"/>
  <c r="T103" i="7"/>
  <c r="S103" i="7"/>
  <c r="Y102" i="7"/>
  <c r="V102" i="7"/>
  <c r="T102" i="7"/>
  <c r="S102" i="7"/>
  <c r="Y101" i="7"/>
  <c r="V101" i="7"/>
  <c r="T101" i="7"/>
  <c r="S101" i="7"/>
  <c r="Y100" i="7"/>
  <c r="V100" i="7"/>
  <c r="T100" i="7"/>
  <c r="S100" i="7"/>
  <c r="Y99" i="7"/>
  <c r="V99" i="7"/>
  <c r="T99" i="7"/>
  <c r="S99" i="7"/>
  <c r="Y98" i="7"/>
  <c r="V98" i="7"/>
  <c r="T98" i="7"/>
  <c r="S98" i="7"/>
  <c r="Y97" i="7"/>
  <c r="V97" i="7"/>
  <c r="T97" i="7"/>
  <c r="S97" i="7"/>
  <c r="Y96" i="7"/>
  <c r="V96" i="7"/>
  <c r="T96" i="7"/>
  <c r="S96" i="7"/>
  <c r="Y94" i="7"/>
  <c r="V94" i="7"/>
  <c r="T94" i="7"/>
  <c r="S94" i="7"/>
  <c r="Y93" i="7"/>
  <c r="V93" i="7"/>
  <c r="T93" i="7"/>
  <c r="S93" i="7"/>
  <c r="Y92" i="7"/>
  <c r="V92" i="7"/>
  <c r="T92" i="7"/>
  <c r="S92" i="7"/>
  <c r="Y91" i="7"/>
  <c r="V91" i="7"/>
  <c r="T91" i="7"/>
  <c r="S91" i="7"/>
  <c r="Y90" i="7"/>
  <c r="V90" i="7"/>
  <c r="T90" i="7"/>
  <c r="S90" i="7"/>
  <c r="Y89" i="7"/>
  <c r="V89" i="7"/>
  <c r="T89" i="7"/>
  <c r="S89" i="7"/>
  <c r="Y88" i="7"/>
  <c r="V88" i="7"/>
  <c r="T88" i="7"/>
  <c r="S88" i="7"/>
  <c r="Y87" i="7"/>
  <c r="V87" i="7"/>
  <c r="T87" i="7"/>
  <c r="S87" i="7"/>
  <c r="Y86" i="7"/>
  <c r="V86" i="7"/>
  <c r="T86" i="7"/>
  <c r="S86" i="7"/>
  <c r="Y82" i="7"/>
  <c r="V82" i="7"/>
  <c r="T82" i="7"/>
  <c r="S82" i="7"/>
  <c r="Y80" i="7"/>
  <c r="V80" i="7"/>
  <c r="T80" i="7"/>
  <c r="S80" i="7"/>
  <c r="Y79" i="7"/>
  <c r="V79" i="7"/>
  <c r="T79" i="7"/>
  <c r="S79" i="7"/>
  <c r="Y78" i="7"/>
  <c r="V78" i="7"/>
  <c r="T78" i="7"/>
  <c r="S78" i="7"/>
  <c r="Y77" i="7"/>
  <c r="V77" i="7"/>
  <c r="T77" i="7"/>
  <c r="S77" i="7"/>
  <c r="Y76" i="7"/>
  <c r="V76" i="7"/>
  <c r="T76" i="7"/>
  <c r="S76" i="7"/>
  <c r="Y75" i="7"/>
  <c r="V75" i="7"/>
  <c r="T75" i="7"/>
  <c r="S75" i="7"/>
  <c r="Y74" i="7"/>
  <c r="V74" i="7"/>
  <c r="T74" i="7"/>
  <c r="S74" i="7"/>
  <c r="Y70" i="7"/>
  <c r="V70" i="7"/>
  <c r="T70" i="7"/>
  <c r="S70" i="7"/>
  <c r="Y68" i="7"/>
  <c r="V68" i="7"/>
  <c r="T68" i="7"/>
  <c r="S68" i="7"/>
  <c r="Y67" i="7"/>
  <c r="V67" i="7"/>
  <c r="T67" i="7"/>
  <c r="S67" i="7"/>
  <c r="Y66" i="7"/>
  <c r="V66" i="7"/>
  <c r="T66" i="7"/>
  <c r="S66" i="7"/>
  <c r="Y65" i="7"/>
  <c r="V65" i="7"/>
  <c r="T65" i="7"/>
  <c r="S65" i="7"/>
  <c r="Y64" i="7"/>
  <c r="V64" i="7"/>
  <c r="T64" i="7"/>
  <c r="S64" i="7"/>
  <c r="Y63" i="7"/>
  <c r="V63" i="7"/>
  <c r="T63" i="7"/>
  <c r="S63" i="7"/>
  <c r="Y62" i="7"/>
  <c r="V62" i="7"/>
  <c r="T62" i="7"/>
  <c r="S62" i="7"/>
  <c r="Y61" i="7"/>
  <c r="V61" i="7"/>
  <c r="T61" i="7"/>
  <c r="S61" i="7"/>
  <c r="Y58" i="7"/>
  <c r="V58" i="7"/>
  <c r="T58" i="7"/>
  <c r="S58" i="7"/>
  <c r="Y56" i="7"/>
  <c r="V56" i="7"/>
  <c r="W56" i="7" s="1"/>
  <c r="X56" i="7" s="1"/>
  <c r="T56" i="7"/>
  <c r="S56" i="7"/>
  <c r="Y55" i="7"/>
  <c r="V55" i="7"/>
  <c r="T55" i="7"/>
  <c r="S55" i="7"/>
  <c r="Y54" i="7"/>
  <c r="V54" i="7"/>
  <c r="T54" i="7"/>
  <c r="S54" i="7"/>
  <c r="Y53" i="7"/>
  <c r="V53" i="7"/>
  <c r="T53" i="7"/>
  <c r="S53" i="7"/>
  <c r="Y52" i="7"/>
  <c r="V52" i="7"/>
  <c r="T52" i="7"/>
  <c r="S52" i="7"/>
  <c r="Y51" i="7"/>
  <c r="V51" i="7"/>
  <c r="T51" i="7"/>
  <c r="S51" i="7"/>
  <c r="Y50" i="7"/>
  <c r="V50" i="7"/>
  <c r="T50" i="7"/>
  <c r="S50" i="7"/>
  <c r="Y49" i="7"/>
  <c r="V49" i="7"/>
  <c r="W49" i="7" s="1"/>
  <c r="X49" i="7" s="1"/>
  <c r="T49" i="7"/>
  <c r="S49" i="7"/>
  <c r="Y48" i="7"/>
  <c r="V48" i="7"/>
  <c r="T48" i="7"/>
  <c r="W48" i="7" s="1"/>
  <c r="X48" i="7" s="1"/>
  <c r="S48" i="7"/>
  <c r="Y46" i="7"/>
  <c r="V46" i="7"/>
  <c r="T46" i="7"/>
  <c r="W46" i="7" s="1"/>
  <c r="X46" i="7" s="1"/>
  <c r="S46" i="7"/>
  <c r="Y45" i="7"/>
  <c r="V45" i="7"/>
  <c r="T45" i="7"/>
  <c r="S45" i="7"/>
  <c r="Y44" i="7"/>
  <c r="V44" i="7"/>
  <c r="T44" i="7"/>
  <c r="S44" i="7"/>
  <c r="Y43" i="7"/>
  <c r="V43" i="7"/>
  <c r="T43" i="7"/>
  <c r="S43" i="7"/>
  <c r="Y42" i="7"/>
  <c r="V42" i="7"/>
  <c r="T42" i="7"/>
  <c r="S42" i="7"/>
  <c r="U42" i="7" s="1"/>
  <c r="Y41" i="7"/>
  <c r="V41" i="7"/>
  <c r="T41" i="7"/>
  <c r="U41" i="7" s="1"/>
  <c r="S41" i="7"/>
  <c r="Y40" i="7"/>
  <c r="V40" i="7"/>
  <c r="T40" i="7"/>
  <c r="U40" i="7" s="1"/>
  <c r="S40" i="7"/>
  <c r="Y37" i="7"/>
  <c r="V37" i="7"/>
  <c r="T37" i="7"/>
  <c r="S37" i="7"/>
  <c r="Y36" i="7"/>
  <c r="V36" i="7"/>
  <c r="T36" i="7"/>
  <c r="W16" i="7" s="1"/>
  <c r="X16" i="7" s="1"/>
  <c r="S36" i="7"/>
  <c r="Y35" i="7"/>
  <c r="V35" i="7"/>
  <c r="T35" i="7"/>
  <c r="W15" i="7" s="1"/>
  <c r="X15" i="7" s="1"/>
  <c r="S35" i="7"/>
  <c r="Y34" i="7"/>
  <c r="V34" i="7"/>
  <c r="W34" i="7" s="1"/>
  <c r="X34" i="7" s="1"/>
  <c r="T34" i="7"/>
  <c r="S34" i="7"/>
  <c r="Y33" i="7"/>
  <c r="V33" i="7"/>
  <c r="T33" i="7"/>
  <c r="U33" i="7" s="1"/>
  <c r="S33" i="7"/>
  <c r="Y32" i="7"/>
  <c r="V32" i="7"/>
  <c r="T32" i="7"/>
  <c r="W12" i="7" s="1"/>
  <c r="X12" i="7" s="1"/>
  <c r="S32" i="7"/>
  <c r="Y31" i="7"/>
  <c r="V31" i="7"/>
  <c r="T31" i="7"/>
  <c r="W31" i="7" s="1"/>
  <c r="X31" i="7" s="1"/>
  <c r="S31" i="7"/>
  <c r="Y30" i="7"/>
  <c r="V30" i="7"/>
  <c r="T30" i="7"/>
  <c r="W10" i="7" s="1"/>
  <c r="X10" i="7" s="1"/>
  <c r="S30" i="7"/>
  <c r="Y28" i="7"/>
  <c r="V28" i="7"/>
  <c r="T28" i="7"/>
  <c r="S28" i="7"/>
  <c r="U28" i="7" s="1"/>
  <c r="Y27" i="7"/>
  <c r="V27" i="7"/>
  <c r="T27" i="7"/>
  <c r="U27" i="7" s="1"/>
  <c r="S27" i="7"/>
  <c r="Y26" i="7"/>
  <c r="V26" i="7"/>
  <c r="T26" i="7"/>
  <c r="S26" i="7"/>
  <c r="Y25" i="7"/>
  <c r="V25" i="7"/>
  <c r="T25" i="7"/>
  <c r="S25" i="7"/>
  <c r="Y24" i="7"/>
  <c r="V24" i="7"/>
  <c r="T24" i="7"/>
  <c r="U24" i="7" s="1"/>
  <c r="S24" i="7"/>
  <c r="Y23" i="7"/>
  <c r="V23" i="7"/>
  <c r="T23" i="7"/>
  <c r="U23" i="7" s="1"/>
  <c r="S23" i="7"/>
  <c r="Y22" i="7"/>
  <c r="V22" i="7"/>
  <c r="T22" i="7"/>
  <c r="S22" i="7"/>
  <c r="Y21" i="7"/>
  <c r="V21" i="7"/>
  <c r="T21" i="7"/>
  <c r="S21" i="7"/>
  <c r="Y20" i="7"/>
  <c r="V20" i="7"/>
  <c r="T20" i="7"/>
  <c r="U20" i="7" s="1"/>
  <c r="S20" i="7"/>
  <c r="Y19" i="7"/>
  <c r="V19" i="7"/>
  <c r="W19" i="7" s="1"/>
  <c r="X19" i="7" s="1"/>
  <c r="T19" i="7"/>
  <c r="S19" i="7"/>
  <c r="U19" i="7" s="1"/>
  <c r="Y18" i="7"/>
  <c r="V18" i="7"/>
  <c r="W18" i="7" s="1"/>
  <c r="X18" i="7" s="1"/>
  <c r="T18" i="7"/>
  <c r="S18" i="7"/>
  <c r="U18" i="7" s="1"/>
  <c r="Y16" i="7"/>
  <c r="V16" i="7"/>
  <c r="T16" i="7"/>
  <c r="S16" i="7"/>
  <c r="Y15" i="7"/>
  <c r="V15" i="7"/>
  <c r="T15" i="7"/>
  <c r="S15" i="7"/>
  <c r="Y14" i="7"/>
  <c r="V14" i="7"/>
  <c r="W14" i="7" s="1"/>
  <c r="X14" i="7" s="1"/>
  <c r="T14" i="7"/>
  <c r="S14" i="7"/>
  <c r="U14" i="7" s="1"/>
  <c r="Y13" i="7"/>
  <c r="V13" i="7"/>
  <c r="W13" i="7" s="1"/>
  <c r="X13" i="7" s="1"/>
  <c r="T13" i="7"/>
  <c r="S13" i="7"/>
  <c r="U13" i="7" s="1"/>
  <c r="Y12" i="7"/>
  <c r="V12" i="7"/>
  <c r="T12" i="7"/>
  <c r="S12" i="7"/>
  <c r="Y11" i="7"/>
  <c r="V11" i="7"/>
  <c r="T11" i="7"/>
  <c r="S11" i="7"/>
  <c r="Y10" i="7"/>
  <c r="V10" i="7"/>
  <c r="T10" i="7"/>
  <c r="S10" i="7"/>
  <c r="U10" i="7" s="1"/>
  <c r="Y9" i="7"/>
  <c r="V9" i="7"/>
  <c r="T9" i="7"/>
  <c r="S9" i="7"/>
  <c r="Y8" i="7"/>
  <c r="V8" i="7"/>
  <c r="T8" i="7"/>
  <c r="W8" i="7" s="1"/>
  <c r="X8" i="7" s="1"/>
  <c r="S8" i="7"/>
  <c r="Y7" i="7"/>
  <c r="V7" i="7"/>
  <c r="T7" i="7"/>
  <c r="S7" i="7"/>
  <c r="R113" i="7"/>
  <c r="R112" i="7"/>
  <c r="R111" i="7"/>
  <c r="R108" i="7"/>
  <c r="R107" i="7"/>
  <c r="R104" i="7"/>
  <c r="R103" i="7"/>
  <c r="R102" i="7"/>
  <c r="R101" i="7"/>
  <c r="R100" i="7"/>
  <c r="R99" i="7"/>
  <c r="R98" i="7"/>
  <c r="R97" i="7"/>
  <c r="R96" i="7"/>
  <c r="R94" i="7"/>
  <c r="R93" i="7"/>
  <c r="R92" i="7"/>
  <c r="R91" i="7"/>
  <c r="R90" i="7"/>
  <c r="R89" i="7"/>
  <c r="R88" i="7"/>
  <c r="R87" i="7"/>
  <c r="R86" i="7"/>
  <c r="R82" i="7"/>
  <c r="R80" i="7"/>
  <c r="R79" i="7"/>
  <c r="R78" i="7"/>
  <c r="R77" i="7"/>
  <c r="R76" i="7"/>
  <c r="R75" i="7"/>
  <c r="R74" i="7"/>
  <c r="R70" i="7"/>
  <c r="R68" i="7"/>
  <c r="R67" i="7"/>
  <c r="R66" i="7"/>
  <c r="R65" i="7"/>
  <c r="R64" i="7"/>
  <c r="R63" i="7"/>
  <c r="R62" i="7"/>
  <c r="R61" i="7"/>
  <c r="R58" i="7"/>
  <c r="R56" i="7"/>
  <c r="R55" i="7"/>
  <c r="R54" i="7"/>
  <c r="R53" i="7"/>
  <c r="R52" i="7"/>
  <c r="R51" i="7"/>
  <c r="R50" i="7"/>
  <c r="R49" i="7"/>
  <c r="R48" i="7"/>
  <c r="R46" i="7"/>
  <c r="R45" i="7"/>
  <c r="R44" i="7"/>
  <c r="R43" i="7"/>
  <c r="R42" i="7"/>
  <c r="R41" i="7"/>
  <c r="R40" i="7"/>
  <c r="R37" i="7"/>
  <c r="R36" i="7"/>
  <c r="R35" i="7"/>
  <c r="R34" i="7"/>
  <c r="R33" i="7"/>
  <c r="R32" i="7"/>
  <c r="R31" i="7"/>
  <c r="R30" i="7"/>
  <c r="R28" i="7"/>
  <c r="R27" i="7"/>
  <c r="R26" i="7"/>
  <c r="R25" i="7"/>
  <c r="R24" i="7"/>
  <c r="R23" i="7"/>
  <c r="R22" i="7"/>
  <c r="R21" i="7"/>
  <c r="R20" i="7"/>
  <c r="R19" i="7"/>
  <c r="R18" i="7"/>
  <c r="R16" i="7"/>
  <c r="R15" i="7"/>
  <c r="R14" i="7"/>
  <c r="R13" i="7"/>
  <c r="R12" i="7"/>
  <c r="R11" i="7"/>
  <c r="R10" i="7"/>
  <c r="R9" i="7"/>
  <c r="R8" i="7"/>
  <c r="R7" i="7"/>
  <c r="O113" i="7"/>
  <c r="M113" i="7"/>
  <c r="L113" i="7"/>
  <c r="O112" i="7"/>
  <c r="P112" i="7" s="1"/>
  <c r="Q112" i="7" s="1"/>
  <c r="M112" i="7"/>
  <c r="L112" i="7"/>
  <c r="O111" i="7"/>
  <c r="M111" i="7"/>
  <c r="L111" i="7"/>
  <c r="O108" i="7"/>
  <c r="M108" i="7"/>
  <c r="L108" i="7"/>
  <c r="O107" i="7"/>
  <c r="M107" i="7"/>
  <c r="P107" i="7" s="1"/>
  <c r="Q107" i="7" s="1"/>
  <c r="L107" i="7"/>
  <c r="O104" i="7"/>
  <c r="M104" i="7"/>
  <c r="L104" i="7"/>
  <c r="O103" i="7"/>
  <c r="M103" i="7"/>
  <c r="L103" i="7"/>
  <c r="O102" i="7"/>
  <c r="M102" i="7"/>
  <c r="L102" i="7"/>
  <c r="O101" i="7"/>
  <c r="M101" i="7"/>
  <c r="L101" i="7"/>
  <c r="O100" i="7"/>
  <c r="M100" i="7"/>
  <c r="L100" i="7"/>
  <c r="O99" i="7"/>
  <c r="M99" i="7"/>
  <c r="L99" i="7"/>
  <c r="O98" i="7"/>
  <c r="M98" i="7"/>
  <c r="L98" i="7"/>
  <c r="O97" i="7"/>
  <c r="M97" i="7"/>
  <c r="L97" i="7"/>
  <c r="O96" i="7"/>
  <c r="M96" i="7"/>
  <c r="L96" i="7"/>
  <c r="O94" i="7"/>
  <c r="M94" i="7"/>
  <c r="L94" i="7"/>
  <c r="O93" i="7"/>
  <c r="M93" i="7"/>
  <c r="L93" i="7"/>
  <c r="O92" i="7"/>
  <c r="M92" i="7"/>
  <c r="L92" i="7"/>
  <c r="O91" i="7"/>
  <c r="M91" i="7"/>
  <c r="L91" i="7"/>
  <c r="O90" i="7"/>
  <c r="M90" i="7"/>
  <c r="L90" i="7"/>
  <c r="O89" i="7"/>
  <c r="M89" i="7"/>
  <c r="L89" i="7"/>
  <c r="O88" i="7"/>
  <c r="M88" i="7"/>
  <c r="L88" i="7"/>
  <c r="O87" i="7"/>
  <c r="M87" i="7"/>
  <c r="L87" i="7"/>
  <c r="O86" i="7"/>
  <c r="M86" i="7"/>
  <c r="L86" i="7"/>
  <c r="O82" i="7"/>
  <c r="M82" i="7"/>
  <c r="L82" i="7"/>
  <c r="O80" i="7"/>
  <c r="M80" i="7"/>
  <c r="P80" i="7" s="1"/>
  <c r="Q80" i="7" s="1"/>
  <c r="L80" i="7"/>
  <c r="O79" i="7"/>
  <c r="M79" i="7"/>
  <c r="P79" i="7" s="1"/>
  <c r="Q79" i="7" s="1"/>
  <c r="L79" i="7"/>
  <c r="O78" i="7"/>
  <c r="M78" i="7"/>
  <c r="L78" i="7"/>
  <c r="O77" i="7"/>
  <c r="M77" i="7"/>
  <c r="P77" i="7" s="1"/>
  <c r="Q77" i="7" s="1"/>
  <c r="L77" i="7"/>
  <c r="O76" i="7"/>
  <c r="M76" i="7"/>
  <c r="P76" i="7" s="1"/>
  <c r="Q76" i="7" s="1"/>
  <c r="L76" i="7"/>
  <c r="O75" i="7"/>
  <c r="P75" i="7" s="1"/>
  <c r="Q75" i="7" s="1"/>
  <c r="M75" i="7"/>
  <c r="L75" i="7"/>
  <c r="O74" i="7"/>
  <c r="M74" i="7"/>
  <c r="P74" i="7" s="1"/>
  <c r="Q74" i="7" s="1"/>
  <c r="L74" i="7"/>
  <c r="O70" i="7"/>
  <c r="M70" i="7"/>
  <c r="P70" i="7" s="1"/>
  <c r="Q70" i="7" s="1"/>
  <c r="L70" i="7"/>
  <c r="O68" i="7"/>
  <c r="M68" i="7"/>
  <c r="P68" i="7" s="1"/>
  <c r="Q68" i="7" s="1"/>
  <c r="L68" i="7"/>
  <c r="O67" i="7"/>
  <c r="M67" i="7"/>
  <c r="L67" i="7"/>
  <c r="O66" i="7"/>
  <c r="M66" i="7"/>
  <c r="L66" i="7"/>
  <c r="O65" i="7"/>
  <c r="M65" i="7"/>
  <c r="P65" i="7" s="1"/>
  <c r="Q65" i="7" s="1"/>
  <c r="L65" i="7"/>
  <c r="O64" i="7"/>
  <c r="M64" i="7"/>
  <c r="L64" i="7"/>
  <c r="O63" i="7"/>
  <c r="P63" i="7" s="1"/>
  <c r="Q63" i="7" s="1"/>
  <c r="M63" i="7"/>
  <c r="L63" i="7"/>
  <c r="O62" i="7"/>
  <c r="M62" i="7"/>
  <c r="L62" i="7"/>
  <c r="O61" i="7"/>
  <c r="M61" i="7"/>
  <c r="L61" i="7"/>
  <c r="O58" i="7"/>
  <c r="M58" i="7"/>
  <c r="L58" i="7"/>
  <c r="O56" i="7"/>
  <c r="M56" i="7"/>
  <c r="P56" i="7" s="1"/>
  <c r="Q56" i="7" s="1"/>
  <c r="L56" i="7"/>
  <c r="O55" i="7"/>
  <c r="M55" i="7"/>
  <c r="P55" i="7" s="1"/>
  <c r="Q55" i="7" s="1"/>
  <c r="L55" i="7"/>
  <c r="O54" i="7"/>
  <c r="M54" i="7"/>
  <c r="L54" i="7"/>
  <c r="O53" i="7"/>
  <c r="M53" i="7"/>
  <c r="L53" i="7"/>
  <c r="O52" i="7"/>
  <c r="M52" i="7"/>
  <c r="N52" i="7" s="1"/>
  <c r="L52" i="7"/>
  <c r="O51" i="7"/>
  <c r="M51" i="7"/>
  <c r="N51" i="7" s="1"/>
  <c r="L51" i="7"/>
  <c r="O50" i="7"/>
  <c r="M50" i="7"/>
  <c r="L50" i="7"/>
  <c r="O49" i="7"/>
  <c r="M49" i="7"/>
  <c r="L49" i="7"/>
  <c r="O48" i="7"/>
  <c r="M48" i="7"/>
  <c r="P48" i="7" s="1"/>
  <c r="Q48" i="7" s="1"/>
  <c r="L48" i="7"/>
  <c r="O46" i="7"/>
  <c r="M46" i="7"/>
  <c r="P46" i="7" s="1"/>
  <c r="Q46" i="7" s="1"/>
  <c r="L46" i="7"/>
  <c r="O45" i="7"/>
  <c r="M45" i="7"/>
  <c r="L45" i="7"/>
  <c r="O44" i="7"/>
  <c r="M44" i="7"/>
  <c r="L44" i="7"/>
  <c r="O43" i="7"/>
  <c r="M43" i="7"/>
  <c r="L43" i="7"/>
  <c r="O42" i="7"/>
  <c r="M42" i="7"/>
  <c r="N42" i="7" s="1"/>
  <c r="L42" i="7"/>
  <c r="O41" i="7"/>
  <c r="M41" i="7"/>
  <c r="L41" i="7"/>
  <c r="O40" i="7"/>
  <c r="M40" i="7"/>
  <c r="N40" i="7" s="1"/>
  <c r="L40" i="7"/>
  <c r="O37" i="7"/>
  <c r="M37" i="7"/>
  <c r="L37" i="7"/>
  <c r="O36" i="7"/>
  <c r="M36" i="7"/>
  <c r="P36" i="7" s="1"/>
  <c r="Q36" i="7" s="1"/>
  <c r="L36" i="7"/>
  <c r="O35" i="7"/>
  <c r="M35" i="7"/>
  <c r="P35" i="7" s="1"/>
  <c r="Q35" i="7" s="1"/>
  <c r="L35" i="7"/>
  <c r="O34" i="7"/>
  <c r="M34" i="7"/>
  <c r="P34" i="7" s="1"/>
  <c r="Q34" i="7" s="1"/>
  <c r="L34" i="7"/>
  <c r="O33" i="7"/>
  <c r="M33" i="7"/>
  <c r="L33" i="7"/>
  <c r="N33" i="7" s="1"/>
  <c r="O32" i="7"/>
  <c r="M32" i="7"/>
  <c r="P32" i="7" s="1"/>
  <c r="Q32" i="7" s="1"/>
  <c r="L32" i="7"/>
  <c r="O31" i="7"/>
  <c r="M31" i="7"/>
  <c r="P31" i="7" s="1"/>
  <c r="Q31" i="7" s="1"/>
  <c r="L31" i="7"/>
  <c r="O30" i="7"/>
  <c r="M30" i="7"/>
  <c r="N30" i="7" s="1"/>
  <c r="L30" i="7"/>
  <c r="O28" i="7"/>
  <c r="M28" i="7"/>
  <c r="L28" i="7"/>
  <c r="O27" i="7"/>
  <c r="M27" i="7"/>
  <c r="N27" i="7" s="1"/>
  <c r="L27" i="7"/>
  <c r="O26" i="7"/>
  <c r="M26" i="7"/>
  <c r="N26" i="7" s="1"/>
  <c r="L26" i="7"/>
  <c r="O25" i="7"/>
  <c r="M25" i="7"/>
  <c r="L25" i="7"/>
  <c r="O24" i="7"/>
  <c r="M24" i="7"/>
  <c r="N24" i="7" s="1"/>
  <c r="L24" i="7"/>
  <c r="O23" i="7"/>
  <c r="M23" i="7"/>
  <c r="N23" i="7" s="1"/>
  <c r="L23" i="7"/>
  <c r="O22" i="7"/>
  <c r="M22" i="7"/>
  <c r="L22" i="7"/>
  <c r="O21" i="7"/>
  <c r="M21" i="7"/>
  <c r="L21" i="7"/>
  <c r="O20" i="7"/>
  <c r="M20" i="7"/>
  <c r="N20" i="7" s="1"/>
  <c r="L20" i="7"/>
  <c r="O19" i="7"/>
  <c r="M19" i="7"/>
  <c r="N19" i="7" s="1"/>
  <c r="L19" i="7"/>
  <c r="O18" i="7"/>
  <c r="M18" i="7"/>
  <c r="L18" i="7"/>
  <c r="O16" i="7"/>
  <c r="M16" i="7"/>
  <c r="L16" i="7"/>
  <c r="O15" i="7"/>
  <c r="M15" i="7"/>
  <c r="P15" i="7" s="1"/>
  <c r="Q15" i="7" s="1"/>
  <c r="L15" i="7"/>
  <c r="O14" i="7"/>
  <c r="M14" i="7"/>
  <c r="P14" i="7" s="1"/>
  <c r="Q14" i="7" s="1"/>
  <c r="L14" i="7"/>
  <c r="O13" i="7"/>
  <c r="P13" i="7" s="1"/>
  <c r="Q13" i="7" s="1"/>
  <c r="M13" i="7"/>
  <c r="L13" i="7"/>
  <c r="O12" i="7"/>
  <c r="M12" i="7"/>
  <c r="L12" i="7"/>
  <c r="O11" i="7"/>
  <c r="M11" i="7"/>
  <c r="L11" i="7"/>
  <c r="O10" i="7"/>
  <c r="M10" i="7"/>
  <c r="N10" i="7" s="1"/>
  <c r="L10" i="7"/>
  <c r="O9" i="7"/>
  <c r="M9" i="7"/>
  <c r="P9" i="7" s="1"/>
  <c r="Q9" i="7" s="1"/>
  <c r="L9" i="7"/>
  <c r="O8" i="7"/>
  <c r="M8" i="7"/>
  <c r="L8" i="7"/>
  <c r="O7" i="7"/>
  <c r="M7" i="7"/>
  <c r="L7" i="7"/>
  <c r="AB113" i="7"/>
  <c r="K113" i="7"/>
  <c r="H113" i="7"/>
  <c r="F113" i="7"/>
  <c r="E113" i="7"/>
  <c r="K112" i="7"/>
  <c r="H112" i="7"/>
  <c r="F112" i="7"/>
  <c r="E112" i="7"/>
  <c r="K111" i="7"/>
  <c r="H111" i="7"/>
  <c r="F111" i="7"/>
  <c r="G111" i="7" s="1"/>
  <c r="E111" i="7"/>
  <c r="AD108" i="7"/>
  <c r="AE108" i="7" s="1"/>
  <c r="K108" i="7"/>
  <c r="H108" i="7"/>
  <c r="F108" i="7"/>
  <c r="G108" i="7" s="1"/>
  <c r="E108" i="7"/>
  <c r="K107" i="7"/>
  <c r="H107" i="7"/>
  <c r="I107" i="7" s="1"/>
  <c r="J107" i="7" s="1"/>
  <c r="F107" i="7"/>
  <c r="E107" i="7"/>
  <c r="K104" i="7"/>
  <c r="H104" i="7"/>
  <c r="F104" i="7"/>
  <c r="E104" i="7"/>
  <c r="K103" i="7"/>
  <c r="H103" i="7"/>
  <c r="F103" i="7"/>
  <c r="E103" i="7"/>
  <c r="K102" i="7"/>
  <c r="H102" i="7"/>
  <c r="F102" i="7"/>
  <c r="E102" i="7"/>
  <c r="K101" i="7"/>
  <c r="H101" i="7"/>
  <c r="F101" i="7"/>
  <c r="E101" i="7"/>
  <c r="K100" i="7"/>
  <c r="H100" i="7"/>
  <c r="F100" i="7"/>
  <c r="E100" i="7"/>
  <c r="K99" i="7"/>
  <c r="H99" i="7"/>
  <c r="F99" i="7"/>
  <c r="E99" i="7"/>
  <c r="K98" i="7"/>
  <c r="H98" i="7"/>
  <c r="F98" i="7"/>
  <c r="E98" i="7"/>
  <c r="K97" i="7"/>
  <c r="H97" i="7"/>
  <c r="F97" i="7"/>
  <c r="E97" i="7"/>
  <c r="K96" i="7"/>
  <c r="H96" i="7"/>
  <c r="F96" i="7"/>
  <c r="E96" i="7"/>
  <c r="K94" i="7"/>
  <c r="H94" i="7"/>
  <c r="F94" i="7"/>
  <c r="E94" i="7"/>
  <c r="K93" i="7"/>
  <c r="H93" i="7"/>
  <c r="F93" i="7"/>
  <c r="E93" i="7"/>
  <c r="K92" i="7"/>
  <c r="H92" i="7"/>
  <c r="F92" i="7"/>
  <c r="E92" i="7"/>
  <c r="K91" i="7"/>
  <c r="H91" i="7"/>
  <c r="F91" i="7"/>
  <c r="E91" i="7"/>
  <c r="K90" i="7"/>
  <c r="H90" i="7"/>
  <c r="F90" i="7"/>
  <c r="E90" i="7"/>
  <c r="K89" i="7"/>
  <c r="H89" i="7"/>
  <c r="F89" i="7"/>
  <c r="E89" i="7"/>
  <c r="K88" i="7"/>
  <c r="H88" i="7"/>
  <c r="F88" i="7"/>
  <c r="E88" i="7"/>
  <c r="K87" i="7"/>
  <c r="H87" i="7"/>
  <c r="F87" i="7"/>
  <c r="E87" i="7"/>
  <c r="K86" i="7"/>
  <c r="H86" i="7"/>
  <c r="F86" i="7"/>
  <c r="E86" i="7"/>
  <c r="K82" i="7"/>
  <c r="H82" i="7"/>
  <c r="F82" i="7"/>
  <c r="E82" i="7"/>
  <c r="AD80" i="7"/>
  <c r="AE80" i="7" s="1"/>
  <c r="W80" i="7"/>
  <c r="X80" i="7" s="1"/>
  <c r="K80" i="7"/>
  <c r="H80" i="7"/>
  <c r="F80" i="7"/>
  <c r="E80" i="7"/>
  <c r="AD79" i="7"/>
  <c r="AE79" i="7" s="1"/>
  <c r="W79" i="7"/>
  <c r="X79" i="7" s="1"/>
  <c r="K79" i="7"/>
  <c r="H79" i="7"/>
  <c r="F79" i="7"/>
  <c r="E79" i="7"/>
  <c r="AD78" i="7"/>
  <c r="AE78" i="7" s="1"/>
  <c r="K78" i="7"/>
  <c r="H78" i="7"/>
  <c r="F78" i="7"/>
  <c r="E78" i="7"/>
  <c r="K77" i="7"/>
  <c r="H77" i="7"/>
  <c r="F77" i="7"/>
  <c r="E77" i="7"/>
  <c r="K76" i="7"/>
  <c r="H76" i="7"/>
  <c r="F76" i="7"/>
  <c r="E76" i="7"/>
  <c r="AD75" i="7"/>
  <c r="AE75" i="7" s="1"/>
  <c r="K75" i="7"/>
  <c r="H75" i="7"/>
  <c r="F75" i="7"/>
  <c r="E75" i="7"/>
  <c r="K74" i="7"/>
  <c r="H74" i="7"/>
  <c r="I74" i="7" s="1"/>
  <c r="J74" i="7" s="1"/>
  <c r="F74" i="7"/>
  <c r="E74" i="7"/>
  <c r="W70" i="7"/>
  <c r="X70" i="7" s="1"/>
  <c r="K70" i="7"/>
  <c r="H70" i="7"/>
  <c r="F70" i="7"/>
  <c r="E70" i="7"/>
  <c r="AD68" i="7"/>
  <c r="AE68" i="7" s="1"/>
  <c r="W68" i="7"/>
  <c r="X68" i="7" s="1"/>
  <c r="K68" i="7"/>
  <c r="H68" i="7"/>
  <c r="F68" i="7"/>
  <c r="I68" i="7" s="1"/>
  <c r="J68" i="7" s="1"/>
  <c r="E68" i="7"/>
  <c r="AD67" i="7"/>
  <c r="AE67" i="7" s="1"/>
  <c r="W67" i="7"/>
  <c r="X67" i="7" s="1"/>
  <c r="K67" i="7"/>
  <c r="H67" i="7"/>
  <c r="F67" i="7"/>
  <c r="E67" i="7"/>
  <c r="AD66" i="7"/>
  <c r="AE66" i="7" s="1"/>
  <c r="W66" i="7"/>
  <c r="X66" i="7" s="1"/>
  <c r="K66" i="7"/>
  <c r="H66" i="7"/>
  <c r="F66" i="7"/>
  <c r="E66" i="7"/>
  <c r="K65" i="7"/>
  <c r="H65" i="7"/>
  <c r="F65" i="7"/>
  <c r="I65" i="7" s="1"/>
  <c r="J65" i="7" s="1"/>
  <c r="E65" i="7"/>
  <c r="W64" i="7"/>
  <c r="X64" i="7" s="1"/>
  <c r="P64" i="7"/>
  <c r="Q64" i="7" s="1"/>
  <c r="K64" i="7"/>
  <c r="H64" i="7"/>
  <c r="F64" i="7"/>
  <c r="E64" i="7"/>
  <c r="AD63" i="7"/>
  <c r="AE63" i="7" s="1"/>
  <c r="W63" i="7"/>
  <c r="X63" i="7" s="1"/>
  <c r="K63" i="7"/>
  <c r="H63" i="7"/>
  <c r="F63" i="7"/>
  <c r="E63" i="7"/>
  <c r="W62" i="7"/>
  <c r="X62" i="7" s="1"/>
  <c r="P62" i="7"/>
  <c r="Q62" i="7" s="1"/>
  <c r="K62" i="7"/>
  <c r="H62" i="7"/>
  <c r="F62" i="7"/>
  <c r="E62" i="7"/>
  <c r="AD61" i="7"/>
  <c r="AE61" i="7" s="1"/>
  <c r="W61" i="7"/>
  <c r="X61" i="7" s="1"/>
  <c r="P61" i="7"/>
  <c r="Q61" i="7" s="1"/>
  <c r="K61" i="7"/>
  <c r="H61" i="7"/>
  <c r="F61" i="7"/>
  <c r="E61" i="7"/>
  <c r="K58" i="7"/>
  <c r="H58" i="7"/>
  <c r="F58" i="7"/>
  <c r="E58" i="7"/>
  <c r="K56" i="7"/>
  <c r="H56" i="7"/>
  <c r="F56" i="7"/>
  <c r="E56" i="7"/>
  <c r="W55" i="7"/>
  <c r="X55" i="7" s="1"/>
  <c r="K55" i="7"/>
  <c r="H55" i="7"/>
  <c r="F55" i="7"/>
  <c r="I55" i="7" s="1"/>
  <c r="J55" i="7" s="1"/>
  <c r="E55" i="7"/>
  <c r="W54" i="7"/>
  <c r="X54" i="7" s="1"/>
  <c r="P54" i="7"/>
  <c r="Q54" i="7" s="1"/>
  <c r="K54" i="7"/>
  <c r="H54" i="7"/>
  <c r="F54" i="7"/>
  <c r="E54" i="7"/>
  <c r="W53" i="7"/>
  <c r="X53" i="7" s="1"/>
  <c r="P53" i="7"/>
  <c r="Q53" i="7" s="1"/>
  <c r="K53" i="7"/>
  <c r="H53" i="7"/>
  <c r="I53" i="7" s="1"/>
  <c r="J53" i="7" s="1"/>
  <c r="F53" i="7"/>
  <c r="E53" i="7"/>
  <c r="AB52" i="7"/>
  <c r="U52" i="7"/>
  <c r="K52" i="7"/>
  <c r="H52" i="7"/>
  <c r="F52" i="7"/>
  <c r="E52" i="7"/>
  <c r="AD51" i="7"/>
  <c r="AE51" i="7" s="1"/>
  <c r="W51" i="7"/>
  <c r="X51" i="7" s="1"/>
  <c r="K51" i="7"/>
  <c r="H51" i="7"/>
  <c r="F51" i="7"/>
  <c r="I51" i="7" s="1"/>
  <c r="J51" i="7" s="1"/>
  <c r="E51" i="7"/>
  <c r="AB50" i="7"/>
  <c r="N50" i="7"/>
  <c r="K50" i="7"/>
  <c r="H50" i="7"/>
  <c r="F50" i="7"/>
  <c r="E50" i="7"/>
  <c r="N49" i="7"/>
  <c r="K49" i="7"/>
  <c r="H49" i="7"/>
  <c r="F49" i="7"/>
  <c r="E49" i="7"/>
  <c r="AD48" i="7"/>
  <c r="AE48" i="7" s="1"/>
  <c r="AB48" i="7"/>
  <c r="K48" i="7"/>
  <c r="H48" i="7"/>
  <c r="F48" i="7"/>
  <c r="E48" i="7"/>
  <c r="AD46" i="7"/>
  <c r="AE46" i="7" s="1"/>
  <c r="K46" i="7"/>
  <c r="H46" i="7"/>
  <c r="F46" i="7"/>
  <c r="E46" i="7"/>
  <c r="U45" i="7"/>
  <c r="N45" i="7"/>
  <c r="K45" i="7"/>
  <c r="H45" i="7"/>
  <c r="F45" i="7"/>
  <c r="E45" i="7"/>
  <c r="U44" i="7"/>
  <c r="K44" i="7"/>
  <c r="H44" i="7"/>
  <c r="F44" i="7"/>
  <c r="G44" i="7" s="1"/>
  <c r="E44" i="7"/>
  <c r="W43" i="7"/>
  <c r="X43" i="7" s="1"/>
  <c r="U43" i="7"/>
  <c r="K43" i="7"/>
  <c r="H43" i="7"/>
  <c r="F43" i="7"/>
  <c r="G43" i="7" s="1"/>
  <c r="E43" i="7"/>
  <c r="AB42" i="7"/>
  <c r="K42" i="7"/>
  <c r="H42" i="7"/>
  <c r="F42" i="7"/>
  <c r="E42" i="7"/>
  <c r="K41" i="7"/>
  <c r="H41" i="7"/>
  <c r="F41" i="7"/>
  <c r="G41" i="7" s="1"/>
  <c r="E41" i="7"/>
  <c r="K40" i="7"/>
  <c r="H40" i="7"/>
  <c r="F40" i="7"/>
  <c r="G40" i="7" s="1"/>
  <c r="E40" i="7"/>
  <c r="K37" i="7"/>
  <c r="H37" i="7"/>
  <c r="F37" i="7"/>
  <c r="E37" i="7"/>
  <c r="K36" i="7"/>
  <c r="H36" i="7"/>
  <c r="F36" i="7"/>
  <c r="E36" i="7"/>
  <c r="K35" i="7"/>
  <c r="H35" i="7"/>
  <c r="F35" i="7"/>
  <c r="E35" i="7"/>
  <c r="K34" i="7"/>
  <c r="H34" i="7"/>
  <c r="F34" i="7"/>
  <c r="E34" i="7"/>
  <c r="AB33" i="7"/>
  <c r="K33" i="7"/>
  <c r="H33" i="7"/>
  <c r="F33" i="7"/>
  <c r="G33" i="7" s="1"/>
  <c r="E33" i="7"/>
  <c r="W32" i="7"/>
  <c r="X32" i="7" s="1"/>
  <c r="K32" i="7"/>
  <c r="H32" i="7"/>
  <c r="F32" i="7"/>
  <c r="I32" i="7" s="1"/>
  <c r="J32" i="7" s="1"/>
  <c r="E32" i="7"/>
  <c r="K31" i="7"/>
  <c r="H31" i="7"/>
  <c r="F31" i="7"/>
  <c r="G31" i="7" s="1"/>
  <c r="E31" i="7"/>
  <c r="K30" i="7"/>
  <c r="H30" i="7"/>
  <c r="F30" i="7"/>
  <c r="E30" i="7"/>
  <c r="K28" i="7"/>
  <c r="H28" i="7"/>
  <c r="F28" i="7"/>
  <c r="E28" i="7"/>
  <c r="K27" i="7"/>
  <c r="H27" i="7"/>
  <c r="F27" i="7"/>
  <c r="E27" i="7"/>
  <c r="U26" i="7"/>
  <c r="K26" i="7"/>
  <c r="H26" i="7"/>
  <c r="F26" i="7"/>
  <c r="G26" i="7" s="1"/>
  <c r="E26" i="7"/>
  <c r="K25" i="7"/>
  <c r="H25" i="7"/>
  <c r="F25" i="7"/>
  <c r="E25" i="7"/>
  <c r="K24" i="7"/>
  <c r="H24" i="7"/>
  <c r="F24" i="7"/>
  <c r="G24" i="7" s="1"/>
  <c r="E24" i="7"/>
  <c r="K23" i="7"/>
  <c r="H23" i="7"/>
  <c r="F23" i="7"/>
  <c r="E23" i="7"/>
  <c r="AB22" i="7"/>
  <c r="N22" i="7"/>
  <c r="K22" i="7"/>
  <c r="H22" i="7"/>
  <c r="F22" i="7"/>
  <c r="E22" i="7"/>
  <c r="AB21" i="7"/>
  <c r="U21" i="7"/>
  <c r="N21" i="7"/>
  <c r="K21" i="7"/>
  <c r="H21" i="7"/>
  <c r="F21" i="7"/>
  <c r="E21" i="7"/>
  <c r="G21" i="7" s="1"/>
  <c r="K20" i="7"/>
  <c r="H20" i="7"/>
  <c r="F20" i="7"/>
  <c r="G20" i="7" s="1"/>
  <c r="E20" i="7"/>
  <c r="K19" i="7"/>
  <c r="H19" i="7"/>
  <c r="F19" i="7"/>
  <c r="E19" i="7"/>
  <c r="K18" i="7"/>
  <c r="H18" i="7"/>
  <c r="F18" i="7"/>
  <c r="E18" i="7"/>
  <c r="K16" i="7"/>
  <c r="H16" i="7"/>
  <c r="F16" i="7"/>
  <c r="E16" i="7"/>
  <c r="K15" i="7"/>
  <c r="H15" i="7"/>
  <c r="F15" i="7"/>
  <c r="E15" i="7"/>
  <c r="K14" i="7"/>
  <c r="H14" i="7"/>
  <c r="F14" i="7"/>
  <c r="E14" i="7"/>
  <c r="K13" i="7"/>
  <c r="H13" i="7"/>
  <c r="F13" i="7"/>
  <c r="E13" i="7"/>
  <c r="N12" i="7"/>
  <c r="K12" i="7"/>
  <c r="H12" i="7"/>
  <c r="F12" i="7"/>
  <c r="E12" i="7"/>
  <c r="AD11" i="7"/>
  <c r="AE11" i="7" s="1"/>
  <c r="P11" i="7"/>
  <c r="Q11" i="7" s="1"/>
  <c r="K11" i="7"/>
  <c r="H11" i="7"/>
  <c r="F11" i="7"/>
  <c r="E11" i="7"/>
  <c r="AD10" i="7"/>
  <c r="AE10" i="7" s="1"/>
  <c r="K10" i="7"/>
  <c r="H10" i="7"/>
  <c r="F10" i="7"/>
  <c r="E10" i="7"/>
  <c r="AD9" i="7"/>
  <c r="AE9" i="7" s="1"/>
  <c r="K9" i="7"/>
  <c r="H9" i="7"/>
  <c r="F9" i="7"/>
  <c r="E9" i="7"/>
  <c r="N8" i="7"/>
  <c r="K8" i="7"/>
  <c r="H8" i="7"/>
  <c r="F8" i="7"/>
  <c r="E8" i="7"/>
  <c r="P7" i="7"/>
  <c r="Q7" i="7" s="1"/>
  <c r="K7" i="7"/>
  <c r="H7" i="7"/>
  <c r="F7" i="7"/>
  <c r="E7" i="7"/>
  <c r="P78" i="7"/>
  <c r="Q78" i="7" s="1"/>
  <c r="AD77" i="7"/>
  <c r="AE77" i="7" s="1"/>
  <c r="I76" i="7"/>
  <c r="J76" i="7" s="1"/>
  <c r="G76" i="7"/>
  <c r="G74" i="7"/>
  <c r="G70" i="7"/>
  <c r="I67" i="7"/>
  <c r="J67" i="7" s="1"/>
  <c r="G66" i="7"/>
  <c r="W65" i="7"/>
  <c r="X65" i="7" s="1"/>
  <c r="I62" i="7"/>
  <c r="J62" i="7" s="1"/>
  <c r="P58" i="7"/>
  <c r="Q58" i="7" s="1"/>
  <c r="AD56" i="7"/>
  <c r="AE56" i="7" s="1"/>
  <c r="G56" i="7"/>
  <c r="G50" i="7"/>
  <c r="AD49" i="7"/>
  <c r="AE49" i="7" s="1"/>
  <c r="AB45" i="7"/>
  <c r="G45" i="7"/>
  <c r="W42" i="7"/>
  <c r="X42" i="7" s="1"/>
  <c r="I36" i="7"/>
  <c r="J36" i="7" s="1"/>
  <c r="I35" i="7"/>
  <c r="J35" i="7" s="1"/>
  <c r="AB30" i="7"/>
  <c r="I30" i="7"/>
  <c r="J30" i="7" s="1"/>
  <c r="AB28" i="7"/>
  <c r="N28" i="7"/>
  <c r="AB27" i="7"/>
  <c r="U25" i="7"/>
  <c r="N25" i="7"/>
  <c r="G23" i="7"/>
  <c r="U22" i="7"/>
  <c r="P8" i="7"/>
  <c r="Q8" i="7" s="1"/>
  <c r="U7" i="7"/>
  <c r="AD113" i="7"/>
  <c r="AE113" i="7" s="1"/>
  <c r="AD112" i="7"/>
  <c r="AE112" i="7" s="1"/>
  <c r="AD111" i="7"/>
  <c r="AE111" i="7" s="1"/>
  <c r="AD76" i="7"/>
  <c r="AE76" i="7" s="1"/>
  <c r="AD65" i="7"/>
  <c r="AE65" i="7" s="1"/>
  <c r="AD64" i="7"/>
  <c r="AE64" i="7" s="1"/>
  <c r="AD55" i="7"/>
  <c r="AE55" i="7" s="1"/>
  <c r="AB46" i="7"/>
  <c r="AD36" i="7"/>
  <c r="AE36" i="7" s="1"/>
  <c r="AD31" i="7"/>
  <c r="AE31" i="7" s="1"/>
  <c r="AB31" i="7"/>
  <c r="AB24" i="7"/>
  <c r="W78" i="7"/>
  <c r="X78" i="7" s="1"/>
  <c r="W77" i="7"/>
  <c r="X77" i="7" s="1"/>
  <c r="W76" i="7"/>
  <c r="X76" i="7" s="1"/>
  <c r="W75" i="7"/>
  <c r="X75" i="7" s="1"/>
  <c r="W74" i="7"/>
  <c r="X74" i="7" s="1"/>
  <c r="W58" i="7"/>
  <c r="X58" i="7" s="1"/>
  <c r="U50" i="7"/>
  <c r="U34" i="7"/>
  <c r="W9" i="7"/>
  <c r="X9" i="7" s="1"/>
  <c r="P113" i="7"/>
  <c r="Q113" i="7" s="1"/>
  <c r="N113" i="7"/>
  <c r="P111" i="7"/>
  <c r="Q111" i="7" s="1"/>
  <c r="N111" i="7"/>
  <c r="P108" i="7"/>
  <c r="Q108" i="7" s="1"/>
  <c r="P67" i="7"/>
  <c r="Q67" i="7" s="1"/>
  <c r="P66" i="7"/>
  <c r="Q66" i="7" s="1"/>
  <c r="N44" i="7"/>
  <c r="P43" i="7"/>
  <c r="Q43" i="7" s="1"/>
  <c r="N43" i="7"/>
  <c r="P42" i="7"/>
  <c r="Q42" i="7" s="1"/>
  <c r="N41" i="7"/>
  <c r="P18" i="7"/>
  <c r="Q18" i="7" s="1"/>
  <c r="P16" i="7"/>
  <c r="Q16" i="7" s="1"/>
  <c r="N16" i="7"/>
  <c r="I80" i="7"/>
  <c r="J80" i="7" s="1"/>
  <c r="G64" i="7"/>
  <c r="G62" i="7"/>
  <c r="G52" i="7"/>
  <c r="G48" i="7"/>
  <c r="I34" i="7"/>
  <c r="J34" i="7" s="1"/>
  <c r="G27" i="7"/>
  <c r="G53" i="7"/>
  <c r="G28" i="7"/>
  <c r="I113" i="7"/>
  <c r="J113" i="7" s="1"/>
  <c r="G112" i="7"/>
  <c r="A112" i="7"/>
  <c r="A113" i="7" s="1"/>
  <c r="A108" i="7"/>
  <c r="A97" i="7"/>
  <c r="A98" i="7" s="1"/>
  <c r="A99" i="7" s="1"/>
  <c r="A100" i="7" s="1"/>
  <c r="A101" i="7" s="1"/>
  <c r="A102" i="7" s="1"/>
  <c r="A103" i="7" s="1"/>
  <c r="A104" i="7" s="1"/>
  <c r="A87" i="7"/>
  <c r="A88" i="7" s="1"/>
  <c r="A89" i="7" s="1"/>
  <c r="A90" i="7" s="1"/>
  <c r="A91" i="7" s="1"/>
  <c r="A92" i="7" s="1"/>
  <c r="A93" i="7" s="1"/>
  <c r="A94" i="7" s="1"/>
  <c r="A82" i="7"/>
  <c r="I75" i="7"/>
  <c r="J75" i="7" s="1"/>
  <c r="G75" i="7"/>
  <c r="A70" i="7"/>
  <c r="A62" i="7"/>
  <c r="A63" i="7" s="1"/>
  <c r="A64" i="7" s="1"/>
  <c r="A65" i="7" s="1"/>
  <c r="A66" i="7" s="1"/>
  <c r="A67" i="7" s="1"/>
  <c r="A68" i="7" s="1"/>
  <c r="I54" i="7"/>
  <c r="J54" i="7" s="1"/>
  <c r="G54" i="7"/>
  <c r="A48" i="7"/>
  <c r="A49" i="7" s="1"/>
  <c r="A50" i="7" s="1"/>
  <c r="A51" i="7" s="1"/>
  <c r="A52" i="7" s="1"/>
  <c r="A53" i="7" s="1"/>
  <c r="A54" i="7" s="1"/>
  <c r="A55" i="7" s="1"/>
  <c r="A56" i="7" s="1"/>
  <c r="G46" i="7"/>
  <c r="A41" i="7"/>
  <c r="A42" i="7" s="1"/>
  <c r="A43" i="7" s="1"/>
  <c r="A44" i="7" s="1"/>
  <c r="A45" i="7" s="1"/>
  <c r="A46" i="7" s="1"/>
  <c r="A37" i="7"/>
  <c r="A35" i="7"/>
  <c r="A33" i="7"/>
  <c r="A31" i="7"/>
  <c r="G22" i="7"/>
  <c r="A19" i="7"/>
  <c r="A20" i="7" s="1"/>
  <c r="A21" i="7" s="1"/>
  <c r="A22" i="7" s="1"/>
  <c r="A23" i="7" s="1"/>
  <c r="A24" i="7" s="1"/>
  <c r="A25" i="7" s="1"/>
  <c r="A26" i="7" s="1"/>
  <c r="A27" i="7" s="1"/>
  <c r="A28" i="7" s="1"/>
  <c r="A9" i="7"/>
  <c r="A10" i="7" s="1"/>
  <c r="A11" i="7" s="1"/>
  <c r="A12" i="7" s="1"/>
  <c r="A13" i="7" s="1"/>
  <c r="A14" i="7" s="1"/>
  <c r="A15" i="7" s="1"/>
  <c r="A16" i="7" s="1"/>
  <c r="A8" i="7"/>
  <c r="H113" i="6"/>
  <c r="K113" i="6" s="1"/>
  <c r="L113" i="6" s="1"/>
  <c r="F113" i="6"/>
  <c r="E113" i="6"/>
  <c r="A113" i="6"/>
  <c r="J112" i="6"/>
  <c r="K112" i="6" s="1"/>
  <c r="L112" i="6" s="1"/>
  <c r="H112" i="6"/>
  <c r="I112" i="6" s="1"/>
  <c r="F112" i="6"/>
  <c r="E112" i="6"/>
  <c r="A112" i="6"/>
  <c r="H111" i="6"/>
  <c r="K111" i="6" s="1"/>
  <c r="L111" i="6" s="1"/>
  <c r="F111" i="6"/>
  <c r="E111" i="6"/>
  <c r="K108" i="6"/>
  <c r="L108" i="6" s="1"/>
  <c r="I108" i="6"/>
  <c r="H108" i="6"/>
  <c r="F108" i="6"/>
  <c r="E108" i="6"/>
  <c r="A108" i="6"/>
  <c r="H107" i="6"/>
  <c r="K107" i="6" s="1"/>
  <c r="L107" i="6" s="1"/>
  <c r="F107" i="6"/>
  <c r="E107" i="6"/>
  <c r="J104" i="6"/>
  <c r="F104" i="6"/>
  <c r="E104" i="6"/>
  <c r="F103" i="6"/>
  <c r="E103" i="6"/>
  <c r="T102" i="6"/>
  <c r="S102" i="6"/>
  <c r="R102" i="6"/>
  <c r="F102" i="6"/>
  <c r="E102" i="6"/>
  <c r="R101" i="6"/>
  <c r="S101" i="6" s="1"/>
  <c r="T101" i="6" s="1"/>
  <c r="F101" i="6"/>
  <c r="E101" i="6"/>
  <c r="F100" i="6"/>
  <c r="E100" i="6"/>
  <c r="F99" i="6"/>
  <c r="E99" i="6"/>
  <c r="F98" i="6"/>
  <c r="E98" i="6"/>
  <c r="F97" i="6"/>
  <c r="E97" i="6"/>
  <c r="A97" i="6"/>
  <c r="A98" i="6" s="1"/>
  <c r="A99" i="6" s="1"/>
  <c r="A100" i="6" s="1"/>
  <c r="A101" i="6" s="1"/>
  <c r="A102" i="6" s="1"/>
  <c r="A103" i="6" s="1"/>
  <c r="A104" i="6" s="1"/>
  <c r="F96" i="6"/>
  <c r="E96" i="6"/>
  <c r="F94" i="6"/>
  <c r="E94" i="6"/>
  <c r="F93" i="6"/>
  <c r="E93" i="6"/>
  <c r="J92" i="6"/>
  <c r="R92" i="6" s="1"/>
  <c r="S92" i="6" s="1"/>
  <c r="T92" i="6" s="1"/>
  <c r="F92" i="6"/>
  <c r="E92" i="6"/>
  <c r="R91" i="6"/>
  <c r="S91" i="6" s="1"/>
  <c r="T91" i="6" s="1"/>
  <c r="F91" i="6"/>
  <c r="E91" i="6"/>
  <c r="J90" i="6"/>
  <c r="F90" i="6"/>
  <c r="E90" i="6"/>
  <c r="F89" i="6"/>
  <c r="E89" i="6"/>
  <c r="A89" i="6"/>
  <c r="A90" i="6" s="1"/>
  <c r="A91" i="6" s="1"/>
  <c r="A92" i="6" s="1"/>
  <c r="A93" i="6" s="1"/>
  <c r="A94" i="6" s="1"/>
  <c r="F88" i="6"/>
  <c r="E88" i="6"/>
  <c r="A88" i="6"/>
  <c r="F87" i="6"/>
  <c r="E87" i="6"/>
  <c r="A87" i="6"/>
  <c r="R86" i="6"/>
  <c r="S86" i="6" s="1"/>
  <c r="T86" i="6" s="1"/>
  <c r="F86" i="6"/>
  <c r="E86" i="6"/>
  <c r="F82" i="6"/>
  <c r="E82" i="6"/>
  <c r="A82" i="6"/>
  <c r="L80" i="6"/>
  <c r="K80" i="6"/>
  <c r="I80" i="6"/>
  <c r="F80" i="6"/>
  <c r="E80" i="6"/>
  <c r="K79" i="6"/>
  <c r="L79" i="6" s="1"/>
  <c r="I79" i="6"/>
  <c r="F79" i="6"/>
  <c r="E79" i="6"/>
  <c r="K78" i="6"/>
  <c r="L78" i="6" s="1"/>
  <c r="I78" i="6"/>
  <c r="F78" i="6"/>
  <c r="E78" i="6"/>
  <c r="K77" i="6"/>
  <c r="L77" i="6" s="1"/>
  <c r="I77" i="6"/>
  <c r="F77" i="6"/>
  <c r="E77" i="6"/>
  <c r="L76" i="6"/>
  <c r="K76" i="6"/>
  <c r="I76" i="6"/>
  <c r="F76" i="6"/>
  <c r="E76" i="6"/>
  <c r="K75" i="6"/>
  <c r="L75" i="6" s="1"/>
  <c r="I75" i="6"/>
  <c r="F75" i="6"/>
  <c r="E75" i="6"/>
  <c r="K74" i="6"/>
  <c r="L74" i="6" s="1"/>
  <c r="I74" i="6"/>
  <c r="F74" i="6"/>
  <c r="E74" i="6"/>
  <c r="K70" i="6"/>
  <c r="L70" i="6" s="1"/>
  <c r="I70" i="6"/>
  <c r="F70" i="6"/>
  <c r="E70" i="6"/>
  <c r="A70" i="6"/>
  <c r="K68" i="6"/>
  <c r="L68" i="6" s="1"/>
  <c r="I68" i="6"/>
  <c r="F68" i="6"/>
  <c r="E68" i="6"/>
  <c r="K67" i="6"/>
  <c r="L67" i="6" s="1"/>
  <c r="I67" i="6"/>
  <c r="F67" i="6"/>
  <c r="E67" i="6"/>
  <c r="J66" i="6"/>
  <c r="K66" i="6" s="1"/>
  <c r="L66" i="6" s="1"/>
  <c r="I66" i="6"/>
  <c r="F66" i="6"/>
  <c r="E66" i="6"/>
  <c r="L65" i="6"/>
  <c r="K65" i="6"/>
  <c r="I65" i="6"/>
  <c r="F65" i="6"/>
  <c r="E65" i="6"/>
  <c r="J64" i="6"/>
  <c r="K64" i="6" s="1"/>
  <c r="L64" i="6" s="1"/>
  <c r="I64" i="6"/>
  <c r="F64" i="6"/>
  <c r="E64" i="6"/>
  <c r="K63" i="6"/>
  <c r="L63" i="6" s="1"/>
  <c r="I63" i="6"/>
  <c r="F63" i="6"/>
  <c r="E63" i="6"/>
  <c r="L62" i="6"/>
  <c r="K62" i="6"/>
  <c r="I62" i="6"/>
  <c r="F62" i="6"/>
  <c r="E62" i="6"/>
  <c r="A62" i="6"/>
  <c r="A63" i="6" s="1"/>
  <c r="A64" i="6" s="1"/>
  <c r="A65" i="6" s="1"/>
  <c r="A66" i="6" s="1"/>
  <c r="A67" i="6" s="1"/>
  <c r="A68" i="6" s="1"/>
  <c r="K61" i="6"/>
  <c r="L61" i="6" s="1"/>
  <c r="I61" i="6"/>
  <c r="F61" i="6"/>
  <c r="E61" i="6"/>
  <c r="L58" i="6"/>
  <c r="K58" i="6"/>
  <c r="I58" i="6"/>
  <c r="F58" i="6"/>
  <c r="E58" i="6"/>
  <c r="J56" i="6"/>
  <c r="K56" i="6" s="1"/>
  <c r="L56" i="6" s="1"/>
  <c r="I56" i="6"/>
  <c r="F56" i="6"/>
  <c r="E56" i="6"/>
  <c r="L55" i="6"/>
  <c r="K55" i="6"/>
  <c r="I55" i="6"/>
  <c r="F55" i="6"/>
  <c r="E55" i="6"/>
  <c r="K54" i="6"/>
  <c r="L54" i="6" s="1"/>
  <c r="I54" i="6"/>
  <c r="F54" i="6"/>
  <c r="E54" i="6"/>
  <c r="K53" i="6"/>
  <c r="L53" i="6" s="1"/>
  <c r="I53" i="6"/>
  <c r="F53" i="6"/>
  <c r="E53" i="6"/>
  <c r="I52" i="6"/>
  <c r="F52" i="6"/>
  <c r="E52" i="6"/>
  <c r="K51" i="6"/>
  <c r="L51" i="6" s="1"/>
  <c r="I51" i="6"/>
  <c r="F51" i="6"/>
  <c r="E51" i="6"/>
  <c r="I50" i="6"/>
  <c r="F50" i="6"/>
  <c r="E50" i="6"/>
  <c r="K49" i="6"/>
  <c r="L49" i="6" s="1"/>
  <c r="J49" i="6"/>
  <c r="I49" i="6"/>
  <c r="F49" i="6"/>
  <c r="E49" i="6"/>
  <c r="A49" i="6"/>
  <c r="A50" i="6" s="1"/>
  <c r="A51" i="6" s="1"/>
  <c r="A52" i="6" s="1"/>
  <c r="A53" i="6" s="1"/>
  <c r="A54" i="6" s="1"/>
  <c r="A55" i="6" s="1"/>
  <c r="A56" i="6" s="1"/>
  <c r="K48" i="6"/>
  <c r="L48" i="6" s="1"/>
  <c r="I48" i="6"/>
  <c r="F48" i="6"/>
  <c r="E48" i="6"/>
  <c r="A48" i="6"/>
  <c r="K46" i="6"/>
  <c r="L46" i="6" s="1"/>
  <c r="I46" i="6"/>
  <c r="F46" i="6"/>
  <c r="E46" i="6"/>
  <c r="I45" i="6"/>
  <c r="F45" i="6"/>
  <c r="E45" i="6"/>
  <c r="I44" i="6"/>
  <c r="F44" i="6"/>
  <c r="E44" i="6"/>
  <c r="J43" i="6"/>
  <c r="K43" i="6" s="1"/>
  <c r="L43" i="6" s="1"/>
  <c r="I43" i="6"/>
  <c r="F43" i="6"/>
  <c r="E43" i="6"/>
  <c r="L42" i="6"/>
  <c r="K42" i="6"/>
  <c r="I42" i="6"/>
  <c r="F42" i="6"/>
  <c r="E42" i="6"/>
  <c r="I41" i="6"/>
  <c r="F41" i="6"/>
  <c r="E41" i="6"/>
  <c r="A41" i="6"/>
  <c r="A42" i="6" s="1"/>
  <c r="A43" i="6" s="1"/>
  <c r="A44" i="6" s="1"/>
  <c r="A45" i="6" s="1"/>
  <c r="A46" i="6" s="1"/>
  <c r="I40" i="6"/>
  <c r="F40" i="6"/>
  <c r="E40" i="6"/>
  <c r="F37" i="6"/>
  <c r="E37" i="6"/>
  <c r="A37" i="6"/>
  <c r="K36" i="6"/>
  <c r="L36" i="6" s="1"/>
  <c r="I36" i="6"/>
  <c r="H36" i="6"/>
  <c r="F36" i="6"/>
  <c r="E36" i="6"/>
  <c r="H35" i="6"/>
  <c r="K35" i="6" s="1"/>
  <c r="L35" i="6" s="1"/>
  <c r="F35" i="6"/>
  <c r="E35" i="6"/>
  <c r="A35" i="6"/>
  <c r="H34" i="6"/>
  <c r="K34" i="6" s="1"/>
  <c r="L34" i="6" s="1"/>
  <c r="F34" i="6"/>
  <c r="E34" i="6"/>
  <c r="I33" i="6"/>
  <c r="F33" i="6"/>
  <c r="E33" i="6"/>
  <c r="A33" i="6"/>
  <c r="H32" i="6"/>
  <c r="I32" i="6" s="1"/>
  <c r="F32" i="6"/>
  <c r="E32" i="6"/>
  <c r="K31" i="6"/>
  <c r="L31" i="6" s="1"/>
  <c r="H31" i="6"/>
  <c r="I31" i="6" s="1"/>
  <c r="F31" i="6"/>
  <c r="E31" i="6"/>
  <c r="A31" i="6"/>
  <c r="H30" i="6"/>
  <c r="K30" i="6" s="1"/>
  <c r="L30" i="6" s="1"/>
  <c r="F30" i="6"/>
  <c r="E30" i="6"/>
  <c r="I28" i="6"/>
  <c r="F28" i="6"/>
  <c r="E28" i="6"/>
  <c r="I27" i="6"/>
  <c r="F27" i="6"/>
  <c r="E27" i="6"/>
  <c r="I26" i="6"/>
  <c r="F26" i="6"/>
  <c r="E26" i="6"/>
  <c r="I25" i="6"/>
  <c r="F25" i="6"/>
  <c r="E25" i="6"/>
  <c r="I24" i="6"/>
  <c r="F24" i="6"/>
  <c r="E24" i="6"/>
  <c r="I23" i="6"/>
  <c r="F23" i="6"/>
  <c r="E23" i="6"/>
  <c r="I22" i="6"/>
  <c r="F22" i="6"/>
  <c r="E22" i="6"/>
  <c r="I21" i="6"/>
  <c r="F21" i="6"/>
  <c r="E21" i="6"/>
  <c r="I20" i="6"/>
  <c r="F20" i="6"/>
  <c r="E20" i="6"/>
  <c r="M19" i="6"/>
  <c r="J19" i="6"/>
  <c r="F19" i="6"/>
  <c r="E19" i="6"/>
  <c r="A19" i="6"/>
  <c r="A20" i="6" s="1"/>
  <c r="A21" i="6" s="1"/>
  <c r="A22" i="6" s="1"/>
  <c r="A23" i="6" s="1"/>
  <c r="A24" i="6" s="1"/>
  <c r="A25" i="6" s="1"/>
  <c r="A26" i="6" s="1"/>
  <c r="A27" i="6" s="1"/>
  <c r="A28" i="6" s="1"/>
  <c r="M18" i="6"/>
  <c r="J18" i="6"/>
  <c r="F18" i="6"/>
  <c r="E18" i="6"/>
  <c r="M16" i="6"/>
  <c r="F16" i="6"/>
  <c r="E16" i="6"/>
  <c r="M15" i="6"/>
  <c r="J15" i="6"/>
  <c r="H15" i="6"/>
  <c r="I15" i="6" s="1"/>
  <c r="F15" i="6"/>
  <c r="E15" i="6"/>
  <c r="M14" i="6"/>
  <c r="F14" i="6"/>
  <c r="E14" i="6"/>
  <c r="M13" i="6"/>
  <c r="F13" i="6"/>
  <c r="E13" i="6"/>
  <c r="L12" i="6"/>
  <c r="K12" i="6"/>
  <c r="I12" i="6"/>
  <c r="F12" i="6"/>
  <c r="E12" i="6"/>
  <c r="K11" i="6"/>
  <c r="L11" i="6" s="1"/>
  <c r="I11" i="6"/>
  <c r="F11" i="6"/>
  <c r="E11" i="6"/>
  <c r="M10" i="6"/>
  <c r="J10" i="6"/>
  <c r="F10" i="6"/>
  <c r="E10" i="6"/>
  <c r="M9" i="6"/>
  <c r="F9" i="6"/>
  <c r="E9" i="6"/>
  <c r="A9" i="6"/>
  <c r="A10" i="6" s="1"/>
  <c r="A11" i="6" s="1"/>
  <c r="A12" i="6" s="1"/>
  <c r="A13" i="6" s="1"/>
  <c r="A14" i="6" s="1"/>
  <c r="A15" i="6" s="1"/>
  <c r="A16" i="6" s="1"/>
  <c r="M8" i="6"/>
  <c r="J8" i="6"/>
  <c r="F8" i="6"/>
  <c r="E8" i="6"/>
  <c r="A8" i="6"/>
  <c r="H7" i="6"/>
  <c r="H14" i="6" s="1"/>
  <c r="F7" i="6"/>
  <c r="E7" i="6"/>
  <c r="AB35" i="7" l="1"/>
  <c r="W35" i="7"/>
  <c r="X35" i="7" s="1"/>
  <c r="U11" i="7"/>
  <c r="U15" i="7"/>
  <c r="W11" i="7"/>
  <c r="X11" i="7" s="1"/>
  <c r="U31" i="7"/>
  <c r="W36" i="7"/>
  <c r="X36" i="7" s="1"/>
  <c r="U32" i="7"/>
  <c r="U12" i="7"/>
  <c r="U16" i="7"/>
  <c r="W30" i="7"/>
  <c r="X30" i="7" s="1"/>
  <c r="P19" i="7"/>
  <c r="Q19" i="7" s="1"/>
  <c r="P51" i="7"/>
  <c r="Q51" i="7" s="1"/>
  <c r="P10" i="7"/>
  <c r="Q10" i="7" s="1"/>
  <c r="N34" i="7"/>
  <c r="N35" i="7"/>
  <c r="N107" i="7"/>
  <c r="U51" i="7"/>
  <c r="G55" i="7"/>
  <c r="N31" i="7"/>
  <c r="P30" i="7"/>
  <c r="Q30" i="7" s="1"/>
  <c r="U30" i="7"/>
  <c r="N32" i="7"/>
  <c r="AD107" i="7"/>
  <c r="AE107" i="7" s="1"/>
  <c r="P12" i="7"/>
  <c r="Q12" i="7" s="1"/>
  <c r="P49" i="7"/>
  <c r="Q49" i="7" s="1"/>
  <c r="U35" i="7"/>
  <c r="U46" i="7"/>
  <c r="AD42" i="7"/>
  <c r="AE42" i="7" s="1"/>
  <c r="AB51" i="7"/>
  <c r="N46" i="7"/>
  <c r="N14" i="7"/>
  <c r="U36" i="7"/>
  <c r="N36" i="7"/>
  <c r="U49" i="7"/>
  <c r="AB32" i="7"/>
  <c r="AB108" i="7"/>
  <c r="AB112" i="7"/>
  <c r="AB8" i="7"/>
  <c r="AB10" i="7"/>
  <c r="AB12" i="7"/>
  <c r="AB14" i="7"/>
  <c r="AB16" i="7"/>
  <c r="AB19" i="7"/>
  <c r="AB54" i="7"/>
  <c r="AB56" i="7"/>
  <c r="AB61" i="7"/>
  <c r="AB63" i="7"/>
  <c r="AB65" i="7"/>
  <c r="AB67" i="7"/>
  <c r="AB70" i="7"/>
  <c r="AB75" i="7"/>
  <c r="AB77" i="7"/>
  <c r="AB79" i="7"/>
  <c r="AB7" i="7"/>
  <c r="AB9" i="7"/>
  <c r="AB11" i="7"/>
  <c r="AB13" i="7"/>
  <c r="AB15" i="7"/>
  <c r="AB18" i="7"/>
  <c r="AB53" i="7"/>
  <c r="AB55" i="7"/>
  <c r="AB58" i="7"/>
  <c r="AB62" i="7"/>
  <c r="AB64" i="7"/>
  <c r="AB66" i="7"/>
  <c r="AB68" i="7"/>
  <c r="AB74" i="7"/>
  <c r="AB76" i="7"/>
  <c r="AB78" i="7"/>
  <c r="AB80" i="7"/>
  <c r="AB34" i="7"/>
  <c r="AB36" i="7"/>
  <c r="AD30" i="7"/>
  <c r="AE30" i="7" s="1"/>
  <c r="AB43" i="7"/>
  <c r="U8" i="7"/>
  <c r="U54" i="7"/>
  <c r="U56" i="7"/>
  <c r="U61" i="7"/>
  <c r="U63" i="7"/>
  <c r="U65" i="7"/>
  <c r="U67" i="7"/>
  <c r="U70" i="7"/>
  <c r="U75" i="7"/>
  <c r="U77" i="7"/>
  <c r="U79" i="7"/>
  <c r="U48" i="7"/>
  <c r="U53" i="7"/>
  <c r="U55" i="7"/>
  <c r="U58" i="7"/>
  <c r="U62" i="7"/>
  <c r="U64" i="7"/>
  <c r="U66" i="7"/>
  <c r="U68" i="7"/>
  <c r="U74" i="7"/>
  <c r="U76" i="7"/>
  <c r="U78" i="7"/>
  <c r="U80" i="7"/>
  <c r="U9" i="7"/>
  <c r="W7" i="7"/>
  <c r="X7" i="7" s="1"/>
  <c r="N108" i="7"/>
  <c r="N112" i="7"/>
  <c r="N54" i="7"/>
  <c r="N56" i="7"/>
  <c r="N61" i="7"/>
  <c r="N63" i="7"/>
  <c r="N65" i="7"/>
  <c r="N67" i="7"/>
  <c r="N70" i="7"/>
  <c r="N75" i="7"/>
  <c r="N77" i="7"/>
  <c r="N79" i="7"/>
  <c r="N48" i="7"/>
  <c r="N53" i="7"/>
  <c r="N55" i="7"/>
  <c r="N58" i="7"/>
  <c r="N62" i="7"/>
  <c r="N64" i="7"/>
  <c r="N66" i="7"/>
  <c r="N68" i="7"/>
  <c r="N74" i="7"/>
  <c r="N76" i="7"/>
  <c r="N78" i="7"/>
  <c r="N80" i="7"/>
  <c r="N7" i="7"/>
  <c r="N9" i="7"/>
  <c r="N11" i="7"/>
  <c r="N13" i="7"/>
  <c r="N15" i="7"/>
  <c r="N18" i="7"/>
  <c r="I11" i="7"/>
  <c r="J11" i="7" s="1"/>
  <c r="I61" i="7"/>
  <c r="J61" i="7" s="1"/>
  <c r="I79" i="7"/>
  <c r="J79" i="7" s="1"/>
  <c r="I12" i="7"/>
  <c r="J12" i="7" s="1"/>
  <c r="I63" i="7"/>
  <c r="J63" i="7" s="1"/>
  <c r="I46" i="7"/>
  <c r="J46" i="7" s="1"/>
  <c r="I77" i="7"/>
  <c r="J77" i="7" s="1"/>
  <c r="I42" i="7"/>
  <c r="J42" i="7" s="1"/>
  <c r="I58" i="7"/>
  <c r="J58" i="7" s="1"/>
  <c r="I78" i="7"/>
  <c r="J78" i="7" s="1"/>
  <c r="I48" i="7"/>
  <c r="J48" i="7" s="1"/>
  <c r="G63" i="7"/>
  <c r="I70" i="7"/>
  <c r="J70" i="7" s="1"/>
  <c r="G11" i="7"/>
  <c r="G51" i="7"/>
  <c r="G67" i="7"/>
  <c r="G68" i="7"/>
  <c r="I66" i="7"/>
  <c r="J66" i="7" s="1"/>
  <c r="G80" i="7"/>
  <c r="G49" i="7"/>
  <c r="G12" i="7"/>
  <c r="I49" i="7"/>
  <c r="J49" i="7" s="1"/>
  <c r="G61" i="7"/>
  <c r="G42" i="7"/>
  <c r="G77" i="7"/>
  <c r="G79" i="7"/>
  <c r="I64" i="7"/>
  <c r="J64" i="7" s="1"/>
  <c r="I56" i="7"/>
  <c r="J56" i="7" s="1"/>
  <c r="G65" i="7"/>
  <c r="I43" i="7"/>
  <c r="J43" i="7" s="1"/>
  <c r="G25" i="7"/>
  <c r="G58" i="7"/>
  <c r="G78" i="7"/>
  <c r="G36" i="7"/>
  <c r="G107" i="7"/>
  <c r="I31" i="7"/>
  <c r="J31" i="7" s="1"/>
  <c r="I111" i="7"/>
  <c r="J111" i="7" s="1"/>
  <c r="I15" i="7"/>
  <c r="J15" i="7" s="1"/>
  <c r="G113" i="7"/>
  <c r="I18" i="7"/>
  <c r="J18" i="7" s="1"/>
  <c r="G18" i="7"/>
  <c r="G32" i="7"/>
  <c r="I108" i="7"/>
  <c r="J108" i="7" s="1"/>
  <c r="I112" i="7"/>
  <c r="J112" i="7" s="1"/>
  <c r="G15" i="7"/>
  <c r="G35" i="7"/>
  <c r="G34" i="7"/>
  <c r="G7" i="7"/>
  <c r="I7" i="7"/>
  <c r="J7" i="7" s="1"/>
  <c r="G30" i="7"/>
  <c r="I14" i="6"/>
  <c r="K14" i="6"/>
  <c r="L14" i="6" s="1"/>
  <c r="I34" i="6"/>
  <c r="I7" i="6"/>
  <c r="K7" i="6"/>
  <c r="L7" i="6" s="1"/>
  <c r="H9" i="6"/>
  <c r="H19" i="6"/>
  <c r="H13" i="6"/>
  <c r="I30" i="6"/>
  <c r="K32" i="6"/>
  <c r="L32" i="6" s="1"/>
  <c r="H8" i="6"/>
  <c r="H18" i="6"/>
  <c r="I35" i="6"/>
  <c r="K15" i="6"/>
  <c r="L15" i="6" s="1"/>
  <c r="I111" i="6"/>
  <c r="I107" i="6"/>
  <c r="I113" i="6"/>
  <c r="H10" i="6"/>
  <c r="I13" i="7" l="1"/>
  <c r="J13" i="7" s="1"/>
  <c r="G13" i="7"/>
  <c r="I9" i="7"/>
  <c r="J9" i="7" s="1"/>
  <c r="G9" i="7"/>
  <c r="G19" i="7"/>
  <c r="I19" i="7"/>
  <c r="J19" i="7" s="1"/>
  <c r="I8" i="7"/>
  <c r="J8" i="7" s="1"/>
  <c r="G8" i="7"/>
  <c r="G14" i="7"/>
  <c r="I14" i="7"/>
  <c r="J14" i="7" s="1"/>
  <c r="G10" i="7"/>
  <c r="I10" i="7"/>
  <c r="J10" i="7" s="1"/>
  <c r="K8" i="6"/>
  <c r="L8" i="6" s="1"/>
  <c r="I8" i="6"/>
  <c r="H16" i="6"/>
  <c r="K9" i="6"/>
  <c r="L9" i="6" s="1"/>
  <c r="I9" i="6"/>
  <c r="K18" i="6"/>
  <c r="L18" i="6" s="1"/>
  <c r="I18" i="6"/>
  <c r="K13" i="6"/>
  <c r="L13" i="6" s="1"/>
  <c r="I13" i="6"/>
  <c r="I19" i="6"/>
  <c r="K19" i="6"/>
  <c r="L19" i="6" s="1"/>
  <c r="I10" i="6"/>
  <c r="K10" i="6"/>
  <c r="L10" i="6" s="1"/>
  <c r="G16" i="7" l="1"/>
  <c r="I16" i="7"/>
  <c r="J16" i="7" s="1"/>
  <c r="K16" i="6"/>
  <c r="L16" i="6" s="1"/>
  <c r="I16" i="6"/>
  <c r="J113" i="5" l="1"/>
  <c r="H113" i="5"/>
  <c r="K113" i="5" s="1"/>
  <c r="L113" i="5" s="1"/>
  <c r="F113" i="5"/>
  <c r="E113" i="5"/>
  <c r="A113" i="5"/>
  <c r="J112" i="5"/>
  <c r="I112" i="5"/>
  <c r="H112" i="5"/>
  <c r="K112" i="5" s="1"/>
  <c r="L112" i="5" s="1"/>
  <c r="F112" i="5"/>
  <c r="E112" i="5"/>
  <c r="A112" i="5"/>
  <c r="J111" i="5"/>
  <c r="H111" i="5"/>
  <c r="K111" i="5" s="1"/>
  <c r="L111" i="5" s="1"/>
  <c r="F111" i="5"/>
  <c r="E111" i="5"/>
  <c r="I108" i="5"/>
  <c r="H108" i="5"/>
  <c r="K108" i="5" s="1"/>
  <c r="L108" i="5" s="1"/>
  <c r="F108" i="5"/>
  <c r="E108" i="5"/>
  <c r="A108" i="5"/>
  <c r="H107" i="5"/>
  <c r="K107" i="5" s="1"/>
  <c r="L107" i="5" s="1"/>
  <c r="F107" i="5"/>
  <c r="E107" i="5"/>
  <c r="J104" i="5"/>
  <c r="F104" i="5"/>
  <c r="E104" i="5"/>
  <c r="F103" i="5"/>
  <c r="E103" i="5"/>
  <c r="J102" i="5"/>
  <c r="R102" i="5" s="1"/>
  <c r="S102" i="5" s="1"/>
  <c r="T102" i="5" s="1"/>
  <c r="F102" i="5"/>
  <c r="E102" i="5"/>
  <c r="J101" i="5"/>
  <c r="R101" i="5" s="1"/>
  <c r="S101" i="5" s="1"/>
  <c r="T101" i="5" s="1"/>
  <c r="F101" i="5"/>
  <c r="E101" i="5"/>
  <c r="J100" i="5"/>
  <c r="F100" i="5"/>
  <c r="E100" i="5"/>
  <c r="J99" i="5"/>
  <c r="F99" i="5"/>
  <c r="E99" i="5"/>
  <c r="J98" i="5"/>
  <c r="F98" i="5"/>
  <c r="E98" i="5"/>
  <c r="A98" i="5"/>
  <c r="A99" i="5" s="1"/>
  <c r="A100" i="5" s="1"/>
  <c r="A101" i="5" s="1"/>
  <c r="A102" i="5" s="1"/>
  <c r="A103" i="5" s="1"/>
  <c r="A104" i="5" s="1"/>
  <c r="J97" i="5"/>
  <c r="F97" i="5"/>
  <c r="E97" i="5"/>
  <c r="A97" i="5"/>
  <c r="J96" i="5"/>
  <c r="F96" i="5"/>
  <c r="E96" i="5"/>
  <c r="J94" i="5"/>
  <c r="F94" i="5"/>
  <c r="E94" i="5"/>
  <c r="J93" i="5"/>
  <c r="F93" i="5"/>
  <c r="E93" i="5"/>
  <c r="R92" i="5"/>
  <c r="S92" i="5" s="1"/>
  <c r="T92" i="5" s="1"/>
  <c r="J92" i="5"/>
  <c r="F92" i="5"/>
  <c r="E92" i="5"/>
  <c r="J91" i="5"/>
  <c r="R91" i="5" s="1"/>
  <c r="S91" i="5" s="1"/>
  <c r="T91" i="5" s="1"/>
  <c r="F91" i="5"/>
  <c r="E91" i="5"/>
  <c r="J90" i="5"/>
  <c r="F90" i="5"/>
  <c r="E90" i="5"/>
  <c r="J89" i="5"/>
  <c r="F89" i="5"/>
  <c r="E89" i="5"/>
  <c r="J88" i="5"/>
  <c r="F88" i="5"/>
  <c r="E88" i="5"/>
  <c r="A88" i="5"/>
  <c r="A89" i="5" s="1"/>
  <c r="A90" i="5" s="1"/>
  <c r="A91" i="5" s="1"/>
  <c r="A92" i="5" s="1"/>
  <c r="A93" i="5" s="1"/>
  <c r="A94" i="5" s="1"/>
  <c r="J87" i="5"/>
  <c r="F87" i="5"/>
  <c r="E87" i="5"/>
  <c r="A87" i="5"/>
  <c r="J86" i="5"/>
  <c r="R86" i="5" s="1"/>
  <c r="S86" i="5" s="1"/>
  <c r="T86" i="5" s="1"/>
  <c r="F86" i="5"/>
  <c r="E86" i="5"/>
  <c r="J82" i="5"/>
  <c r="F82" i="5"/>
  <c r="E82" i="5"/>
  <c r="A82" i="5"/>
  <c r="L80" i="5"/>
  <c r="K80" i="5"/>
  <c r="I80" i="5"/>
  <c r="F80" i="5"/>
  <c r="E80" i="5"/>
  <c r="L79" i="5"/>
  <c r="K79" i="5"/>
  <c r="I79" i="5"/>
  <c r="F79" i="5"/>
  <c r="E79" i="5"/>
  <c r="K78" i="5"/>
  <c r="L78" i="5" s="1"/>
  <c r="I78" i="5"/>
  <c r="F78" i="5"/>
  <c r="E78" i="5"/>
  <c r="K77" i="5"/>
  <c r="L77" i="5" s="1"/>
  <c r="I77" i="5"/>
  <c r="F77" i="5"/>
  <c r="E77" i="5"/>
  <c r="K76" i="5"/>
  <c r="L76" i="5" s="1"/>
  <c r="I76" i="5"/>
  <c r="F76" i="5"/>
  <c r="E76" i="5"/>
  <c r="K75" i="5"/>
  <c r="L75" i="5" s="1"/>
  <c r="I75" i="5"/>
  <c r="F75" i="5"/>
  <c r="E75" i="5"/>
  <c r="L74" i="5"/>
  <c r="K74" i="5"/>
  <c r="I74" i="5"/>
  <c r="F74" i="5"/>
  <c r="E74" i="5"/>
  <c r="K70" i="5"/>
  <c r="L70" i="5" s="1"/>
  <c r="J70" i="5"/>
  <c r="I70" i="5"/>
  <c r="F70" i="5"/>
  <c r="E70" i="5"/>
  <c r="A70" i="5"/>
  <c r="J68" i="5"/>
  <c r="K68" i="5" s="1"/>
  <c r="L68" i="5" s="1"/>
  <c r="I68" i="5"/>
  <c r="F68" i="5"/>
  <c r="E68" i="5"/>
  <c r="K67" i="5"/>
  <c r="L67" i="5" s="1"/>
  <c r="J67" i="5"/>
  <c r="I67" i="5"/>
  <c r="F67" i="5"/>
  <c r="E67" i="5"/>
  <c r="J66" i="5"/>
  <c r="K66" i="5" s="1"/>
  <c r="L66" i="5" s="1"/>
  <c r="I66" i="5"/>
  <c r="F66" i="5"/>
  <c r="E66" i="5"/>
  <c r="K65" i="5"/>
  <c r="L65" i="5" s="1"/>
  <c r="I65" i="5"/>
  <c r="F65" i="5"/>
  <c r="E65" i="5"/>
  <c r="K64" i="5"/>
  <c r="L64" i="5" s="1"/>
  <c r="J64" i="5"/>
  <c r="I64" i="5"/>
  <c r="F64" i="5"/>
  <c r="E64" i="5"/>
  <c r="K63" i="5"/>
  <c r="L63" i="5" s="1"/>
  <c r="I63" i="5"/>
  <c r="F63" i="5"/>
  <c r="E63" i="5"/>
  <c r="A63" i="5"/>
  <c r="A64" i="5" s="1"/>
  <c r="A65" i="5" s="1"/>
  <c r="A66" i="5" s="1"/>
  <c r="A67" i="5" s="1"/>
  <c r="A68" i="5" s="1"/>
  <c r="K62" i="5"/>
  <c r="L62" i="5" s="1"/>
  <c r="I62" i="5"/>
  <c r="F62" i="5"/>
  <c r="E62" i="5"/>
  <c r="A62" i="5"/>
  <c r="L61" i="5"/>
  <c r="K61" i="5"/>
  <c r="I61" i="5"/>
  <c r="F61" i="5"/>
  <c r="E61" i="5"/>
  <c r="K58" i="5"/>
  <c r="L58" i="5" s="1"/>
  <c r="I58" i="5"/>
  <c r="F58" i="5"/>
  <c r="E58" i="5"/>
  <c r="I56" i="5"/>
  <c r="F56" i="5"/>
  <c r="E56" i="5"/>
  <c r="K55" i="5"/>
  <c r="L55" i="5" s="1"/>
  <c r="J55" i="5"/>
  <c r="I55" i="5"/>
  <c r="F55" i="5"/>
  <c r="E55" i="5"/>
  <c r="J54" i="5"/>
  <c r="K54" i="5" s="1"/>
  <c r="L54" i="5" s="1"/>
  <c r="I54" i="5"/>
  <c r="F54" i="5"/>
  <c r="E54" i="5"/>
  <c r="K53" i="5"/>
  <c r="L53" i="5" s="1"/>
  <c r="I53" i="5"/>
  <c r="F53" i="5"/>
  <c r="E53" i="5"/>
  <c r="I52" i="5"/>
  <c r="F52" i="5"/>
  <c r="E52" i="5"/>
  <c r="K51" i="5"/>
  <c r="L51" i="5" s="1"/>
  <c r="J51" i="5"/>
  <c r="I51" i="5"/>
  <c r="F51" i="5"/>
  <c r="E51" i="5"/>
  <c r="J50" i="5"/>
  <c r="I50" i="5"/>
  <c r="F50" i="5"/>
  <c r="E50" i="5"/>
  <c r="K49" i="5"/>
  <c r="L49" i="5" s="1"/>
  <c r="J49" i="5"/>
  <c r="I49" i="5"/>
  <c r="F49" i="5"/>
  <c r="E49" i="5"/>
  <c r="J48" i="5"/>
  <c r="K48" i="5" s="1"/>
  <c r="L48" i="5" s="1"/>
  <c r="I48" i="5"/>
  <c r="F48" i="5"/>
  <c r="E48" i="5"/>
  <c r="A48" i="5"/>
  <c r="A49" i="5" s="1"/>
  <c r="A50" i="5" s="1"/>
  <c r="A51" i="5" s="1"/>
  <c r="A52" i="5" s="1"/>
  <c r="A53" i="5" s="1"/>
  <c r="A54" i="5" s="1"/>
  <c r="A55" i="5" s="1"/>
  <c r="A56" i="5" s="1"/>
  <c r="K46" i="5"/>
  <c r="L46" i="5" s="1"/>
  <c r="J46" i="5"/>
  <c r="I46" i="5"/>
  <c r="F46" i="5"/>
  <c r="E46" i="5"/>
  <c r="I45" i="5"/>
  <c r="F45" i="5"/>
  <c r="E45" i="5"/>
  <c r="I44" i="5"/>
  <c r="F44" i="5"/>
  <c r="E44" i="5"/>
  <c r="J43" i="5"/>
  <c r="K43" i="5" s="1"/>
  <c r="L43" i="5" s="1"/>
  <c r="I43" i="5"/>
  <c r="F43" i="5"/>
  <c r="E43" i="5"/>
  <c r="J42" i="5"/>
  <c r="K42" i="5" s="1"/>
  <c r="L42" i="5" s="1"/>
  <c r="I42" i="5"/>
  <c r="F42" i="5"/>
  <c r="E42" i="5"/>
  <c r="I41" i="5"/>
  <c r="F41" i="5"/>
  <c r="E41" i="5"/>
  <c r="A41" i="5"/>
  <c r="A42" i="5" s="1"/>
  <c r="A43" i="5" s="1"/>
  <c r="A44" i="5" s="1"/>
  <c r="A45" i="5" s="1"/>
  <c r="A46" i="5" s="1"/>
  <c r="I40" i="5"/>
  <c r="F40" i="5"/>
  <c r="E40" i="5"/>
  <c r="F37" i="5"/>
  <c r="E37" i="5"/>
  <c r="A37" i="5"/>
  <c r="K36" i="5"/>
  <c r="L36" i="5" s="1"/>
  <c r="I36" i="5"/>
  <c r="F36" i="5"/>
  <c r="E36" i="5"/>
  <c r="F35" i="5"/>
  <c r="E35" i="5"/>
  <c r="A35" i="5"/>
  <c r="H34" i="5"/>
  <c r="K34" i="5" s="1"/>
  <c r="L34" i="5" s="1"/>
  <c r="F34" i="5"/>
  <c r="E34" i="5"/>
  <c r="I33" i="5"/>
  <c r="F33" i="5"/>
  <c r="E33" i="5"/>
  <c r="A33" i="5"/>
  <c r="K32" i="5"/>
  <c r="L32" i="5" s="1"/>
  <c r="I32" i="5"/>
  <c r="H32" i="5"/>
  <c r="H35" i="5" s="1"/>
  <c r="F32" i="5"/>
  <c r="E32" i="5"/>
  <c r="K31" i="5"/>
  <c r="L31" i="5" s="1"/>
  <c r="I31" i="5"/>
  <c r="F31" i="5"/>
  <c r="E31" i="5"/>
  <c r="A31" i="5"/>
  <c r="L30" i="5"/>
  <c r="K30" i="5"/>
  <c r="F30" i="5"/>
  <c r="E30" i="5"/>
  <c r="I28" i="5"/>
  <c r="F28" i="5"/>
  <c r="E28" i="5"/>
  <c r="I27" i="5"/>
  <c r="F27" i="5"/>
  <c r="E27" i="5"/>
  <c r="I26" i="5"/>
  <c r="F26" i="5"/>
  <c r="E26" i="5"/>
  <c r="J25" i="5"/>
  <c r="I25" i="5"/>
  <c r="F25" i="5"/>
  <c r="E25" i="5"/>
  <c r="I24" i="5"/>
  <c r="F24" i="5"/>
  <c r="E24" i="5"/>
  <c r="J23" i="5"/>
  <c r="I23" i="5"/>
  <c r="F23" i="5"/>
  <c r="E23" i="5"/>
  <c r="I22" i="5"/>
  <c r="F22" i="5"/>
  <c r="E22" i="5"/>
  <c r="I21" i="5"/>
  <c r="F21" i="5"/>
  <c r="E21" i="5"/>
  <c r="J20" i="5"/>
  <c r="I20" i="5"/>
  <c r="F20" i="5"/>
  <c r="E20" i="5"/>
  <c r="A20" i="5"/>
  <c r="A21" i="5" s="1"/>
  <c r="A22" i="5" s="1"/>
  <c r="A23" i="5" s="1"/>
  <c r="A24" i="5" s="1"/>
  <c r="A25" i="5" s="1"/>
  <c r="A26" i="5" s="1"/>
  <c r="A27" i="5" s="1"/>
  <c r="A28" i="5" s="1"/>
  <c r="H19" i="5"/>
  <c r="F19" i="5"/>
  <c r="E19" i="5"/>
  <c r="A19" i="5"/>
  <c r="K18" i="5"/>
  <c r="L18" i="5" s="1"/>
  <c r="J18" i="5"/>
  <c r="H18" i="5"/>
  <c r="I18" i="5" s="1"/>
  <c r="F18" i="5"/>
  <c r="E18" i="5"/>
  <c r="J16" i="5"/>
  <c r="F16" i="5"/>
  <c r="E16" i="5"/>
  <c r="J15" i="5"/>
  <c r="H15" i="5"/>
  <c r="K15" i="5" s="1"/>
  <c r="L15" i="5" s="1"/>
  <c r="F15" i="5"/>
  <c r="E15" i="5"/>
  <c r="H14" i="5"/>
  <c r="K14" i="5" s="1"/>
  <c r="L14" i="5" s="1"/>
  <c r="F14" i="5"/>
  <c r="E14" i="5"/>
  <c r="H13" i="5"/>
  <c r="K13" i="5" s="1"/>
  <c r="L13" i="5" s="1"/>
  <c r="F13" i="5"/>
  <c r="E13" i="5"/>
  <c r="K12" i="5"/>
  <c r="L12" i="5" s="1"/>
  <c r="I12" i="5"/>
  <c r="F12" i="5"/>
  <c r="E12" i="5"/>
  <c r="L11" i="5"/>
  <c r="K11" i="5"/>
  <c r="I11" i="5"/>
  <c r="F11" i="5"/>
  <c r="E11" i="5"/>
  <c r="I10" i="5"/>
  <c r="H10" i="5"/>
  <c r="F10" i="5"/>
  <c r="E10" i="5"/>
  <c r="H9" i="5"/>
  <c r="K9" i="5" s="1"/>
  <c r="L9" i="5" s="1"/>
  <c r="F9" i="5"/>
  <c r="E9" i="5"/>
  <c r="J8" i="5"/>
  <c r="J19" i="5" s="1"/>
  <c r="H8" i="5"/>
  <c r="K8" i="5" s="1"/>
  <c r="L8" i="5" s="1"/>
  <c r="F8" i="5"/>
  <c r="E8" i="5"/>
  <c r="A8" i="5"/>
  <c r="A9" i="5" s="1"/>
  <c r="A10" i="5" s="1"/>
  <c r="A11" i="5" s="1"/>
  <c r="A12" i="5" s="1"/>
  <c r="A13" i="5" s="1"/>
  <c r="A14" i="5" s="1"/>
  <c r="A15" i="5" s="1"/>
  <c r="A16" i="5" s="1"/>
  <c r="K7" i="5"/>
  <c r="L7" i="5" s="1"/>
  <c r="I7" i="5"/>
  <c r="F7" i="5"/>
  <c r="E7" i="5"/>
  <c r="K19" i="5" l="1"/>
  <c r="L19" i="5" s="1"/>
  <c r="I35" i="5"/>
  <c r="K35" i="5"/>
  <c r="L35" i="5" s="1"/>
  <c r="I13" i="5"/>
  <c r="I15" i="5"/>
  <c r="I9" i="5"/>
  <c r="J56" i="5"/>
  <c r="K56" i="5" s="1"/>
  <c r="L56" i="5" s="1"/>
  <c r="I8" i="5"/>
  <c r="I14" i="5"/>
  <c r="H16" i="5"/>
  <c r="I34" i="5"/>
  <c r="J10" i="5"/>
  <c r="K10" i="5" s="1"/>
  <c r="L10" i="5" s="1"/>
  <c r="I19" i="5"/>
  <c r="I111" i="5"/>
  <c r="I107" i="5"/>
  <c r="I113" i="5"/>
  <c r="K16" i="5" l="1"/>
  <c r="L16" i="5" s="1"/>
  <c r="I16" i="5"/>
  <c r="J35" i="2" l="1"/>
  <c r="J46" i="2" l="1"/>
  <c r="J50" i="2"/>
  <c r="J51" i="2"/>
  <c r="J49" i="2"/>
  <c r="J48" i="2"/>
  <c r="J44" i="2"/>
  <c r="J43" i="2"/>
  <c r="J42" i="2"/>
  <c r="J41" i="2"/>
  <c r="J45" i="2"/>
  <c r="J65" i="2"/>
  <c r="J67" i="2"/>
  <c r="J68" i="2"/>
  <c r="J82" i="2" l="1"/>
  <c r="J86" i="2"/>
  <c r="J87" i="2"/>
  <c r="J90" i="2"/>
  <c r="J111" i="2"/>
  <c r="J113" i="2"/>
  <c r="J8" i="2"/>
  <c r="M19" i="2" l="1"/>
  <c r="M18" i="2"/>
  <c r="K56" i="2"/>
  <c r="K55" i="2"/>
  <c r="K54" i="2"/>
  <c r="K28" i="2"/>
  <c r="K27" i="2"/>
  <c r="K26" i="2"/>
  <c r="K24" i="2"/>
  <c r="K22" i="2"/>
  <c r="K21" i="2"/>
  <c r="K14" i="2"/>
  <c r="J112" i="2"/>
  <c r="J89" i="2"/>
  <c r="J88" i="2"/>
  <c r="J70" i="2"/>
  <c r="J64" i="2"/>
  <c r="J20" i="2"/>
  <c r="J25" i="2"/>
  <c r="J23" i="2"/>
  <c r="J18" i="2"/>
  <c r="J16" i="2"/>
  <c r="J15" i="2"/>
  <c r="J10" i="2"/>
  <c r="J19" i="2" l="1"/>
  <c r="J77" i="1" l="1"/>
  <c r="J76" i="1"/>
  <c r="J75" i="1"/>
  <c r="J61" i="1"/>
  <c r="J60" i="1"/>
  <c r="J59" i="1"/>
  <c r="J45" i="1"/>
  <c r="J44" i="1"/>
  <c r="J43" i="1"/>
  <c r="J30" i="1"/>
  <c r="J29" i="1"/>
  <c r="J28" i="1"/>
  <c r="J27" i="1"/>
  <c r="J17" i="1"/>
  <c r="J16" i="1"/>
  <c r="J15" i="1"/>
  <c r="J14" i="1"/>
  <c r="J13" i="1"/>
  <c r="J12" i="1"/>
  <c r="J11" i="1"/>
  <c r="J3" i="1"/>
  <c r="I30" i="2"/>
  <c r="H32" i="2"/>
  <c r="H34" i="2" s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2" i="1"/>
  <c r="J41" i="1"/>
  <c r="J40" i="1"/>
  <c r="J39" i="1"/>
  <c r="J38" i="1"/>
  <c r="J37" i="1"/>
  <c r="J36" i="1"/>
  <c r="J35" i="1"/>
  <c r="J34" i="1"/>
  <c r="J33" i="1"/>
  <c r="J32" i="1"/>
  <c r="J31" i="1"/>
  <c r="J26" i="1"/>
  <c r="J25" i="1"/>
  <c r="J24" i="1"/>
  <c r="J23" i="1"/>
  <c r="J22" i="1"/>
  <c r="J21" i="1"/>
  <c r="J20" i="1"/>
  <c r="J19" i="1"/>
  <c r="J18" i="1"/>
  <c r="J10" i="1"/>
  <c r="J9" i="1"/>
  <c r="J8" i="1"/>
  <c r="J7" i="1"/>
  <c r="J6" i="1"/>
  <c r="J5" i="1"/>
  <c r="J4" i="1"/>
  <c r="H35" i="2" l="1"/>
  <c r="A97" i="2"/>
  <c r="A98" i="2" s="1"/>
  <c r="A99" i="2" s="1"/>
  <c r="A100" i="2" s="1"/>
  <c r="A101" i="2" s="1"/>
  <c r="A102" i="2" s="1"/>
  <c r="A103" i="2" s="1"/>
  <c r="A104" i="2" s="1"/>
  <c r="F94" i="2" l="1"/>
  <c r="A112" i="2" l="1"/>
  <c r="A113" i="2" s="1"/>
  <c r="A108" i="2"/>
  <c r="K43" i="2" l="1"/>
  <c r="L43" i="2" s="1"/>
  <c r="I43" i="2"/>
  <c r="A41" i="2"/>
  <c r="A42" i="2" s="1"/>
  <c r="A43" i="2" s="1"/>
  <c r="A44" i="2" s="1"/>
  <c r="A45" i="2" s="1"/>
  <c r="A46" i="2" s="1"/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I44" i="2"/>
  <c r="K12" i="2" l="1"/>
  <c r="H19" i="2" l="1"/>
  <c r="K15" i="2" l="1"/>
  <c r="L15" i="2" s="1"/>
  <c r="F28" i="2"/>
  <c r="F26" i="2"/>
  <c r="K113" i="2" l="1"/>
  <c r="L113" i="2" s="1"/>
  <c r="I113" i="2"/>
  <c r="I14" i="2" l="1"/>
  <c r="I15" i="2"/>
  <c r="F88" i="1"/>
  <c r="F89" i="1"/>
  <c r="F90" i="1"/>
  <c r="E90" i="2"/>
  <c r="F43" i="2"/>
  <c r="F90" i="2"/>
  <c r="G88" i="1"/>
  <c r="H88" i="1"/>
  <c r="G89" i="1"/>
  <c r="H89" i="1"/>
  <c r="G90" i="1"/>
  <c r="H90" i="1"/>
  <c r="F27" i="2"/>
  <c r="F9" i="2"/>
  <c r="F24" i="2"/>
  <c r="F86" i="2"/>
  <c r="F11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3" i="1"/>
  <c r="E94" i="2" l="1"/>
  <c r="E43" i="2"/>
  <c r="F96" i="2"/>
  <c r="F25" i="2"/>
  <c r="F42" i="2"/>
  <c r="F104" i="2"/>
  <c r="F12" i="2"/>
  <c r="F62" i="2"/>
  <c r="F1" i="1"/>
  <c r="E104" i="2"/>
  <c r="F97" i="2"/>
  <c r="F66" i="2"/>
  <c r="F70" i="2"/>
  <c r="F98" i="2"/>
  <c r="F76" i="2"/>
  <c r="F108" i="2"/>
  <c r="E15" i="2"/>
  <c r="E14" i="2"/>
  <c r="F74" i="2"/>
  <c r="F111" i="2"/>
  <c r="F15" i="2"/>
  <c r="F49" i="2"/>
  <c r="F100" i="2"/>
  <c r="F31" i="2"/>
  <c r="F75" i="2"/>
  <c r="F113" i="2"/>
  <c r="F77" i="2"/>
  <c r="F88" i="2"/>
  <c r="F102" i="2"/>
  <c r="F14" i="2"/>
  <c r="F64" i="2"/>
  <c r="F92" i="2"/>
  <c r="F56" i="2"/>
  <c r="F37" i="2"/>
  <c r="F107" i="2"/>
  <c r="F30" i="2"/>
  <c r="F55" i="2"/>
  <c r="F35" i="2"/>
  <c r="F20" i="2"/>
  <c r="F36" i="2"/>
  <c r="F50" i="2"/>
  <c r="F91" i="2"/>
  <c r="F34" i="2"/>
  <c r="F89" i="2"/>
  <c r="F19" i="2"/>
  <c r="F46" i="2"/>
  <c r="F23" i="2"/>
  <c r="F51" i="2"/>
  <c r="F16" i="2"/>
  <c r="F45" i="2"/>
  <c r="F63" i="2"/>
  <c r="F93" i="2"/>
  <c r="F33" i="2"/>
  <c r="F61" i="2"/>
  <c r="F87" i="2"/>
  <c r="F80" i="2"/>
  <c r="F68" i="2"/>
  <c r="F58" i="2"/>
  <c r="F101" i="2"/>
  <c r="F22" i="2"/>
  <c r="F103" i="2"/>
  <c r="F32" i="2"/>
  <c r="F18" i="2"/>
  <c r="F82" i="2"/>
  <c r="F54" i="2"/>
  <c r="F8" i="2"/>
  <c r="F53" i="2"/>
  <c r="F112" i="2"/>
  <c r="F41" i="2"/>
  <c r="F79" i="2"/>
  <c r="F48" i="2"/>
  <c r="F10" i="2"/>
  <c r="F40" i="2"/>
  <c r="F78" i="2"/>
  <c r="F52" i="2"/>
  <c r="F99" i="2"/>
  <c r="F65" i="2"/>
  <c r="F7" i="2"/>
  <c r="F21" i="2"/>
  <c r="F13" i="2"/>
  <c r="F44" i="2"/>
  <c r="F67" i="2"/>
  <c r="E113" i="2"/>
  <c r="H10" i="2" l="1"/>
  <c r="K112" i="2"/>
  <c r="L112" i="2" s="1"/>
  <c r="K111" i="2"/>
  <c r="L111" i="2" s="1"/>
  <c r="K108" i="2"/>
  <c r="L108" i="2" s="1"/>
  <c r="K107" i="2"/>
  <c r="L107" i="2" s="1"/>
  <c r="R102" i="2"/>
  <c r="S102" i="2" s="1"/>
  <c r="T102" i="2" s="1"/>
  <c r="R92" i="2"/>
  <c r="S92" i="2" s="1"/>
  <c r="T92" i="2" s="1"/>
  <c r="R91" i="2"/>
  <c r="S91" i="2" s="1"/>
  <c r="T91" i="2" s="1"/>
  <c r="R86" i="2"/>
  <c r="S86" i="2" s="1"/>
  <c r="T86" i="2" s="1"/>
  <c r="K80" i="2"/>
  <c r="L80" i="2" s="1"/>
  <c r="K79" i="2"/>
  <c r="L79" i="2" s="1"/>
  <c r="K78" i="2"/>
  <c r="L78" i="2" s="1"/>
  <c r="K77" i="2"/>
  <c r="L77" i="2" s="1"/>
  <c r="K76" i="2"/>
  <c r="L76" i="2" s="1"/>
  <c r="K75" i="2"/>
  <c r="L75" i="2" s="1"/>
  <c r="K74" i="2"/>
  <c r="L74" i="2" s="1"/>
  <c r="K67" i="2"/>
  <c r="L67" i="2" s="1"/>
  <c r="K70" i="2"/>
  <c r="L70" i="2" s="1"/>
  <c r="K68" i="2"/>
  <c r="L68" i="2" s="1"/>
  <c r="K66" i="2"/>
  <c r="L66" i="2" s="1"/>
  <c r="K65" i="2"/>
  <c r="L65" i="2" s="1"/>
  <c r="K64" i="2"/>
  <c r="L64" i="2" s="1"/>
  <c r="K63" i="2"/>
  <c r="L63" i="2" s="1"/>
  <c r="K62" i="2"/>
  <c r="L62" i="2" s="1"/>
  <c r="K61" i="2"/>
  <c r="L61" i="2" s="1"/>
  <c r="K58" i="2"/>
  <c r="L58" i="2" s="1"/>
  <c r="K53" i="2"/>
  <c r="L53" i="2" s="1"/>
  <c r="K51" i="2"/>
  <c r="L51" i="2" s="1"/>
  <c r="K49" i="2"/>
  <c r="L49" i="2" s="1"/>
  <c r="K46" i="2"/>
  <c r="L46" i="2" s="1"/>
  <c r="K42" i="2"/>
  <c r="L42" i="2" s="1"/>
  <c r="K36" i="2"/>
  <c r="L36" i="2" s="1"/>
  <c r="K35" i="2"/>
  <c r="L35" i="2" s="1"/>
  <c r="K34" i="2"/>
  <c r="L34" i="2" s="1"/>
  <c r="K32" i="2"/>
  <c r="L32" i="2" s="1"/>
  <c r="K31" i="2"/>
  <c r="L31" i="2" s="1"/>
  <c r="K30" i="2"/>
  <c r="L30" i="2" s="1"/>
  <c r="K19" i="2"/>
  <c r="L19" i="2" s="1"/>
  <c r="K7" i="2"/>
  <c r="L7" i="2" s="1"/>
  <c r="R101" i="2"/>
  <c r="S101" i="2" s="1"/>
  <c r="T101" i="2" s="1"/>
  <c r="K48" i="2"/>
  <c r="L48" i="2" s="1"/>
  <c r="H18" i="2"/>
  <c r="K18" i="2" s="1"/>
  <c r="L18" i="2" s="1"/>
  <c r="H13" i="2"/>
  <c r="K13" i="2" s="1"/>
  <c r="L13" i="2" s="1"/>
  <c r="H9" i="2"/>
  <c r="H8" i="2"/>
  <c r="K11" i="2"/>
  <c r="L11" i="2" s="1"/>
  <c r="G87" i="1"/>
  <c r="H87" i="1"/>
  <c r="I1" i="1"/>
  <c r="K4" i="1"/>
  <c r="K3" i="1"/>
  <c r="I80" i="2"/>
  <c r="I79" i="2"/>
  <c r="I78" i="2"/>
  <c r="I77" i="2"/>
  <c r="I76" i="2"/>
  <c r="I75" i="2"/>
  <c r="I74" i="2"/>
  <c r="I67" i="2"/>
  <c r="I70" i="2"/>
  <c r="I68" i="2"/>
  <c r="I66" i="2"/>
  <c r="I65" i="2"/>
  <c r="I64" i="2"/>
  <c r="I63" i="2"/>
  <c r="I62" i="2"/>
  <c r="I61" i="2"/>
  <c r="I53" i="2"/>
  <c r="I52" i="2"/>
  <c r="I51" i="2"/>
  <c r="I50" i="2"/>
  <c r="I49" i="2"/>
  <c r="I48" i="2"/>
  <c r="I46" i="2"/>
  <c r="I45" i="2"/>
  <c r="I42" i="2"/>
  <c r="I41" i="2"/>
  <c r="I40" i="2"/>
  <c r="I36" i="2"/>
  <c r="I35" i="2"/>
  <c r="I34" i="2"/>
  <c r="I33" i="2"/>
  <c r="I32" i="2"/>
  <c r="I31" i="2"/>
  <c r="I28" i="2"/>
  <c r="I27" i="2"/>
  <c r="I26" i="2"/>
  <c r="I25" i="2"/>
  <c r="I24" i="2"/>
  <c r="I23" i="2"/>
  <c r="I22" i="2"/>
  <c r="I21" i="2"/>
  <c r="I20" i="2"/>
  <c r="I19" i="2"/>
  <c r="I12" i="2"/>
  <c r="I11" i="2"/>
  <c r="I7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3" i="1"/>
  <c r="I112" i="2"/>
  <c r="I111" i="2"/>
  <c r="I108" i="2"/>
  <c r="I107" i="2"/>
  <c r="I58" i="2"/>
  <c r="E28" i="2"/>
  <c r="A33" i="2"/>
  <c r="A35" i="2"/>
  <c r="A37" i="2"/>
  <c r="A8" i="2"/>
  <c r="A9" i="2" s="1"/>
  <c r="A10" i="2" s="1"/>
  <c r="A11" i="2" s="1"/>
  <c r="A12" i="2" s="1"/>
  <c r="A13" i="2" s="1"/>
  <c r="A14" i="2" s="1"/>
  <c r="A15" i="2" s="1"/>
  <c r="A16" i="2" s="1"/>
  <c r="A62" i="2"/>
  <c r="A63" i="2" s="1"/>
  <c r="A64" i="2" s="1"/>
  <c r="A65" i="2" s="1"/>
  <c r="A66" i="2" s="1"/>
  <c r="A67" i="2" s="1"/>
  <c r="A68" i="2" s="1"/>
  <c r="A87" i="2"/>
  <c r="A88" i="2" s="1"/>
  <c r="A89" i="2" s="1"/>
  <c r="A90" i="2" s="1"/>
  <c r="A91" i="2" s="1"/>
  <c r="A92" i="2" s="1"/>
  <c r="A93" i="2" s="1"/>
  <c r="A94" i="2" s="1"/>
  <c r="E112" i="2"/>
  <c r="E111" i="2"/>
  <c r="E108" i="2"/>
  <c r="E107" i="2"/>
  <c r="E103" i="2"/>
  <c r="E97" i="2"/>
  <c r="E98" i="2"/>
  <c r="E99" i="2"/>
  <c r="E100" i="2"/>
  <c r="E101" i="2"/>
  <c r="E102" i="2"/>
  <c r="E93" i="2"/>
  <c r="E86" i="2"/>
  <c r="E87" i="2"/>
  <c r="E88" i="2"/>
  <c r="E91" i="2"/>
  <c r="E89" i="2"/>
  <c r="E92" i="2"/>
  <c r="E96" i="2"/>
  <c r="E82" i="2"/>
  <c r="A82" i="2"/>
  <c r="E80" i="2"/>
  <c r="E79" i="2"/>
  <c r="E78" i="2"/>
  <c r="E77" i="2"/>
  <c r="E76" i="2"/>
  <c r="E75" i="2"/>
  <c r="E74" i="2"/>
  <c r="E67" i="2"/>
  <c r="E70" i="2"/>
  <c r="A70" i="2"/>
  <c r="E68" i="2"/>
  <c r="E66" i="2"/>
  <c r="E65" i="2"/>
  <c r="E64" i="2"/>
  <c r="E63" i="2"/>
  <c r="E62" i="2"/>
  <c r="E61" i="2"/>
  <c r="A48" i="2"/>
  <c r="A49" i="2" s="1"/>
  <c r="A50" i="2" s="1"/>
  <c r="A51" i="2" s="1"/>
  <c r="A52" i="2" s="1"/>
  <c r="A53" i="2" s="1"/>
  <c r="A54" i="2" s="1"/>
  <c r="A55" i="2" s="1"/>
  <c r="A56" i="2" s="1"/>
  <c r="E49" i="2"/>
  <c r="E50" i="2"/>
  <c r="E51" i="2"/>
  <c r="E52" i="2"/>
  <c r="E53" i="2"/>
  <c r="E54" i="2"/>
  <c r="E55" i="2"/>
  <c r="E56" i="2"/>
  <c r="E48" i="2"/>
  <c r="A31" i="2"/>
  <c r="A19" i="2"/>
  <c r="A20" i="2" s="1"/>
  <c r="A21" i="2" s="1"/>
  <c r="A22" i="2" s="1"/>
  <c r="A23" i="2" s="1"/>
  <c r="A24" i="2" s="1"/>
  <c r="A25" i="2" s="1"/>
  <c r="A26" i="2" s="1"/>
  <c r="A27" i="2" s="1"/>
  <c r="A28" i="2" s="1"/>
  <c r="E46" i="2"/>
  <c r="E45" i="2"/>
  <c r="E58" i="2"/>
  <c r="E44" i="2"/>
  <c r="E42" i="2"/>
  <c r="E41" i="2"/>
  <c r="E40" i="2"/>
  <c r="E32" i="2"/>
  <c r="E33" i="2"/>
  <c r="E35" i="2"/>
  <c r="E31" i="2"/>
  <c r="E36" i="2"/>
  <c r="E30" i="2"/>
  <c r="E34" i="2"/>
  <c r="E19" i="2"/>
  <c r="E20" i="2"/>
  <c r="E21" i="2"/>
  <c r="E22" i="2"/>
  <c r="E37" i="2"/>
  <c r="E23" i="2"/>
  <c r="E24" i="2"/>
  <c r="E25" i="2"/>
  <c r="E26" i="2"/>
  <c r="E27" i="2"/>
  <c r="E18" i="2"/>
  <c r="E16" i="2"/>
  <c r="E8" i="2"/>
  <c r="E9" i="2"/>
  <c r="E10" i="2"/>
  <c r="E11" i="2"/>
  <c r="E12" i="2"/>
  <c r="E13" i="2"/>
  <c r="E7" i="2"/>
  <c r="K8" i="2" l="1"/>
  <c r="L8" i="2" s="1"/>
  <c r="K10" i="2"/>
  <c r="L10" i="2" s="1"/>
  <c r="K9" i="2"/>
  <c r="L9" i="2" s="1"/>
  <c r="H16" i="2"/>
  <c r="I10" i="2"/>
  <c r="I8" i="2"/>
  <c r="I13" i="2"/>
  <c r="I9" i="2"/>
  <c r="I18" i="2"/>
  <c r="K16" i="2" l="1"/>
  <c r="L16" i="2" s="1"/>
  <c r="I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N21" authorId="0" shapeId="0" xr:uid="{A7E7AE69-688F-4EF8-B1B5-87821160A276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2" authorId="0" shapeId="0" xr:uid="{36AD1707-CC12-46B1-8722-ADEE368D2E83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4" authorId="0" shapeId="0" xr:uid="{1976A15C-98A6-41A3-A0FD-76AD527A69F7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5" authorId="0" shapeId="0" xr:uid="{24DDFA03-D3FE-4449-AF95-3CA1569CC73E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6" authorId="0" shapeId="0" xr:uid="{BB8E3DB7-A40F-4AD1-A23A-327ACAF43110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7" authorId="0" shapeId="0" xr:uid="{C5498304-D26F-4B27-9BCD-18BC15C3C7C8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8" authorId="0" shapeId="0" xr:uid="{9B283289-FB2E-40F8-BF06-4119D51D003B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N21" authorId="0" shapeId="0" xr:uid="{99A6713D-F905-493F-B2CC-2FF796763015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2" authorId="0" shapeId="0" xr:uid="{2DCC07CD-1600-470B-BA34-5CADB588FB6C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4" authorId="0" shapeId="0" xr:uid="{6D2C2CAB-72FA-4060-AFF1-BA5F19DD02E6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5" authorId="0" shapeId="0" xr:uid="{E3F88CF3-C6F3-4202-9B2D-E8BAEF669D78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6" authorId="0" shapeId="0" xr:uid="{83241C5B-4AED-43C5-92C0-F1F0E5D0A933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7" authorId="0" shapeId="0" xr:uid="{B82ABD13-CFD1-49BF-ADE6-6C132695E9E8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8" authorId="0" shapeId="0" xr:uid="{67BD9F27-420E-47CB-AF07-47DE0E2B7671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N20" authorId="0" shapeId="0" xr:uid="{F797E0E7-042A-4DB2-8175-B4E1BD823A52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N21" authorId="0" shapeId="0" xr:uid="{07979464-4D97-4D69-BA23-B9E2A3DFFAB1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2" authorId="0" shapeId="0" xr:uid="{6F46B3CD-EA03-49C2-9AB7-2652A75F69D5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4" authorId="0" shapeId="0" xr:uid="{F72CF9EE-72BE-4BC6-BA83-68FEF2613CD0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5" authorId="0" shapeId="0" xr:uid="{FDD4174D-A95D-4936-8594-87E02CCC8579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6" authorId="0" shapeId="0" xr:uid="{C4280258-8951-4C29-9F04-BEB389406B10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7" authorId="0" shapeId="0" xr:uid="{D8BB2FF4-6EC6-4C4B-A789-4107368E6620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8" authorId="0" shapeId="0" xr:uid="{FA161D93-08C4-4236-947D-45988BF16A61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</commentList>
</comments>
</file>

<file path=xl/sharedStrings.xml><?xml version="1.0" encoding="utf-8"?>
<sst xmlns="http://schemas.openxmlformats.org/spreadsheetml/2006/main" count="3077" uniqueCount="461">
  <si>
    <t>Material</t>
  </si>
  <si>
    <t>Material Description</t>
  </si>
  <si>
    <t>BUn</t>
  </si>
  <si>
    <t>Hạt nhựa rPET WSS01</t>
  </si>
  <si>
    <t>KG</t>
  </si>
  <si>
    <t>Hạt nhựa rPET iSS01</t>
  </si>
  <si>
    <t>Hạt nhựa rPET WSS02</t>
  </si>
  <si>
    <t>Hạt nhựa rPET iSS01084G</t>
  </si>
  <si>
    <t>Hạt nhựa rPET WSS03</t>
  </si>
  <si>
    <t>Hạt nhựa rPET WSS04</t>
  </si>
  <si>
    <t>Hạt nhựa rHDPE thử nghiệm</t>
  </si>
  <si>
    <t>Hạt Nhựa rHDB03W01</t>
  </si>
  <si>
    <t>Hạt Nhựa rHDPE MBF01</t>
  </si>
  <si>
    <t>Hạt nhựa rHDB04B01</t>
  </si>
  <si>
    <t>Hạt Nhựa rHDB03G01</t>
  </si>
  <si>
    <t>Hạt Nhựa rHDB03Y01</t>
  </si>
  <si>
    <t>Hạt nhựa rPET WSS01G 1</t>
  </si>
  <si>
    <t>Hạt nhựa rPET iSS01G 1</t>
  </si>
  <si>
    <t>Hạt nhựa rPET WSS02G</t>
  </si>
  <si>
    <t>Hạt nhựa rPET WSS03G</t>
  </si>
  <si>
    <t>Hạt nhựa rHDI4L01</t>
  </si>
  <si>
    <t>Hạt nhựa rHDI3R01</t>
  </si>
  <si>
    <t>Hạt nhựa rHDI3Gy01</t>
  </si>
  <si>
    <t>Hạt nhựa rHDI3Y01</t>
  </si>
  <si>
    <t>Hạt nhựa rHDI3W01</t>
  </si>
  <si>
    <t>Hạt nhựa rHDI3G01</t>
  </si>
  <si>
    <t>Hạt nhựa rPP15R01</t>
  </si>
  <si>
    <t>Hạt nhựa rPP25W01</t>
  </si>
  <si>
    <t>Hạt nhựa rPP15Gy01</t>
  </si>
  <si>
    <t>Hạt nhựa rPP15B01</t>
  </si>
  <si>
    <t>Hạt nhựa rHDI4DL01</t>
  </si>
  <si>
    <t>Hạt Nhựa rHDB03N02</t>
  </si>
  <si>
    <t>Hạt nhựa rPET iSS01L</t>
  </si>
  <si>
    <t>Hạt nhựa rPET WSS01G 2</t>
  </si>
  <si>
    <t>Hạt nhựa rPET iSS01G 2</t>
  </si>
  <si>
    <t>Hạt nhựa rPET WSS04SD</t>
  </si>
  <si>
    <t>Hạt nhựa rPET WSS04SB</t>
  </si>
  <si>
    <t>Hạt Nhựa rPET iSS84G-P</t>
  </si>
  <si>
    <t>Hạt Nhựa Xơ Sợi Thử Nghiệm</t>
  </si>
  <si>
    <t>Hạt Nhựa rHDB05N01</t>
  </si>
  <si>
    <t>Hạt nhựa rPET WSS03SD</t>
  </si>
  <si>
    <t>Hạt nhựa rPP20R01</t>
  </si>
  <si>
    <t>Hạt nhựa rPP20R02</t>
  </si>
  <si>
    <t>Hạt nhựa rPP20L01</t>
  </si>
  <si>
    <t>Hạt nhựa rPP20L02</t>
  </si>
  <si>
    <t>Hạt nhựa rPP20B01</t>
  </si>
  <si>
    <t>Hạt nhựa rPP20Be01</t>
  </si>
  <si>
    <t>Hạt nhựa rPP15Gy02</t>
  </si>
  <si>
    <t>Vảy HD Ép Đỏ</t>
  </si>
  <si>
    <t>Vảy HD Ép Trắng</t>
  </si>
  <si>
    <t>Vảy HD Ép Vàng</t>
  </si>
  <si>
    <t>Vảy HD Ép Lá</t>
  </si>
  <si>
    <t>Vảy HD Ép Dương</t>
  </si>
  <si>
    <t>Vảy HD Ép Đen</t>
  </si>
  <si>
    <t>Vảy HD Ép Đồng</t>
  </si>
  <si>
    <t>Vảy PP Đỏ Nhạt</t>
  </si>
  <si>
    <t>Vảy PP Đỏ Đậm</t>
  </si>
  <si>
    <t>Vảy PP Dương Nhạt</t>
  </si>
  <si>
    <t>Hạt Nhựa HCBF-Whi-U</t>
  </si>
  <si>
    <t>Hạt Nhựa HCBF-Yel-U</t>
  </si>
  <si>
    <t>Hạt Nhựa HCBF-Gre-U</t>
  </si>
  <si>
    <t>Dây đai PET</t>
  </si>
  <si>
    <t>Hạt Nhựa rHDPE MAF01</t>
  </si>
  <si>
    <t>Hạt Nhựa rPET Bán Thành Phẩm</t>
  </si>
  <si>
    <t>Hạt Nhựa rHDI3Gy02</t>
  </si>
  <si>
    <t>Hạt Nhựa rHDB03N01</t>
  </si>
  <si>
    <t>Hạt Nhựa rHDB03N03</t>
  </si>
  <si>
    <t>Hạt Nhựa rPP20L03</t>
  </si>
  <si>
    <t>Hạt nhựa rPET WSS05SB</t>
  </si>
  <si>
    <t>Vảy PP Trắng Sữa</t>
  </si>
  <si>
    <t>Hạt Nhựa LDPE Thử Nghiệm</t>
  </si>
  <si>
    <t>Hạt Nhựa PP Thử Nghiệm</t>
  </si>
  <si>
    <t>Hạt trụ</t>
  </si>
  <si>
    <t>Xử Lý 14</t>
  </si>
  <si>
    <t>Xử Lý 7</t>
  </si>
  <si>
    <t>Xử lý 5</t>
  </si>
  <si>
    <t>Xanh Ngọc</t>
  </si>
  <si>
    <t>Hạt Vuông</t>
  </si>
  <si>
    <t>Hạt Châm</t>
  </si>
  <si>
    <t>Xử lý 15 hạt trắng</t>
  </si>
  <si>
    <t>Xử lý 8</t>
  </si>
  <si>
    <t>Xử lý 15</t>
  </si>
  <si>
    <t>Xử lý 16</t>
  </si>
  <si>
    <t>MT 16</t>
  </si>
  <si>
    <t>GC Hạt Nhựa rHDB01N02</t>
  </si>
  <si>
    <t>GC Hạt Nhựa rLDB1N03</t>
  </si>
  <si>
    <t>Hạt Nhựa rPET WSS06SP-1</t>
  </si>
  <si>
    <t>Hạt Nhựa rPET WSS05SB-2</t>
  </si>
  <si>
    <t>Hạt Nhựa rPET iSS80G-P</t>
  </si>
  <si>
    <t>Vảy HD Ép Dương Bình Thuận</t>
  </si>
  <si>
    <t>Hạt Nhựa rPP20L05</t>
  </si>
  <si>
    <t>Hạt Nhựa rPP20Gy01</t>
  </si>
  <si>
    <t>Hạt nhựa rPET WSS03G FRH</t>
  </si>
  <si>
    <t>Hạt Nhựa rHDPE PCF01</t>
  </si>
  <si>
    <t>Hạt Nhựa rPP20W01</t>
  </si>
  <si>
    <t>Hạt Nhựa rPET iSS01G-S</t>
  </si>
  <si>
    <t>Hạt Nhựa rPET WSS01G 1 PL</t>
  </si>
  <si>
    <t>Hạt Nhựa rPET WSS01G 2 PL</t>
  </si>
  <si>
    <t>Hạt Nhựa rPET iSS01G 1 PL</t>
  </si>
  <si>
    <t>Hạt Nhựa rPET iSS01G 2 PL</t>
  </si>
  <si>
    <t>Hạt Nhựa rPET iSS01084G PL</t>
  </si>
  <si>
    <t>Hạt Nhựa rPET iSS01G-S PL</t>
  </si>
  <si>
    <t>Hạt Nhựa rPET WSS03G PL</t>
  </si>
  <si>
    <t>Hạt Nhựa rPET WSS01 PL</t>
  </si>
  <si>
    <t>Hạt Nhựa rHDA03W01</t>
  </si>
  <si>
    <t>Hạt Nhựa rHDI7DL02</t>
  </si>
  <si>
    <t>Hạt Nhựa rPET WSS01G-L</t>
  </si>
  <si>
    <t>Hạt Nhựa rPET WSS01L</t>
  </si>
  <si>
    <t>Hạt Nhựa rPET WSS01L PL</t>
  </si>
  <si>
    <t>Hạt Nhựa rLDB2N01</t>
  </si>
  <si>
    <t>PL</t>
  </si>
  <si>
    <t>rPET</t>
  </si>
  <si>
    <t>Xơ sợi</t>
  </si>
  <si>
    <t>HD thổi</t>
  </si>
  <si>
    <t>HD ép</t>
  </si>
  <si>
    <t>rPP</t>
  </si>
  <si>
    <t>Vảy PP</t>
  </si>
  <si>
    <t>Vảy HD ép</t>
  </si>
  <si>
    <t>110000329</t>
  </si>
  <si>
    <t>110000330</t>
  </si>
  <si>
    <t>110000331</t>
  </si>
  <si>
    <t>110000332</t>
  </si>
  <si>
    <t>110000333</t>
  </si>
  <si>
    <t>110000335</t>
  </si>
  <si>
    <t>110000336</t>
  </si>
  <si>
    <t>110000337</t>
  </si>
  <si>
    <t>110000339</t>
  </si>
  <si>
    <t>110000341</t>
  </si>
  <si>
    <t>110000343</t>
  </si>
  <si>
    <t>110000345</t>
  </si>
  <si>
    <t>110000354</t>
  </si>
  <si>
    <t>110000355</t>
  </si>
  <si>
    <t>110000358</t>
  </si>
  <si>
    <t>110000359</t>
  </si>
  <si>
    <t>110000360</t>
  </si>
  <si>
    <t>110000361</t>
  </si>
  <si>
    <t>110000363</t>
  </si>
  <si>
    <t>110000364</t>
  </si>
  <si>
    <t>110000365</t>
  </si>
  <si>
    <t>110000366</t>
  </si>
  <si>
    <t>110000367</t>
  </si>
  <si>
    <t>110000369</t>
  </si>
  <si>
    <t>110000370</t>
  </si>
  <si>
    <t>110000371</t>
  </si>
  <si>
    <t>110000373</t>
  </si>
  <si>
    <t>110000374</t>
  </si>
  <si>
    <t>110000376</t>
  </si>
  <si>
    <t>110000377</t>
  </si>
  <si>
    <t>110000378</t>
  </si>
  <si>
    <t>110000381</t>
  </si>
  <si>
    <t>110000382</t>
  </si>
  <si>
    <t>110000383</t>
  </si>
  <si>
    <t>110000384</t>
  </si>
  <si>
    <t>110000385</t>
  </si>
  <si>
    <t>110000387</t>
  </si>
  <si>
    <t>110000388</t>
  </si>
  <si>
    <t>110000389</t>
  </si>
  <si>
    <t>110000390</t>
  </si>
  <si>
    <t>110000391</t>
  </si>
  <si>
    <t>110000392</t>
  </si>
  <si>
    <t>110000393</t>
  </si>
  <si>
    <t>110000394</t>
  </si>
  <si>
    <t>110000407</t>
  </si>
  <si>
    <t>110000408</t>
  </si>
  <si>
    <t>110000409</t>
  </si>
  <si>
    <t>110000410</t>
  </si>
  <si>
    <t>110000411</t>
  </si>
  <si>
    <t>110000412</t>
  </si>
  <si>
    <t>110000413</t>
  </si>
  <si>
    <t>110000421</t>
  </si>
  <si>
    <t>110000422</t>
  </si>
  <si>
    <t>110000423</t>
  </si>
  <si>
    <t>110000425</t>
  </si>
  <si>
    <t>110000426</t>
  </si>
  <si>
    <t>110000427</t>
  </si>
  <si>
    <t>110000428</t>
  </si>
  <si>
    <t>110000429</t>
  </si>
  <si>
    <t>110000430</t>
  </si>
  <si>
    <t>110000431</t>
  </si>
  <si>
    <t>110000432</t>
  </si>
  <si>
    <t>110000433</t>
  </si>
  <si>
    <t>110000435</t>
  </si>
  <si>
    <t>110000436</t>
  </si>
  <si>
    <t>110000439</t>
  </si>
  <si>
    <t>110000440</t>
  </si>
  <si>
    <t>110000441</t>
  </si>
  <si>
    <t>110000444</t>
  </si>
  <si>
    <t>110000445</t>
  </si>
  <si>
    <t>110000446</t>
  </si>
  <si>
    <t>110000447</t>
  </si>
  <si>
    <t>110000448</t>
  </si>
  <si>
    <t>110000450</t>
  </si>
  <si>
    <t>110000451</t>
  </si>
  <si>
    <t>110000453</t>
  </si>
  <si>
    <t>110000454</t>
  </si>
  <si>
    <t>110000455</t>
  </si>
  <si>
    <t>110000456</t>
  </si>
  <si>
    <t>110000457</t>
  </si>
  <si>
    <t>110000462</t>
  </si>
  <si>
    <t>110000463</t>
  </si>
  <si>
    <t>110000464</t>
  </si>
  <si>
    <t>110000466</t>
  </si>
  <si>
    <t>110000468</t>
  </si>
  <si>
    <t>110000469</t>
  </si>
  <si>
    <t>110000471</t>
  </si>
  <si>
    <t>110000472</t>
  </si>
  <si>
    <t>110000475</t>
  </si>
  <si>
    <t>110000481</t>
  </si>
  <si>
    <t>110000482</t>
  </si>
  <si>
    <t>110000483</t>
  </si>
  <si>
    <t>110000484</t>
  </si>
  <si>
    <t>110000485</t>
  </si>
  <si>
    <t>110000486</t>
  </si>
  <si>
    <t>110000487</t>
  </si>
  <si>
    <t>110000488</t>
  </si>
  <si>
    <t>110000491</t>
  </si>
  <si>
    <t>110000492</t>
  </si>
  <si>
    <t>110000493</t>
  </si>
  <si>
    <t>110000495</t>
  </si>
  <si>
    <t>110000496</t>
  </si>
  <si>
    <t>110000497</t>
  </si>
  <si>
    <t>110000499</t>
  </si>
  <si>
    <t>110000500</t>
  </si>
  <si>
    <t>110000502</t>
  </si>
  <si>
    <t>Màu</t>
  </si>
  <si>
    <t>Trắng</t>
  </si>
  <si>
    <t>Đỏ</t>
  </si>
  <si>
    <t>Vàng</t>
  </si>
  <si>
    <t>Dương</t>
  </si>
  <si>
    <t>Đen</t>
  </si>
  <si>
    <t>Trong</t>
  </si>
  <si>
    <t>Đồng</t>
  </si>
  <si>
    <t>Lá</t>
  </si>
  <si>
    <t>Be</t>
  </si>
  <si>
    <t>Xám</t>
  </si>
  <si>
    <t>STT</t>
  </si>
  <si>
    <t>Mã SAP</t>
  </si>
  <si>
    <t>Tên hàng hóa</t>
  </si>
  <si>
    <t>Sử dụng phó sản</t>
  </si>
  <si>
    <t>I</t>
  </si>
  <si>
    <t>MÃ HÀNG ĐANG BÁN</t>
  </si>
  <si>
    <t>II</t>
  </si>
  <si>
    <t>MÃ HÀNG BÁN CHẬM</t>
  </si>
  <si>
    <t>III</t>
  </si>
  <si>
    <t>Vảy HDPE ép</t>
  </si>
  <si>
    <t>Vảy rPP</t>
  </si>
  <si>
    <t>82% Vảy B6.2_A3 và 18% vảy B7_A3</t>
  </si>
  <si>
    <t>100% vảy PET B1_A3</t>
  </si>
  <si>
    <t>Tomra_A1/ Zigzag_A1</t>
  </si>
  <si>
    <t>Chuyển từ hàng xơ sợi thử nghiệm qua</t>
  </si>
  <si>
    <t>100% Vảy B6.2_A3 và 90% B6.2_A3, 10% Bụi tank C,D sau vắt</t>
  </si>
  <si>
    <t>Không đạt WSS04SB, WSS04SB, WSS04SD rớt xuống mã xơ sợi thử nghiệm</t>
  </si>
  <si>
    <t>Phó sản PET tuyển nổi 2 + phó sản hạt cắt lỗi</t>
  </si>
  <si>
    <t>Vảy HD ép đen mix phó sản HD thổi các loại</t>
  </si>
  <si>
    <t>A</t>
  </si>
  <si>
    <t>DANH MỤC THÀNH PHẨM</t>
  </si>
  <si>
    <t>Ghi chú</t>
  </si>
  <si>
    <t>Sản phẩm mới</t>
  </si>
  <si>
    <t>B</t>
  </si>
  <si>
    <t>C</t>
  </si>
  <si>
    <t>D</t>
  </si>
  <si>
    <t>E</t>
  </si>
  <si>
    <t>F</t>
  </si>
  <si>
    <t>Đang bán gía thấp để giảm tồn kho</t>
  </si>
  <si>
    <t>MÃ HÀNG SẢN SUẤT TỪ PHÓ SẢN NGÀNH HDPE</t>
  </si>
  <si>
    <t>rHDPE ÉP</t>
  </si>
  <si>
    <t>rHDPE THỔI</t>
  </si>
  <si>
    <t>Bền vững/ ko bền vững</t>
  </si>
  <si>
    <t>Bán cho Lavie</t>
  </si>
  <si>
    <t>Chuyển thành mã iSS01G 1 để bán</t>
  </si>
  <si>
    <t>Chuyển thành mã wSS01G 1 để bán</t>
  </si>
  <si>
    <t>Không báo giá (SP SX bán cho Amcor)</t>
  </si>
  <si>
    <t>Không báo giá (hàng chờ xử lý)</t>
  </si>
  <si>
    <t>SP bán cho Bình Thuận</t>
  </si>
  <si>
    <t>Không bền vững</t>
  </si>
  <si>
    <t>110000503</t>
  </si>
  <si>
    <t>Hạt Nhựa rPET WSS01S</t>
  </si>
  <si>
    <t>110000506</t>
  </si>
  <si>
    <t>Hạt Nhựa rPET WSS01 &amp; WSS01G-L</t>
  </si>
  <si>
    <t>Check file bán</t>
  </si>
  <si>
    <t>110000443</t>
  </si>
  <si>
    <t>Hạt Nhựa rHDA03N01</t>
  </si>
  <si>
    <t>110000470</t>
  </si>
  <si>
    <t>Hạt Nhựa rPP20L04</t>
  </si>
  <si>
    <t>Giá vốn</t>
  </si>
  <si>
    <t>Giá tồn kho từ 2023</t>
  </si>
  <si>
    <t>mix với hàng MI thấp, do hết hạt MBF01 phân lập MI thấp nên còn tồn kho</t>
  </si>
  <si>
    <t>Lợi nhuận trước thuế</t>
  </si>
  <si>
    <t>Phân loại</t>
  </si>
  <si>
    <t>Vảy PP Dương Đậm</t>
  </si>
  <si>
    <t>110000424</t>
  </si>
  <si>
    <t>MÃ HÀNG SẢN XUẤT TỪ PHÓ SẢN NGÀNH PET</t>
  </si>
  <si>
    <t>Base Unit of Measure</t>
  </si>
  <si>
    <t>Unrestricted</t>
  </si>
  <si>
    <t>Blocked</t>
  </si>
  <si>
    <t>LDPE</t>
  </si>
  <si>
    <t>Mã đã không còn trong duyệt giá</t>
  </si>
  <si>
    <t>Hạt Nhựa rPP20W02</t>
  </si>
  <si>
    <t>110000507</t>
  </si>
  <si>
    <t>110000508</t>
  </si>
  <si>
    <t>SL bán BQ/ tháng</t>
  </si>
  <si>
    <t>Giá đề nghị của kinh doanh</t>
  </si>
  <si>
    <t>Vảy FPET201</t>
  </si>
  <si>
    <t>Giá tồn kho</t>
  </si>
  <si>
    <t>110000509</t>
  </si>
  <si>
    <t>Hạt Nhựa rHDB01B01</t>
  </si>
  <si>
    <t>110000510</t>
  </si>
  <si>
    <t>Hạt Nhựa rPET WSS05SB PL</t>
  </si>
  <si>
    <t>Giá tồn kho từ 2024</t>
  </si>
  <si>
    <t>Hạt Nhựa HD Ép Thử Nghiệm</t>
  </si>
  <si>
    <t>Phôi WSS01G Xám</t>
  </si>
  <si>
    <t>110000442</t>
  </si>
  <si>
    <t>110000477</t>
  </si>
  <si>
    <t>Theo giá U =&gt; ko đề xuất trong duyệt giá</t>
  </si>
  <si>
    <t>Phó sản</t>
  </si>
  <si>
    <t>Hàng tồn từ tháng 12.2024</t>
  </si>
  <si>
    <t>Hàng tồn kho từ tháng 2.2025</t>
  </si>
  <si>
    <t>Hàng tồn kho từ tháng 2.2025 sx cho Outerinho</t>
  </si>
  <si>
    <t>Hàng tồn kho từ T6.2025</t>
  </si>
  <si>
    <t>Hàng tồn kho từ T9.2025</t>
  </si>
  <si>
    <t>Hàng tồn kho từ T8.2025</t>
  </si>
  <si>
    <t>Hàng tồn kho từ T11.2024</t>
  </si>
  <si>
    <t>Hàng tồn kho từ T3.2025</t>
  </si>
  <si>
    <t>SL bán 2026</t>
  </si>
  <si>
    <t>Số lượng bán BQ 2026
(kg/ tháng)</t>
  </si>
  <si>
    <t>935/720</t>
  </si>
  <si>
    <t>835/620</t>
  </si>
  <si>
    <t>Phát sinh tháng 12/2025</t>
  </si>
  <si>
    <t>Tách 11,7 tấn HD ép trắng lẫn PP qua meyer, thu được 7,5 tấn vảy PP trắng (Thu hồi 64% TP, còn lại phó sản)</t>
  </si>
  <si>
    <t>-107/-322</t>
  </si>
  <si>
    <t>-11%/-45%</t>
  </si>
  <si>
    <t>-76/-291</t>
  </si>
  <si>
    <t>-8%/-40%</t>
  </si>
  <si>
    <t>-283/-498</t>
  </si>
  <si>
    <t>-30%/-69%</t>
  </si>
  <si>
    <t>-200/-415</t>
  </si>
  <si>
    <t>-21%/-58%</t>
  </si>
  <si>
    <t>-390/-605</t>
  </si>
  <si>
    <t>-42%/-84%</t>
  </si>
  <si>
    <t>244/29</t>
  </si>
  <si>
    <t>26%/4%</t>
  </si>
  <si>
    <t>-428/-643</t>
  </si>
  <si>
    <t>-46%/-89%</t>
  </si>
  <si>
    <t>-182/-397</t>
  </si>
  <si>
    <t>-19%/-55%</t>
  </si>
  <si>
    <t>86/-129</t>
  </si>
  <si>
    <t>9%/-18%</t>
  </si>
  <si>
    <t>105/-110</t>
  </si>
  <si>
    <t>11%/-15%</t>
  </si>
  <si>
    <t>259/44</t>
  </si>
  <si>
    <t>28%/6%</t>
  </si>
  <si>
    <t>-16/-231</t>
  </si>
  <si>
    <t>-2%/-32%</t>
  </si>
  <si>
    <t>104/-111</t>
  </si>
  <si>
    <t>% lợi nhuận trước thuế</t>
  </si>
  <si>
    <t>Giá duyệt T3 (USD/ tấn)</t>
  </si>
  <si>
    <t>Giá bán đề nghị T4 (USD/ tấn)</t>
  </si>
  <si>
    <t>CL T4 sv T3 (USD/ tấn)</t>
  </si>
  <si>
    <t>Tồn 17/03</t>
  </si>
  <si>
    <t>Tồn kho
17/03/2026
(kg)</t>
  </si>
  <si>
    <t>1400/1190</t>
  </si>
  <si>
    <t>465/470</t>
  </si>
  <si>
    <t>1300/1090</t>
  </si>
  <si>
    <t>Tồn kho từ T9/2024</t>
  </si>
  <si>
    <t>Tồn kho
24/02/2026
(kg)</t>
  </si>
  <si>
    <t>Giá duyệt T2 (USD/ tấn)</t>
  </si>
  <si>
    <t>Giá bán đề nghị T3 (USD/ tấn)</t>
  </si>
  <si>
    <t>CL T3 sv T2 (USD/ tấn)</t>
  </si>
  <si>
    <t>900/695</t>
  </si>
  <si>
    <t>35/25</t>
  </si>
  <si>
    <t>800/595</t>
  </si>
  <si>
    <t>Tồn kho
17/01/2026
(kg)</t>
  </si>
  <si>
    <t>Số lượng bán BQ 2025
(kg/ tháng)</t>
  </si>
  <si>
    <t>Giá duyệt T1 (USD/ tấn)</t>
  </si>
  <si>
    <t>Giá bán đề nghị T2 (USD/ tấn)</t>
  </si>
  <si>
    <t>CL T2 sv T1 (USD/ tấn)</t>
  </si>
  <si>
    <t>% lợi nhuận sau thuế</t>
  </si>
  <si>
    <t>Giá tồn kho, hiện tại không sản xuất</t>
  </si>
  <si>
    <t>Giá tồn kho từ T1.2024</t>
  </si>
  <si>
    <t>0/0</t>
  </si>
  <si>
    <t>-152/-357</t>
  </si>
  <si>
    <t>-17%/-51%</t>
  </si>
  <si>
    <t>-165/-370</t>
  </si>
  <si>
    <t>-18%/-53%</t>
  </si>
  <si>
    <t>-437/-642</t>
  </si>
  <si>
    <t>-49%/-92%</t>
  </si>
  <si>
    <t>-235/-440</t>
  </si>
  <si>
    <t>-26%/-63%</t>
  </si>
  <si>
    <t>-425/-630</t>
  </si>
  <si>
    <t>-47%/-91%</t>
  </si>
  <si>
    <t>-109/-96</t>
  </si>
  <si>
    <t>14%/-16%</t>
  </si>
  <si>
    <t>-463/-668</t>
  </si>
  <si>
    <t>-51%/-96%</t>
  </si>
  <si>
    <t>-217/-422</t>
  </si>
  <si>
    <t>-24%/-61%</t>
  </si>
  <si>
    <t>51/-154</t>
  </si>
  <si>
    <t>6%/-22%</t>
  </si>
  <si>
    <t>70/-135</t>
  </si>
  <si>
    <t>8%/-19%</t>
  </si>
  <si>
    <t>224/19</t>
  </si>
  <si>
    <t>25%/3%</t>
  </si>
  <si>
    <t>-54/-259</t>
  </si>
  <si>
    <t>-6%/-37%</t>
  </si>
  <si>
    <t>Hàng tồn kho từ T6.2023</t>
  </si>
  <si>
    <t>-56/-261</t>
  </si>
  <si>
    <t>-6%/-38%</t>
  </si>
  <si>
    <t>13/-192</t>
  </si>
  <si>
    <t>1%/-28%</t>
  </si>
  <si>
    <t>Hàng tồn kho từ T4.2023</t>
  </si>
  <si>
    <t>124/-81</t>
  </si>
  <si>
    <t>14%/-12%</t>
  </si>
  <si>
    <t>69/-136</t>
  </si>
  <si>
    <t>8%/-20%</t>
  </si>
  <si>
    <t>-36/-241</t>
  </si>
  <si>
    <t>-5%/-41%</t>
  </si>
  <si>
    <t>Hàng tồn kho từ T10.2024</t>
  </si>
  <si>
    <t>Hàng tồn kho từ T12.2024</t>
  </si>
  <si>
    <t>Tồn kho
17/12/2025
(kg)</t>
  </si>
  <si>
    <t>Giá duyệt T12 (USD/ tấn)</t>
  </si>
  <si>
    <t>Giá bán đề nghị T1 (USD/ tấn)</t>
  </si>
  <si>
    <t>CL T12 sv T1 (USD/ tấn)</t>
  </si>
  <si>
    <t>Hàng tồn từ tháng 5.2025</t>
  </si>
  <si>
    <t>915/705</t>
  </si>
  <si>
    <t>-15/-10</t>
  </si>
  <si>
    <t>-187/-392</t>
  </si>
  <si>
    <t>-21%/-56%</t>
  </si>
  <si>
    <t>820/660</t>
  </si>
  <si>
    <t>-186/-391</t>
  </si>
  <si>
    <t>-191/-396</t>
  </si>
  <si>
    <t>-21%/-57%</t>
  </si>
  <si>
    <t>-133/-338</t>
  </si>
  <si>
    <t>-15%/-49%</t>
  </si>
  <si>
    <t>-450/-655</t>
  </si>
  <si>
    <t>-50%/-94%</t>
  </si>
  <si>
    <t>815/605</t>
  </si>
  <si>
    <t>-24/-229</t>
  </si>
  <si>
    <t>-3%/-39%</t>
  </si>
  <si>
    <t>700/550</t>
  </si>
  <si>
    <t>-489/-694</t>
  </si>
  <si>
    <t>-54%/-100%</t>
  </si>
  <si>
    <t>-238/-443</t>
  </si>
  <si>
    <t>-26%/-64%</t>
  </si>
  <si>
    <t>34/-171</t>
  </si>
  <si>
    <t>4%/-25%</t>
  </si>
  <si>
    <t>54/-151</t>
  </si>
  <si>
    <t>212/7</t>
  </si>
  <si>
    <t>24%/1%</t>
  </si>
  <si>
    <t>-72/-277</t>
  </si>
  <si>
    <t>-75/-280</t>
  </si>
  <si>
    <t>-4/-209</t>
  </si>
  <si>
    <t>0%/-30%</t>
  </si>
  <si>
    <t>109/-96</t>
  </si>
  <si>
    <t>12%/-14%</t>
  </si>
  <si>
    <t>53/-152</t>
  </si>
  <si>
    <t>-587/-792</t>
  </si>
  <si>
    <t>-73%/-133%</t>
  </si>
  <si>
    <t>Tháng 1</t>
  </si>
  <si>
    <t>Tháng 2</t>
  </si>
  <si>
    <t>Tháng 3</t>
  </si>
  <si>
    <t>Tháng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</si>
</sst>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\ &quot;₫&quot;_-;\-* #,##0.00\ &quot;₫&quot;_-;_-* &quot;-&quot;??\ &quot;₫&quot;_-;_-@_-"/>
    <numFmt numFmtId="166" formatCode="_-* #,##0.00_-;\-* #,##0.00_-;_-* &quot;-&quot;??_-;_-@_-"/>
    <numFmt numFmtId="167" formatCode="_(* #,##0_);_(* \(#,##0\);_(* &quot;-&quot;??_);_(@_)"/>
    <numFmt numFmtId="168" formatCode="_-* #,##0.00\ _₫_-;\-* #,##0.00\ _₫_-;_-* &quot;-&quot;??\ _₫_-;_-@_-"/>
    <numFmt numFmtId="169" formatCode="_ * #,##0.00_)_ ;_ * \(#,##0.00\)_ ;_ * &quot;-&quot;??_)_ ;_ @_ "/>
  </numFmts>
  <fonts count="40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color rgb="FF0000FF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1"/>
      <name val="Calibri"/>
      <family val="2"/>
      <charset val="163"/>
      <scheme val="minor"/>
    </font>
    <font>
      <b/>
      <sz val="12"/>
      <color theme="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6"/>
      <color rgb="FF0000FF"/>
      <name val="Calibri"/>
      <family val="2"/>
      <scheme val="minor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rgb="FFFF33CC"/>
      <name val="Calibri"/>
      <family val="2"/>
      <scheme val="minor"/>
    </font>
    <font>
      <b/>
      <sz val="11"/>
      <color rgb="FFFF33CC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.Vn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2"/>
    </font>
    <font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06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44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4" fillId="0" borderId="0"/>
    <xf numFmtId="9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0" fontId="32" fillId="0" borderId="0"/>
    <xf numFmtId="0" fontId="35" fillId="0" borderId="0"/>
    <xf numFmtId="166" fontId="34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1" fillId="0" borderId="0"/>
    <xf numFmtId="0" fontId="37" fillId="0" borderId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/>
    <xf numFmtId="0" fontId="32" fillId="0" borderId="0"/>
    <xf numFmtId="0" fontId="1" fillId="0" borderId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34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34" fillId="0" borderId="0"/>
    <xf numFmtId="9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4" fillId="0" borderId="0" applyFont="0" applyFill="0" applyBorder="0" applyAlignment="0" applyProtection="0"/>
    <xf numFmtId="0" fontId="32" fillId="0" borderId="0"/>
    <xf numFmtId="166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166" fontId="34" fillId="0" borderId="0" applyFont="0" applyFill="0" applyBorder="0" applyAlignment="0" applyProtection="0"/>
  </cellStyleXfs>
  <cellXfs count="179">
    <xf numFmtId="0" fontId="0" fillId="0" borderId="0" xfId="0"/>
    <xf numFmtId="0" fontId="18" fillId="0" borderId="0" xfId="0" applyFont="1"/>
    <xf numFmtId="49" fontId="18" fillId="0" borderId="0" xfId="0" applyNumberFormat="1" applyFont="1"/>
    <xf numFmtId="0" fontId="18" fillId="33" borderId="0" xfId="0" applyFont="1" applyFill="1"/>
    <xf numFmtId="0" fontId="0" fillId="0" borderId="11" xfId="0" applyBorder="1"/>
    <xf numFmtId="164" fontId="0" fillId="0" borderId="11" xfId="1" applyFont="1" applyBorder="1"/>
    <xf numFmtId="49" fontId="20" fillId="0" borderId="0" xfId="0" applyNumberFormat="1" applyFont="1"/>
    <xf numFmtId="0" fontId="20" fillId="0" borderId="0" xfId="0" applyFont="1"/>
    <xf numFmtId="0" fontId="21" fillId="0" borderId="11" xfId="0" applyFont="1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22" fillId="34" borderId="10" xfId="0" applyFont="1" applyFill="1" applyBorder="1" applyAlignment="1">
      <alignment horizontal="center" vertical="center"/>
    </xf>
    <xf numFmtId="0" fontId="23" fillId="35" borderId="11" xfId="0" applyFont="1" applyFill="1" applyBorder="1" applyAlignment="1">
      <alignment horizontal="center"/>
    </xf>
    <xf numFmtId="0" fontId="23" fillId="35" borderId="11" xfId="0" applyFont="1" applyFill="1" applyBorder="1"/>
    <xf numFmtId="0" fontId="23" fillId="36" borderId="11" xfId="0" applyFont="1" applyFill="1" applyBorder="1" applyAlignment="1">
      <alignment horizontal="center"/>
    </xf>
    <xf numFmtId="0" fontId="23" fillId="36" borderId="11" xfId="0" applyFont="1" applyFill="1" applyBorder="1"/>
    <xf numFmtId="0" fontId="22" fillId="34" borderId="10" xfId="0" applyFont="1" applyFill="1" applyBorder="1" applyAlignment="1">
      <alignment horizontal="center" vertical="center" wrapText="1"/>
    </xf>
    <xf numFmtId="0" fontId="24" fillId="0" borderId="0" xfId="0" applyFont="1"/>
    <xf numFmtId="0" fontId="19" fillId="0" borderId="0" xfId="0" applyFont="1"/>
    <xf numFmtId="0" fontId="21" fillId="0" borderId="0" xfId="0" applyFont="1"/>
    <xf numFmtId="0" fontId="0" fillId="0" borderId="12" xfId="0" applyBorder="1"/>
    <xf numFmtId="0" fontId="0" fillId="0" borderId="0" xfId="0" applyAlignment="1">
      <alignment horizontal="center" vertical="center"/>
    </xf>
    <xf numFmtId="0" fontId="23" fillId="36" borderId="11" xfId="0" applyFont="1" applyFill="1" applyBorder="1" applyAlignment="1">
      <alignment horizontal="center" vertical="center"/>
    </xf>
    <xf numFmtId="0" fontId="23" fillId="35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2" fillId="34" borderId="10" xfId="0" quotePrefix="1" applyFont="1" applyFill="1" applyBorder="1" applyAlignment="1">
      <alignment horizontal="center" vertical="center" wrapText="1"/>
    </xf>
    <xf numFmtId="0" fontId="0" fillId="37" borderId="11" xfId="0" applyFill="1" applyBorder="1"/>
    <xf numFmtId="0" fontId="26" fillId="0" borderId="0" xfId="0" applyFont="1"/>
    <xf numFmtId="164" fontId="26" fillId="0" borderId="0" xfId="1" applyFont="1"/>
    <xf numFmtId="49" fontId="26" fillId="0" borderId="0" xfId="0" applyNumberFormat="1" applyFont="1"/>
    <xf numFmtId="164" fontId="26" fillId="0" borderId="0" xfId="0" applyNumberFormat="1" applyFont="1"/>
    <xf numFmtId="0" fontId="26" fillId="33" borderId="0" xfId="0" applyFont="1" applyFill="1"/>
    <xf numFmtId="49" fontId="26" fillId="0" borderId="0" xfId="0" applyNumberFormat="1" applyFont="1" applyAlignment="1">
      <alignment vertical="top"/>
    </xf>
    <xf numFmtId="0" fontId="26" fillId="0" borderId="0" xfId="0" applyFont="1" applyAlignment="1">
      <alignment vertical="top"/>
    </xf>
    <xf numFmtId="49" fontId="27" fillId="38" borderId="0" xfId="0" applyNumberFormat="1" applyFont="1" applyFill="1" applyAlignment="1">
      <alignment vertical="center"/>
    </xf>
    <xf numFmtId="0" fontId="27" fillId="38" borderId="0" xfId="0" applyFont="1" applyFill="1" applyAlignment="1">
      <alignment vertical="center"/>
    </xf>
    <xf numFmtId="164" fontId="27" fillId="38" borderId="0" xfId="1" applyFont="1" applyFill="1" applyAlignment="1">
      <alignment vertical="center"/>
    </xf>
    <xf numFmtId="0" fontId="27" fillId="0" borderId="0" xfId="0" applyFont="1" applyAlignment="1">
      <alignment vertical="center"/>
    </xf>
    <xf numFmtId="164" fontId="29" fillId="0" borderId="11" xfId="1" applyFont="1" applyBorder="1"/>
    <xf numFmtId="43" fontId="0" fillId="0" borderId="11" xfId="43" applyFont="1" applyBorder="1" applyAlignment="1">
      <alignment horizontal="center"/>
    </xf>
    <xf numFmtId="167" fontId="0" fillId="0" borderId="11" xfId="43" applyNumberFormat="1" applyFont="1" applyBorder="1" applyAlignment="1">
      <alignment horizontal="center"/>
    </xf>
    <xf numFmtId="167" fontId="0" fillId="0" borderId="0" xfId="43" applyNumberFormat="1" applyFont="1" applyAlignment="1">
      <alignment horizontal="center"/>
    </xf>
    <xf numFmtId="167" fontId="23" fillId="36" borderId="11" xfId="43" applyNumberFormat="1" applyFont="1" applyFill="1" applyBorder="1" applyAlignment="1">
      <alignment horizontal="center"/>
    </xf>
    <xf numFmtId="167" fontId="23" fillId="35" borderId="11" xfId="43" applyNumberFormat="1" applyFont="1" applyFill="1" applyBorder="1" applyAlignment="1">
      <alignment horizontal="center"/>
    </xf>
    <xf numFmtId="167" fontId="30" fillId="0" borderId="11" xfId="43" applyNumberFormat="1" applyFont="1" applyBorder="1" applyAlignment="1">
      <alignment horizontal="center"/>
    </xf>
    <xf numFmtId="167" fontId="31" fillId="35" borderId="11" xfId="43" applyNumberFormat="1" applyFont="1" applyFill="1" applyBorder="1" applyAlignment="1">
      <alignment horizontal="center"/>
    </xf>
    <xf numFmtId="167" fontId="31" fillId="36" borderId="11" xfId="43" applyNumberFormat="1" applyFont="1" applyFill="1" applyBorder="1" applyAlignment="1">
      <alignment horizontal="center"/>
    </xf>
    <xf numFmtId="167" fontId="30" fillId="0" borderId="11" xfId="43" quotePrefix="1" applyNumberFormat="1" applyFont="1" applyBorder="1" applyAlignment="1">
      <alignment horizontal="center"/>
    </xf>
    <xf numFmtId="9" fontId="0" fillId="0" borderId="0" xfId="44" applyFont="1" applyAlignment="1">
      <alignment horizontal="center"/>
    </xf>
    <xf numFmtId="9" fontId="23" fillId="36" borderId="11" xfId="44" applyFont="1" applyFill="1" applyBorder="1" applyAlignment="1">
      <alignment horizontal="center"/>
    </xf>
    <xf numFmtId="9" fontId="23" fillId="35" borderId="11" xfId="44" applyFont="1" applyFill="1" applyBorder="1" applyAlignment="1">
      <alignment horizontal="center"/>
    </xf>
    <xf numFmtId="9" fontId="30" fillId="0" borderId="11" xfId="44" applyFont="1" applyBorder="1" applyAlignment="1">
      <alignment horizontal="center"/>
    </xf>
    <xf numFmtId="9" fontId="31" fillId="35" borderId="11" xfId="44" applyFont="1" applyFill="1" applyBorder="1" applyAlignment="1">
      <alignment horizontal="center"/>
    </xf>
    <xf numFmtId="9" fontId="31" fillId="36" borderId="11" xfId="44" applyFont="1" applyFill="1" applyBorder="1" applyAlignment="1">
      <alignment horizontal="center"/>
    </xf>
    <xf numFmtId="9" fontId="30" fillId="0" borderId="11" xfId="44" quotePrefix="1" applyFont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30" fillId="0" borderId="11" xfId="0" applyFont="1" applyBorder="1"/>
    <xf numFmtId="0" fontId="30" fillId="0" borderId="11" xfId="0" applyFont="1" applyBorder="1" applyAlignment="1">
      <alignment horizontal="center" vertical="center"/>
    </xf>
    <xf numFmtId="164" fontId="30" fillId="0" borderId="11" xfId="1" applyFont="1" applyBorder="1"/>
    <xf numFmtId="0" fontId="30" fillId="0" borderId="0" xfId="0" applyFont="1"/>
    <xf numFmtId="167" fontId="30" fillId="0" borderId="11" xfId="44" applyNumberFormat="1" applyFont="1" applyBorder="1" applyAlignment="1">
      <alignment horizontal="center"/>
    </xf>
    <xf numFmtId="9" fontId="0" fillId="0" borderId="0" xfId="44" applyFont="1"/>
    <xf numFmtId="9" fontId="30" fillId="0" borderId="12" xfId="44" applyFont="1" applyBorder="1" applyAlignment="1">
      <alignment horizontal="center"/>
    </xf>
    <xf numFmtId="164" fontId="29" fillId="37" borderId="11" xfId="1" applyFont="1" applyFill="1" applyBorder="1"/>
    <xf numFmtId="164" fontId="0" fillId="37" borderId="11" xfId="1" applyFont="1" applyFill="1" applyBorder="1"/>
    <xf numFmtId="164" fontId="0" fillId="0" borderId="0" xfId="1" applyFont="1" applyAlignment="1">
      <alignment horizontal="center"/>
    </xf>
    <xf numFmtId="164" fontId="22" fillId="39" borderId="10" xfId="1" quotePrefix="1" applyFont="1" applyFill="1" applyBorder="1" applyAlignment="1">
      <alignment horizontal="center" vertical="center" wrapText="1"/>
    </xf>
    <xf numFmtId="164" fontId="23" fillId="36" borderId="11" xfId="1" applyFont="1" applyFill="1" applyBorder="1" applyAlignment="1">
      <alignment horizontal="center"/>
    </xf>
    <xf numFmtId="164" fontId="23" fillId="35" borderId="11" xfId="1" applyFont="1" applyFill="1" applyBorder="1" applyAlignment="1">
      <alignment horizontal="center"/>
    </xf>
    <xf numFmtId="164" fontId="30" fillId="0" borderId="11" xfId="1" applyFont="1" applyBorder="1" applyAlignment="1">
      <alignment horizontal="center"/>
    </xf>
    <xf numFmtId="164" fontId="31" fillId="35" borderId="11" xfId="1" applyFont="1" applyFill="1" applyBorder="1" applyAlignment="1">
      <alignment horizontal="center"/>
    </xf>
    <xf numFmtId="164" fontId="31" fillId="36" borderId="11" xfId="1" applyFont="1" applyFill="1" applyBorder="1" applyAlignment="1">
      <alignment horizontal="center"/>
    </xf>
    <xf numFmtId="164" fontId="30" fillId="0" borderId="11" xfId="1" quotePrefix="1" applyFont="1" applyBorder="1" applyAlignment="1">
      <alignment horizontal="center"/>
    </xf>
    <xf numFmtId="0" fontId="22" fillId="40" borderId="10" xfId="0" applyFont="1" applyFill="1" applyBorder="1" applyAlignment="1">
      <alignment horizontal="center" vertical="center" wrapText="1"/>
    </xf>
    <xf numFmtId="164" fontId="30" fillId="37" borderId="11" xfId="1" applyFont="1" applyFill="1" applyBorder="1" applyAlignment="1">
      <alignment horizontal="center"/>
    </xf>
    <xf numFmtId="13" fontId="30" fillId="0" borderId="11" xfId="1" quotePrefix="1" applyNumberFormat="1" applyFont="1" applyBorder="1" applyAlignment="1">
      <alignment horizontal="center"/>
    </xf>
    <xf numFmtId="167" fontId="0" fillId="0" borderId="11" xfId="102" applyNumberFormat="1" applyFont="1" applyBorder="1" applyAlignment="1">
      <alignment horizontal="center"/>
    </xf>
    <xf numFmtId="167" fontId="0" fillId="0" borderId="11" xfId="101" applyNumberFormat="1" applyFont="1" applyBorder="1" applyAlignment="1">
      <alignment horizontal="center"/>
    </xf>
    <xf numFmtId="164" fontId="30" fillId="0" borderId="12" xfId="1" applyFont="1" applyBorder="1" applyAlignment="1">
      <alignment horizontal="center"/>
    </xf>
    <xf numFmtId="0" fontId="0" fillId="0" borderId="11" xfId="0" applyBorder="1" applyAlignment="1">
      <alignment vertical="center"/>
    </xf>
    <xf numFmtId="9" fontId="30" fillId="0" borderId="11" xfId="44" applyFont="1" applyBorder="1" applyAlignment="1">
      <alignment horizontal="center" vertical="center"/>
    </xf>
    <xf numFmtId="164" fontId="30" fillId="0" borderId="11" xfId="1" applyFont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0" xfId="0" applyAlignment="1">
      <alignment vertical="center"/>
    </xf>
    <xf numFmtId="3" fontId="0" fillId="0" borderId="11" xfId="1" applyNumberFormat="1" applyFont="1" applyBorder="1"/>
    <xf numFmtId="3" fontId="29" fillId="0" borderId="11" xfId="1" applyNumberFormat="1" applyFont="1" applyBorder="1"/>
    <xf numFmtId="3" fontId="30" fillId="0" borderId="11" xfId="43" applyNumberFormat="1" applyFont="1" applyBorder="1" applyAlignment="1">
      <alignment horizontal="center"/>
    </xf>
    <xf numFmtId="3" fontId="0" fillId="0" borderId="11" xfId="43" applyNumberFormat="1" applyFont="1" applyBorder="1" applyAlignment="1">
      <alignment horizontal="center"/>
    </xf>
    <xf numFmtId="3" fontId="0" fillId="37" borderId="11" xfId="1" applyNumberFormat="1" applyFont="1" applyFill="1" applyBorder="1"/>
    <xf numFmtId="3" fontId="29" fillId="37" borderId="11" xfId="1" applyNumberFormat="1" applyFont="1" applyFill="1" applyBorder="1"/>
    <xf numFmtId="3" fontId="0" fillId="0" borderId="11" xfId="100" applyNumberFormat="1" applyFont="1" applyBorder="1" applyAlignment="1">
      <alignment horizontal="center"/>
    </xf>
    <xf numFmtId="3" fontId="0" fillId="0" borderId="11" xfId="99" applyNumberFormat="1" applyFont="1" applyBorder="1" applyAlignment="1">
      <alignment horizontal="center"/>
    </xf>
    <xf numFmtId="3" fontId="23" fillId="35" borderId="11" xfId="0" applyNumberFormat="1" applyFont="1" applyFill="1" applyBorder="1"/>
    <xf numFmtId="3" fontId="28" fillId="35" borderId="11" xfId="0" applyNumberFormat="1" applyFont="1" applyFill="1" applyBorder="1"/>
    <xf numFmtId="3" fontId="31" fillId="35" borderId="11" xfId="43" applyNumberFormat="1" applyFont="1" applyFill="1" applyBorder="1" applyAlignment="1">
      <alignment horizontal="center"/>
    </xf>
    <xf numFmtId="3" fontId="23" fillId="35" borderId="11" xfId="43" applyNumberFormat="1" applyFont="1" applyFill="1" applyBorder="1" applyAlignment="1">
      <alignment horizontal="center"/>
    </xf>
    <xf numFmtId="3" fontId="21" fillId="0" borderId="11" xfId="1" applyNumberFormat="1" applyFont="1" applyBorder="1"/>
    <xf numFmtId="3" fontId="21" fillId="0" borderId="11" xfId="43" applyNumberFormat="1" applyFont="1" applyBorder="1" applyAlignment="1">
      <alignment horizontal="center"/>
    </xf>
    <xf numFmtId="3" fontId="23" fillId="36" borderId="11" xfId="0" applyNumberFormat="1" applyFont="1" applyFill="1" applyBorder="1"/>
    <xf numFmtId="3" fontId="28" fillId="36" borderId="11" xfId="0" applyNumberFormat="1" applyFont="1" applyFill="1" applyBorder="1"/>
    <xf numFmtId="3" fontId="31" fillId="36" borderId="11" xfId="43" applyNumberFormat="1" applyFont="1" applyFill="1" applyBorder="1" applyAlignment="1">
      <alignment horizontal="center"/>
    </xf>
    <xf numFmtId="3" fontId="23" fillId="36" borderId="11" xfId="43" applyNumberFormat="1" applyFont="1" applyFill="1" applyBorder="1" applyAlignment="1">
      <alignment horizontal="center"/>
    </xf>
    <xf numFmtId="3" fontId="0" fillId="0" borderId="11" xfId="1" quotePrefix="1" applyNumberFormat="1" applyFont="1" applyBorder="1" applyAlignment="1">
      <alignment horizontal="center"/>
    </xf>
    <xf numFmtId="3" fontId="0" fillId="41" borderId="11" xfId="43" applyNumberFormat="1" applyFont="1" applyFill="1" applyBorder="1" applyAlignment="1">
      <alignment horizontal="center"/>
    </xf>
    <xf numFmtId="3" fontId="0" fillId="0" borderId="11" xfId="1" quotePrefix="1" applyNumberFormat="1" applyFont="1" applyBorder="1"/>
    <xf numFmtId="3" fontId="29" fillId="0" borderId="11" xfId="1" quotePrefix="1" applyNumberFormat="1" applyFont="1" applyBorder="1" applyAlignment="1">
      <alignment horizontal="right"/>
    </xf>
    <xf numFmtId="3" fontId="38" fillId="0" borderId="11" xfId="43" quotePrefix="1" applyNumberFormat="1" applyFont="1" applyBorder="1" applyAlignment="1">
      <alignment horizontal="center"/>
    </xf>
    <xf numFmtId="3" fontId="28" fillId="35" borderId="11" xfId="0" applyNumberFormat="1" applyFont="1" applyFill="1" applyBorder="1" applyAlignment="1">
      <alignment horizontal="right"/>
    </xf>
    <xf numFmtId="3" fontId="0" fillId="0" borderId="11" xfId="43" applyNumberFormat="1" applyFont="1" applyBorder="1"/>
    <xf numFmtId="3" fontId="0" fillId="0" borderId="11" xfId="1" applyNumberFormat="1" applyFont="1" applyBorder="1" applyAlignment="1">
      <alignment vertical="center"/>
    </xf>
    <xf numFmtId="3" fontId="29" fillId="0" borderId="11" xfId="1" applyNumberFormat="1" applyFont="1" applyBorder="1" applyAlignment="1">
      <alignment vertical="center"/>
    </xf>
    <xf numFmtId="3" fontId="30" fillId="0" borderId="11" xfId="43" applyNumberFormat="1" applyFont="1" applyBorder="1" applyAlignment="1">
      <alignment horizontal="center" vertical="center"/>
    </xf>
    <xf numFmtId="3" fontId="0" fillId="0" borderId="11" xfId="43" applyNumberFormat="1" applyFont="1" applyBorder="1" applyAlignment="1">
      <alignment horizontal="center" vertical="center"/>
    </xf>
    <xf numFmtId="3" fontId="0" fillId="0" borderId="12" xfId="1" applyNumberFormat="1" applyFont="1" applyBorder="1"/>
    <xf numFmtId="3" fontId="29" fillId="0" borderId="12" xfId="1" applyNumberFormat="1" applyFont="1" applyBorder="1"/>
    <xf numFmtId="3" fontId="30" fillId="0" borderId="12" xfId="43" applyNumberFormat="1" applyFont="1" applyBorder="1" applyAlignment="1">
      <alignment horizontal="center"/>
    </xf>
    <xf numFmtId="3" fontId="0" fillId="0" borderId="12" xfId="43" applyNumberFormat="1" applyFont="1" applyBorder="1" applyAlignment="1">
      <alignment horizontal="center"/>
    </xf>
    <xf numFmtId="0" fontId="14" fillId="0" borderId="11" xfId="0" applyFont="1" applyBorder="1"/>
    <xf numFmtId="3" fontId="14" fillId="0" borderId="11" xfId="1" applyNumberFormat="1" applyFont="1" applyBorder="1"/>
    <xf numFmtId="3" fontId="14" fillId="42" borderId="11" xfId="43" applyNumberFormat="1" applyFont="1" applyFill="1" applyBorder="1" applyAlignment="1">
      <alignment horizontal="center"/>
    </xf>
    <xf numFmtId="0" fontId="14" fillId="42" borderId="11" xfId="0" applyFont="1" applyFill="1" applyBorder="1"/>
    <xf numFmtId="167" fontId="0" fillId="0" borderId="0" xfId="43" applyNumberFormat="1" applyFont="1"/>
    <xf numFmtId="0" fontId="0" fillId="42" borderId="11" xfId="0" applyFill="1" applyBorder="1"/>
    <xf numFmtId="3" fontId="0" fillId="42" borderId="11" xfId="1" applyNumberFormat="1" applyFont="1" applyFill="1" applyBorder="1"/>
    <xf numFmtId="167" fontId="22" fillId="34" borderId="10" xfId="43" quotePrefix="1" applyNumberFormat="1" applyFont="1" applyFill="1" applyBorder="1" applyAlignment="1">
      <alignment horizontal="center" vertical="center" wrapText="1"/>
    </xf>
    <xf numFmtId="9" fontId="22" fillId="34" borderId="10" xfId="44" quotePrefix="1" applyFont="1" applyFill="1" applyBorder="1" applyAlignment="1">
      <alignment horizontal="center" vertical="center" wrapText="1"/>
    </xf>
    <xf numFmtId="167" fontId="0" fillId="0" borderId="11" xfId="100" applyNumberFormat="1" applyFont="1" applyBorder="1" applyAlignment="1">
      <alignment horizontal="center"/>
    </xf>
    <xf numFmtId="167" fontId="0" fillId="0" borderId="11" xfId="99" applyNumberFormat="1" applyFont="1" applyBorder="1" applyAlignment="1">
      <alignment horizontal="center"/>
    </xf>
    <xf numFmtId="0" fontId="28" fillId="35" borderId="11" xfId="0" applyFont="1" applyFill="1" applyBorder="1"/>
    <xf numFmtId="1" fontId="31" fillId="35" borderId="11" xfId="43" applyNumberFormat="1" applyFont="1" applyFill="1" applyBorder="1" applyAlignment="1">
      <alignment horizontal="center"/>
    </xf>
    <xf numFmtId="43" fontId="23" fillId="35" borderId="11" xfId="43" applyFont="1" applyFill="1" applyBorder="1" applyAlignment="1">
      <alignment horizontal="center"/>
    </xf>
    <xf numFmtId="164" fontId="21" fillId="0" borderId="11" xfId="1" applyFont="1" applyBorder="1"/>
    <xf numFmtId="43" fontId="21" fillId="0" borderId="11" xfId="43" applyFont="1" applyBorder="1" applyAlignment="1">
      <alignment horizontal="center"/>
    </xf>
    <xf numFmtId="0" fontId="28" fillId="36" borderId="11" xfId="0" applyFont="1" applyFill="1" applyBorder="1"/>
    <xf numFmtId="1" fontId="31" fillId="36" borderId="11" xfId="43" applyNumberFormat="1" applyFont="1" applyFill="1" applyBorder="1" applyAlignment="1">
      <alignment horizontal="center"/>
    </xf>
    <xf numFmtId="43" fontId="23" fillId="36" borderId="11" xfId="43" applyFont="1" applyFill="1" applyBorder="1" applyAlignment="1">
      <alignment horizontal="center"/>
    </xf>
    <xf numFmtId="164" fontId="0" fillId="0" borderId="11" xfId="1" quotePrefix="1" applyFont="1" applyBorder="1" applyAlignment="1">
      <alignment horizontal="center"/>
    </xf>
    <xf numFmtId="167" fontId="0" fillId="41" borderId="11" xfId="43" applyNumberFormat="1" applyFont="1" applyFill="1" applyBorder="1" applyAlignment="1">
      <alignment horizontal="center"/>
    </xf>
    <xf numFmtId="164" fontId="0" fillId="0" borderId="11" xfId="1" quotePrefix="1" applyFont="1" applyBorder="1"/>
    <xf numFmtId="164" fontId="29" fillId="0" borderId="11" xfId="1" quotePrefix="1" applyFont="1" applyBorder="1" applyAlignment="1">
      <alignment horizontal="right"/>
    </xf>
    <xf numFmtId="0" fontId="28" fillId="35" borderId="11" xfId="0" applyFont="1" applyFill="1" applyBorder="1" applyAlignment="1">
      <alignment horizontal="right"/>
    </xf>
    <xf numFmtId="43" fontId="0" fillId="0" borderId="11" xfId="43" applyFont="1" applyBorder="1"/>
    <xf numFmtId="164" fontId="0" fillId="0" borderId="12" xfId="1" applyFont="1" applyBorder="1"/>
    <xf numFmtId="164" fontId="29" fillId="0" borderId="12" xfId="1" applyFont="1" applyBorder="1"/>
    <xf numFmtId="167" fontId="30" fillId="0" borderId="12" xfId="43" applyNumberFormat="1" applyFont="1" applyBorder="1" applyAlignment="1">
      <alignment horizontal="center"/>
    </xf>
    <xf numFmtId="167" fontId="0" fillId="0" borderId="12" xfId="43" applyNumberFormat="1" applyFont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42" borderId="0" xfId="0" applyFill="1"/>
    <xf numFmtId="0" fontId="0" fillId="42" borderId="0" xfId="0" applyFill="1" applyAlignment="1">
      <alignment horizontal="center"/>
    </xf>
    <xf numFmtId="167" fontId="0" fillId="42" borderId="0" xfId="43" applyNumberFormat="1" applyFont="1" applyFill="1" applyAlignment="1">
      <alignment horizontal="center"/>
    </xf>
    <xf numFmtId="9" fontId="0" fillId="42" borderId="0" xfId="44" applyFont="1" applyFill="1" applyAlignment="1">
      <alignment horizontal="center"/>
    </xf>
    <xf numFmtId="164" fontId="0" fillId="42" borderId="0" xfId="1" applyFont="1" applyFill="1" applyAlignment="1">
      <alignment horizontal="center"/>
    </xf>
    <xf numFmtId="0" fontId="39" fillId="42" borderId="0" xfId="0" applyFont="1" applyFill="1" applyAlignment="1">
      <alignment horizontal="center"/>
    </xf>
    <xf numFmtId="0" fontId="39" fillId="43" borderId="0" xfId="0" applyFont="1" applyFill="1" applyAlignment="1">
      <alignment horizontal="center"/>
    </xf>
    <xf numFmtId="0" fontId="0" fillId="43" borderId="0" xfId="0" applyFill="1"/>
    <xf numFmtId="0" fontId="0" fillId="43" borderId="0" xfId="0" applyFill="1" applyAlignment="1">
      <alignment horizontal="center"/>
    </xf>
    <xf numFmtId="167" fontId="0" fillId="43" borderId="0" xfId="43" applyNumberFormat="1" applyFont="1" applyFill="1" applyAlignment="1">
      <alignment horizontal="center"/>
    </xf>
    <xf numFmtId="9" fontId="0" fillId="43" borderId="0" xfId="44" applyFont="1" applyFill="1" applyAlignment="1">
      <alignment horizontal="center"/>
    </xf>
    <xf numFmtId="164" fontId="0" fillId="43" borderId="0" xfId="1" applyFont="1" applyFill="1" applyAlignment="1">
      <alignment horizontal="center"/>
    </xf>
    <xf numFmtId="0" fontId="39" fillId="37" borderId="0" xfId="0" applyFont="1" applyFill="1" applyAlignment="1">
      <alignment horizontal="center"/>
    </xf>
    <xf numFmtId="0" fontId="0" fillId="37" borderId="0" xfId="0" applyFill="1"/>
    <xf numFmtId="0" fontId="0" fillId="37" borderId="0" xfId="0" applyFill="1" applyAlignment="1">
      <alignment horizontal="center"/>
    </xf>
    <xf numFmtId="167" fontId="0" fillId="37" borderId="0" xfId="43" applyNumberFormat="1" applyFont="1" applyFill="1" applyAlignment="1">
      <alignment horizontal="center"/>
    </xf>
    <xf numFmtId="9" fontId="0" fillId="37" borderId="0" xfId="44" applyFont="1" applyFill="1" applyAlignment="1">
      <alignment horizontal="center"/>
    </xf>
    <xf numFmtId="164" fontId="0" fillId="37" borderId="0" xfId="1" applyFont="1" applyFill="1" applyAlignment="1">
      <alignment horizontal="center"/>
    </xf>
    <xf numFmtId="0" fontId="39" fillId="44" borderId="0" xfId="0" applyFont="1" applyFill="1" applyAlignment="1">
      <alignment horizontal="center"/>
    </xf>
    <xf numFmtId="0" fontId="0" fillId="44" borderId="0" xfId="0" applyFill="1"/>
    <xf numFmtId="0" fontId="0" fillId="44" borderId="0" xfId="0" applyFill="1" applyAlignment="1">
      <alignment horizontal="center"/>
    </xf>
    <xf numFmtId="167" fontId="0" fillId="44" borderId="0" xfId="43" applyNumberFormat="1" applyFont="1" applyFill="1" applyAlignment="1">
      <alignment horizontal="center"/>
    </xf>
    <xf numFmtId="9" fontId="0" fillId="44" borderId="0" xfId="44" applyFont="1" applyFill="1" applyAlignment="1">
      <alignment horizontal="center"/>
    </xf>
    <xf numFmtId="164" fontId="0" fillId="44" borderId="0" xfId="1" applyFont="1" applyFill="1" applyAlignment="1">
      <alignment horizontal="center"/>
    </xf>
    <xf numFmtId="164" fontId="30" fillId="0" borderId="11" xfId="44" applyNumberFormat="1" applyFont="1" applyBorder="1" applyAlignment="1">
      <alignment horizontal="center"/>
    </xf>
  </cellXfs>
  <cellStyles count="10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Comma [0]" xfId="1" builtinId="6"/>
    <cellStyle name="Comma [0] 2" xfId="52" xr:uid="{C4FE0BF5-EC7E-42A5-BBC9-FC125C633BB3}"/>
    <cellStyle name="Comma 10" xfId="102" xr:uid="{08B0EF61-280C-4F85-AB52-A8DACA5EF7D1}"/>
    <cellStyle name="Comma 11" xfId="101" xr:uid="{5DA4236A-D6DC-4E4B-B696-00D7DDAEA680}"/>
    <cellStyle name="Comma 12" xfId="100" xr:uid="{BC8F455B-B510-4CE5-B540-D66881F0DE57}"/>
    <cellStyle name="Comma 13" xfId="99" xr:uid="{B6B2D586-E2BE-4950-BA87-440386E18083}"/>
    <cellStyle name="Comma 2" xfId="46" xr:uid="{2F6291EA-F42F-41CB-B7E8-8091681D75D0}"/>
    <cellStyle name="Comma 2 2" xfId="48" xr:uid="{0190DAE0-5544-4761-A9DA-19DC81ECB53F}"/>
    <cellStyle name="Comma 2 2 2" xfId="85" xr:uid="{2C85445B-D430-4543-8531-1EA10DC9FAB1}"/>
    <cellStyle name="Comma 2 2 3" xfId="72" xr:uid="{9A43B871-2E3F-4192-978F-3B03EE009ECF}"/>
    <cellStyle name="Comma 2 2 4" xfId="105" xr:uid="{AA243668-40DC-4604-B504-7CFF77B0E7CD}"/>
    <cellStyle name="Comma 2 3" xfId="79" xr:uid="{A9ABA945-B51E-4113-B2BE-BE46BBF6C51C}"/>
    <cellStyle name="Comma 2 4" xfId="61" xr:uid="{FB05FDA8-544D-4A45-8EE1-E3AAF01A06E1}"/>
    <cellStyle name="Comma 2 5" xfId="93" xr:uid="{7B59076E-23D0-49E3-9292-13805763F52E}"/>
    <cellStyle name="Comma 2 6" xfId="56" xr:uid="{E35D122E-36B0-4287-B4A0-7C8EE97038EB}"/>
    <cellStyle name="Comma 2 7" xfId="103" xr:uid="{012AC5DB-D725-44D2-A793-BBE3B69FB7A4}"/>
    <cellStyle name="Comma 3" xfId="67" xr:uid="{04B969E0-6BD7-44FF-8AE2-3B3D5EEC4B16}"/>
    <cellStyle name="Comma 3 2" xfId="82" xr:uid="{B13054ED-2D53-4DBA-86E1-6ABE65F7A728}"/>
    <cellStyle name="Comma 4" xfId="77" xr:uid="{AC4E980A-B21C-400D-BBFB-A21B3C962E32}"/>
    <cellStyle name="Comma 4 2" xfId="95" xr:uid="{B89EDE7D-E350-4DB5-8034-DC04AE04AB88}"/>
    <cellStyle name="Comma 5" xfId="59" xr:uid="{AA5D015E-F7D0-4265-A80B-CE9EB5221A4E}"/>
    <cellStyle name="Comma 6" xfId="90" xr:uid="{24685BEA-967D-4778-B20E-9193C093E623}"/>
    <cellStyle name="Comma 7" xfId="94" xr:uid="{79C0BCE2-6D23-458D-9480-6A1A951612B9}"/>
    <cellStyle name="Comma 8" xfId="97" xr:uid="{98096F69-F54C-40AB-B5BE-F403FCDD153E}"/>
    <cellStyle name="Comma 9" xfId="53" xr:uid="{CB5AE58D-8012-4DD7-B030-92C01ED9988F}"/>
    <cellStyle name="Currency 2" xfId="50" xr:uid="{7570F848-038C-4B50-9BB4-2D56C5C5EA41}"/>
    <cellStyle name="Currency 2 2" xfId="63" xr:uid="{D3A78F45-CECD-4589-82E3-76EAF4B93137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 2" xfId="64" xr:uid="{0A9A5E66-994E-49FE-B527-32899AF55F4A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10" xfId="58" xr:uid="{CB7F4507-E02B-4259-A881-3E6ED52D7BE5}"/>
    <cellStyle name="Normal 2" xfId="45" xr:uid="{13477675-36A0-482C-8146-087B1E94C09E}"/>
    <cellStyle name="Normal 2 10" xfId="76" xr:uid="{82934747-D320-452B-9753-F47856EB934C}"/>
    <cellStyle name="Normal 2 10 2" xfId="89" xr:uid="{AAB8D23C-63FA-4D50-A526-055FA065FAAB}"/>
    <cellStyle name="Normal 2 2" xfId="65" xr:uid="{23F94AF3-0FA5-44B3-9B0E-33DAE3CE2DB2}"/>
    <cellStyle name="Normal 2 2 2" xfId="81" xr:uid="{20FE06C7-21DF-45CE-B444-2B6A76FC0CE4}"/>
    <cellStyle name="Normal 2 3" xfId="69" xr:uid="{D1F32B0D-36CD-4DF4-B72F-5C7C17BAE333}"/>
    <cellStyle name="Normal 2 3 2" xfId="57" xr:uid="{9FDE32C4-2594-400C-AC4E-E3456A4E71DA}"/>
    <cellStyle name="Normal 2 4" xfId="74" xr:uid="{4F671985-5929-43D1-BCA3-A5049149D93D}"/>
    <cellStyle name="Normal 2 4 2" xfId="87" xr:uid="{3FCF5B75-32C4-4DFF-B2CF-D3C37B884DAA}"/>
    <cellStyle name="Normal 2 5" xfId="75" xr:uid="{61D93BCF-15E9-4124-9F8F-FD937272FA3D}"/>
    <cellStyle name="Normal 2 5 2" xfId="88" xr:uid="{55666485-D0EC-44BF-94A5-D9CB2480F2F1}"/>
    <cellStyle name="Normal 2 6" xfId="78" xr:uid="{0AFA4650-EB66-4C69-9A6E-DE4BEC238194}"/>
    <cellStyle name="Normal 2 7" xfId="60" xr:uid="{25BCEFD1-249B-4577-B556-9FA1F3E9228E}"/>
    <cellStyle name="Normal 2 8" xfId="91" xr:uid="{07C1C203-B2BA-4F4D-A437-3B6B07722704}"/>
    <cellStyle name="Normal 2 9" xfId="54" xr:uid="{C75C9488-8A12-4466-B7EF-8DEAB1FD4351}"/>
    <cellStyle name="Normal 3" xfId="49" xr:uid="{E02938B3-3EF8-4C4A-8979-BFFEAD509A79}"/>
    <cellStyle name="Normal 3 2" xfId="70" xr:uid="{AB44C634-1DD0-4080-BBA5-3C79DB503917}"/>
    <cellStyle name="Normal 4" xfId="71" xr:uid="{FEA118A3-D0C6-4148-8319-51DF653FDE73}"/>
    <cellStyle name="Normal 4 2" xfId="84" xr:uid="{4941D099-56F4-407B-8C0D-909807B78897}"/>
    <cellStyle name="Normal 5" xfId="96" xr:uid="{18167138-F896-40AD-BA8F-647027F31391}"/>
    <cellStyle name="Normal 6" xfId="66" xr:uid="{36EC74A7-D241-4631-8D66-19EF3C9E8EC9}"/>
    <cellStyle name="Note" xfId="16" builtinId="10" customBuiltin="1"/>
    <cellStyle name="Output" xfId="11" builtinId="21" customBuiltin="1"/>
    <cellStyle name="Percent" xfId="44" builtinId="5"/>
    <cellStyle name="Percent 2" xfId="47" xr:uid="{563273B1-FB2A-41CC-AA85-8BA4A6CFD16B}"/>
    <cellStyle name="Percent 2 2" xfId="73" xr:uid="{1E9F4D48-2092-4714-9EFE-04B440E2DE07}"/>
    <cellStyle name="Percent 2 2 2" xfId="86" xr:uid="{E4F76B0D-2A10-42DE-8228-B91F64E333B6}"/>
    <cellStyle name="Percent 2 3" xfId="80" xr:uid="{6BCC816D-D87F-451D-A667-0F44E8C5E5FF}"/>
    <cellStyle name="Percent 2 4" xfId="62" xr:uid="{CE82AD10-9EEE-4909-A8C1-5B86A4BF7D62}"/>
    <cellStyle name="Percent 2 5" xfId="92" xr:uid="{FA956872-7707-4844-92CD-39A09B7618E3}"/>
    <cellStyle name="Percent 2 6" xfId="55" xr:uid="{095791DD-F91C-4DF0-9C64-F665F7B36618}"/>
    <cellStyle name="Percent 2 7" xfId="104" xr:uid="{BDEFE46A-1BE3-42D4-A03D-6B5EFCF87954}"/>
    <cellStyle name="Percent 3" xfId="51" xr:uid="{043C7D39-2C5F-4853-84AD-31035A5AFA28}"/>
    <cellStyle name="Percent 3 2" xfId="83" xr:uid="{C925AA2A-3CDB-4892-B049-D1BD9C3DA930}"/>
    <cellStyle name="Percent 3 3" xfId="68" xr:uid="{FB3D4EEF-FFAC-43AA-8351-3FC2CB05940D}"/>
    <cellStyle name="Percent 4" xfId="98" xr:uid="{B92B94A3-A1DC-4B39-8000-0868B93518D5}"/>
    <cellStyle name="Title" xfId="2" builtinId="15" customBuiltin="1"/>
    <cellStyle name="Total" xfId="18" builtinId="25" customBuiltin="1"/>
    <cellStyle name="Warning Text" xfId="15" builtinId="11" customBuiltin="1"/>
  </cellStyles>
  <dxfs count="136"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0000FF"/>
      </font>
    </dxf>
    <dxf>
      <font>
        <color rgb="FFFF0000"/>
      </font>
    </dxf>
    <dxf>
      <font>
        <color rgb="FF9C0006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0000FF"/>
      </font>
    </dxf>
    <dxf>
      <font>
        <color rgb="FF9C0006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KTQT\Gi&#225;%20b&#225;n\Gi&#225;%20b&#225;n%20Th&#225;ng_N&#259;m\2026\T01.2026\Gia%20ban%20thang%2001%20theo%20ma%20-%20KTQT.xlsx" TargetMode="External"/><Relationship Id="rId1" Type="http://schemas.openxmlformats.org/officeDocument/2006/relationships/externalLinkPath" Target="T01.2026/Gia%20ban%20thang%2001%20theo%20ma%20-%20KTQ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KTQT\Gi&#225;%20b&#225;n\Gi&#225;%20b&#225;n%20Th&#225;ng_N&#259;m\2026\T02.2026\Gia%20ban%20thang%2002%20theo%20ma%20-%20KTQT.xlsx" TargetMode="External"/><Relationship Id="rId1" Type="http://schemas.openxmlformats.org/officeDocument/2006/relationships/externalLinkPath" Target="T02.2026/Gia%20ban%20thang%2002%20theo%20ma%20-%20KTQ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ình bày"/>
      <sheetName val="KH 2025"/>
      <sheetName val="Dự báo"/>
      <sheetName val="tồn 30.11"/>
      <sheetName val="Trình bày (2)"/>
      <sheetName val="tồn TP 17.12"/>
      <sheetName val="data"/>
    </sheetNames>
    <sheetDataSet>
      <sheetData sheetId="0">
        <row r="7">
          <cell r="B7" t="str">
            <v>110000354</v>
          </cell>
        </row>
        <row r="8">
          <cell r="B8" t="str">
            <v>110000355</v>
          </cell>
        </row>
        <row r="9">
          <cell r="B9" t="str">
            <v>110000332</v>
          </cell>
        </row>
        <row r="10">
          <cell r="B10" t="str">
            <v>110000359</v>
          </cell>
        </row>
        <row r="11">
          <cell r="B11" t="str">
            <v>110000329</v>
          </cell>
        </row>
        <row r="12">
          <cell r="B12" t="str">
            <v>110000497</v>
          </cell>
        </row>
        <row r="13">
          <cell r="B13" t="str">
            <v>110000499</v>
          </cell>
        </row>
        <row r="14">
          <cell r="B14" t="str">
            <v>110000503</v>
          </cell>
        </row>
        <row r="15">
          <cell r="B15" t="str">
            <v>110000506</v>
          </cell>
        </row>
        <row r="16">
          <cell r="B16" t="str">
            <v>110000483</v>
          </cell>
        </row>
        <row r="18">
          <cell r="B18" t="str">
            <v>110000378</v>
          </cell>
        </row>
        <row r="19">
          <cell r="B19" t="str">
            <v>110000377</v>
          </cell>
        </row>
        <row r="20">
          <cell r="B20" t="str">
            <v>110000383</v>
          </cell>
        </row>
        <row r="21">
          <cell r="B21" t="str">
            <v>110000335</v>
          </cell>
        </row>
        <row r="22">
          <cell r="B22" t="str">
            <v>110000358</v>
          </cell>
        </row>
        <row r="23">
          <cell r="B23" t="str">
            <v>110000468</v>
          </cell>
        </row>
        <row r="24">
          <cell r="B24" t="str">
            <v>110000333</v>
          </cell>
        </row>
        <row r="25">
          <cell r="B25" t="str">
            <v>110000376</v>
          </cell>
        </row>
        <row r="26">
          <cell r="B26" t="str">
            <v>110000331</v>
          </cell>
        </row>
        <row r="27">
          <cell r="B27" t="str">
            <v>110000330</v>
          </cell>
        </row>
        <row r="28">
          <cell r="B28" t="str">
            <v>110000475</v>
          </cell>
        </row>
        <row r="30">
          <cell r="B30" t="str">
            <v>110000466</v>
          </cell>
        </row>
        <row r="31">
          <cell r="B31" t="str">
            <v>110000436</v>
          </cell>
        </row>
        <row r="32">
          <cell r="B32" t="str">
            <v>110000382</v>
          </cell>
        </row>
        <row r="33">
          <cell r="B33" t="str">
            <v>110000384</v>
          </cell>
        </row>
        <row r="34">
          <cell r="B34" t="str">
            <v>110000381</v>
          </cell>
        </row>
        <row r="35">
          <cell r="B35" t="str">
            <v>110000387</v>
          </cell>
        </row>
        <row r="36">
          <cell r="B36" t="str">
            <v>110000464</v>
          </cell>
        </row>
        <row r="37">
          <cell r="B37" t="str">
            <v>110000430</v>
          </cell>
        </row>
        <row r="40">
          <cell r="B40" t="str">
            <v>110000339</v>
          </cell>
        </row>
        <row r="41">
          <cell r="B41" t="str">
            <v>110000426</v>
          </cell>
        </row>
        <row r="42">
          <cell r="B42" t="str">
            <v>110000374</v>
          </cell>
        </row>
        <row r="43">
          <cell r="B43" t="str">
            <v>110000443</v>
          </cell>
        </row>
        <row r="44">
          <cell r="B44" t="str">
            <v>110000481</v>
          </cell>
        </row>
        <row r="45">
          <cell r="B45" t="str">
            <v>110000425</v>
          </cell>
        </row>
        <row r="46">
          <cell r="B46" t="str">
            <v>110000495</v>
          </cell>
        </row>
        <row r="48">
          <cell r="B48" t="str">
            <v>110000385</v>
          </cell>
        </row>
        <row r="49">
          <cell r="B49" t="str">
            <v>110000345</v>
          </cell>
        </row>
        <row r="50">
          <cell r="B50" t="str">
            <v>110000427</v>
          </cell>
        </row>
        <row r="51">
          <cell r="B51" t="str">
            <v>110000343</v>
          </cell>
        </row>
        <row r="52">
          <cell r="B52" t="str">
            <v>110000336</v>
          </cell>
        </row>
        <row r="53">
          <cell r="B53" t="str">
            <v>110000337</v>
          </cell>
        </row>
        <row r="54">
          <cell r="B54" t="str">
            <v>110000433</v>
          </cell>
        </row>
        <row r="55">
          <cell r="B55" t="str">
            <v>110000429</v>
          </cell>
        </row>
        <row r="56">
          <cell r="B56" t="str">
            <v>110000432</v>
          </cell>
        </row>
        <row r="58">
          <cell r="B58" t="str">
            <v>110000341</v>
          </cell>
        </row>
        <row r="61">
          <cell r="B61" t="str">
            <v>110000360</v>
          </cell>
        </row>
        <row r="62">
          <cell r="B62" t="str">
            <v>110000366</v>
          </cell>
        </row>
        <row r="63">
          <cell r="B63" t="str">
            <v>110000361</v>
          </cell>
        </row>
        <row r="64">
          <cell r="B64" t="str">
            <v>110000496</v>
          </cell>
        </row>
        <row r="65">
          <cell r="B65" t="str">
            <v>110000364</v>
          </cell>
        </row>
        <row r="66">
          <cell r="B66" t="str">
            <v>110000365</v>
          </cell>
        </row>
        <row r="67">
          <cell r="B67" t="str">
            <v>110000431</v>
          </cell>
        </row>
        <row r="68">
          <cell r="B68" t="str">
            <v>110000363</v>
          </cell>
        </row>
        <row r="70">
          <cell r="B70" t="str">
            <v>110000373</v>
          </cell>
        </row>
        <row r="74">
          <cell r="B74" t="str">
            <v>110000407</v>
          </cell>
        </row>
        <row r="75">
          <cell r="B75" t="str">
            <v>110000409</v>
          </cell>
        </row>
        <row r="76">
          <cell r="B76" t="str">
            <v>110000410</v>
          </cell>
        </row>
        <row r="77">
          <cell r="B77" t="str">
            <v>110000411</v>
          </cell>
        </row>
        <row r="78">
          <cell r="B78" t="str">
            <v>110000408</v>
          </cell>
        </row>
        <row r="79">
          <cell r="B79" t="str">
            <v>110000412</v>
          </cell>
        </row>
        <row r="80">
          <cell r="B80" t="str">
            <v>110000413</v>
          </cell>
        </row>
        <row r="82">
          <cell r="B82" t="str">
            <v>110000469</v>
          </cell>
        </row>
        <row r="86">
          <cell r="B86" t="str">
            <v>110000389</v>
          </cell>
        </row>
        <row r="87">
          <cell r="B87" t="str">
            <v>110000471</v>
          </cell>
        </row>
        <row r="88">
          <cell r="B88" t="str">
            <v>110000472</v>
          </cell>
        </row>
        <row r="89">
          <cell r="B89" t="str">
            <v>110000435</v>
          </cell>
        </row>
        <row r="90">
          <cell r="B90" t="str">
            <v>110000508</v>
          </cell>
        </row>
        <row r="91">
          <cell r="B91" t="str">
            <v>110000392</v>
          </cell>
        </row>
        <row r="92">
          <cell r="B92" t="str">
            <v>110000482</v>
          </cell>
        </row>
        <row r="93">
          <cell r="B93" t="str">
            <v>110000394</v>
          </cell>
        </row>
        <row r="94">
          <cell r="B94" t="str">
            <v>110000470</v>
          </cell>
        </row>
        <row r="96">
          <cell r="B96" t="str">
            <v>110000367</v>
          </cell>
        </row>
        <row r="97">
          <cell r="B97" t="str">
            <v>110000369</v>
          </cell>
        </row>
        <row r="98">
          <cell r="B98" t="str">
            <v>110000370</v>
          </cell>
        </row>
        <row r="99">
          <cell r="B99" t="str">
            <v>110000388</v>
          </cell>
        </row>
        <row r="100">
          <cell r="B100" t="str">
            <v>110000390</v>
          </cell>
        </row>
        <row r="101">
          <cell r="B101" t="str">
            <v>110000391</v>
          </cell>
        </row>
        <row r="102">
          <cell r="B102" t="str">
            <v>110000393</v>
          </cell>
        </row>
        <row r="103">
          <cell r="B103" t="str">
            <v>110000441</v>
          </cell>
        </row>
        <row r="104">
          <cell r="B104" t="str">
            <v>110000371</v>
          </cell>
        </row>
        <row r="107">
          <cell r="B107" t="str">
            <v>110000421</v>
          </cell>
        </row>
        <row r="108">
          <cell r="B108" t="str">
            <v>110000423</v>
          </cell>
        </row>
        <row r="111">
          <cell r="B111" t="str">
            <v>110000422</v>
          </cell>
        </row>
        <row r="112">
          <cell r="B112" t="str">
            <v>110000439</v>
          </cell>
        </row>
        <row r="113">
          <cell r="B113" t="str">
            <v>110000424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H1">
            <v>12545475.249999998</v>
          </cell>
        </row>
        <row r="2">
          <cell r="A2" t="str">
            <v>Material</v>
          </cell>
          <cell r="H2" t="str">
            <v>Tồn 17/12</v>
          </cell>
          <cell r="L2" t="str">
            <v>SL bán BQ/ tháng</v>
          </cell>
        </row>
        <row r="3">
          <cell r="A3" t="str">
            <v>110000329</v>
          </cell>
          <cell r="H3">
            <v>264234</v>
          </cell>
          <cell r="L3">
            <v>16300</v>
          </cell>
        </row>
        <row r="4">
          <cell r="A4" t="str">
            <v>110000329</v>
          </cell>
          <cell r="H4">
            <v>216183.3</v>
          </cell>
          <cell r="L4">
            <v>16300</v>
          </cell>
        </row>
        <row r="5">
          <cell r="A5" t="str">
            <v>110000332</v>
          </cell>
          <cell r="H5">
            <v>23021.9</v>
          </cell>
          <cell r="L5">
            <v>496599.44545454549</v>
          </cell>
        </row>
        <row r="6">
          <cell r="A6" t="str">
            <v>110000332</v>
          </cell>
          <cell r="H6">
            <v>823931.1</v>
          </cell>
          <cell r="L6">
            <v>496599.44545454549</v>
          </cell>
        </row>
        <row r="7">
          <cell r="A7" t="str">
            <v>110000332</v>
          </cell>
          <cell r="H7">
            <v>350455.5</v>
          </cell>
          <cell r="L7">
            <v>496599.44545454549</v>
          </cell>
        </row>
        <row r="8">
          <cell r="A8" t="str">
            <v>110000333</v>
          </cell>
          <cell r="H8">
            <v>300</v>
          </cell>
          <cell r="L8">
            <v>0</v>
          </cell>
        </row>
        <row r="9">
          <cell r="A9" t="str">
            <v>110000333</v>
          </cell>
          <cell r="H9">
            <v>1969</v>
          </cell>
          <cell r="L9">
            <v>0</v>
          </cell>
        </row>
        <row r="10">
          <cell r="A10" t="str">
            <v>110000335</v>
          </cell>
          <cell r="H10">
            <v>4420.7</v>
          </cell>
          <cell r="L10">
            <v>8800</v>
          </cell>
        </row>
        <row r="11">
          <cell r="A11" t="str">
            <v>110000336</v>
          </cell>
          <cell r="H11">
            <v>1920</v>
          </cell>
          <cell r="L11">
            <v>0</v>
          </cell>
        </row>
        <row r="12">
          <cell r="A12" t="str">
            <v>110000336</v>
          </cell>
          <cell r="H12">
            <v>6239.1</v>
          </cell>
          <cell r="L12">
            <v>0</v>
          </cell>
        </row>
        <row r="13">
          <cell r="A13" t="str">
            <v>110000337</v>
          </cell>
          <cell r="H13">
            <v>900</v>
          </cell>
          <cell r="L13">
            <v>0</v>
          </cell>
        </row>
        <row r="14">
          <cell r="A14" t="str">
            <v>110000337</v>
          </cell>
          <cell r="H14">
            <v>8299.7999999999993</v>
          </cell>
          <cell r="L14">
            <v>0</v>
          </cell>
        </row>
        <row r="15">
          <cell r="A15" t="str">
            <v>110000339</v>
          </cell>
          <cell r="H15">
            <v>34502</v>
          </cell>
          <cell r="L15">
            <v>110231.81818181818</v>
          </cell>
        </row>
        <row r="16">
          <cell r="A16" t="str">
            <v>110000339</v>
          </cell>
          <cell r="H16">
            <v>2400</v>
          </cell>
          <cell r="L16">
            <v>110231.81818181818</v>
          </cell>
        </row>
        <row r="17">
          <cell r="A17" t="str">
            <v>110000339</v>
          </cell>
          <cell r="H17">
            <v>445179.3</v>
          </cell>
          <cell r="L17">
            <v>110231.81818181818</v>
          </cell>
        </row>
        <row r="18">
          <cell r="A18" t="str">
            <v>110000339</v>
          </cell>
          <cell r="H18">
            <v>11350</v>
          </cell>
          <cell r="L18">
            <v>110231.81818181818</v>
          </cell>
        </row>
        <row r="19">
          <cell r="A19" t="str">
            <v>110000341</v>
          </cell>
          <cell r="H19">
            <v>499.5</v>
          </cell>
          <cell r="L19">
            <v>34734.090909090912</v>
          </cell>
        </row>
        <row r="20">
          <cell r="A20" t="str">
            <v>110000341</v>
          </cell>
          <cell r="H20">
            <v>17150</v>
          </cell>
          <cell r="L20">
            <v>34734.090909090912</v>
          </cell>
        </row>
        <row r="21">
          <cell r="A21" t="str">
            <v>110000341</v>
          </cell>
          <cell r="H21">
            <v>78292.5</v>
          </cell>
          <cell r="L21">
            <v>34734.090909090912</v>
          </cell>
        </row>
        <row r="22">
          <cell r="A22" t="str">
            <v>110000343</v>
          </cell>
          <cell r="H22">
            <v>223</v>
          </cell>
          <cell r="L22">
            <v>0</v>
          </cell>
        </row>
        <row r="23">
          <cell r="A23" t="str">
            <v>110000343</v>
          </cell>
          <cell r="H23">
            <v>752</v>
          </cell>
          <cell r="L23">
            <v>0</v>
          </cell>
        </row>
        <row r="24">
          <cell r="A24" t="str">
            <v>110000343</v>
          </cell>
          <cell r="H24">
            <v>13696</v>
          </cell>
          <cell r="L24">
            <v>0</v>
          </cell>
        </row>
        <row r="25">
          <cell r="A25" t="str">
            <v>110000345</v>
          </cell>
          <cell r="H25">
            <v>2200</v>
          </cell>
          <cell r="L25">
            <v>0</v>
          </cell>
        </row>
        <row r="26">
          <cell r="A26" t="str">
            <v>110000345</v>
          </cell>
          <cell r="H26">
            <v>22125</v>
          </cell>
          <cell r="L26">
            <v>0</v>
          </cell>
        </row>
        <row r="27">
          <cell r="A27" t="str">
            <v>110000354</v>
          </cell>
          <cell r="H27">
            <v>107796.9</v>
          </cell>
          <cell r="L27">
            <v>1667665.9090909092</v>
          </cell>
        </row>
        <row r="28">
          <cell r="A28" t="str">
            <v>110000354</v>
          </cell>
          <cell r="H28">
            <v>1667959.85</v>
          </cell>
          <cell r="L28">
            <v>1667665.9090909092</v>
          </cell>
        </row>
        <row r="29">
          <cell r="A29" t="str">
            <v>110000354</v>
          </cell>
          <cell r="H29">
            <v>5291</v>
          </cell>
          <cell r="L29">
            <v>1667665.9090909092</v>
          </cell>
        </row>
        <row r="30">
          <cell r="A30" t="str">
            <v>110000355</v>
          </cell>
          <cell r="H30">
            <v>1100</v>
          </cell>
          <cell r="L30">
            <v>967139.61818181828</v>
          </cell>
        </row>
        <row r="31">
          <cell r="A31" t="str">
            <v>110000355</v>
          </cell>
          <cell r="H31">
            <v>142994.95000000001</v>
          </cell>
          <cell r="L31">
            <v>967139.61818181828</v>
          </cell>
        </row>
        <row r="32">
          <cell r="A32" t="str">
            <v>110000355</v>
          </cell>
          <cell r="H32">
            <v>140013.75</v>
          </cell>
          <cell r="L32">
            <v>967139.61818181828</v>
          </cell>
        </row>
        <row r="33">
          <cell r="A33" t="str">
            <v>110000359</v>
          </cell>
          <cell r="H33">
            <v>66000</v>
          </cell>
          <cell r="L33">
            <v>172277.27272727274</v>
          </cell>
        </row>
        <row r="34">
          <cell r="A34" t="str">
            <v>110000359</v>
          </cell>
          <cell r="H34">
            <v>577204</v>
          </cell>
          <cell r="L34">
            <v>172277.27272727274</v>
          </cell>
        </row>
        <row r="35">
          <cell r="A35" t="str">
            <v>110000359</v>
          </cell>
          <cell r="H35">
            <v>970867.7</v>
          </cell>
          <cell r="L35">
            <v>172277.27272727274</v>
          </cell>
        </row>
        <row r="36">
          <cell r="A36" t="str">
            <v>110000360</v>
          </cell>
          <cell r="H36">
            <v>3472.5</v>
          </cell>
          <cell r="L36">
            <v>15000</v>
          </cell>
        </row>
        <row r="37">
          <cell r="A37" t="str">
            <v>110000361</v>
          </cell>
          <cell r="H37">
            <v>4213</v>
          </cell>
          <cell r="L37">
            <v>12911.363636363636</v>
          </cell>
        </row>
        <row r="38">
          <cell r="A38" t="str">
            <v>110000361</v>
          </cell>
          <cell r="H38">
            <v>5525</v>
          </cell>
          <cell r="L38">
            <v>12911.363636363636</v>
          </cell>
        </row>
        <row r="39">
          <cell r="A39" t="str">
            <v>110000363</v>
          </cell>
          <cell r="H39">
            <v>400</v>
          </cell>
          <cell r="L39">
            <v>493.18181818181819</v>
          </cell>
        </row>
        <row r="40">
          <cell r="A40" t="str">
            <v>110000363</v>
          </cell>
          <cell r="H40">
            <v>246444.9</v>
          </cell>
          <cell r="L40">
            <v>493.18181818181819</v>
          </cell>
        </row>
        <row r="41">
          <cell r="A41" t="str">
            <v>110000364</v>
          </cell>
          <cell r="H41">
            <v>125</v>
          </cell>
          <cell r="L41">
            <v>10763.636363636364</v>
          </cell>
        </row>
        <row r="42">
          <cell r="A42" t="str">
            <v>110000364</v>
          </cell>
          <cell r="H42">
            <v>39875</v>
          </cell>
          <cell r="L42">
            <v>10763.636363636364</v>
          </cell>
        </row>
        <row r="43">
          <cell r="A43" t="str">
            <v>110000365</v>
          </cell>
          <cell r="H43">
            <v>1875</v>
          </cell>
          <cell r="L43">
            <v>1181.8181818181818</v>
          </cell>
        </row>
        <row r="44">
          <cell r="A44" t="str">
            <v>110000365</v>
          </cell>
          <cell r="H44">
            <v>48908.4</v>
          </cell>
          <cell r="L44">
            <v>1181.8181818181818</v>
          </cell>
        </row>
        <row r="45">
          <cell r="A45" t="str">
            <v>110000365</v>
          </cell>
          <cell r="H45">
            <v>5250</v>
          </cell>
          <cell r="L45">
            <v>1181.8181818181818</v>
          </cell>
        </row>
        <row r="46">
          <cell r="A46" t="str">
            <v>110000366</v>
          </cell>
          <cell r="H46">
            <v>40346</v>
          </cell>
          <cell r="L46">
            <v>16570.454545454544</v>
          </cell>
        </row>
        <row r="47">
          <cell r="A47" t="str">
            <v>110000367</v>
          </cell>
          <cell r="H47">
            <v>69</v>
          </cell>
          <cell r="L47">
            <v>0</v>
          </cell>
        </row>
        <row r="48">
          <cell r="A48" t="str">
            <v>110000367</v>
          </cell>
          <cell r="H48">
            <v>650</v>
          </cell>
          <cell r="L48">
            <v>0</v>
          </cell>
        </row>
        <row r="49">
          <cell r="A49" t="str">
            <v>110000369</v>
          </cell>
          <cell r="H49">
            <v>2677.8</v>
          </cell>
          <cell r="L49">
            <v>0</v>
          </cell>
        </row>
        <row r="50">
          <cell r="A50" t="str">
            <v>110000370</v>
          </cell>
          <cell r="H50">
            <v>2.5</v>
          </cell>
          <cell r="L50">
            <v>0</v>
          </cell>
        </row>
        <row r="51">
          <cell r="A51" t="str">
            <v>110000371</v>
          </cell>
          <cell r="H51">
            <v>0.25</v>
          </cell>
          <cell r="L51">
            <v>0</v>
          </cell>
        </row>
        <row r="52">
          <cell r="A52" t="str">
            <v>110000373</v>
          </cell>
          <cell r="H52">
            <v>1450</v>
          </cell>
          <cell r="L52">
            <v>0</v>
          </cell>
        </row>
        <row r="53">
          <cell r="A53" t="str">
            <v>110000373</v>
          </cell>
          <cell r="H53">
            <v>2922.9</v>
          </cell>
          <cell r="L53">
            <v>0</v>
          </cell>
        </row>
        <row r="54">
          <cell r="A54" t="str">
            <v>110000374</v>
          </cell>
          <cell r="H54">
            <v>318698.40000000002</v>
          </cell>
          <cell r="L54">
            <v>32027.272727272728</v>
          </cell>
        </row>
        <row r="55">
          <cell r="A55" t="str">
            <v>110000374</v>
          </cell>
          <cell r="H55">
            <v>50</v>
          </cell>
          <cell r="L55">
            <v>32027.272727272728</v>
          </cell>
        </row>
        <row r="56">
          <cell r="A56" t="str">
            <v>110000376</v>
          </cell>
          <cell r="H56">
            <v>800</v>
          </cell>
          <cell r="L56">
            <v>27.272727272727273</v>
          </cell>
        </row>
        <row r="57">
          <cell r="A57" t="str">
            <v>110000376</v>
          </cell>
          <cell r="H57">
            <v>1100</v>
          </cell>
          <cell r="L57">
            <v>27.272727272727273</v>
          </cell>
        </row>
        <row r="58">
          <cell r="A58" t="str">
            <v>110000377</v>
          </cell>
          <cell r="H58">
            <v>1100</v>
          </cell>
          <cell r="L58">
            <v>0</v>
          </cell>
        </row>
        <row r="59">
          <cell r="A59" t="str">
            <v>110000377</v>
          </cell>
          <cell r="H59">
            <v>38500</v>
          </cell>
          <cell r="L59">
            <v>0</v>
          </cell>
        </row>
        <row r="60">
          <cell r="A60" t="str">
            <v>110000377</v>
          </cell>
          <cell r="H60">
            <v>268399.5</v>
          </cell>
          <cell r="L60">
            <v>0</v>
          </cell>
        </row>
        <row r="61">
          <cell r="A61" t="str">
            <v>110000378</v>
          </cell>
          <cell r="H61">
            <v>217800</v>
          </cell>
          <cell r="L61">
            <v>0</v>
          </cell>
        </row>
        <row r="62">
          <cell r="A62" t="str">
            <v>110000378</v>
          </cell>
          <cell r="H62">
            <v>1432197</v>
          </cell>
          <cell r="L62">
            <v>0</v>
          </cell>
        </row>
        <row r="63">
          <cell r="A63" t="str">
            <v>110000381</v>
          </cell>
          <cell r="H63">
            <v>3150</v>
          </cell>
          <cell r="L63">
            <v>2.2727272727272729</v>
          </cell>
        </row>
        <row r="64">
          <cell r="A64" t="str">
            <v>110000381</v>
          </cell>
          <cell r="H64">
            <v>1123.2</v>
          </cell>
          <cell r="L64">
            <v>2.2727272727272729</v>
          </cell>
        </row>
        <row r="65">
          <cell r="A65" t="str">
            <v>110000381</v>
          </cell>
          <cell r="H65">
            <v>48582.6</v>
          </cell>
          <cell r="L65">
            <v>2.2727272727272729</v>
          </cell>
        </row>
        <row r="66">
          <cell r="A66" t="str">
            <v>110000382</v>
          </cell>
          <cell r="H66">
            <v>800</v>
          </cell>
          <cell r="L66">
            <v>90.909090909090907</v>
          </cell>
        </row>
        <row r="67">
          <cell r="A67" t="str">
            <v>110000382</v>
          </cell>
          <cell r="H67">
            <v>1050</v>
          </cell>
          <cell r="L67">
            <v>90.909090909090907</v>
          </cell>
        </row>
        <row r="68">
          <cell r="A68" t="str">
            <v>110000383</v>
          </cell>
          <cell r="H68">
            <v>52800</v>
          </cell>
          <cell r="L68">
            <v>0</v>
          </cell>
        </row>
        <row r="69">
          <cell r="A69" t="str">
            <v>110000384</v>
          </cell>
          <cell r="H69">
            <v>5981</v>
          </cell>
          <cell r="L69">
            <v>0</v>
          </cell>
        </row>
        <row r="70">
          <cell r="A70" t="str">
            <v>110000384</v>
          </cell>
          <cell r="H70">
            <v>179297.5</v>
          </cell>
          <cell r="L70">
            <v>0</v>
          </cell>
        </row>
        <row r="71">
          <cell r="A71" t="str">
            <v>110000385</v>
          </cell>
          <cell r="H71">
            <v>55000</v>
          </cell>
          <cell r="L71">
            <v>0</v>
          </cell>
        </row>
        <row r="72">
          <cell r="A72" t="str">
            <v>110000387</v>
          </cell>
          <cell r="H72">
            <v>15354.6</v>
          </cell>
          <cell r="L72">
            <v>2.2727272727272729</v>
          </cell>
        </row>
        <row r="73">
          <cell r="A73" t="str">
            <v>110000388</v>
          </cell>
          <cell r="H73">
            <v>1925</v>
          </cell>
          <cell r="L73">
            <v>0</v>
          </cell>
        </row>
        <row r="74">
          <cell r="A74" t="str">
            <v>110000389</v>
          </cell>
          <cell r="H74">
            <v>12373</v>
          </cell>
          <cell r="L74">
            <v>8352.7272727272721</v>
          </cell>
        </row>
        <row r="75">
          <cell r="A75" t="str">
            <v>110000390</v>
          </cell>
          <cell r="H75">
            <v>2280</v>
          </cell>
          <cell r="L75">
            <v>0</v>
          </cell>
        </row>
        <row r="76">
          <cell r="A76" t="str">
            <v>110000391</v>
          </cell>
          <cell r="H76">
            <v>2</v>
          </cell>
          <cell r="L76">
            <v>0</v>
          </cell>
        </row>
        <row r="77">
          <cell r="A77" t="str">
            <v>110000392</v>
          </cell>
          <cell r="H77">
            <v>549</v>
          </cell>
          <cell r="L77">
            <v>66.36363636363636</v>
          </cell>
        </row>
        <row r="78">
          <cell r="A78" t="str">
            <v>110000392</v>
          </cell>
          <cell r="H78">
            <v>24983</v>
          </cell>
          <cell r="L78">
            <v>66.36363636363636</v>
          </cell>
        </row>
        <row r="79">
          <cell r="A79" t="str">
            <v>110000393</v>
          </cell>
          <cell r="H79">
            <v>44048</v>
          </cell>
          <cell r="L79">
            <v>0</v>
          </cell>
        </row>
        <row r="80">
          <cell r="A80" t="str">
            <v>110000394</v>
          </cell>
          <cell r="H80">
            <v>1599.5</v>
          </cell>
          <cell r="L80">
            <v>4.5454545454545459</v>
          </cell>
        </row>
        <row r="81">
          <cell r="A81" t="str">
            <v>110000407</v>
          </cell>
          <cell r="H81">
            <v>147157</v>
          </cell>
          <cell r="L81">
            <v>20052.272727272728</v>
          </cell>
        </row>
        <row r="82">
          <cell r="A82" t="str">
            <v>110000408</v>
          </cell>
          <cell r="H82">
            <v>2430</v>
          </cell>
          <cell r="L82">
            <v>46236.36363636364</v>
          </cell>
        </row>
        <row r="83">
          <cell r="A83" t="str">
            <v>110000408</v>
          </cell>
          <cell r="H83">
            <v>157819.20000000001</v>
          </cell>
          <cell r="L83">
            <v>46236.36363636364</v>
          </cell>
        </row>
        <row r="84">
          <cell r="A84" t="str">
            <v>110000408</v>
          </cell>
          <cell r="H84">
            <v>40500</v>
          </cell>
          <cell r="L84">
            <v>46236.36363636364</v>
          </cell>
        </row>
        <row r="85">
          <cell r="A85" t="str">
            <v>110000409</v>
          </cell>
          <cell r="H85">
            <v>315</v>
          </cell>
          <cell r="L85">
            <v>9847.7272727272721</v>
          </cell>
        </row>
        <row r="86">
          <cell r="A86" t="str">
            <v>110000409</v>
          </cell>
          <cell r="H86">
            <v>44270</v>
          </cell>
          <cell r="L86">
            <v>9847.7272727272721</v>
          </cell>
        </row>
        <row r="87">
          <cell r="A87" t="str">
            <v>110000410</v>
          </cell>
          <cell r="H87">
            <v>19549</v>
          </cell>
          <cell r="L87">
            <v>10579.545454545454</v>
          </cell>
        </row>
        <row r="88">
          <cell r="A88" t="str">
            <v>110000411</v>
          </cell>
          <cell r="H88">
            <v>79170</v>
          </cell>
          <cell r="L88">
            <v>6029.545454545455</v>
          </cell>
        </row>
        <row r="89">
          <cell r="A89" t="str">
            <v>110000412</v>
          </cell>
          <cell r="H89">
            <v>32217</v>
          </cell>
          <cell r="L89">
            <v>3593.181818181818</v>
          </cell>
        </row>
        <row r="90">
          <cell r="A90" t="str">
            <v>110000412</v>
          </cell>
          <cell r="H90">
            <v>5250</v>
          </cell>
          <cell r="L90">
            <v>3593.181818181818</v>
          </cell>
        </row>
        <row r="91">
          <cell r="A91" t="str">
            <v>110000413</v>
          </cell>
          <cell r="H91">
            <v>1250</v>
          </cell>
          <cell r="L91">
            <v>6.8181818181818183</v>
          </cell>
        </row>
        <row r="92">
          <cell r="A92" t="str">
            <v>110000413</v>
          </cell>
          <cell r="H92">
            <v>153174.5</v>
          </cell>
          <cell r="L92">
            <v>6.8181818181818183</v>
          </cell>
        </row>
        <row r="93">
          <cell r="A93" t="str">
            <v>110000421</v>
          </cell>
          <cell r="H93">
            <v>46434</v>
          </cell>
          <cell r="L93">
            <v>4304.545454545455</v>
          </cell>
        </row>
        <row r="94">
          <cell r="A94" t="str">
            <v>110000422</v>
          </cell>
          <cell r="H94">
            <v>2250</v>
          </cell>
          <cell r="L94">
            <v>0</v>
          </cell>
        </row>
        <row r="95">
          <cell r="A95" t="str">
            <v>110000423</v>
          </cell>
          <cell r="H95">
            <v>218</v>
          </cell>
          <cell r="L95">
            <v>9.0909090909090917</v>
          </cell>
        </row>
        <row r="96">
          <cell r="A96" t="str">
            <v>110000423</v>
          </cell>
          <cell r="H96">
            <v>133303</v>
          </cell>
          <cell r="L96">
            <v>9.0909090909090917</v>
          </cell>
        </row>
        <row r="97">
          <cell r="A97" t="str">
            <v>110000424</v>
          </cell>
          <cell r="H97">
            <v>750</v>
          </cell>
          <cell r="L97">
            <v>0</v>
          </cell>
        </row>
        <row r="98">
          <cell r="A98" t="str">
            <v>110000425</v>
          </cell>
          <cell r="H98">
            <v>3000</v>
          </cell>
          <cell r="L98">
            <v>4627.272727272727</v>
          </cell>
        </row>
        <row r="99">
          <cell r="A99" t="str">
            <v>110000425</v>
          </cell>
          <cell r="H99">
            <v>149709.5</v>
          </cell>
          <cell r="L99">
            <v>4627.272727272727</v>
          </cell>
        </row>
        <row r="100">
          <cell r="A100" t="str">
            <v>110000425</v>
          </cell>
          <cell r="H100">
            <v>25</v>
          </cell>
          <cell r="L100">
            <v>4627.272727272727</v>
          </cell>
        </row>
        <row r="101">
          <cell r="A101" t="str">
            <v>110000426</v>
          </cell>
          <cell r="H101">
            <v>6803</v>
          </cell>
          <cell r="L101">
            <v>31625</v>
          </cell>
        </row>
        <row r="102">
          <cell r="A102" t="str">
            <v>110000426</v>
          </cell>
          <cell r="H102">
            <v>16973</v>
          </cell>
          <cell r="L102">
            <v>31625</v>
          </cell>
        </row>
        <row r="103">
          <cell r="A103" t="str">
            <v>110000427</v>
          </cell>
          <cell r="H103">
            <v>625</v>
          </cell>
          <cell r="L103">
            <v>0</v>
          </cell>
        </row>
        <row r="104">
          <cell r="A104" t="str">
            <v>110000427</v>
          </cell>
          <cell r="H104">
            <v>18674.5</v>
          </cell>
          <cell r="L104">
            <v>0</v>
          </cell>
        </row>
        <row r="105">
          <cell r="A105" t="str">
            <v>110000428</v>
          </cell>
          <cell r="H105">
            <v>199180</v>
          </cell>
          <cell r="L105">
            <v>131272.72727272726</v>
          </cell>
        </row>
        <row r="106">
          <cell r="A106" t="str">
            <v>110000429</v>
          </cell>
          <cell r="H106">
            <v>1072.5</v>
          </cell>
          <cell r="L106">
            <v>0</v>
          </cell>
        </row>
        <row r="107">
          <cell r="A107" t="str">
            <v>110000430</v>
          </cell>
          <cell r="H107">
            <v>37399</v>
          </cell>
          <cell r="L107">
            <v>0</v>
          </cell>
        </row>
        <row r="108">
          <cell r="A108" t="str">
            <v>110000431</v>
          </cell>
          <cell r="H108">
            <v>14543</v>
          </cell>
          <cell r="L108">
            <v>1000</v>
          </cell>
        </row>
        <row r="109">
          <cell r="A109" t="str">
            <v>110000432</v>
          </cell>
          <cell r="H109">
            <v>2</v>
          </cell>
          <cell r="L109">
            <v>0</v>
          </cell>
        </row>
        <row r="110">
          <cell r="A110" t="str">
            <v>110000433</v>
          </cell>
          <cell r="H110">
            <v>1050</v>
          </cell>
          <cell r="L110">
            <v>0</v>
          </cell>
        </row>
        <row r="111">
          <cell r="A111" t="str">
            <v>110000433</v>
          </cell>
          <cell r="H111">
            <v>6875</v>
          </cell>
          <cell r="L111">
            <v>0</v>
          </cell>
        </row>
        <row r="112">
          <cell r="A112" t="str">
            <v>110000435</v>
          </cell>
          <cell r="H112">
            <v>1448</v>
          </cell>
          <cell r="L112">
            <v>500.45454545454544</v>
          </cell>
        </row>
        <row r="113">
          <cell r="A113" t="str">
            <v>110000436</v>
          </cell>
          <cell r="H113">
            <v>5250</v>
          </cell>
          <cell r="L113">
            <v>97670.454545454544</v>
          </cell>
        </row>
        <row r="114">
          <cell r="A114" t="str">
            <v>110000436</v>
          </cell>
          <cell r="H114">
            <v>20191.5</v>
          </cell>
          <cell r="L114">
            <v>97670.454545454544</v>
          </cell>
        </row>
        <row r="115">
          <cell r="A115" t="str">
            <v>110000436</v>
          </cell>
          <cell r="H115">
            <v>604339.19999999995</v>
          </cell>
          <cell r="L115">
            <v>97670.454545454544</v>
          </cell>
        </row>
        <row r="116">
          <cell r="A116" t="str">
            <v>110000439</v>
          </cell>
          <cell r="H116">
            <v>7697</v>
          </cell>
          <cell r="L116">
            <v>0</v>
          </cell>
        </row>
        <row r="117">
          <cell r="A117" t="str">
            <v>110000441</v>
          </cell>
          <cell r="H117">
            <v>500.6</v>
          </cell>
          <cell r="L117">
            <v>0</v>
          </cell>
        </row>
        <row r="118">
          <cell r="A118" t="str">
            <v>110000441</v>
          </cell>
          <cell r="H118">
            <v>4200</v>
          </cell>
          <cell r="L118">
            <v>0</v>
          </cell>
        </row>
        <row r="119">
          <cell r="A119" t="str">
            <v>110000442</v>
          </cell>
          <cell r="H119">
            <v>450</v>
          </cell>
          <cell r="L119">
            <v>0</v>
          </cell>
        </row>
        <row r="120">
          <cell r="A120" t="str">
            <v>110000443</v>
          </cell>
          <cell r="H120">
            <v>1899</v>
          </cell>
          <cell r="L120">
            <v>18420.454545454544</v>
          </cell>
        </row>
        <row r="121">
          <cell r="A121" t="str">
            <v>110000444</v>
          </cell>
          <cell r="H121">
            <v>18243</v>
          </cell>
          <cell r="L121">
            <v>0</v>
          </cell>
        </row>
        <row r="122">
          <cell r="A122" t="str">
            <v>110000445</v>
          </cell>
          <cell r="H122">
            <v>2313</v>
          </cell>
          <cell r="L122">
            <v>0</v>
          </cell>
        </row>
        <row r="123">
          <cell r="A123" t="str">
            <v>110000446</v>
          </cell>
          <cell r="H123">
            <v>760</v>
          </cell>
          <cell r="L123">
            <v>0</v>
          </cell>
        </row>
        <row r="124">
          <cell r="A124" t="str">
            <v>110000447</v>
          </cell>
          <cell r="H124">
            <v>2087</v>
          </cell>
          <cell r="L124">
            <v>0</v>
          </cell>
        </row>
        <row r="125">
          <cell r="A125" t="str">
            <v>110000448</v>
          </cell>
          <cell r="H125">
            <v>4114</v>
          </cell>
          <cell r="L125">
            <v>0</v>
          </cell>
        </row>
        <row r="126">
          <cell r="A126" t="str">
            <v>110000450</v>
          </cell>
          <cell r="H126">
            <v>943</v>
          </cell>
          <cell r="L126">
            <v>0</v>
          </cell>
        </row>
        <row r="127">
          <cell r="A127" t="str">
            <v>110000451</v>
          </cell>
          <cell r="H127">
            <v>60570.5</v>
          </cell>
          <cell r="L127">
            <v>0</v>
          </cell>
        </row>
        <row r="128">
          <cell r="A128" t="str">
            <v>110000454</v>
          </cell>
          <cell r="H128">
            <v>542</v>
          </cell>
          <cell r="L128">
            <v>0</v>
          </cell>
        </row>
        <row r="129">
          <cell r="A129" t="str">
            <v>110000455</v>
          </cell>
          <cell r="H129">
            <v>2122</v>
          </cell>
          <cell r="L129">
            <v>0</v>
          </cell>
        </row>
        <row r="130">
          <cell r="A130" t="str">
            <v>110000456</v>
          </cell>
          <cell r="H130">
            <v>1223</v>
          </cell>
          <cell r="L130">
            <v>0</v>
          </cell>
        </row>
        <row r="131">
          <cell r="A131" t="str">
            <v>110000462</v>
          </cell>
          <cell r="H131">
            <v>0.5</v>
          </cell>
          <cell r="L131">
            <v>0</v>
          </cell>
        </row>
        <row r="132">
          <cell r="A132" t="str">
            <v>110000464</v>
          </cell>
          <cell r="H132">
            <v>1830</v>
          </cell>
          <cell r="L132">
            <v>0</v>
          </cell>
        </row>
        <row r="133">
          <cell r="A133" t="str">
            <v>110000464</v>
          </cell>
          <cell r="H133">
            <v>9450</v>
          </cell>
          <cell r="L133">
            <v>0</v>
          </cell>
        </row>
        <row r="134">
          <cell r="A134" t="str">
            <v>110000464</v>
          </cell>
          <cell r="H134">
            <v>81143</v>
          </cell>
          <cell r="L134">
            <v>0</v>
          </cell>
        </row>
        <row r="135">
          <cell r="A135" t="str">
            <v>110000466</v>
          </cell>
          <cell r="H135">
            <v>665.5</v>
          </cell>
          <cell r="L135">
            <v>40613.63636363636</v>
          </cell>
        </row>
        <row r="136">
          <cell r="A136" t="str">
            <v>110000466</v>
          </cell>
          <cell r="H136">
            <v>16697.7</v>
          </cell>
          <cell r="L136">
            <v>40613.63636363636</v>
          </cell>
        </row>
        <row r="137">
          <cell r="A137" t="str">
            <v>110000468</v>
          </cell>
          <cell r="H137">
            <v>74800</v>
          </cell>
          <cell r="L137">
            <v>0</v>
          </cell>
        </row>
        <row r="138">
          <cell r="A138" t="str">
            <v>110000469</v>
          </cell>
          <cell r="H138">
            <v>6200</v>
          </cell>
          <cell r="L138">
            <v>0</v>
          </cell>
        </row>
        <row r="139">
          <cell r="A139" t="str">
            <v>110000470</v>
          </cell>
          <cell r="H139">
            <v>200</v>
          </cell>
          <cell r="L139">
            <v>4.5454545454545459</v>
          </cell>
        </row>
        <row r="140">
          <cell r="A140" t="str">
            <v>110000470</v>
          </cell>
          <cell r="H140">
            <v>1300</v>
          </cell>
          <cell r="L140">
            <v>4.5454545454545459</v>
          </cell>
        </row>
        <row r="141">
          <cell r="A141" t="str">
            <v>110000471</v>
          </cell>
          <cell r="H141">
            <v>10696</v>
          </cell>
          <cell r="L141">
            <v>6090.909090909091</v>
          </cell>
        </row>
        <row r="142">
          <cell r="A142" t="str">
            <v>110000472</v>
          </cell>
          <cell r="H142">
            <v>8148.8</v>
          </cell>
          <cell r="L142">
            <v>3018.6363636363635</v>
          </cell>
        </row>
        <row r="143">
          <cell r="A143" t="str">
            <v>110000477</v>
          </cell>
          <cell r="H143">
            <v>4902</v>
          </cell>
          <cell r="L143">
            <v>0</v>
          </cell>
        </row>
        <row r="144">
          <cell r="A144" t="str">
            <v>110000480</v>
          </cell>
          <cell r="H144">
            <v>1989</v>
          </cell>
          <cell r="L144">
            <v>0</v>
          </cell>
        </row>
        <row r="145">
          <cell r="A145" t="str">
            <v>110000481</v>
          </cell>
          <cell r="H145">
            <v>1761</v>
          </cell>
          <cell r="L145">
            <v>19318.18181818182</v>
          </cell>
        </row>
        <row r="146">
          <cell r="A146" t="str">
            <v>110000481</v>
          </cell>
          <cell r="H146">
            <v>419261.5</v>
          </cell>
          <cell r="L146">
            <v>19318.18181818182</v>
          </cell>
        </row>
        <row r="147">
          <cell r="A147" t="str">
            <v>110000481</v>
          </cell>
          <cell r="H147">
            <v>1350</v>
          </cell>
          <cell r="L147">
            <v>19318.18181818182</v>
          </cell>
        </row>
        <row r="148">
          <cell r="A148" t="str">
            <v>110000482</v>
          </cell>
          <cell r="H148">
            <v>5056.2</v>
          </cell>
          <cell r="L148">
            <v>34.545454545454547</v>
          </cell>
        </row>
        <row r="149">
          <cell r="A149" t="str">
            <v>110000483</v>
          </cell>
          <cell r="H149">
            <v>74205.5</v>
          </cell>
          <cell r="L149">
            <v>353.63636363636363</v>
          </cell>
        </row>
        <row r="150">
          <cell r="A150" t="str">
            <v>110000484</v>
          </cell>
          <cell r="H150">
            <v>1100</v>
          </cell>
          <cell r="L150">
            <v>0</v>
          </cell>
        </row>
        <row r="151">
          <cell r="A151" t="str">
            <v>110000484</v>
          </cell>
          <cell r="H151">
            <v>47910.9</v>
          </cell>
          <cell r="L151">
            <v>0</v>
          </cell>
        </row>
        <row r="152">
          <cell r="A152" t="str">
            <v>110000486</v>
          </cell>
          <cell r="H152">
            <v>6600</v>
          </cell>
          <cell r="L152">
            <v>0</v>
          </cell>
        </row>
        <row r="153">
          <cell r="A153" t="str">
            <v>110000487</v>
          </cell>
          <cell r="H153">
            <v>13200</v>
          </cell>
          <cell r="L153">
            <v>0</v>
          </cell>
        </row>
        <row r="154">
          <cell r="A154" t="str">
            <v>110000488</v>
          </cell>
          <cell r="H154">
            <v>49491</v>
          </cell>
          <cell r="L154">
            <v>0</v>
          </cell>
        </row>
        <row r="155">
          <cell r="A155" t="str">
            <v>110000491</v>
          </cell>
          <cell r="H155">
            <v>1100</v>
          </cell>
          <cell r="L155">
            <v>0</v>
          </cell>
        </row>
        <row r="156">
          <cell r="A156" t="str">
            <v>110000492</v>
          </cell>
          <cell r="H156">
            <v>7592.75</v>
          </cell>
          <cell r="L156">
            <v>0</v>
          </cell>
        </row>
        <row r="157">
          <cell r="A157" t="str">
            <v>110000492</v>
          </cell>
          <cell r="H157">
            <v>10622</v>
          </cell>
          <cell r="L157">
            <v>0</v>
          </cell>
        </row>
        <row r="158">
          <cell r="A158" t="str">
            <v>110000492</v>
          </cell>
          <cell r="H158">
            <v>326519.5</v>
          </cell>
          <cell r="L158">
            <v>0</v>
          </cell>
        </row>
        <row r="159">
          <cell r="A159" t="str">
            <v>110000493</v>
          </cell>
          <cell r="H159">
            <v>5500</v>
          </cell>
          <cell r="L159">
            <v>0</v>
          </cell>
        </row>
        <row r="160">
          <cell r="A160" t="str">
            <v>110000493</v>
          </cell>
          <cell r="H160">
            <v>2200</v>
          </cell>
          <cell r="L160">
            <v>0</v>
          </cell>
        </row>
        <row r="161">
          <cell r="A161" t="str">
            <v>110000493</v>
          </cell>
          <cell r="H161">
            <v>37400</v>
          </cell>
          <cell r="L161">
            <v>0</v>
          </cell>
        </row>
        <row r="162">
          <cell r="A162" t="str">
            <v>110000495</v>
          </cell>
          <cell r="H162">
            <v>50</v>
          </cell>
          <cell r="L162">
            <v>113.63636363636364</v>
          </cell>
        </row>
        <row r="163">
          <cell r="A163" t="str">
            <v>110000495</v>
          </cell>
          <cell r="H163">
            <v>15807.5</v>
          </cell>
          <cell r="L163">
            <v>113.63636363636364</v>
          </cell>
        </row>
        <row r="164">
          <cell r="A164" t="str">
            <v>110000495</v>
          </cell>
          <cell r="H164">
            <v>25</v>
          </cell>
          <cell r="L164">
            <v>113.63636363636364</v>
          </cell>
        </row>
        <row r="165">
          <cell r="A165" t="str">
            <v>110000496</v>
          </cell>
          <cell r="H165">
            <v>1473</v>
          </cell>
          <cell r="L165">
            <v>2272.7272727272725</v>
          </cell>
        </row>
        <row r="166">
          <cell r="A166" t="str">
            <v>110000497</v>
          </cell>
          <cell r="H166">
            <v>4400</v>
          </cell>
          <cell r="L166">
            <v>250</v>
          </cell>
        </row>
        <row r="167">
          <cell r="A167" t="str">
            <v>110000497</v>
          </cell>
          <cell r="H167">
            <v>1100</v>
          </cell>
          <cell r="L167">
            <v>250</v>
          </cell>
        </row>
        <row r="168">
          <cell r="A168" t="str">
            <v>110000498</v>
          </cell>
          <cell r="H168">
            <v>2200</v>
          </cell>
          <cell r="L168">
            <v>0</v>
          </cell>
        </row>
        <row r="169">
          <cell r="A169" t="str">
            <v>110000499</v>
          </cell>
          <cell r="H169">
            <v>34080</v>
          </cell>
          <cell r="L169">
            <v>100</v>
          </cell>
        </row>
        <row r="170">
          <cell r="A170" t="str">
            <v>110000500</v>
          </cell>
          <cell r="H170">
            <v>17597</v>
          </cell>
          <cell r="L170">
            <v>0</v>
          </cell>
        </row>
        <row r="171">
          <cell r="A171" t="str">
            <v>110000502</v>
          </cell>
          <cell r="H171">
            <v>200</v>
          </cell>
          <cell r="L171">
            <v>1050.6363636363637</v>
          </cell>
        </row>
        <row r="172">
          <cell r="A172" t="str">
            <v>110000502</v>
          </cell>
          <cell r="H172">
            <v>2375</v>
          </cell>
          <cell r="L172">
            <v>1050.6363636363637</v>
          </cell>
        </row>
        <row r="173">
          <cell r="A173" t="str">
            <v>110000503</v>
          </cell>
          <cell r="H173">
            <v>499.5</v>
          </cell>
          <cell r="L173">
            <v>1954.5454545454545</v>
          </cell>
        </row>
        <row r="174">
          <cell r="A174" t="str">
            <v>110000506</v>
          </cell>
          <cell r="H174">
            <v>2154</v>
          </cell>
          <cell r="L174">
            <v>78100</v>
          </cell>
        </row>
        <row r="175">
          <cell r="A175" t="str">
            <v>110000507</v>
          </cell>
          <cell r="H175">
            <v>1397</v>
          </cell>
          <cell r="L175">
            <v>0</v>
          </cell>
        </row>
        <row r="176">
          <cell r="A176" t="str">
            <v>110000508</v>
          </cell>
          <cell r="H176">
            <v>773</v>
          </cell>
          <cell r="L176">
            <v>454.54545454545456</v>
          </cell>
        </row>
        <row r="177">
          <cell r="A177" t="str">
            <v>110000510</v>
          </cell>
          <cell r="H177">
            <v>4200</v>
          </cell>
          <cell r="L177">
            <v>0</v>
          </cell>
        </row>
        <row r="178">
          <cell r="A178" t="str">
            <v>110000510</v>
          </cell>
          <cell r="H178">
            <v>24148</v>
          </cell>
          <cell r="L178">
            <v>0</v>
          </cell>
        </row>
      </sheetData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ình bày"/>
      <sheetName val="KH 2025"/>
      <sheetName val="Dự báo"/>
      <sheetName val="tồn 30.11"/>
      <sheetName val="tồn TP 17.01"/>
      <sheetName val="data"/>
    </sheetNames>
    <sheetDataSet>
      <sheetData sheetId="0">
        <row r="7">
          <cell r="B7" t="str">
            <v>110000354</v>
          </cell>
        </row>
        <row r="8">
          <cell r="B8" t="str">
            <v>110000355</v>
          </cell>
        </row>
        <row r="9">
          <cell r="B9" t="str">
            <v>110000332</v>
          </cell>
        </row>
        <row r="10">
          <cell r="B10" t="str">
            <v>110000359</v>
          </cell>
        </row>
        <row r="11">
          <cell r="B11" t="str">
            <v>110000329</v>
          </cell>
        </row>
        <row r="12">
          <cell r="B12" t="str">
            <v>110000497</v>
          </cell>
        </row>
        <row r="13">
          <cell r="B13" t="str">
            <v>110000499</v>
          </cell>
        </row>
        <row r="14">
          <cell r="B14" t="str">
            <v>110000503</v>
          </cell>
        </row>
        <row r="15">
          <cell r="B15" t="str">
            <v>110000506</v>
          </cell>
        </row>
        <row r="16">
          <cell r="B16" t="str">
            <v>110000483</v>
          </cell>
        </row>
        <row r="18">
          <cell r="B18" t="str">
            <v>110000378</v>
          </cell>
        </row>
        <row r="19">
          <cell r="B19" t="str">
            <v>110000377</v>
          </cell>
        </row>
        <row r="20">
          <cell r="B20" t="str">
            <v>110000383</v>
          </cell>
        </row>
        <row r="21">
          <cell r="B21" t="str">
            <v>110000335</v>
          </cell>
        </row>
        <row r="22">
          <cell r="B22" t="str">
            <v>110000358</v>
          </cell>
        </row>
        <row r="23">
          <cell r="B23" t="str">
            <v>110000468</v>
          </cell>
        </row>
        <row r="24">
          <cell r="B24" t="str">
            <v>110000333</v>
          </cell>
        </row>
        <row r="25">
          <cell r="B25" t="str">
            <v>110000376</v>
          </cell>
        </row>
        <row r="26">
          <cell r="B26" t="str">
            <v>110000331</v>
          </cell>
        </row>
        <row r="27">
          <cell r="B27" t="str">
            <v>110000330</v>
          </cell>
        </row>
        <row r="28">
          <cell r="B28" t="str">
            <v>110000475</v>
          </cell>
        </row>
        <row r="30">
          <cell r="B30" t="str">
            <v>110000466</v>
          </cell>
        </row>
        <row r="31">
          <cell r="B31" t="str">
            <v>110000436</v>
          </cell>
        </row>
        <row r="32">
          <cell r="B32" t="str">
            <v>110000382</v>
          </cell>
        </row>
        <row r="33">
          <cell r="B33" t="str">
            <v>110000384</v>
          </cell>
        </row>
        <row r="34">
          <cell r="B34" t="str">
            <v>110000381</v>
          </cell>
        </row>
        <row r="35">
          <cell r="B35" t="str">
            <v>110000387</v>
          </cell>
        </row>
        <row r="36">
          <cell r="B36" t="str">
            <v>110000464</v>
          </cell>
        </row>
        <row r="37">
          <cell r="B37" t="str">
            <v>110000430</v>
          </cell>
        </row>
        <row r="40">
          <cell r="B40" t="str">
            <v>110000339</v>
          </cell>
        </row>
        <row r="41">
          <cell r="B41" t="str">
            <v>110000426</v>
          </cell>
        </row>
        <row r="42">
          <cell r="B42" t="str">
            <v>110000374</v>
          </cell>
        </row>
        <row r="43">
          <cell r="B43" t="str">
            <v>110000443</v>
          </cell>
        </row>
        <row r="44">
          <cell r="B44" t="str">
            <v>110000481</v>
          </cell>
        </row>
        <row r="45">
          <cell r="B45" t="str">
            <v>110000425</v>
          </cell>
        </row>
        <row r="46">
          <cell r="B46" t="str">
            <v>110000495</v>
          </cell>
        </row>
        <row r="48">
          <cell r="B48" t="str">
            <v>110000385</v>
          </cell>
        </row>
        <row r="49">
          <cell r="B49" t="str">
            <v>110000345</v>
          </cell>
        </row>
        <row r="50">
          <cell r="B50" t="str">
            <v>110000427</v>
          </cell>
        </row>
        <row r="51">
          <cell r="B51" t="str">
            <v>110000343</v>
          </cell>
        </row>
        <row r="52">
          <cell r="B52" t="str">
            <v>110000336</v>
          </cell>
        </row>
        <row r="53">
          <cell r="B53" t="str">
            <v>110000337</v>
          </cell>
        </row>
        <row r="54">
          <cell r="B54" t="str">
            <v>110000433</v>
          </cell>
        </row>
        <row r="55">
          <cell r="B55" t="str">
            <v>110000429</v>
          </cell>
        </row>
        <row r="56">
          <cell r="B56" t="str">
            <v>110000432</v>
          </cell>
        </row>
        <row r="58">
          <cell r="B58" t="str">
            <v>110000341</v>
          </cell>
        </row>
        <row r="61">
          <cell r="B61" t="str">
            <v>110000360</v>
          </cell>
        </row>
        <row r="62">
          <cell r="B62" t="str">
            <v>110000366</v>
          </cell>
        </row>
        <row r="63">
          <cell r="B63" t="str">
            <v>110000361</v>
          </cell>
        </row>
        <row r="64">
          <cell r="B64" t="str">
            <v>110000496</v>
          </cell>
        </row>
        <row r="65">
          <cell r="B65" t="str">
            <v>110000364</v>
          </cell>
        </row>
        <row r="66">
          <cell r="B66" t="str">
            <v>110000365</v>
          </cell>
        </row>
        <row r="67">
          <cell r="B67" t="str">
            <v>110000431</v>
          </cell>
        </row>
        <row r="68">
          <cell r="B68" t="str">
            <v>110000363</v>
          </cell>
        </row>
        <row r="70">
          <cell r="B70" t="str">
            <v>110000373</v>
          </cell>
        </row>
        <row r="74">
          <cell r="B74" t="str">
            <v>110000407</v>
          </cell>
        </row>
        <row r="75">
          <cell r="B75" t="str">
            <v>110000409</v>
          </cell>
        </row>
        <row r="76">
          <cell r="B76" t="str">
            <v>110000410</v>
          </cell>
        </row>
        <row r="77">
          <cell r="B77" t="str">
            <v>110000411</v>
          </cell>
        </row>
        <row r="78">
          <cell r="B78" t="str">
            <v>110000408</v>
          </cell>
        </row>
        <row r="79">
          <cell r="B79" t="str">
            <v>110000412</v>
          </cell>
        </row>
        <row r="80">
          <cell r="B80" t="str">
            <v>110000413</v>
          </cell>
        </row>
        <row r="82">
          <cell r="B82" t="str">
            <v>110000469</v>
          </cell>
        </row>
        <row r="86">
          <cell r="B86" t="str">
            <v>110000389</v>
          </cell>
        </row>
        <row r="87">
          <cell r="B87" t="str">
            <v>110000471</v>
          </cell>
        </row>
        <row r="88">
          <cell r="B88" t="str">
            <v>110000472</v>
          </cell>
        </row>
        <row r="89">
          <cell r="B89" t="str">
            <v>110000435</v>
          </cell>
        </row>
        <row r="90">
          <cell r="B90" t="str">
            <v>110000508</v>
          </cell>
        </row>
        <row r="91">
          <cell r="B91" t="str">
            <v>110000392</v>
          </cell>
        </row>
        <row r="92">
          <cell r="B92" t="str">
            <v>110000482</v>
          </cell>
        </row>
        <row r="93">
          <cell r="B93" t="str">
            <v>110000394</v>
          </cell>
        </row>
        <row r="94">
          <cell r="B94" t="str">
            <v>110000470</v>
          </cell>
        </row>
        <row r="96">
          <cell r="B96" t="str">
            <v>110000367</v>
          </cell>
        </row>
        <row r="97">
          <cell r="B97" t="str">
            <v>110000369</v>
          </cell>
        </row>
        <row r="98">
          <cell r="B98" t="str">
            <v>110000370</v>
          </cell>
        </row>
        <row r="99">
          <cell r="B99" t="str">
            <v>110000388</v>
          </cell>
        </row>
        <row r="100">
          <cell r="B100" t="str">
            <v>110000390</v>
          </cell>
        </row>
        <row r="101">
          <cell r="B101" t="str">
            <v>110000391</v>
          </cell>
        </row>
        <row r="102">
          <cell r="B102" t="str">
            <v>110000393</v>
          </cell>
        </row>
        <row r="103">
          <cell r="B103" t="str">
            <v>110000441</v>
          </cell>
        </row>
        <row r="104">
          <cell r="B104" t="str">
            <v>110000371</v>
          </cell>
        </row>
        <row r="107">
          <cell r="B107" t="str">
            <v>110000421</v>
          </cell>
        </row>
        <row r="108">
          <cell r="B108" t="str">
            <v>110000423</v>
          </cell>
        </row>
        <row r="111">
          <cell r="B111" t="str">
            <v>110000422</v>
          </cell>
        </row>
        <row r="112">
          <cell r="B112" t="str">
            <v>110000439</v>
          </cell>
        </row>
        <row r="113">
          <cell r="B113" t="str">
            <v>110000424</v>
          </cell>
        </row>
      </sheetData>
      <sheetData sheetId="1" refreshError="1"/>
      <sheetData sheetId="2" refreshError="1"/>
      <sheetData sheetId="3" refreshError="1"/>
      <sheetData sheetId="4">
        <row r="1">
          <cell r="H1">
            <v>11197105.649999999</v>
          </cell>
        </row>
        <row r="2">
          <cell r="A2" t="str">
            <v>Material</v>
          </cell>
          <cell r="H2" t="str">
            <v>Tồn 17/01</v>
          </cell>
          <cell r="L2" t="str">
            <v>SL bán BQ/ tháng</v>
          </cell>
        </row>
        <row r="3">
          <cell r="A3" t="str">
            <v>110000329</v>
          </cell>
          <cell r="H3">
            <v>197138</v>
          </cell>
          <cell r="L3">
            <v>24108.333333333332</v>
          </cell>
        </row>
        <row r="4">
          <cell r="A4" t="str">
            <v>110000329</v>
          </cell>
          <cell r="H4">
            <v>207383.3</v>
          </cell>
          <cell r="L4">
            <v>24108.333333333332</v>
          </cell>
        </row>
        <row r="5">
          <cell r="A5" t="str">
            <v>110000332</v>
          </cell>
          <cell r="H5">
            <v>84700</v>
          </cell>
          <cell r="L5">
            <v>534049.4916666667</v>
          </cell>
        </row>
        <row r="6">
          <cell r="A6" t="str">
            <v>110000332</v>
          </cell>
          <cell r="H6">
            <v>831419.4</v>
          </cell>
          <cell r="L6">
            <v>534049.4916666667</v>
          </cell>
        </row>
        <row r="7">
          <cell r="A7" t="str">
            <v>110000332</v>
          </cell>
          <cell r="H7">
            <v>252302</v>
          </cell>
          <cell r="L7">
            <v>534049.4916666667</v>
          </cell>
        </row>
        <row r="8">
          <cell r="A8" t="str">
            <v>110000336</v>
          </cell>
          <cell r="H8">
            <v>150</v>
          </cell>
          <cell r="L8">
            <v>0</v>
          </cell>
        </row>
        <row r="9">
          <cell r="A9" t="str">
            <v>110000336</v>
          </cell>
          <cell r="H9">
            <v>11303.9</v>
          </cell>
          <cell r="L9">
            <v>0</v>
          </cell>
        </row>
        <row r="10">
          <cell r="A10" t="str">
            <v>110000337</v>
          </cell>
          <cell r="H10">
            <v>350</v>
          </cell>
          <cell r="L10">
            <v>0</v>
          </cell>
        </row>
        <row r="11">
          <cell r="A11" t="str">
            <v>110000339</v>
          </cell>
          <cell r="H11">
            <v>19752.3</v>
          </cell>
          <cell r="L11">
            <v>112733.33333333333</v>
          </cell>
        </row>
        <row r="12">
          <cell r="A12" t="str">
            <v>110000339</v>
          </cell>
          <cell r="H12">
            <v>446355.5</v>
          </cell>
          <cell r="L12">
            <v>112733.33333333333</v>
          </cell>
        </row>
        <row r="13">
          <cell r="A13" t="str">
            <v>110000339</v>
          </cell>
          <cell r="H13">
            <v>12375</v>
          </cell>
          <cell r="L13">
            <v>112733.33333333333</v>
          </cell>
        </row>
        <row r="14">
          <cell r="A14" t="str">
            <v>110000341</v>
          </cell>
          <cell r="H14">
            <v>499.5</v>
          </cell>
          <cell r="L14">
            <v>34610.416666666664</v>
          </cell>
        </row>
        <row r="15">
          <cell r="A15" t="str">
            <v>110000341</v>
          </cell>
          <cell r="H15">
            <v>15000</v>
          </cell>
          <cell r="L15">
            <v>34610.416666666664</v>
          </cell>
        </row>
        <row r="16">
          <cell r="A16" t="str">
            <v>110000341</v>
          </cell>
          <cell r="H16">
            <v>52700.5</v>
          </cell>
          <cell r="L16">
            <v>34610.416666666664</v>
          </cell>
        </row>
        <row r="17">
          <cell r="A17" t="str">
            <v>110000343</v>
          </cell>
          <cell r="H17">
            <v>223</v>
          </cell>
          <cell r="L17">
            <v>0</v>
          </cell>
        </row>
        <row r="18">
          <cell r="A18" t="str">
            <v>110000343</v>
          </cell>
          <cell r="H18">
            <v>752</v>
          </cell>
          <cell r="L18">
            <v>0</v>
          </cell>
        </row>
        <row r="19">
          <cell r="A19" t="str">
            <v>110000343</v>
          </cell>
          <cell r="H19">
            <v>12325</v>
          </cell>
          <cell r="L19">
            <v>0</v>
          </cell>
        </row>
        <row r="20">
          <cell r="A20" t="str">
            <v>110000345</v>
          </cell>
          <cell r="H20">
            <v>3575</v>
          </cell>
          <cell r="L20">
            <v>0</v>
          </cell>
        </row>
        <row r="21">
          <cell r="A21" t="str">
            <v>110000354</v>
          </cell>
          <cell r="H21">
            <v>17600</v>
          </cell>
          <cell r="L21">
            <v>1610552.0833333333</v>
          </cell>
        </row>
        <row r="22">
          <cell r="A22" t="str">
            <v>110000354</v>
          </cell>
          <cell r="H22">
            <v>659810</v>
          </cell>
          <cell r="L22">
            <v>1610552.0833333333</v>
          </cell>
        </row>
        <row r="23">
          <cell r="A23" t="str">
            <v>110000355</v>
          </cell>
          <cell r="H23">
            <v>4400</v>
          </cell>
          <cell r="L23">
            <v>902311.31666666677</v>
          </cell>
        </row>
        <row r="24">
          <cell r="A24" t="str">
            <v>110000355</v>
          </cell>
          <cell r="H24">
            <v>145192.95000000001</v>
          </cell>
          <cell r="L24">
            <v>902311.31666666677</v>
          </cell>
        </row>
        <row r="25">
          <cell r="A25" t="str">
            <v>110000355</v>
          </cell>
          <cell r="H25">
            <v>89990.8</v>
          </cell>
          <cell r="L25">
            <v>902311.31666666677</v>
          </cell>
        </row>
        <row r="26">
          <cell r="A26" t="str">
            <v>110000359</v>
          </cell>
          <cell r="H26">
            <v>15400</v>
          </cell>
          <cell r="L26">
            <v>157920.83333333334</v>
          </cell>
        </row>
        <row r="27">
          <cell r="A27" t="str">
            <v>110000359</v>
          </cell>
          <cell r="H27">
            <v>556322</v>
          </cell>
          <cell r="L27">
            <v>157920.83333333334</v>
          </cell>
        </row>
        <row r="28">
          <cell r="A28" t="str">
            <v>110000359</v>
          </cell>
          <cell r="H28">
            <v>937769.7</v>
          </cell>
          <cell r="L28">
            <v>157920.83333333334</v>
          </cell>
        </row>
        <row r="29">
          <cell r="A29" t="str">
            <v>110000359</v>
          </cell>
          <cell r="H29">
            <v>179026</v>
          </cell>
          <cell r="L29">
            <v>157920.83333333334</v>
          </cell>
        </row>
        <row r="30">
          <cell r="A30" t="str">
            <v>110000360</v>
          </cell>
          <cell r="H30">
            <v>50</v>
          </cell>
          <cell r="L30">
            <v>15583.333333333334</v>
          </cell>
        </row>
        <row r="31">
          <cell r="A31" t="str">
            <v>110000360</v>
          </cell>
          <cell r="H31">
            <v>21745</v>
          </cell>
          <cell r="L31">
            <v>15583.333333333334</v>
          </cell>
        </row>
        <row r="32">
          <cell r="A32" t="str">
            <v>110000360</v>
          </cell>
          <cell r="H32">
            <v>11000</v>
          </cell>
          <cell r="L32">
            <v>15583.333333333334</v>
          </cell>
        </row>
        <row r="33">
          <cell r="A33" t="str">
            <v>110000361</v>
          </cell>
          <cell r="H33">
            <v>5003</v>
          </cell>
          <cell r="L33">
            <v>12293.75</v>
          </cell>
        </row>
        <row r="34">
          <cell r="A34" t="str">
            <v>110000361</v>
          </cell>
          <cell r="H34">
            <v>41250</v>
          </cell>
          <cell r="L34">
            <v>12293.75</v>
          </cell>
        </row>
        <row r="35">
          <cell r="A35" t="str">
            <v>110000361</v>
          </cell>
          <cell r="H35">
            <v>5500</v>
          </cell>
          <cell r="L35">
            <v>12293.75</v>
          </cell>
        </row>
        <row r="36">
          <cell r="A36" t="str">
            <v>110000363</v>
          </cell>
          <cell r="H36">
            <v>400</v>
          </cell>
          <cell r="L36">
            <v>452.08333333333331</v>
          </cell>
        </row>
        <row r="37">
          <cell r="A37" t="str">
            <v>110000363</v>
          </cell>
          <cell r="H37">
            <v>244271.9</v>
          </cell>
          <cell r="L37">
            <v>452.08333333333331</v>
          </cell>
        </row>
        <row r="38">
          <cell r="A38" t="str">
            <v>110000364</v>
          </cell>
          <cell r="H38">
            <v>140</v>
          </cell>
          <cell r="L38">
            <v>10325</v>
          </cell>
        </row>
        <row r="39">
          <cell r="A39" t="str">
            <v>110000364</v>
          </cell>
          <cell r="H39">
            <v>28875</v>
          </cell>
          <cell r="L39">
            <v>10325</v>
          </cell>
        </row>
        <row r="40">
          <cell r="A40" t="str">
            <v>110000365</v>
          </cell>
          <cell r="H40">
            <v>14675</v>
          </cell>
          <cell r="L40">
            <v>1333.3333333333333</v>
          </cell>
        </row>
        <row r="41">
          <cell r="A41" t="str">
            <v>110000365</v>
          </cell>
          <cell r="H41">
            <v>46510.400000000001</v>
          </cell>
          <cell r="L41">
            <v>1333.3333333333333</v>
          </cell>
        </row>
        <row r="42">
          <cell r="A42" t="str">
            <v>110000366</v>
          </cell>
          <cell r="H42">
            <v>1098</v>
          </cell>
          <cell r="L42">
            <v>17158.333333333332</v>
          </cell>
        </row>
        <row r="43">
          <cell r="A43" t="str">
            <v>110000367</v>
          </cell>
          <cell r="H43">
            <v>141</v>
          </cell>
          <cell r="L43">
            <v>0</v>
          </cell>
        </row>
        <row r="44">
          <cell r="A44" t="str">
            <v>110000369</v>
          </cell>
          <cell r="H44">
            <v>2677.8</v>
          </cell>
          <cell r="L44">
            <v>0</v>
          </cell>
        </row>
        <row r="45">
          <cell r="A45" t="str">
            <v>110000373</v>
          </cell>
          <cell r="H45">
            <v>6235.4</v>
          </cell>
          <cell r="L45">
            <v>0</v>
          </cell>
        </row>
        <row r="46">
          <cell r="A46" t="str">
            <v>110000374</v>
          </cell>
          <cell r="H46">
            <v>1875</v>
          </cell>
          <cell r="L46">
            <v>33941.666666666664</v>
          </cell>
        </row>
        <row r="47">
          <cell r="A47" t="str">
            <v>110000374</v>
          </cell>
          <cell r="H47">
            <v>310689.40000000002</v>
          </cell>
          <cell r="L47">
            <v>33941.666666666664</v>
          </cell>
        </row>
        <row r="48">
          <cell r="A48" t="str">
            <v>110000376</v>
          </cell>
          <cell r="H48">
            <v>800</v>
          </cell>
          <cell r="L48">
            <v>25</v>
          </cell>
        </row>
        <row r="49">
          <cell r="A49" t="str">
            <v>110000377</v>
          </cell>
          <cell r="H49">
            <v>39600</v>
          </cell>
          <cell r="L49">
            <v>0</v>
          </cell>
        </row>
        <row r="50">
          <cell r="A50" t="str">
            <v>110000377</v>
          </cell>
          <cell r="H50">
            <v>259599.5</v>
          </cell>
          <cell r="L50">
            <v>0</v>
          </cell>
        </row>
        <row r="51">
          <cell r="A51" t="str">
            <v>110000378</v>
          </cell>
          <cell r="H51">
            <v>217800</v>
          </cell>
          <cell r="L51">
            <v>0</v>
          </cell>
        </row>
        <row r="52">
          <cell r="A52" t="str">
            <v>110000378</v>
          </cell>
          <cell r="H52">
            <v>1432197</v>
          </cell>
          <cell r="L52">
            <v>0</v>
          </cell>
        </row>
        <row r="53">
          <cell r="A53" t="str">
            <v>110000381</v>
          </cell>
          <cell r="H53">
            <v>480</v>
          </cell>
          <cell r="L53">
            <v>7335.416666666667</v>
          </cell>
        </row>
        <row r="54">
          <cell r="A54" t="str">
            <v>110000381</v>
          </cell>
          <cell r="H54">
            <v>68232.600000000006</v>
          </cell>
          <cell r="L54">
            <v>7335.416666666667</v>
          </cell>
        </row>
        <row r="55">
          <cell r="A55" t="str">
            <v>110000382</v>
          </cell>
          <cell r="H55">
            <v>1050</v>
          </cell>
          <cell r="L55">
            <v>83.333333333333329</v>
          </cell>
        </row>
        <row r="56">
          <cell r="A56" t="str">
            <v>110000383</v>
          </cell>
          <cell r="H56">
            <v>52800</v>
          </cell>
          <cell r="L56">
            <v>0</v>
          </cell>
        </row>
        <row r="57">
          <cell r="A57" t="str">
            <v>110000384</v>
          </cell>
          <cell r="H57">
            <v>171597.5</v>
          </cell>
          <cell r="L57">
            <v>0</v>
          </cell>
        </row>
        <row r="58">
          <cell r="A58" t="str">
            <v>110000385</v>
          </cell>
          <cell r="H58">
            <v>41250</v>
          </cell>
          <cell r="L58">
            <v>0</v>
          </cell>
        </row>
        <row r="59">
          <cell r="A59" t="str">
            <v>110000387</v>
          </cell>
          <cell r="H59">
            <v>13179.6</v>
          </cell>
          <cell r="L59">
            <v>2.0833333333333335</v>
          </cell>
        </row>
        <row r="60">
          <cell r="A60" t="str">
            <v>110000388</v>
          </cell>
          <cell r="H60">
            <v>69</v>
          </cell>
          <cell r="L60">
            <v>0</v>
          </cell>
        </row>
        <row r="61">
          <cell r="A61" t="str">
            <v>110000388</v>
          </cell>
          <cell r="H61">
            <v>1200</v>
          </cell>
          <cell r="L61">
            <v>0</v>
          </cell>
        </row>
        <row r="62">
          <cell r="A62" t="str">
            <v>110000388</v>
          </cell>
          <cell r="H62">
            <v>1375</v>
          </cell>
          <cell r="L62">
            <v>0</v>
          </cell>
        </row>
        <row r="63">
          <cell r="A63" t="str">
            <v>110000389</v>
          </cell>
          <cell r="H63">
            <v>325</v>
          </cell>
          <cell r="L63">
            <v>8573.3333333333339</v>
          </cell>
        </row>
        <row r="64">
          <cell r="A64" t="str">
            <v>110000389</v>
          </cell>
          <cell r="H64">
            <v>3765</v>
          </cell>
          <cell r="L64">
            <v>8573.3333333333339</v>
          </cell>
        </row>
        <row r="65">
          <cell r="A65" t="str">
            <v>110000392</v>
          </cell>
          <cell r="H65">
            <v>27858</v>
          </cell>
          <cell r="L65">
            <v>60.833333333333336</v>
          </cell>
        </row>
        <row r="66">
          <cell r="A66" t="str">
            <v>110000393</v>
          </cell>
          <cell r="H66">
            <v>43848</v>
          </cell>
          <cell r="L66">
            <v>0</v>
          </cell>
        </row>
        <row r="67">
          <cell r="A67" t="str">
            <v>110000394</v>
          </cell>
          <cell r="H67">
            <v>1370</v>
          </cell>
          <cell r="L67">
            <v>4.166666666666667</v>
          </cell>
        </row>
        <row r="68">
          <cell r="A68" t="str">
            <v>110000407</v>
          </cell>
          <cell r="H68">
            <v>490</v>
          </cell>
          <cell r="L68">
            <v>19297.916666666668</v>
          </cell>
        </row>
        <row r="69">
          <cell r="A69" t="str">
            <v>110000407</v>
          </cell>
          <cell r="H69">
            <v>112238</v>
          </cell>
          <cell r="L69">
            <v>19297.916666666668</v>
          </cell>
        </row>
        <row r="70">
          <cell r="A70" t="str">
            <v>110000408</v>
          </cell>
          <cell r="H70">
            <v>1717</v>
          </cell>
          <cell r="L70">
            <v>44552.083333333336</v>
          </cell>
        </row>
        <row r="71">
          <cell r="A71" t="str">
            <v>110000408</v>
          </cell>
          <cell r="H71">
            <v>174291.20000000001</v>
          </cell>
          <cell r="L71">
            <v>44552.083333333336</v>
          </cell>
        </row>
        <row r="72">
          <cell r="A72" t="str">
            <v>110000408</v>
          </cell>
          <cell r="H72">
            <v>3750</v>
          </cell>
          <cell r="L72">
            <v>44552.083333333336</v>
          </cell>
        </row>
        <row r="73">
          <cell r="A73" t="str">
            <v>110000409</v>
          </cell>
          <cell r="H73">
            <v>80</v>
          </cell>
          <cell r="L73">
            <v>9777.0833333333339</v>
          </cell>
        </row>
        <row r="74">
          <cell r="A74" t="str">
            <v>110000409</v>
          </cell>
          <cell r="H74">
            <v>51523</v>
          </cell>
          <cell r="L74">
            <v>9777.0833333333339</v>
          </cell>
        </row>
        <row r="75">
          <cell r="A75" t="str">
            <v>110000410</v>
          </cell>
          <cell r="H75">
            <v>750</v>
          </cell>
          <cell r="L75">
            <v>10447.916666666666</v>
          </cell>
        </row>
        <row r="76">
          <cell r="A76" t="str">
            <v>110000410</v>
          </cell>
          <cell r="H76">
            <v>24599</v>
          </cell>
          <cell r="L76">
            <v>10447.916666666666</v>
          </cell>
        </row>
        <row r="77">
          <cell r="A77" t="str">
            <v>110000411</v>
          </cell>
          <cell r="H77">
            <v>1500</v>
          </cell>
          <cell r="L77">
            <v>5527.083333333333</v>
          </cell>
        </row>
        <row r="78">
          <cell r="A78" t="str">
            <v>110000411</v>
          </cell>
          <cell r="H78">
            <v>54675</v>
          </cell>
          <cell r="L78">
            <v>5527.083333333333</v>
          </cell>
        </row>
        <row r="79">
          <cell r="A79" t="str">
            <v>110000412</v>
          </cell>
          <cell r="H79">
            <v>920</v>
          </cell>
          <cell r="L79">
            <v>3293.75</v>
          </cell>
        </row>
        <row r="80">
          <cell r="A80" t="str">
            <v>110000412</v>
          </cell>
          <cell r="H80">
            <v>39752</v>
          </cell>
          <cell r="L80">
            <v>3293.75</v>
          </cell>
        </row>
        <row r="81">
          <cell r="A81" t="str">
            <v>110000413</v>
          </cell>
          <cell r="H81">
            <v>500</v>
          </cell>
          <cell r="L81">
            <v>47.916666666666664</v>
          </cell>
        </row>
        <row r="82">
          <cell r="A82" t="str">
            <v>110000413</v>
          </cell>
          <cell r="H82">
            <v>154174.5</v>
          </cell>
          <cell r="L82">
            <v>47.916666666666664</v>
          </cell>
        </row>
        <row r="83">
          <cell r="A83" t="str">
            <v>110000421</v>
          </cell>
          <cell r="H83">
            <v>750</v>
          </cell>
          <cell r="L83">
            <v>3945.8333333333335</v>
          </cell>
        </row>
        <row r="84">
          <cell r="A84" t="str">
            <v>110000421</v>
          </cell>
          <cell r="H84">
            <v>31494</v>
          </cell>
          <cell r="L84">
            <v>3945.8333333333335</v>
          </cell>
        </row>
        <row r="85">
          <cell r="A85" t="str">
            <v>110000421</v>
          </cell>
          <cell r="H85">
            <v>5250</v>
          </cell>
          <cell r="L85">
            <v>3945.8333333333335</v>
          </cell>
        </row>
        <row r="86">
          <cell r="A86" t="str">
            <v>110000422</v>
          </cell>
          <cell r="H86">
            <v>2250</v>
          </cell>
          <cell r="L86">
            <v>0</v>
          </cell>
        </row>
        <row r="87">
          <cell r="A87" t="str">
            <v>110000423</v>
          </cell>
          <cell r="H87">
            <v>3000</v>
          </cell>
          <cell r="L87">
            <v>8.3333333333333339</v>
          </cell>
        </row>
        <row r="88">
          <cell r="A88" t="str">
            <v>110000423</v>
          </cell>
          <cell r="H88">
            <v>120553</v>
          </cell>
          <cell r="L88">
            <v>8.3333333333333339</v>
          </cell>
        </row>
        <row r="89">
          <cell r="A89" t="str">
            <v>110000424</v>
          </cell>
          <cell r="H89">
            <v>750</v>
          </cell>
          <cell r="L89">
            <v>0</v>
          </cell>
        </row>
        <row r="90">
          <cell r="A90" t="str">
            <v>110000425</v>
          </cell>
          <cell r="H90">
            <v>3100</v>
          </cell>
          <cell r="L90">
            <v>5158.333333333333</v>
          </cell>
        </row>
        <row r="91">
          <cell r="A91" t="str">
            <v>110000425</v>
          </cell>
          <cell r="H91">
            <v>120707.5</v>
          </cell>
          <cell r="L91">
            <v>5158.333333333333</v>
          </cell>
        </row>
        <row r="92">
          <cell r="A92" t="str">
            <v>110000425</v>
          </cell>
          <cell r="H92">
            <v>8250</v>
          </cell>
          <cell r="L92">
            <v>5158.333333333333</v>
          </cell>
        </row>
        <row r="93">
          <cell r="A93" t="str">
            <v>110000426</v>
          </cell>
          <cell r="H93">
            <v>5703</v>
          </cell>
          <cell r="L93">
            <v>29906.25</v>
          </cell>
        </row>
        <row r="94">
          <cell r="A94" t="str">
            <v>110000426</v>
          </cell>
          <cell r="H94">
            <v>34844</v>
          </cell>
          <cell r="L94">
            <v>29906.25</v>
          </cell>
        </row>
        <row r="95">
          <cell r="A95" t="str">
            <v>110000427</v>
          </cell>
          <cell r="H95">
            <v>625</v>
          </cell>
          <cell r="L95">
            <v>0</v>
          </cell>
        </row>
        <row r="96">
          <cell r="A96" t="str">
            <v>110000427</v>
          </cell>
          <cell r="H96">
            <v>18149</v>
          </cell>
          <cell r="L96">
            <v>0</v>
          </cell>
        </row>
        <row r="97">
          <cell r="A97" t="str">
            <v>110000428</v>
          </cell>
          <cell r="H97">
            <v>285180</v>
          </cell>
          <cell r="L97">
            <v>128666.66666666667</v>
          </cell>
        </row>
        <row r="98">
          <cell r="A98" t="str">
            <v>110000430</v>
          </cell>
          <cell r="H98">
            <v>37399</v>
          </cell>
          <cell r="L98">
            <v>0</v>
          </cell>
        </row>
        <row r="99">
          <cell r="A99" t="str">
            <v>110000431</v>
          </cell>
          <cell r="H99">
            <v>3448</v>
          </cell>
          <cell r="L99">
            <v>916.66666666666663</v>
          </cell>
        </row>
        <row r="100">
          <cell r="A100" t="str">
            <v>110000435</v>
          </cell>
          <cell r="H100">
            <v>725</v>
          </cell>
          <cell r="L100">
            <v>1292.0833333333333</v>
          </cell>
        </row>
        <row r="101">
          <cell r="A101" t="str">
            <v>110000435</v>
          </cell>
          <cell r="H101">
            <v>1265</v>
          </cell>
          <cell r="L101">
            <v>1292.0833333333333</v>
          </cell>
        </row>
        <row r="102">
          <cell r="A102" t="str">
            <v>110000436</v>
          </cell>
          <cell r="H102">
            <v>34891.5</v>
          </cell>
          <cell r="L102">
            <v>91368.75</v>
          </cell>
        </row>
        <row r="103">
          <cell r="A103" t="str">
            <v>110000436</v>
          </cell>
          <cell r="H103">
            <v>617989.19999999995</v>
          </cell>
          <cell r="L103">
            <v>91368.75</v>
          </cell>
        </row>
        <row r="104">
          <cell r="A104" t="str">
            <v>110000439</v>
          </cell>
          <cell r="H104">
            <v>500</v>
          </cell>
          <cell r="L104">
            <v>0</v>
          </cell>
        </row>
        <row r="105">
          <cell r="A105" t="str">
            <v>110000439</v>
          </cell>
          <cell r="H105">
            <v>5250</v>
          </cell>
          <cell r="L105">
            <v>0</v>
          </cell>
        </row>
        <row r="106">
          <cell r="A106" t="str">
            <v>110000441</v>
          </cell>
          <cell r="H106">
            <v>925.6</v>
          </cell>
          <cell r="L106">
            <v>0</v>
          </cell>
        </row>
        <row r="107">
          <cell r="A107" t="str">
            <v>110000441</v>
          </cell>
          <cell r="H107">
            <v>4200</v>
          </cell>
          <cell r="L107">
            <v>0</v>
          </cell>
        </row>
        <row r="108">
          <cell r="A108" t="str">
            <v>110000442</v>
          </cell>
          <cell r="H108">
            <v>450</v>
          </cell>
          <cell r="L108">
            <v>0</v>
          </cell>
        </row>
        <row r="109">
          <cell r="A109" t="str">
            <v>110000443</v>
          </cell>
          <cell r="H109">
            <v>1749</v>
          </cell>
          <cell r="L109">
            <v>16885.416666666668</v>
          </cell>
        </row>
        <row r="110">
          <cell r="A110" t="str">
            <v>110000443</v>
          </cell>
          <cell r="H110">
            <v>150</v>
          </cell>
          <cell r="L110">
            <v>16885.416666666668</v>
          </cell>
        </row>
        <row r="111">
          <cell r="A111" t="str">
            <v>110000444</v>
          </cell>
          <cell r="H111">
            <v>18243</v>
          </cell>
          <cell r="L111">
            <v>0</v>
          </cell>
        </row>
        <row r="112">
          <cell r="A112" t="str">
            <v>110000446</v>
          </cell>
          <cell r="H112">
            <v>760</v>
          </cell>
          <cell r="L112">
            <v>0</v>
          </cell>
        </row>
        <row r="113">
          <cell r="A113" t="str">
            <v>110000450</v>
          </cell>
          <cell r="H113">
            <v>943</v>
          </cell>
          <cell r="L113">
            <v>0</v>
          </cell>
        </row>
        <row r="114">
          <cell r="A114" t="str">
            <v>110000456</v>
          </cell>
          <cell r="H114">
            <v>1223</v>
          </cell>
          <cell r="L114">
            <v>0</v>
          </cell>
        </row>
        <row r="115">
          <cell r="A115" t="str">
            <v>110000464</v>
          </cell>
          <cell r="H115">
            <v>9450</v>
          </cell>
          <cell r="L115">
            <v>0</v>
          </cell>
        </row>
        <row r="116">
          <cell r="A116" t="str">
            <v>110000464</v>
          </cell>
          <cell r="H116">
            <v>81143</v>
          </cell>
          <cell r="L116">
            <v>0</v>
          </cell>
        </row>
        <row r="117">
          <cell r="A117" t="str">
            <v>110000466</v>
          </cell>
          <cell r="H117">
            <v>16099</v>
          </cell>
          <cell r="L117">
            <v>37229.166666666664</v>
          </cell>
        </row>
        <row r="118">
          <cell r="A118" t="str">
            <v>110000468</v>
          </cell>
          <cell r="H118">
            <v>74800</v>
          </cell>
          <cell r="L118">
            <v>0</v>
          </cell>
        </row>
        <row r="119">
          <cell r="A119" t="str">
            <v>110000469</v>
          </cell>
          <cell r="H119">
            <v>5700</v>
          </cell>
          <cell r="L119">
            <v>0</v>
          </cell>
        </row>
        <row r="120">
          <cell r="A120" t="str">
            <v>110000470</v>
          </cell>
          <cell r="H120">
            <v>200</v>
          </cell>
          <cell r="L120">
            <v>4.166666666666667</v>
          </cell>
        </row>
        <row r="121">
          <cell r="A121" t="str">
            <v>110000470</v>
          </cell>
          <cell r="H121">
            <v>1300</v>
          </cell>
          <cell r="L121">
            <v>4.166666666666667</v>
          </cell>
        </row>
        <row r="122">
          <cell r="A122" t="str">
            <v>110000471</v>
          </cell>
          <cell r="H122">
            <v>9347</v>
          </cell>
          <cell r="L122">
            <v>5583.333333333333</v>
          </cell>
        </row>
        <row r="123">
          <cell r="A123" t="str">
            <v>110000472</v>
          </cell>
          <cell r="H123">
            <v>3877.5</v>
          </cell>
          <cell r="L123">
            <v>2996.25</v>
          </cell>
        </row>
        <row r="124">
          <cell r="A124" t="str">
            <v>110000472</v>
          </cell>
          <cell r="H124">
            <v>4850</v>
          </cell>
          <cell r="L124">
            <v>2996.25</v>
          </cell>
        </row>
        <row r="125">
          <cell r="A125" t="str">
            <v>110000477</v>
          </cell>
          <cell r="H125">
            <v>4902</v>
          </cell>
          <cell r="L125">
            <v>0</v>
          </cell>
        </row>
        <row r="126">
          <cell r="A126" t="str">
            <v>110000481</v>
          </cell>
          <cell r="H126">
            <v>1761</v>
          </cell>
          <cell r="L126">
            <v>19541.666666666668</v>
          </cell>
        </row>
        <row r="127">
          <cell r="A127" t="str">
            <v>110000481</v>
          </cell>
          <cell r="H127">
            <v>397909</v>
          </cell>
          <cell r="L127">
            <v>19541.666666666668</v>
          </cell>
        </row>
        <row r="128">
          <cell r="A128" t="str">
            <v>110000482</v>
          </cell>
          <cell r="H128">
            <v>4120.8999999999996</v>
          </cell>
          <cell r="L128">
            <v>31.666666666666668</v>
          </cell>
        </row>
        <row r="129">
          <cell r="A129" t="str">
            <v>110000482</v>
          </cell>
          <cell r="H129">
            <v>912</v>
          </cell>
          <cell r="L129">
            <v>31.666666666666668</v>
          </cell>
        </row>
        <row r="130">
          <cell r="A130" t="str">
            <v>110000483</v>
          </cell>
          <cell r="H130">
            <v>65404.5</v>
          </cell>
          <cell r="L130">
            <v>965.83333333333337</v>
          </cell>
        </row>
        <row r="131">
          <cell r="A131" t="str">
            <v>110000484</v>
          </cell>
          <cell r="H131">
            <v>5500</v>
          </cell>
          <cell r="L131">
            <v>0</v>
          </cell>
        </row>
        <row r="132">
          <cell r="A132" t="str">
            <v>110000484</v>
          </cell>
          <cell r="H132">
            <v>6595.9</v>
          </cell>
          <cell r="L132">
            <v>0</v>
          </cell>
        </row>
        <row r="133">
          <cell r="A133" t="str">
            <v>110000486</v>
          </cell>
          <cell r="H133">
            <v>2200</v>
          </cell>
          <cell r="L133">
            <v>0</v>
          </cell>
        </row>
        <row r="134">
          <cell r="A134" t="str">
            <v>110000486</v>
          </cell>
          <cell r="H134">
            <v>6600</v>
          </cell>
          <cell r="L134">
            <v>0</v>
          </cell>
        </row>
        <row r="135">
          <cell r="A135" t="str">
            <v>110000487</v>
          </cell>
          <cell r="H135">
            <v>13200</v>
          </cell>
          <cell r="L135">
            <v>0</v>
          </cell>
        </row>
        <row r="136">
          <cell r="A136" t="str">
            <v>110000488</v>
          </cell>
          <cell r="H136">
            <v>16500</v>
          </cell>
          <cell r="L136">
            <v>0</v>
          </cell>
        </row>
        <row r="137">
          <cell r="A137" t="str">
            <v>110000488</v>
          </cell>
          <cell r="H137">
            <v>31891</v>
          </cell>
          <cell r="L137">
            <v>0</v>
          </cell>
        </row>
        <row r="138">
          <cell r="A138" t="str">
            <v>110000492</v>
          </cell>
          <cell r="H138">
            <v>15400</v>
          </cell>
          <cell r="L138">
            <v>0</v>
          </cell>
        </row>
        <row r="139">
          <cell r="A139" t="str">
            <v>110000492</v>
          </cell>
          <cell r="H139">
            <v>4400</v>
          </cell>
          <cell r="L139">
            <v>0</v>
          </cell>
        </row>
        <row r="140">
          <cell r="A140" t="str">
            <v>110000492</v>
          </cell>
          <cell r="H140">
            <v>338264.7</v>
          </cell>
          <cell r="L140">
            <v>0</v>
          </cell>
        </row>
        <row r="141">
          <cell r="A141" t="str">
            <v>110000493</v>
          </cell>
          <cell r="H141">
            <v>1100</v>
          </cell>
          <cell r="L141">
            <v>0</v>
          </cell>
        </row>
        <row r="142">
          <cell r="A142" t="str">
            <v>110000493</v>
          </cell>
          <cell r="H142">
            <v>37396</v>
          </cell>
          <cell r="L142">
            <v>0</v>
          </cell>
        </row>
        <row r="143">
          <cell r="A143" t="str">
            <v>110000495</v>
          </cell>
          <cell r="H143">
            <v>15828</v>
          </cell>
          <cell r="L143">
            <v>104.16666666666667</v>
          </cell>
        </row>
        <row r="144">
          <cell r="A144" t="str">
            <v>110000496</v>
          </cell>
          <cell r="H144">
            <v>1448</v>
          </cell>
          <cell r="L144">
            <v>2083.3333333333335</v>
          </cell>
        </row>
        <row r="145">
          <cell r="A145" t="str">
            <v>110000499</v>
          </cell>
          <cell r="H145">
            <v>34080</v>
          </cell>
          <cell r="L145">
            <v>91.666666666666671</v>
          </cell>
        </row>
        <row r="146">
          <cell r="A146" t="str">
            <v>110000500</v>
          </cell>
          <cell r="H146">
            <v>17597</v>
          </cell>
          <cell r="L146">
            <v>0</v>
          </cell>
        </row>
        <row r="147">
          <cell r="A147" t="str">
            <v>110000506</v>
          </cell>
          <cell r="H147">
            <v>65840</v>
          </cell>
          <cell r="L147">
            <v>71591.666666666672</v>
          </cell>
        </row>
        <row r="148">
          <cell r="A148" t="str">
            <v>110000507</v>
          </cell>
          <cell r="H148">
            <v>1397</v>
          </cell>
          <cell r="L148">
            <v>1666.6666666666667</v>
          </cell>
        </row>
        <row r="149">
          <cell r="A149" t="str">
            <v>110000508</v>
          </cell>
          <cell r="H149">
            <v>518.70000000000005</v>
          </cell>
          <cell r="L149">
            <v>416.66666666666669</v>
          </cell>
        </row>
        <row r="150">
          <cell r="A150" t="str">
            <v>110000509</v>
          </cell>
          <cell r="H150">
            <v>1000</v>
          </cell>
          <cell r="L150">
            <v>341.66666666666669</v>
          </cell>
        </row>
        <row r="151">
          <cell r="A151" t="str">
            <v>110000510</v>
          </cell>
          <cell r="H151">
            <v>32548</v>
          </cell>
          <cell r="L151">
            <v>0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FF298-8B39-4E82-BCAB-69139A8F79EC}">
  <sheetPr>
    <tabColor rgb="FFFF33CC"/>
  </sheetPr>
  <dimension ref="A1:AF120"/>
  <sheetViews>
    <sheetView showGridLines="0" tabSelected="1" zoomScale="70" zoomScaleNormal="70" workbookViewId="0">
      <pane xSplit="3" ySplit="6" topLeftCell="S7" activePane="bottomRight" state="frozen"/>
      <selection pane="topRight" activeCell="D1" sqref="D1"/>
      <selection pane="bottomLeft" activeCell="A7" sqref="A7"/>
      <selection pane="bottomRight" activeCell="W24" sqref="W24"/>
    </sheetView>
  </sheetViews>
  <sheetFormatPr defaultRowHeight="14.5" outlineLevelRow="1"/>
  <cols>
    <col min="1" max="1" width="4.54296875" style="10" customWidth="1"/>
    <col min="2" max="2" width="11.453125" customWidth="1"/>
    <col min="3" max="3" width="27.7265625" bestFit="1" customWidth="1"/>
    <col min="4" max="4" width="8.26953125" style="21" customWidth="1"/>
    <col min="5" max="5" width="15.453125" customWidth="1"/>
    <col min="6" max="6" width="15.54296875" customWidth="1"/>
    <col min="7" max="7" width="7.90625" style="10" customWidth="1"/>
    <col min="8" max="8" width="10.26953125" style="10" customWidth="1"/>
    <col min="9" max="9" width="12.26953125" style="43" customWidth="1"/>
    <col min="10" max="10" width="12.26953125" style="50" customWidth="1"/>
    <col min="11" max="11" width="12.26953125" style="67" customWidth="1"/>
    <col min="12" max="12" width="15.453125" customWidth="1"/>
    <col min="13" max="13" width="20.453125" bestFit="1" customWidth="1"/>
    <col min="14" max="14" width="7.90625" style="10" customWidth="1"/>
    <col min="15" max="15" width="10.26953125" style="10" customWidth="1"/>
    <col min="16" max="16" width="12.26953125" style="43" customWidth="1"/>
    <col min="17" max="17" width="12.26953125" style="50" customWidth="1"/>
    <col min="18" max="18" width="12.26953125" style="67" customWidth="1"/>
    <col min="19" max="19" width="15.453125" customWidth="1"/>
    <col min="20" max="20" width="20.453125" bestFit="1" customWidth="1"/>
    <col min="21" max="21" width="7.90625" style="10" customWidth="1"/>
    <col min="22" max="22" width="10.26953125" style="10" customWidth="1"/>
    <col min="23" max="23" width="12.26953125" style="43" customWidth="1"/>
    <col min="24" max="24" width="12.26953125" style="50" customWidth="1"/>
    <col min="25" max="25" width="12.26953125" style="67" customWidth="1"/>
    <col min="26" max="26" width="15.453125" customWidth="1"/>
    <col min="27" max="27" width="20.453125" bestFit="1" customWidth="1"/>
    <col min="28" max="28" width="8" style="10" customWidth="1"/>
    <col min="29" max="29" width="10.26953125" style="10" customWidth="1"/>
    <col min="30" max="30" width="12.26953125" style="43" customWidth="1"/>
    <col min="31" max="31" width="12.26953125" style="50" customWidth="1"/>
    <col min="32" max="32" width="12.26953125" style="67" customWidth="1"/>
  </cols>
  <sheetData>
    <row r="1" spans="1:32" ht="21">
      <c r="B1" s="17" t="s">
        <v>255</v>
      </c>
    </row>
    <row r="3" spans="1:32">
      <c r="E3" s="159" t="s">
        <v>457</v>
      </c>
      <c r="F3" s="154"/>
      <c r="G3" s="155"/>
      <c r="H3" s="155"/>
      <c r="I3" s="156"/>
      <c r="J3" s="157"/>
      <c r="K3" s="158"/>
      <c r="L3" s="160" t="s">
        <v>458</v>
      </c>
      <c r="M3" s="161"/>
      <c r="N3" s="162"/>
      <c r="O3" s="162"/>
      <c r="P3" s="163"/>
      <c r="Q3" s="164"/>
      <c r="R3" s="165"/>
      <c r="S3" s="166" t="s">
        <v>459</v>
      </c>
      <c r="T3" s="167"/>
      <c r="U3" s="168"/>
      <c r="V3" s="168"/>
      <c r="W3" s="169"/>
      <c r="X3" s="170"/>
      <c r="Y3" s="171"/>
      <c r="Z3" s="172" t="s">
        <v>460</v>
      </c>
      <c r="AA3" s="173"/>
      <c r="AB3" s="174"/>
      <c r="AC3" s="174"/>
      <c r="AD3" s="175"/>
      <c r="AE3" s="176"/>
      <c r="AF3" s="177"/>
    </row>
    <row r="4" spans="1:32" ht="74" customHeight="1">
      <c r="A4" s="11" t="s">
        <v>235</v>
      </c>
      <c r="B4" s="11" t="s">
        <v>236</v>
      </c>
      <c r="C4" s="11" t="s">
        <v>237</v>
      </c>
      <c r="D4" s="11" t="s">
        <v>224</v>
      </c>
      <c r="E4" s="16" t="s">
        <v>419</v>
      </c>
      <c r="F4" s="75" t="s">
        <v>420</v>
      </c>
      <c r="G4" s="27" t="s">
        <v>421</v>
      </c>
      <c r="H4" s="27" t="s">
        <v>284</v>
      </c>
      <c r="I4" s="126" t="s">
        <v>287</v>
      </c>
      <c r="J4" s="127" t="s">
        <v>376</v>
      </c>
      <c r="K4" s="68" t="s">
        <v>301</v>
      </c>
      <c r="L4" s="16" t="s">
        <v>373</v>
      </c>
      <c r="M4" s="75" t="s">
        <v>420</v>
      </c>
      <c r="N4" s="27" t="s">
        <v>421</v>
      </c>
      <c r="O4" s="27" t="s">
        <v>284</v>
      </c>
      <c r="P4" s="126" t="s">
        <v>287</v>
      </c>
      <c r="Q4" s="127" t="s">
        <v>376</v>
      </c>
      <c r="R4" s="68" t="s">
        <v>301</v>
      </c>
      <c r="S4" s="16" t="s">
        <v>419</v>
      </c>
      <c r="T4" s="75" t="s">
        <v>420</v>
      </c>
      <c r="U4" s="27" t="s">
        <v>421</v>
      </c>
      <c r="V4" s="27" t="s">
        <v>284</v>
      </c>
      <c r="W4" s="126" t="s">
        <v>287</v>
      </c>
      <c r="X4" s="127" t="s">
        <v>376</v>
      </c>
      <c r="Y4" s="68" t="s">
        <v>301</v>
      </c>
      <c r="Z4" s="16" t="s">
        <v>419</v>
      </c>
      <c r="AA4" s="75" t="s">
        <v>420</v>
      </c>
      <c r="AB4" s="27" t="s">
        <v>421</v>
      </c>
      <c r="AC4" s="27" t="s">
        <v>284</v>
      </c>
      <c r="AD4" s="126" t="s">
        <v>287</v>
      </c>
      <c r="AE4" s="127" t="s">
        <v>376</v>
      </c>
      <c r="AF4" s="68" t="s">
        <v>301</v>
      </c>
    </row>
    <row r="5" spans="1:32" s="18" customFormat="1" ht="15.5">
      <c r="A5" s="14" t="s">
        <v>254</v>
      </c>
      <c r="B5" s="15" t="s">
        <v>111</v>
      </c>
      <c r="C5" s="15"/>
      <c r="D5" s="22"/>
      <c r="E5" s="15"/>
      <c r="F5" s="15"/>
      <c r="G5" s="14"/>
      <c r="H5" s="14"/>
      <c r="I5" s="44"/>
      <c r="J5" s="51"/>
      <c r="K5" s="69"/>
      <c r="L5" s="15"/>
      <c r="M5" s="15"/>
      <c r="N5" s="14"/>
      <c r="O5" s="14"/>
      <c r="P5" s="44"/>
      <c r="Q5" s="51"/>
      <c r="R5" s="69"/>
      <c r="S5" s="15"/>
      <c r="T5" s="15"/>
      <c r="U5" s="14"/>
      <c r="V5" s="14"/>
      <c r="W5" s="44"/>
      <c r="X5" s="51"/>
      <c r="Y5" s="69"/>
      <c r="Z5" s="15"/>
      <c r="AA5" s="15"/>
      <c r="AB5" s="14"/>
      <c r="AC5" s="14"/>
      <c r="AD5" s="44"/>
      <c r="AE5" s="51"/>
      <c r="AF5" s="69"/>
    </row>
    <row r="6" spans="1:32" s="18" customFormat="1" ht="15.5">
      <c r="A6" s="12" t="s">
        <v>239</v>
      </c>
      <c r="B6" s="13" t="s">
        <v>240</v>
      </c>
      <c r="C6" s="13"/>
      <c r="D6" s="23"/>
      <c r="E6" s="13"/>
      <c r="F6" s="13"/>
      <c r="G6" s="12"/>
      <c r="H6" s="12"/>
      <c r="I6" s="45"/>
      <c r="J6" s="52"/>
      <c r="K6" s="70"/>
      <c r="L6" s="13"/>
      <c r="M6" s="13"/>
      <c r="N6" s="12"/>
      <c r="O6" s="12"/>
      <c r="P6" s="45"/>
      <c r="Q6" s="52"/>
      <c r="R6" s="70"/>
      <c r="S6" s="13"/>
      <c r="T6" s="13"/>
      <c r="U6" s="12"/>
      <c r="V6" s="12"/>
      <c r="W6" s="45"/>
      <c r="X6" s="52"/>
      <c r="Y6" s="70"/>
      <c r="Z6" s="13"/>
      <c r="AA6" s="13"/>
      <c r="AB6" s="12"/>
      <c r="AC6" s="12"/>
      <c r="AD6" s="45"/>
      <c r="AE6" s="52"/>
      <c r="AF6" s="70"/>
    </row>
    <row r="7" spans="1:32" outlineLevel="1">
      <c r="A7" s="9">
        <v>1</v>
      </c>
      <c r="B7" s="4" t="s">
        <v>130</v>
      </c>
      <c r="C7" s="4" t="s">
        <v>16</v>
      </c>
      <c r="D7" s="24"/>
      <c r="E7" s="5">
        <f>VLOOKUP($B7,'Trình bày T1'!$B:$M,6,0)</f>
        <v>1200</v>
      </c>
      <c r="F7" s="40">
        <f>VLOOKUP($B7,'Trình bày T1'!$B:$M,7,0)</f>
        <v>1200</v>
      </c>
      <c r="G7" s="46">
        <f>F7-E7</f>
        <v>0</v>
      </c>
      <c r="H7" s="42">
        <f>VLOOKUP($B9,'Trình bày T1'!$B:$M,9,0)</f>
        <v>1157.9867040243741</v>
      </c>
      <c r="I7" s="46">
        <f>(F7-H7)</f>
        <v>42.013295975625851</v>
      </c>
      <c r="J7" s="53">
        <f>+I7/F7</f>
        <v>3.5011079979688213E-2</v>
      </c>
      <c r="K7" s="71">
        <f>VLOOKUP($B12,'Trình bày T1'!$B:$M,12,0)</f>
        <v>1440</v>
      </c>
      <c r="L7" s="5">
        <f>VLOOKUP($B7,'Trình bày T2'!$B:$M,6,0)</f>
        <v>1160</v>
      </c>
      <c r="M7" s="40">
        <f>VLOOKUP($B7,'Trình bày T2'!$B:$M,7,0)</f>
        <v>1160</v>
      </c>
      <c r="N7" s="46">
        <f>M7-L7</f>
        <v>0</v>
      </c>
      <c r="O7" s="42">
        <f>VLOOKUP($B9,'Trình bày T2'!$B:$M,9,0)</f>
        <v>1111</v>
      </c>
      <c r="P7" s="46">
        <f>(M7-O7)</f>
        <v>49</v>
      </c>
      <c r="Q7" s="53">
        <f>+P7/M7</f>
        <v>4.2241379310344829E-2</v>
      </c>
      <c r="R7" s="71">
        <f>VLOOKUP($B12,'Trình bày T2'!$B:$M,12,0)</f>
        <v>0</v>
      </c>
      <c r="S7" s="5">
        <f>VLOOKUP($B7,'Trình bày T3'!$B:$M,6,0)</f>
        <v>1160</v>
      </c>
      <c r="T7" s="40">
        <f>VLOOKUP($B7,'Trình bày T3'!$B:$M,7,0)</f>
        <v>1160</v>
      </c>
      <c r="U7" s="46">
        <f>T7-S7</f>
        <v>0</v>
      </c>
      <c r="V7" s="42">
        <f>VLOOKUP($B9,'Trình bày T3'!$B:$M,9,0)</f>
        <v>1113.7705258932212</v>
      </c>
      <c r="W7" s="46">
        <f>(T7-V7)</f>
        <v>46.229474106778753</v>
      </c>
      <c r="X7" s="53">
        <f>+W7/T7</f>
        <v>3.9852994919636855E-2</v>
      </c>
      <c r="Y7" s="71" t="e">
        <f>VLOOKUP($B12,'Trình bày T3'!$B:$M,12,0)</f>
        <v>#N/A</v>
      </c>
      <c r="Z7" s="5">
        <f>VLOOKUP($B7,'Trình bày T4'!$B:$M,6,0)</f>
        <v>1160</v>
      </c>
      <c r="AA7" s="40">
        <f>VLOOKUP($B7,'Trình bày T4'!$B:$M,7,0)</f>
        <v>1280</v>
      </c>
      <c r="AB7" s="46">
        <f>AA7-Z7</f>
        <v>120</v>
      </c>
      <c r="AC7" s="42">
        <f>VLOOKUP($B9,'Trình bày T4'!$B:$M,9,0)</f>
        <v>1136</v>
      </c>
      <c r="AD7" s="46">
        <f>(AA7-AC7)</f>
        <v>144</v>
      </c>
      <c r="AE7" s="53">
        <f>+AD7/AA7</f>
        <v>0.1125</v>
      </c>
      <c r="AF7" s="71">
        <f>VLOOKUP($B12,'Trình bày T4'!$B:$M,12,0)</f>
        <v>0</v>
      </c>
    </row>
    <row r="8" spans="1:32" outlineLevel="1">
      <c r="A8" s="9">
        <f>+A7+1</f>
        <v>2</v>
      </c>
      <c r="B8" s="4" t="s">
        <v>131</v>
      </c>
      <c r="C8" s="4" t="s">
        <v>17</v>
      </c>
      <c r="D8" s="24"/>
      <c r="E8" s="5">
        <f>VLOOKUP($B8,'Trình bày T1'!$B:$M,6,0)</f>
        <v>1230</v>
      </c>
      <c r="F8" s="40">
        <f>VLOOKUP($B8,'Trình bày T1'!$B:$M,7,0)</f>
        <v>1230</v>
      </c>
      <c r="G8" s="46">
        <f t="shared" ref="G8:G16" si="0">F8-E8</f>
        <v>0</v>
      </c>
      <c r="H8" s="42">
        <f>VLOOKUP($B8,'Trình bày T1'!$B:$M,9,0)</f>
        <v>1096.8836793746136</v>
      </c>
      <c r="I8" s="46">
        <f t="shared" ref="I8:I16" si="1">(F8-H8)</f>
        <v>133.11632062538638</v>
      </c>
      <c r="J8" s="53">
        <f t="shared" ref="J8:J16" si="2">+I8/F8</f>
        <v>0.10822465091494828</v>
      </c>
      <c r="K8" s="71">
        <f>VLOOKUP($B8,'Trình bày T1'!$B:$M,12,0)</f>
        <v>1210</v>
      </c>
      <c r="L8" s="5">
        <f>VLOOKUP($B8,'Trình bày T2'!$B:$M,6,0)</f>
        <v>1190</v>
      </c>
      <c r="M8" s="40">
        <f>VLOOKUP($B8,'Trình bày T2'!$B:$M,7,0)</f>
        <v>1190</v>
      </c>
      <c r="N8" s="46">
        <f t="shared" ref="N8:N16" si="3">M8-L8</f>
        <v>0</v>
      </c>
      <c r="O8" s="42">
        <f>VLOOKUP($B8,'Trình bày T2'!$B:$M,9,0)</f>
        <v>1056</v>
      </c>
      <c r="P8" s="46">
        <f t="shared" ref="P8:P16" si="4">(M8-O8)</f>
        <v>134</v>
      </c>
      <c r="Q8" s="53">
        <f t="shared" ref="Q8:Q16" si="5">+P8/M8</f>
        <v>0.11260504201680673</v>
      </c>
      <c r="R8" s="71">
        <f>VLOOKUP($B8,'Trình bày T2'!$B:$M,12,0)</f>
        <v>0</v>
      </c>
      <c r="S8" s="5">
        <f>VLOOKUP($B8,'Trình bày T3'!$B:$M,6,0)</f>
        <v>1190</v>
      </c>
      <c r="T8" s="40">
        <f>VLOOKUP($B8,'Trình bày T3'!$B:$M,7,0)</f>
        <v>1190</v>
      </c>
      <c r="U8" s="46">
        <f t="shared" ref="U8:U16" si="6">T8-S8</f>
        <v>0</v>
      </c>
      <c r="V8" s="42">
        <f>VLOOKUP($B8,'Trình bày T3'!$B:$M,9,0)</f>
        <v>1057.7957262938128</v>
      </c>
      <c r="W8" s="46">
        <f t="shared" ref="W8:W16" si="7">(T8-V8)</f>
        <v>132.20427370618722</v>
      </c>
      <c r="X8" s="53">
        <f t="shared" ref="X8:X16" si="8">+W8/T8</f>
        <v>0.11109602832452707</v>
      </c>
      <c r="Y8" s="71">
        <f>VLOOKUP($B8,'Trình bày T3'!$B:$M,12,0)</f>
        <v>0</v>
      </c>
      <c r="Z8" s="5">
        <f>VLOOKUP($B8,'Trình bày T4'!$B:$M,6,0)</f>
        <v>1190</v>
      </c>
      <c r="AA8" s="40">
        <f>VLOOKUP($B8,'Trình bày T4'!$B:$M,7,0)</f>
        <v>1310</v>
      </c>
      <c r="AB8" s="46">
        <f t="shared" ref="AB8:AB16" si="9">AA8-Z8</f>
        <v>120</v>
      </c>
      <c r="AC8" s="42">
        <f>VLOOKUP($B8,'Trình bày T4'!$B:$M,9,0)</f>
        <v>1078</v>
      </c>
      <c r="AD8" s="46">
        <f t="shared" ref="AD8:AD16" si="10">(AA8-AC8)</f>
        <v>232</v>
      </c>
      <c r="AE8" s="53">
        <f t="shared" ref="AE8:AE16" si="11">+AD8/AA8</f>
        <v>0.17709923664122137</v>
      </c>
      <c r="AF8" s="71">
        <f>VLOOKUP($B8,'Trình bày T4'!$B:$M,12,0)</f>
        <v>0</v>
      </c>
    </row>
    <row r="9" spans="1:32" outlineLevel="1">
      <c r="A9" s="9">
        <f t="shared" ref="A9:A16" si="12">+A8+1</f>
        <v>3</v>
      </c>
      <c r="B9" s="4" t="s">
        <v>121</v>
      </c>
      <c r="C9" s="4" t="s">
        <v>7</v>
      </c>
      <c r="D9" s="24"/>
      <c r="E9" s="5">
        <f>VLOOKUP($B9,'Trình bày T1'!$B:$M,6,0)</f>
        <v>1290</v>
      </c>
      <c r="F9" s="40">
        <f>VLOOKUP($B9,'Trình bày T1'!$B:$M,7,0)</f>
        <v>1290</v>
      </c>
      <c r="G9" s="46">
        <f t="shared" si="0"/>
        <v>0</v>
      </c>
      <c r="H9" s="42">
        <f>VLOOKUP($B9,'Trình bày T1'!$B:$M,9,0)</f>
        <v>1157.9867040243741</v>
      </c>
      <c r="I9" s="46">
        <f t="shared" si="1"/>
        <v>132.01329597562585</v>
      </c>
      <c r="J9" s="53">
        <f t="shared" si="2"/>
        <v>0.10233588835319833</v>
      </c>
      <c r="K9" s="71">
        <f>VLOOKUP($B12,'Trình bày T1'!$B:$M,12,0)</f>
        <v>1440</v>
      </c>
      <c r="L9" s="5">
        <f>VLOOKUP($B9,'Trình bày T2'!$B:$M,6,0)</f>
        <v>1250</v>
      </c>
      <c r="M9" s="40">
        <f>VLOOKUP($B9,'Trình bày T2'!$B:$M,7,0)</f>
        <v>1250</v>
      </c>
      <c r="N9" s="46">
        <f t="shared" si="3"/>
        <v>0</v>
      </c>
      <c r="O9" s="42">
        <f>VLOOKUP($B9,'Trình bày T2'!$B:$M,9,0)</f>
        <v>1111</v>
      </c>
      <c r="P9" s="46">
        <f t="shared" si="4"/>
        <v>139</v>
      </c>
      <c r="Q9" s="53">
        <f t="shared" si="5"/>
        <v>0.11119999999999999</v>
      </c>
      <c r="R9" s="71">
        <f>VLOOKUP($B12,'Trình bày T2'!$B:$M,12,0)</f>
        <v>0</v>
      </c>
      <c r="S9" s="5">
        <f>VLOOKUP($B9,'Trình bày T3'!$B:$M,6,0)</f>
        <v>1250</v>
      </c>
      <c r="T9" s="40">
        <f>VLOOKUP($B9,'Trình bày T3'!$B:$M,7,0)</f>
        <v>1250</v>
      </c>
      <c r="U9" s="46">
        <f t="shared" si="6"/>
        <v>0</v>
      </c>
      <c r="V9" s="42">
        <f>VLOOKUP($B9,'Trình bày T3'!$B:$M,9,0)</f>
        <v>1113.7705258932212</v>
      </c>
      <c r="W9" s="46">
        <f t="shared" si="7"/>
        <v>136.22947410677875</v>
      </c>
      <c r="X9" s="53">
        <f t="shared" si="8"/>
        <v>0.108983579285423</v>
      </c>
      <c r="Y9" s="71" t="e">
        <f>VLOOKUP($B12,'Trình bày T3'!$B:$M,12,0)</f>
        <v>#N/A</v>
      </c>
      <c r="Z9" s="5">
        <f>VLOOKUP($B9,'Trình bày T4'!$B:$M,6,0)</f>
        <v>1250</v>
      </c>
      <c r="AA9" s="40">
        <f>VLOOKUP($B9,'Trình bày T4'!$B:$M,7,0)</f>
        <v>1370</v>
      </c>
      <c r="AB9" s="46">
        <f t="shared" si="9"/>
        <v>120</v>
      </c>
      <c r="AC9" s="42">
        <f>VLOOKUP($B9,'Trình bày T4'!$B:$M,9,0)</f>
        <v>1136</v>
      </c>
      <c r="AD9" s="46">
        <f t="shared" si="10"/>
        <v>234</v>
      </c>
      <c r="AE9" s="53">
        <f t="shared" si="11"/>
        <v>0.17080291970802919</v>
      </c>
      <c r="AF9" s="71">
        <f>VLOOKUP($B12,'Trình bày T4'!$B:$M,12,0)</f>
        <v>0</v>
      </c>
    </row>
    <row r="10" spans="1:32" outlineLevel="1">
      <c r="A10" s="9">
        <f t="shared" si="12"/>
        <v>4</v>
      </c>
      <c r="B10" s="4" t="s">
        <v>133</v>
      </c>
      <c r="C10" s="4" t="s">
        <v>19</v>
      </c>
      <c r="D10" s="24"/>
      <c r="E10" s="5">
        <f>VLOOKUP($B10,'Trình bày T1'!$B:$M,6,0)</f>
        <v>1130</v>
      </c>
      <c r="F10" s="40">
        <f>VLOOKUP($B10,'Trình bày T1'!$B:$M,7,0)</f>
        <v>1130</v>
      </c>
      <c r="G10" s="46">
        <f t="shared" si="0"/>
        <v>0</v>
      </c>
      <c r="H10" s="42">
        <f>VLOOKUP($B10,'Trình bày T1'!$B:$M,9,0)</f>
        <v>1096.8836793746136</v>
      </c>
      <c r="I10" s="46">
        <f t="shared" si="1"/>
        <v>33.116320625386379</v>
      </c>
      <c r="J10" s="53">
        <f t="shared" si="2"/>
        <v>2.9306478429545469E-2</v>
      </c>
      <c r="K10" s="71">
        <f>VLOOKUP($B10,'Trình bày T1'!$B:$M,12,0)</f>
        <v>1110</v>
      </c>
      <c r="L10" s="5">
        <f>VLOOKUP($B10,'Trình bày T2'!$B:$M,6,0)</f>
        <v>1090</v>
      </c>
      <c r="M10" s="40">
        <f>VLOOKUP($B10,'Trình bày T2'!$B:$M,7,0)</f>
        <v>1090</v>
      </c>
      <c r="N10" s="46">
        <f t="shared" si="3"/>
        <v>0</v>
      </c>
      <c r="O10" s="42">
        <f>VLOOKUP($B10,'Trình bày T2'!$B:$M,9,0)</f>
        <v>1056</v>
      </c>
      <c r="P10" s="46">
        <f t="shared" si="4"/>
        <v>34</v>
      </c>
      <c r="Q10" s="53">
        <f t="shared" si="5"/>
        <v>3.1192660550458717E-2</v>
      </c>
      <c r="R10" s="71">
        <f>VLOOKUP($B10,'Trình bày T2'!$B:$M,12,0)</f>
        <v>0</v>
      </c>
      <c r="S10" s="5">
        <f>VLOOKUP($B10,'Trình bày T3'!$B:$M,6,0)</f>
        <v>1090</v>
      </c>
      <c r="T10" s="40">
        <f>VLOOKUP($B10,'Trình bày T3'!$B:$M,7,0)</f>
        <v>1090</v>
      </c>
      <c r="U10" s="46">
        <f>T30-S10</f>
        <v>-320</v>
      </c>
      <c r="V10" s="42">
        <f>VLOOKUP($B10,'Trình bày T3'!$B:$M,9,0)</f>
        <v>1057.7957262938128</v>
      </c>
      <c r="W10" s="46">
        <f>(T30-V10)</f>
        <v>-287.79572629381278</v>
      </c>
      <c r="X10" s="178">
        <f>+W10/T30</f>
        <v>-0.37376068349845815</v>
      </c>
      <c r="Y10" s="71">
        <f>VLOOKUP($B10,'Trình bày T3'!$B:$M,12,0)</f>
        <v>0</v>
      </c>
      <c r="Z10" s="5">
        <f>VLOOKUP($B10,'Trình bày T4'!$B:$M,6,0)</f>
        <v>1090</v>
      </c>
      <c r="AA10" s="40">
        <f>VLOOKUP($B10,'Trình bày T4'!$B:$M,7,0)</f>
        <v>1210</v>
      </c>
      <c r="AB10" s="46">
        <f t="shared" si="9"/>
        <v>120</v>
      </c>
      <c r="AC10" s="42">
        <f>VLOOKUP($B10,'Trình bày T4'!$B:$M,9,0)</f>
        <v>1078</v>
      </c>
      <c r="AD10" s="46">
        <f t="shared" si="10"/>
        <v>132</v>
      </c>
      <c r="AE10" s="53">
        <f t="shared" si="11"/>
        <v>0.10909090909090909</v>
      </c>
      <c r="AF10" s="71">
        <f>VLOOKUP($B10,'Trình bày T4'!$B:$M,12,0)</f>
        <v>0</v>
      </c>
    </row>
    <row r="11" spans="1:32" outlineLevel="1">
      <c r="A11" s="9">
        <f t="shared" si="12"/>
        <v>5</v>
      </c>
      <c r="B11" s="4" t="s">
        <v>118</v>
      </c>
      <c r="C11" s="4" t="s">
        <v>3</v>
      </c>
      <c r="D11" s="24"/>
      <c r="E11" s="66">
        <f>VLOOKUP($B11,'Trình bày T1'!$B:$M,6,0)</f>
        <v>1320</v>
      </c>
      <c r="F11" s="65">
        <f>VLOOKUP($B11,'Trình bày T1'!$B:$M,7,0)</f>
        <v>1320</v>
      </c>
      <c r="G11" s="46">
        <f t="shared" si="0"/>
        <v>0</v>
      </c>
      <c r="H11" s="42">
        <f>VLOOKUP($B11,'Trình bày T1'!$B:$M,9,0)</f>
        <v>1182.481455363255</v>
      </c>
      <c r="I11" s="46">
        <f t="shared" si="1"/>
        <v>137.51854463674499</v>
      </c>
      <c r="J11" s="53">
        <f t="shared" si="2"/>
        <v>0.10418071563389772</v>
      </c>
      <c r="K11" s="76">
        <f>VLOOKUP($B11,'Trình bày T1'!$B:$M,12,0)</f>
        <v>1320</v>
      </c>
      <c r="L11" s="66">
        <f>VLOOKUP($B11,'Trình bày T2'!$B:$M,6,0)</f>
        <v>1320</v>
      </c>
      <c r="M11" s="65">
        <f>VLOOKUP($B11,'Trình bày T2'!$B:$M,7,0)</f>
        <v>1320</v>
      </c>
      <c r="N11" s="46">
        <f t="shared" si="3"/>
        <v>0</v>
      </c>
      <c r="O11" s="42">
        <f>VLOOKUP($B11,'Trình bày T2'!$B:$M,9,0)</f>
        <v>1154</v>
      </c>
      <c r="P11" s="46">
        <f t="shared" si="4"/>
        <v>166</v>
      </c>
      <c r="Q11" s="53">
        <f t="shared" si="5"/>
        <v>0.12575757575757576</v>
      </c>
      <c r="R11" s="76">
        <f>VLOOKUP($B11,'Trình bày T2'!$B:$M,12,0)</f>
        <v>0</v>
      </c>
      <c r="S11" s="66">
        <f>VLOOKUP($B11,'Trình bày T3'!$B:$M,6,0)</f>
        <v>1320</v>
      </c>
      <c r="T11" s="65">
        <f>VLOOKUP($B11,'Trình bày T3'!$B:$M,7,0)</f>
        <v>1320</v>
      </c>
      <c r="U11" s="46">
        <f>T31-S11</f>
        <v>-600</v>
      </c>
      <c r="V11" s="42">
        <f>VLOOKUP($B11,'Trình bày T3'!$B:$M,9,0)</f>
        <v>1155.3596491953047</v>
      </c>
      <c r="W11" s="46">
        <f>(T31-V11)</f>
        <v>-435.35964919530466</v>
      </c>
      <c r="X11" s="178">
        <f>+W11/T31</f>
        <v>-0.60466617943792311</v>
      </c>
      <c r="Y11" s="76">
        <f>VLOOKUP($B11,'Trình bày T3'!$B:$M,12,0)</f>
        <v>0</v>
      </c>
      <c r="Z11" s="66">
        <f>VLOOKUP($B11,'Trình bày T4'!$B:$M,6,0)</f>
        <v>1290</v>
      </c>
      <c r="AA11" s="65">
        <f>VLOOKUP($B11,'Trình bày T4'!$B:$M,7,0)</f>
        <v>1290</v>
      </c>
      <c r="AB11" s="46">
        <f t="shared" si="9"/>
        <v>0</v>
      </c>
      <c r="AC11" s="42">
        <f>VLOOKUP($B11,'Trình bày T4'!$B:$M,9,0)</f>
        <v>1169</v>
      </c>
      <c r="AD11" s="46">
        <f t="shared" si="10"/>
        <v>121</v>
      </c>
      <c r="AE11" s="53">
        <f t="shared" si="11"/>
        <v>9.3798449612403106E-2</v>
      </c>
      <c r="AF11" s="76">
        <f>VLOOKUP($B11,'Trình bày T4'!$B:$M,12,0)</f>
        <v>0</v>
      </c>
    </row>
    <row r="12" spans="1:32" outlineLevel="1">
      <c r="A12" s="9">
        <f t="shared" si="12"/>
        <v>6</v>
      </c>
      <c r="B12" s="4" t="s">
        <v>220</v>
      </c>
      <c r="C12" s="4" t="s">
        <v>106</v>
      </c>
      <c r="D12" s="24"/>
      <c r="E12" s="66">
        <f>VLOOKUP($B12,'Trình bày T1'!$B:$M,6,0)</f>
        <v>1440</v>
      </c>
      <c r="F12" s="65">
        <f>VLOOKUP($B12,'Trình bày T1'!$B:$M,7,0)</f>
        <v>1440</v>
      </c>
      <c r="G12" s="46">
        <f t="shared" si="0"/>
        <v>0</v>
      </c>
      <c r="H12" s="78">
        <f>VLOOKUP($B12,'Trình bày T1'!$B:$M,9,0)</f>
        <v>1235.0715627345357</v>
      </c>
      <c r="I12" s="46">
        <f t="shared" si="1"/>
        <v>204.92843726546425</v>
      </c>
      <c r="J12" s="53">
        <f t="shared" si="2"/>
        <v>0.1423114147676835</v>
      </c>
      <c r="K12" s="76">
        <f>VLOOKUP($B12,'Trình bày T1'!$B:$M,12,0)</f>
        <v>1440</v>
      </c>
      <c r="L12" s="66">
        <f>VLOOKUP($B12,'Trình bày T2'!$B:$M,6,0)</f>
        <v>1440</v>
      </c>
      <c r="M12" s="65">
        <f>VLOOKUP($B12,'Trình bày T2'!$B:$M,7,0)</f>
        <v>1440</v>
      </c>
      <c r="N12" s="46">
        <f t="shared" si="3"/>
        <v>0</v>
      </c>
      <c r="O12" s="78">
        <f>VLOOKUP($B12,'Trình bày T2'!$B:$M,9,0)</f>
        <v>1201</v>
      </c>
      <c r="P12" s="46">
        <f t="shared" si="4"/>
        <v>239</v>
      </c>
      <c r="Q12" s="53">
        <f t="shared" si="5"/>
        <v>0.16597222222222222</v>
      </c>
      <c r="R12" s="76">
        <f>VLOOKUP($B12,'Trình bày T2'!$B:$M,12,0)</f>
        <v>0</v>
      </c>
      <c r="S12" s="66" t="e">
        <f>VLOOKUP($B12,'Trình bày T3'!$B:$M,6,0)</f>
        <v>#N/A</v>
      </c>
      <c r="T12" s="65" t="e">
        <f>VLOOKUP($B12,'Trình bày T3'!$B:$M,7,0)</f>
        <v>#N/A</v>
      </c>
      <c r="U12" s="46" t="e">
        <f>T32-S12</f>
        <v>#N/A</v>
      </c>
      <c r="V12" s="78" t="e">
        <f>VLOOKUP($B12,'Trình bày T3'!$B:$M,9,0)</f>
        <v>#N/A</v>
      </c>
      <c r="W12" s="46" t="e">
        <f>(T32-V12)</f>
        <v>#N/A</v>
      </c>
      <c r="X12" s="178" t="e">
        <f>+W12/T32</f>
        <v>#N/A</v>
      </c>
      <c r="Y12" s="76" t="e">
        <f>VLOOKUP($B12,'Trình bày T3'!$B:$M,12,0)</f>
        <v>#N/A</v>
      </c>
      <c r="Z12" s="66">
        <f>VLOOKUP($B12,'Trình bày T4'!$B:$M,6,0)</f>
        <v>0</v>
      </c>
      <c r="AA12" s="65">
        <f>VLOOKUP($B12,'Trình bày T4'!$B:$M,7,0)</f>
        <v>0</v>
      </c>
      <c r="AB12" s="46">
        <f t="shared" si="9"/>
        <v>0</v>
      </c>
      <c r="AC12" s="78">
        <f>VLOOKUP($B12,'Trình bày T4'!$B:$M,9,0)</f>
        <v>0</v>
      </c>
      <c r="AD12" s="46">
        <f t="shared" si="10"/>
        <v>0</v>
      </c>
      <c r="AE12" s="53" t="e">
        <f t="shared" si="11"/>
        <v>#DIV/0!</v>
      </c>
      <c r="AF12" s="76">
        <f>VLOOKUP($B12,'Trình bày T4'!$B:$M,12,0)</f>
        <v>0</v>
      </c>
    </row>
    <row r="13" spans="1:32" outlineLevel="1">
      <c r="A13" s="9">
        <f t="shared" si="12"/>
        <v>7</v>
      </c>
      <c r="B13" s="4" t="s">
        <v>221</v>
      </c>
      <c r="C13" s="4" t="s">
        <v>107</v>
      </c>
      <c r="D13" s="24"/>
      <c r="E13" s="5">
        <f>VLOOKUP($B13,'Trình bày T1'!$B:$M,6,0)</f>
        <v>1200</v>
      </c>
      <c r="F13" s="40">
        <f>VLOOKUP($B13,'Trình bày T1'!$B:$M,7,0)</f>
        <v>1200</v>
      </c>
      <c r="G13" s="46">
        <f t="shared" si="0"/>
        <v>0</v>
      </c>
      <c r="H13" s="42">
        <f>VLOOKUP($B13,'Trình bày T1'!$B:$M,9,0)</f>
        <v>1015.2046171945354</v>
      </c>
      <c r="I13" s="46">
        <f t="shared" si="1"/>
        <v>184.79538280546456</v>
      </c>
      <c r="J13" s="53">
        <f t="shared" si="2"/>
        <v>0.15399615233788713</v>
      </c>
      <c r="K13" s="71">
        <f>VLOOKUP($B13,'Trình bày T1'!$B:$M,12,0)</f>
        <v>1180</v>
      </c>
      <c r="L13" s="5">
        <f>VLOOKUP($B13,'Trình bày T2'!$B:$M,6,0)</f>
        <v>1160</v>
      </c>
      <c r="M13" s="40">
        <f>VLOOKUP($B13,'Trình bày T2'!$B:$M,7,0)</f>
        <v>1160</v>
      </c>
      <c r="N13" s="46">
        <f t="shared" si="3"/>
        <v>0</v>
      </c>
      <c r="O13" s="42">
        <f>VLOOKUP($B13,'Trình bày T2'!$B:$M,9,0)</f>
        <v>998</v>
      </c>
      <c r="P13" s="46">
        <f t="shared" si="4"/>
        <v>162</v>
      </c>
      <c r="Q13" s="53">
        <f t="shared" si="5"/>
        <v>0.1396551724137931</v>
      </c>
      <c r="R13" s="71">
        <f>VLOOKUP($B13,'Trình bày T2'!$B:$M,12,0)</f>
        <v>0</v>
      </c>
      <c r="S13" s="5">
        <f>VLOOKUP($B13,'Trình bày T3'!$B:$M,6,0)</f>
        <v>1160</v>
      </c>
      <c r="T13" s="40">
        <f>VLOOKUP($B13,'Trình bày T3'!$B:$M,7,0)</f>
        <v>1160</v>
      </c>
      <c r="U13" s="46">
        <f>T33-S13</f>
        <v>-1160</v>
      </c>
      <c r="V13" s="42">
        <f>VLOOKUP($B13,'Trình bày T3'!$B:$M,9,0)</f>
        <v>1006.566037735849</v>
      </c>
      <c r="W13" s="46">
        <f>(T33-V13)</f>
        <v>-1006.566037735849</v>
      </c>
      <c r="X13" s="178" t="e">
        <f>+W13/T33</f>
        <v>#DIV/0!</v>
      </c>
      <c r="Y13" s="71">
        <f>VLOOKUP($B13,'Trình bày T3'!$B:$M,12,0)</f>
        <v>0</v>
      </c>
      <c r="Z13" s="5">
        <f>VLOOKUP($B13,'Trình bày T4'!$B:$M,6,0)</f>
        <v>1160</v>
      </c>
      <c r="AA13" s="40">
        <f>VLOOKUP($B13,'Trình bày T4'!$B:$M,7,0)</f>
        <v>1280</v>
      </c>
      <c r="AB13" s="46">
        <f t="shared" si="9"/>
        <v>120</v>
      </c>
      <c r="AC13" s="42">
        <f>VLOOKUP($B13,'Trình bày T4'!$B:$M,9,0)</f>
        <v>1026</v>
      </c>
      <c r="AD13" s="46">
        <f t="shared" si="10"/>
        <v>254</v>
      </c>
      <c r="AE13" s="53">
        <f t="shared" si="11"/>
        <v>0.19843749999999999</v>
      </c>
      <c r="AF13" s="71">
        <f>VLOOKUP($B13,'Trình bày T4'!$B:$M,12,0)</f>
        <v>0</v>
      </c>
    </row>
    <row r="14" spans="1:32" outlineLevel="1">
      <c r="A14" s="9">
        <f t="shared" si="12"/>
        <v>8</v>
      </c>
      <c r="B14" s="4" t="s">
        <v>275</v>
      </c>
      <c r="C14" s="4" t="s">
        <v>276</v>
      </c>
      <c r="D14" s="24"/>
      <c r="E14" s="5">
        <f>VLOOKUP($B14,'Trình bày T1'!$B:$M,6,0)</f>
        <v>1200</v>
      </c>
      <c r="F14" s="40">
        <f>VLOOKUP($B14,'Trình bày T1'!$B:$M,7,0)</f>
        <v>1200</v>
      </c>
      <c r="G14" s="46">
        <f t="shared" si="0"/>
        <v>0</v>
      </c>
      <c r="H14" s="79">
        <f>VLOOKUP($B14,'Trình bày T1'!$B:$M,9,0)</f>
        <v>1025.9230769230769</v>
      </c>
      <c r="I14" s="46">
        <f t="shared" si="1"/>
        <v>174.07692307692309</v>
      </c>
      <c r="J14" s="53">
        <f t="shared" si="2"/>
        <v>0.14506410256410257</v>
      </c>
      <c r="K14" s="71">
        <f>VLOOKUP($B14,'Trình bày T1'!$B:$M,12,0)</f>
        <v>1180</v>
      </c>
      <c r="L14" s="5">
        <f>VLOOKUP($B14,'Trình bày T2'!$B:$M,6,0)</f>
        <v>1160</v>
      </c>
      <c r="M14" s="40">
        <f>VLOOKUP($B14,'Trình bày T2'!$B:$M,7,0)</f>
        <v>1160</v>
      </c>
      <c r="N14" s="46">
        <f t="shared" si="3"/>
        <v>0</v>
      </c>
      <c r="O14" s="79">
        <f>VLOOKUP($B14,'Trình bày T2'!$B:$M,9,0)</f>
        <v>0</v>
      </c>
      <c r="P14" s="46">
        <f t="shared" si="4"/>
        <v>1160</v>
      </c>
      <c r="Q14" s="53">
        <f t="shared" si="5"/>
        <v>1</v>
      </c>
      <c r="R14" s="71">
        <f>VLOOKUP($B14,'Trình bày T2'!$B:$M,12,0)</f>
        <v>0</v>
      </c>
      <c r="S14" s="5" t="e">
        <f>VLOOKUP($B14,'Trình bày T3'!$B:$M,6,0)</f>
        <v>#N/A</v>
      </c>
      <c r="T14" s="40" t="e">
        <f>VLOOKUP($B14,'Trình bày T3'!$B:$M,7,0)</f>
        <v>#N/A</v>
      </c>
      <c r="U14" s="46" t="e">
        <f>T34-S14</f>
        <v>#N/A</v>
      </c>
      <c r="V14" s="79" t="e">
        <f>VLOOKUP($B14,'Trình bày T3'!$B:$M,9,0)</f>
        <v>#N/A</v>
      </c>
      <c r="W14" s="46" t="e">
        <f>(T34-V14)</f>
        <v>#N/A</v>
      </c>
      <c r="X14" s="178" t="e">
        <f>+W14/T34</f>
        <v>#N/A</v>
      </c>
      <c r="Y14" s="71" t="e">
        <f>VLOOKUP($B14,'Trình bày T3'!$B:$M,12,0)</f>
        <v>#N/A</v>
      </c>
      <c r="Z14" s="5">
        <f>VLOOKUP($B14,'Trình bày T4'!$B:$M,6,0)</f>
        <v>0</v>
      </c>
      <c r="AA14" s="40">
        <f>VLOOKUP($B14,'Trình bày T4'!$B:$M,7,0)</f>
        <v>0</v>
      </c>
      <c r="AB14" s="46">
        <f t="shared" si="9"/>
        <v>0</v>
      </c>
      <c r="AC14" s="79">
        <f>VLOOKUP($B14,'Trình bày T4'!$B:$M,9,0)</f>
        <v>0</v>
      </c>
      <c r="AD14" s="46">
        <f t="shared" si="10"/>
        <v>0</v>
      </c>
      <c r="AE14" s="53" t="e">
        <f t="shared" si="11"/>
        <v>#DIV/0!</v>
      </c>
      <c r="AF14" s="71">
        <f>VLOOKUP($B14,'Trình bày T4'!$B:$M,12,0)</f>
        <v>0</v>
      </c>
    </row>
    <row r="15" spans="1:32" outlineLevel="1">
      <c r="A15" s="9">
        <f t="shared" si="12"/>
        <v>9</v>
      </c>
      <c r="B15" s="4" t="s">
        <v>277</v>
      </c>
      <c r="C15" s="4" t="s">
        <v>278</v>
      </c>
      <c r="D15" s="24"/>
      <c r="E15" s="66">
        <f>VLOOKUP($B15,'Trình bày T1'!$B:$M,6,0)</f>
        <v>1410</v>
      </c>
      <c r="F15" s="65">
        <f>VLOOKUP($B15,'Trình bày T1'!$B:$M,7,0)</f>
        <v>1410</v>
      </c>
      <c r="G15" s="46">
        <f t="shared" si="0"/>
        <v>0</v>
      </c>
      <c r="H15" s="128">
        <f>VLOOKUP($B15,'Trình bày T1'!$B:$M,9,0)</f>
        <v>1208.7765090488954</v>
      </c>
      <c r="I15" s="46">
        <f t="shared" si="1"/>
        <v>201.22349095110462</v>
      </c>
      <c r="J15" s="53">
        <f t="shared" si="2"/>
        <v>0.14271169571000328</v>
      </c>
      <c r="K15" s="76">
        <f>VLOOKUP($B15,'Trình bày T1'!$B:$M,12,0)</f>
        <v>1410</v>
      </c>
      <c r="L15" s="66">
        <f>VLOOKUP($B15,'Trình bày T2'!$B:$M,6,0)</f>
        <v>1410</v>
      </c>
      <c r="M15" s="65">
        <f>VLOOKUP($B15,'Trình bày T2'!$B:$M,7,0)</f>
        <v>1410</v>
      </c>
      <c r="N15" s="46">
        <f t="shared" si="3"/>
        <v>0</v>
      </c>
      <c r="O15" s="128">
        <f>VLOOKUP($B15,'Trình bày T2'!$B:$M,9,0)</f>
        <v>1222.6415094339623</v>
      </c>
      <c r="P15" s="46">
        <f t="shared" si="4"/>
        <v>187.35849056603774</v>
      </c>
      <c r="Q15" s="53">
        <f t="shared" si="5"/>
        <v>0.13287836210357287</v>
      </c>
      <c r="R15" s="76">
        <f>VLOOKUP($B15,'Trình bày T2'!$B:$M,12,0)</f>
        <v>0</v>
      </c>
      <c r="S15" s="66">
        <f>VLOOKUP($B15,'Trình bày T3'!$B:$M,6,0)</f>
        <v>1410</v>
      </c>
      <c r="T15" s="65">
        <f>VLOOKUP($B15,'Trình bày T3'!$B:$M,7,0)</f>
        <v>690</v>
      </c>
      <c r="U15" s="46">
        <f>T35-S15</f>
        <v>-380</v>
      </c>
      <c r="V15" s="128">
        <f>VLOOKUP($B15,'Trình bày T3'!$B:$M,9,0)</f>
        <v>1222.6415094339623</v>
      </c>
      <c r="W15" s="46">
        <f>(T35-V15)</f>
        <v>-192.64150943396226</v>
      </c>
      <c r="X15" s="178">
        <f>+W15/T35</f>
        <v>-0.18703059168345851</v>
      </c>
      <c r="Y15" s="76">
        <f>VLOOKUP($B15,'Trình bày T3'!$B:$M,12,0)</f>
        <v>0</v>
      </c>
      <c r="Z15" s="66">
        <f>VLOOKUP($B15,'Trình bày T4'!$B:$M,6,0)</f>
        <v>0</v>
      </c>
      <c r="AA15" s="65">
        <f>VLOOKUP($B15,'Trình bày T4'!$B:$M,7,0)</f>
        <v>0</v>
      </c>
      <c r="AB15" s="46">
        <f t="shared" si="9"/>
        <v>0</v>
      </c>
      <c r="AC15" s="128">
        <f>VLOOKUP($B15,'Trình bày T4'!$B:$M,9,0)</f>
        <v>1222.6415094339623</v>
      </c>
      <c r="AD15" s="46">
        <f t="shared" si="10"/>
        <v>-1222.6415094339623</v>
      </c>
      <c r="AE15" s="53" t="e">
        <f t="shared" si="11"/>
        <v>#DIV/0!</v>
      </c>
      <c r="AF15" s="76">
        <f>VLOOKUP($B15,'Trình bày T4'!$B:$M,12,0)</f>
        <v>0</v>
      </c>
    </row>
    <row r="16" spans="1:32" outlineLevel="1">
      <c r="A16" s="9">
        <f t="shared" si="12"/>
        <v>10</v>
      </c>
      <c r="B16" s="4" t="s">
        <v>209</v>
      </c>
      <c r="C16" s="4" t="s">
        <v>95</v>
      </c>
      <c r="D16" s="24"/>
      <c r="E16" s="5">
        <f>VLOOKUP($B16,'Trình bày T1'!$B:$M,6,0)</f>
        <v>1230</v>
      </c>
      <c r="F16" s="40">
        <f>VLOOKUP($B17,'Trình bày T1'!$B:$M,7,0)</f>
        <v>0</v>
      </c>
      <c r="G16" s="46">
        <f t="shared" si="0"/>
        <v>-1230</v>
      </c>
      <c r="H16" s="129">
        <f>VLOOKUP($B19,'Trình bày T1'!$B:$M,9,0)</f>
        <v>1096.8836793746136</v>
      </c>
      <c r="I16" s="46">
        <f t="shared" si="1"/>
        <v>-1096.8836793746136</v>
      </c>
      <c r="J16" s="53" t="e">
        <f t="shared" si="2"/>
        <v>#DIV/0!</v>
      </c>
      <c r="K16" s="71">
        <f>VLOOKUP($B112,'Trình bày T1'!$B:$M,12,0)</f>
        <v>600</v>
      </c>
      <c r="L16" s="5">
        <f>VLOOKUP($B16,'Trình bày T2'!$B:$M,6,0)</f>
        <v>1190</v>
      </c>
      <c r="M16" s="40">
        <f>VLOOKUP($B17,'Trình bày T2'!$B:$M,7,0)</f>
        <v>0</v>
      </c>
      <c r="N16" s="46">
        <f t="shared" si="3"/>
        <v>-1190</v>
      </c>
      <c r="O16" s="129">
        <f>VLOOKUP($B19,'Trình bày T2'!$B:$M,9,0)</f>
        <v>1056</v>
      </c>
      <c r="P16" s="46">
        <f t="shared" si="4"/>
        <v>-1056</v>
      </c>
      <c r="Q16" s="53" t="e">
        <f t="shared" si="5"/>
        <v>#DIV/0!</v>
      </c>
      <c r="R16" s="71">
        <f>VLOOKUP($B112,'Trình bày T2'!$B:$M,12,0)</f>
        <v>0</v>
      </c>
      <c r="S16" s="5">
        <f>VLOOKUP($B16,'Trình bày T3'!$B:$M,6,0)</f>
        <v>1190</v>
      </c>
      <c r="T16" s="40">
        <f>VLOOKUP($B17,'Trình bày T3'!$B:$M,7,0)</f>
        <v>0</v>
      </c>
      <c r="U16" s="46">
        <f>T36-S16</f>
        <v>-1190</v>
      </c>
      <c r="V16" s="129">
        <f>VLOOKUP($B19,'Trình bày T3'!$B:$M,9,0)</f>
        <v>1057.7957262938128</v>
      </c>
      <c r="W16" s="46">
        <f>(T36-V16)</f>
        <v>-1057.7957262938128</v>
      </c>
      <c r="X16" s="178" t="e">
        <f>+W16/T36</f>
        <v>#DIV/0!</v>
      </c>
      <c r="Y16" s="71">
        <f>VLOOKUP($B112,'Trình bày T3'!$B:$M,12,0)</f>
        <v>0</v>
      </c>
      <c r="Z16" s="5">
        <f>VLOOKUP($B16,'Trình bày T4'!$B:$M,6,0)</f>
        <v>1190</v>
      </c>
      <c r="AA16" s="40">
        <f>VLOOKUP($B17,'Trình bày T4'!$B:$M,7,0)</f>
        <v>0</v>
      </c>
      <c r="AB16" s="46">
        <f t="shared" si="9"/>
        <v>-1190</v>
      </c>
      <c r="AC16" s="129">
        <f>VLOOKUP($B19,'Trình bày T4'!$B:$M,9,0)</f>
        <v>1078</v>
      </c>
      <c r="AD16" s="46">
        <f t="shared" si="10"/>
        <v>-1078</v>
      </c>
      <c r="AE16" s="53" t="e">
        <f t="shared" si="11"/>
        <v>#DIV/0!</v>
      </c>
      <c r="AF16" s="71">
        <f>VLOOKUP($B112,'Trình bày T4'!$B:$M,12,0)</f>
        <v>0</v>
      </c>
    </row>
    <row r="17" spans="1:32" s="18" customFormat="1" ht="15.5">
      <c r="A17" s="12" t="s">
        <v>241</v>
      </c>
      <c r="B17" s="13" t="s">
        <v>242</v>
      </c>
      <c r="C17" s="13"/>
      <c r="D17" s="23"/>
      <c r="E17" s="13"/>
      <c r="F17" s="130"/>
      <c r="G17" s="131"/>
      <c r="H17" s="132"/>
      <c r="I17" s="47"/>
      <c r="J17" s="54"/>
      <c r="K17" s="72"/>
      <c r="L17" s="13"/>
      <c r="M17" s="130"/>
      <c r="N17" s="131"/>
      <c r="O17" s="132"/>
      <c r="P17" s="47"/>
      <c r="Q17" s="54"/>
      <c r="R17" s="72"/>
      <c r="S17" s="13"/>
      <c r="T17" s="130"/>
      <c r="U17" s="131"/>
      <c r="V17" s="132"/>
      <c r="W17" s="47"/>
      <c r="X17" s="54"/>
      <c r="Y17" s="72"/>
      <c r="Z17" s="13"/>
      <c r="AA17" s="130"/>
      <c r="AB17" s="131"/>
      <c r="AC17" s="132"/>
      <c r="AD17" s="47"/>
      <c r="AE17" s="54"/>
      <c r="AF17" s="72"/>
    </row>
    <row r="18" spans="1:32" outlineLevel="1">
      <c r="A18" s="9">
        <v>1</v>
      </c>
      <c r="B18" s="4" t="s">
        <v>148</v>
      </c>
      <c r="C18" s="4" t="s">
        <v>34</v>
      </c>
      <c r="D18" s="24"/>
      <c r="E18" s="5">
        <f>VLOOKUP($B18,'Trình bày T1'!$B:$M,6,0)</f>
        <v>1230</v>
      </c>
      <c r="F18" s="40">
        <f>VLOOKUP($B18,'Trình bày T1'!$B:$M,7,0)</f>
        <v>1230</v>
      </c>
      <c r="G18" s="46">
        <f t="shared" ref="G18:G28" si="13">F18-E18</f>
        <v>0</v>
      </c>
      <c r="H18" s="42">
        <f>VLOOKUP($B18,'Trình bày T1'!$B:$M,9,0)</f>
        <v>1096.8836793746136</v>
      </c>
      <c r="I18" s="46">
        <f t="shared" ref="I18:I19" si="14">(F18-H18)</f>
        <v>133.11632062538638</v>
      </c>
      <c r="J18" s="53">
        <f t="shared" ref="J18:J19" si="15">+I18/F18</f>
        <v>0.10822465091494828</v>
      </c>
      <c r="K18" s="71">
        <f>VLOOKUP($B18,'Trình bày T1'!$B:$M,12,0)</f>
        <v>1210</v>
      </c>
      <c r="L18" s="5">
        <f>VLOOKUP($B18,'Trình bày T2'!$B:$M,6,0)</f>
        <v>1190</v>
      </c>
      <c r="M18" s="40">
        <f>VLOOKUP($B18,'Trình bày T2'!$B:$M,7,0)</f>
        <v>1190</v>
      </c>
      <c r="N18" s="46">
        <f t="shared" ref="N18:N28" si="16">M18-L18</f>
        <v>0</v>
      </c>
      <c r="O18" s="42">
        <f>VLOOKUP($B18,'Trình bày T2'!$B:$M,9,0)</f>
        <v>1056</v>
      </c>
      <c r="P18" s="46">
        <f t="shared" ref="P18:P19" si="17">(M18-O18)</f>
        <v>134</v>
      </c>
      <c r="Q18" s="53">
        <f t="shared" ref="Q18:Q19" si="18">+P18/M18</f>
        <v>0.11260504201680673</v>
      </c>
      <c r="R18" s="71">
        <f>VLOOKUP($B18,'Trình bày T2'!$B:$M,12,0)</f>
        <v>0</v>
      </c>
      <c r="S18" s="5">
        <f>VLOOKUP($B18,'Trình bày T3'!$B:$M,6,0)</f>
        <v>1190</v>
      </c>
      <c r="T18" s="40">
        <f>VLOOKUP($B18,'Trình bày T3'!$B:$M,7,0)</f>
        <v>1190</v>
      </c>
      <c r="U18" s="46">
        <f>T38-S18</f>
        <v>-1190</v>
      </c>
      <c r="V18" s="42">
        <f>VLOOKUP($B18,'Trình bày T3'!$B:$M,9,0)</f>
        <v>1057.7957262938128</v>
      </c>
      <c r="W18" s="46">
        <f>(T38-V18)</f>
        <v>-1057.7957262938128</v>
      </c>
      <c r="X18" s="53" t="e">
        <f>+W18/T38</f>
        <v>#DIV/0!</v>
      </c>
      <c r="Y18" s="71">
        <f>VLOOKUP($B18,'Trình bày T3'!$B:$M,12,0)</f>
        <v>0</v>
      </c>
      <c r="Z18" s="5">
        <f>VLOOKUP($B18,'Trình bày T4'!$B:$M,6,0)</f>
        <v>1190</v>
      </c>
      <c r="AA18" s="40">
        <f>VLOOKUP($B18,'Trình bày T4'!$B:$M,7,0)</f>
        <v>1310</v>
      </c>
      <c r="AB18" s="46">
        <f t="shared" ref="AB18:AB28" si="19">AA18-Z18</f>
        <v>120</v>
      </c>
      <c r="AC18" s="42">
        <f>VLOOKUP($B18,'Trình bày T4'!$B:$M,9,0)</f>
        <v>1078</v>
      </c>
      <c r="AD18" s="46">
        <f t="shared" ref="AD18:AD19" si="20">(AA18-AC18)</f>
        <v>232</v>
      </c>
      <c r="AE18" s="53">
        <f t="shared" ref="AE18:AE19" si="21">+AD18/AA18</f>
        <v>0.17709923664122137</v>
      </c>
      <c r="AF18" s="71">
        <f>VLOOKUP($B18,'Trình bày T4'!$B:$M,12,0)</f>
        <v>0</v>
      </c>
    </row>
    <row r="19" spans="1:32" outlineLevel="1">
      <c r="A19" s="9">
        <f>+A18+1</f>
        <v>2</v>
      </c>
      <c r="B19" s="4" t="s">
        <v>147</v>
      </c>
      <c r="C19" s="4" t="s">
        <v>33</v>
      </c>
      <c r="D19" s="24"/>
      <c r="E19" s="5">
        <f>VLOOKUP($B19,'Trình bày T1'!$B:$M,6,0)</f>
        <v>1200</v>
      </c>
      <c r="F19" s="40">
        <f>VLOOKUP($B19,'Trình bày T1'!$B:$M,7,0)</f>
        <v>1200</v>
      </c>
      <c r="G19" s="46">
        <f t="shared" si="13"/>
        <v>0</v>
      </c>
      <c r="H19" s="42">
        <f>VLOOKUP($B19,'Trình bày T1'!$B:$M,9,0)</f>
        <v>1096.8836793746136</v>
      </c>
      <c r="I19" s="46">
        <f t="shared" si="14"/>
        <v>103.11632062538638</v>
      </c>
      <c r="J19" s="53">
        <f t="shared" si="15"/>
        <v>8.5930267187821985E-2</v>
      </c>
      <c r="K19" s="71">
        <f>VLOOKUP($B112,'Trình bày T1'!$B:$M,12,0)</f>
        <v>600</v>
      </c>
      <c r="L19" s="5">
        <f>VLOOKUP($B19,'Trình bày T2'!$B:$M,6,0)</f>
        <v>1160</v>
      </c>
      <c r="M19" s="40">
        <f>VLOOKUP($B19,'Trình bày T2'!$B:$M,7,0)</f>
        <v>1160</v>
      </c>
      <c r="N19" s="46">
        <f t="shared" si="16"/>
        <v>0</v>
      </c>
      <c r="O19" s="42">
        <f>VLOOKUP($B19,'Trình bày T2'!$B:$M,9,0)</f>
        <v>1056</v>
      </c>
      <c r="P19" s="46">
        <f t="shared" si="17"/>
        <v>104</v>
      </c>
      <c r="Q19" s="53">
        <f t="shared" si="18"/>
        <v>8.9655172413793102E-2</v>
      </c>
      <c r="R19" s="71">
        <f>VLOOKUP($B112,'Trình bày T2'!$B:$M,12,0)</f>
        <v>0</v>
      </c>
      <c r="S19" s="5">
        <f>VLOOKUP($B19,'Trình bày T3'!$B:$M,6,0)</f>
        <v>1160</v>
      </c>
      <c r="T19" s="40">
        <f>VLOOKUP($B19,'Trình bày T3'!$B:$M,7,0)</f>
        <v>1160</v>
      </c>
      <c r="U19" s="46">
        <f>T39-S19</f>
        <v>-1160</v>
      </c>
      <c r="V19" s="42">
        <f>VLOOKUP($B19,'Trình bày T3'!$B:$M,9,0)</f>
        <v>1057.7957262938128</v>
      </c>
      <c r="W19" s="46">
        <f>(T39-V19)</f>
        <v>-1057.7957262938128</v>
      </c>
      <c r="X19" s="53" t="e">
        <f>+W19/T39</f>
        <v>#DIV/0!</v>
      </c>
      <c r="Y19" s="71">
        <f>VLOOKUP($B112,'Trình bày T3'!$B:$M,12,0)</f>
        <v>0</v>
      </c>
      <c r="Z19" s="5">
        <f>VLOOKUP($B19,'Trình bày T4'!$B:$M,6,0)</f>
        <v>1160</v>
      </c>
      <c r="AA19" s="40">
        <f>VLOOKUP($B19,'Trình bày T4'!$B:$M,7,0)</f>
        <v>1280</v>
      </c>
      <c r="AB19" s="46">
        <f t="shared" si="19"/>
        <v>120</v>
      </c>
      <c r="AC19" s="42">
        <f>VLOOKUP($B19,'Trình bày T4'!$B:$M,9,0)</f>
        <v>1078</v>
      </c>
      <c r="AD19" s="46">
        <f t="shared" si="20"/>
        <v>202</v>
      </c>
      <c r="AE19" s="53">
        <f t="shared" si="21"/>
        <v>0.15781249999999999</v>
      </c>
      <c r="AF19" s="71">
        <f>VLOOKUP($B112,'Trình bày T4'!$B:$M,12,0)</f>
        <v>0</v>
      </c>
    </row>
    <row r="20" spans="1:32" outlineLevel="1">
      <c r="A20" s="9">
        <f t="shared" ref="A20:A28" si="22">+A19+1</f>
        <v>3</v>
      </c>
      <c r="B20" s="4" t="s">
        <v>151</v>
      </c>
      <c r="C20" s="4" t="s">
        <v>37</v>
      </c>
      <c r="D20" s="24"/>
      <c r="E20" s="5">
        <f>VLOOKUP($B20,'Trình bày T1'!$B:$M,6,0)</f>
        <v>0</v>
      </c>
      <c r="F20" s="40">
        <f>VLOOKUP($B20,'Trình bày T1'!$B:$M,7,0)</f>
        <v>0</v>
      </c>
      <c r="G20" s="46">
        <f t="shared" si="13"/>
        <v>0</v>
      </c>
      <c r="H20" s="42">
        <f>VLOOKUP($B20,'Trình bày T1'!$B:$M,9,0)</f>
        <v>1130.6153846153845</v>
      </c>
      <c r="I20" s="46"/>
      <c r="J20" s="53"/>
      <c r="K20" s="71">
        <f>VLOOKUP($B20,'Trình bày T1'!$B:$M,12,0)</f>
        <v>0</v>
      </c>
      <c r="L20" s="5">
        <f>VLOOKUP($B20,'Trình bày T2'!$B:$M,6,0)</f>
        <v>0</v>
      </c>
      <c r="M20" s="40">
        <f>VLOOKUP($B20,'Trình bày T2'!$B:$M,7,0)</f>
        <v>0</v>
      </c>
      <c r="N20" s="46">
        <f t="shared" si="16"/>
        <v>0</v>
      </c>
      <c r="O20" s="42">
        <f>VLOOKUP($B20,'Trình bày T2'!$B:$M,9,0)</f>
        <v>1109.2830188679245</v>
      </c>
      <c r="P20" s="46"/>
      <c r="Q20" s="53"/>
      <c r="R20" s="71">
        <f>VLOOKUP($B20,'Trình bày T2'!$B:$M,12,0)</f>
        <v>0</v>
      </c>
      <c r="S20" s="5">
        <f>VLOOKUP($B20,'Trình bày T3'!$B:$M,6,0)</f>
        <v>0</v>
      </c>
      <c r="T20" s="40">
        <f>VLOOKUP($B20,'Trình bày T3'!$B:$M,7,0)</f>
        <v>0</v>
      </c>
      <c r="U20" s="46">
        <f t="shared" ref="U18:U28" si="23">T20-S20</f>
        <v>0</v>
      </c>
      <c r="V20" s="42">
        <f>VLOOKUP($B20,'Trình bày T3'!$B:$M,9,0)</f>
        <v>1109.2830188679245</v>
      </c>
      <c r="W20" s="46"/>
      <c r="X20" s="53"/>
      <c r="Y20" s="71">
        <f>VLOOKUP($B20,'Trình bày T3'!$B:$M,12,0)</f>
        <v>0</v>
      </c>
      <c r="Z20" s="5">
        <f>VLOOKUP($B20,'Trình bày T4'!$B:$M,6,0)</f>
        <v>0</v>
      </c>
      <c r="AA20" s="40">
        <f>VLOOKUP($B20,'Trình bày T4'!$B:$M,7,0)</f>
        <v>0</v>
      </c>
      <c r="AB20" s="46">
        <f t="shared" si="19"/>
        <v>0</v>
      </c>
      <c r="AC20" s="42">
        <f>VLOOKUP($B20,'Trình bày T4'!$B:$M,9,0)</f>
        <v>1109.2830188679245</v>
      </c>
      <c r="AD20" s="46"/>
      <c r="AE20" s="53"/>
      <c r="AF20" s="71">
        <f>VLOOKUP($B20,'Trình bày T4'!$B:$M,12,0)</f>
        <v>0</v>
      </c>
    </row>
    <row r="21" spans="1:32" outlineLevel="1">
      <c r="A21" s="9">
        <f t="shared" si="22"/>
        <v>4</v>
      </c>
      <c r="B21" s="4" t="s">
        <v>123</v>
      </c>
      <c r="C21" s="4" t="s">
        <v>9</v>
      </c>
      <c r="D21" s="24"/>
      <c r="E21" s="5">
        <f>VLOOKUP($B21,'Trình bày T1'!$B:$M,6,0)</f>
        <v>0</v>
      </c>
      <c r="F21" s="40">
        <f>VLOOKUP($B21,'Trình bày T1'!$B:$M,7,0)</f>
        <v>0</v>
      </c>
      <c r="G21" s="46">
        <f t="shared" si="13"/>
        <v>0</v>
      </c>
      <c r="H21" s="42">
        <f>VLOOKUP($B21,'Trình bày T1'!$B:$M,9,0)</f>
        <v>1045.1153846153845</v>
      </c>
      <c r="I21" s="46"/>
      <c r="J21" s="53"/>
      <c r="K21" s="71">
        <f>VLOOKUP($B21,'Trình bày T1'!$B:$M,12,0)</f>
        <v>0</v>
      </c>
      <c r="L21" s="5">
        <f>VLOOKUP($B21,'Trình bày T2'!$B:$M,6,0)</f>
        <v>0</v>
      </c>
      <c r="M21" s="40">
        <f>VLOOKUP($B21,'Trình bày T2'!$B:$M,7,0)</f>
        <v>0</v>
      </c>
      <c r="N21" s="46">
        <f t="shared" si="16"/>
        <v>0</v>
      </c>
      <c r="O21" s="42">
        <f>VLOOKUP($B21,'Trình bày T2'!$B:$M,9,0)</f>
        <v>0</v>
      </c>
      <c r="P21" s="46"/>
      <c r="Q21" s="53"/>
      <c r="R21" s="71">
        <f>VLOOKUP($B21,'Trình bày T2'!$B:$M,12,0)</f>
        <v>0</v>
      </c>
      <c r="S21" s="5" t="e">
        <f>VLOOKUP($B21,'Trình bày T3'!$B:$M,6,0)</f>
        <v>#N/A</v>
      </c>
      <c r="T21" s="40" t="e">
        <f>VLOOKUP($B21,'Trình bày T3'!$B:$M,7,0)</f>
        <v>#N/A</v>
      </c>
      <c r="U21" s="46" t="e">
        <f t="shared" si="23"/>
        <v>#N/A</v>
      </c>
      <c r="V21" s="42" t="e">
        <f>VLOOKUP($B21,'Trình bày T3'!$B:$M,9,0)</f>
        <v>#N/A</v>
      </c>
      <c r="W21" s="46"/>
      <c r="X21" s="53"/>
      <c r="Y21" s="71" t="e">
        <f>VLOOKUP($B21,'Trình bày T3'!$B:$M,12,0)</f>
        <v>#N/A</v>
      </c>
      <c r="Z21" s="5">
        <f>VLOOKUP($B21,'Trình bày T4'!$B:$M,6,0)</f>
        <v>0</v>
      </c>
      <c r="AA21" s="40">
        <f>VLOOKUP($B21,'Trình bày T4'!$B:$M,7,0)</f>
        <v>0</v>
      </c>
      <c r="AB21" s="46">
        <f t="shared" si="19"/>
        <v>0</v>
      </c>
      <c r="AC21" s="42">
        <f>VLOOKUP($B21,'Trình bày T4'!$B:$M,9,0)</f>
        <v>0</v>
      </c>
      <c r="AD21" s="46"/>
      <c r="AE21" s="53"/>
      <c r="AF21" s="71">
        <f>VLOOKUP($B21,'Trình bày T4'!$B:$M,12,0)</f>
        <v>0</v>
      </c>
    </row>
    <row r="22" spans="1:32" outlineLevel="1">
      <c r="A22" s="9">
        <f t="shared" si="22"/>
        <v>5</v>
      </c>
      <c r="B22" s="4" t="s">
        <v>132</v>
      </c>
      <c r="C22" s="4" t="s">
        <v>18</v>
      </c>
      <c r="D22" s="24"/>
      <c r="E22" s="5">
        <f>VLOOKUP($B22,'Trình bày T1'!$B:$M,6,0)</f>
        <v>0</v>
      </c>
      <c r="F22" s="40">
        <f>VLOOKUP($B22,'Trình bày T1'!$B:$M,7,0)</f>
        <v>0</v>
      </c>
      <c r="G22" s="46">
        <f t="shared" si="13"/>
        <v>0</v>
      </c>
      <c r="H22" s="42">
        <f>VLOOKUP($B22,'Trình bày T1'!$B:$M,9,0)</f>
        <v>0</v>
      </c>
      <c r="I22" s="46"/>
      <c r="J22" s="53"/>
      <c r="K22" s="71">
        <f>VLOOKUP($B22,'Trình bày T1'!$B:$M,12,0)</f>
        <v>0</v>
      </c>
      <c r="L22" s="5">
        <f>VLOOKUP($B22,'Trình bày T2'!$B:$M,6,0)</f>
        <v>0</v>
      </c>
      <c r="M22" s="40">
        <f>VLOOKUP($B22,'Trình bày T2'!$B:$M,7,0)</f>
        <v>0</v>
      </c>
      <c r="N22" s="46">
        <f t="shared" si="16"/>
        <v>0</v>
      </c>
      <c r="O22" s="42">
        <f>VLOOKUP($B22,'Trình bày T2'!$B:$M,9,0)</f>
        <v>0</v>
      </c>
      <c r="P22" s="46"/>
      <c r="Q22" s="53"/>
      <c r="R22" s="71">
        <f>VLOOKUP($B22,'Trình bày T2'!$B:$M,12,0)</f>
        <v>0</v>
      </c>
      <c r="S22" s="5" t="e">
        <f>VLOOKUP($B22,'Trình bày T3'!$B:$M,6,0)</f>
        <v>#N/A</v>
      </c>
      <c r="T22" s="40" t="e">
        <f>VLOOKUP($B22,'Trình bày T3'!$B:$M,7,0)</f>
        <v>#N/A</v>
      </c>
      <c r="U22" s="46" t="e">
        <f t="shared" si="23"/>
        <v>#N/A</v>
      </c>
      <c r="V22" s="42" t="e">
        <f>VLOOKUP($B22,'Trình bày T3'!$B:$M,9,0)</f>
        <v>#N/A</v>
      </c>
      <c r="W22" s="46"/>
      <c r="X22" s="53"/>
      <c r="Y22" s="71" t="e">
        <f>VLOOKUP($B22,'Trình bày T3'!$B:$M,12,0)</f>
        <v>#N/A</v>
      </c>
      <c r="Z22" s="5">
        <f>VLOOKUP($B22,'Trình bày T4'!$B:$M,6,0)</f>
        <v>0</v>
      </c>
      <c r="AA22" s="40">
        <f>VLOOKUP($B22,'Trình bày T4'!$B:$M,7,0)</f>
        <v>0</v>
      </c>
      <c r="AB22" s="46">
        <f t="shared" si="19"/>
        <v>0</v>
      </c>
      <c r="AC22" s="42">
        <f>VLOOKUP($B22,'Trình bày T4'!$B:$M,9,0)</f>
        <v>0</v>
      </c>
      <c r="AD22" s="46"/>
      <c r="AE22" s="53"/>
      <c r="AF22" s="71">
        <f>VLOOKUP($B22,'Trình bày T4'!$B:$M,12,0)</f>
        <v>0</v>
      </c>
    </row>
    <row r="23" spans="1:32" outlineLevel="1">
      <c r="A23" s="9">
        <f t="shared" si="22"/>
        <v>6</v>
      </c>
      <c r="B23" s="4" t="s">
        <v>202</v>
      </c>
      <c r="C23" s="4" t="s">
        <v>88</v>
      </c>
      <c r="D23" s="24"/>
      <c r="E23" s="5">
        <f>VLOOKUP($B23,'Trình bày T1'!$B:$M,6,0)</f>
        <v>0</v>
      </c>
      <c r="F23" s="40">
        <f>VLOOKUP($B23,'Trình bày T1'!$B:$M,7,0)</f>
        <v>0</v>
      </c>
      <c r="G23" s="46">
        <f t="shared" si="13"/>
        <v>0</v>
      </c>
      <c r="H23" s="42">
        <f>VLOOKUP($B23,'Trình bày T1'!$B:$M,9,0)</f>
        <v>1056.2692307692307</v>
      </c>
      <c r="I23" s="46"/>
      <c r="J23" s="53"/>
      <c r="K23" s="71">
        <f>VLOOKUP($B23,'Trình bày T1'!$B:$M,12,0)</f>
        <v>0</v>
      </c>
      <c r="L23" s="5">
        <f>VLOOKUP($B23,'Trình bày T2'!$B:$M,6,0)</f>
        <v>0</v>
      </c>
      <c r="M23" s="40">
        <f>VLOOKUP($B23,'Trình bày T2'!$B:$M,7,0)</f>
        <v>0</v>
      </c>
      <c r="N23" s="46">
        <f t="shared" si="16"/>
        <v>0</v>
      </c>
      <c r="O23" s="42">
        <f>VLOOKUP($B23,'Trình bày T2'!$B:$M,9,0)</f>
        <v>1036.3396226415093</v>
      </c>
      <c r="P23" s="46"/>
      <c r="Q23" s="53"/>
      <c r="R23" s="71">
        <f>VLOOKUP($B23,'Trình bày T2'!$B:$M,12,0)</f>
        <v>0</v>
      </c>
      <c r="S23" s="5">
        <f>VLOOKUP($B23,'Trình bày T3'!$B:$M,6,0)</f>
        <v>0</v>
      </c>
      <c r="T23" s="40">
        <f>VLOOKUP($B23,'Trình bày T3'!$B:$M,7,0)</f>
        <v>0</v>
      </c>
      <c r="U23" s="46">
        <f t="shared" si="23"/>
        <v>0</v>
      </c>
      <c r="V23" s="42">
        <f>VLOOKUP($B23,'Trình bày T3'!$B:$M,9,0)</f>
        <v>1042.1886792452831</v>
      </c>
      <c r="W23" s="46"/>
      <c r="X23" s="53"/>
      <c r="Y23" s="71">
        <f>VLOOKUP($B23,'Trình bày T3'!$B:$M,12,0)</f>
        <v>0</v>
      </c>
      <c r="Z23" s="5">
        <f>VLOOKUP($B23,'Trình bày T4'!$B:$M,6,0)</f>
        <v>0</v>
      </c>
      <c r="AA23" s="40">
        <f>VLOOKUP($B23,'Trình bày T4'!$B:$M,7,0)</f>
        <v>0</v>
      </c>
      <c r="AB23" s="46">
        <f t="shared" si="19"/>
        <v>0</v>
      </c>
      <c r="AC23" s="42">
        <f>VLOOKUP($B23,'Trình bày T4'!$B:$M,9,0)</f>
        <v>1042.1886792452831</v>
      </c>
      <c r="AD23" s="46"/>
      <c r="AE23" s="53"/>
      <c r="AF23" s="71">
        <f>VLOOKUP($B23,'Trình bày T4'!$B:$M,12,0)</f>
        <v>0</v>
      </c>
    </row>
    <row r="24" spans="1:32" outlineLevel="1">
      <c r="A24" s="9">
        <f t="shared" si="22"/>
        <v>7</v>
      </c>
      <c r="B24" s="4" t="s">
        <v>122</v>
      </c>
      <c r="C24" s="4" t="s">
        <v>8</v>
      </c>
      <c r="D24" s="24"/>
      <c r="E24" s="5">
        <f>VLOOKUP($B24,'Trình bày T1'!$B:$M,6,0)</f>
        <v>0</v>
      </c>
      <c r="F24" s="40">
        <f>VLOOKUP($B24,'Trình bày T1'!$B:$M,7,0)</f>
        <v>0</v>
      </c>
      <c r="G24" s="46">
        <f t="shared" si="13"/>
        <v>0</v>
      </c>
      <c r="H24" s="42">
        <f>VLOOKUP($B24,'Trình bày T1'!$B:$M,9,0)</f>
        <v>937.65384615384619</v>
      </c>
      <c r="I24" s="46"/>
      <c r="J24" s="53"/>
      <c r="K24" s="71">
        <f>VLOOKUP($B24,'Trình bày T1'!$B:$M,12,0)</f>
        <v>0</v>
      </c>
      <c r="L24" s="5">
        <f>VLOOKUP($B24,'Trình bày T2'!$B:$M,6,0)</f>
        <v>0</v>
      </c>
      <c r="M24" s="40">
        <f>VLOOKUP($B24,'Trình bày T2'!$B:$M,7,0)</f>
        <v>0</v>
      </c>
      <c r="N24" s="46">
        <f t="shared" si="16"/>
        <v>0</v>
      </c>
      <c r="O24" s="42">
        <f>VLOOKUP($B24,'Trình bày T2'!$B:$M,9,0)</f>
        <v>0</v>
      </c>
      <c r="P24" s="46"/>
      <c r="Q24" s="53"/>
      <c r="R24" s="71">
        <f>VLOOKUP($B24,'Trình bày T2'!$B:$M,12,0)</f>
        <v>0</v>
      </c>
      <c r="S24" s="5" t="e">
        <f>VLOOKUP($B24,'Trình bày T3'!$B:$M,6,0)</f>
        <v>#N/A</v>
      </c>
      <c r="T24" s="40" t="e">
        <f>VLOOKUP($B24,'Trình bày T3'!$B:$M,7,0)</f>
        <v>#N/A</v>
      </c>
      <c r="U24" s="46" t="e">
        <f t="shared" si="23"/>
        <v>#N/A</v>
      </c>
      <c r="V24" s="42" t="e">
        <f>VLOOKUP($B24,'Trình bày T3'!$B:$M,9,0)</f>
        <v>#N/A</v>
      </c>
      <c r="W24" s="46"/>
      <c r="X24" s="53"/>
      <c r="Y24" s="71" t="e">
        <f>VLOOKUP($B24,'Trình bày T3'!$B:$M,12,0)</f>
        <v>#N/A</v>
      </c>
      <c r="Z24" s="5">
        <f>VLOOKUP($B24,'Trình bày T4'!$B:$M,6,0)</f>
        <v>0</v>
      </c>
      <c r="AA24" s="40">
        <f>VLOOKUP($B24,'Trình bày T4'!$B:$M,7,0)</f>
        <v>0</v>
      </c>
      <c r="AB24" s="46">
        <f t="shared" si="19"/>
        <v>0</v>
      </c>
      <c r="AC24" s="42">
        <f>VLOOKUP($B24,'Trình bày T4'!$B:$M,9,0)</f>
        <v>0</v>
      </c>
      <c r="AD24" s="46"/>
      <c r="AE24" s="53"/>
      <c r="AF24" s="71">
        <f>VLOOKUP($B24,'Trình bày T4'!$B:$M,12,0)</f>
        <v>0</v>
      </c>
    </row>
    <row r="25" spans="1:32" outlineLevel="1">
      <c r="A25" s="9">
        <f t="shared" si="22"/>
        <v>8</v>
      </c>
      <c r="B25" s="4" t="s">
        <v>146</v>
      </c>
      <c r="C25" s="4" t="s">
        <v>32</v>
      </c>
      <c r="D25" s="24"/>
      <c r="E25" s="5">
        <f>VLOOKUP($B25,'Trình bày T1'!$B:$M,6,0)</f>
        <v>0</v>
      </c>
      <c r="F25" s="40">
        <f>VLOOKUP($B25,'Trình bày T1'!$B:$M,7,0)</f>
        <v>0</v>
      </c>
      <c r="G25" s="46">
        <f t="shared" si="13"/>
        <v>0</v>
      </c>
      <c r="H25" s="42">
        <f>VLOOKUP($B25,'Trình bày T1'!$B:$M,9,0)</f>
        <v>1198.8846153846155</v>
      </c>
      <c r="I25" s="46"/>
      <c r="J25" s="53"/>
      <c r="K25" s="71">
        <f>VLOOKUP($B25,'Trình bày T1'!$B:$M,12,0)</f>
        <v>0</v>
      </c>
      <c r="L25" s="5">
        <f>VLOOKUP($B25,'Trình bày T2'!$B:$M,6,0)</f>
        <v>0</v>
      </c>
      <c r="M25" s="40">
        <f>VLOOKUP($B25,'Trình bày T2'!$B:$M,7,0)</f>
        <v>0</v>
      </c>
      <c r="N25" s="46">
        <f t="shared" si="16"/>
        <v>0</v>
      </c>
      <c r="O25" s="42">
        <f>VLOOKUP($B25,'Trình bày T2'!$B:$M,9,0)</f>
        <v>1176.2641509433963</v>
      </c>
      <c r="P25" s="46"/>
      <c r="Q25" s="53"/>
      <c r="R25" s="71">
        <f>VLOOKUP($B25,'Trình bày T2'!$B:$M,12,0)</f>
        <v>0</v>
      </c>
      <c r="S25" s="5">
        <f>VLOOKUP($B25,'Trình bày T3'!$B:$M,6,0)</f>
        <v>0</v>
      </c>
      <c r="T25" s="40">
        <f>VLOOKUP($B25,'Trình bày T3'!$B:$M,7,0)</f>
        <v>0</v>
      </c>
      <c r="U25" s="46">
        <f t="shared" si="23"/>
        <v>0</v>
      </c>
      <c r="V25" s="42">
        <f>VLOOKUP($B25,'Trình bày T3'!$B:$M,9,0)</f>
        <v>1176.2641509433963</v>
      </c>
      <c r="W25" s="46"/>
      <c r="X25" s="53"/>
      <c r="Y25" s="71">
        <f>VLOOKUP($B25,'Trình bày T3'!$B:$M,12,0)</f>
        <v>0</v>
      </c>
      <c r="Z25" s="5">
        <f>VLOOKUP($B25,'Trình bày T4'!$B:$M,6,0)</f>
        <v>0</v>
      </c>
      <c r="AA25" s="40">
        <f>VLOOKUP($B25,'Trình bày T4'!$B:$M,7,0)</f>
        <v>0</v>
      </c>
      <c r="AB25" s="46">
        <f t="shared" si="19"/>
        <v>0</v>
      </c>
      <c r="AC25" s="42">
        <f>VLOOKUP($B25,'Trình bày T4'!$B:$M,9,0)</f>
        <v>1176.2641509433963</v>
      </c>
      <c r="AD25" s="46"/>
      <c r="AE25" s="53"/>
      <c r="AF25" s="71">
        <f>VLOOKUP($B25,'Trình bày T4'!$B:$M,12,0)</f>
        <v>0</v>
      </c>
    </row>
    <row r="26" spans="1:32" outlineLevel="1">
      <c r="A26" s="9">
        <f t="shared" si="22"/>
        <v>9</v>
      </c>
      <c r="B26" s="4" t="s">
        <v>120</v>
      </c>
      <c r="C26" s="4" t="s">
        <v>6</v>
      </c>
      <c r="D26" s="24"/>
      <c r="E26" s="5">
        <f>VLOOKUP($B26,'Trình bày T1'!$B:$M,6,0)</f>
        <v>0</v>
      </c>
      <c r="F26" s="40">
        <f>VLOOKUP($B27,'Trình bày T1'!$B:$M,7,0)</f>
        <v>0</v>
      </c>
      <c r="G26" s="46">
        <f t="shared" si="13"/>
        <v>0</v>
      </c>
      <c r="H26" s="42">
        <f>VLOOKUP($B29,'Trình bày T1'!$B:$M,9,0)</f>
        <v>0</v>
      </c>
      <c r="I26" s="46"/>
      <c r="J26" s="53"/>
      <c r="K26" s="71" t="e">
        <f>VLOOKUP($B212,'Trình bày T1'!$B:$M,12,0)</f>
        <v>#N/A</v>
      </c>
      <c r="L26" s="5">
        <f>VLOOKUP($B26,'Trình bày T2'!$B:$M,6,0)</f>
        <v>0</v>
      </c>
      <c r="M26" s="40">
        <f>VLOOKUP($B27,'Trình bày T2'!$B:$M,7,0)</f>
        <v>0</v>
      </c>
      <c r="N26" s="46">
        <f t="shared" si="16"/>
        <v>0</v>
      </c>
      <c r="O26" s="42">
        <f>VLOOKUP($B29,'Trình bày T2'!$B:$M,9,0)</f>
        <v>0</v>
      </c>
      <c r="P26" s="46"/>
      <c r="Q26" s="53"/>
      <c r="R26" s="71" t="e">
        <f>VLOOKUP($B212,'Trình bày T2'!$B:$M,12,0)</f>
        <v>#N/A</v>
      </c>
      <c r="S26" s="5" t="e">
        <f>VLOOKUP($B26,'Trình bày T3'!$B:$M,6,0)</f>
        <v>#N/A</v>
      </c>
      <c r="T26" s="40" t="e">
        <f>VLOOKUP($B27,'Trình bày T3'!$B:$M,7,0)</f>
        <v>#N/A</v>
      </c>
      <c r="U26" s="46" t="e">
        <f t="shared" si="23"/>
        <v>#N/A</v>
      </c>
      <c r="V26" s="42">
        <f>VLOOKUP($B29,'Trình bày T3'!$B:$M,9,0)</f>
        <v>0</v>
      </c>
      <c r="W26" s="46"/>
      <c r="X26" s="53"/>
      <c r="Y26" s="71" t="e">
        <f>VLOOKUP($B212,'Trình bày T3'!$B:$M,12,0)</f>
        <v>#N/A</v>
      </c>
      <c r="Z26" s="5">
        <f>VLOOKUP($B26,'Trình bày T4'!$B:$M,6,0)</f>
        <v>0</v>
      </c>
      <c r="AA26" s="40">
        <f>VLOOKUP($B27,'Trình bày T4'!$B:$M,7,0)</f>
        <v>0</v>
      </c>
      <c r="AB26" s="46">
        <f t="shared" si="19"/>
        <v>0</v>
      </c>
      <c r="AC26" s="42">
        <f>VLOOKUP($B29,'Trình bày T4'!$B:$M,9,0)</f>
        <v>0</v>
      </c>
      <c r="AD26" s="46"/>
      <c r="AE26" s="53"/>
      <c r="AF26" s="71" t="e">
        <f>VLOOKUP($B212,'Trình bày T4'!$B:$M,12,0)</f>
        <v>#N/A</v>
      </c>
    </row>
    <row r="27" spans="1:32" outlineLevel="1">
      <c r="A27" s="9">
        <f t="shared" si="22"/>
        <v>10</v>
      </c>
      <c r="B27" s="4" t="s">
        <v>119</v>
      </c>
      <c r="C27" s="4" t="s">
        <v>5</v>
      </c>
      <c r="D27" s="24"/>
      <c r="E27" s="5">
        <f>VLOOKUP($B27,'Trình bày T1'!$B:$M,6,0)</f>
        <v>0</v>
      </c>
      <c r="F27" s="40">
        <f>VLOOKUP($B27,'Trình bày T1'!$B:$M,7,0)</f>
        <v>0</v>
      </c>
      <c r="G27" s="46">
        <f t="shared" si="13"/>
        <v>0</v>
      </c>
      <c r="H27" s="42">
        <f>VLOOKUP($B29,'Trình bày T1'!$B:$M,9,0)</f>
        <v>0</v>
      </c>
      <c r="I27" s="46"/>
      <c r="J27" s="53"/>
      <c r="K27" s="71" t="e">
        <f>VLOOKUP($B212,'Trình bày T1'!$B:$M,12,0)</f>
        <v>#N/A</v>
      </c>
      <c r="L27" s="5">
        <f>VLOOKUP($B27,'Trình bày T2'!$B:$M,6,0)</f>
        <v>0</v>
      </c>
      <c r="M27" s="40">
        <f>VLOOKUP($B27,'Trình bày T2'!$B:$M,7,0)</f>
        <v>0</v>
      </c>
      <c r="N27" s="46">
        <f t="shared" si="16"/>
        <v>0</v>
      </c>
      <c r="O27" s="42">
        <f>VLOOKUP($B29,'Trình bày T2'!$B:$M,9,0)</f>
        <v>0</v>
      </c>
      <c r="P27" s="46"/>
      <c r="Q27" s="53"/>
      <c r="R27" s="71" t="e">
        <f>VLOOKUP($B212,'Trình bày T2'!$B:$M,12,0)</f>
        <v>#N/A</v>
      </c>
      <c r="S27" s="5" t="e">
        <f>VLOOKUP($B27,'Trình bày T3'!$B:$M,6,0)</f>
        <v>#N/A</v>
      </c>
      <c r="T27" s="40" t="e">
        <f>VLOOKUP($B27,'Trình bày T3'!$B:$M,7,0)</f>
        <v>#N/A</v>
      </c>
      <c r="U27" s="46" t="e">
        <f t="shared" si="23"/>
        <v>#N/A</v>
      </c>
      <c r="V27" s="42">
        <f>VLOOKUP($B29,'Trình bày T3'!$B:$M,9,0)</f>
        <v>0</v>
      </c>
      <c r="W27" s="46"/>
      <c r="X27" s="53"/>
      <c r="Y27" s="71" t="e">
        <f>VLOOKUP($B212,'Trình bày T3'!$B:$M,12,0)</f>
        <v>#N/A</v>
      </c>
      <c r="Z27" s="5">
        <f>VLOOKUP($B27,'Trình bày T4'!$B:$M,6,0)</f>
        <v>0</v>
      </c>
      <c r="AA27" s="40">
        <f>VLOOKUP($B27,'Trình bày T4'!$B:$M,7,0)</f>
        <v>0</v>
      </c>
      <c r="AB27" s="46">
        <f t="shared" si="19"/>
        <v>0</v>
      </c>
      <c r="AC27" s="42">
        <f>VLOOKUP($B29,'Trình bày T4'!$B:$M,9,0)</f>
        <v>0</v>
      </c>
      <c r="AD27" s="46"/>
      <c r="AE27" s="53"/>
      <c r="AF27" s="71" t="e">
        <f>VLOOKUP($B212,'Trình bày T4'!$B:$M,12,0)</f>
        <v>#N/A</v>
      </c>
    </row>
    <row r="28" spans="1:32" outlineLevel="1">
      <c r="A28" s="9">
        <f t="shared" si="22"/>
        <v>11</v>
      </c>
      <c r="B28" s="4" t="s">
        <v>206</v>
      </c>
      <c r="C28" s="4" t="s">
        <v>92</v>
      </c>
      <c r="D28" s="24"/>
      <c r="E28" s="5">
        <f>VLOOKUP($B28,'Trình bày T1'!$B:$M,6,0)</f>
        <v>0</v>
      </c>
      <c r="F28" s="40">
        <f>VLOOKUP($B28,'Trình bày T1'!$B:$M,7,0)</f>
        <v>0</v>
      </c>
      <c r="G28" s="46">
        <f t="shared" si="13"/>
        <v>0</v>
      </c>
      <c r="H28" s="41">
        <f>VLOOKUP($B28,'Trình bày T1'!$B:$M,9,0)</f>
        <v>0</v>
      </c>
      <c r="I28" s="46"/>
      <c r="J28" s="53"/>
      <c r="K28" s="71">
        <f>VLOOKUP($B28,'Trình bày T1'!$B:$M,12,0)</f>
        <v>0</v>
      </c>
      <c r="L28" s="5">
        <f>VLOOKUP($B28,'Trình bày T2'!$B:$M,6,0)</f>
        <v>0</v>
      </c>
      <c r="M28" s="40">
        <f>VLOOKUP($B28,'Trình bày T2'!$B:$M,7,0)</f>
        <v>0</v>
      </c>
      <c r="N28" s="46">
        <f t="shared" si="16"/>
        <v>0</v>
      </c>
      <c r="O28" s="41">
        <f>VLOOKUP($B28,'Trình bày T2'!$B:$M,9,0)</f>
        <v>0</v>
      </c>
      <c r="P28" s="46"/>
      <c r="Q28" s="53"/>
      <c r="R28" s="71">
        <f>VLOOKUP($B28,'Trình bày T2'!$B:$M,12,0)</f>
        <v>0</v>
      </c>
      <c r="S28" s="5" t="e">
        <f>VLOOKUP($B28,'Trình bày T3'!$B:$M,6,0)</f>
        <v>#N/A</v>
      </c>
      <c r="T28" s="40" t="e">
        <f>VLOOKUP($B28,'Trình bày T3'!$B:$M,7,0)</f>
        <v>#N/A</v>
      </c>
      <c r="U28" s="46" t="e">
        <f t="shared" si="23"/>
        <v>#N/A</v>
      </c>
      <c r="V28" s="41" t="e">
        <f>VLOOKUP($B28,'Trình bày T3'!$B:$M,9,0)</f>
        <v>#N/A</v>
      </c>
      <c r="W28" s="46"/>
      <c r="X28" s="53"/>
      <c r="Y28" s="71" t="e">
        <f>VLOOKUP($B28,'Trình bày T3'!$B:$M,12,0)</f>
        <v>#N/A</v>
      </c>
      <c r="Z28" s="5">
        <f>VLOOKUP($B28,'Trình bày T4'!$B:$M,6,0)</f>
        <v>0</v>
      </c>
      <c r="AA28" s="40">
        <f>VLOOKUP($B28,'Trình bày T4'!$B:$M,7,0)</f>
        <v>0</v>
      </c>
      <c r="AB28" s="46">
        <f t="shared" si="19"/>
        <v>0</v>
      </c>
      <c r="AC28" s="41">
        <f>VLOOKUP($B28,'Trình bày T4'!$B:$M,9,0)</f>
        <v>0</v>
      </c>
      <c r="AD28" s="46"/>
      <c r="AE28" s="53"/>
      <c r="AF28" s="71">
        <f>VLOOKUP($B28,'Trình bày T4'!$B:$M,12,0)</f>
        <v>0</v>
      </c>
    </row>
    <row r="29" spans="1:32" s="18" customFormat="1" ht="15.5">
      <c r="A29" s="12" t="s">
        <v>243</v>
      </c>
      <c r="B29" s="13" t="s">
        <v>291</v>
      </c>
      <c r="C29" s="13"/>
      <c r="D29" s="23"/>
      <c r="E29" s="13"/>
      <c r="F29" s="130"/>
      <c r="G29" s="131"/>
      <c r="H29" s="132"/>
      <c r="I29" s="47"/>
      <c r="J29" s="54"/>
      <c r="K29" s="72"/>
      <c r="L29" s="13"/>
      <c r="M29" s="130"/>
      <c r="N29" s="131"/>
      <c r="O29" s="132"/>
      <c r="P29" s="47"/>
      <c r="Q29" s="54"/>
      <c r="R29" s="72"/>
      <c r="S29" s="13"/>
      <c r="T29" s="130"/>
      <c r="U29" s="131"/>
      <c r="V29" s="132"/>
      <c r="W29" s="47"/>
      <c r="X29" s="54"/>
      <c r="Y29" s="72"/>
      <c r="Z29" s="13"/>
      <c r="AA29" s="130"/>
      <c r="AB29" s="131"/>
      <c r="AC29" s="132"/>
      <c r="AD29" s="47"/>
      <c r="AE29" s="54"/>
      <c r="AF29" s="72"/>
    </row>
    <row r="30" spans="1:32" outlineLevel="1">
      <c r="A30" s="9">
        <v>1</v>
      </c>
      <c r="B30" s="4" t="s">
        <v>201</v>
      </c>
      <c r="C30" s="4" t="s">
        <v>87</v>
      </c>
      <c r="D30" s="24"/>
      <c r="E30" s="5">
        <f>VLOOKUP($B30,'Trình bày T1'!$B:$M,6,0)</f>
        <v>810</v>
      </c>
      <c r="F30" s="40">
        <f>VLOOKUP($B30,'Trình bày T1'!$B:$M,7,0)</f>
        <v>810</v>
      </c>
      <c r="G30" s="46">
        <f>F30-E30</f>
        <v>0</v>
      </c>
      <c r="H30" s="42">
        <f>VLOOKUP($B30,'Trình bày T1'!$B:$M,9,0)</f>
        <v>931.34533966904087</v>
      </c>
      <c r="I30" s="46">
        <f t="shared" ref="I30:I32" si="24">(F30-H30)</f>
        <v>-121.34533966904087</v>
      </c>
      <c r="J30" s="53">
        <f t="shared" ref="J30:J32" si="25">+I30/F30</f>
        <v>-0.14980906131980354</v>
      </c>
      <c r="K30" s="71">
        <f>VLOOKUP($B30,'Trình bày T1'!$B:$M,12,0)</f>
        <v>800</v>
      </c>
      <c r="L30" s="5">
        <f>VLOOKUP($B30,'Trình bày T2'!$B:$M,6,0)</f>
        <v>770</v>
      </c>
      <c r="M30" s="40">
        <f>VLOOKUP($B30,'Trình bày T2'!$B:$M,7,0)</f>
        <v>770</v>
      </c>
      <c r="N30" s="46">
        <f>M30-L30</f>
        <v>0</v>
      </c>
      <c r="O30" s="42">
        <f>VLOOKUP($B30,'Trình bày T2'!$B:$M,9,0)</f>
        <v>921</v>
      </c>
      <c r="P30" s="46">
        <f t="shared" ref="P30:P32" si="26">(M30-O30)</f>
        <v>-151</v>
      </c>
      <c r="Q30" s="53">
        <f t="shared" ref="Q30:Q32" si="27">+P30/M30</f>
        <v>-0.19610389610389611</v>
      </c>
      <c r="R30" s="71">
        <f>VLOOKUP($B30,'Trình bày T2'!$B:$M,12,0)</f>
        <v>0</v>
      </c>
      <c r="S30" s="5">
        <f>VLOOKUP($B30,'Trình bày T3'!$B:$M,6,0)</f>
        <v>770</v>
      </c>
      <c r="T30" s="40">
        <f>VLOOKUP($B30,'Trình bày T3'!$B:$M,7,0)</f>
        <v>770</v>
      </c>
      <c r="U30" s="46">
        <f>T30-S30</f>
        <v>0</v>
      </c>
      <c r="V30" s="42">
        <f>VLOOKUP($B30,'Trình bày T3'!$B:$M,9,0)</f>
        <v>853</v>
      </c>
      <c r="W30" s="46">
        <f t="shared" ref="W30:W32" si="28">(T30-V30)</f>
        <v>-83</v>
      </c>
      <c r="X30" s="53">
        <f t="shared" ref="X30:X32" si="29">+W30/T30</f>
        <v>-0.10779220779220779</v>
      </c>
      <c r="Y30" s="71">
        <f>VLOOKUP($B30,'Trình bày T3'!$B:$M,12,0)</f>
        <v>0</v>
      </c>
      <c r="Z30" s="5">
        <f>VLOOKUP($B30,'Trình bày T4'!$B:$M,6,0)</f>
        <v>770</v>
      </c>
      <c r="AA30" s="40">
        <f>VLOOKUP($B30,'Trình bày T4'!$B:$M,7,0)</f>
        <v>0</v>
      </c>
      <c r="AB30" s="46">
        <f>AA30-Z30</f>
        <v>-770</v>
      </c>
      <c r="AC30" s="42">
        <f>VLOOKUP($B30,'Trình bày T4'!$B:$M,9,0)</f>
        <v>858</v>
      </c>
      <c r="AD30" s="46">
        <f t="shared" ref="AD30:AD32" si="30">(AA30-AC30)</f>
        <v>-858</v>
      </c>
      <c r="AE30" s="53" t="e">
        <f t="shared" ref="AE30:AE32" si="31">+AD30/AA30</f>
        <v>#DIV/0!</v>
      </c>
      <c r="AF30" s="71">
        <f>VLOOKUP($B30,'Trình bày T4'!$B:$M,12,0)</f>
        <v>0</v>
      </c>
    </row>
    <row r="31" spans="1:32" outlineLevel="1">
      <c r="A31" s="9">
        <f>A30+1</f>
        <v>2</v>
      </c>
      <c r="B31" s="4" t="s">
        <v>182</v>
      </c>
      <c r="C31" s="4" t="s">
        <v>68</v>
      </c>
      <c r="D31" s="24"/>
      <c r="E31" s="5">
        <f>VLOOKUP($B31,'Trình bày T1'!$B:$M,6,0)</f>
        <v>760</v>
      </c>
      <c r="F31" s="40">
        <f>VLOOKUP($B31,'Trình bày T1'!$B:$M,7,0)</f>
        <v>760</v>
      </c>
      <c r="G31" s="46">
        <f t="shared" ref="G31:G36" si="32">F31-E31</f>
        <v>0</v>
      </c>
      <c r="H31" s="42">
        <f>VLOOKUP($B31,'Trình bày T1'!$B:$M,9,0)</f>
        <v>957.10021689508881</v>
      </c>
      <c r="I31" s="46">
        <f t="shared" si="24"/>
        <v>-197.10021689508881</v>
      </c>
      <c r="J31" s="53">
        <f t="shared" si="25"/>
        <v>-0.25934239065143266</v>
      </c>
      <c r="K31" s="71">
        <f>VLOOKUP($B31,'Trình bày T1'!$B:$M,12,0)</f>
        <v>750</v>
      </c>
      <c r="L31" s="5">
        <f>VLOOKUP($B31,'Trình bày T2'!$B:$M,6,0)</f>
        <v>720</v>
      </c>
      <c r="M31" s="40">
        <f>VLOOKUP($B31,'Trình bày T2'!$B:$M,7,0)</f>
        <v>720</v>
      </c>
      <c r="N31" s="46">
        <f t="shared" ref="N31:N36" si="33">M31-L31</f>
        <v>0</v>
      </c>
      <c r="O31" s="42">
        <f>VLOOKUP($B31,'Trình bày T2'!$B:$M,9,0)</f>
        <v>949</v>
      </c>
      <c r="P31" s="46">
        <f t="shared" si="26"/>
        <v>-229</v>
      </c>
      <c r="Q31" s="53">
        <f t="shared" si="27"/>
        <v>-0.31805555555555554</v>
      </c>
      <c r="R31" s="71">
        <f>VLOOKUP($B31,'Trình bày T2'!$B:$M,12,0)</f>
        <v>0</v>
      </c>
      <c r="S31" s="5">
        <f>VLOOKUP($B31,'Trình bày T3'!$B:$M,6,0)</f>
        <v>720</v>
      </c>
      <c r="T31" s="40">
        <f>VLOOKUP($B31,'Trình bày T3'!$B:$M,7,0)</f>
        <v>720</v>
      </c>
      <c r="U31" s="46">
        <f t="shared" ref="U31:U36" si="34">T31-S31</f>
        <v>0</v>
      </c>
      <c r="V31" s="42">
        <f>VLOOKUP($B31,'Trình bày T3'!$B:$M,9,0)</f>
        <v>880</v>
      </c>
      <c r="W31" s="46">
        <f t="shared" si="28"/>
        <v>-160</v>
      </c>
      <c r="X31" s="53">
        <f t="shared" si="29"/>
        <v>-0.22222222222222221</v>
      </c>
      <c r="Y31" s="71">
        <f>VLOOKUP($B31,'Trình bày T3'!$B:$M,12,0)</f>
        <v>0</v>
      </c>
      <c r="Z31" s="5">
        <f>VLOOKUP($B31,'Trình bày T4'!$B:$M,6,0)</f>
        <v>720</v>
      </c>
      <c r="AA31" s="40">
        <f>VLOOKUP($B31,'Trình bày T4'!$B:$M,7,0)</f>
        <v>0</v>
      </c>
      <c r="AB31" s="46">
        <f t="shared" ref="AB31:AB36" si="35">AA31-Z31</f>
        <v>-720</v>
      </c>
      <c r="AC31" s="42">
        <f>VLOOKUP($B31,'Trình bày T4'!$B:$M,9,0)</f>
        <v>884</v>
      </c>
      <c r="AD31" s="46">
        <f t="shared" si="30"/>
        <v>-884</v>
      </c>
      <c r="AE31" s="53" t="e">
        <f t="shared" si="31"/>
        <v>#DIV/0!</v>
      </c>
      <c r="AF31" s="71">
        <f>VLOOKUP($B31,'Trình bày T4'!$B:$M,12,0)</f>
        <v>0</v>
      </c>
    </row>
    <row r="32" spans="1:32" outlineLevel="1">
      <c r="A32" s="9">
        <v>2</v>
      </c>
      <c r="B32" s="4" t="s">
        <v>150</v>
      </c>
      <c r="C32" s="4" t="s">
        <v>36</v>
      </c>
      <c r="D32" s="24"/>
      <c r="E32" s="5">
        <f>VLOOKUP($B32,'Trình bày T1'!$B:$M,6,0)</f>
        <v>1070</v>
      </c>
      <c r="F32" s="40">
        <f>VLOOKUP($B32,'Trình bày T1'!$B:$M,7,0)</f>
        <v>1070</v>
      </c>
      <c r="G32" s="46">
        <f t="shared" si="32"/>
        <v>0</v>
      </c>
      <c r="H32" s="42">
        <f>VLOOKUP($B32,'Trình bày T1'!$B:$M,9,0)</f>
        <v>582.96769144813777</v>
      </c>
      <c r="I32" s="46">
        <f t="shared" si="24"/>
        <v>487.03230855186223</v>
      </c>
      <c r="J32" s="53">
        <f t="shared" si="25"/>
        <v>0.4551703818241703</v>
      </c>
      <c r="K32" s="71">
        <f>VLOOKUP($B32,'Trình bày T1'!$B:$M,12,0)</f>
        <v>0</v>
      </c>
      <c r="L32" s="5">
        <f>VLOOKUP($B32,'Trình bày T2'!$B:$M,6,0)</f>
        <v>1030</v>
      </c>
      <c r="M32" s="40">
        <f>VLOOKUP($B32,'Trình bày T2'!$B:$M,7,0)</f>
        <v>1030</v>
      </c>
      <c r="N32" s="46">
        <f t="shared" si="33"/>
        <v>0</v>
      </c>
      <c r="O32" s="42">
        <f>VLOOKUP($B32,'Trình bày T2'!$B:$M,9,0)</f>
        <v>559</v>
      </c>
      <c r="P32" s="46">
        <f t="shared" si="26"/>
        <v>471</v>
      </c>
      <c r="Q32" s="53">
        <f t="shared" si="27"/>
        <v>0.45728155339805826</v>
      </c>
      <c r="R32" s="71">
        <f>VLOOKUP($B32,'Trình bày T2'!$B:$M,12,0)</f>
        <v>0</v>
      </c>
      <c r="S32" s="5">
        <f>VLOOKUP($B32,'Trình bày T3'!$B:$M,6,0)</f>
        <v>1030</v>
      </c>
      <c r="T32" s="40">
        <f>VLOOKUP($B32,'Trình bày T3'!$B:$M,7,0)</f>
        <v>1030</v>
      </c>
      <c r="U32" s="46">
        <f t="shared" si="34"/>
        <v>0</v>
      </c>
      <c r="V32" s="42">
        <f>VLOOKUP($B32,'Trình bày T3'!$B:$M,9,0)</f>
        <v>517</v>
      </c>
      <c r="W32" s="46">
        <f t="shared" si="28"/>
        <v>513</v>
      </c>
      <c r="X32" s="53">
        <f t="shared" si="29"/>
        <v>0.49805825242718449</v>
      </c>
      <c r="Y32" s="71">
        <f>VLOOKUP($B32,'Trình bày T3'!$B:$M,12,0)</f>
        <v>0</v>
      </c>
      <c r="Z32" s="5">
        <f>VLOOKUP($B32,'Trình bày T4'!$B:$M,6,0)</f>
        <v>1030</v>
      </c>
      <c r="AA32" s="40">
        <f>VLOOKUP($B32,'Trình bày T4'!$B:$M,7,0)</f>
        <v>1150</v>
      </c>
      <c r="AB32" s="46">
        <f t="shared" si="35"/>
        <v>120</v>
      </c>
      <c r="AC32" s="42">
        <f>VLOOKUP($B32,'Trình bày T4'!$B:$M,9,0)</f>
        <v>521</v>
      </c>
      <c r="AD32" s="46">
        <f t="shared" si="30"/>
        <v>629</v>
      </c>
      <c r="AE32" s="53">
        <f t="shared" si="31"/>
        <v>0.54695652173913045</v>
      </c>
      <c r="AF32" s="71">
        <f>VLOOKUP($B32,'Trình bày T4'!$B:$M,12,0)</f>
        <v>0</v>
      </c>
    </row>
    <row r="33" spans="1:32" outlineLevel="1">
      <c r="A33" s="9">
        <f t="shared" ref="A33" si="36">A32+1</f>
        <v>3</v>
      </c>
      <c r="B33" s="4" t="s">
        <v>152</v>
      </c>
      <c r="C33" s="4" t="s">
        <v>38</v>
      </c>
      <c r="D33" s="24"/>
      <c r="E33" s="5">
        <f>VLOOKUP($B33,'Trình bày T1'!$B:$M,6,0)</f>
        <v>0</v>
      </c>
      <c r="F33" s="40">
        <f>VLOOKUP($B33,'Trình bày T1'!$B:$M,7,0)</f>
        <v>0</v>
      </c>
      <c r="G33" s="46">
        <f t="shared" si="32"/>
        <v>0</v>
      </c>
      <c r="H33" s="41">
        <f>VLOOKUP($B33,'Trình bày T1'!$B:$M,9,0)</f>
        <v>0</v>
      </c>
      <c r="I33" s="46"/>
      <c r="J33" s="53"/>
      <c r="K33" s="71">
        <f>VLOOKUP($B33,'Trình bày T1'!$B:$M,12,0)</f>
        <v>0</v>
      </c>
      <c r="L33" s="5">
        <f>VLOOKUP($B33,'Trình bày T2'!$B:$M,6,0)</f>
        <v>0</v>
      </c>
      <c r="M33" s="40">
        <f>VLOOKUP($B33,'Trình bày T2'!$B:$M,7,0)</f>
        <v>0</v>
      </c>
      <c r="N33" s="46">
        <f t="shared" si="33"/>
        <v>0</v>
      </c>
      <c r="O33" s="41">
        <f>VLOOKUP($B33,'Trình bày T2'!$B:$M,9,0)</f>
        <v>0</v>
      </c>
      <c r="P33" s="46"/>
      <c r="Q33" s="53"/>
      <c r="R33" s="71">
        <f>VLOOKUP($B33,'Trình bày T2'!$B:$M,12,0)</f>
        <v>0</v>
      </c>
      <c r="S33" s="5">
        <f>VLOOKUP($B33,'Trình bày T3'!$B:$M,6,0)</f>
        <v>0</v>
      </c>
      <c r="T33" s="40">
        <f>VLOOKUP($B33,'Trình bày T3'!$B:$M,7,0)</f>
        <v>0</v>
      </c>
      <c r="U33" s="46">
        <f t="shared" si="34"/>
        <v>0</v>
      </c>
      <c r="V33" s="41">
        <f>VLOOKUP($B33,'Trình bày T3'!$B:$M,9,0)</f>
        <v>0</v>
      </c>
      <c r="W33" s="46"/>
      <c r="X33" s="53"/>
      <c r="Y33" s="71">
        <f>VLOOKUP($B33,'Trình bày T3'!$B:$M,12,0)</f>
        <v>0</v>
      </c>
      <c r="Z33" s="5">
        <f>VLOOKUP($B33,'Trình bày T4'!$B:$M,6,0)</f>
        <v>0</v>
      </c>
      <c r="AA33" s="40">
        <f>VLOOKUP($B33,'Trình bày T4'!$B:$M,7,0)</f>
        <v>0</v>
      </c>
      <c r="AB33" s="46">
        <f t="shared" si="35"/>
        <v>0</v>
      </c>
      <c r="AC33" s="41">
        <f>VLOOKUP($B33,'Trình bày T4'!$B:$M,9,0)</f>
        <v>0</v>
      </c>
      <c r="AD33" s="46"/>
      <c r="AE33" s="53"/>
      <c r="AF33" s="71">
        <f>VLOOKUP($B33,'Trình bày T4'!$B:$M,12,0)</f>
        <v>0</v>
      </c>
    </row>
    <row r="34" spans="1:32" outlineLevel="1">
      <c r="A34" s="9">
        <v>3</v>
      </c>
      <c r="B34" s="4" t="s">
        <v>149</v>
      </c>
      <c r="C34" s="4" t="s">
        <v>35</v>
      </c>
      <c r="D34" s="24"/>
      <c r="E34" s="5">
        <f>VLOOKUP($B34,'Trình bày T1'!$B:$M,6,0)</f>
        <v>1070</v>
      </c>
      <c r="F34" s="40">
        <f>VLOOKUP($B34,'Trình bày T1'!$B:$M,7,0)</f>
        <v>1070</v>
      </c>
      <c r="G34" s="46">
        <f t="shared" si="32"/>
        <v>0</v>
      </c>
      <c r="H34" s="42">
        <f>VLOOKUP($B34,'Trình bày T1'!$B:$M,9,0)</f>
        <v>646.08292221736849</v>
      </c>
      <c r="I34" s="46">
        <f t="shared" ref="I34:I36" si="37">(F34-H34)</f>
        <v>423.91707778263151</v>
      </c>
      <c r="J34" s="53">
        <f t="shared" ref="J34:J36" si="38">+I34/F34</f>
        <v>0.39618418484358087</v>
      </c>
      <c r="K34" s="71">
        <f>VLOOKUP($B34,'Trình bày T1'!$B:$M,12,0)</f>
        <v>0</v>
      </c>
      <c r="L34" s="5">
        <f>VLOOKUP($B34,'Trình bày T2'!$B:$M,6,0)</f>
        <v>1030</v>
      </c>
      <c r="M34" s="40">
        <f>VLOOKUP($B34,'Trình bày T2'!$B:$M,7,0)</f>
        <v>1030</v>
      </c>
      <c r="N34" s="46">
        <f t="shared" si="33"/>
        <v>0</v>
      </c>
      <c r="O34" s="42">
        <f>VLOOKUP($B34,'Trình bày T2'!$B:$M,9,0)</f>
        <v>621</v>
      </c>
      <c r="P34" s="46">
        <f t="shared" ref="P34:P36" si="39">(M34-O34)</f>
        <v>409</v>
      </c>
      <c r="Q34" s="53">
        <f t="shared" ref="Q34:Q36" si="40">+P34/M34</f>
        <v>0.3970873786407767</v>
      </c>
      <c r="R34" s="71">
        <f>VLOOKUP($B34,'Trình bày T2'!$B:$M,12,0)</f>
        <v>0</v>
      </c>
      <c r="S34" s="5">
        <f>VLOOKUP($B34,'Trình bày T3'!$B:$M,6,0)</f>
        <v>1030</v>
      </c>
      <c r="T34" s="40">
        <f>VLOOKUP($B34,'Trình bày T3'!$B:$M,7,0)</f>
        <v>1030</v>
      </c>
      <c r="U34" s="46">
        <f t="shared" si="34"/>
        <v>0</v>
      </c>
      <c r="V34" s="42">
        <f>VLOOKUP($B34,'Trình bày T3'!$B:$M,9,0)</f>
        <v>579</v>
      </c>
      <c r="W34" s="46">
        <f t="shared" ref="W34:W36" si="41">(T34-V34)</f>
        <v>451</v>
      </c>
      <c r="X34" s="53">
        <f t="shared" ref="X34:X36" si="42">+W34/T34</f>
        <v>0.43786407766990293</v>
      </c>
      <c r="Y34" s="71">
        <f>VLOOKUP($B34,'Trình bày T3'!$B:$M,12,0)</f>
        <v>0</v>
      </c>
      <c r="Z34" s="5">
        <f>VLOOKUP($B34,'Trình bày T4'!$B:$M,6,0)</f>
        <v>1030</v>
      </c>
      <c r="AA34" s="40">
        <f>VLOOKUP($B34,'Trình bày T4'!$B:$M,7,0)</f>
        <v>1150</v>
      </c>
      <c r="AB34" s="46">
        <f t="shared" si="35"/>
        <v>120</v>
      </c>
      <c r="AC34" s="42">
        <f>VLOOKUP($B34,'Trình bày T4'!$B:$M,9,0)</f>
        <v>592</v>
      </c>
      <c r="AD34" s="46">
        <f t="shared" ref="AD34:AD36" si="43">(AA34-AC34)</f>
        <v>558</v>
      </c>
      <c r="AE34" s="53">
        <f t="shared" ref="AE34:AE36" si="44">+AD34/AA34</f>
        <v>0.48521739130434782</v>
      </c>
      <c r="AF34" s="71">
        <f>VLOOKUP($B34,'Trình bày T4'!$B:$M,12,0)</f>
        <v>0</v>
      </c>
    </row>
    <row r="35" spans="1:32" outlineLevel="1">
      <c r="A35" s="9">
        <f t="shared" ref="A35" si="45">A34+1</f>
        <v>4</v>
      </c>
      <c r="B35" s="4" t="s">
        <v>154</v>
      </c>
      <c r="C35" s="4" t="s">
        <v>40</v>
      </c>
      <c r="D35" s="24"/>
      <c r="E35" s="5">
        <f>VLOOKUP($B35,'Trình bày T1'!$B:$M,6,0)</f>
        <v>1070</v>
      </c>
      <c r="F35" s="40">
        <f>VLOOKUP($B35,'Trình bày T1'!$B:$M,7,0)</f>
        <v>1070</v>
      </c>
      <c r="G35" s="46">
        <f t="shared" si="32"/>
        <v>0</v>
      </c>
      <c r="H35" s="42">
        <f>VLOOKUP($B35,'Trình bày T1'!$B:$M,9,0)</f>
        <v>736.55619144813772</v>
      </c>
      <c r="I35" s="46">
        <f t="shared" si="37"/>
        <v>333.44380855186228</v>
      </c>
      <c r="J35" s="53">
        <f t="shared" si="38"/>
        <v>0.31162972761856289</v>
      </c>
      <c r="K35" s="71">
        <f>VLOOKUP($B35,'Trình bày T1'!$B:$M,12,0)</f>
        <v>0</v>
      </c>
      <c r="L35" s="5">
        <f>VLOOKUP($B35,'Trình bày T2'!$B:$M,6,0)</f>
        <v>1030</v>
      </c>
      <c r="M35" s="40">
        <f>VLOOKUP($B35,'Trình bày T2'!$B:$M,7,0)</f>
        <v>1030</v>
      </c>
      <c r="N35" s="46">
        <f t="shared" si="33"/>
        <v>0</v>
      </c>
      <c r="O35" s="42">
        <f>VLOOKUP($B35,'Trình bày T2'!$B:$M,9,0)</f>
        <v>710</v>
      </c>
      <c r="P35" s="46">
        <f t="shared" si="39"/>
        <v>320</v>
      </c>
      <c r="Q35" s="53">
        <f t="shared" si="40"/>
        <v>0.31067961165048541</v>
      </c>
      <c r="R35" s="71">
        <f>VLOOKUP($B35,'Trình bày T2'!$B:$M,12,0)</f>
        <v>0</v>
      </c>
      <c r="S35" s="5">
        <f>VLOOKUP($B35,'Trình bày T3'!$B:$M,6,0)</f>
        <v>1030</v>
      </c>
      <c r="T35" s="40">
        <f>VLOOKUP($B35,'Trình bày T3'!$B:$M,7,0)</f>
        <v>1030</v>
      </c>
      <c r="U35" s="46">
        <f t="shared" si="34"/>
        <v>0</v>
      </c>
      <c r="V35" s="42">
        <f>VLOOKUP($B35,'Trình bày T3'!$B:$M,9,0)</f>
        <v>668</v>
      </c>
      <c r="W35" s="46">
        <f t="shared" si="41"/>
        <v>362</v>
      </c>
      <c r="X35" s="53">
        <f t="shared" si="42"/>
        <v>0.35145631067961164</v>
      </c>
      <c r="Y35" s="71">
        <f>VLOOKUP($B35,'Trình bày T3'!$B:$M,12,0)</f>
        <v>0</v>
      </c>
      <c r="Z35" s="5">
        <f>VLOOKUP($B35,'Trình bày T4'!$B:$M,6,0)</f>
        <v>1030</v>
      </c>
      <c r="AA35" s="40">
        <f>VLOOKUP($B35,'Trình bày T4'!$B:$M,7,0)</f>
        <v>1150</v>
      </c>
      <c r="AB35" s="46">
        <f t="shared" si="35"/>
        <v>120</v>
      </c>
      <c r="AC35" s="42">
        <f>VLOOKUP($B35,'Trình bày T4'!$B:$M,9,0)</f>
        <v>1210.6037735849056</v>
      </c>
      <c r="AD35" s="46">
        <f t="shared" si="43"/>
        <v>-60.603773584905639</v>
      </c>
      <c r="AE35" s="53">
        <f t="shared" si="44"/>
        <v>-5.2698933552091862E-2</v>
      </c>
      <c r="AF35" s="71">
        <f>VLOOKUP($B35,'Trình bày T4'!$B:$M,12,0)</f>
        <v>0</v>
      </c>
    </row>
    <row r="36" spans="1:32" outlineLevel="1">
      <c r="A36" s="9">
        <v>4</v>
      </c>
      <c r="B36" s="4" t="s">
        <v>200</v>
      </c>
      <c r="C36" s="4" t="s">
        <v>86</v>
      </c>
      <c r="D36" s="24"/>
      <c r="E36" s="5">
        <f>VLOOKUP($B36,'Trình bày T1'!$B:$M,6,0)</f>
        <v>610</v>
      </c>
      <c r="F36" s="40">
        <f>VLOOKUP($B37,'Trình bày T1'!$B:$M,7,0)</f>
        <v>0</v>
      </c>
      <c r="G36" s="46">
        <f t="shared" si="32"/>
        <v>-610</v>
      </c>
      <c r="H36" s="42">
        <f>VLOOKUP($B39,'Trình bày T1'!$B:$M,9,0)</f>
        <v>0</v>
      </c>
      <c r="I36" s="46">
        <f t="shared" si="37"/>
        <v>0</v>
      </c>
      <c r="J36" s="53" t="e">
        <f t="shared" si="38"/>
        <v>#DIV/0!</v>
      </c>
      <c r="K36" s="71" t="e">
        <f>VLOOKUP($B312,'Trình bày T1'!$B:$M,12,0)</f>
        <v>#N/A</v>
      </c>
      <c r="L36" s="5">
        <f>VLOOKUP($B36,'Trình bày T2'!$B:$M,6,0)</f>
        <v>570</v>
      </c>
      <c r="M36" s="40">
        <f>VLOOKUP($B37,'Trình bày T2'!$B:$M,7,0)</f>
        <v>0</v>
      </c>
      <c r="N36" s="46">
        <f t="shared" si="33"/>
        <v>-570</v>
      </c>
      <c r="O36" s="42">
        <f>VLOOKUP($B39,'Trình bày T2'!$B:$M,9,0)</f>
        <v>0</v>
      </c>
      <c r="P36" s="46">
        <f t="shared" si="39"/>
        <v>0</v>
      </c>
      <c r="Q36" s="53" t="e">
        <f t="shared" si="40"/>
        <v>#DIV/0!</v>
      </c>
      <c r="R36" s="71" t="e">
        <f>VLOOKUP($B312,'Trình bày T2'!$B:$M,12,0)</f>
        <v>#N/A</v>
      </c>
      <c r="S36" s="5">
        <f>VLOOKUP($B36,'Trình bày T3'!$B:$M,6,0)</f>
        <v>570</v>
      </c>
      <c r="T36" s="40">
        <f>VLOOKUP($B37,'Trình bày T3'!$B:$M,7,0)</f>
        <v>0</v>
      </c>
      <c r="U36" s="46">
        <f t="shared" si="34"/>
        <v>-570</v>
      </c>
      <c r="V36" s="42">
        <f>VLOOKUP($B39,'Trình bày T3'!$B:$M,9,0)</f>
        <v>0</v>
      </c>
      <c r="W36" s="46">
        <f t="shared" si="41"/>
        <v>0</v>
      </c>
      <c r="X36" s="53" t="e">
        <f t="shared" si="42"/>
        <v>#DIV/0!</v>
      </c>
      <c r="Y36" s="71" t="e">
        <f>VLOOKUP($B312,'Trình bày T3'!$B:$M,12,0)</f>
        <v>#N/A</v>
      </c>
      <c r="Z36" s="5">
        <f>VLOOKUP($B36,'Trình bày T4'!$B:$M,6,0)</f>
        <v>570</v>
      </c>
      <c r="AA36" s="40">
        <f>VLOOKUP($B37,'Trình bày T4'!$B:$M,7,0)</f>
        <v>0</v>
      </c>
      <c r="AB36" s="46">
        <f t="shared" si="35"/>
        <v>-570</v>
      </c>
      <c r="AC36" s="42">
        <f>VLOOKUP($B39,'Trình bày T4'!$B:$M,9,0)</f>
        <v>0</v>
      </c>
      <c r="AD36" s="46">
        <f t="shared" si="43"/>
        <v>0</v>
      </c>
      <c r="AE36" s="53" t="e">
        <f t="shared" si="44"/>
        <v>#DIV/0!</v>
      </c>
      <c r="AF36" s="71" t="e">
        <f>VLOOKUP($B312,'Trình bày T4'!$B:$M,12,0)</f>
        <v>#N/A</v>
      </c>
    </row>
    <row r="37" spans="1:32" s="19" customFormat="1" outlineLevel="1">
      <c r="A37" s="9">
        <f t="shared" ref="A37" si="46">A36+1</f>
        <v>5</v>
      </c>
      <c r="B37" s="8" t="s">
        <v>177</v>
      </c>
      <c r="C37" s="8" t="s">
        <v>63</v>
      </c>
      <c r="D37" s="25"/>
      <c r="E37" s="133">
        <f>VLOOKUP($B37,'Trình bày T1'!$B:$M,6,0)</f>
        <v>0</v>
      </c>
      <c r="F37" s="40">
        <f>VLOOKUP($B37,'Trình bày T1'!$B:$M,7,0)</f>
        <v>0</v>
      </c>
      <c r="G37" s="46"/>
      <c r="H37" s="134">
        <f>VLOOKUP($B39,'Trình bày T1'!$B:$M,9,0)</f>
        <v>0</v>
      </c>
      <c r="I37" s="46"/>
      <c r="J37" s="53"/>
      <c r="K37" s="71" t="e">
        <f>VLOOKUP($B312,'Trình bày T1'!$B:$M,12,0)</f>
        <v>#N/A</v>
      </c>
      <c r="L37" s="133">
        <f>VLOOKUP($B37,'Trình bày T2'!$B:$M,6,0)</f>
        <v>0</v>
      </c>
      <c r="M37" s="40">
        <f>VLOOKUP($B37,'Trình bày T2'!$B:$M,7,0)</f>
        <v>0</v>
      </c>
      <c r="N37" s="46"/>
      <c r="O37" s="134">
        <f>VLOOKUP($B39,'Trình bày T2'!$B:$M,9,0)</f>
        <v>0</v>
      </c>
      <c r="P37" s="46"/>
      <c r="Q37" s="53"/>
      <c r="R37" s="71" t="e">
        <f>VLOOKUP($B312,'Trình bày T2'!$B:$M,12,0)</f>
        <v>#N/A</v>
      </c>
      <c r="S37" s="133">
        <f>VLOOKUP($B37,'Trình bày T3'!$B:$M,6,0)</f>
        <v>0</v>
      </c>
      <c r="T37" s="40">
        <f>VLOOKUP($B37,'Trình bày T3'!$B:$M,7,0)</f>
        <v>0</v>
      </c>
      <c r="U37" s="46"/>
      <c r="V37" s="134">
        <f>VLOOKUP($B39,'Trình bày T3'!$B:$M,9,0)</f>
        <v>0</v>
      </c>
      <c r="W37" s="46"/>
      <c r="X37" s="53"/>
      <c r="Y37" s="71" t="e">
        <f>VLOOKUP($B312,'Trình bày T3'!$B:$M,12,0)</f>
        <v>#N/A</v>
      </c>
      <c r="Z37" s="133">
        <f>VLOOKUP($B37,'Trình bày T4'!$B:$M,6,0)</f>
        <v>0</v>
      </c>
      <c r="AA37" s="40">
        <f>VLOOKUP($B37,'Trình bày T4'!$B:$M,7,0)</f>
        <v>0</v>
      </c>
      <c r="AB37" s="46"/>
      <c r="AC37" s="134">
        <f>VLOOKUP($B39,'Trình bày T4'!$B:$M,9,0)</f>
        <v>0</v>
      </c>
      <c r="AD37" s="46"/>
      <c r="AE37" s="53"/>
      <c r="AF37" s="71" t="e">
        <f>VLOOKUP($B312,'Trình bày T4'!$B:$M,12,0)</f>
        <v>#N/A</v>
      </c>
    </row>
    <row r="38" spans="1:32" s="18" customFormat="1" ht="15.5">
      <c r="A38" s="14" t="s">
        <v>258</v>
      </c>
      <c r="B38" s="15" t="s">
        <v>266</v>
      </c>
      <c r="C38" s="15"/>
      <c r="D38" s="22"/>
      <c r="E38" s="15"/>
      <c r="F38" s="135"/>
      <c r="G38" s="136"/>
      <c r="H38" s="137"/>
      <c r="I38" s="48"/>
      <c r="J38" s="55"/>
      <c r="K38" s="73"/>
      <c r="L38" s="15"/>
      <c r="M38" s="135"/>
      <c r="N38" s="136"/>
      <c r="O38" s="137"/>
      <c r="P38" s="48"/>
      <c r="Q38" s="55"/>
      <c r="R38" s="73"/>
      <c r="S38" s="15"/>
      <c r="T38" s="135"/>
      <c r="U38" s="136"/>
      <c r="V38" s="137"/>
      <c r="W38" s="48"/>
      <c r="X38" s="55"/>
      <c r="Y38" s="73"/>
      <c r="Z38" s="15"/>
      <c r="AA38" s="135"/>
      <c r="AB38" s="136"/>
      <c r="AC38" s="137"/>
      <c r="AD38" s="48"/>
      <c r="AE38" s="55"/>
      <c r="AF38" s="73"/>
    </row>
    <row r="39" spans="1:32" s="18" customFormat="1" ht="15.5">
      <c r="A39" s="12" t="s">
        <v>239</v>
      </c>
      <c r="B39" s="13" t="s">
        <v>240</v>
      </c>
      <c r="C39" s="13"/>
      <c r="D39" s="23"/>
      <c r="E39" s="13"/>
      <c r="F39" s="130"/>
      <c r="G39" s="131"/>
      <c r="H39" s="132"/>
      <c r="I39" s="47"/>
      <c r="J39" s="54"/>
      <c r="K39" s="72"/>
      <c r="L39" s="13"/>
      <c r="M39" s="130"/>
      <c r="N39" s="131"/>
      <c r="O39" s="132"/>
      <c r="P39" s="47"/>
      <c r="Q39" s="54"/>
      <c r="R39" s="72"/>
      <c r="S39" s="13"/>
      <c r="T39" s="130"/>
      <c r="U39" s="131"/>
      <c r="V39" s="132"/>
      <c r="W39" s="47"/>
      <c r="X39" s="54"/>
      <c r="Y39" s="72"/>
      <c r="Z39" s="13"/>
      <c r="AA39" s="130"/>
      <c r="AB39" s="131"/>
      <c r="AC39" s="132"/>
      <c r="AD39" s="47"/>
      <c r="AE39" s="54"/>
      <c r="AF39" s="72"/>
    </row>
    <row r="40" spans="1:32" outlineLevel="1">
      <c r="A40" s="9">
        <v>1</v>
      </c>
      <c r="B40" s="4" t="s">
        <v>126</v>
      </c>
      <c r="C40" s="4" t="s">
        <v>12</v>
      </c>
      <c r="D40" s="24" t="s">
        <v>230</v>
      </c>
      <c r="E40" s="5">
        <f>VLOOKUP($B40,'Trình bày T1'!$B:$M,6,0)</f>
        <v>0</v>
      </c>
      <c r="F40" s="40">
        <f>VLOOKUP($B40,'Trình bày T1'!$B:$M,7,0)</f>
        <v>0</v>
      </c>
      <c r="G40" s="46">
        <f t="shared" ref="G40:G46" si="47">F40-E40</f>
        <v>0</v>
      </c>
      <c r="H40" s="42">
        <f>VLOOKUP($B40,'Trình bày T1'!$B:$M,9,0)</f>
        <v>0</v>
      </c>
      <c r="I40" s="46"/>
      <c r="J40" s="53"/>
      <c r="K40" s="71">
        <f>VLOOKUP($B40,'Trình bày T1'!$B:$M,12,0)</f>
        <v>0</v>
      </c>
      <c r="L40" s="5">
        <f>VLOOKUP($B40,'Trình bày T2'!$B:$M,6,0)</f>
        <v>0</v>
      </c>
      <c r="M40" s="40">
        <f>VLOOKUP($B40,'Trình bày T2'!$B:$M,7,0)</f>
        <v>0</v>
      </c>
      <c r="N40" s="46">
        <f t="shared" ref="N40:N46" si="48">M40-L40</f>
        <v>0</v>
      </c>
      <c r="O40" s="42">
        <f>VLOOKUP($B40,'Trình bày T2'!$B:$M,9,0)</f>
        <v>1083.9521515147321</v>
      </c>
      <c r="P40" s="46"/>
      <c r="Q40" s="53"/>
      <c r="R40" s="71">
        <f>VLOOKUP($B40,'Trình bày T2'!$B:$M,12,0)</f>
        <v>0</v>
      </c>
      <c r="S40" s="5">
        <f>VLOOKUP($B40,'Trình bày T3'!$B:$M,6,0)</f>
        <v>0</v>
      </c>
      <c r="T40" s="40">
        <f>VLOOKUP($B40,'Trình bày T3'!$B:$M,7,0)</f>
        <v>0</v>
      </c>
      <c r="U40" s="46">
        <f t="shared" ref="U40:U46" si="49">T40-S40</f>
        <v>0</v>
      </c>
      <c r="V40" s="42">
        <f>VLOOKUP($B40,'Trình bày T3'!$B:$M,9,0)</f>
        <v>1076</v>
      </c>
      <c r="W40" s="46"/>
      <c r="X40" s="53"/>
      <c r="Y40" s="71">
        <f>VLOOKUP($B40,'Trình bày T3'!$B:$M,12,0)</f>
        <v>0</v>
      </c>
      <c r="Z40" s="5">
        <f>VLOOKUP($B40,'Trình bày T4'!$B:$M,6,0)</f>
        <v>0</v>
      </c>
      <c r="AA40" s="40">
        <f>VLOOKUP($B40,'Trình bày T4'!$B:$M,7,0)</f>
        <v>0</v>
      </c>
      <c r="AB40" s="46">
        <f t="shared" ref="AB40:AB46" si="50">AA40-Z40</f>
        <v>0</v>
      </c>
      <c r="AC40" s="42">
        <f>VLOOKUP($B40,'Trình bày T4'!$B:$M,9,0)</f>
        <v>1113</v>
      </c>
      <c r="AD40" s="46"/>
      <c r="AE40" s="53"/>
      <c r="AF40" s="71">
        <f>VLOOKUP($B40,'Trình bày T4'!$B:$M,12,0)</f>
        <v>0</v>
      </c>
    </row>
    <row r="41" spans="1:32" outlineLevel="1">
      <c r="A41" s="9">
        <f>+A40+1</f>
        <v>2</v>
      </c>
      <c r="B41" s="4" t="s">
        <v>173</v>
      </c>
      <c r="C41" s="4" t="s">
        <v>59</v>
      </c>
      <c r="D41" s="24" t="s">
        <v>227</v>
      </c>
      <c r="E41" s="5">
        <f>VLOOKUP($B41,'Trình bày T1'!$B:$M,6,0)</f>
        <v>0</v>
      </c>
      <c r="F41" s="40">
        <f>VLOOKUP($B41,'Trình bày T1'!$B:$M,7,0)</f>
        <v>0</v>
      </c>
      <c r="G41" s="46">
        <f t="shared" si="47"/>
        <v>0</v>
      </c>
      <c r="H41" s="42">
        <f>VLOOKUP($B41,'Trình bày T1'!$B:$M,9,0)</f>
        <v>0</v>
      </c>
      <c r="I41" s="46"/>
      <c r="J41" s="53"/>
      <c r="K41" s="71">
        <f>VLOOKUP($B41,'Trình bày T1'!$B:$M,12,0)</f>
        <v>0</v>
      </c>
      <c r="L41" s="5">
        <f>VLOOKUP($B41,'Trình bày T2'!$B:$M,6,0)</f>
        <v>0</v>
      </c>
      <c r="M41" s="40">
        <f>VLOOKUP($B41,'Trình bày T2'!$B:$M,7,0)</f>
        <v>0</v>
      </c>
      <c r="N41" s="46">
        <f t="shared" si="48"/>
        <v>0</v>
      </c>
      <c r="O41" s="42">
        <f>VLOOKUP($B41,'Trình bày T2'!$B:$M,9,0)</f>
        <v>1078.3594385603442</v>
      </c>
      <c r="P41" s="46"/>
      <c r="Q41" s="53"/>
      <c r="R41" s="71">
        <f>VLOOKUP($B41,'Trình bày T2'!$B:$M,12,0)</f>
        <v>0</v>
      </c>
      <c r="S41" s="5">
        <f>VLOOKUP($B41,'Trình bày T3'!$B:$M,6,0)</f>
        <v>0</v>
      </c>
      <c r="T41" s="40">
        <f>VLOOKUP($B41,'Trình bày T3'!$B:$M,7,0)</f>
        <v>0</v>
      </c>
      <c r="U41" s="46">
        <f t="shared" si="49"/>
        <v>0</v>
      </c>
      <c r="V41" s="42">
        <f>VLOOKUP($B41,'Trình bày T3'!$B:$M,9,0)</f>
        <v>1071.1352871447716</v>
      </c>
      <c r="W41" s="46"/>
      <c r="X41" s="53"/>
      <c r="Y41" s="71">
        <f>VLOOKUP($B41,'Trình bày T3'!$B:$M,12,0)</f>
        <v>0</v>
      </c>
      <c r="Z41" s="5">
        <f>VLOOKUP($B41,'Trình bày T4'!$B:$M,6,0)</f>
        <v>0</v>
      </c>
      <c r="AA41" s="40">
        <f>VLOOKUP($B41,'Trình bày T4'!$B:$M,7,0)</f>
        <v>0</v>
      </c>
      <c r="AB41" s="46">
        <f t="shared" si="50"/>
        <v>0</v>
      </c>
      <c r="AC41" s="42">
        <f>VLOOKUP($B41,'Trình bày T4'!$B:$M,9,0)</f>
        <v>1263.5849056603774</v>
      </c>
      <c r="AD41" s="46"/>
      <c r="AE41" s="53"/>
      <c r="AF41" s="71">
        <f>VLOOKUP($B41,'Trình bày T4'!$B:$M,12,0)</f>
        <v>0</v>
      </c>
    </row>
    <row r="42" spans="1:32" outlineLevel="1">
      <c r="A42" s="9">
        <f t="shared" ref="A42:A46" si="51">+A41+1</f>
        <v>3</v>
      </c>
      <c r="B42" s="4" t="s">
        <v>145</v>
      </c>
      <c r="C42" s="4" t="s">
        <v>31</v>
      </c>
      <c r="D42" s="24" t="s">
        <v>230</v>
      </c>
      <c r="E42" s="5">
        <f>VLOOKUP($B42,'Trình bày T1'!$B:$M,6,0)</f>
        <v>1200</v>
      </c>
      <c r="F42" s="40">
        <f>VLOOKUP($B42,'Trình bày T1'!$B:$M,7,0)</f>
        <v>1200</v>
      </c>
      <c r="G42" s="46">
        <f t="shared" si="47"/>
        <v>0</v>
      </c>
      <c r="H42" s="42">
        <f>VLOOKUP($B42,'Trình bày T1'!$B:$M,9,0)</f>
        <v>1111.3107354114027</v>
      </c>
      <c r="I42" s="46">
        <f t="shared" ref="I42:I43" si="52">(F42-H42)</f>
        <v>88.689264588597325</v>
      </c>
      <c r="J42" s="53">
        <f t="shared" ref="J42:J43" si="53">+I42/F42</f>
        <v>7.3907720490497777E-2</v>
      </c>
      <c r="K42" s="71">
        <f>VLOOKUP($B42,'Trình bày T1'!$B:$M,12,0)</f>
        <v>1150</v>
      </c>
      <c r="L42" s="5">
        <f>VLOOKUP($B42,'Trình bày T2'!$B:$M,6,0)</f>
        <v>1200</v>
      </c>
      <c r="M42" s="40">
        <f>VLOOKUP($B42,'Trình bày T2'!$B:$M,7,0)</f>
        <v>1200</v>
      </c>
      <c r="N42" s="46">
        <f t="shared" si="48"/>
        <v>0</v>
      </c>
      <c r="O42" s="42">
        <f>VLOOKUP($B42,'Trình bày T2'!$B:$M,9,0)</f>
        <v>1083.9521515147321</v>
      </c>
      <c r="P42" s="46">
        <f t="shared" ref="P42:P43" si="54">(M42-O42)</f>
        <v>116.04784848526788</v>
      </c>
      <c r="Q42" s="53">
        <f t="shared" ref="Q42:Q43" si="55">+P42/M42</f>
        <v>9.6706540404389904E-2</v>
      </c>
      <c r="R42" s="71">
        <f>VLOOKUP($B42,'Trình bày T2'!$B:$M,12,0)</f>
        <v>0</v>
      </c>
      <c r="S42" s="5">
        <f>VLOOKUP($B42,'Trình bày T3'!$B:$M,6,0)</f>
        <v>1200</v>
      </c>
      <c r="T42" s="40">
        <f>VLOOKUP($B42,'Trình bày T3'!$B:$M,7,0)</f>
        <v>1200</v>
      </c>
      <c r="U42" s="46">
        <f t="shared" si="49"/>
        <v>0</v>
      </c>
      <c r="V42" s="42">
        <f>VLOOKUP($B42,'Trình bày T3'!$B:$M,9,0)</f>
        <v>1076</v>
      </c>
      <c r="W42" s="46">
        <f t="shared" ref="W42:W43" si="56">(T42-V42)</f>
        <v>124</v>
      </c>
      <c r="X42" s="53">
        <f t="shared" ref="X42:X43" si="57">+W42/T42</f>
        <v>0.10333333333333333</v>
      </c>
      <c r="Y42" s="71">
        <f>VLOOKUP($B42,'Trình bày T3'!$B:$M,12,0)</f>
        <v>0</v>
      </c>
      <c r="Z42" s="5">
        <f>VLOOKUP($B42,'Trình bày T4'!$B:$M,6,0)</f>
        <v>1200</v>
      </c>
      <c r="AA42" s="40">
        <f>VLOOKUP($B42,'Trình bày T4'!$B:$M,7,0)</f>
        <v>1300</v>
      </c>
      <c r="AB42" s="46">
        <f t="shared" si="50"/>
        <v>100</v>
      </c>
      <c r="AC42" s="42">
        <f>VLOOKUP($B42,'Trình bày T4'!$B:$M,9,0)</f>
        <v>1052.7547169811321</v>
      </c>
      <c r="AD42" s="46">
        <f t="shared" ref="AD42:AD43" si="58">(AA42-AC42)</f>
        <v>247.24528301886789</v>
      </c>
      <c r="AE42" s="53">
        <f t="shared" ref="AE42:AE43" si="59">+AD42/AA42</f>
        <v>0.19018867924528299</v>
      </c>
      <c r="AF42" s="71">
        <f>VLOOKUP($B42,'Trình bày T4'!$B:$M,12,0)</f>
        <v>0</v>
      </c>
    </row>
    <row r="43" spans="1:32" outlineLevel="1">
      <c r="A43" s="9">
        <f t="shared" si="51"/>
        <v>4</v>
      </c>
      <c r="B43" s="4" t="s">
        <v>280</v>
      </c>
      <c r="C43" s="4" t="s">
        <v>281</v>
      </c>
      <c r="D43" s="24" t="s">
        <v>230</v>
      </c>
      <c r="E43" s="5">
        <f>VLOOKUP($B43,'Trình bày T1'!$B:$M,6,0)</f>
        <v>1300</v>
      </c>
      <c r="F43" s="40">
        <f>VLOOKUP($B43,'Trình bày T1'!$B:$M,7,0)</f>
        <v>1300</v>
      </c>
      <c r="G43" s="46">
        <f t="shared" si="47"/>
        <v>0</v>
      </c>
      <c r="H43" s="42">
        <f>VLOOKUP($B43,'Trình bày T1'!$B:$M,9,0)</f>
        <v>1133.3107354114027</v>
      </c>
      <c r="I43" s="46">
        <f t="shared" si="52"/>
        <v>166.68926458859733</v>
      </c>
      <c r="J43" s="53">
        <f t="shared" si="53"/>
        <v>0.12822251122199793</v>
      </c>
      <c r="K43" s="71">
        <f>VLOOKUP($B43,'Trình bày T1'!$B:$M,12,0)</f>
        <v>1250</v>
      </c>
      <c r="L43" s="5">
        <f>VLOOKUP($B43,'Trình bày T2'!$B:$M,6,0)</f>
        <v>1300</v>
      </c>
      <c r="M43" s="40">
        <f>VLOOKUP($B43,'Trình bày T2'!$B:$M,7,0)</f>
        <v>1300</v>
      </c>
      <c r="N43" s="46">
        <f t="shared" si="48"/>
        <v>0</v>
      </c>
      <c r="O43" s="42">
        <f>VLOOKUP($B43,'Trình bày T2'!$B:$M,9,0)</f>
        <v>1090.9521515147321</v>
      </c>
      <c r="P43" s="46">
        <f t="shared" si="54"/>
        <v>209.04784848526788</v>
      </c>
      <c r="Q43" s="53">
        <f t="shared" si="55"/>
        <v>0.16080603729635989</v>
      </c>
      <c r="R43" s="71">
        <f>VLOOKUP($B43,'Trình bày T2'!$B:$M,12,0)</f>
        <v>0</v>
      </c>
      <c r="S43" s="5">
        <f>VLOOKUP($B43,'Trình bày T3'!$B:$M,6,0)</f>
        <v>1300</v>
      </c>
      <c r="T43" s="40">
        <f>VLOOKUP($B43,'Trình bày T3'!$B:$M,7,0)</f>
        <v>1300</v>
      </c>
      <c r="U43" s="46">
        <f t="shared" si="49"/>
        <v>0</v>
      </c>
      <c r="V43" s="42">
        <f>VLOOKUP($B43,'Trình bày T3'!$B:$M,9,0)</f>
        <v>1083</v>
      </c>
      <c r="W43" s="46">
        <f t="shared" si="56"/>
        <v>217</v>
      </c>
      <c r="X43" s="53">
        <f t="shared" si="57"/>
        <v>0.16692307692307692</v>
      </c>
      <c r="Y43" s="71">
        <f>VLOOKUP($B43,'Trình bày T3'!$B:$M,12,0)</f>
        <v>0</v>
      </c>
      <c r="Z43" s="5">
        <f>VLOOKUP($B43,'Trình bày T4'!$B:$M,6,0)</f>
        <v>1300</v>
      </c>
      <c r="AA43" s="40">
        <f>VLOOKUP($B43,'Trình bày T4'!$B:$M,7,0)</f>
        <v>1400</v>
      </c>
      <c r="AB43" s="46">
        <f t="shared" si="50"/>
        <v>100</v>
      </c>
      <c r="AC43" s="42">
        <f>VLOOKUP($B43,'Trình bày T4'!$B:$M,9,0)</f>
        <v>1113</v>
      </c>
      <c r="AD43" s="46">
        <f t="shared" si="58"/>
        <v>287</v>
      </c>
      <c r="AE43" s="53">
        <f t="shared" si="59"/>
        <v>0.20499999999999999</v>
      </c>
      <c r="AF43" s="71">
        <f>VLOOKUP($B43,'Trình bày T4'!$B:$M,12,0)</f>
        <v>0</v>
      </c>
    </row>
    <row r="44" spans="1:32" outlineLevel="1">
      <c r="A44" s="9">
        <f t="shared" si="51"/>
        <v>5</v>
      </c>
      <c r="B44" s="4" t="s">
        <v>207</v>
      </c>
      <c r="C44" s="4" t="s">
        <v>93</v>
      </c>
      <c r="D44" s="24" t="s">
        <v>230</v>
      </c>
      <c r="E44" s="5">
        <f>VLOOKUP($B44,'Trình bày T1'!$B:$M,6,0)</f>
        <v>0</v>
      </c>
      <c r="F44" s="40">
        <f>VLOOKUP($B44,'Trình bày T1'!$B:$M,7,0)</f>
        <v>0</v>
      </c>
      <c r="G44" s="46">
        <f>F44-E44</f>
        <v>0</v>
      </c>
      <c r="H44" s="42">
        <f>VLOOKUP($B44,'Trình bày T1'!$B:$M,9,0)</f>
        <v>0</v>
      </c>
      <c r="I44" s="46"/>
      <c r="J44" s="53"/>
      <c r="K44" s="71">
        <f>VLOOKUP($B44,'Trình bày T1'!$B:$M,12,0)</f>
        <v>0</v>
      </c>
      <c r="L44" s="5">
        <f>VLOOKUP($B44,'Trình bày T2'!$B:$M,6,0)</f>
        <v>0</v>
      </c>
      <c r="M44" s="40">
        <f>VLOOKUP($B44,'Trình bày T2'!$B:$M,7,0)</f>
        <v>0</v>
      </c>
      <c r="N44" s="46">
        <f>M44-L44</f>
        <v>0</v>
      </c>
      <c r="O44" s="42">
        <f>VLOOKUP($B44,'Trình bày T2'!$B:$M,9,0)</f>
        <v>0</v>
      </c>
      <c r="P44" s="46"/>
      <c r="Q44" s="53"/>
      <c r="R44" s="71">
        <f>VLOOKUP($B44,'Trình bày T2'!$B:$M,12,0)</f>
        <v>0</v>
      </c>
      <c r="S44" s="5">
        <f>VLOOKUP($B44,'Trình bày T3'!$B:$M,6,0)</f>
        <v>0</v>
      </c>
      <c r="T44" s="40">
        <f>VLOOKUP($B44,'Trình bày T3'!$B:$M,7,0)</f>
        <v>0</v>
      </c>
      <c r="U44" s="46">
        <f>T44-S44</f>
        <v>0</v>
      </c>
      <c r="V44" s="42">
        <f>VLOOKUP($B44,'Trình bày T3'!$B:$M,9,0)</f>
        <v>1083</v>
      </c>
      <c r="W44" s="46"/>
      <c r="X44" s="53"/>
      <c r="Y44" s="71">
        <f>VLOOKUP($B44,'Trình bày T3'!$B:$M,12,0)</f>
        <v>0</v>
      </c>
      <c r="Z44" s="5">
        <f>VLOOKUP($B44,'Trình bày T4'!$B:$M,6,0)</f>
        <v>0</v>
      </c>
      <c r="AA44" s="40">
        <f>VLOOKUP($B44,'Trình bày T4'!$B:$M,7,0)</f>
        <v>0</v>
      </c>
      <c r="AB44" s="46">
        <f>AA44-Z44</f>
        <v>0</v>
      </c>
      <c r="AC44" s="42">
        <f>VLOOKUP($B44,'Trình bày T4'!$B:$M,9,0)</f>
        <v>1120</v>
      </c>
      <c r="AD44" s="46"/>
      <c r="AE44" s="53"/>
      <c r="AF44" s="71">
        <f>VLOOKUP($B44,'Trình bày T4'!$B:$M,12,0)</f>
        <v>0</v>
      </c>
    </row>
    <row r="45" spans="1:32" outlineLevel="1">
      <c r="A45" s="9">
        <f t="shared" si="51"/>
        <v>6</v>
      </c>
      <c r="B45" s="4" t="s">
        <v>172</v>
      </c>
      <c r="C45" s="4" t="s">
        <v>58</v>
      </c>
      <c r="D45" s="24" t="s">
        <v>225</v>
      </c>
      <c r="E45" s="5">
        <f>VLOOKUP($B45,'Trình bày T1'!$B:$M,6,0)</f>
        <v>0</v>
      </c>
      <c r="F45" s="40">
        <f>VLOOKUP($B45,'Trình bày T1'!$B:$M,7,0)</f>
        <v>0</v>
      </c>
      <c r="G45" s="46">
        <f t="shared" si="47"/>
        <v>0</v>
      </c>
      <c r="H45" s="42">
        <f>VLOOKUP($B45,'Trình bày T1'!$B:$M,9,0)</f>
        <v>0</v>
      </c>
      <c r="I45" s="46"/>
      <c r="J45" s="53"/>
      <c r="K45" s="71">
        <f>VLOOKUP($B45,'Trình bày T1'!$B:$M,12,0)</f>
        <v>0</v>
      </c>
      <c r="L45" s="5">
        <f>VLOOKUP($B45,'Trình bày T2'!$B:$M,6,0)</f>
        <v>0</v>
      </c>
      <c r="M45" s="40">
        <f>VLOOKUP($B45,'Trình bày T2'!$B:$M,7,0)</f>
        <v>0</v>
      </c>
      <c r="N45" s="46">
        <f t="shared" ref="N45:N51" si="60">M45-L45</f>
        <v>0</v>
      </c>
      <c r="O45" s="42">
        <f>VLOOKUP($B45,'Trình bày T2'!$B:$M,9,0)</f>
        <v>0</v>
      </c>
      <c r="P45" s="46"/>
      <c r="Q45" s="53"/>
      <c r="R45" s="71">
        <f>VLOOKUP($B45,'Trình bày T2'!$B:$M,12,0)</f>
        <v>0</v>
      </c>
      <c r="S45" s="5">
        <f>VLOOKUP($B45,'Trình bày T3'!$B:$M,6,0)</f>
        <v>0</v>
      </c>
      <c r="T45" s="40">
        <f>VLOOKUP($B45,'Trình bày T3'!$B:$M,7,0)</f>
        <v>0</v>
      </c>
      <c r="U45" s="46">
        <f t="shared" ref="U45:U51" si="61">T45-S45</f>
        <v>0</v>
      </c>
      <c r="V45" s="42">
        <f>VLOOKUP($B45,'Trình bày T3'!$B:$M,9,0)</f>
        <v>1101.2590431031886</v>
      </c>
      <c r="W45" s="46"/>
      <c r="X45" s="53"/>
      <c r="Y45" s="71">
        <f>VLOOKUP($B45,'Trình bày T3'!$B:$M,12,0)</f>
        <v>0</v>
      </c>
      <c r="Z45" s="5">
        <f>VLOOKUP($B45,'Trình bày T4'!$B:$M,6,0)</f>
        <v>0</v>
      </c>
      <c r="AA45" s="40">
        <f>VLOOKUP($B45,'Trình bày T4'!$B:$M,7,0)</f>
        <v>0</v>
      </c>
      <c r="AB45" s="46">
        <f t="shared" ref="AB45:AB51" si="62">AA45-Z45</f>
        <v>0</v>
      </c>
      <c r="AC45" s="42">
        <f>VLOOKUP($B45,'Trình bày T4'!$B:$M,9,0)</f>
        <v>968.64150943396226</v>
      </c>
      <c r="AD45" s="46"/>
      <c r="AE45" s="53"/>
      <c r="AF45" s="71">
        <f>VLOOKUP($B45,'Trình bày T4'!$B:$M,12,0)</f>
        <v>0</v>
      </c>
    </row>
    <row r="46" spans="1:32" outlineLevel="1">
      <c r="A46" s="9">
        <f t="shared" si="51"/>
        <v>7</v>
      </c>
      <c r="B46" s="4" t="s">
        <v>218</v>
      </c>
      <c r="C46" s="4" t="s">
        <v>104</v>
      </c>
      <c r="D46" s="24" t="s">
        <v>225</v>
      </c>
      <c r="E46" s="5">
        <f>VLOOKUP($B46,'Trình bày T1'!$B:$M,6,0)</f>
        <v>1250</v>
      </c>
      <c r="F46" s="40">
        <f>VLOOKUP($B47,'Trình bày T1'!$B:$M,7,0)</f>
        <v>0</v>
      </c>
      <c r="G46" s="46">
        <f t="shared" si="47"/>
        <v>-1250</v>
      </c>
      <c r="H46" s="42">
        <f>VLOOKUP($B49,'Trình bày T1'!$B:$M,9,0)</f>
        <v>1322.8846153846155</v>
      </c>
      <c r="I46" s="46">
        <f t="shared" ref="I46" si="63">(F46-H46)</f>
        <v>-1322.8846153846155</v>
      </c>
      <c r="J46" s="53" t="e">
        <f t="shared" ref="J46" si="64">+I46/F46</f>
        <v>#DIV/0!</v>
      </c>
      <c r="K46" s="71" t="e">
        <f>VLOOKUP($B412,'Trình bày T1'!$B:$M,12,0)</f>
        <v>#N/A</v>
      </c>
      <c r="L46" s="5">
        <f>VLOOKUP($B46,'Trình bày T2'!$B:$M,6,0)</f>
        <v>1250</v>
      </c>
      <c r="M46" s="40">
        <f>VLOOKUP($B47,'Trình bày T2'!$B:$M,7,0)</f>
        <v>0</v>
      </c>
      <c r="N46" s="46">
        <f t="shared" si="60"/>
        <v>-1250</v>
      </c>
      <c r="O46" s="42">
        <f>VLOOKUP($B49,'Trình bày T2'!$B:$M,9,0)</f>
        <v>1297.9245283018868</v>
      </c>
      <c r="P46" s="46">
        <f t="shared" ref="P46" si="65">(M46-O46)</f>
        <v>-1297.9245283018868</v>
      </c>
      <c r="Q46" s="53" t="e">
        <f t="shared" ref="Q46" si="66">+P46/M46</f>
        <v>#DIV/0!</v>
      </c>
      <c r="R46" s="71" t="e">
        <f>VLOOKUP($B412,'Trình bày T2'!$B:$M,12,0)</f>
        <v>#N/A</v>
      </c>
      <c r="S46" s="5">
        <f>VLOOKUP($B46,'Trình bày T3'!$B:$M,6,0)</f>
        <v>1250</v>
      </c>
      <c r="T46" s="40">
        <f>VLOOKUP($B47,'Trình bày T3'!$B:$M,7,0)</f>
        <v>0</v>
      </c>
      <c r="U46" s="46">
        <f t="shared" si="61"/>
        <v>-1250</v>
      </c>
      <c r="V46" s="42">
        <f>VLOOKUP($B49,'Trình bày T3'!$B:$M,9,0)</f>
        <v>1297.9245283018868</v>
      </c>
      <c r="W46" s="46">
        <f t="shared" ref="W46" si="67">(T46-V46)</f>
        <v>-1297.9245283018868</v>
      </c>
      <c r="X46" s="53" t="e">
        <f t="shared" ref="X46" si="68">+W46/T46</f>
        <v>#DIV/0!</v>
      </c>
      <c r="Y46" s="71" t="e">
        <f>VLOOKUP($B412,'Trình bày T3'!$B:$M,12,0)</f>
        <v>#N/A</v>
      </c>
      <c r="Z46" s="5">
        <f>VLOOKUP($B46,'Trình bày T4'!$B:$M,6,0)</f>
        <v>1250</v>
      </c>
      <c r="AA46" s="40">
        <f>VLOOKUP($B47,'Trình bày T4'!$B:$M,7,0)</f>
        <v>0</v>
      </c>
      <c r="AB46" s="46">
        <f t="shared" si="62"/>
        <v>-1250</v>
      </c>
      <c r="AC46" s="42">
        <f>VLOOKUP($B49,'Trình bày T4'!$B:$M,9,0)</f>
        <v>1297.9245283018868</v>
      </c>
      <c r="AD46" s="46">
        <f t="shared" ref="AD46" si="69">(AA46-AC46)</f>
        <v>-1297.9245283018868</v>
      </c>
      <c r="AE46" s="53" t="e">
        <f t="shared" ref="AE46" si="70">+AD46/AA46</f>
        <v>#DIV/0!</v>
      </c>
      <c r="AF46" s="71" t="e">
        <f>VLOOKUP($B412,'Trình bày T4'!$B:$M,12,0)</f>
        <v>#N/A</v>
      </c>
    </row>
    <row r="47" spans="1:32" s="18" customFormat="1" ht="15.5">
      <c r="A47" s="12" t="s">
        <v>241</v>
      </c>
      <c r="B47" s="13" t="s">
        <v>242</v>
      </c>
      <c r="C47" s="13"/>
      <c r="D47" s="23"/>
      <c r="E47" s="13"/>
      <c r="F47" s="130"/>
      <c r="G47" s="47"/>
      <c r="H47" s="132"/>
      <c r="I47" s="47"/>
      <c r="J47" s="54"/>
      <c r="K47" s="72"/>
      <c r="L47" s="13"/>
      <c r="M47" s="130"/>
      <c r="N47" s="47"/>
      <c r="O47" s="132"/>
      <c r="P47" s="47"/>
      <c r="Q47" s="54"/>
      <c r="R47" s="72"/>
      <c r="S47" s="13"/>
      <c r="T47" s="130"/>
      <c r="U47" s="47"/>
      <c r="V47" s="132"/>
      <c r="W47" s="47"/>
      <c r="X47" s="54"/>
      <c r="Y47" s="72"/>
      <c r="Z47" s="13"/>
      <c r="AA47" s="130"/>
      <c r="AB47" s="47"/>
      <c r="AC47" s="132"/>
      <c r="AD47" s="47"/>
      <c r="AE47" s="54"/>
      <c r="AF47" s="72"/>
    </row>
    <row r="48" spans="1:32" outlineLevel="1">
      <c r="A48" s="9">
        <f>1</f>
        <v>1</v>
      </c>
      <c r="B48" s="4" t="s">
        <v>153</v>
      </c>
      <c r="C48" s="4" t="s">
        <v>39</v>
      </c>
      <c r="D48" s="24" t="s">
        <v>230</v>
      </c>
      <c r="E48" s="5">
        <f>VLOOKUP($B48,'Trình bày T1'!$B:$M,6,0)</f>
        <v>1200</v>
      </c>
      <c r="F48" s="40">
        <f>VLOOKUP($B48,'Trình bày T1'!$B:$M,7,0)</f>
        <v>1200</v>
      </c>
      <c r="G48" s="46">
        <f t="shared" ref="G48:G56" si="71">F48-E48</f>
        <v>0</v>
      </c>
      <c r="H48" s="42">
        <f>VLOOKUP($B48,'Trình bày T1'!$B:$M,9,0)</f>
        <v>1213.5769230769231</v>
      </c>
      <c r="I48" s="46">
        <f t="shared" ref="I48:I49" si="72">(F48-H48)</f>
        <v>-13.576923076923094</v>
      </c>
      <c r="J48" s="53">
        <f t="shared" ref="J48:J49" si="73">+I48/F48</f>
        <v>-1.1314102564102578E-2</v>
      </c>
      <c r="K48" s="71">
        <f>VLOOKUP($B48,'Trình bày T1'!$B:$M,12,0)</f>
        <v>1150</v>
      </c>
      <c r="L48" s="5">
        <f>VLOOKUP($B48,'Trình bày T2'!$B:$M,6,0)</f>
        <v>1200</v>
      </c>
      <c r="M48" s="40">
        <f>VLOOKUP($B48,'Trình bày T2'!$B:$M,7,0)</f>
        <v>1200</v>
      </c>
      <c r="N48" s="46">
        <f t="shared" ref="N48:N56" si="74">M48-L48</f>
        <v>0</v>
      </c>
      <c r="O48" s="42">
        <f>VLOOKUP($B48,'Trình bày T2'!$B:$M,9,0)</f>
        <v>1189.2830188679245</v>
      </c>
      <c r="P48" s="46">
        <f t="shared" ref="P48:P49" si="75">(M48-O48)</f>
        <v>10.716981132075489</v>
      </c>
      <c r="Q48" s="53">
        <f t="shared" ref="Q48:Q49" si="76">+P48/M48</f>
        <v>8.9308176100629071E-3</v>
      </c>
      <c r="R48" s="71">
        <f>VLOOKUP($B48,'Trình bày T2'!$B:$M,12,0)</f>
        <v>0</v>
      </c>
      <c r="S48" s="5">
        <f>VLOOKUP($B48,'Trình bày T3'!$B:$M,6,0)</f>
        <v>1200</v>
      </c>
      <c r="T48" s="40">
        <f>VLOOKUP($B48,'Trình bày T3'!$B:$M,7,0)</f>
        <v>1200</v>
      </c>
      <c r="U48" s="46">
        <f t="shared" ref="U48:U56" si="77">T48-S48</f>
        <v>0</v>
      </c>
      <c r="V48" s="42">
        <f>VLOOKUP($B48,'Trình bày T3'!$B:$M,9,0)</f>
        <v>1189.2830188679245</v>
      </c>
      <c r="W48" s="46">
        <f t="shared" ref="W48:W49" si="78">(T48-V48)</f>
        <v>10.716981132075489</v>
      </c>
      <c r="X48" s="53">
        <f t="shared" ref="X48:X49" si="79">+W48/T48</f>
        <v>8.9308176100629071E-3</v>
      </c>
      <c r="Y48" s="71">
        <f>VLOOKUP($B48,'Trình bày T3'!$B:$M,12,0)</f>
        <v>0</v>
      </c>
      <c r="Z48" s="5">
        <f>VLOOKUP($B48,'Trình bày T4'!$B:$M,6,0)</f>
        <v>1200</v>
      </c>
      <c r="AA48" s="40">
        <f>VLOOKUP($B48,'Trình bày T4'!$B:$M,7,0)</f>
        <v>1300</v>
      </c>
      <c r="AB48" s="46">
        <f t="shared" ref="AB48:AB56" si="80">AA48-Z48</f>
        <v>100</v>
      </c>
      <c r="AC48" s="42">
        <f>VLOOKUP($B48,'Trình bày T4'!$B:$M,9,0)</f>
        <v>1189.2830188679245</v>
      </c>
      <c r="AD48" s="46">
        <f t="shared" ref="AD48:AD49" si="81">(AA48-AC48)</f>
        <v>110.71698113207549</v>
      </c>
      <c r="AE48" s="53">
        <f t="shared" ref="AE48:AE49" si="82">+AD48/AA48</f>
        <v>8.5166908563134996E-2</v>
      </c>
      <c r="AF48" s="71">
        <f>VLOOKUP($B48,'Trình bày T4'!$B:$M,12,0)</f>
        <v>0</v>
      </c>
    </row>
    <row r="49" spans="1:32" outlineLevel="1">
      <c r="A49" s="9">
        <f>A48+1</f>
        <v>2</v>
      </c>
      <c r="B49" s="4" t="s">
        <v>129</v>
      </c>
      <c r="C49" s="4" t="s">
        <v>15</v>
      </c>
      <c r="D49" s="24" t="s">
        <v>227</v>
      </c>
      <c r="E49" s="5">
        <f>VLOOKUP($B49,'Trình bày T1'!$B:$M,6,0)</f>
        <v>1200</v>
      </c>
      <c r="F49" s="40">
        <f>VLOOKUP($B49,'Trình bày T1'!$B:$M,7,0)</f>
        <v>1200</v>
      </c>
      <c r="G49" s="46">
        <f t="shared" si="71"/>
        <v>0</v>
      </c>
      <c r="H49" s="42">
        <f>VLOOKUP($B49,'Trình bày T1'!$B:$M,9,0)</f>
        <v>1322.8846153846155</v>
      </c>
      <c r="I49" s="46">
        <f t="shared" si="72"/>
        <v>-122.88461538461547</v>
      </c>
      <c r="J49" s="53">
        <f t="shared" si="73"/>
        <v>-0.10240384615384622</v>
      </c>
      <c r="K49" s="71" t="e">
        <f>VLOOKUP($B412,'Trình bày T1'!$B:$M,12,0)</f>
        <v>#N/A</v>
      </c>
      <c r="L49" s="5">
        <f>VLOOKUP($B49,'Trình bày T2'!$B:$M,6,0)</f>
        <v>1200</v>
      </c>
      <c r="M49" s="40">
        <f>VLOOKUP($B49,'Trình bày T2'!$B:$M,7,0)</f>
        <v>1200</v>
      </c>
      <c r="N49" s="46">
        <f t="shared" si="74"/>
        <v>0</v>
      </c>
      <c r="O49" s="42">
        <f>VLOOKUP($B49,'Trình bày T2'!$B:$M,9,0)</f>
        <v>1297.9245283018868</v>
      </c>
      <c r="P49" s="46">
        <f t="shared" si="75"/>
        <v>-97.924528301886767</v>
      </c>
      <c r="Q49" s="53">
        <f t="shared" si="76"/>
        <v>-8.1603773584905642E-2</v>
      </c>
      <c r="R49" s="71" t="e">
        <f>VLOOKUP($B412,'Trình bày T2'!$B:$M,12,0)</f>
        <v>#N/A</v>
      </c>
      <c r="S49" s="5">
        <f>VLOOKUP($B49,'Trình bày T3'!$B:$M,6,0)</f>
        <v>1200</v>
      </c>
      <c r="T49" s="40">
        <f>VLOOKUP($B49,'Trình bày T3'!$B:$M,7,0)</f>
        <v>1200</v>
      </c>
      <c r="U49" s="46">
        <f t="shared" si="77"/>
        <v>0</v>
      </c>
      <c r="V49" s="42">
        <f>VLOOKUP($B49,'Trình bày T3'!$B:$M,9,0)</f>
        <v>1297.9245283018868</v>
      </c>
      <c r="W49" s="46">
        <f t="shared" si="78"/>
        <v>-97.924528301886767</v>
      </c>
      <c r="X49" s="53">
        <f t="shared" si="79"/>
        <v>-8.1603773584905642E-2</v>
      </c>
      <c r="Y49" s="71" t="e">
        <f>VLOOKUP($B412,'Trình bày T3'!$B:$M,12,0)</f>
        <v>#N/A</v>
      </c>
      <c r="Z49" s="5">
        <f>VLOOKUP($B49,'Trình bày T4'!$B:$M,6,0)</f>
        <v>1200</v>
      </c>
      <c r="AA49" s="40">
        <f>VLOOKUP($B49,'Trình bày T4'!$B:$M,7,0)</f>
        <v>1300</v>
      </c>
      <c r="AB49" s="46">
        <f t="shared" si="80"/>
        <v>100</v>
      </c>
      <c r="AC49" s="42">
        <f>VLOOKUP($B49,'Trình bày T4'!$B:$M,9,0)</f>
        <v>1297.9245283018868</v>
      </c>
      <c r="AD49" s="46">
        <f t="shared" si="81"/>
        <v>2.0754716981132333</v>
      </c>
      <c r="AE49" s="53">
        <f t="shared" si="82"/>
        <v>1.5965166908563334E-3</v>
      </c>
      <c r="AF49" s="71" t="e">
        <f>VLOOKUP($B412,'Trình bày T4'!$B:$M,12,0)</f>
        <v>#N/A</v>
      </c>
    </row>
    <row r="50" spans="1:32" outlineLevel="1">
      <c r="A50" s="9">
        <f t="shared" ref="A50:A56" si="83">A49+1</f>
        <v>3</v>
      </c>
      <c r="B50" s="4" t="s">
        <v>174</v>
      </c>
      <c r="C50" s="4" t="s">
        <v>60</v>
      </c>
      <c r="D50" s="24" t="s">
        <v>232</v>
      </c>
      <c r="E50" s="5">
        <f>VLOOKUP($B50,'Trình bày T1'!$B:$M,6,0)</f>
        <v>0</v>
      </c>
      <c r="F50" s="40">
        <f>VLOOKUP($B50,'Trình bày T1'!$B:$M,7,0)</f>
        <v>0</v>
      </c>
      <c r="G50" s="46">
        <f t="shared" si="71"/>
        <v>0</v>
      </c>
      <c r="H50" s="42">
        <f>VLOOKUP($B50,'Trình bày T1'!$B:$M,9,0)</f>
        <v>0</v>
      </c>
      <c r="I50" s="46"/>
      <c r="J50" s="53"/>
      <c r="K50" s="71">
        <f>VLOOKUP($B50,'Trình bày T1'!$B:$M,12,0)</f>
        <v>0</v>
      </c>
      <c r="L50" s="5">
        <f>VLOOKUP($B50,'Trình bày T2'!$B:$M,6,0)</f>
        <v>0</v>
      </c>
      <c r="M50" s="40">
        <f>VLOOKUP($B50,'Trình bày T2'!$B:$M,7,0)</f>
        <v>0</v>
      </c>
      <c r="N50" s="46">
        <f t="shared" si="74"/>
        <v>0</v>
      </c>
      <c r="O50" s="42">
        <f>VLOOKUP($B50,'Trình bày T2'!$B:$M,9,0)</f>
        <v>823.13207547169816</v>
      </c>
      <c r="P50" s="46"/>
      <c r="Q50" s="53"/>
      <c r="R50" s="71">
        <f>VLOOKUP($B50,'Trình bày T2'!$B:$M,12,0)</f>
        <v>0</v>
      </c>
      <c r="S50" s="5">
        <f>VLOOKUP($B50,'Trình bày T3'!$B:$M,6,0)</f>
        <v>0</v>
      </c>
      <c r="T50" s="40">
        <f>VLOOKUP($B50,'Trình bày T3'!$B:$M,7,0)</f>
        <v>0</v>
      </c>
      <c r="U50" s="46">
        <f t="shared" si="77"/>
        <v>0</v>
      </c>
      <c r="V50" s="42">
        <f>VLOOKUP($B50,'Trình bày T3'!$B:$M,9,0)</f>
        <v>823.13207547169816</v>
      </c>
      <c r="W50" s="46"/>
      <c r="X50" s="53"/>
      <c r="Y50" s="71">
        <f>VLOOKUP($B50,'Trình bày T3'!$B:$M,12,0)</f>
        <v>0</v>
      </c>
      <c r="Z50" s="5">
        <f>VLOOKUP($B50,'Trình bày T4'!$B:$M,6,0)</f>
        <v>0</v>
      </c>
      <c r="AA50" s="40">
        <f>VLOOKUP($B50,'Trình bày T4'!$B:$M,7,0)</f>
        <v>0</v>
      </c>
      <c r="AB50" s="46">
        <f t="shared" si="80"/>
        <v>0</v>
      </c>
      <c r="AC50" s="42">
        <f>VLOOKUP($B50,'Trình bày T4'!$B:$M,9,0)</f>
        <v>823.13207547169816</v>
      </c>
      <c r="AD50" s="46"/>
      <c r="AE50" s="53"/>
      <c r="AF50" s="71">
        <f>VLOOKUP($B50,'Trình bày T4'!$B:$M,12,0)</f>
        <v>0</v>
      </c>
    </row>
    <row r="51" spans="1:32" outlineLevel="1">
      <c r="A51" s="9">
        <f t="shared" si="83"/>
        <v>4</v>
      </c>
      <c r="B51" s="4" t="s">
        <v>128</v>
      </c>
      <c r="C51" s="4" t="s">
        <v>14</v>
      </c>
      <c r="D51" s="24" t="s">
        <v>232</v>
      </c>
      <c r="E51" s="5">
        <f>VLOOKUP($B51,'Trình bày T1'!$B:$M,6,0)</f>
        <v>1200</v>
      </c>
      <c r="F51" s="40">
        <f>VLOOKUP($B51,'Trình bày T1'!$B:$M,7,0)</f>
        <v>1200</v>
      </c>
      <c r="G51" s="46">
        <f t="shared" si="71"/>
        <v>0</v>
      </c>
      <c r="H51" s="42">
        <f>VLOOKUP($B51,'Trình bày T1'!$B:$M,9,0)</f>
        <v>1157</v>
      </c>
      <c r="I51" s="46">
        <f t="shared" ref="I51" si="84">(F51-H51)</f>
        <v>43</v>
      </c>
      <c r="J51" s="53">
        <f t="shared" ref="J51" si="85">+I51/F51</f>
        <v>3.5833333333333335E-2</v>
      </c>
      <c r="K51" s="71">
        <f>VLOOKUP($B51,'Trình bày T1'!$B:$M,12,0)</f>
        <v>1150</v>
      </c>
      <c r="L51" s="5">
        <f>VLOOKUP($B51,'Trình bày T2'!$B:$M,6,0)</f>
        <v>1200</v>
      </c>
      <c r="M51" s="40">
        <f>VLOOKUP($B51,'Trình bày T2'!$B:$M,7,0)</f>
        <v>1200</v>
      </c>
      <c r="N51" s="46">
        <f t="shared" si="74"/>
        <v>0</v>
      </c>
      <c r="O51" s="42">
        <f>VLOOKUP($B51,'Trình bày T2'!$B:$M,9,0)</f>
        <v>823.13207547169816</v>
      </c>
      <c r="P51" s="46">
        <f t="shared" ref="P51" si="86">(M51-O51)</f>
        <v>376.86792452830184</v>
      </c>
      <c r="Q51" s="53">
        <f t="shared" ref="Q51" si="87">+P51/M51</f>
        <v>0.31405660377358485</v>
      </c>
      <c r="R51" s="71">
        <f>VLOOKUP($B51,'Trình bày T2'!$B:$M,12,0)</f>
        <v>0</v>
      </c>
      <c r="S51" s="5">
        <f>VLOOKUP($B51,'Trình bày T3'!$B:$M,6,0)</f>
        <v>1200</v>
      </c>
      <c r="T51" s="40">
        <f>VLOOKUP($B51,'Trình bày T3'!$B:$M,7,0)</f>
        <v>1200</v>
      </c>
      <c r="U51" s="46">
        <f t="shared" si="77"/>
        <v>0</v>
      </c>
      <c r="V51" s="42">
        <f>VLOOKUP($B51,'Trình bày T3'!$B:$M,9,0)</f>
        <v>823.13207547169816</v>
      </c>
      <c r="W51" s="46">
        <f t="shared" ref="W51" si="88">(T51-V51)</f>
        <v>376.86792452830184</v>
      </c>
      <c r="X51" s="53">
        <f t="shared" ref="X51" si="89">+W51/T51</f>
        <v>0.31405660377358485</v>
      </c>
      <c r="Y51" s="71">
        <f>VLOOKUP($B51,'Trình bày T3'!$B:$M,12,0)</f>
        <v>0</v>
      </c>
      <c r="Z51" s="5">
        <f>VLOOKUP($B51,'Trình bày T4'!$B:$M,6,0)</f>
        <v>1200</v>
      </c>
      <c r="AA51" s="40">
        <f>VLOOKUP($B51,'Trình bày T4'!$B:$M,7,0)</f>
        <v>1300</v>
      </c>
      <c r="AB51" s="46">
        <f t="shared" si="80"/>
        <v>100</v>
      </c>
      <c r="AC51" s="42">
        <f>VLOOKUP($B51,'Trình bày T4'!$B:$M,9,0)</f>
        <v>21813</v>
      </c>
      <c r="AD51" s="46">
        <f t="shared" ref="AD51" si="90">(AA51-AC51)</f>
        <v>-20513</v>
      </c>
      <c r="AE51" s="53">
        <f t="shared" ref="AE51" si="91">+AD51/AA51</f>
        <v>-15.77923076923077</v>
      </c>
      <c r="AF51" s="71">
        <f>VLOOKUP($B51,'Trình bày T4'!$B:$M,12,0)</f>
        <v>0</v>
      </c>
    </row>
    <row r="52" spans="1:32" outlineLevel="1">
      <c r="A52" s="9">
        <f t="shared" si="83"/>
        <v>5</v>
      </c>
      <c r="B52" s="4" t="s">
        <v>124</v>
      </c>
      <c r="C52" s="4" t="s">
        <v>10</v>
      </c>
      <c r="D52" s="24"/>
      <c r="E52" s="5">
        <f>VLOOKUP($B52,'Trình bày T1'!$B:$M,6,0)</f>
        <v>0</v>
      </c>
      <c r="F52" s="40">
        <f>VLOOKUP($B52,'Trình bày T1'!$B:$M,7,0)</f>
        <v>0</v>
      </c>
      <c r="G52" s="46">
        <f t="shared" si="71"/>
        <v>0</v>
      </c>
      <c r="H52" s="42">
        <f>VLOOKUP($B52,'Trình bày T1'!$B:$M,9,0)</f>
        <v>0</v>
      </c>
      <c r="I52" s="46"/>
      <c r="J52" s="53"/>
      <c r="K52" s="71">
        <f>VLOOKUP($B52,'Trình bày T1'!$B:$M,12,0)</f>
        <v>0</v>
      </c>
      <c r="L52" s="5">
        <f>VLOOKUP($B52,'Trình bày T2'!$B:$M,6,0)</f>
        <v>0</v>
      </c>
      <c r="M52" s="40">
        <f>VLOOKUP($B52,'Trình bày T2'!$B:$M,7,0)</f>
        <v>0</v>
      </c>
      <c r="N52" s="46">
        <f t="shared" si="74"/>
        <v>0</v>
      </c>
      <c r="O52" s="42">
        <f>VLOOKUP($B52,'Trình bày T2'!$B:$M,9,0)</f>
        <v>0</v>
      </c>
      <c r="P52" s="46"/>
      <c r="Q52" s="53"/>
      <c r="R52" s="71">
        <f>VLOOKUP($B52,'Trình bày T2'!$B:$M,12,0)</f>
        <v>0</v>
      </c>
      <c r="S52" s="5">
        <f>VLOOKUP($B52,'Trình bày T3'!$B:$M,6,0)</f>
        <v>0</v>
      </c>
      <c r="T52" s="40">
        <f>VLOOKUP($B52,'Trình bày T3'!$B:$M,7,0)</f>
        <v>0</v>
      </c>
      <c r="U52" s="46">
        <f t="shared" si="77"/>
        <v>0</v>
      </c>
      <c r="V52" s="42">
        <f>VLOOKUP($B52,'Trình bày T3'!$B:$M,9,0)</f>
        <v>0</v>
      </c>
      <c r="W52" s="46"/>
      <c r="X52" s="53"/>
      <c r="Y52" s="71">
        <f>VLOOKUP($B52,'Trình bày T3'!$B:$M,12,0)</f>
        <v>0</v>
      </c>
      <c r="Z52" s="5">
        <f>VLOOKUP($B52,'Trình bày T4'!$B:$M,6,0)</f>
        <v>0</v>
      </c>
      <c r="AA52" s="40">
        <f>VLOOKUP($B52,'Trình bày T4'!$B:$M,7,0)</f>
        <v>0</v>
      </c>
      <c r="AB52" s="46">
        <f t="shared" si="80"/>
        <v>0</v>
      </c>
      <c r="AC52" s="42">
        <f>VLOOKUP($B52,'Trình bày T4'!$B:$M,9,0)</f>
        <v>0</v>
      </c>
      <c r="AD52" s="46"/>
      <c r="AE52" s="53"/>
      <c r="AF52" s="71">
        <f>VLOOKUP($B52,'Trình bày T4'!$B:$M,12,0)</f>
        <v>0</v>
      </c>
    </row>
    <row r="53" spans="1:32" outlineLevel="1">
      <c r="A53" s="9">
        <f t="shared" si="83"/>
        <v>6</v>
      </c>
      <c r="B53" s="4" t="s">
        <v>125</v>
      </c>
      <c r="C53" s="4" t="s">
        <v>11</v>
      </c>
      <c r="D53" s="24" t="s">
        <v>225</v>
      </c>
      <c r="E53" s="5">
        <f>VLOOKUP($B53,'Trình bày T1'!$B:$M,6,0)</f>
        <v>1200</v>
      </c>
      <c r="F53" s="40">
        <f>VLOOKUP($B53,'Trình bày T1'!$B:$M,7,0)</f>
        <v>1200</v>
      </c>
      <c r="G53" s="46">
        <f t="shared" si="71"/>
        <v>0</v>
      </c>
      <c r="H53" s="42">
        <f>VLOOKUP($B53,'Trình bày T1'!$B:$M,9,0)</f>
        <v>1125.5142342013389</v>
      </c>
      <c r="I53" s="46">
        <f t="shared" ref="I53:I56" si="92">(F53-H53)</f>
        <v>74.485765798661077</v>
      </c>
      <c r="J53" s="53">
        <f t="shared" ref="J53:J56" si="93">+I53/F53</f>
        <v>6.2071471498884229E-2</v>
      </c>
      <c r="K53" s="71">
        <f>VLOOKUP($B53,'Trình bày T1'!$B:$M,12,0)</f>
        <v>1150</v>
      </c>
      <c r="L53" s="5">
        <f>VLOOKUP($B53,'Trình bày T2'!$B:$M,6,0)</f>
        <v>1200</v>
      </c>
      <c r="M53" s="40">
        <f>VLOOKUP($B53,'Trình bày T2'!$B:$M,7,0)</f>
        <v>1200</v>
      </c>
      <c r="N53" s="46">
        <f t="shared" si="74"/>
        <v>0</v>
      </c>
      <c r="O53" s="42">
        <f>VLOOKUP($B53,'Trình bày T2'!$B:$M,9,0)</f>
        <v>1118.5256714248248</v>
      </c>
      <c r="P53" s="46">
        <f t="shared" ref="P53:P56" si="94">(M53-O53)</f>
        <v>81.47432857517515</v>
      </c>
      <c r="Q53" s="53">
        <f t="shared" ref="Q53:Q56" si="95">+P53/M53</f>
        <v>6.7895273812645957E-2</v>
      </c>
      <c r="R53" s="71">
        <f>VLOOKUP($B53,'Trình bày T2'!$B:$M,12,0)</f>
        <v>0</v>
      </c>
      <c r="S53" s="5">
        <f>VLOOKUP($B53,'Trình bày T3'!$B:$M,6,0)</f>
        <v>1200</v>
      </c>
      <c r="T53" s="40">
        <f>VLOOKUP($B53,'Trình bày T3'!$B:$M,7,0)</f>
        <v>1200</v>
      </c>
      <c r="U53" s="46">
        <f t="shared" si="77"/>
        <v>0</v>
      </c>
      <c r="V53" s="42">
        <f>VLOOKUP($B53,'Trình bày T3'!$B:$M,9,0)</f>
        <v>1108.7169811320755</v>
      </c>
      <c r="W53" s="46">
        <f t="shared" ref="W53:W56" si="96">(T53-V53)</f>
        <v>91.283018867924511</v>
      </c>
      <c r="X53" s="53">
        <f t="shared" ref="X53:X56" si="97">+W53/T53</f>
        <v>7.6069182389937096E-2</v>
      </c>
      <c r="Y53" s="71">
        <f>VLOOKUP($B53,'Trình bày T3'!$B:$M,12,0)</f>
        <v>0</v>
      </c>
      <c r="Z53" s="5">
        <f>VLOOKUP($B53,'Trình bày T4'!$B:$M,6,0)</f>
        <v>1200</v>
      </c>
      <c r="AA53" s="40">
        <f>VLOOKUP($B53,'Trình bày T4'!$B:$M,7,0)</f>
        <v>1300</v>
      </c>
      <c r="AB53" s="46">
        <f t="shared" si="80"/>
        <v>100</v>
      </c>
      <c r="AC53" s="42">
        <f>VLOOKUP($B53,'Trình bày T4'!$B:$M,9,0)</f>
        <v>0</v>
      </c>
      <c r="AD53" s="46">
        <f t="shared" ref="AD53:AD56" si="98">(AA53-AC53)</f>
        <v>1300</v>
      </c>
      <c r="AE53" s="53">
        <f t="shared" ref="AE53:AE56" si="99">+AD53/AA53</f>
        <v>1</v>
      </c>
      <c r="AF53" s="71">
        <f>VLOOKUP($B53,'Trình bày T4'!$B:$M,12,0)</f>
        <v>0</v>
      </c>
    </row>
    <row r="54" spans="1:32" s="61" customFormat="1" outlineLevel="1">
      <c r="A54" s="57">
        <f t="shared" si="83"/>
        <v>7</v>
      </c>
      <c r="B54" s="58" t="s">
        <v>180</v>
      </c>
      <c r="C54" s="58" t="s">
        <v>66</v>
      </c>
      <c r="D54" s="59" t="s">
        <v>230</v>
      </c>
      <c r="E54" s="60">
        <f>VLOOKUP($B54,'Trình bày T1'!$B:$M,6,0)</f>
        <v>1200</v>
      </c>
      <c r="F54" s="40">
        <f>VLOOKUP($B54,'Trình bày T1'!$B:$M,7,0)</f>
        <v>1200</v>
      </c>
      <c r="G54" s="46">
        <f t="shared" si="71"/>
        <v>0</v>
      </c>
      <c r="H54" s="42">
        <f>VLOOKUP($B54,'Trình bày T1'!$B:$M,9,0)</f>
        <v>1153.8461538461538</v>
      </c>
      <c r="I54" s="46">
        <f t="shared" si="92"/>
        <v>46.153846153846189</v>
      </c>
      <c r="J54" s="53">
        <f t="shared" si="93"/>
        <v>3.8461538461538491E-2</v>
      </c>
      <c r="K54" s="71">
        <f>VLOOKUP($B54,'Trình bày T1'!$B:$M,12,0)</f>
        <v>1150</v>
      </c>
      <c r="L54" s="60">
        <f>VLOOKUP($B54,'Trình bày T2'!$B:$M,6,0)</f>
        <v>1200</v>
      </c>
      <c r="M54" s="40">
        <f>VLOOKUP($B54,'Trình bày T2'!$B:$M,7,0)</f>
        <v>1200</v>
      </c>
      <c r="N54" s="46">
        <f t="shared" si="74"/>
        <v>0</v>
      </c>
      <c r="O54" s="42">
        <f>VLOOKUP($B54,'Trình bày T2'!$B:$M,9,0)</f>
        <v>1132.0754716981132</v>
      </c>
      <c r="P54" s="46">
        <f t="shared" si="94"/>
        <v>67.924528301886767</v>
      </c>
      <c r="Q54" s="53">
        <f t="shared" si="95"/>
        <v>5.6603773584905641E-2</v>
      </c>
      <c r="R54" s="71">
        <f>VLOOKUP($B54,'Trình bày T2'!$B:$M,12,0)</f>
        <v>0</v>
      </c>
      <c r="S54" s="60" t="e">
        <f>VLOOKUP($B54,'Trình bày T3'!$B:$M,6,0)</f>
        <v>#N/A</v>
      </c>
      <c r="T54" s="40" t="e">
        <f>VLOOKUP($B54,'Trình bày T3'!$B:$M,7,0)</f>
        <v>#N/A</v>
      </c>
      <c r="U54" s="46" t="e">
        <f t="shared" si="77"/>
        <v>#N/A</v>
      </c>
      <c r="V54" s="42" t="e">
        <f>VLOOKUP($B54,'Trình bày T3'!$B:$M,9,0)</f>
        <v>#N/A</v>
      </c>
      <c r="W54" s="46" t="e">
        <f t="shared" si="96"/>
        <v>#N/A</v>
      </c>
      <c r="X54" s="53" t="e">
        <f t="shared" si="97"/>
        <v>#N/A</v>
      </c>
      <c r="Y54" s="71" t="e">
        <f>VLOOKUP($B54,'Trình bày T3'!$B:$M,12,0)</f>
        <v>#N/A</v>
      </c>
      <c r="Z54" s="60">
        <f>VLOOKUP($B54,'Trình bày T4'!$B:$M,6,0)</f>
        <v>1200</v>
      </c>
      <c r="AA54" s="40">
        <f>VLOOKUP($B54,'Trình bày T4'!$B:$M,7,0)</f>
        <v>0</v>
      </c>
      <c r="AB54" s="46">
        <f t="shared" si="80"/>
        <v>-1200</v>
      </c>
      <c r="AC54" s="42">
        <f>VLOOKUP($B54,'Trình bày T4'!$B:$M,9,0)</f>
        <v>0</v>
      </c>
      <c r="AD54" s="46">
        <f t="shared" si="98"/>
        <v>0</v>
      </c>
      <c r="AE54" s="53" t="e">
        <f t="shared" si="99"/>
        <v>#DIV/0!</v>
      </c>
      <c r="AF54" s="71">
        <f>VLOOKUP($B54,'Trình bày T4'!$B:$M,12,0)</f>
        <v>0</v>
      </c>
    </row>
    <row r="55" spans="1:32" outlineLevel="1">
      <c r="A55" s="9">
        <f t="shared" si="83"/>
        <v>8</v>
      </c>
      <c r="B55" s="4" t="s">
        <v>176</v>
      </c>
      <c r="C55" s="4" t="s">
        <v>62</v>
      </c>
      <c r="D55" s="24" t="s">
        <v>230</v>
      </c>
      <c r="E55" s="5">
        <f>VLOOKUP($B55,'Trình bày T1'!$B:$M,6,0)</f>
        <v>1300</v>
      </c>
      <c r="F55" s="40">
        <f>VLOOKUP($B55,'Trình bày T1'!$B:$M,7,0)</f>
        <v>1300</v>
      </c>
      <c r="G55" s="46">
        <f t="shared" si="71"/>
        <v>0</v>
      </c>
      <c r="H55" s="42">
        <f>VLOOKUP($B55,'Trình bày T1'!$B:$M,9,0)</f>
        <v>1062.5</v>
      </c>
      <c r="I55" s="46">
        <f t="shared" si="92"/>
        <v>237.5</v>
      </c>
      <c r="J55" s="53">
        <f t="shared" si="93"/>
        <v>0.18269230769230768</v>
      </c>
      <c r="K55" s="71">
        <f>VLOOKUP($B55,'Trình bày T1'!$B:$M,12,0)</f>
        <v>1250</v>
      </c>
      <c r="L55" s="5">
        <f>VLOOKUP($B55,'Trình bày T2'!$B:$M,6,0)</f>
        <v>1300</v>
      </c>
      <c r="M55" s="40">
        <f>VLOOKUP($B55,'Trình bày T2'!$B:$M,7,0)</f>
        <v>1300</v>
      </c>
      <c r="N55" s="46">
        <f t="shared" si="74"/>
        <v>0</v>
      </c>
      <c r="O55" s="42">
        <f>VLOOKUP($B55,'Trình bày T2'!$B:$M,9,0)</f>
        <v>1042.4528301886792</v>
      </c>
      <c r="P55" s="46">
        <f t="shared" si="94"/>
        <v>257.54716981132083</v>
      </c>
      <c r="Q55" s="53">
        <f t="shared" si="95"/>
        <v>0.19811320754716988</v>
      </c>
      <c r="R55" s="71">
        <f>VLOOKUP($B55,'Trình bày T2'!$B:$M,12,0)</f>
        <v>0</v>
      </c>
      <c r="S55" s="5" t="e">
        <f>VLOOKUP($B55,'Trình bày T3'!$B:$M,6,0)</f>
        <v>#N/A</v>
      </c>
      <c r="T55" s="40" t="e">
        <f>VLOOKUP($B55,'Trình bày T3'!$B:$M,7,0)</f>
        <v>#N/A</v>
      </c>
      <c r="U55" s="46" t="e">
        <f t="shared" si="77"/>
        <v>#N/A</v>
      </c>
      <c r="V55" s="42" t="e">
        <f>VLOOKUP($B55,'Trình bày T3'!$B:$M,9,0)</f>
        <v>#N/A</v>
      </c>
      <c r="W55" s="46" t="e">
        <f t="shared" si="96"/>
        <v>#N/A</v>
      </c>
      <c r="X55" s="53" t="e">
        <f t="shared" si="97"/>
        <v>#N/A</v>
      </c>
      <c r="Y55" s="71" t="e">
        <f>VLOOKUP($B55,'Trình bày T3'!$B:$M,12,0)</f>
        <v>#N/A</v>
      </c>
      <c r="Z55" s="5">
        <f>VLOOKUP($B55,'Trình bày T4'!$B:$M,6,0)</f>
        <v>1300</v>
      </c>
      <c r="AA55" s="40">
        <f>VLOOKUP($B55,'Trình bày T4'!$B:$M,7,0)</f>
        <v>0</v>
      </c>
      <c r="AB55" s="46">
        <f t="shared" si="80"/>
        <v>-1300</v>
      </c>
      <c r="AC55" s="42">
        <f>VLOOKUP($B55,'Trình bày T4'!$B:$M,9,0)</f>
        <v>0</v>
      </c>
      <c r="AD55" s="46">
        <f t="shared" si="98"/>
        <v>0</v>
      </c>
      <c r="AE55" s="53" t="e">
        <f t="shared" si="99"/>
        <v>#DIV/0!</v>
      </c>
      <c r="AF55" s="71">
        <f>VLOOKUP($B55,'Trình bày T4'!$B:$M,12,0)</f>
        <v>0</v>
      </c>
    </row>
    <row r="56" spans="1:32" outlineLevel="1">
      <c r="A56" s="9">
        <f t="shared" si="83"/>
        <v>9</v>
      </c>
      <c r="B56" s="4" t="s">
        <v>179</v>
      </c>
      <c r="C56" s="4" t="s">
        <v>65</v>
      </c>
      <c r="D56" s="24" t="s">
        <v>230</v>
      </c>
      <c r="E56" s="5">
        <f>VLOOKUP($B56,'Trình bày T1'!$B:$M,6,0)</f>
        <v>1200</v>
      </c>
      <c r="F56" s="40">
        <f>VLOOKUP($B57,'Trình bày T1'!$B:$M,7,0)</f>
        <v>0</v>
      </c>
      <c r="G56" s="46">
        <f t="shared" si="71"/>
        <v>-1200</v>
      </c>
      <c r="H56" s="42">
        <f>VLOOKUP($B59,'Trình bày T1'!$B:$M,9,0)</f>
        <v>0</v>
      </c>
      <c r="I56" s="46">
        <f t="shared" si="92"/>
        <v>0</v>
      </c>
      <c r="J56" s="53" t="e">
        <f t="shared" si="93"/>
        <v>#DIV/0!</v>
      </c>
      <c r="K56" s="71" t="e">
        <f>VLOOKUP($B512,'Trình bày T1'!$B:$M,12,0)</f>
        <v>#N/A</v>
      </c>
      <c r="L56" s="5">
        <f>VLOOKUP($B56,'Trình bày T2'!$B:$M,6,0)</f>
        <v>1200</v>
      </c>
      <c r="M56" s="40">
        <f>VLOOKUP($B57,'Trình bày T2'!$B:$M,7,0)</f>
        <v>0</v>
      </c>
      <c r="N56" s="46">
        <f t="shared" si="74"/>
        <v>-1200</v>
      </c>
      <c r="O56" s="42">
        <f>VLOOKUP($B59,'Trình bày T2'!$B:$M,9,0)</f>
        <v>0</v>
      </c>
      <c r="P56" s="46">
        <f t="shared" si="94"/>
        <v>0</v>
      </c>
      <c r="Q56" s="53" t="e">
        <f t="shared" si="95"/>
        <v>#DIV/0!</v>
      </c>
      <c r="R56" s="71" t="e">
        <f>VLOOKUP($B512,'Trình bày T2'!$B:$M,12,0)</f>
        <v>#N/A</v>
      </c>
      <c r="S56" s="5" t="e">
        <f>VLOOKUP($B56,'Trình bày T3'!$B:$M,6,0)</f>
        <v>#N/A</v>
      </c>
      <c r="T56" s="40">
        <f>VLOOKUP($B57,'Trình bày T3'!$B:$M,7,0)</f>
        <v>0</v>
      </c>
      <c r="U56" s="46" t="e">
        <f t="shared" si="77"/>
        <v>#N/A</v>
      </c>
      <c r="V56" s="42">
        <f>VLOOKUP($B59,'Trình bày T3'!$B:$M,9,0)</f>
        <v>0</v>
      </c>
      <c r="W56" s="46">
        <f t="shared" si="96"/>
        <v>0</v>
      </c>
      <c r="X56" s="53" t="e">
        <f t="shared" si="97"/>
        <v>#DIV/0!</v>
      </c>
      <c r="Y56" s="71" t="e">
        <f>VLOOKUP($B512,'Trình bày T3'!$B:$M,12,0)</f>
        <v>#N/A</v>
      </c>
      <c r="Z56" s="5">
        <f>VLOOKUP($B56,'Trình bày T4'!$B:$M,6,0)</f>
        <v>1200</v>
      </c>
      <c r="AA56" s="40">
        <f>VLOOKUP($B57,'Trình bày T4'!$B:$M,7,0)</f>
        <v>0</v>
      </c>
      <c r="AB56" s="46">
        <f t="shared" si="80"/>
        <v>-1200</v>
      </c>
      <c r="AC56" s="42">
        <f>VLOOKUP($B59,'Trình bày T4'!$B:$M,9,0)</f>
        <v>0</v>
      </c>
      <c r="AD56" s="46">
        <f t="shared" si="98"/>
        <v>0</v>
      </c>
      <c r="AE56" s="53" t="e">
        <f t="shared" si="99"/>
        <v>#DIV/0!</v>
      </c>
      <c r="AF56" s="71" t="e">
        <f>VLOOKUP($B512,'Trình bày T4'!$B:$M,12,0)</f>
        <v>#N/A</v>
      </c>
    </row>
    <row r="57" spans="1:32" s="18" customFormat="1" ht="15.5">
      <c r="A57" s="12" t="s">
        <v>243</v>
      </c>
      <c r="B57" s="13" t="s">
        <v>264</v>
      </c>
      <c r="C57" s="13"/>
      <c r="D57" s="23"/>
      <c r="E57" s="13"/>
      <c r="F57" s="130"/>
      <c r="G57" s="47"/>
      <c r="H57" s="132"/>
      <c r="I57" s="47"/>
      <c r="J57" s="54"/>
      <c r="K57" s="72"/>
      <c r="L57" s="13"/>
      <c r="M57" s="130"/>
      <c r="N57" s="47"/>
      <c r="O57" s="132"/>
      <c r="P57" s="47"/>
      <c r="Q57" s="54"/>
      <c r="R57" s="72"/>
      <c r="S57" s="13"/>
      <c r="T57" s="130"/>
      <c r="U57" s="47"/>
      <c r="V57" s="132"/>
      <c r="W57" s="47"/>
      <c r="X57" s="54"/>
      <c r="Y57" s="72"/>
      <c r="Z57" s="13"/>
      <c r="AA57" s="130"/>
      <c r="AB57" s="47"/>
      <c r="AC57" s="132"/>
      <c r="AD57" s="47"/>
      <c r="AE57" s="54"/>
      <c r="AF57" s="72"/>
    </row>
    <row r="58" spans="1:32" outlineLevel="1">
      <c r="A58" s="9">
        <v>1</v>
      </c>
      <c r="B58" s="4" t="s">
        <v>127</v>
      </c>
      <c r="C58" s="4" t="s">
        <v>13</v>
      </c>
      <c r="D58" s="24" t="s">
        <v>229</v>
      </c>
      <c r="E58" s="5">
        <f>VLOOKUP($B58,'Trình bày T1'!$B:$M,6,0)</f>
        <v>900</v>
      </c>
      <c r="F58" s="40">
        <f>VLOOKUP($B58,'Trình bày T1'!$B:$M,7,0)</f>
        <v>900</v>
      </c>
      <c r="G58" s="46">
        <f t="shared" ref="G58" si="100">F58-E58</f>
        <v>0</v>
      </c>
      <c r="H58" s="42">
        <f>VLOOKUP($B58,'Trình bày T1'!$B:$M,9,0)</f>
        <v>0</v>
      </c>
      <c r="I58" s="46">
        <f t="shared" ref="I58" si="101">(F58-H58)</f>
        <v>900</v>
      </c>
      <c r="J58" s="53">
        <f t="shared" ref="J58" si="102">+I58/F58</f>
        <v>1</v>
      </c>
      <c r="K58" s="71">
        <f>VLOOKUP($B58,'Trình bày T1'!$B:$M,12,0)</f>
        <v>700</v>
      </c>
      <c r="L58" s="5">
        <f>VLOOKUP($B58,'Trình bày T2'!$B:$M,6,0)</f>
        <v>780</v>
      </c>
      <c r="M58" s="40">
        <f>VLOOKUP($B58,'Trình bày T2'!$B:$M,7,0)</f>
        <v>780</v>
      </c>
      <c r="N58" s="46">
        <f t="shared" ref="N58" si="103">M58-L58</f>
        <v>0</v>
      </c>
      <c r="O58" s="42">
        <f>VLOOKUP($B58,'Trình bày T2'!$B:$M,9,0)</f>
        <v>0</v>
      </c>
      <c r="P58" s="46">
        <f t="shared" ref="P58" si="104">(M58-O58)</f>
        <v>780</v>
      </c>
      <c r="Q58" s="53">
        <f t="shared" ref="Q58" si="105">+P58/M58</f>
        <v>1</v>
      </c>
      <c r="R58" s="71">
        <f>VLOOKUP($B58,'Trình bày T2'!$B:$M,12,0)</f>
        <v>0</v>
      </c>
      <c r="S58" s="5">
        <f>VLOOKUP($B58,'Trình bày T3'!$B:$M,6,0)</f>
        <v>780</v>
      </c>
      <c r="T58" s="40">
        <f>VLOOKUP($B58,'Trình bày T3'!$B:$M,7,0)</f>
        <v>780</v>
      </c>
      <c r="U58" s="46">
        <f t="shared" ref="U58" si="106">T58-S58</f>
        <v>0</v>
      </c>
      <c r="V58" s="42">
        <f>VLOOKUP($B58,'Trình bày T3'!$B:$M,9,0)</f>
        <v>736.5405420805605</v>
      </c>
      <c r="W58" s="46">
        <f t="shared" ref="W58" si="107">(T58-V58)</f>
        <v>43.459457919439501</v>
      </c>
      <c r="X58" s="53">
        <f t="shared" ref="X58" si="108">+W58/T58</f>
        <v>5.5717253742871155E-2</v>
      </c>
      <c r="Y58" s="71">
        <f>VLOOKUP($B58,'Trình bày T3'!$B:$M,12,0)</f>
        <v>0</v>
      </c>
      <c r="Z58" s="5">
        <f>VLOOKUP($B58,'Trình bày T4'!$B:$M,6,0)</f>
        <v>780</v>
      </c>
      <c r="AA58" s="40">
        <f>VLOOKUP($B58,'Trình bày T4'!$B:$M,7,0)</f>
        <v>0</v>
      </c>
      <c r="AB58" s="46">
        <f t="shared" ref="AB58" si="109">AA58-Z58</f>
        <v>-780</v>
      </c>
      <c r="AC58" s="42">
        <f>VLOOKUP($B58,'Trình bày T4'!$B:$M,9,0)</f>
        <v>736.5405420805605</v>
      </c>
      <c r="AD58" s="46">
        <f t="shared" ref="AD58" si="110">(AA58-AC58)</f>
        <v>-736.5405420805605</v>
      </c>
      <c r="AE58" s="53" t="e">
        <f t="shared" ref="AE58" si="111">+AD58/AA58</f>
        <v>#DIV/0!</v>
      </c>
      <c r="AF58" s="71">
        <f>VLOOKUP($B58,'Trình bày T4'!$B:$M,12,0)</f>
        <v>0</v>
      </c>
    </row>
    <row r="59" spans="1:32" s="18" customFormat="1" ht="15.5">
      <c r="A59" s="14" t="s">
        <v>259</v>
      </c>
      <c r="B59" s="15" t="s">
        <v>265</v>
      </c>
      <c r="C59" s="15"/>
      <c r="D59" s="22"/>
      <c r="E59" s="15"/>
      <c r="F59" s="15"/>
      <c r="G59" s="48"/>
      <c r="H59" s="137"/>
      <c r="I59" s="48"/>
      <c r="J59" s="55"/>
      <c r="K59" s="73"/>
      <c r="L59" s="15"/>
      <c r="M59" s="15"/>
      <c r="N59" s="48"/>
      <c r="O59" s="137"/>
      <c r="P59" s="48"/>
      <c r="Q59" s="55"/>
      <c r="R59" s="73"/>
      <c r="S59" s="15"/>
      <c r="T59" s="15"/>
      <c r="U59" s="48"/>
      <c r="V59" s="137"/>
      <c r="W59" s="48"/>
      <c r="X59" s="55"/>
      <c r="Y59" s="73"/>
      <c r="Z59" s="15"/>
      <c r="AA59" s="15"/>
      <c r="AB59" s="48"/>
      <c r="AC59" s="137"/>
      <c r="AD59" s="48"/>
      <c r="AE59" s="55"/>
      <c r="AF59" s="73"/>
    </row>
    <row r="60" spans="1:32" s="18" customFormat="1" ht="15.5">
      <c r="A60" s="12" t="s">
        <v>239</v>
      </c>
      <c r="B60" s="13" t="s">
        <v>240</v>
      </c>
      <c r="C60" s="13"/>
      <c r="D60" s="23"/>
      <c r="E60" s="13"/>
      <c r="F60" s="13"/>
      <c r="G60" s="47"/>
      <c r="H60" s="132"/>
      <c r="I60" s="47"/>
      <c r="J60" s="54"/>
      <c r="K60" s="72"/>
      <c r="L60" s="13"/>
      <c r="M60" s="13"/>
      <c r="N60" s="47"/>
      <c r="O60" s="132"/>
      <c r="P60" s="47"/>
      <c r="Q60" s="54"/>
      <c r="R60" s="72"/>
      <c r="S60" s="13"/>
      <c r="T60" s="13"/>
      <c r="U60" s="47"/>
      <c r="V60" s="132"/>
      <c r="W60" s="47"/>
      <c r="X60" s="54"/>
      <c r="Y60" s="72"/>
      <c r="Z60" s="13"/>
      <c r="AA60" s="13"/>
      <c r="AB60" s="47"/>
      <c r="AC60" s="132"/>
      <c r="AD60" s="47"/>
      <c r="AE60" s="54"/>
      <c r="AF60" s="72"/>
    </row>
    <row r="61" spans="1:32" outlineLevel="1">
      <c r="A61" s="9">
        <v>1</v>
      </c>
      <c r="B61" s="4" t="s">
        <v>134</v>
      </c>
      <c r="C61" s="4" t="s">
        <v>20</v>
      </c>
      <c r="D61" s="24" t="s">
        <v>228</v>
      </c>
      <c r="E61" s="138">
        <f>VLOOKUP($B61,'Trình bày T1'!$B:$M,6,0)</f>
        <v>740</v>
      </c>
      <c r="F61" s="40">
        <f>VLOOKUP($B61,'Trình bày T1'!$B:$M,7,0)</f>
        <v>740</v>
      </c>
      <c r="G61" s="46">
        <f t="shared" ref="G61:G68" si="112">F61-E61</f>
        <v>0</v>
      </c>
      <c r="H61" s="42">
        <f>VLOOKUP($B61,'Trình bày T1'!$B:$M,9,0)</f>
        <v>747.86078922841239</v>
      </c>
      <c r="I61" s="46">
        <f t="shared" ref="I61:I68" si="113">(F61-H61)</f>
        <v>-7.8607892284123864</v>
      </c>
      <c r="J61" s="53">
        <f t="shared" ref="J61:J68" si="114">+I61/F61</f>
        <v>-1.0622688146503224E-2</v>
      </c>
      <c r="K61" s="71">
        <f>VLOOKUP($B61,'Trình bày T1'!$B:$M,12,0)</f>
        <v>700</v>
      </c>
      <c r="L61" s="138">
        <f>VLOOKUP($B61,'Trình bày T2'!$B:$M,6,0)</f>
        <v>740</v>
      </c>
      <c r="M61" s="40">
        <f>VLOOKUP($B61,'Trình bày T2'!$B:$M,7,0)</f>
        <v>740</v>
      </c>
      <c r="N61" s="46">
        <f t="shared" ref="N61:N68" si="115">M61-L61</f>
        <v>0</v>
      </c>
      <c r="O61" s="42">
        <f>VLOOKUP($B61,'Trình bày T2'!$B:$M,9,0)</f>
        <v>741</v>
      </c>
      <c r="P61" s="46">
        <f t="shared" ref="P61:P68" si="116">(M61-O61)</f>
        <v>-1</v>
      </c>
      <c r="Q61" s="53">
        <f t="shared" ref="Q61:Q68" si="117">+P61/M61</f>
        <v>-1.3513513513513514E-3</v>
      </c>
      <c r="R61" s="71">
        <f>VLOOKUP($B61,'Trình bày T2'!$B:$M,12,0)</f>
        <v>0</v>
      </c>
      <c r="S61" s="138">
        <f>VLOOKUP($B61,'Trình bày T3'!$B:$M,6,0)</f>
        <v>740</v>
      </c>
      <c r="T61" s="40">
        <f>VLOOKUP($B61,'Trình bày T3'!$B:$M,7,0)</f>
        <v>740</v>
      </c>
      <c r="U61" s="46">
        <f t="shared" ref="U61:U68" si="118">T61-S61</f>
        <v>0</v>
      </c>
      <c r="V61" s="42">
        <f>VLOOKUP($B61,'Trình bày T3'!$B:$M,9,0)</f>
        <v>746.42906346587836</v>
      </c>
      <c r="W61" s="46">
        <f t="shared" ref="W61:W68" si="119">(T61-V61)</f>
        <v>-6.4290634658783574</v>
      </c>
      <c r="X61" s="53">
        <f t="shared" ref="X61:X68" si="120">+W61/T61</f>
        <v>-8.6879236025383215E-3</v>
      </c>
      <c r="Y61" s="71">
        <f>VLOOKUP($B61,'Trình bày T3'!$B:$M,12,0)</f>
        <v>0</v>
      </c>
      <c r="Z61" s="138">
        <f>VLOOKUP($B61,'Trình bày T4'!$B:$M,6,0)</f>
        <v>740</v>
      </c>
      <c r="AA61" s="40">
        <f>VLOOKUP($B61,'Trình bày T4'!$B:$M,7,0)</f>
        <v>1230</v>
      </c>
      <c r="AB61" s="46">
        <f t="shared" ref="AB61:AB68" si="121">AA61-Z61</f>
        <v>490</v>
      </c>
      <c r="AC61" s="42">
        <f>VLOOKUP($B61,'Trình bày T4'!$B:$M,9,0)</f>
        <v>774.16653942368782</v>
      </c>
      <c r="AD61" s="46">
        <f t="shared" ref="AD61:AD68" si="122">(AA61-AC61)</f>
        <v>455.83346057631218</v>
      </c>
      <c r="AE61" s="53">
        <f t="shared" ref="AE61:AE68" si="123">+AD61/AA61</f>
        <v>0.3705963094116359</v>
      </c>
      <c r="AF61" s="71">
        <f>VLOOKUP($B61,'Trình bày T4'!$B:$M,12,0)</f>
        <v>0</v>
      </c>
    </row>
    <row r="62" spans="1:32" outlineLevel="1">
      <c r="A62" s="9">
        <f>+A61+1</f>
        <v>2</v>
      </c>
      <c r="B62" s="4" t="s">
        <v>139</v>
      </c>
      <c r="C62" s="4" t="s">
        <v>25</v>
      </c>
      <c r="D62" s="24" t="s">
        <v>232</v>
      </c>
      <c r="E62" s="138">
        <f>VLOOKUP($B62,'Trình bày T1'!$B:$M,6,0)</f>
        <v>740</v>
      </c>
      <c r="F62" s="40">
        <f>VLOOKUP($B62,'Trình bày T1'!$B:$M,7,0)</f>
        <v>740</v>
      </c>
      <c r="G62" s="46">
        <f t="shared" si="112"/>
        <v>0</v>
      </c>
      <c r="H62" s="42">
        <f>VLOOKUP($B62,'Trình bày T1'!$B:$M,9,0)</f>
        <v>747.86078922841239</v>
      </c>
      <c r="I62" s="46">
        <f t="shared" si="113"/>
        <v>-7.8607892284123864</v>
      </c>
      <c r="J62" s="53">
        <f t="shared" si="114"/>
        <v>-1.0622688146503224E-2</v>
      </c>
      <c r="K62" s="71">
        <f>VLOOKUP($B62,'Trình bày T1'!$B:$M,12,0)</f>
        <v>700</v>
      </c>
      <c r="L62" s="138">
        <f>VLOOKUP($B62,'Trình bày T2'!$B:$M,6,0)</f>
        <v>740</v>
      </c>
      <c r="M62" s="40">
        <f>VLOOKUP($B62,'Trình bày T2'!$B:$M,7,0)</f>
        <v>740</v>
      </c>
      <c r="N62" s="46">
        <f t="shared" si="115"/>
        <v>0</v>
      </c>
      <c r="O62" s="42">
        <f>VLOOKUP($B62,'Trình bày T2'!$B:$M,9,0)</f>
        <v>741</v>
      </c>
      <c r="P62" s="46">
        <f t="shared" si="116"/>
        <v>-1</v>
      </c>
      <c r="Q62" s="53">
        <f t="shared" si="117"/>
        <v>-1.3513513513513514E-3</v>
      </c>
      <c r="R62" s="71">
        <f>VLOOKUP($B62,'Trình bày T2'!$B:$M,12,0)</f>
        <v>0</v>
      </c>
      <c r="S62" s="138">
        <f>VLOOKUP($B62,'Trình bày T3'!$B:$M,6,0)</f>
        <v>740</v>
      </c>
      <c r="T62" s="40">
        <f>VLOOKUP($B62,'Trình bày T3'!$B:$M,7,0)</f>
        <v>740</v>
      </c>
      <c r="U62" s="46">
        <f t="shared" si="118"/>
        <v>0</v>
      </c>
      <c r="V62" s="42">
        <f>VLOOKUP($B62,'Trình bày T3'!$B:$M,9,0)</f>
        <v>746.42906346587836</v>
      </c>
      <c r="W62" s="46">
        <f t="shared" si="119"/>
        <v>-6.4290634658783574</v>
      </c>
      <c r="X62" s="53">
        <f t="shared" si="120"/>
        <v>-8.6879236025383215E-3</v>
      </c>
      <c r="Y62" s="71">
        <f>VLOOKUP($B62,'Trình bày T3'!$B:$M,12,0)</f>
        <v>0</v>
      </c>
      <c r="Z62" s="138">
        <f>VLOOKUP($B62,'Trình bày T4'!$B:$M,6,0)</f>
        <v>740</v>
      </c>
      <c r="AA62" s="40">
        <f>VLOOKUP($B62,'Trình bày T4'!$B:$M,7,0)</f>
        <v>1230</v>
      </c>
      <c r="AB62" s="46">
        <f t="shared" si="121"/>
        <v>490</v>
      </c>
      <c r="AC62" s="42">
        <f>VLOOKUP($B62,'Trình bày T4'!$B:$M,9,0)</f>
        <v>774.16653942368782</v>
      </c>
      <c r="AD62" s="46">
        <f t="shared" si="122"/>
        <v>455.83346057631218</v>
      </c>
      <c r="AE62" s="53">
        <f t="shared" si="123"/>
        <v>0.3705963094116359</v>
      </c>
      <c r="AF62" s="71">
        <f>VLOOKUP($B62,'Trình bày T4'!$B:$M,12,0)</f>
        <v>0</v>
      </c>
    </row>
    <row r="63" spans="1:32" outlineLevel="1">
      <c r="A63" s="9">
        <f t="shared" ref="A63:A68" si="124">+A62+1</f>
        <v>3</v>
      </c>
      <c r="B63" s="4" t="s">
        <v>135</v>
      </c>
      <c r="C63" s="4" t="s">
        <v>21</v>
      </c>
      <c r="D63" s="24" t="s">
        <v>226</v>
      </c>
      <c r="E63" s="138">
        <f>VLOOKUP($B63,'Trình bày T1'!$B:$M,6,0)</f>
        <v>740</v>
      </c>
      <c r="F63" s="40">
        <f>VLOOKUP($B63,'Trình bày T1'!$B:$M,7,0)</f>
        <v>740</v>
      </c>
      <c r="G63" s="46">
        <f t="shared" si="112"/>
        <v>0</v>
      </c>
      <c r="H63" s="42">
        <f>VLOOKUP($B63,'Trình bày T1'!$B:$M,9,0)</f>
        <v>747.86078922841239</v>
      </c>
      <c r="I63" s="46">
        <f t="shared" si="113"/>
        <v>-7.8607892284123864</v>
      </c>
      <c r="J63" s="53">
        <f t="shared" si="114"/>
        <v>-1.0622688146503224E-2</v>
      </c>
      <c r="K63" s="71">
        <f>VLOOKUP($B63,'Trình bày T1'!$B:$M,12,0)</f>
        <v>700</v>
      </c>
      <c r="L63" s="138">
        <f>VLOOKUP($B63,'Trình bày T2'!$B:$M,6,0)</f>
        <v>740</v>
      </c>
      <c r="M63" s="40">
        <f>VLOOKUP($B63,'Trình bày T2'!$B:$M,7,0)</f>
        <v>740</v>
      </c>
      <c r="N63" s="46">
        <f t="shared" si="115"/>
        <v>0</v>
      </c>
      <c r="O63" s="42">
        <f>VLOOKUP($B63,'Trình bày T2'!$B:$M,9,0)</f>
        <v>741</v>
      </c>
      <c r="P63" s="46">
        <f t="shared" si="116"/>
        <v>-1</v>
      </c>
      <c r="Q63" s="53">
        <f t="shared" si="117"/>
        <v>-1.3513513513513514E-3</v>
      </c>
      <c r="R63" s="71">
        <f>VLOOKUP($B63,'Trình bày T2'!$B:$M,12,0)</f>
        <v>0</v>
      </c>
      <c r="S63" s="138">
        <f>VLOOKUP($B63,'Trình bày T3'!$B:$M,6,0)</f>
        <v>740</v>
      </c>
      <c r="T63" s="40">
        <f>VLOOKUP($B63,'Trình bày T3'!$B:$M,7,0)</f>
        <v>740</v>
      </c>
      <c r="U63" s="46">
        <f t="shared" si="118"/>
        <v>0</v>
      </c>
      <c r="V63" s="42">
        <f>VLOOKUP($B63,'Trình bày T3'!$B:$M,9,0)</f>
        <v>746.42906346587836</v>
      </c>
      <c r="W63" s="46">
        <f t="shared" si="119"/>
        <v>-6.4290634658783574</v>
      </c>
      <c r="X63" s="53">
        <f t="shared" si="120"/>
        <v>-8.6879236025383215E-3</v>
      </c>
      <c r="Y63" s="71">
        <f>VLOOKUP($B63,'Trình bày T3'!$B:$M,12,0)</f>
        <v>0</v>
      </c>
      <c r="Z63" s="138">
        <f>VLOOKUP($B63,'Trình bày T4'!$B:$M,6,0)</f>
        <v>740</v>
      </c>
      <c r="AA63" s="40">
        <f>VLOOKUP($B63,'Trình bày T4'!$B:$M,7,0)</f>
        <v>1230</v>
      </c>
      <c r="AB63" s="46">
        <f t="shared" si="121"/>
        <v>490</v>
      </c>
      <c r="AC63" s="42">
        <f>VLOOKUP($B63,'Trình bày T4'!$B:$M,9,0)</f>
        <v>774.16653942368782</v>
      </c>
      <c r="AD63" s="46">
        <f t="shared" si="122"/>
        <v>455.83346057631218</v>
      </c>
      <c r="AE63" s="53">
        <f t="shared" si="123"/>
        <v>0.3705963094116359</v>
      </c>
      <c r="AF63" s="71">
        <f>VLOOKUP($B63,'Trình bày T4'!$B:$M,12,0)</f>
        <v>0</v>
      </c>
    </row>
    <row r="64" spans="1:32" outlineLevel="1">
      <c r="A64" s="9">
        <f t="shared" si="124"/>
        <v>4</v>
      </c>
      <c r="B64" s="4" t="s">
        <v>219</v>
      </c>
      <c r="C64" s="4" t="s">
        <v>105</v>
      </c>
      <c r="D64" s="24" t="s">
        <v>228</v>
      </c>
      <c r="E64" s="138">
        <f>VLOOKUP($B64,'Trình bày T1'!$B:$M,6,0)</f>
        <v>740</v>
      </c>
      <c r="F64" s="40">
        <f>VLOOKUP($B64,'Trình bày T1'!$B:$M,7,0)</f>
        <v>740</v>
      </c>
      <c r="G64" s="46">
        <f t="shared" si="112"/>
        <v>0</v>
      </c>
      <c r="H64" s="42">
        <f>VLOOKUP($B64,'Trình bày T1'!$B:$M,9,0)</f>
        <v>1270.3076923076924</v>
      </c>
      <c r="I64" s="46">
        <f t="shared" si="113"/>
        <v>-530.30769230769238</v>
      </c>
      <c r="J64" s="53">
        <f t="shared" si="114"/>
        <v>-0.7166320166320167</v>
      </c>
      <c r="K64" s="71">
        <f>VLOOKUP($B64,'Trình bày T1'!$B:$M,12,0)</f>
        <v>700</v>
      </c>
      <c r="L64" s="138">
        <f>VLOOKUP($B64,'Trình bày T2'!$B:$M,6,0)</f>
        <v>740</v>
      </c>
      <c r="M64" s="40">
        <f>VLOOKUP($B64,'Trình bày T2'!$B:$M,7,0)</f>
        <v>740</v>
      </c>
      <c r="N64" s="46">
        <f t="shared" si="115"/>
        <v>0</v>
      </c>
      <c r="O64" s="42">
        <f>VLOOKUP($B64,'Trình bày T2'!$B:$M,9,0)</f>
        <v>1246.3396226415093</v>
      </c>
      <c r="P64" s="46">
        <f t="shared" si="116"/>
        <v>-506.33962264150932</v>
      </c>
      <c r="Q64" s="53">
        <f t="shared" si="117"/>
        <v>-0.68424273329933694</v>
      </c>
      <c r="R64" s="71">
        <f>VLOOKUP($B64,'Trình bày T2'!$B:$M,12,0)</f>
        <v>0</v>
      </c>
      <c r="S64" s="138">
        <f>VLOOKUP($B64,'Trình bày T3'!$B:$M,6,0)</f>
        <v>740</v>
      </c>
      <c r="T64" s="40">
        <f>VLOOKUP($B64,'Trình bày T3'!$B:$M,7,0)</f>
        <v>740</v>
      </c>
      <c r="U64" s="46">
        <f t="shared" si="118"/>
        <v>0</v>
      </c>
      <c r="V64" s="42">
        <f>VLOOKUP($B64,'Trình bày T3'!$B:$M,9,0)</f>
        <v>1246.3396226415093</v>
      </c>
      <c r="W64" s="46">
        <f t="shared" si="119"/>
        <v>-506.33962264150932</v>
      </c>
      <c r="X64" s="53">
        <f t="shared" si="120"/>
        <v>-0.68424273329933694</v>
      </c>
      <c r="Y64" s="71">
        <f>VLOOKUP($B64,'Trình bày T3'!$B:$M,12,0)</f>
        <v>0</v>
      </c>
      <c r="Z64" s="138">
        <f>VLOOKUP($B64,'Trình bày T4'!$B:$M,6,0)</f>
        <v>740</v>
      </c>
      <c r="AA64" s="40">
        <f>VLOOKUP($B64,'Trình bày T4'!$B:$M,7,0)</f>
        <v>1230</v>
      </c>
      <c r="AB64" s="46">
        <f t="shared" si="121"/>
        <v>490</v>
      </c>
      <c r="AC64" s="42">
        <f>VLOOKUP($B64,'Trình bày T4'!$B:$M,9,0)</f>
        <v>1246.3396226415093</v>
      </c>
      <c r="AD64" s="46">
        <f t="shared" si="122"/>
        <v>-16.339622641509322</v>
      </c>
      <c r="AE64" s="53">
        <f t="shared" si="123"/>
        <v>-1.3284246050007579E-2</v>
      </c>
      <c r="AF64" s="71">
        <f>VLOOKUP($B64,'Trình bày T4'!$B:$M,12,0)</f>
        <v>0</v>
      </c>
    </row>
    <row r="65" spans="1:32" outlineLevel="1">
      <c r="A65" s="9">
        <f t="shared" si="124"/>
        <v>5</v>
      </c>
      <c r="B65" s="4" t="s">
        <v>137</v>
      </c>
      <c r="C65" s="4" t="s">
        <v>23</v>
      </c>
      <c r="D65" s="24" t="s">
        <v>227</v>
      </c>
      <c r="E65" s="138">
        <f>VLOOKUP($B65,'Trình bày T1'!$B:$M,6,0)</f>
        <v>740</v>
      </c>
      <c r="F65" s="40">
        <f>VLOOKUP($B65,'Trình bày T1'!$B:$M,7,0)</f>
        <v>740</v>
      </c>
      <c r="G65" s="46">
        <f t="shared" si="112"/>
        <v>0</v>
      </c>
      <c r="H65" s="42">
        <f>VLOOKUP($B65,'Trình bày T1'!$B:$M,9,0)</f>
        <v>747.86078922841239</v>
      </c>
      <c r="I65" s="46">
        <f t="shared" si="113"/>
        <v>-7.8607892284123864</v>
      </c>
      <c r="J65" s="53">
        <f t="shared" si="114"/>
        <v>-1.0622688146503224E-2</v>
      </c>
      <c r="K65" s="71">
        <f>VLOOKUP($B65,'Trình bày T1'!$B:$M,12,0)</f>
        <v>700</v>
      </c>
      <c r="L65" s="138">
        <f>VLOOKUP($B65,'Trình bày T2'!$B:$M,6,0)</f>
        <v>740</v>
      </c>
      <c r="M65" s="40">
        <f>VLOOKUP($B65,'Trình bày T2'!$B:$M,7,0)</f>
        <v>740</v>
      </c>
      <c r="N65" s="46">
        <f t="shared" si="115"/>
        <v>0</v>
      </c>
      <c r="O65" s="42">
        <f>VLOOKUP($B65,'Trình bày T2'!$B:$M,9,0)</f>
        <v>741</v>
      </c>
      <c r="P65" s="46">
        <f t="shared" si="116"/>
        <v>-1</v>
      </c>
      <c r="Q65" s="53">
        <f t="shared" si="117"/>
        <v>-1.3513513513513514E-3</v>
      </c>
      <c r="R65" s="71">
        <f>VLOOKUP($B65,'Trình bày T2'!$B:$M,12,0)</f>
        <v>0</v>
      </c>
      <c r="S65" s="138">
        <f>VLOOKUP($B65,'Trình bày T3'!$B:$M,6,0)</f>
        <v>740</v>
      </c>
      <c r="T65" s="40">
        <f>VLOOKUP($B65,'Trình bày T3'!$B:$M,7,0)</f>
        <v>740</v>
      </c>
      <c r="U65" s="46">
        <f t="shared" si="118"/>
        <v>0</v>
      </c>
      <c r="V65" s="42">
        <f>VLOOKUP($B65,'Trình bày T3'!$B:$M,9,0)</f>
        <v>746.42906346587836</v>
      </c>
      <c r="W65" s="46">
        <f t="shared" si="119"/>
        <v>-6.4290634658783574</v>
      </c>
      <c r="X65" s="53">
        <f t="shared" si="120"/>
        <v>-8.6879236025383215E-3</v>
      </c>
      <c r="Y65" s="71">
        <f>VLOOKUP($B65,'Trình bày T3'!$B:$M,12,0)</f>
        <v>0</v>
      </c>
      <c r="Z65" s="138">
        <f>VLOOKUP($B65,'Trình bày T4'!$B:$M,6,0)</f>
        <v>740</v>
      </c>
      <c r="AA65" s="40">
        <f>VLOOKUP($B65,'Trình bày T4'!$B:$M,7,0)</f>
        <v>1230</v>
      </c>
      <c r="AB65" s="46">
        <f t="shared" si="121"/>
        <v>490</v>
      </c>
      <c r="AC65" s="42">
        <f>VLOOKUP($B65,'Trình bày T4'!$B:$M,9,0)</f>
        <v>828.03773584905662</v>
      </c>
      <c r="AD65" s="46">
        <f t="shared" si="122"/>
        <v>401.96226415094338</v>
      </c>
      <c r="AE65" s="53">
        <f t="shared" si="123"/>
        <v>0.32679858874060436</v>
      </c>
      <c r="AF65" s="71">
        <f>VLOOKUP($B65,'Trình bày T4'!$B:$M,12,0)</f>
        <v>0</v>
      </c>
    </row>
    <row r="66" spans="1:32" outlineLevel="1">
      <c r="A66" s="9">
        <f t="shared" si="124"/>
        <v>6</v>
      </c>
      <c r="B66" s="4" t="s">
        <v>138</v>
      </c>
      <c r="C66" s="4" t="s">
        <v>24</v>
      </c>
      <c r="D66" s="24" t="s">
        <v>225</v>
      </c>
      <c r="E66" s="138">
        <f>VLOOKUP($B66,'Trình bày T1'!$B:$M,6,0)</f>
        <v>740</v>
      </c>
      <c r="F66" s="40">
        <f>VLOOKUP($B67,'Trình bày T1'!$B:$M,7,0)</f>
        <v>660</v>
      </c>
      <c r="G66" s="46">
        <f t="shared" si="112"/>
        <v>-80</v>
      </c>
      <c r="H66" s="42">
        <f>VLOOKUP($B69,'Trình bày T1'!$B:$M,9,0)</f>
        <v>0</v>
      </c>
      <c r="I66" s="46">
        <f t="shared" si="113"/>
        <v>660</v>
      </c>
      <c r="J66" s="53">
        <f t="shared" si="114"/>
        <v>1</v>
      </c>
      <c r="K66" s="71" t="e">
        <f>VLOOKUP($B612,'Trình bày T1'!$B:$M,12,0)</f>
        <v>#N/A</v>
      </c>
      <c r="L66" s="138">
        <f>VLOOKUP($B66,'Trình bày T2'!$B:$M,6,0)</f>
        <v>740</v>
      </c>
      <c r="M66" s="40">
        <f>VLOOKUP($B67,'Trình bày T2'!$B:$M,7,0)</f>
        <v>660</v>
      </c>
      <c r="N66" s="46">
        <f t="shared" si="115"/>
        <v>-80</v>
      </c>
      <c r="O66" s="42">
        <f>VLOOKUP($B69,'Trình bày T2'!$B:$M,9,0)</f>
        <v>0</v>
      </c>
      <c r="P66" s="46">
        <f t="shared" si="116"/>
        <v>660</v>
      </c>
      <c r="Q66" s="53">
        <f t="shared" si="117"/>
        <v>1</v>
      </c>
      <c r="R66" s="71" t="e">
        <f>VLOOKUP($B612,'Trình bày T2'!$B:$M,12,0)</f>
        <v>#N/A</v>
      </c>
      <c r="S66" s="138">
        <f>VLOOKUP($B66,'Trình bày T3'!$B:$M,6,0)</f>
        <v>740</v>
      </c>
      <c r="T66" s="40">
        <f>VLOOKUP($B67,'Trình bày T3'!$B:$M,7,0)</f>
        <v>660</v>
      </c>
      <c r="U66" s="46">
        <f t="shared" si="118"/>
        <v>-80</v>
      </c>
      <c r="V66" s="42">
        <f>VLOOKUP($B69,'Trình bày T3'!$B:$M,9,0)</f>
        <v>0</v>
      </c>
      <c r="W66" s="46">
        <f t="shared" si="119"/>
        <v>660</v>
      </c>
      <c r="X66" s="53">
        <f t="shared" si="120"/>
        <v>1</v>
      </c>
      <c r="Y66" s="71" t="e">
        <f>VLOOKUP($B612,'Trình bày T3'!$B:$M,12,0)</f>
        <v>#N/A</v>
      </c>
      <c r="Z66" s="138">
        <f>VLOOKUP($B66,'Trình bày T4'!$B:$M,6,0)</f>
        <v>740</v>
      </c>
      <c r="AA66" s="40">
        <f>VLOOKUP($B67,'Trình bày T4'!$B:$M,7,0)</f>
        <v>0</v>
      </c>
      <c r="AB66" s="46">
        <f t="shared" si="121"/>
        <v>-740</v>
      </c>
      <c r="AC66" s="42">
        <f>VLOOKUP($B69,'Trình bày T4'!$B:$M,9,0)</f>
        <v>0</v>
      </c>
      <c r="AD66" s="46">
        <f t="shared" si="122"/>
        <v>0</v>
      </c>
      <c r="AE66" s="53" t="e">
        <f t="shared" si="123"/>
        <v>#DIV/0!</v>
      </c>
      <c r="AF66" s="71" t="e">
        <f>VLOOKUP($B612,'Trình bày T4'!$B:$M,12,0)</f>
        <v>#N/A</v>
      </c>
    </row>
    <row r="67" spans="1:32" outlineLevel="1">
      <c r="A67" s="9">
        <f t="shared" si="124"/>
        <v>7</v>
      </c>
      <c r="B67" s="4" t="s">
        <v>178</v>
      </c>
      <c r="C67" s="4" t="s">
        <v>64</v>
      </c>
      <c r="D67" s="24" t="s">
        <v>234</v>
      </c>
      <c r="E67" s="138">
        <f>VLOOKUP($B67,'Trình bày T1'!$B:$M,6,0)</f>
        <v>660</v>
      </c>
      <c r="F67" s="40">
        <f>VLOOKUP($B67,'Trình bày T1'!$B:$M,7,0)</f>
        <v>660</v>
      </c>
      <c r="G67" s="46">
        <f>F67-E67</f>
        <v>0</v>
      </c>
      <c r="H67" s="42">
        <f>VLOOKUP($B69,'Trình bày T1'!$B:$M,9,0)</f>
        <v>0</v>
      </c>
      <c r="I67" s="46">
        <f>(F67-H67)</f>
        <v>660</v>
      </c>
      <c r="J67" s="53">
        <f>+I67/F67</f>
        <v>1</v>
      </c>
      <c r="K67" s="71" t="e">
        <f>VLOOKUP($B612,'Trình bày T1'!$B:$M,12,0)</f>
        <v>#N/A</v>
      </c>
      <c r="L67" s="138">
        <f>VLOOKUP($B67,'Trình bày T2'!$B:$M,6,0)</f>
        <v>660</v>
      </c>
      <c r="M67" s="40">
        <f>VLOOKUP($B67,'Trình bày T2'!$B:$M,7,0)</f>
        <v>660</v>
      </c>
      <c r="N67" s="46">
        <f>M67-L67</f>
        <v>0</v>
      </c>
      <c r="O67" s="42">
        <f>VLOOKUP($B69,'Trình bày T2'!$B:$M,9,0)</f>
        <v>0</v>
      </c>
      <c r="P67" s="46">
        <f>(M67-O67)</f>
        <v>660</v>
      </c>
      <c r="Q67" s="53">
        <f>+P67/M67</f>
        <v>1</v>
      </c>
      <c r="R67" s="71" t="e">
        <f>VLOOKUP($B612,'Trình bày T2'!$B:$M,12,0)</f>
        <v>#N/A</v>
      </c>
      <c r="S67" s="138">
        <f>VLOOKUP($B67,'Trình bày T3'!$B:$M,6,0)</f>
        <v>660</v>
      </c>
      <c r="T67" s="40">
        <f>VLOOKUP($B67,'Trình bày T3'!$B:$M,7,0)</f>
        <v>660</v>
      </c>
      <c r="U67" s="46">
        <f>T67-S67</f>
        <v>0</v>
      </c>
      <c r="V67" s="42">
        <f>VLOOKUP($B69,'Trình bày T3'!$B:$M,9,0)</f>
        <v>0</v>
      </c>
      <c r="W67" s="46">
        <f>(T67-V67)</f>
        <v>660</v>
      </c>
      <c r="X67" s="53">
        <f>+W67/T67</f>
        <v>1</v>
      </c>
      <c r="Y67" s="71" t="e">
        <f>VLOOKUP($B612,'Trình bày T3'!$B:$M,12,0)</f>
        <v>#N/A</v>
      </c>
      <c r="Z67" s="138">
        <f>VLOOKUP($B67,'Trình bày T4'!$B:$M,6,0)</f>
        <v>660</v>
      </c>
      <c r="AA67" s="40">
        <f>VLOOKUP($B67,'Trình bày T4'!$B:$M,7,0)</f>
        <v>0</v>
      </c>
      <c r="AB67" s="46">
        <f>AA67-Z67</f>
        <v>-660</v>
      </c>
      <c r="AC67" s="42">
        <f>VLOOKUP($B69,'Trình bày T4'!$B:$M,9,0)</f>
        <v>0</v>
      </c>
      <c r="AD67" s="46">
        <f>(AA67-AC67)</f>
        <v>0</v>
      </c>
      <c r="AE67" s="53" t="e">
        <f>+AD67/AA67</f>
        <v>#DIV/0!</v>
      </c>
      <c r="AF67" s="71" t="e">
        <f>VLOOKUP($B612,'Trình bày T4'!$B:$M,12,0)</f>
        <v>#N/A</v>
      </c>
    </row>
    <row r="68" spans="1:32" outlineLevel="1">
      <c r="A68" s="9">
        <f t="shared" si="124"/>
        <v>8</v>
      </c>
      <c r="B68" s="4" t="s">
        <v>136</v>
      </c>
      <c r="C68" s="4" t="s">
        <v>22</v>
      </c>
      <c r="D68" s="24" t="s">
        <v>234</v>
      </c>
      <c r="E68" s="138">
        <f>VLOOKUP($B68,'Trình bày T1'!$B:$M,6,0)</f>
        <v>740</v>
      </c>
      <c r="F68" s="40">
        <f>VLOOKUP($B68,'Trình bày T1'!$B:$M,7,0)</f>
        <v>740</v>
      </c>
      <c r="G68" s="46">
        <f t="shared" si="112"/>
        <v>0</v>
      </c>
      <c r="H68" s="42">
        <f>VLOOKUP($B68,'Trình bày T1'!$B:$M,9,0)</f>
        <v>717.42307692307691</v>
      </c>
      <c r="I68" s="46">
        <f t="shared" si="113"/>
        <v>22.576923076923094</v>
      </c>
      <c r="J68" s="53">
        <f t="shared" si="114"/>
        <v>3.0509355509355532E-2</v>
      </c>
      <c r="K68" s="71">
        <f>VLOOKUP($B68,'Trình bày T1'!$B:$M,12,0)</f>
        <v>700</v>
      </c>
      <c r="L68" s="138">
        <f>VLOOKUP($B68,'Trình bày T2'!$B:$M,6,0)</f>
        <v>740</v>
      </c>
      <c r="M68" s="40">
        <f>VLOOKUP($B68,'Trình bày T2'!$B:$M,7,0)</f>
        <v>740</v>
      </c>
      <c r="N68" s="46">
        <f t="shared" ref="N68:N75" si="125">M68-L68</f>
        <v>0</v>
      </c>
      <c r="O68" s="42">
        <f>VLOOKUP($B68,'Trình bày T2'!$B:$M,9,0)</f>
        <v>703.88679245283015</v>
      </c>
      <c r="P68" s="46">
        <f t="shared" ref="P68:P75" si="126">(M68-O68)</f>
        <v>36.11320754716985</v>
      </c>
      <c r="Q68" s="53">
        <f t="shared" ref="Q68:Q75" si="127">+P68/M68</f>
        <v>4.8801631820499798E-2</v>
      </c>
      <c r="R68" s="71">
        <f>VLOOKUP($B68,'Trình bày T2'!$B:$M,12,0)</f>
        <v>0</v>
      </c>
      <c r="S68" s="138">
        <f>VLOOKUP($B68,'Trình bày T3'!$B:$M,6,0)</f>
        <v>740</v>
      </c>
      <c r="T68" s="40">
        <f>VLOOKUP($B68,'Trình bày T3'!$B:$M,7,0)</f>
        <v>740</v>
      </c>
      <c r="U68" s="46">
        <f t="shared" ref="U68:U75" si="128">T68-S68</f>
        <v>0</v>
      </c>
      <c r="V68" s="42">
        <f>VLOOKUP($B68,'Trình bày T3'!$B:$M,9,0)</f>
        <v>703.88679245283015</v>
      </c>
      <c r="W68" s="46">
        <f t="shared" ref="W68:W75" si="129">(T68-V68)</f>
        <v>36.11320754716985</v>
      </c>
      <c r="X68" s="53">
        <f t="shared" ref="X68:X75" si="130">+W68/T68</f>
        <v>4.8801631820499798E-2</v>
      </c>
      <c r="Y68" s="71">
        <f>VLOOKUP($B68,'Trình bày T3'!$B:$M,12,0)</f>
        <v>0</v>
      </c>
      <c r="Z68" s="138">
        <f>VLOOKUP($B68,'Trình bày T4'!$B:$M,6,0)</f>
        <v>740</v>
      </c>
      <c r="AA68" s="40">
        <f>VLOOKUP($B68,'Trình bày T4'!$B:$M,7,0)</f>
        <v>1230</v>
      </c>
      <c r="AB68" s="46">
        <f t="shared" ref="AB68:AB75" si="131">AA68-Z68</f>
        <v>490</v>
      </c>
      <c r="AC68" s="42">
        <f>VLOOKUP($B68,'Trình bày T4'!$B:$M,9,0)</f>
        <v>703.92452830188677</v>
      </c>
      <c r="AD68" s="46">
        <f t="shared" ref="AD68:AD75" si="132">(AA68-AC68)</f>
        <v>526.07547169811323</v>
      </c>
      <c r="AE68" s="53">
        <f t="shared" ref="AE68:AE75" si="133">+AD68/AA68</f>
        <v>0.42770363552692131</v>
      </c>
      <c r="AF68" s="71">
        <f>VLOOKUP($B68,'Trình bày T4'!$B:$M,12,0)</f>
        <v>0</v>
      </c>
    </row>
    <row r="69" spans="1:32" s="18" customFormat="1" ht="15.5">
      <c r="A69" s="12" t="s">
        <v>241</v>
      </c>
      <c r="B69" s="13" t="s">
        <v>242</v>
      </c>
      <c r="C69" s="13"/>
      <c r="D69" s="23"/>
      <c r="E69" s="13"/>
      <c r="F69" s="130"/>
      <c r="G69" s="47"/>
      <c r="H69" s="132"/>
      <c r="I69" s="47"/>
      <c r="J69" s="54"/>
      <c r="K69" s="72"/>
      <c r="L69" s="13"/>
      <c r="M69" s="130"/>
      <c r="N69" s="47"/>
      <c r="O69" s="132"/>
      <c r="P69" s="47"/>
      <c r="Q69" s="54"/>
      <c r="R69" s="72"/>
      <c r="S69" s="13"/>
      <c r="T69" s="130"/>
      <c r="U69" s="47"/>
      <c r="V69" s="132"/>
      <c r="W69" s="47"/>
      <c r="X69" s="54"/>
      <c r="Y69" s="72"/>
      <c r="Z69" s="13"/>
      <c r="AA69" s="130"/>
      <c r="AB69" s="47"/>
      <c r="AC69" s="132"/>
      <c r="AD69" s="47"/>
      <c r="AE69" s="54"/>
      <c r="AF69" s="72"/>
    </row>
    <row r="70" spans="1:32" outlineLevel="1">
      <c r="A70" s="9">
        <f>1</f>
        <v>1</v>
      </c>
      <c r="B70" s="4" t="s">
        <v>144</v>
      </c>
      <c r="C70" s="4" t="s">
        <v>30</v>
      </c>
      <c r="D70" s="24" t="s">
        <v>228</v>
      </c>
      <c r="E70" s="138">
        <f>VLOOKUP($B70,'Trình bày T1'!$B:$M,6,0)</f>
        <v>740</v>
      </c>
      <c r="F70" s="40">
        <f>VLOOKUP($B70,'Trình bày T1'!$B:$M,7,0)</f>
        <v>740</v>
      </c>
      <c r="G70" s="46">
        <f t="shared" ref="G70" si="134">F70-E70</f>
        <v>0</v>
      </c>
      <c r="H70" s="42">
        <f>VLOOKUP($B70,'Trình bày T1'!$B:$M,9,0)</f>
        <v>812.53846153846155</v>
      </c>
      <c r="I70" s="46">
        <f t="shared" ref="I70" si="135">(F70-H70)</f>
        <v>-72.538461538461547</v>
      </c>
      <c r="J70" s="53">
        <f t="shared" ref="J70" si="136">+I70/F70</f>
        <v>-9.802494802494803E-2</v>
      </c>
      <c r="K70" s="71">
        <f>VLOOKUP($B70,'Trình bày T1'!$B:$M,12,0)</f>
        <v>700</v>
      </c>
      <c r="L70" s="138">
        <f>VLOOKUP($B70,'Trình bày T2'!$B:$M,6,0)</f>
        <v>740</v>
      </c>
      <c r="M70" s="40">
        <f>VLOOKUP($B70,'Trình bày T2'!$B:$M,7,0)</f>
        <v>740</v>
      </c>
      <c r="N70" s="46">
        <f t="shared" ref="N70" si="137">M70-L70</f>
        <v>0</v>
      </c>
      <c r="O70" s="42">
        <f>VLOOKUP($B70,'Trình bày T2'!$B:$M,9,0)</f>
        <v>854.22641509433959</v>
      </c>
      <c r="P70" s="46">
        <f t="shared" ref="P70" si="138">(M70-O70)</f>
        <v>-114.22641509433959</v>
      </c>
      <c r="Q70" s="53">
        <f t="shared" ref="Q70" si="139">+P70/M70</f>
        <v>-0.1543600203977562</v>
      </c>
      <c r="R70" s="71">
        <f>VLOOKUP($B70,'Trình bày T2'!$B:$M,12,0)</f>
        <v>0</v>
      </c>
      <c r="S70" s="138">
        <f>VLOOKUP($B70,'Trình bày T3'!$B:$M,6,0)</f>
        <v>740</v>
      </c>
      <c r="T70" s="40">
        <f>VLOOKUP($B70,'Trình bày T3'!$B:$M,7,0)</f>
        <v>740</v>
      </c>
      <c r="U70" s="46">
        <f t="shared" ref="U70" si="140">T70-S70</f>
        <v>0</v>
      </c>
      <c r="V70" s="42">
        <f>VLOOKUP($B70,'Trình bày T3'!$B:$M,9,0)</f>
        <v>889.54716981132071</v>
      </c>
      <c r="W70" s="46">
        <f t="shared" ref="W70" si="141">(T70-V70)</f>
        <v>-149.54716981132071</v>
      </c>
      <c r="X70" s="53">
        <f t="shared" ref="X70" si="142">+W70/T70</f>
        <v>-0.20209077001529827</v>
      </c>
      <c r="Y70" s="71">
        <f>VLOOKUP($B70,'Trình bày T3'!$B:$M,12,0)</f>
        <v>0</v>
      </c>
      <c r="Z70" s="138">
        <f>VLOOKUP($B70,'Trình bày T4'!$B:$M,6,0)</f>
        <v>740</v>
      </c>
      <c r="AA70" s="40">
        <f>VLOOKUP($B70,'Trình bày T4'!$B:$M,7,0)</f>
        <v>1230</v>
      </c>
      <c r="AB70" s="46">
        <f t="shared" ref="AB70" si="143">AA70-Z70</f>
        <v>490</v>
      </c>
      <c r="AC70" s="42">
        <f>VLOOKUP($B70,'Trình bày T4'!$B:$M,9,0)</f>
        <v>889.54716981132071</v>
      </c>
      <c r="AD70" s="46">
        <f t="shared" ref="AD70" si="144">(AA70-AC70)</f>
        <v>340.45283018867929</v>
      </c>
      <c r="AE70" s="53">
        <f t="shared" ref="AE70" si="145">+AD70/AA70</f>
        <v>0.27679091885258478</v>
      </c>
      <c r="AF70" s="71">
        <f>VLOOKUP($B70,'Trình bày T4'!$B:$M,12,0)</f>
        <v>0</v>
      </c>
    </row>
    <row r="71" spans="1:32" outlineLevel="1">
      <c r="A71" s="9"/>
      <c r="B71" s="4"/>
      <c r="C71" s="4"/>
      <c r="D71" s="24"/>
      <c r="E71" s="5"/>
      <c r="F71" s="40"/>
      <c r="G71" s="46"/>
      <c r="H71" s="41"/>
      <c r="I71" s="46"/>
      <c r="J71" s="53"/>
      <c r="K71" s="71"/>
      <c r="L71" s="5"/>
      <c r="M71" s="40"/>
      <c r="N71" s="46"/>
      <c r="O71" s="41"/>
      <c r="P71" s="46"/>
      <c r="Q71" s="53"/>
      <c r="R71" s="71"/>
      <c r="S71" s="5"/>
      <c r="T71" s="40"/>
      <c r="U71" s="46"/>
      <c r="V71" s="41"/>
      <c r="W71" s="46"/>
      <c r="X71" s="53"/>
      <c r="Y71" s="71"/>
      <c r="Z71" s="5"/>
      <c r="AA71" s="40"/>
      <c r="AB71" s="46"/>
      <c r="AC71" s="41"/>
      <c r="AD71" s="46"/>
      <c r="AE71" s="53"/>
      <c r="AF71" s="71"/>
    </row>
    <row r="72" spans="1:32" s="18" customFormat="1" ht="15.5">
      <c r="A72" s="14" t="s">
        <v>260</v>
      </c>
      <c r="B72" s="15" t="s">
        <v>244</v>
      </c>
      <c r="C72" s="15"/>
      <c r="D72" s="22"/>
      <c r="E72" s="15"/>
      <c r="F72" s="135"/>
      <c r="G72" s="48"/>
      <c r="H72" s="137"/>
      <c r="I72" s="48"/>
      <c r="J72" s="55"/>
      <c r="K72" s="73"/>
      <c r="L72" s="15"/>
      <c r="M72" s="135"/>
      <c r="N72" s="48"/>
      <c r="O72" s="137"/>
      <c r="P72" s="48"/>
      <c r="Q72" s="55"/>
      <c r="R72" s="73"/>
      <c r="S72" s="15"/>
      <c r="T72" s="135"/>
      <c r="U72" s="48"/>
      <c r="V72" s="137"/>
      <c r="W72" s="48"/>
      <c r="X72" s="55"/>
      <c r="Y72" s="73"/>
      <c r="Z72" s="15"/>
      <c r="AA72" s="135"/>
      <c r="AB72" s="48"/>
      <c r="AC72" s="137"/>
      <c r="AD72" s="48"/>
      <c r="AE72" s="55"/>
      <c r="AF72" s="73"/>
    </row>
    <row r="73" spans="1:32" s="18" customFormat="1" ht="15.5">
      <c r="A73" s="12" t="s">
        <v>239</v>
      </c>
      <c r="B73" s="13" t="s">
        <v>240</v>
      </c>
      <c r="C73" s="13"/>
      <c r="D73" s="23"/>
      <c r="E73" s="13"/>
      <c r="F73" s="130"/>
      <c r="G73" s="47"/>
      <c r="H73" s="132"/>
      <c r="I73" s="47"/>
      <c r="J73" s="54"/>
      <c r="K73" s="72"/>
      <c r="L73" s="13"/>
      <c r="M73" s="130"/>
      <c r="N73" s="47"/>
      <c r="O73" s="132"/>
      <c r="P73" s="47"/>
      <c r="Q73" s="54"/>
      <c r="R73" s="72"/>
      <c r="S73" s="13"/>
      <c r="T73" s="130"/>
      <c r="U73" s="47"/>
      <c r="V73" s="132"/>
      <c r="W73" s="47"/>
      <c r="X73" s="54"/>
      <c r="Y73" s="72"/>
      <c r="Z73" s="13"/>
      <c r="AA73" s="130"/>
      <c r="AB73" s="47"/>
      <c r="AC73" s="132"/>
      <c r="AD73" s="47"/>
      <c r="AE73" s="54"/>
      <c r="AF73" s="72"/>
    </row>
    <row r="74" spans="1:32" outlineLevel="1">
      <c r="A74" s="9">
        <v>4</v>
      </c>
      <c r="B74" s="4" t="s">
        <v>162</v>
      </c>
      <c r="C74" s="4" t="s">
        <v>48</v>
      </c>
      <c r="D74" s="24" t="s">
        <v>226</v>
      </c>
      <c r="E74" s="5">
        <f>VLOOKUP($B74,'Trình bày T1'!$B:$M,6,0)</f>
        <v>665</v>
      </c>
      <c r="F74" s="40">
        <f>VLOOKUP($B74,'Trình bày T1'!$B:$M,7,0)</f>
        <v>665</v>
      </c>
      <c r="G74" s="46">
        <f t="shared" ref="G74:G80" si="146">F74-E74</f>
        <v>0</v>
      </c>
      <c r="H74" s="139">
        <f>VLOOKUP($B74,'Trình bày T1'!$B:$M,9,0)</f>
        <v>570.49450264840164</v>
      </c>
      <c r="I74" s="46">
        <f t="shared" ref="I74:I80" si="147">(F74-H74)</f>
        <v>94.505497351598365</v>
      </c>
      <c r="J74" s="53">
        <f t="shared" ref="J74:J80" si="148">+I74/F74</f>
        <v>0.1421135298520276</v>
      </c>
      <c r="K74" s="71">
        <f>VLOOKUP($B74,'Trình bày T1'!$B:$M,12,0)</f>
        <v>650</v>
      </c>
      <c r="L74" s="5">
        <f>VLOOKUP($B74,'Trình bày T2'!$B:$M,6,0)</f>
        <v>665</v>
      </c>
      <c r="M74" s="40">
        <f>VLOOKUP($B74,'Trình bày T2'!$B:$M,7,0)</f>
        <v>665</v>
      </c>
      <c r="N74" s="46">
        <f t="shared" ref="N74:N80" si="149">M74-L74</f>
        <v>0</v>
      </c>
      <c r="O74" s="139">
        <f>VLOOKUP($B74,'Trình bày T2'!$B:$M,9,0)</f>
        <v>601</v>
      </c>
      <c r="P74" s="46">
        <f t="shared" ref="P74:P80" si="150">(M74-O74)</f>
        <v>64</v>
      </c>
      <c r="Q74" s="53">
        <f t="shared" ref="Q74:Q80" si="151">+P74/M74</f>
        <v>9.6240601503759404E-2</v>
      </c>
      <c r="R74" s="71">
        <f>VLOOKUP($B74,'Trình bày T2'!$B:$M,12,0)</f>
        <v>0</v>
      </c>
      <c r="S74" s="5">
        <f>VLOOKUP($B74,'Trình bày T3'!$B:$M,6,0)</f>
        <v>665</v>
      </c>
      <c r="T74" s="40">
        <f>VLOOKUP($B74,'Trình bày T3'!$B:$M,7,0)</f>
        <v>665</v>
      </c>
      <c r="U74" s="46">
        <f t="shared" ref="U74:U80" si="152">T74-S74</f>
        <v>0</v>
      </c>
      <c r="V74" s="139">
        <f>VLOOKUP($B74,'Trình bày T3'!$B:$M,9,0)</f>
        <v>615.4949916983893</v>
      </c>
      <c r="W74" s="46">
        <f t="shared" ref="W74:W80" si="153">(T74-V74)</f>
        <v>49.505008301610701</v>
      </c>
      <c r="X74" s="53">
        <f t="shared" ref="X74:X80" si="154">+W74/T74</f>
        <v>7.4443621506181501E-2</v>
      </c>
      <c r="Y74" s="71">
        <f>VLOOKUP($B74,'Trình bày T3'!$B:$M,12,0)</f>
        <v>0</v>
      </c>
      <c r="Z74" s="5">
        <f>VLOOKUP($B74,'Trình bày T4'!$B:$M,6,0)</f>
        <v>665</v>
      </c>
      <c r="AA74" s="40">
        <f>VLOOKUP($B74,'Trình bày T4'!$B:$M,7,0)</f>
        <v>1160</v>
      </c>
      <c r="AB74" s="46">
        <f t="shared" ref="AB74:AB80" si="155">AA74-Z74</f>
        <v>495</v>
      </c>
      <c r="AC74" s="139">
        <f>VLOOKUP($B74,'Trình bày T4'!$B:$M,9,0)</f>
        <v>640.71231347737239</v>
      </c>
      <c r="AD74" s="46">
        <f t="shared" ref="AD74:AD80" si="156">(AA74-AC74)</f>
        <v>519.28768652262761</v>
      </c>
      <c r="AE74" s="53">
        <f t="shared" ref="AE74:AE80" si="157">+AD74/AA74</f>
        <v>0.4476617987264031</v>
      </c>
      <c r="AF74" s="71">
        <f>VLOOKUP($B74,'Trình bày T4'!$B:$M,12,0)</f>
        <v>0</v>
      </c>
    </row>
    <row r="75" spans="1:32" outlineLevel="1">
      <c r="A75" s="9">
        <v>2</v>
      </c>
      <c r="B75" s="4" t="s">
        <v>164</v>
      </c>
      <c r="C75" s="4" t="s">
        <v>50</v>
      </c>
      <c r="D75" s="24" t="s">
        <v>227</v>
      </c>
      <c r="E75" s="5">
        <f>VLOOKUP($B75,'Trình bày T1'!$B:$M,6,0)</f>
        <v>665</v>
      </c>
      <c r="F75" s="40">
        <f>VLOOKUP($B75,'Trình bày T1'!$B:$M,7,0)</f>
        <v>665</v>
      </c>
      <c r="G75" s="46">
        <f t="shared" si="146"/>
        <v>0</v>
      </c>
      <c r="H75" s="139">
        <f>VLOOKUP($B75,'Trình bày T1'!$B:$M,9,0)</f>
        <v>570.49450264840164</v>
      </c>
      <c r="I75" s="46">
        <f t="shared" si="147"/>
        <v>94.505497351598365</v>
      </c>
      <c r="J75" s="53">
        <f t="shared" si="148"/>
        <v>0.1421135298520276</v>
      </c>
      <c r="K75" s="71">
        <f>VLOOKUP($B75,'Trình bày T1'!$B:$M,12,0)</f>
        <v>650</v>
      </c>
      <c r="L75" s="5">
        <f>VLOOKUP($B75,'Trình bày T2'!$B:$M,6,0)</f>
        <v>665</v>
      </c>
      <c r="M75" s="40">
        <f>VLOOKUP($B75,'Trình bày T2'!$B:$M,7,0)</f>
        <v>665</v>
      </c>
      <c r="N75" s="46">
        <f t="shared" si="149"/>
        <v>0</v>
      </c>
      <c r="O75" s="139">
        <f>VLOOKUP($B75,'Trình bày T2'!$B:$M,9,0)</f>
        <v>601</v>
      </c>
      <c r="P75" s="46">
        <f t="shared" si="150"/>
        <v>64</v>
      </c>
      <c r="Q75" s="53">
        <f t="shared" si="151"/>
        <v>9.6240601503759404E-2</v>
      </c>
      <c r="R75" s="71">
        <f>VLOOKUP($B75,'Trình bày T2'!$B:$M,12,0)</f>
        <v>0</v>
      </c>
      <c r="S75" s="5">
        <f>VLOOKUP($B75,'Trình bày T3'!$B:$M,6,0)</f>
        <v>665</v>
      </c>
      <c r="T75" s="40">
        <f>VLOOKUP($B75,'Trình bày T3'!$B:$M,7,0)</f>
        <v>665</v>
      </c>
      <c r="U75" s="46">
        <f t="shared" si="152"/>
        <v>0</v>
      </c>
      <c r="V75" s="139">
        <f>VLOOKUP($B75,'Trình bày T3'!$B:$M,9,0)</f>
        <v>615.4949916983893</v>
      </c>
      <c r="W75" s="46">
        <f t="shared" si="153"/>
        <v>49.505008301610701</v>
      </c>
      <c r="X75" s="53">
        <f t="shared" si="154"/>
        <v>7.4443621506181501E-2</v>
      </c>
      <c r="Y75" s="71">
        <f>VLOOKUP($B75,'Trình bày T3'!$B:$M,12,0)</f>
        <v>0</v>
      </c>
      <c r="Z75" s="5">
        <f>VLOOKUP($B75,'Trình bày T4'!$B:$M,6,0)</f>
        <v>665</v>
      </c>
      <c r="AA75" s="40">
        <f>VLOOKUP($B75,'Trình bày T4'!$B:$M,7,0)</f>
        <v>1160</v>
      </c>
      <c r="AB75" s="46">
        <f t="shared" si="155"/>
        <v>495</v>
      </c>
      <c r="AC75" s="139">
        <f>VLOOKUP($B75,'Trình bày T4'!$B:$M,9,0)</f>
        <v>640.71231347737239</v>
      </c>
      <c r="AD75" s="46">
        <f t="shared" si="156"/>
        <v>519.28768652262761</v>
      </c>
      <c r="AE75" s="53">
        <f t="shared" si="157"/>
        <v>0.4476617987264031</v>
      </c>
      <c r="AF75" s="71">
        <f>VLOOKUP($B75,'Trình bày T4'!$B:$M,12,0)</f>
        <v>0</v>
      </c>
    </row>
    <row r="76" spans="1:32" outlineLevel="1">
      <c r="A76" s="9">
        <v>1</v>
      </c>
      <c r="B76" s="4" t="s">
        <v>165</v>
      </c>
      <c r="C76" s="4" t="s">
        <v>51</v>
      </c>
      <c r="D76" s="24" t="s">
        <v>232</v>
      </c>
      <c r="E76" s="5">
        <f>VLOOKUP($B76,'Trình bày T1'!$B:$M,6,0)</f>
        <v>665</v>
      </c>
      <c r="F76" s="40">
        <f>VLOOKUP($B77,'Trình bày T1'!$B:$M,7,0)</f>
        <v>665</v>
      </c>
      <c r="G76" s="46">
        <f t="shared" si="146"/>
        <v>0</v>
      </c>
      <c r="H76" s="139">
        <f>VLOOKUP($B79,'Trình bày T1'!$B:$M,9,0)</f>
        <v>570.49450264840164</v>
      </c>
      <c r="I76" s="46">
        <f t="shared" si="147"/>
        <v>94.505497351598365</v>
      </c>
      <c r="J76" s="53">
        <f t="shared" si="148"/>
        <v>0.1421135298520276</v>
      </c>
      <c r="K76" s="71" t="e">
        <f>VLOOKUP($B712,'Trình bày T1'!$B:$M,12,0)</f>
        <v>#N/A</v>
      </c>
      <c r="L76" s="5">
        <f>VLOOKUP($B76,'Trình bày T2'!$B:$M,6,0)</f>
        <v>665</v>
      </c>
      <c r="M76" s="40">
        <f>VLOOKUP($B77,'Trình bày T2'!$B:$M,7,0)</f>
        <v>665</v>
      </c>
      <c r="N76" s="46">
        <f t="shared" si="149"/>
        <v>0</v>
      </c>
      <c r="O76" s="139">
        <f>VLOOKUP($B79,'Trình bày T2'!$B:$M,9,0)</f>
        <v>601</v>
      </c>
      <c r="P76" s="46">
        <f t="shared" si="150"/>
        <v>64</v>
      </c>
      <c r="Q76" s="53">
        <f t="shared" si="151"/>
        <v>9.6240601503759404E-2</v>
      </c>
      <c r="R76" s="71" t="e">
        <f>VLOOKUP($B712,'Trình bày T2'!$B:$M,12,0)</f>
        <v>#N/A</v>
      </c>
      <c r="S76" s="5">
        <f>VLOOKUP($B76,'Trình bày T3'!$B:$M,6,0)</f>
        <v>665</v>
      </c>
      <c r="T76" s="40">
        <f>VLOOKUP($B77,'Trình bày T3'!$B:$M,7,0)</f>
        <v>665</v>
      </c>
      <c r="U76" s="46">
        <f t="shared" si="152"/>
        <v>0</v>
      </c>
      <c r="V76" s="139">
        <f>VLOOKUP($B79,'Trình bày T3'!$B:$M,9,0)</f>
        <v>615.4949916983893</v>
      </c>
      <c r="W76" s="46">
        <f t="shared" si="153"/>
        <v>49.505008301610701</v>
      </c>
      <c r="X76" s="53">
        <f t="shared" si="154"/>
        <v>7.4443621506181501E-2</v>
      </c>
      <c r="Y76" s="71" t="e">
        <f>VLOOKUP($B712,'Trình bày T3'!$B:$M,12,0)</f>
        <v>#N/A</v>
      </c>
      <c r="Z76" s="5">
        <f>VLOOKUP($B76,'Trình bày T4'!$B:$M,6,0)</f>
        <v>665</v>
      </c>
      <c r="AA76" s="40">
        <f>VLOOKUP($B77,'Trình bày T4'!$B:$M,7,0)</f>
        <v>1160</v>
      </c>
      <c r="AB76" s="46">
        <f t="shared" si="155"/>
        <v>495</v>
      </c>
      <c r="AC76" s="139">
        <f>VLOOKUP($B79,'Trình bày T4'!$B:$M,9,0)</f>
        <v>640.71231347737239</v>
      </c>
      <c r="AD76" s="46">
        <f t="shared" si="156"/>
        <v>519.28768652262761</v>
      </c>
      <c r="AE76" s="53">
        <f t="shared" si="157"/>
        <v>0.4476617987264031</v>
      </c>
      <c r="AF76" s="71" t="e">
        <f>VLOOKUP($B712,'Trình bày T4'!$B:$M,12,0)</f>
        <v>#N/A</v>
      </c>
    </row>
    <row r="77" spans="1:32" outlineLevel="1">
      <c r="A77" s="9">
        <v>7</v>
      </c>
      <c r="B77" s="4" t="s">
        <v>166</v>
      </c>
      <c r="C77" s="4" t="s">
        <v>52</v>
      </c>
      <c r="D77" s="24" t="s">
        <v>228</v>
      </c>
      <c r="E77" s="5">
        <f>VLOOKUP($B77,'Trình bày T1'!$B:$M,6,0)</f>
        <v>665</v>
      </c>
      <c r="F77" s="40">
        <f>VLOOKUP($B77,'Trình bày T1'!$B:$M,7,0)</f>
        <v>665</v>
      </c>
      <c r="G77" s="46">
        <f t="shared" si="146"/>
        <v>0</v>
      </c>
      <c r="H77" s="139">
        <f>VLOOKUP($B79,'Trình bày T1'!$B:$M,9,0)</f>
        <v>570.49450264840164</v>
      </c>
      <c r="I77" s="46">
        <f t="shared" si="147"/>
        <v>94.505497351598365</v>
      </c>
      <c r="J77" s="53">
        <f t="shared" si="148"/>
        <v>0.1421135298520276</v>
      </c>
      <c r="K77" s="71" t="e">
        <f>VLOOKUP($B712,'Trình bày T1'!$B:$M,12,0)</f>
        <v>#N/A</v>
      </c>
      <c r="L77" s="5">
        <f>VLOOKUP($B77,'Trình bày T2'!$B:$M,6,0)</f>
        <v>665</v>
      </c>
      <c r="M77" s="40">
        <f>VLOOKUP($B77,'Trình bày T2'!$B:$M,7,0)</f>
        <v>665</v>
      </c>
      <c r="N77" s="46">
        <f t="shared" si="149"/>
        <v>0</v>
      </c>
      <c r="O77" s="139">
        <f>VLOOKUP($B79,'Trình bày T2'!$B:$M,9,0)</f>
        <v>601</v>
      </c>
      <c r="P77" s="46">
        <f t="shared" si="150"/>
        <v>64</v>
      </c>
      <c r="Q77" s="53">
        <f t="shared" si="151"/>
        <v>9.6240601503759404E-2</v>
      </c>
      <c r="R77" s="71" t="e">
        <f>VLOOKUP($B712,'Trình bày T2'!$B:$M,12,0)</f>
        <v>#N/A</v>
      </c>
      <c r="S77" s="5">
        <f>VLOOKUP($B77,'Trình bày T3'!$B:$M,6,0)</f>
        <v>665</v>
      </c>
      <c r="T77" s="40">
        <f>VLOOKUP($B77,'Trình bày T3'!$B:$M,7,0)</f>
        <v>665</v>
      </c>
      <c r="U77" s="46">
        <f t="shared" si="152"/>
        <v>0</v>
      </c>
      <c r="V77" s="139">
        <f>VLOOKUP($B79,'Trình bày T3'!$B:$M,9,0)</f>
        <v>615.4949916983893</v>
      </c>
      <c r="W77" s="46">
        <f t="shared" si="153"/>
        <v>49.505008301610701</v>
      </c>
      <c r="X77" s="53">
        <f t="shared" si="154"/>
        <v>7.4443621506181501E-2</v>
      </c>
      <c r="Y77" s="71" t="e">
        <f>VLOOKUP($B712,'Trình bày T3'!$B:$M,12,0)</f>
        <v>#N/A</v>
      </c>
      <c r="Z77" s="5">
        <f>VLOOKUP($B77,'Trình bày T4'!$B:$M,6,0)</f>
        <v>665</v>
      </c>
      <c r="AA77" s="40">
        <f>VLOOKUP($B77,'Trình bày T4'!$B:$M,7,0)</f>
        <v>1160</v>
      </c>
      <c r="AB77" s="46">
        <f t="shared" si="155"/>
        <v>495</v>
      </c>
      <c r="AC77" s="139">
        <f>VLOOKUP($B79,'Trình bày T4'!$B:$M,9,0)</f>
        <v>640.71231347737239</v>
      </c>
      <c r="AD77" s="46">
        <f t="shared" si="156"/>
        <v>519.28768652262761</v>
      </c>
      <c r="AE77" s="53">
        <f t="shared" si="157"/>
        <v>0.4476617987264031</v>
      </c>
      <c r="AF77" s="71" t="e">
        <f>VLOOKUP($B712,'Trình bày T4'!$B:$M,12,0)</f>
        <v>#N/A</v>
      </c>
    </row>
    <row r="78" spans="1:32" outlineLevel="1">
      <c r="A78" s="9">
        <v>5</v>
      </c>
      <c r="B78" s="4" t="s">
        <v>163</v>
      </c>
      <c r="C78" s="4" t="s">
        <v>49</v>
      </c>
      <c r="D78" s="24" t="s">
        <v>225</v>
      </c>
      <c r="E78" s="5">
        <f>VLOOKUP($B78,'Trình bày T1'!$B:$M,6,0)</f>
        <v>665</v>
      </c>
      <c r="F78" s="40">
        <f>VLOOKUP($B78,'Trình bày T1'!$B:$M,7,0)</f>
        <v>665</v>
      </c>
      <c r="G78" s="46">
        <f t="shared" si="146"/>
        <v>0</v>
      </c>
      <c r="H78" s="139">
        <f>VLOOKUP($B78,'Trình bày T1'!$B:$M,9,0)</f>
        <v>570.49450264840164</v>
      </c>
      <c r="I78" s="46">
        <f t="shared" si="147"/>
        <v>94.505497351598365</v>
      </c>
      <c r="J78" s="53">
        <f t="shared" si="148"/>
        <v>0.1421135298520276</v>
      </c>
      <c r="K78" s="71">
        <f>VLOOKUP($B78,'Trình bày T1'!$B:$M,12,0)</f>
        <v>650</v>
      </c>
      <c r="L78" s="5">
        <f>VLOOKUP($B78,'Trình bày T2'!$B:$M,6,0)</f>
        <v>665</v>
      </c>
      <c r="M78" s="40">
        <f>VLOOKUP($B78,'Trình bày T2'!$B:$M,7,0)</f>
        <v>665</v>
      </c>
      <c r="N78" s="46">
        <f t="shared" si="149"/>
        <v>0</v>
      </c>
      <c r="O78" s="139">
        <f>VLOOKUP($B78,'Trình bày T2'!$B:$M,9,0)</f>
        <v>601</v>
      </c>
      <c r="P78" s="46">
        <f t="shared" si="150"/>
        <v>64</v>
      </c>
      <c r="Q78" s="53">
        <f t="shared" si="151"/>
        <v>9.6240601503759404E-2</v>
      </c>
      <c r="R78" s="71">
        <f>VLOOKUP($B78,'Trình bày T2'!$B:$M,12,0)</f>
        <v>0</v>
      </c>
      <c r="S78" s="5">
        <f>VLOOKUP($B78,'Trình bày T3'!$B:$M,6,0)</f>
        <v>665</v>
      </c>
      <c r="T78" s="40">
        <f>VLOOKUP($B78,'Trình bày T3'!$B:$M,7,0)</f>
        <v>665</v>
      </c>
      <c r="U78" s="46">
        <f t="shared" si="152"/>
        <v>0</v>
      </c>
      <c r="V78" s="139">
        <f>VLOOKUP($B78,'Trình bày T3'!$B:$M,9,0)</f>
        <v>615.4949916983893</v>
      </c>
      <c r="W78" s="46">
        <f t="shared" si="153"/>
        <v>49.505008301610701</v>
      </c>
      <c r="X78" s="53">
        <f t="shared" si="154"/>
        <v>7.4443621506181501E-2</v>
      </c>
      <c r="Y78" s="71">
        <f>VLOOKUP($B78,'Trình bày T3'!$B:$M,12,0)</f>
        <v>0</v>
      </c>
      <c r="Z78" s="5">
        <f>VLOOKUP($B78,'Trình bày T4'!$B:$M,6,0)</f>
        <v>665</v>
      </c>
      <c r="AA78" s="40">
        <f>VLOOKUP($B78,'Trình bày T4'!$B:$M,7,0)</f>
        <v>1160</v>
      </c>
      <c r="AB78" s="46">
        <f t="shared" si="155"/>
        <v>495</v>
      </c>
      <c r="AC78" s="139">
        <f>VLOOKUP($B78,'Trình bày T4'!$B:$M,9,0)</f>
        <v>640.71231347737239</v>
      </c>
      <c r="AD78" s="46">
        <f t="shared" si="156"/>
        <v>519.28768652262761</v>
      </c>
      <c r="AE78" s="53">
        <f t="shared" si="157"/>
        <v>0.4476617987264031</v>
      </c>
      <c r="AF78" s="71">
        <f>VLOOKUP($B78,'Trình bày T4'!$B:$M,12,0)</f>
        <v>0</v>
      </c>
    </row>
    <row r="79" spans="1:32" outlineLevel="1">
      <c r="A79" s="9">
        <v>6</v>
      </c>
      <c r="B79" s="4" t="s">
        <v>167</v>
      </c>
      <c r="C79" s="4" t="s">
        <v>53</v>
      </c>
      <c r="D79" s="24" t="s">
        <v>229</v>
      </c>
      <c r="E79" s="5">
        <f>VLOOKUP($B79,'Trình bày T1'!$B:$M,6,0)</f>
        <v>665</v>
      </c>
      <c r="F79" s="40">
        <f>VLOOKUP($B79,'Trình bày T1'!$B:$M,7,0)</f>
        <v>665</v>
      </c>
      <c r="G79" s="46">
        <f t="shared" si="146"/>
        <v>0</v>
      </c>
      <c r="H79" s="139">
        <f>VLOOKUP($B79,'Trình bày T1'!$B:$M,9,0)</f>
        <v>570.49450264840164</v>
      </c>
      <c r="I79" s="46">
        <f t="shared" si="147"/>
        <v>94.505497351598365</v>
      </c>
      <c r="J79" s="53">
        <f t="shared" si="148"/>
        <v>0.1421135298520276</v>
      </c>
      <c r="K79" s="71" t="e">
        <f>VLOOKUP($B712,'Trình bày T1'!$B:$M,12,0)</f>
        <v>#N/A</v>
      </c>
      <c r="L79" s="5">
        <f>VLOOKUP($B79,'Trình bày T2'!$B:$M,6,0)</f>
        <v>665</v>
      </c>
      <c r="M79" s="40">
        <f>VLOOKUP($B79,'Trình bày T2'!$B:$M,7,0)</f>
        <v>665</v>
      </c>
      <c r="N79" s="46">
        <f t="shared" si="149"/>
        <v>0</v>
      </c>
      <c r="O79" s="139">
        <f>VLOOKUP($B79,'Trình bày T2'!$B:$M,9,0)</f>
        <v>601</v>
      </c>
      <c r="P79" s="46">
        <f t="shared" si="150"/>
        <v>64</v>
      </c>
      <c r="Q79" s="53">
        <f t="shared" si="151"/>
        <v>9.6240601503759404E-2</v>
      </c>
      <c r="R79" s="71" t="e">
        <f>VLOOKUP($B712,'Trình bày T2'!$B:$M,12,0)</f>
        <v>#N/A</v>
      </c>
      <c r="S79" s="5">
        <f>VLOOKUP($B79,'Trình bày T3'!$B:$M,6,0)</f>
        <v>665</v>
      </c>
      <c r="T79" s="40">
        <f>VLOOKUP($B79,'Trình bày T3'!$B:$M,7,0)</f>
        <v>665</v>
      </c>
      <c r="U79" s="46">
        <f t="shared" si="152"/>
        <v>0</v>
      </c>
      <c r="V79" s="139">
        <f>VLOOKUP($B79,'Trình bày T3'!$B:$M,9,0)</f>
        <v>615.4949916983893</v>
      </c>
      <c r="W79" s="46">
        <f t="shared" si="153"/>
        <v>49.505008301610701</v>
      </c>
      <c r="X79" s="53">
        <f t="shared" si="154"/>
        <v>7.4443621506181501E-2</v>
      </c>
      <c r="Y79" s="71" t="e">
        <f>VLOOKUP($B712,'Trình bày T3'!$B:$M,12,0)</f>
        <v>#N/A</v>
      </c>
      <c r="Z79" s="5">
        <f>VLOOKUP($B79,'Trình bày T4'!$B:$M,6,0)</f>
        <v>665</v>
      </c>
      <c r="AA79" s="40">
        <f>VLOOKUP($B79,'Trình bày T4'!$B:$M,7,0)</f>
        <v>1160</v>
      </c>
      <c r="AB79" s="46">
        <f t="shared" si="155"/>
        <v>495</v>
      </c>
      <c r="AC79" s="139">
        <f>VLOOKUP($B79,'Trình bày T4'!$B:$M,9,0)</f>
        <v>640.71231347737239</v>
      </c>
      <c r="AD79" s="46">
        <f t="shared" si="156"/>
        <v>519.28768652262761</v>
      </c>
      <c r="AE79" s="53">
        <f t="shared" si="157"/>
        <v>0.4476617987264031</v>
      </c>
      <c r="AF79" s="71" t="e">
        <f>VLOOKUP($B712,'Trình bày T4'!$B:$M,12,0)</f>
        <v>#N/A</v>
      </c>
    </row>
    <row r="80" spans="1:32" outlineLevel="1">
      <c r="A80" s="9">
        <v>7</v>
      </c>
      <c r="B80" s="4" t="s">
        <v>168</v>
      </c>
      <c r="C80" s="4" t="s">
        <v>54</v>
      </c>
      <c r="D80" s="24" t="s">
        <v>231</v>
      </c>
      <c r="E80" s="5">
        <f>VLOOKUP($B80,'Trình bày T1'!$B:$M,6,0)</f>
        <v>665</v>
      </c>
      <c r="F80" s="40">
        <f>VLOOKUP($B80,'Trình bày T1'!$B:$M,7,0)</f>
        <v>665</v>
      </c>
      <c r="G80" s="46">
        <f t="shared" si="146"/>
        <v>0</v>
      </c>
      <c r="H80" s="139">
        <f>VLOOKUP($B80,'Trình bày T1'!$B:$M,9,0)</f>
        <v>570.49450264840164</v>
      </c>
      <c r="I80" s="46">
        <f t="shared" si="147"/>
        <v>94.505497351598365</v>
      </c>
      <c r="J80" s="53">
        <f t="shared" si="148"/>
        <v>0.1421135298520276</v>
      </c>
      <c r="K80" s="71">
        <f>VLOOKUP($B80,'Trình bày T1'!$B:$M,12,0)</f>
        <v>650</v>
      </c>
      <c r="L80" s="5">
        <f>VLOOKUP($B80,'Trình bày T2'!$B:$M,6,0)</f>
        <v>665</v>
      </c>
      <c r="M80" s="40">
        <f>VLOOKUP($B80,'Trình bày T2'!$B:$M,7,0)</f>
        <v>665</v>
      </c>
      <c r="N80" s="46">
        <f t="shared" si="149"/>
        <v>0</v>
      </c>
      <c r="O80" s="139">
        <f>VLOOKUP($B80,'Trình bày T2'!$B:$M,9,0)</f>
        <v>601</v>
      </c>
      <c r="P80" s="46">
        <f t="shared" si="150"/>
        <v>64</v>
      </c>
      <c r="Q80" s="53">
        <f t="shared" si="151"/>
        <v>9.6240601503759404E-2</v>
      </c>
      <c r="R80" s="71">
        <f>VLOOKUP($B80,'Trình bày T2'!$B:$M,12,0)</f>
        <v>0</v>
      </c>
      <c r="S80" s="5">
        <f>VLOOKUP($B80,'Trình bày T3'!$B:$M,6,0)</f>
        <v>665</v>
      </c>
      <c r="T80" s="40">
        <f>VLOOKUP($B80,'Trình bày T3'!$B:$M,7,0)</f>
        <v>665</v>
      </c>
      <c r="U80" s="46">
        <f t="shared" si="152"/>
        <v>0</v>
      </c>
      <c r="V80" s="139">
        <f>VLOOKUP($B80,'Trình bày T3'!$B:$M,9,0)</f>
        <v>615.4949916983893</v>
      </c>
      <c r="W80" s="46">
        <f t="shared" si="153"/>
        <v>49.505008301610701</v>
      </c>
      <c r="X80" s="53">
        <f t="shared" si="154"/>
        <v>7.4443621506181501E-2</v>
      </c>
      <c r="Y80" s="71">
        <f>VLOOKUP($B80,'Trình bày T3'!$B:$M,12,0)</f>
        <v>0</v>
      </c>
      <c r="Z80" s="5">
        <f>VLOOKUP($B80,'Trình bày T4'!$B:$M,6,0)</f>
        <v>665</v>
      </c>
      <c r="AA80" s="40">
        <f>VLOOKUP($B80,'Trình bày T4'!$B:$M,7,0)</f>
        <v>1160</v>
      </c>
      <c r="AB80" s="46">
        <f t="shared" si="155"/>
        <v>495</v>
      </c>
      <c r="AC80" s="139">
        <f>VLOOKUP($B80,'Trình bày T4'!$B:$M,9,0)</f>
        <v>640.71231347737239</v>
      </c>
      <c r="AD80" s="46">
        <f t="shared" si="156"/>
        <v>519.28768652262761</v>
      </c>
      <c r="AE80" s="53">
        <f t="shared" si="157"/>
        <v>0.4476617987264031</v>
      </c>
      <c r="AF80" s="71">
        <f>VLOOKUP($B80,'Trình bày T4'!$B:$M,12,0)</f>
        <v>0</v>
      </c>
    </row>
    <row r="81" spans="1:32" s="18" customFormat="1" ht="15.5">
      <c r="A81" s="12" t="s">
        <v>241</v>
      </c>
      <c r="B81" s="13" t="s">
        <v>242</v>
      </c>
      <c r="C81" s="13"/>
      <c r="D81" s="23"/>
      <c r="E81" s="13"/>
      <c r="F81" s="130"/>
      <c r="G81" s="47"/>
      <c r="H81" s="132"/>
      <c r="I81" s="47"/>
      <c r="J81" s="54"/>
      <c r="K81" s="72"/>
      <c r="L81" s="13"/>
      <c r="M81" s="130"/>
      <c r="N81" s="47"/>
      <c r="O81" s="132"/>
      <c r="P81" s="47"/>
      <c r="Q81" s="54"/>
      <c r="R81" s="72"/>
      <c r="S81" s="13"/>
      <c r="T81" s="130"/>
      <c r="U81" s="47"/>
      <c r="V81" s="132"/>
      <c r="W81" s="47"/>
      <c r="X81" s="54"/>
      <c r="Y81" s="72"/>
      <c r="Z81" s="13"/>
      <c r="AA81" s="130"/>
      <c r="AB81" s="47"/>
      <c r="AC81" s="132"/>
      <c r="AD81" s="47"/>
      <c r="AE81" s="54"/>
      <c r="AF81" s="72"/>
    </row>
    <row r="82" spans="1:32" outlineLevel="1">
      <c r="A82" s="9">
        <f>1</f>
        <v>1</v>
      </c>
      <c r="B82" s="4" t="s">
        <v>203</v>
      </c>
      <c r="C82" s="4" t="s">
        <v>89</v>
      </c>
      <c r="D82" s="24" t="s">
        <v>228</v>
      </c>
      <c r="E82" s="5">
        <f>VLOOKUP($B82,'Trình bày T1'!$B:$M,6,0)</f>
        <v>0</v>
      </c>
      <c r="F82" s="40">
        <f>VLOOKUP($B82,'Trình bày T1'!$B:$M,7,0)</f>
        <v>0</v>
      </c>
      <c r="G82" s="46"/>
      <c r="H82" s="41">
        <f>VLOOKUP($B82,'Trình bày T1'!$B:$M,9,0)</f>
        <v>0</v>
      </c>
      <c r="I82" s="46"/>
      <c r="J82" s="53"/>
      <c r="K82" s="71">
        <f>VLOOKUP($B82,'Trình bày T1'!$B:$M,12,0)</f>
        <v>0</v>
      </c>
      <c r="L82" s="5">
        <f>VLOOKUP($B82,'Trình bày T2'!$B:$M,6,0)</f>
        <v>0</v>
      </c>
      <c r="M82" s="40">
        <f>VLOOKUP($B82,'Trình bày T2'!$B:$M,7,0)</f>
        <v>0</v>
      </c>
      <c r="N82" s="46"/>
      <c r="O82" s="41">
        <f>VLOOKUP($B82,'Trình bày T2'!$B:$M,9,0)</f>
        <v>733.88679245283015</v>
      </c>
      <c r="P82" s="46"/>
      <c r="Q82" s="53"/>
      <c r="R82" s="71">
        <f>VLOOKUP($B82,'Trình bày T2'!$B:$M,12,0)</f>
        <v>0</v>
      </c>
      <c r="S82" s="5">
        <f>VLOOKUP($B82,'Trình bày T3'!$B:$M,6,0)</f>
        <v>0</v>
      </c>
      <c r="T82" s="40">
        <f>VLOOKUP($B82,'Trình bày T3'!$B:$M,7,0)</f>
        <v>0</v>
      </c>
      <c r="U82" s="46"/>
      <c r="V82" s="41">
        <f>VLOOKUP($B82,'Trình bày T3'!$B:$M,9,0)</f>
        <v>0</v>
      </c>
      <c r="W82" s="46"/>
      <c r="X82" s="53"/>
      <c r="Y82" s="71">
        <f>VLOOKUP($B82,'Trình bày T3'!$B:$M,12,0)</f>
        <v>0</v>
      </c>
      <c r="Z82" s="5">
        <f>VLOOKUP($B82,'Trình bày T4'!$B:$M,6,0)</f>
        <v>0</v>
      </c>
      <c r="AA82" s="40">
        <f>VLOOKUP($B82,'Trình bày T4'!$B:$M,7,0)</f>
        <v>0</v>
      </c>
      <c r="AB82" s="46"/>
      <c r="AC82" s="41">
        <f>VLOOKUP($B82,'Trình bày T4'!$B:$M,9,0)</f>
        <v>733.88679245283015</v>
      </c>
      <c r="AD82" s="46"/>
      <c r="AE82" s="53"/>
      <c r="AF82" s="71">
        <f>VLOOKUP($B82,'Trình bày T4'!$B:$M,12,0)</f>
        <v>0</v>
      </c>
    </row>
    <row r="83" spans="1:32" outlineLevel="1">
      <c r="A83" s="9"/>
      <c r="B83" s="4"/>
      <c r="C83" s="4"/>
      <c r="D83" s="24"/>
      <c r="E83" s="5"/>
      <c r="F83" s="40"/>
      <c r="G83" s="46"/>
      <c r="H83" s="41"/>
      <c r="I83" s="46"/>
      <c r="J83" s="53"/>
      <c r="K83" s="71"/>
      <c r="L83" s="5"/>
      <c r="M83" s="40"/>
      <c r="N83" s="46"/>
      <c r="O83" s="41"/>
      <c r="P83" s="46"/>
      <c r="Q83" s="53"/>
      <c r="R83" s="71"/>
      <c r="S83" s="5"/>
      <c r="T83" s="40"/>
      <c r="U83" s="46"/>
      <c r="V83" s="41"/>
      <c r="W83" s="46"/>
      <c r="X83" s="53"/>
      <c r="Y83" s="71"/>
      <c r="Z83" s="5"/>
      <c r="AA83" s="40"/>
      <c r="AB83" s="46"/>
      <c r="AC83" s="41"/>
      <c r="AD83" s="46"/>
      <c r="AE83" s="53"/>
      <c r="AF83" s="71"/>
    </row>
    <row r="84" spans="1:32" s="18" customFormat="1" ht="15.5">
      <c r="A84" s="14" t="s">
        <v>261</v>
      </c>
      <c r="B84" s="15" t="s">
        <v>115</v>
      </c>
      <c r="C84" s="15"/>
      <c r="D84" s="22"/>
      <c r="E84" s="15"/>
      <c r="F84" s="135"/>
      <c r="G84" s="48"/>
      <c r="H84" s="137"/>
      <c r="I84" s="48"/>
      <c r="J84" s="55"/>
      <c r="K84" s="73"/>
      <c r="L84" s="15"/>
      <c r="M84" s="135"/>
      <c r="N84" s="48"/>
      <c r="O84" s="137"/>
      <c r="P84" s="48"/>
      <c r="Q84" s="55"/>
      <c r="R84" s="73"/>
      <c r="S84" s="15"/>
      <c r="T84" s="135"/>
      <c r="U84" s="48"/>
      <c r="V84" s="137"/>
      <c r="W84" s="48"/>
      <c r="X84" s="55"/>
      <c r="Y84" s="73"/>
      <c r="Z84" s="15"/>
      <c r="AA84" s="135"/>
      <c r="AB84" s="48"/>
      <c r="AC84" s="137"/>
      <c r="AD84" s="48"/>
      <c r="AE84" s="55"/>
      <c r="AF84" s="73"/>
    </row>
    <row r="85" spans="1:32" s="18" customFormat="1" ht="15.5">
      <c r="A85" s="12" t="s">
        <v>239</v>
      </c>
      <c r="B85" s="13" t="s">
        <v>240</v>
      </c>
      <c r="C85" s="13"/>
      <c r="D85" s="23"/>
      <c r="E85" s="13"/>
      <c r="F85" s="130"/>
      <c r="G85" s="47"/>
      <c r="H85" s="132"/>
      <c r="I85" s="47"/>
      <c r="J85" s="54"/>
      <c r="K85" s="72"/>
      <c r="L85" s="13"/>
      <c r="M85" s="130"/>
      <c r="N85" s="47"/>
      <c r="O85" s="132"/>
      <c r="P85" s="47"/>
      <c r="Q85" s="54"/>
      <c r="R85" s="72"/>
      <c r="S85" s="13"/>
      <c r="T85" s="130"/>
      <c r="U85" s="47"/>
      <c r="V85" s="132"/>
      <c r="W85" s="47"/>
      <c r="X85" s="54"/>
      <c r="Y85" s="72"/>
      <c r="Z85" s="13"/>
      <c r="AA85" s="130"/>
      <c r="AB85" s="47"/>
      <c r="AC85" s="132"/>
      <c r="AD85" s="47"/>
      <c r="AE85" s="54"/>
      <c r="AF85" s="72"/>
    </row>
    <row r="86" spans="1:32" outlineLevel="1">
      <c r="A86" s="9">
        <v>1</v>
      </c>
      <c r="B86" s="4" t="s">
        <v>156</v>
      </c>
      <c r="C86" s="4" t="s">
        <v>42</v>
      </c>
      <c r="D86" s="24" t="s">
        <v>226</v>
      </c>
      <c r="E86" s="140" t="str">
        <f>VLOOKUP($B86,'Trình bày T1'!$B:$M,6,0)</f>
        <v>915/705</v>
      </c>
      <c r="F86" s="141" t="str">
        <f>VLOOKUP($B87,'Trình bày T1'!$B:$M,7,0)</f>
        <v>900/695</v>
      </c>
      <c r="G86" s="49" t="s">
        <v>424</v>
      </c>
      <c r="H86" s="42">
        <f>VLOOKUP($B89,'Trình bày T1'!$B:$M,9,0)</f>
        <v>1033.1923076923076</v>
      </c>
      <c r="I86" s="49" t="s">
        <v>425</v>
      </c>
      <c r="J86" s="56" t="s">
        <v>426</v>
      </c>
      <c r="K86" s="74" t="e">
        <f>VLOOKUP($B812,'Trình bày T1'!$B:$M,12,0)</f>
        <v>#N/A</v>
      </c>
      <c r="L86" s="140" t="str">
        <f>VLOOKUP($B86,'Trình bày T2'!$B:$M,6,0)</f>
        <v>900/695</v>
      </c>
      <c r="M86" s="141" t="str">
        <f>VLOOKUP($B87,'Trình bày T2'!$B:$M,7,0)</f>
        <v>900/695</v>
      </c>
      <c r="N86" s="49" t="s">
        <v>424</v>
      </c>
      <c r="O86" s="42">
        <f>VLOOKUP($B89,'Trình bày T2'!$B:$M,9,0)</f>
        <v>1135.3584905660377</v>
      </c>
      <c r="P86" s="49" t="s">
        <v>425</v>
      </c>
      <c r="Q86" s="56" t="s">
        <v>426</v>
      </c>
      <c r="R86" s="74" t="e">
        <f>VLOOKUP($B812,'Trình bày T2'!$B:$M,12,0)</f>
        <v>#N/A</v>
      </c>
      <c r="S86" s="140" t="str">
        <f>VLOOKUP($B86,'Trình bày T3'!$B:$M,6,0)</f>
        <v>900/695</v>
      </c>
      <c r="T86" s="141" t="str">
        <f>VLOOKUP($B87,'Trình bày T3'!$B:$M,7,0)</f>
        <v>935/720</v>
      </c>
      <c r="U86" s="49" t="s">
        <v>424</v>
      </c>
      <c r="V86" s="42">
        <f>VLOOKUP($B89,'Trình bày T3'!$B:$M,9,0)</f>
        <v>1135.3584905660377</v>
      </c>
      <c r="W86" s="49" t="s">
        <v>425</v>
      </c>
      <c r="X86" s="56" t="s">
        <v>426</v>
      </c>
      <c r="Y86" s="74" t="e">
        <f>VLOOKUP($B812,'Trình bày T3'!$B:$M,12,0)</f>
        <v>#N/A</v>
      </c>
      <c r="Z86" s="140" t="str">
        <f>VLOOKUP($B86,'Trình bày T4'!$B:$M,6,0)</f>
        <v>935/720</v>
      </c>
      <c r="AA86" s="141" t="str">
        <f>VLOOKUP($B87,'Trình bày T4'!$B:$M,7,0)</f>
        <v>1400/1190</v>
      </c>
      <c r="AB86" s="49" t="s">
        <v>424</v>
      </c>
      <c r="AC86" s="42">
        <f>VLOOKUP($B89,'Trình bày T4'!$B:$M,9,0)</f>
        <v>1135.3584905660377</v>
      </c>
      <c r="AD86" s="49" t="s">
        <v>425</v>
      </c>
      <c r="AE86" s="56" t="s">
        <v>426</v>
      </c>
      <c r="AF86" s="74" t="e">
        <f>VLOOKUP($B812,'Trình bày T4'!$B:$M,12,0)</f>
        <v>#N/A</v>
      </c>
    </row>
    <row r="87" spans="1:32" outlineLevel="1">
      <c r="A87" s="9">
        <f>+A86+1</f>
        <v>2</v>
      </c>
      <c r="B87" s="4" t="s">
        <v>204</v>
      </c>
      <c r="C87" s="4" t="s">
        <v>90</v>
      </c>
      <c r="D87" s="24" t="s">
        <v>228</v>
      </c>
      <c r="E87" s="140" t="str">
        <f>VLOOKUP($B87,'Trình bày T1'!$B:$M,6,0)</f>
        <v>915/705</v>
      </c>
      <c r="F87" s="141" t="str">
        <f>VLOOKUP($B87,'Trình bày T1'!$B:$M,7,0)</f>
        <v>900/695</v>
      </c>
      <c r="G87" s="49" t="s">
        <v>424</v>
      </c>
      <c r="H87" s="42">
        <f>VLOOKUP($B89,'Trình bày T1'!$B:$M,9,0)</f>
        <v>1033.1923076923076</v>
      </c>
      <c r="I87" s="49" t="s">
        <v>428</v>
      </c>
      <c r="J87" s="56" t="s">
        <v>426</v>
      </c>
      <c r="K87" s="74" t="e">
        <f>VLOOKUP($B812,'Trình bày T1'!$B:$M,12,0)</f>
        <v>#N/A</v>
      </c>
      <c r="L87" s="140" t="str">
        <f>VLOOKUP($B87,'Trình bày T2'!$B:$M,6,0)</f>
        <v>900/695</v>
      </c>
      <c r="M87" s="141" t="str">
        <f>VLOOKUP($B87,'Trình bày T2'!$B:$M,7,0)</f>
        <v>900/695</v>
      </c>
      <c r="N87" s="49" t="s">
        <v>424</v>
      </c>
      <c r="O87" s="42">
        <f>VLOOKUP($B89,'Trình bày T2'!$B:$M,9,0)</f>
        <v>1135.3584905660377</v>
      </c>
      <c r="P87" s="49" t="s">
        <v>428</v>
      </c>
      <c r="Q87" s="56" t="s">
        <v>426</v>
      </c>
      <c r="R87" s="74" t="e">
        <f>VLOOKUP($B812,'Trình bày T2'!$B:$M,12,0)</f>
        <v>#N/A</v>
      </c>
      <c r="S87" s="140" t="str">
        <f>VLOOKUP($B87,'Trình bày T3'!$B:$M,6,0)</f>
        <v>900/695</v>
      </c>
      <c r="T87" s="141" t="str">
        <f>VLOOKUP($B87,'Trình bày T3'!$B:$M,7,0)</f>
        <v>935/720</v>
      </c>
      <c r="U87" s="49" t="s">
        <v>424</v>
      </c>
      <c r="V87" s="42">
        <f>VLOOKUP($B89,'Trình bày T3'!$B:$M,9,0)</f>
        <v>1135.3584905660377</v>
      </c>
      <c r="W87" s="49" t="s">
        <v>428</v>
      </c>
      <c r="X87" s="56" t="s">
        <v>426</v>
      </c>
      <c r="Y87" s="74" t="e">
        <f>VLOOKUP($B812,'Trình bày T3'!$B:$M,12,0)</f>
        <v>#N/A</v>
      </c>
      <c r="Z87" s="140" t="str">
        <f>VLOOKUP($B87,'Trình bày T4'!$B:$M,6,0)</f>
        <v>935/720</v>
      </c>
      <c r="AA87" s="141" t="str">
        <f>VLOOKUP($B87,'Trình bày T4'!$B:$M,7,0)</f>
        <v>1400/1190</v>
      </c>
      <c r="AB87" s="49" t="s">
        <v>424</v>
      </c>
      <c r="AC87" s="42">
        <f>VLOOKUP($B89,'Trình bày T4'!$B:$M,9,0)</f>
        <v>1135.3584905660377</v>
      </c>
      <c r="AD87" s="49" t="s">
        <v>428</v>
      </c>
      <c r="AE87" s="56" t="s">
        <v>426</v>
      </c>
      <c r="AF87" s="74" t="e">
        <f>VLOOKUP($B812,'Trình bày T4'!$B:$M,12,0)</f>
        <v>#N/A</v>
      </c>
    </row>
    <row r="88" spans="1:32" outlineLevel="1">
      <c r="A88" s="9">
        <f t="shared" ref="A88:A94" si="158">+A87+1</f>
        <v>3</v>
      </c>
      <c r="B88" s="4" t="s">
        <v>205</v>
      </c>
      <c r="C88" s="4" t="s">
        <v>91</v>
      </c>
      <c r="D88" s="24" t="s">
        <v>234</v>
      </c>
      <c r="E88" s="140" t="str">
        <f>VLOOKUP($B88,'Trình bày T1'!$B:$M,6,0)</f>
        <v>915/705</v>
      </c>
      <c r="F88" s="141" t="str">
        <f>VLOOKUP($B88,'Trình bày T1'!$B:$M,7,0)</f>
        <v>900/695</v>
      </c>
      <c r="G88" s="49" t="s">
        <v>424</v>
      </c>
      <c r="H88" s="42">
        <f>VLOOKUP($B88,'Trình bày T1'!$B:$M,9,0)</f>
        <v>1090.6153846153845</v>
      </c>
      <c r="I88" s="49" t="s">
        <v>429</v>
      </c>
      <c r="J88" s="56" t="s">
        <v>430</v>
      </c>
      <c r="K88" s="74" t="str">
        <f>VLOOKUP($B88,'Trình bày T1'!$B:$M,12,0)</f>
        <v>820/660</v>
      </c>
      <c r="L88" s="140" t="str">
        <f>VLOOKUP($B88,'Trình bày T2'!$B:$M,6,0)</f>
        <v>900/695</v>
      </c>
      <c r="M88" s="141" t="str">
        <f>VLOOKUP($B88,'Trình bày T2'!$B:$M,7,0)</f>
        <v>900/695</v>
      </c>
      <c r="N88" s="49" t="s">
        <v>424</v>
      </c>
      <c r="O88" s="42">
        <f>VLOOKUP($B88,'Trình bày T2'!$B:$M,9,0)</f>
        <v>1337.433962264151</v>
      </c>
      <c r="P88" s="49" t="s">
        <v>429</v>
      </c>
      <c r="Q88" s="56" t="s">
        <v>430</v>
      </c>
      <c r="R88" s="74">
        <f>VLOOKUP($B88,'Trình bày T2'!$B:$M,12,0)</f>
        <v>0</v>
      </c>
      <c r="S88" s="140" t="str">
        <f>VLOOKUP($B88,'Trình bày T3'!$B:$M,6,0)</f>
        <v>900/695</v>
      </c>
      <c r="T88" s="141" t="str">
        <f>VLOOKUP($B88,'Trình bày T3'!$B:$M,7,0)</f>
        <v>935/720</v>
      </c>
      <c r="U88" s="49" t="s">
        <v>424</v>
      </c>
      <c r="V88" s="42">
        <f>VLOOKUP($B88,'Trình bày T3'!$B:$M,9,0)</f>
        <v>1217.6226415094341</v>
      </c>
      <c r="W88" s="49" t="s">
        <v>429</v>
      </c>
      <c r="X88" s="56" t="s">
        <v>430</v>
      </c>
      <c r="Y88" s="74">
        <f>VLOOKUP($B88,'Trình bày T3'!$B:$M,12,0)</f>
        <v>0</v>
      </c>
      <c r="Z88" s="140" t="str">
        <f>VLOOKUP($B88,'Trình bày T4'!$B:$M,6,0)</f>
        <v>935/720</v>
      </c>
      <c r="AA88" s="141" t="str">
        <f>VLOOKUP($B88,'Trình bày T4'!$B:$M,7,0)</f>
        <v>1400/1190</v>
      </c>
      <c r="AB88" s="49" t="s">
        <v>424</v>
      </c>
      <c r="AC88" s="42">
        <f>VLOOKUP($B88,'Trình bày T4'!$B:$M,9,0)</f>
        <v>1217.6226415094341</v>
      </c>
      <c r="AD88" s="49" t="s">
        <v>429</v>
      </c>
      <c r="AE88" s="56" t="s">
        <v>430</v>
      </c>
      <c r="AF88" s="74">
        <f>VLOOKUP($B88,'Trình bày T4'!$B:$M,12,0)</f>
        <v>0</v>
      </c>
    </row>
    <row r="89" spans="1:32" outlineLevel="1">
      <c r="A89" s="9">
        <f t="shared" si="158"/>
        <v>4</v>
      </c>
      <c r="B89" s="4" t="s">
        <v>181</v>
      </c>
      <c r="C89" s="4" t="s">
        <v>67</v>
      </c>
      <c r="D89" s="24" t="s">
        <v>228</v>
      </c>
      <c r="E89" s="140" t="str">
        <f>VLOOKUP($B89,'Trình bày T1'!$B:$M,6,0)</f>
        <v>915/705</v>
      </c>
      <c r="F89" s="141" t="str">
        <f>VLOOKUP($B89,'Trình bày T1'!$B:$M,7,0)</f>
        <v>900/695</v>
      </c>
      <c r="G89" s="49" t="s">
        <v>424</v>
      </c>
      <c r="H89" s="42">
        <f>VLOOKUP($B89,'Trình bày T1'!$B:$M,9,0)</f>
        <v>1033.1923076923076</v>
      </c>
      <c r="I89" s="49" t="s">
        <v>431</v>
      </c>
      <c r="J89" s="56" t="s">
        <v>432</v>
      </c>
      <c r="K89" s="74" t="e">
        <f>VLOOKUP($B812,'Trình bày T1'!$B:$M,12,0)</f>
        <v>#N/A</v>
      </c>
      <c r="L89" s="140" t="str">
        <f>VLOOKUP($B89,'Trình bày T2'!$B:$M,6,0)</f>
        <v>900/695</v>
      </c>
      <c r="M89" s="141" t="str">
        <f>VLOOKUP($B89,'Trình bày T2'!$B:$M,7,0)</f>
        <v>900/695</v>
      </c>
      <c r="N89" s="49" t="s">
        <v>424</v>
      </c>
      <c r="O89" s="42">
        <f>VLOOKUP($B89,'Trình bày T2'!$B:$M,9,0)</f>
        <v>1135.3584905660377</v>
      </c>
      <c r="P89" s="49" t="s">
        <v>431</v>
      </c>
      <c r="Q89" s="56" t="s">
        <v>432</v>
      </c>
      <c r="R89" s="74" t="e">
        <f>VLOOKUP($B812,'Trình bày T2'!$B:$M,12,0)</f>
        <v>#N/A</v>
      </c>
      <c r="S89" s="140" t="str">
        <f>VLOOKUP($B89,'Trình bày T3'!$B:$M,6,0)</f>
        <v>900/695</v>
      </c>
      <c r="T89" s="141" t="str">
        <f>VLOOKUP($B89,'Trình bày T3'!$B:$M,7,0)</f>
        <v>935/720</v>
      </c>
      <c r="U89" s="49" t="s">
        <v>424</v>
      </c>
      <c r="V89" s="42">
        <f>VLOOKUP($B89,'Trình bày T3'!$B:$M,9,0)</f>
        <v>1135.3584905660377</v>
      </c>
      <c r="W89" s="49" t="s">
        <v>431</v>
      </c>
      <c r="X89" s="56" t="s">
        <v>432</v>
      </c>
      <c r="Y89" s="74" t="e">
        <f>VLOOKUP($B812,'Trình bày T3'!$B:$M,12,0)</f>
        <v>#N/A</v>
      </c>
      <c r="Z89" s="140" t="str">
        <f>VLOOKUP($B89,'Trình bày T4'!$B:$M,6,0)</f>
        <v>935/720</v>
      </c>
      <c r="AA89" s="141" t="str">
        <f>VLOOKUP($B89,'Trình bày T4'!$B:$M,7,0)</f>
        <v>1400/1190</v>
      </c>
      <c r="AB89" s="49" t="s">
        <v>424</v>
      </c>
      <c r="AC89" s="42">
        <f>VLOOKUP($B89,'Trình bày T4'!$B:$M,9,0)</f>
        <v>1135.3584905660377</v>
      </c>
      <c r="AD89" s="49" t="s">
        <v>431</v>
      </c>
      <c r="AE89" s="56" t="s">
        <v>432</v>
      </c>
      <c r="AF89" s="74" t="e">
        <f>VLOOKUP($B812,'Trình bày T4'!$B:$M,12,0)</f>
        <v>#N/A</v>
      </c>
    </row>
    <row r="90" spans="1:32" outlineLevel="1">
      <c r="A90" s="9">
        <f t="shared" si="158"/>
        <v>5</v>
      </c>
      <c r="B90" s="4" t="s">
        <v>299</v>
      </c>
      <c r="C90" s="4" t="s">
        <v>297</v>
      </c>
      <c r="D90" s="24" t="s">
        <v>225</v>
      </c>
      <c r="E90" s="5" t="str">
        <f>VLOOKUP($B90,'Trình bày T1'!$B:$M,6,0)</f>
        <v>915/705</v>
      </c>
      <c r="F90" s="141" t="str">
        <f>VLOOKUP($B90,'Trình bày T1'!$B:$M,7,0)</f>
        <v>900/695</v>
      </c>
      <c r="G90" s="49" t="s">
        <v>424</v>
      </c>
      <c r="H90" s="42">
        <f>VLOOKUP($B90,'Trình bày T1'!$B:$M,9,0)</f>
        <v>1350.1153846153845</v>
      </c>
      <c r="I90" s="49" t="s">
        <v>433</v>
      </c>
      <c r="J90" s="56" t="s">
        <v>434</v>
      </c>
      <c r="K90" s="74" t="str">
        <f>VLOOKUP($B90,'Trình bày T1'!$B:$M,12,0)</f>
        <v>820/660</v>
      </c>
      <c r="L90" s="5" t="str">
        <f>VLOOKUP($B90,'Trình bày T2'!$B:$M,6,0)</f>
        <v>900/695</v>
      </c>
      <c r="M90" s="141" t="str">
        <f>VLOOKUP($B90,'Trình bày T2'!$B:$M,7,0)</f>
        <v>900/695</v>
      </c>
      <c r="N90" s="49" t="s">
        <v>424</v>
      </c>
      <c r="O90" s="42">
        <f>VLOOKUP($B90,'Trình bày T2'!$B:$M,9,0)</f>
        <v>1324.6415094339623</v>
      </c>
      <c r="P90" s="49" t="s">
        <v>433</v>
      </c>
      <c r="Q90" s="56" t="s">
        <v>434</v>
      </c>
      <c r="R90" s="74">
        <f>VLOOKUP($B90,'Trình bày T2'!$B:$M,12,0)</f>
        <v>0</v>
      </c>
      <c r="S90" s="5" t="str">
        <f>VLOOKUP($B90,'Trình bày T3'!$B:$M,6,0)</f>
        <v>900/695</v>
      </c>
      <c r="T90" s="141" t="str">
        <f>VLOOKUP($B90,'Trình bày T3'!$B:$M,7,0)</f>
        <v>935/720</v>
      </c>
      <c r="U90" s="49" t="s">
        <v>424</v>
      </c>
      <c r="V90" s="42">
        <f>VLOOKUP($B90,'Trình bày T3'!$B:$M,9,0)</f>
        <v>1324.6415094339623</v>
      </c>
      <c r="W90" s="49" t="s">
        <v>433</v>
      </c>
      <c r="X90" s="56" t="s">
        <v>434</v>
      </c>
      <c r="Y90" s="74">
        <f>VLOOKUP($B90,'Trình bày T3'!$B:$M,12,0)</f>
        <v>0</v>
      </c>
      <c r="Z90" s="5" t="str">
        <f>VLOOKUP($B90,'Trình bày T4'!$B:$M,6,0)</f>
        <v>935/720</v>
      </c>
      <c r="AA90" s="141" t="str">
        <f>VLOOKUP($B90,'Trình bày T4'!$B:$M,7,0)</f>
        <v>1400/1190</v>
      </c>
      <c r="AB90" s="49" t="s">
        <v>424</v>
      </c>
      <c r="AC90" s="42">
        <f>VLOOKUP($B90,'Trình bày T4'!$B:$M,9,0)</f>
        <v>1290.4905660377358</v>
      </c>
      <c r="AD90" s="49" t="s">
        <v>433</v>
      </c>
      <c r="AE90" s="56" t="s">
        <v>434</v>
      </c>
      <c r="AF90" s="74">
        <f>VLOOKUP($B90,'Trình bày T4'!$B:$M,12,0)</f>
        <v>0</v>
      </c>
    </row>
    <row r="91" spans="1:32" outlineLevel="1">
      <c r="A91" s="9">
        <f t="shared" si="158"/>
        <v>6</v>
      </c>
      <c r="B91" s="4" t="s">
        <v>159</v>
      </c>
      <c r="C91" s="4" t="s">
        <v>45</v>
      </c>
      <c r="D91" s="24" t="s">
        <v>229</v>
      </c>
      <c r="E91" s="140" t="str">
        <f>VLOOKUP($B91,'Trình bày T1'!$B:$M,6,0)</f>
        <v>815/605</v>
      </c>
      <c r="F91" s="141" t="str">
        <f>VLOOKUP($B91,'Trình bày T1'!$B:$M,7,0)</f>
        <v>800/595</v>
      </c>
      <c r="G91" s="49" t="s">
        <v>424</v>
      </c>
      <c r="H91" s="42">
        <f>VLOOKUP($B91,'Trình bày T1'!$B:$M,9,0)</f>
        <v>824.11538461538464</v>
      </c>
      <c r="I91" s="49" t="s">
        <v>436</v>
      </c>
      <c r="J91" s="56" t="s">
        <v>437</v>
      </c>
      <c r="K91" s="77" t="str">
        <f>VLOOKUP($B91,'Trình bày T1'!$B:$M,12,0)</f>
        <v>700/550</v>
      </c>
      <c r="L91" s="140" t="str">
        <f>VLOOKUP($B91,'Trình bày T2'!$B:$M,6,0)</f>
        <v>800/595</v>
      </c>
      <c r="M91" s="141" t="str">
        <f>VLOOKUP($B91,'Trình bày T2'!$B:$M,7,0)</f>
        <v>800/595</v>
      </c>
      <c r="N91" s="49" t="s">
        <v>424</v>
      </c>
      <c r="O91" s="42">
        <f>VLOOKUP($B91,'Trình bày T2'!$B:$M,9,0)</f>
        <v>690.60377358490564</v>
      </c>
      <c r="P91" s="49" t="s">
        <v>436</v>
      </c>
      <c r="Q91" s="56" t="s">
        <v>437</v>
      </c>
      <c r="R91" s="77">
        <f>VLOOKUP($B91,'Trình bày T2'!$B:$M,12,0)</f>
        <v>0</v>
      </c>
      <c r="S91" s="140" t="str">
        <f>VLOOKUP($B91,'Trình bày T3'!$B:$M,6,0)</f>
        <v>800/595</v>
      </c>
      <c r="T91" s="141" t="str">
        <f>VLOOKUP($B91,'Trình bày T3'!$B:$M,7,0)</f>
        <v>935/720</v>
      </c>
      <c r="U91" s="49" t="s">
        <v>424</v>
      </c>
      <c r="V91" s="42">
        <f>VLOOKUP($B91,'Trình bày T3'!$B:$M,9,0)</f>
        <v>690.60377358490564</v>
      </c>
      <c r="W91" s="49" t="s">
        <v>436</v>
      </c>
      <c r="X91" s="56" t="s">
        <v>437</v>
      </c>
      <c r="Y91" s="77">
        <f>VLOOKUP($B91,'Trình bày T3'!$B:$M,12,0)</f>
        <v>0</v>
      </c>
      <c r="Z91" s="140" t="str">
        <f>VLOOKUP($B91,'Trình bày T4'!$B:$M,6,0)</f>
        <v>935/720</v>
      </c>
      <c r="AA91" s="141" t="str">
        <f>VLOOKUP($B91,'Trình bày T4'!$B:$M,7,0)</f>
        <v>1400/1190</v>
      </c>
      <c r="AB91" s="49" t="s">
        <v>424</v>
      </c>
      <c r="AC91" s="42">
        <f>VLOOKUP($B91,'Trình bày T4'!$B:$M,9,0)</f>
        <v>690.60377358490564</v>
      </c>
      <c r="AD91" s="49" t="s">
        <v>436</v>
      </c>
      <c r="AE91" s="56" t="s">
        <v>437</v>
      </c>
      <c r="AF91" s="77">
        <f>VLOOKUP($B91,'Trình bày T4'!$B:$M,12,0)</f>
        <v>0</v>
      </c>
    </row>
    <row r="92" spans="1:32" outlineLevel="1">
      <c r="A92" s="9">
        <f t="shared" si="158"/>
        <v>7</v>
      </c>
      <c r="B92" s="4" t="s">
        <v>208</v>
      </c>
      <c r="C92" s="4" t="s">
        <v>94</v>
      </c>
      <c r="D92" s="24" t="s">
        <v>225</v>
      </c>
      <c r="E92" s="140" t="str">
        <f>VLOOKUP($B92,'Trình bày T1'!$B:$M,6,0)</f>
        <v>915/705</v>
      </c>
      <c r="F92" s="141" t="str">
        <f>VLOOKUP($B92,'Trình bày T1'!$B:$M,7,0)</f>
        <v>900/695</v>
      </c>
      <c r="G92" s="49" t="s">
        <v>424</v>
      </c>
      <c r="H92" s="42">
        <f>VLOOKUP($B92,'Trình bày T1'!$B:$M,9,0)</f>
        <v>1389.3461538461538</v>
      </c>
      <c r="I92" s="49" t="s">
        <v>439</v>
      </c>
      <c r="J92" s="56" t="s">
        <v>440</v>
      </c>
      <c r="K92" s="74" t="str">
        <f>VLOOKUP($B92,'Trình bày T1'!$B:$M,12,0)</f>
        <v>820/660</v>
      </c>
      <c r="L92" s="140" t="str">
        <f>VLOOKUP($B92,'Trình bày T2'!$B:$M,6,0)</f>
        <v>900/695</v>
      </c>
      <c r="M92" s="141" t="str">
        <f>VLOOKUP($B92,'Trình bày T2'!$B:$M,7,0)</f>
        <v>900/695</v>
      </c>
      <c r="N92" s="49" t="s">
        <v>424</v>
      </c>
      <c r="O92" s="42">
        <f>VLOOKUP($B92,'Trình bày T2'!$B:$M,9,0)</f>
        <v>1363.0943396226414</v>
      </c>
      <c r="P92" s="49" t="s">
        <v>439</v>
      </c>
      <c r="Q92" s="56" t="s">
        <v>440</v>
      </c>
      <c r="R92" s="74">
        <f>VLOOKUP($B92,'Trình bày T2'!$B:$M,12,0)</f>
        <v>0</v>
      </c>
      <c r="S92" s="140" t="str">
        <f>VLOOKUP($B92,'Trình bày T3'!$B:$M,6,0)</f>
        <v>900/695</v>
      </c>
      <c r="T92" s="141" t="str">
        <f>VLOOKUP($B92,'Trình bày T3'!$B:$M,7,0)</f>
        <v>935/720</v>
      </c>
      <c r="U92" s="49" t="s">
        <v>424</v>
      </c>
      <c r="V92" s="42">
        <f>VLOOKUP($B92,'Trình bày T3'!$B:$M,9,0)</f>
        <v>1363.0943396226414</v>
      </c>
      <c r="W92" s="49" t="s">
        <v>439</v>
      </c>
      <c r="X92" s="56" t="s">
        <v>440</v>
      </c>
      <c r="Y92" s="74">
        <f>VLOOKUP($B92,'Trình bày T3'!$B:$M,12,0)</f>
        <v>0</v>
      </c>
      <c r="Z92" s="140" t="str">
        <f>VLOOKUP($B92,'Trình bày T4'!$B:$M,6,0)</f>
        <v>935/720</v>
      </c>
      <c r="AA92" s="141" t="str">
        <f>VLOOKUP($B92,'Trình bày T4'!$B:$M,7,0)</f>
        <v>1400/1190</v>
      </c>
      <c r="AB92" s="49" t="s">
        <v>424</v>
      </c>
      <c r="AC92" s="42">
        <f>VLOOKUP($B92,'Trình bày T4'!$B:$M,9,0)</f>
        <v>1363.0943396226414</v>
      </c>
      <c r="AD92" s="49" t="s">
        <v>439</v>
      </c>
      <c r="AE92" s="56" t="s">
        <v>440</v>
      </c>
      <c r="AF92" s="74">
        <f>VLOOKUP($B92,'Trình bày T4'!$B:$M,12,0)</f>
        <v>0</v>
      </c>
    </row>
    <row r="93" spans="1:32" outlineLevel="1">
      <c r="A93" s="9">
        <f t="shared" si="158"/>
        <v>8</v>
      </c>
      <c r="B93" s="4" t="s">
        <v>161</v>
      </c>
      <c r="C93" s="4" t="s">
        <v>47</v>
      </c>
      <c r="D93" s="24" t="s">
        <v>234</v>
      </c>
      <c r="E93" s="140" t="str">
        <f>VLOOKUP($B93,'Trình bày T1'!$B:$M,6,0)</f>
        <v>915/705</v>
      </c>
      <c r="F93" s="141" t="str">
        <f>VLOOKUP($B93,'Trình bày T1'!$B:$M,7,0)</f>
        <v>900/695</v>
      </c>
      <c r="G93" s="49" t="s">
        <v>424</v>
      </c>
      <c r="H93" s="42">
        <f>VLOOKUP($B93,'Trình bày T1'!$B:$M,9,0)</f>
        <v>1138.2307692307693</v>
      </c>
      <c r="I93" s="49" t="s">
        <v>441</v>
      </c>
      <c r="J93" s="56" t="s">
        <v>442</v>
      </c>
      <c r="K93" s="74" t="str">
        <f>VLOOKUP($B93,'Trình bày T1'!$B:$M,12,0)</f>
        <v>820/660</v>
      </c>
      <c r="L93" s="140" t="str">
        <f>VLOOKUP($B93,'Trình bày T2'!$B:$M,6,0)</f>
        <v>900/695</v>
      </c>
      <c r="M93" s="141" t="str">
        <f>VLOOKUP($B93,'Trình bày T2'!$B:$M,7,0)</f>
        <v>900/695</v>
      </c>
      <c r="N93" s="49" t="s">
        <v>424</v>
      </c>
      <c r="O93" s="42">
        <f>VLOOKUP($B93,'Trình bày T2'!$B:$M,9,0)</f>
        <v>1116.7547169811321</v>
      </c>
      <c r="P93" s="49" t="s">
        <v>441</v>
      </c>
      <c r="Q93" s="56" t="s">
        <v>442</v>
      </c>
      <c r="R93" s="74">
        <f>VLOOKUP($B93,'Trình bày T2'!$B:$M,12,0)</f>
        <v>0</v>
      </c>
      <c r="S93" s="140" t="str">
        <f>VLOOKUP($B93,'Trình bày T3'!$B:$M,6,0)</f>
        <v>900/695</v>
      </c>
      <c r="T93" s="141" t="str">
        <f>VLOOKUP($B93,'Trình bày T3'!$B:$M,7,0)</f>
        <v>935/720</v>
      </c>
      <c r="U93" s="49" t="s">
        <v>424</v>
      </c>
      <c r="V93" s="42">
        <f>VLOOKUP($B93,'Trình bày T3'!$B:$M,9,0)</f>
        <v>1116.7547169811321</v>
      </c>
      <c r="W93" s="49" t="s">
        <v>441</v>
      </c>
      <c r="X93" s="56" t="s">
        <v>442</v>
      </c>
      <c r="Y93" s="74">
        <f>VLOOKUP($B93,'Trình bày T3'!$B:$M,12,0)</f>
        <v>0</v>
      </c>
      <c r="Z93" s="140" t="str">
        <f>VLOOKUP($B93,'Trình bày T4'!$B:$M,6,0)</f>
        <v>935/720</v>
      </c>
      <c r="AA93" s="141" t="str">
        <f>VLOOKUP($B93,'Trình bày T4'!$B:$M,7,0)</f>
        <v>1400/1190</v>
      </c>
      <c r="AB93" s="49" t="s">
        <v>424</v>
      </c>
      <c r="AC93" s="42">
        <f>VLOOKUP($B93,'Trình bày T4'!$B:$M,9,0)</f>
        <v>1116.7547169811321</v>
      </c>
      <c r="AD93" s="49" t="s">
        <v>441</v>
      </c>
      <c r="AE93" s="56" t="s">
        <v>442</v>
      </c>
      <c r="AF93" s="74">
        <f>VLOOKUP($B93,'Trình bày T4'!$B:$M,12,0)</f>
        <v>0</v>
      </c>
    </row>
    <row r="94" spans="1:32" outlineLevel="1">
      <c r="A94" s="9">
        <f t="shared" si="158"/>
        <v>9</v>
      </c>
      <c r="B94" s="4" t="s">
        <v>282</v>
      </c>
      <c r="C94" s="4" t="s">
        <v>283</v>
      </c>
      <c r="D94" s="24" t="s">
        <v>228</v>
      </c>
      <c r="E94" s="140" t="str">
        <f>VLOOKUP($B94,'Trình bày T1'!$B:$M,6,0)</f>
        <v>915/705</v>
      </c>
      <c r="F94" s="141" t="str">
        <f>VLOOKUP($B94,'Trình bày T1'!$B:$M,7,0)</f>
        <v>900/695</v>
      </c>
      <c r="G94" s="49" t="s">
        <v>424</v>
      </c>
      <c r="H94" s="42">
        <f>VLOOKUP($B94,'Trình bày T1'!$B:$M,9,0)</f>
        <v>865.61538461538464</v>
      </c>
      <c r="I94" s="49" t="s">
        <v>443</v>
      </c>
      <c r="J94" s="56" t="s">
        <v>444</v>
      </c>
      <c r="K94" s="74" t="str">
        <f>VLOOKUP($B94,'Trình bày T1'!$B:$M,12,0)</f>
        <v>820/660</v>
      </c>
      <c r="L94" s="140" t="str">
        <f>VLOOKUP($B94,'Trình bày T2'!$B:$M,6,0)</f>
        <v>900/695</v>
      </c>
      <c r="M94" s="141" t="str">
        <f>VLOOKUP($B94,'Trình bày T2'!$B:$M,7,0)</f>
        <v>900/695</v>
      </c>
      <c r="N94" s="49" t="s">
        <v>424</v>
      </c>
      <c r="O94" s="42">
        <f>VLOOKUP($B94,'Trình bày T2'!$B:$M,9,0)</f>
        <v>849.28301886792451</v>
      </c>
      <c r="P94" s="49" t="s">
        <v>443</v>
      </c>
      <c r="Q94" s="56" t="s">
        <v>444</v>
      </c>
      <c r="R94" s="74">
        <f>VLOOKUP($B94,'Trình bày T2'!$B:$M,12,0)</f>
        <v>0</v>
      </c>
      <c r="S94" s="140" t="str">
        <f>VLOOKUP($B94,'Trình bày T3'!$B:$M,6,0)</f>
        <v>900/695</v>
      </c>
      <c r="T94" s="141" t="str">
        <f>VLOOKUP($B94,'Trình bày T3'!$B:$M,7,0)</f>
        <v>935/720</v>
      </c>
      <c r="U94" s="49" t="s">
        <v>424</v>
      </c>
      <c r="V94" s="42">
        <f>VLOOKUP($B94,'Trình bày T3'!$B:$M,9,0)</f>
        <v>849.28301886792451</v>
      </c>
      <c r="W94" s="49" t="s">
        <v>443</v>
      </c>
      <c r="X94" s="56" t="s">
        <v>444</v>
      </c>
      <c r="Y94" s="74">
        <f>VLOOKUP($B94,'Trình bày T3'!$B:$M,12,0)</f>
        <v>0</v>
      </c>
      <c r="Z94" s="140" t="str">
        <f>VLOOKUP($B94,'Trình bày T4'!$B:$M,6,0)</f>
        <v>935/720</v>
      </c>
      <c r="AA94" s="141" t="str">
        <f>VLOOKUP($B94,'Trình bày T4'!$B:$M,7,0)</f>
        <v>1400/1190</v>
      </c>
      <c r="AB94" s="49" t="s">
        <v>424</v>
      </c>
      <c r="AC94" s="42">
        <f>VLOOKUP($B94,'Trình bày T4'!$B:$M,9,0)</f>
        <v>849.28301886792451</v>
      </c>
      <c r="AD94" s="49" t="s">
        <v>443</v>
      </c>
      <c r="AE94" s="56" t="s">
        <v>444</v>
      </c>
      <c r="AF94" s="74">
        <f>VLOOKUP($B94,'Trình bày T4'!$B:$M,12,0)</f>
        <v>0</v>
      </c>
    </row>
    <row r="95" spans="1:32" s="18" customFormat="1" ht="15.5">
      <c r="A95" s="12" t="s">
        <v>241</v>
      </c>
      <c r="B95" s="13" t="s">
        <v>242</v>
      </c>
      <c r="C95" s="13"/>
      <c r="D95" s="23"/>
      <c r="E95" s="13"/>
      <c r="F95" s="142"/>
      <c r="G95" s="47"/>
      <c r="H95" s="132"/>
      <c r="I95" s="47"/>
      <c r="J95" s="54"/>
      <c r="K95" s="72"/>
      <c r="L95" s="13"/>
      <c r="M95" s="142"/>
      <c r="N95" s="47"/>
      <c r="O95" s="132"/>
      <c r="P95" s="47"/>
      <c r="Q95" s="54"/>
      <c r="R95" s="72"/>
      <c r="S95" s="13"/>
      <c r="T95" s="142"/>
      <c r="U95" s="47"/>
      <c r="V95" s="132"/>
      <c r="W95" s="47"/>
      <c r="X95" s="54"/>
      <c r="Y95" s="72"/>
      <c r="Z95" s="13"/>
      <c r="AA95" s="142"/>
      <c r="AB95" s="47"/>
      <c r="AC95" s="132"/>
      <c r="AD95" s="47"/>
      <c r="AE95" s="54"/>
      <c r="AF95" s="72"/>
    </row>
    <row r="96" spans="1:32" outlineLevel="1">
      <c r="A96" s="9">
        <v>1</v>
      </c>
      <c r="B96" s="4" t="s">
        <v>140</v>
      </c>
      <c r="C96" s="4" t="s">
        <v>26</v>
      </c>
      <c r="D96" s="24" t="s">
        <v>226</v>
      </c>
      <c r="E96" s="140" t="str">
        <f>VLOOKUP($B96,'Trình bày T1'!$B:$M,6,0)</f>
        <v>915/705</v>
      </c>
      <c r="F96" s="141" t="str">
        <f>VLOOKUP($B97,'Trình bày T1'!$B:$M,7,0)</f>
        <v>900/695</v>
      </c>
      <c r="G96" s="49" t="s">
        <v>424</v>
      </c>
      <c r="H96" s="42">
        <f>VLOOKUP($B99,'Trình bày T1'!$B:$M,9,0)</f>
        <v>974.80769230769226</v>
      </c>
      <c r="I96" s="49" t="s">
        <v>445</v>
      </c>
      <c r="J96" s="56" t="s">
        <v>397</v>
      </c>
      <c r="K96" s="74" t="e">
        <f>VLOOKUP($B912,'Trình bày T1'!$B:$M,12,0)</f>
        <v>#N/A</v>
      </c>
      <c r="L96" s="140" t="str">
        <f>VLOOKUP($B96,'Trình bày T2'!$B:$M,6,0)</f>
        <v>900/695</v>
      </c>
      <c r="M96" s="141" t="str">
        <f>VLOOKUP($B97,'Trình bày T2'!$B:$M,7,0)</f>
        <v>900/695</v>
      </c>
      <c r="N96" s="49" t="s">
        <v>424</v>
      </c>
      <c r="O96" s="42">
        <f>VLOOKUP($B99,'Trình bày T2'!$B:$M,9,0)</f>
        <v>956.41509433962267</v>
      </c>
      <c r="P96" s="49" t="s">
        <v>445</v>
      </c>
      <c r="Q96" s="56" t="s">
        <v>397</v>
      </c>
      <c r="R96" s="74" t="e">
        <f>VLOOKUP($B912,'Trình bày T2'!$B:$M,12,0)</f>
        <v>#N/A</v>
      </c>
      <c r="S96" s="140" t="str">
        <f>VLOOKUP($B96,'Trình bày T3'!$B:$M,6,0)</f>
        <v>900/695</v>
      </c>
      <c r="T96" s="141" t="str">
        <f>VLOOKUP($B97,'Trình bày T3'!$B:$M,7,0)</f>
        <v>935/720</v>
      </c>
      <c r="U96" s="49" t="s">
        <v>424</v>
      </c>
      <c r="V96" s="42">
        <f>VLOOKUP($B99,'Trình bày T3'!$B:$M,9,0)</f>
        <v>950.94339622641508</v>
      </c>
      <c r="W96" s="49" t="s">
        <v>445</v>
      </c>
      <c r="X96" s="56" t="s">
        <v>397</v>
      </c>
      <c r="Y96" s="74" t="e">
        <f>VLOOKUP($B912,'Trình bày T3'!$B:$M,12,0)</f>
        <v>#N/A</v>
      </c>
      <c r="Z96" s="140" t="str">
        <f>VLOOKUP($B96,'Trình bày T4'!$B:$M,6,0)</f>
        <v>935/720</v>
      </c>
      <c r="AA96" s="141" t="str">
        <f>VLOOKUP($B97,'Trình bày T4'!$B:$M,7,0)</f>
        <v>1400/1190</v>
      </c>
      <c r="AB96" s="49" t="s">
        <v>424</v>
      </c>
      <c r="AC96" s="42">
        <f>VLOOKUP($B99,'Trình bày T4'!$B:$M,9,0)</f>
        <v>950.94339622641508</v>
      </c>
      <c r="AD96" s="49" t="s">
        <v>445</v>
      </c>
      <c r="AE96" s="56" t="s">
        <v>397</v>
      </c>
      <c r="AF96" s="74" t="e">
        <f>VLOOKUP($B912,'Trình bày T4'!$B:$M,12,0)</f>
        <v>#N/A</v>
      </c>
    </row>
    <row r="97" spans="1:32" outlineLevel="1">
      <c r="A97" s="9">
        <f>+A96+1</f>
        <v>2</v>
      </c>
      <c r="B97" s="4" t="s">
        <v>141</v>
      </c>
      <c r="C97" s="4" t="s">
        <v>27</v>
      </c>
      <c r="D97" s="24" t="s">
        <v>225</v>
      </c>
      <c r="E97" s="140" t="str">
        <f>VLOOKUP($B97,'Trình bày T1'!$B:$M,6,0)</f>
        <v>915/705</v>
      </c>
      <c r="F97" s="141" t="str">
        <f>VLOOKUP($B97,'Trình bày T1'!$B:$M,7,0)</f>
        <v>900/695</v>
      </c>
      <c r="G97" s="49" t="s">
        <v>424</v>
      </c>
      <c r="H97" s="42">
        <f>VLOOKUP($B99,'Trình bày T1'!$B:$M,9,0)</f>
        <v>974.80769230769226</v>
      </c>
      <c r="I97" s="49" t="s">
        <v>446</v>
      </c>
      <c r="J97" s="56" t="s">
        <v>447</v>
      </c>
      <c r="K97" s="74" t="e">
        <f>VLOOKUP($B912,'Trình bày T1'!$B:$M,12,0)</f>
        <v>#N/A</v>
      </c>
      <c r="L97" s="140" t="str">
        <f>VLOOKUP($B97,'Trình bày T2'!$B:$M,6,0)</f>
        <v>900/695</v>
      </c>
      <c r="M97" s="141" t="str">
        <f>VLOOKUP($B97,'Trình bày T2'!$B:$M,7,0)</f>
        <v>900/695</v>
      </c>
      <c r="N97" s="49" t="s">
        <v>424</v>
      </c>
      <c r="O97" s="42">
        <f>VLOOKUP($B99,'Trình bày T2'!$B:$M,9,0)</f>
        <v>956.41509433962267</v>
      </c>
      <c r="P97" s="49" t="s">
        <v>446</v>
      </c>
      <c r="Q97" s="56" t="s">
        <v>447</v>
      </c>
      <c r="R97" s="74" t="e">
        <f>VLOOKUP($B912,'Trình bày T2'!$B:$M,12,0)</f>
        <v>#N/A</v>
      </c>
      <c r="S97" s="140" t="str">
        <f>VLOOKUP($B97,'Trình bày T3'!$B:$M,6,0)</f>
        <v>900/695</v>
      </c>
      <c r="T97" s="141" t="str">
        <f>VLOOKUP($B97,'Trình bày T3'!$B:$M,7,0)</f>
        <v>935/720</v>
      </c>
      <c r="U97" s="49" t="s">
        <v>424</v>
      </c>
      <c r="V97" s="42">
        <f>VLOOKUP($B99,'Trình bày T3'!$B:$M,9,0)</f>
        <v>950.94339622641508</v>
      </c>
      <c r="W97" s="49" t="s">
        <v>446</v>
      </c>
      <c r="X97" s="56" t="s">
        <v>447</v>
      </c>
      <c r="Y97" s="74" t="e">
        <f>VLOOKUP($B912,'Trình bày T3'!$B:$M,12,0)</f>
        <v>#N/A</v>
      </c>
      <c r="Z97" s="140" t="str">
        <f>VLOOKUP($B97,'Trình bày T4'!$B:$M,6,0)</f>
        <v>935/720</v>
      </c>
      <c r="AA97" s="141" t="str">
        <f>VLOOKUP($B97,'Trình bày T4'!$B:$M,7,0)</f>
        <v>1400/1190</v>
      </c>
      <c r="AB97" s="49" t="s">
        <v>424</v>
      </c>
      <c r="AC97" s="42">
        <f>VLOOKUP($B99,'Trình bày T4'!$B:$M,9,0)</f>
        <v>950.94339622641508</v>
      </c>
      <c r="AD97" s="49" t="s">
        <v>446</v>
      </c>
      <c r="AE97" s="56" t="s">
        <v>447</v>
      </c>
      <c r="AF97" s="74" t="e">
        <f>VLOOKUP($B912,'Trình bày T4'!$B:$M,12,0)</f>
        <v>#N/A</v>
      </c>
    </row>
    <row r="98" spans="1:32" outlineLevel="1">
      <c r="A98" s="9">
        <f t="shared" ref="A98:A104" si="159">+A97+1</f>
        <v>3</v>
      </c>
      <c r="B98" s="4" t="s">
        <v>142</v>
      </c>
      <c r="C98" s="4" t="s">
        <v>28</v>
      </c>
      <c r="D98" s="24" t="s">
        <v>234</v>
      </c>
      <c r="E98" s="140" t="str">
        <f>VLOOKUP($B98,'Trình bày T1'!$B:$M,6,0)</f>
        <v>915/705</v>
      </c>
      <c r="F98" s="141" t="str">
        <f>VLOOKUP($B98,'Trình bày T1'!$B:$M,7,0)</f>
        <v>900/695</v>
      </c>
      <c r="G98" s="49" t="s">
        <v>424</v>
      </c>
      <c r="H98" s="42">
        <f>VLOOKUP($B98,'Trình bày T1'!$B:$M,9,0)</f>
        <v>971.88461538461536</v>
      </c>
      <c r="I98" s="49" t="s">
        <v>448</v>
      </c>
      <c r="J98" s="56" t="s">
        <v>332</v>
      </c>
      <c r="K98" s="74" t="str">
        <f>VLOOKUP($B98,'Trình bày T1'!$B:$M,12,0)</f>
        <v>820/660</v>
      </c>
      <c r="L98" s="140" t="str">
        <f>VLOOKUP($B98,'Trình bày T2'!$B:$M,6,0)</f>
        <v>900/695</v>
      </c>
      <c r="M98" s="141" t="str">
        <f>VLOOKUP($B98,'Trình bày T2'!$B:$M,7,0)</f>
        <v>900/695</v>
      </c>
      <c r="N98" s="49" t="s">
        <v>424</v>
      </c>
      <c r="O98" s="42">
        <f>VLOOKUP($B98,'Trình bày T2'!$B:$M,9,0)</f>
        <v>953.54716981132071</v>
      </c>
      <c r="P98" s="49" t="s">
        <v>448</v>
      </c>
      <c r="Q98" s="56" t="s">
        <v>332</v>
      </c>
      <c r="R98" s="74">
        <f>VLOOKUP($B98,'Trình bày T2'!$B:$M,12,0)</f>
        <v>0</v>
      </c>
      <c r="S98" s="140" t="e">
        <f>VLOOKUP($B98,'Trình bày T3'!$B:$M,6,0)</f>
        <v>#N/A</v>
      </c>
      <c r="T98" s="141" t="e">
        <f>VLOOKUP($B98,'Trình bày T3'!$B:$M,7,0)</f>
        <v>#N/A</v>
      </c>
      <c r="U98" s="49" t="s">
        <v>424</v>
      </c>
      <c r="V98" s="42" t="e">
        <f>VLOOKUP($B98,'Trình bày T3'!$B:$M,9,0)</f>
        <v>#N/A</v>
      </c>
      <c r="W98" s="49" t="s">
        <v>448</v>
      </c>
      <c r="X98" s="56" t="s">
        <v>332</v>
      </c>
      <c r="Y98" s="74" t="e">
        <f>VLOOKUP($B98,'Trình bày T3'!$B:$M,12,0)</f>
        <v>#N/A</v>
      </c>
      <c r="Z98" s="140" t="str">
        <f>VLOOKUP($B98,'Trình bày T4'!$B:$M,6,0)</f>
        <v>935/720</v>
      </c>
      <c r="AA98" s="141" t="str">
        <f>VLOOKUP($B98,'Trình bày T4'!$B:$M,7,0)</f>
        <v>1400/1190</v>
      </c>
      <c r="AB98" s="49" t="s">
        <v>424</v>
      </c>
      <c r="AC98" s="42">
        <f>VLOOKUP($B98,'Trình bày T4'!$B:$M,9,0)</f>
        <v>0</v>
      </c>
      <c r="AD98" s="49" t="s">
        <v>448</v>
      </c>
      <c r="AE98" s="56" t="s">
        <v>332</v>
      </c>
      <c r="AF98" s="74">
        <f>VLOOKUP($B98,'Trình bày T4'!$B:$M,12,0)</f>
        <v>0</v>
      </c>
    </row>
    <row r="99" spans="1:32" outlineLevel="1">
      <c r="A99" s="9">
        <f t="shared" si="159"/>
        <v>4</v>
      </c>
      <c r="B99" s="4" t="s">
        <v>155</v>
      </c>
      <c r="C99" s="4" t="s">
        <v>41</v>
      </c>
      <c r="D99" s="24" t="s">
        <v>226</v>
      </c>
      <c r="E99" s="140" t="str">
        <f>VLOOKUP($B99,'Trình bày T1'!$B:$M,6,0)</f>
        <v>915/705</v>
      </c>
      <c r="F99" s="141" t="str">
        <f>VLOOKUP($B99,'Trình bày T1'!$B:$M,7,0)</f>
        <v>900/695</v>
      </c>
      <c r="G99" s="49" t="s">
        <v>424</v>
      </c>
      <c r="H99" s="42">
        <f>VLOOKUP($B99,'Trình bày T1'!$B:$M,9,0)</f>
        <v>974.80769230769226</v>
      </c>
      <c r="I99" s="49" t="s">
        <v>449</v>
      </c>
      <c r="J99" s="56" t="s">
        <v>332</v>
      </c>
      <c r="K99" s="74" t="e">
        <f>VLOOKUP($B912,'Trình bày T1'!$B:$M,12,0)</f>
        <v>#N/A</v>
      </c>
      <c r="L99" s="140" t="str">
        <f>VLOOKUP($B99,'Trình bày T2'!$B:$M,6,0)</f>
        <v>900/695</v>
      </c>
      <c r="M99" s="141" t="str">
        <f>VLOOKUP($B99,'Trình bày T2'!$B:$M,7,0)</f>
        <v>900/695</v>
      </c>
      <c r="N99" s="49" t="s">
        <v>424</v>
      </c>
      <c r="O99" s="42">
        <f>VLOOKUP($B99,'Trình bày T2'!$B:$M,9,0)</f>
        <v>956.41509433962267</v>
      </c>
      <c r="P99" s="49" t="s">
        <v>449</v>
      </c>
      <c r="Q99" s="56" t="s">
        <v>332</v>
      </c>
      <c r="R99" s="74" t="e">
        <f>VLOOKUP($B912,'Trình bày T2'!$B:$M,12,0)</f>
        <v>#N/A</v>
      </c>
      <c r="S99" s="140" t="str">
        <f>VLOOKUP($B99,'Trình bày T3'!$B:$M,6,0)</f>
        <v>900/695</v>
      </c>
      <c r="T99" s="141" t="str">
        <f>VLOOKUP($B99,'Trình bày T3'!$B:$M,7,0)</f>
        <v>935/720</v>
      </c>
      <c r="U99" s="49" t="s">
        <v>424</v>
      </c>
      <c r="V99" s="42">
        <f>VLOOKUP($B99,'Trình bày T3'!$B:$M,9,0)</f>
        <v>950.94339622641508</v>
      </c>
      <c r="W99" s="49" t="s">
        <v>449</v>
      </c>
      <c r="X99" s="56" t="s">
        <v>332</v>
      </c>
      <c r="Y99" s="74" t="e">
        <f>VLOOKUP($B912,'Trình bày T3'!$B:$M,12,0)</f>
        <v>#N/A</v>
      </c>
      <c r="Z99" s="140" t="str">
        <f>VLOOKUP($B99,'Trình bày T4'!$B:$M,6,0)</f>
        <v>935/720</v>
      </c>
      <c r="AA99" s="141" t="str">
        <f>VLOOKUP($B99,'Trình bày T4'!$B:$M,7,0)</f>
        <v>1400/1190</v>
      </c>
      <c r="AB99" s="49" t="s">
        <v>424</v>
      </c>
      <c r="AC99" s="42">
        <f>VLOOKUP($B99,'Trình bày T4'!$B:$M,9,0)</f>
        <v>950.94339622641508</v>
      </c>
      <c r="AD99" s="49" t="s">
        <v>449</v>
      </c>
      <c r="AE99" s="56" t="s">
        <v>332</v>
      </c>
      <c r="AF99" s="74" t="e">
        <f>VLOOKUP($B912,'Trình bày T4'!$B:$M,12,0)</f>
        <v>#N/A</v>
      </c>
    </row>
    <row r="100" spans="1:32" outlineLevel="1">
      <c r="A100" s="9">
        <f t="shared" si="159"/>
        <v>5</v>
      </c>
      <c r="B100" s="4" t="s">
        <v>157</v>
      </c>
      <c r="C100" s="4" t="s">
        <v>43</v>
      </c>
      <c r="D100" s="24" t="s">
        <v>228</v>
      </c>
      <c r="E100" s="140" t="str">
        <f>VLOOKUP($B100,'Trình bày T1'!$B:$M,6,0)</f>
        <v>915/705</v>
      </c>
      <c r="F100" s="141" t="str">
        <f>VLOOKUP($B100,'Trình bày T1'!$B:$M,7,0)</f>
        <v>900/695</v>
      </c>
      <c r="G100" s="49" t="s">
        <v>424</v>
      </c>
      <c r="H100" s="42">
        <f>VLOOKUP($B100,'Trình bày T1'!$B:$M,9,0)</f>
        <v>903.96153846153845</v>
      </c>
      <c r="I100" s="49" t="s">
        <v>450</v>
      </c>
      <c r="J100" s="56" t="s">
        <v>451</v>
      </c>
      <c r="K100" s="74" t="str">
        <f>VLOOKUP($B100,'Trình bày T1'!$B:$M,12,0)</f>
        <v>820/660</v>
      </c>
      <c r="L100" s="140" t="str">
        <f>VLOOKUP($B100,'Trình bày T2'!$B:$M,6,0)</f>
        <v>900/695</v>
      </c>
      <c r="M100" s="141" t="str">
        <f>VLOOKUP($B100,'Trình bày T2'!$B:$M,7,0)</f>
        <v>900/695</v>
      </c>
      <c r="N100" s="49" t="s">
        <v>424</v>
      </c>
      <c r="O100" s="42">
        <f>VLOOKUP($B100,'Trình bày T2'!$B:$M,9,0)</f>
        <v>886.90566037735846</v>
      </c>
      <c r="P100" s="49" t="s">
        <v>450</v>
      </c>
      <c r="Q100" s="56" t="s">
        <v>451</v>
      </c>
      <c r="R100" s="74">
        <f>VLOOKUP($B100,'Trình bày T2'!$B:$M,12,0)</f>
        <v>0</v>
      </c>
      <c r="S100" s="140" t="e">
        <f>VLOOKUP($B100,'Trình bày T3'!$B:$M,6,0)</f>
        <v>#N/A</v>
      </c>
      <c r="T100" s="141" t="e">
        <f>VLOOKUP($B100,'Trình bày T3'!$B:$M,7,0)</f>
        <v>#N/A</v>
      </c>
      <c r="U100" s="49" t="s">
        <v>424</v>
      </c>
      <c r="V100" s="42" t="e">
        <f>VLOOKUP($B100,'Trình bày T3'!$B:$M,9,0)</f>
        <v>#N/A</v>
      </c>
      <c r="W100" s="49" t="s">
        <v>450</v>
      </c>
      <c r="X100" s="56" t="s">
        <v>451</v>
      </c>
      <c r="Y100" s="74" t="e">
        <f>VLOOKUP($B100,'Trình bày T3'!$B:$M,12,0)</f>
        <v>#N/A</v>
      </c>
      <c r="Z100" s="140" t="str">
        <f>VLOOKUP($B100,'Trình bày T4'!$B:$M,6,0)</f>
        <v>935/720</v>
      </c>
      <c r="AA100" s="141" t="str">
        <f>VLOOKUP($B100,'Trình bày T4'!$B:$M,7,0)</f>
        <v>1400/1190</v>
      </c>
      <c r="AB100" s="49" t="s">
        <v>424</v>
      </c>
      <c r="AC100" s="42">
        <f>VLOOKUP($B100,'Trình bày T4'!$B:$M,9,0)</f>
        <v>0</v>
      </c>
      <c r="AD100" s="49" t="s">
        <v>450</v>
      </c>
      <c r="AE100" s="56" t="s">
        <v>451</v>
      </c>
      <c r="AF100" s="74">
        <f>VLOOKUP($B100,'Trình bày T4'!$B:$M,12,0)</f>
        <v>0</v>
      </c>
    </row>
    <row r="101" spans="1:32" outlineLevel="1">
      <c r="A101" s="9">
        <f t="shared" si="159"/>
        <v>6</v>
      </c>
      <c r="B101" s="4" t="s">
        <v>158</v>
      </c>
      <c r="C101" s="4" t="s">
        <v>44</v>
      </c>
      <c r="D101" s="24" t="s">
        <v>228</v>
      </c>
      <c r="E101" s="140" t="str">
        <f>VLOOKUP($B101,'Trình bày T1'!$B:$M,6,0)</f>
        <v>915/705</v>
      </c>
      <c r="F101" s="141" t="str">
        <f>VLOOKUP($B101,'Trình bày T1'!$B:$M,7,0)</f>
        <v>900/695</v>
      </c>
      <c r="G101" s="49" t="s">
        <v>424</v>
      </c>
      <c r="H101" s="42">
        <f>VLOOKUP($B101,'Trình bày T1'!$B:$M,9,0)</f>
        <v>790.76923076923072</v>
      </c>
      <c r="I101" s="49" t="s">
        <v>452</v>
      </c>
      <c r="J101" s="56" t="s">
        <v>453</v>
      </c>
      <c r="K101" s="74" t="str">
        <f>VLOOKUP($B101,'Trình bày T1'!$B:$M,12,0)</f>
        <v>820/660</v>
      </c>
      <c r="L101" s="140" t="str">
        <f>VLOOKUP($B101,'Trình bày T2'!$B:$M,6,0)</f>
        <v>900/695</v>
      </c>
      <c r="M101" s="141" t="str">
        <f>VLOOKUP($B101,'Trình bày T2'!$B:$M,7,0)</f>
        <v>900/695</v>
      </c>
      <c r="N101" s="49" t="s">
        <v>424</v>
      </c>
      <c r="O101" s="42">
        <f>VLOOKUP($B101,'Trình bày T2'!$B:$M,9,0)</f>
        <v>775.84905660377353</v>
      </c>
      <c r="P101" s="49" t="s">
        <v>452</v>
      </c>
      <c r="Q101" s="56" t="s">
        <v>453</v>
      </c>
      <c r="R101" s="74">
        <f>VLOOKUP($B101,'Trình bày T2'!$B:$M,12,0)</f>
        <v>0</v>
      </c>
      <c r="S101" s="140" t="e">
        <f>VLOOKUP($B101,'Trình bày T3'!$B:$M,6,0)</f>
        <v>#N/A</v>
      </c>
      <c r="T101" s="141" t="e">
        <f>VLOOKUP($B101,'Trình bày T3'!$B:$M,7,0)</f>
        <v>#N/A</v>
      </c>
      <c r="U101" s="49" t="s">
        <v>424</v>
      </c>
      <c r="V101" s="42" t="e">
        <f>VLOOKUP($B101,'Trình bày T3'!$B:$M,9,0)</f>
        <v>#N/A</v>
      </c>
      <c r="W101" s="49" t="s">
        <v>452</v>
      </c>
      <c r="X101" s="56" t="s">
        <v>453</v>
      </c>
      <c r="Y101" s="74" t="e">
        <f>VLOOKUP($B101,'Trình bày T3'!$B:$M,12,0)</f>
        <v>#N/A</v>
      </c>
      <c r="Z101" s="140" t="str">
        <f>VLOOKUP($B101,'Trình bày T4'!$B:$M,6,0)</f>
        <v>935/720</v>
      </c>
      <c r="AA101" s="141" t="str">
        <f>VLOOKUP($B101,'Trình bày T4'!$B:$M,7,0)</f>
        <v>1400/1190</v>
      </c>
      <c r="AB101" s="49" t="s">
        <v>424</v>
      </c>
      <c r="AC101" s="42">
        <f>VLOOKUP($B101,'Trình bày T4'!$B:$M,9,0)</f>
        <v>0</v>
      </c>
      <c r="AD101" s="49" t="s">
        <v>452</v>
      </c>
      <c r="AE101" s="56" t="s">
        <v>453</v>
      </c>
      <c r="AF101" s="74">
        <f>VLOOKUP($B101,'Trình bày T4'!$B:$M,12,0)</f>
        <v>0</v>
      </c>
    </row>
    <row r="102" spans="1:32" outlineLevel="1">
      <c r="A102" s="9">
        <f t="shared" si="159"/>
        <v>7</v>
      </c>
      <c r="B102" s="4" t="s">
        <v>160</v>
      </c>
      <c r="C102" s="4" t="s">
        <v>46</v>
      </c>
      <c r="D102" s="24" t="s">
        <v>233</v>
      </c>
      <c r="E102" s="140" t="str">
        <f>VLOOKUP($B102,'Trình bày T1'!$B:$M,6,0)</f>
        <v>915/705</v>
      </c>
      <c r="F102" s="141" t="str">
        <f>VLOOKUP($B102,'Trình bày T1'!$B:$M,7,0)</f>
        <v>900/695</v>
      </c>
      <c r="G102" s="49" t="s">
        <v>424</v>
      </c>
      <c r="H102" s="42">
        <f>VLOOKUP($B102,'Trình bày T1'!$B:$M,9,0)</f>
        <v>847</v>
      </c>
      <c r="I102" s="49" t="s">
        <v>454</v>
      </c>
      <c r="J102" s="56" t="s">
        <v>397</v>
      </c>
      <c r="K102" s="74" t="str">
        <f>VLOOKUP($B102,'Trình bày T1'!$B:$M,12,0)</f>
        <v>820/660</v>
      </c>
      <c r="L102" s="140" t="str">
        <f>VLOOKUP($B102,'Trình bày T2'!$B:$M,6,0)</f>
        <v>900/695</v>
      </c>
      <c r="M102" s="141" t="str">
        <f>VLOOKUP($B102,'Trình bày T2'!$B:$M,7,0)</f>
        <v>900/695</v>
      </c>
      <c r="N102" s="49" t="s">
        <v>424</v>
      </c>
      <c r="O102" s="42">
        <f>VLOOKUP($B102,'Trình bày T2'!$B:$M,9,0)</f>
        <v>831.01886792452831</v>
      </c>
      <c r="P102" s="49" t="s">
        <v>454</v>
      </c>
      <c r="Q102" s="56" t="s">
        <v>397</v>
      </c>
      <c r="R102" s="74">
        <f>VLOOKUP($B102,'Trình bày T2'!$B:$M,12,0)</f>
        <v>0</v>
      </c>
      <c r="S102" s="140" t="str">
        <f>VLOOKUP($B102,'Trình bày T3'!$B:$M,6,0)</f>
        <v>900/695</v>
      </c>
      <c r="T102" s="141" t="str">
        <f>VLOOKUP($B102,'Trình bày T3'!$B:$M,7,0)</f>
        <v>935/720</v>
      </c>
      <c r="U102" s="49" t="s">
        <v>424</v>
      </c>
      <c r="V102" s="42">
        <f>VLOOKUP($B102,'Trình bày T3'!$B:$M,9,0)</f>
        <v>831.01886792452831</v>
      </c>
      <c r="W102" s="49" t="s">
        <v>454</v>
      </c>
      <c r="X102" s="56" t="s">
        <v>397</v>
      </c>
      <c r="Y102" s="74">
        <f>VLOOKUP($B102,'Trình bày T3'!$B:$M,12,0)</f>
        <v>0</v>
      </c>
      <c r="Z102" s="140" t="str">
        <f>VLOOKUP($B102,'Trình bày T4'!$B:$M,6,0)</f>
        <v>935/720</v>
      </c>
      <c r="AA102" s="141" t="str">
        <f>VLOOKUP($B102,'Trình bày T4'!$B:$M,7,0)</f>
        <v>1400/1190</v>
      </c>
      <c r="AB102" s="49" t="s">
        <v>424</v>
      </c>
      <c r="AC102" s="42">
        <f>VLOOKUP($B102,'Trình bày T4'!$B:$M,9,0)</f>
        <v>831.01886792452831</v>
      </c>
      <c r="AD102" s="49" t="s">
        <v>454</v>
      </c>
      <c r="AE102" s="56" t="s">
        <v>397</v>
      </c>
      <c r="AF102" s="74">
        <f>VLOOKUP($B102,'Trình bày T4'!$B:$M,12,0)</f>
        <v>0</v>
      </c>
    </row>
    <row r="103" spans="1:32" outlineLevel="1">
      <c r="A103" s="9">
        <f t="shared" si="159"/>
        <v>8</v>
      </c>
      <c r="B103" s="4" t="s">
        <v>185</v>
      </c>
      <c r="C103" s="4" t="s">
        <v>71</v>
      </c>
      <c r="D103" s="24"/>
      <c r="E103" s="5">
        <f>VLOOKUP($B103,'Trình bày T1'!$B:$M,6,0)</f>
        <v>0</v>
      </c>
      <c r="F103" s="141">
        <f>VLOOKUP($B103,'Trình bày T1'!$B:$M,7,0)</f>
        <v>0</v>
      </c>
      <c r="G103" s="49"/>
      <c r="H103" s="42">
        <f>VLOOKUP($B103,'Trình bày T1'!$B:$M,9,0)</f>
        <v>0</v>
      </c>
      <c r="I103" s="49"/>
      <c r="J103" s="56"/>
      <c r="K103" s="74">
        <f>VLOOKUP($B103,'Trình bày T1'!$B:$M,12,0)</f>
        <v>0</v>
      </c>
      <c r="L103" s="5">
        <f>VLOOKUP($B103,'Trình bày T2'!$B:$M,6,0)</f>
        <v>0</v>
      </c>
      <c r="M103" s="141">
        <f>VLOOKUP($B103,'Trình bày T2'!$B:$M,7,0)</f>
        <v>0</v>
      </c>
      <c r="N103" s="49"/>
      <c r="O103" s="42">
        <f>VLOOKUP($B103,'Trình bày T2'!$B:$M,9,0)</f>
        <v>0</v>
      </c>
      <c r="P103" s="49"/>
      <c r="Q103" s="56"/>
      <c r="R103" s="74">
        <f>VLOOKUP($B103,'Trình bày T2'!$B:$M,12,0)</f>
        <v>0</v>
      </c>
      <c r="S103" s="5">
        <f>VLOOKUP($B103,'Trình bày T3'!$B:$M,6,0)</f>
        <v>0</v>
      </c>
      <c r="T103" s="141">
        <f>VLOOKUP($B103,'Trình bày T3'!$B:$M,7,0)</f>
        <v>0</v>
      </c>
      <c r="U103" s="49"/>
      <c r="V103" s="42">
        <f>VLOOKUP($B103,'Trình bày T3'!$B:$M,9,0)</f>
        <v>0</v>
      </c>
      <c r="W103" s="49"/>
      <c r="X103" s="56"/>
      <c r="Y103" s="74">
        <f>VLOOKUP($B103,'Trình bày T3'!$B:$M,12,0)</f>
        <v>0</v>
      </c>
      <c r="Z103" s="5">
        <f>VLOOKUP($B103,'Trình bày T4'!$B:$M,6,0)</f>
        <v>0</v>
      </c>
      <c r="AA103" s="141">
        <f>VLOOKUP($B103,'Trình bày T4'!$B:$M,7,0)</f>
        <v>0</v>
      </c>
      <c r="AB103" s="49"/>
      <c r="AC103" s="42">
        <f>VLOOKUP($B103,'Trình bày T4'!$B:$M,9,0)</f>
        <v>0</v>
      </c>
      <c r="AD103" s="49"/>
      <c r="AE103" s="56"/>
      <c r="AF103" s="74">
        <f>VLOOKUP($B103,'Trình bày T4'!$B:$M,12,0)</f>
        <v>0</v>
      </c>
    </row>
    <row r="104" spans="1:32" outlineLevel="1">
      <c r="A104" s="9">
        <f t="shared" si="159"/>
        <v>9</v>
      </c>
      <c r="B104" s="4" t="s">
        <v>143</v>
      </c>
      <c r="C104" s="4" t="s">
        <v>29</v>
      </c>
      <c r="D104" s="24" t="s">
        <v>229</v>
      </c>
      <c r="E104" s="140" t="str">
        <f>VLOOKUP($B104,'Trình bày T1'!$B:$M,6,0)</f>
        <v>815/605</v>
      </c>
      <c r="F104" s="141" t="str">
        <f>VLOOKUP($B104,'Trình bày T1'!$B:$M,7,0)</f>
        <v>800/595</v>
      </c>
      <c r="G104" s="49" t="s">
        <v>424</v>
      </c>
      <c r="H104" s="42">
        <f>VLOOKUP($B104,'Trình bày T1'!$B:$M,9,0)</f>
        <v>1386.9230769230769</v>
      </c>
      <c r="I104" s="49" t="s">
        <v>455</v>
      </c>
      <c r="J104" s="56" t="s">
        <v>456</v>
      </c>
      <c r="K104" s="77" t="str">
        <f>VLOOKUP($B104,'Trình bày T1'!$B:$M,12,0)</f>
        <v>700/550</v>
      </c>
      <c r="L104" s="140" t="str">
        <f>VLOOKUP($B104,'Trình bày T2'!$B:$M,6,0)</f>
        <v>800/595</v>
      </c>
      <c r="M104" s="141" t="str">
        <f>VLOOKUP($B104,'Trình bày T2'!$B:$M,7,0)</f>
        <v>800/595</v>
      </c>
      <c r="N104" s="49" t="s">
        <v>424</v>
      </c>
      <c r="O104" s="42">
        <f>VLOOKUP($B104,'Trình bày T2'!$B:$M,9,0)</f>
        <v>835.66037735849056</v>
      </c>
      <c r="P104" s="49" t="s">
        <v>455</v>
      </c>
      <c r="Q104" s="56" t="s">
        <v>456</v>
      </c>
      <c r="R104" s="77">
        <f>VLOOKUP($B104,'Trình bày T2'!$B:$M,12,0)</f>
        <v>0</v>
      </c>
      <c r="S104" s="140" t="e">
        <f>VLOOKUP($B104,'Trình bày T3'!$B:$M,6,0)</f>
        <v>#N/A</v>
      </c>
      <c r="T104" s="141" t="e">
        <f>VLOOKUP($B104,'Trình bày T3'!$B:$M,7,0)</f>
        <v>#N/A</v>
      </c>
      <c r="U104" s="49" t="s">
        <v>424</v>
      </c>
      <c r="V104" s="42" t="e">
        <f>VLOOKUP($B104,'Trình bày T3'!$B:$M,9,0)</f>
        <v>#N/A</v>
      </c>
      <c r="W104" s="49" t="s">
        <v>455</v>
      </c>
      <c r="X104" s="56" t="s">
        <v>456</v>
      </c>
      <c r="Y104" s="77" t="e">
        <f>VLOOKUP($B104,'Trình bày T3'!$B:$M,12,0)</f>
        <v>#N/A</v>
      </c>
      <c r="Z104" s="140" t="str">
        <f>VLOOKUP($B104,'Trình bày T4'!$B:$M,6,0)</f>
        <v>835/620</v>
      </c>
      <c r="AA104" s="141" t="str">
        <f>VLOOKUP($B104,'Trình bày T4'!$B:$M,7,0)</f>
        <v>1300/1090</v>
      </c>
      <c r="AB104" s="49" t="s">
        <v>424</v>
      </c>
      <c r="AC104" s="42">
        <f>VLOOKUP($B104,'Trình bày T4'!$B:$M,9,0)</f>
        <v>0</v>
      </c>
      <c r="AD104" s="49" t="s">
        <v>455</v>
      </c>
      <c r="AE104" s="56" t="s">
        <v>456</v>
      </c>
      <c r="AF104" s="77">
        <f>VLOOKUP($B104,'Trình bày T4'!$B:$M,12,0)</f>
        <v>0</v>
      </c>
    </row>
    <row r="105" spans="1:32" s="18" customFormat="1" ht="15.5">
      <c r="A105" s="14" t="s">
        <v>262</v>
      </c>
      <c r="B105" s="15" t="s">
        <v>245</v>
      </c>
      <c r="C105" s="15"/>
      <c r="D105" s="22"/>
      <c r="E105" s="15"/>
      <c r="F105" s="135"/>
      <c r="G105" s="48"/>
      <c r="H105" s="137"/>
      <c r="I105" s="48"/>
      <c r="J105" s="55"/>
      <c r="K105" s="73"/>
      <c r="L105" s="15"/>
      <c r="M105" s="135"/>
      <c r="N105" s="48"/>
      <c r="O105" s="137"/>
      <c r="P105" s="48"/>
      <c r="Q105" s="55"/>
      <c r="R105" s="73"/>
      <c r="S105" s="15"/>
      <c r="T105" s="135"/>
      <c r="U105" s="48"/>
      <c r="V105" s="137"/>
      <c r="W105" s="48"/>
      <c r="X105" s="55"/>
      <c r="Y105" s="73"/>
      <c r="Z105" s="15"/>
      <c r="AA105" s="135"/>
      <c r="AB105" s="48"/>
      <c r="AC105" s="137"/>
      <c r="AD105" s="48"/>
      <c r="AE105" s="55"/>
      <c r="AF105" s="73"/>
    </row>
    <row r="106" spans="1:32" s="18" customFormat="1" ht="15.5">
      <c r="A106" s="12" t="s">
        <v>239</v>
      </c>
      <c r="B106" s="13" t="s">
        <v>240</v>
      </c>
      <c r="C106" s="13"/>
      <c r="D106" s="23"/>
      <c r="E106" s="13"/>
      <c r="F106" s="130"/>
      <c r="G106" s="47"/>
      <c r="H106" s="132"/>
      <c r="I106" s="47"/>
      <c r="J106" s="54"/>
      <c r="K106" s="72"/>
      <c r="L106" s="13"/>
      <c r="M106" s="130"/>
      <c r="N106" s="47"/>
      <c r="O106" s="132"/>
      <c r="P106" s="47"/>
      <c r="Q106" s="54"/>
      <c r="R106" s="72"/>
      <c r="S106" s="13"/>
      <c r="T106" s="130"/>
      <c r="U106" s="47"/>
      <c r="V106" s="132"/>
      <c r="W106" s="47"/>
      <c r="X106" s="54"/>
      <c r="Y106" s="72"/>
      <c r="Z106" s="13"/>
      <c r="AA106" s="130"/>
      <c r="AB106" s="47"/>
      <c r="AC106" s="132"/>
      <c r="AD106" s="47"/>
      <c r="AE106" s="54"/>
      <c r="AF106" s="72"/>
    </row>
    <row r="107" spans="1:32" outlineLevel="1">
      <c r="A107" s="9">
        <v>1</v>
      </c>
      <c r="B107" s="4" t="s">
        <v>169</v>
      </c>
      <c r="C107" s="4" t="s">
        <v>55</v>
      </c>
      <c r="D107" s="24" t="s">
        <v>226</v>
      </c>
      <c r="E107" s="5">
        <f>VLOOKUP($B107,'Trình bày T1'!$B:$M,6,0)</f>
        <v>650</v>
      </c>
      <c r="F107" s="40">
        <f>VLOOKUP($B107,'Trình bày T1'!$B:$M,7,0)</f>
        <v>650</v>
      </c>
      <c r="G107" s="46">
        <f>F107-E107</f>
        <v>0</v>
      </c>
      <c r="H107" s="42" t="e">
        <f>VLOOKUP($B109,'Trình bày T1'!$B:$M,9,0)</f>
        <v>#N/A</v>
      </c>
      <c r="I107" s="46" t="e">
        <f t="shared" ref="I107" si="160">(F107-H107)</f>
        <v>#N/A</v>
      </c>
      <c r="J107" s="53" t="e">
        <f t="shared" ref="J107" si="161">+I107/F107</f>
        <v>#N/A</v>
      </c>
      <c r="K107" s="71" t="e">
        <f>VLOOKUP($B1012,'Trình bày T1'!$B:$M,12,0)</f>
        <v>#N/A</v>
      </c>
      <c r="L107" s="5">
        <f>VLOOKUP($B107,'Trình bày T2'!$B:$M,6,0)</f>
        <v>650</v>
      </c>
      <c r="M107" s="40">
        <f>VLOOKUP($B107,'Trình bày T2'!$B:$M,7,0)</f>
        <v>650</v>
      </c>
      <c r="N107" s="46">
        <f>M107-L107</f>
        <v>0</v>
      </c>
      <c r="O107" s="42" t="e">
        <f>VLOOKUP($B109,'Trình bày T2'!$B:$M,9,0)</f>
        <v>#N/A</v>
      </c>
      <c r="P107" s="46" t="e">
        <f t="shared" ref="P107" si="162">(M107-O107)</f>
        <v>#N/A</v>
      </c>
      <c r="Q107" s="53" t="e">
        <f t="shared" ref="Q107" si="163">+P107/M107</f>
        <v>#N/A</v>
      </c>
      <c r="R107" s="71" t="e">
        <f>VLOOKUP($B1012,'Trình bày T2'!$B:$M,12,0)</f>
        <v>#N/A</v>
      </c>
      <c r="S107" s="5">
        <f>VLOOKUP($B107,'Trình bày T3'!$B:$M,6,0)</f>
        <v>650</v>
      </c>
      <c r="T107" s="40">
        <f>VLOOKUP($B107,'Trình bày T3'!$B:$M,7,0)</f>
        <v>680</v>
      </c>
      <c r="U107" s="46">
        <f>T307-S107</f>
        <v>-650</v>
      </c>
      <c r="V107" s="42" t="e">
        <f>VLOOKUP($B109,'Trình bày T3'!$B:$M,9,0)</f>
        <v>#N/A</v>
      </c>
      <c r="W107" s="46" t="e">
        <f>(T307-V107)</f>
        <v>#N/A</v>
      </c>
      <c r="X107" s="53" t="e">
        <f>+W107/T307</f>
        <v>#N/A</v>
      </c>
      <c r="Y107" s="71" t="e">
        <f>VLOOKUP($B1012,'Trình bày T3'!$B:$M,12,0)</f>
        <v>#N/A</v>
      </c>
      <c r="Z107" s="5">
        <f>VLOOKUP($B107,'Trình bày T4'!$B:$M,6,0)</f>
        <v>680</v>
      </c>
      <c r="AA107" s="40">
        <f>VLOOKUP($B107,'Trình bày T4'!$B:$M,7,0)</f>
        <v>1120</v>
      </c>
      <c r="AB107" s="46">
        <f>AA107-Z107</f>
        <v>440</v>
      </c>
      <c r="AC107" s="42" t="e">
        <f>VLOOKUP($B109,'Trình bày T4'!$B:$M,9,0)</f>
        <v>#N/A</v>
      </c>
      <c r="AD107" s="46" t="e">
        <f t="shared" ref="AD107" si="164">(AA107-AC107)</f>
        <v>#N/A</v>
      </c>
      <c r="AE107" s="53" t="e">
        <f t="shared" ref="AE107" si="165">+AD107/AA107</f>
        <v>#N/A</v>
      </c>
      <c r="AF107" s="71" t="e">
        <f>VLOOKUP($B1012,'Trình bày T4'!$B:$M,12,0)</f>
        <v>#N/A</v>
      </c>
    </row>
    <row r="108" spans="1:32" outlineLevel="1">
      <c r="A108" s="9">
        <f>+A107+1</f>
        <v>2</v>
      </c>
      <c r="B108" s="4" t="s">
        <v>171</v>
      </c>
      <c r="C108" s="4" t="s">
        <v>57</v>
      </c>
      <c r="D108" s="24" t="s">
        <v>228</v>
      </c>
      <c r="E108" s="5">
        <f>VLOOKUP($B108,'Trình bày T1'!$B:$M,6,0)</f>
        <v>650</v>
      </c>
      <c r="F108" s="40">
        <f>VLOOKUP($B108,'Trình bày T1'!$B:$M,7,0)</f>
        <v>650</v>
      </c>
      <c r="G108" s="46">
        <f>F108-E108</f>
        <v>0</v>
      </c>
      <c r="H108" s="42">
        <f>VLOOKUP($B108,'Trình bày T1'!$B:$M,9,0)</f>
        <v>761.96153846153845</v>
      </c>
      <c r="I108" s="46">
        <f>(F108-H108)</f>
        <v>-111.96153846153845</v>
      </c>
      <c r="J108" s="53">
        <f>+I108/F108</f>
        <v>-0.17224852071005917</v>
      </c>
      <c r="K108" s="71">
        <f>VLOOKUP($B108,'Trình bày T1'!$B:$M,12,0)</f>
        <v>600</v>
      </c>
      <c r="L108" s="5">
        <f>VLOOKUP($B108,'Trình bày T2'!$B:$M,6,0)</f>
        <v>650</v>
      </c>
      <c r="M108" s="40">
        <f>VLOOKUP($B108,'Trình bày T2'!$B:$M,7,0)</f>
        <v>650</v>
      </c>
      <c r="N108" s="46">
        <f>M108-L108</f>
        <v>0</v>
      </c>
      <c r="O108" s="42">
        <f>VLOOKUP($B108,'Trình bày T2'!$B:$M,9,0)</f>
        <v>761.96153846153845</v>
      </c>
      <c r="P108" s="46">
        <f>(M108-O108)</f>
        <v>-111.96153846153845</v>
      </c>
      <c r="Q108" s="53">
        <f>+P108/M108</f>
        <v>-0.17224852071005917</v>
      </c>
      <c r="R108" s="71">
        <f>VLOOKUP($B108,'Trình bày T2'!$B:$M,12,0)</f>
        <v>0</v>
      </c>
      <c r="S108" s="5">
        <f>VLOOKUP($B108,'Trình bày T3'!$B:$M,6,0)</f>
        <v>650</v>
      </c>
      <c r="T108" s="40">
        <f>VLOOKUP($B108,'Trình bày T3'!$B:$M,7,0)</f>
        <v>680</v>
      </c>
      <c r="U108" s="46">
        <f>T308-S108</f>
        <v>-650</v>
      </c>
      <c r="V108" s="42">
        <f>VLOOKUP($B108,'Trình bày T3'!$B:$M,9,0)</f>
        <v>747.58490566037733</v>
      </c>
      <c r="W108" s="46">
        <f>(T308-V108)</f>
        <v>-747.58490566037733</v>
      </c>
      <c r="X108" s="53" t="e">
        <f>+W108/T308</f>
        <v>#DIV/0!</v>
      </c>
      <c r="Y108" s="71">
        <f>VLOOKUP($B108,'Trình bày T3'!$B:$M,12,0)</f>
        <v>0</v>
      </c>
      <c r="Z108" s="5">
        <f>VLOOKUP($B108,'Trình bày T4'!$B:$M,6,0)</f>
        <v>680</v>
      </c>
      <c r="AA108" s="40">
        <f>VLOOKUP($B108,'Trình bày T4'!$B:$M,7,0)</f>
        <v>1120</v>
      </c>
      <c r="AB108" s="46">
        <f>AA108-Z108</f>
        <v>440</v>
      </c>
      <c r="AC108" s="42">
        <f>VLOOKUP($B108,'Trình bày T4'!$B:$M,9,0)</f>
        <v>747.58490566037733</v>
      </c>
      <c r="AD108" s="46">
        <f>(AA108-AC108)</f>
        <v>372.41509433962267</v>
      </c>
      <c r="AE108" s="53">
        <f>+AD108/AA108</f>
        <v>0.33251347708894879</v>
      </c>
      <c r="AF108" s="71">
        <f>VLOOKUP($B108,'Trình bày T4'!$B:$M,12,0)</f>
        <v>0</v>
      </c>
    </row>
    <row r="109" spans="1:32" outlineLevel="1">
      <c r="A109" s="9"/>
      <c r="B109" s="4"/>
      <c r="C109" s="4"/>
      <c r="D109" s="24"/>
      <c r="E109" s="5"/>
      <c r="F109" s="40"/>
      <c r="G109" s="46"/>
      <c r="H109" s="41"/>
      <c r="I109" s="46"/>
      <c r="J109" s="53"/>
      <c r="K109" s="71"/>
      <c r="L109" s="5"/>
      <c r="M109" s="40"/>
      <c r="N109" s="46"/>
      <c r="O109" s="41"/>
      <c r="P109" s="46"/>
      <c r="Q109" s="53"/>
      <c r="R109" s="71"/>
      <c r="S109" s="5"/>
      <c r="T109" s="40"/>
      <c r="U109" s="46"/>
      <c r="V109" s="41"/>
      <c r="W109" s="46"/>
      <c r="X109" s="53"/>
      <c r="Y109" s="71"/>
      <c r="Z109" s="5"/>
      <c r="AA109" s="40"/>
      <c r="AB109" s="46"/>
      <c r="AC109" s="41"/>
      <c r="AD109" s="46"/>
      <c r="AE109" s="53"/>
      <c r="AF109" s="71"/>
    </row>
    <row r="110" spans="1:32" s="18" customFormat="1" ht="15.5">
      <c r="A110" s="12" t="s">
        <v>241</v>
      </c>
      <c r="B110" s="13" t="s">
        <v>242</v>
      </c>
      <c r="C110" s="13"/>
      <c r="D110" s="23"/>
      <c r="E110" s="13"/>
      <c r="F110" s="130"/>
      <c r="G110" s="47"/>
      <c r="H110" s="132"/>
      <c r="I110" s="47"/>
      <c r="J110" s="54"/>
      <c r="K110" s="72"/>
      <c r="L110" s="13"/>
      <c r="M110" s="130"/>
      <c r="N110" s="47"/>
      <c r="O110" s="132"/>
      <c r="P110" s="47"/>
      <c r="Q110" s="54"/>
      <c r="R110" s="72"/>
      <c r="S110" s="13"/>
      <c r="T110" s="130"/>
      <c r="U110" s="47"/>
      <c r="V110" s="132"/>
      <c r="W110" s="47"/>
      <c r="X110" s="54"/>
      <c r="Y110" s="72"/>
      <c r="Z110" s="13"/>
      <c r="AA110" s="130"/>
      <c r="AB110" s="47"/>
      <c r="AC110" s="132"/>
      <c r="AD110" s="47"/>
      <c r="AE110" s="54"/>
      <c r="AF110" s="72"/>
    </row>
    <row r="111" spans="1:32" outlineLevel="1">
      <c r="A111" s="9">
        <v>1</v>
      </c>
      <c r="B111" s="4" t="s">
        <v>170</v>
      </c>
      <c r="C111" s="4" t="s">
        <v>56</v>
      </c>
      <c r="D111" s="24" t="s">
        <v>226</v>
      </c>
      <c r="E111" s="5">
        <f>VLOOKUP($B111,'Trình bày T1'!$B:$M,6,0)</f>
        <v>650</v>
      </c>
      <c r="F111" s="40">
        <f>VLOOKUP($B111,'Trình bày T1'!$B:$M,7,0)</f>
        <v>650</v>
      </c>
      <c r="G111" s="46">
        <f t="shared" ref="G111:G113" si="166">F111-E111</f>
        <v>0</v>
      </c>
      <c r="H111" s="42">
        <f>VLOOKUP($B111,'Trình bày T1'!$B:$M,9,0)</f>
        <v>768.53846153846155</v>
      </c>
      <c r="I111" s="46">
        <f t="shared" ref="I111:I113" si="167">(F111-H111)</f>
        <v>-118.53846153846155</v>
      </c>
      <c r="J111" s="53">
        <f t="shared" ref="J111:J113" si="168">+I111/F111</f>
        <v>-0.18236686390532544</v>
      </c>
      <c r="K111" s="71">
        <f>VLOOKUP($B111,'Trình bày T1'!$B:$M,12,0)</f>
        <v>600</v>
      </c>
      <c r="L111" s="5">
        <f>VLOOKUP($B111,'Trình bày T2'!$B:$M,6,0)</f>
        <v>650</v>
      </c>
      <c r="M111" s="40">
        <f>VLOOKUP($B111,'Trình bày T2'!$B:$M,7,0)</f>
        <v>650</v>
      </c>
      <c r="N111" s="46">
        <f t="shared" ref="N111:N113" si="169">M111-L111</f>
        <v>0</v>
      </c>
      <c r="O111" s="42">
        <f>VLOOKUP($B111,'Trình bày T2'!$B:$M,9,0)</f>
        <v>769.16981132075466</v>
      </c>
      <c r="P111" s="46">
        <f t="shared" ref="P111:P113" si="170">(M111-O111)</f>
        <v>-119.16981132075466</v>
      </c>
      <c r="Q111" s="53">
        <f t="shared" ref="Q111:Q113" si="171">+P111/M111</f>
        <v>-0.18333817126269947</v>
      </c>
      <c r="R111" s="71">
        <f>VLOOKUP($B111,'Trình bày T2'!$B:$M,12,0)</f>
        <v>0</v>
      </c>
      <c r="S111" s="5">
        <f>VLOOKUP($B111,'Trình bày T3'!$B:$M,6,0)</f>
        <v>650</v>
      </c>
      <c r="T111" s="40">
        <f>VLOOKUP($B111,'Trình bày T3'!$B:$M,7,0)</f>
        <v>680</v>
      </c>
      <c r="U111" s="46">
        <f>T311-S111</f>
        <v>-650</v>
      </c>
      <c r="V111" s="42">
        <f>VLOOKUP($B111,'Trình bày T3'!$B:$M,9,0)</f>
        <v>754.03773584905662</v>
      </c>
      <c r="W111" s="46">
        <f>(T311-V111)</f>
        <v>-754.03773584905662</v>
      </c>
      <c r="X111" s="53" t="e">
        <f>+W111/T311</f>
        <v>#DIV/0!</v>
      </c>
      <c r="Y111" s="71">
        <f>VLOOKUP($B111,'Trình bày T3'!$B:$M,12,0)</f>
        <v>0</v>
      </c>
      <c r="Z111" s="5">
        <f>VLOOKUP($B111,'Trình bày T4'!$B:$M,6,0)</f>
        <v>680</v>
      </c>
      <c r="AA111" s="40">
        <f>VLOOKUP($B111,'Trình bày T4'!$B:$M,7,0)</f>
        <v>1120</v>
      </c>
      <c r="AB111" s="46">
        <f t="shared" ref="AB111:AB113" si="172">AA111-Z111</f>
        <v>440</v>
      </c>
      <c r="AC111" s="42">
        <f>VLOOKUP($B111,'Trình bày T4'!$B:$M,9,0)</f>
        <v>754.03773584905662</v>
      </c>
      <c r="AD111" s="46">
        <f t="shared" ref="AD111:AD113" si="173">(AA111-AC111)</f>
        <v>365.96226415094338</v>
      </c>
      <c r="AE111" s="53">
        <f t="shared" ref="AE111:AE113" si="174">+AD111/AA111</f>
        <v>0.32675202156334232</v>
      </c>
      <c r="AF111" s="71">
        <f>VLOOKUP($B111,'Trình bày T4'!$B:$M,12,0)</f>
        <v>0</v>
      </c>
    </row>
    <row r="112" spans="1:32" outlineLevel="1">
      <c r="A112" s="9">
        <f>+A111+1</f>
        <v>2</v>
      </c>
      <c r="B112" s="4" t="s">
        <v>183</v>
      </c>
      <c r="C112" s="4" t="s">
        <v>69</v>
      </c>
      <c r="D112" s="24" t="s">
        <v>225</v>
      </c>
      <c r="E112" s="5">
        <f>VLOOKUP($B112,'Trình bày T1'!$B:$M,6,0)</f>
        <v>650</v>
      </c>
      <c r="F112" s="40">
        <f>VLOOKUP($B112,'Trình bày T1'!$B:$M,7,0)</f>
        <v>650</v>
      </c>
      <c r="G112" s="46">
        <f t="shared" si="166"/>
        <v>0</v>
      </c>
      <c r="H112" s="42">
        <f>VLOOKUP($B112,'Trình bày T1'!$B:$M,9,0)</f>
        <v>1360.2692307692307</v>
      </c>
      <c r="I112" s="46">
        <f t="shared" si="167"/>
        <v>-710.26923076923072</v>
      </c>
      <c r="J112" s="53">
        <f t="shared" si="168"/>
        <v>-1.0927218934911243</v>
      </c>
      <c r="K112" s="71">
        <f>VLOOKUP($B112,'Trình bày T1'!$B:$M,12,0)</f>
        <v>600</v>
      </c>
      <c r="L112" s="5">
        <f>VLOOKUP($B112,'Trình bày T2'!$B:$M,6,0)</f>
        <v>650</v>
      </c>
      <c r="M112" s="40">
        <f>VLOOKUP($B112,'Trình bày T2'!$B:$M,7,0)</f>
        <v>650</v>
      </c>
      <c r="N112" s="46">
        <f t="shared" si="169"/>
        <v>0</v>
      </c>
      <c r="O112" s="42">
        <f>VLOOKUP($B112,'Trình bày T2'!$B:$M,9,0)</f>
        <v>1360.2692307692307</v>
      </c>
      <c r="P112" s="46">
        <f t="shared" si="170"/>
        <v>-710.26923076923072</v>
      </c>
      <c r="Q112" s="53">
        <f t="shared" si="171"/>
        <v>-1.0927218934911243</v>
      </c>
      <c r="R112" s="71">
        <f>VLOOKUP($B112,'Trình bày T2'!$B:$M,12,0)</f>
        <v>0</v>
      </c>
      <c r="S112" s="5">
        <f>VLOOKUP($B112,'Trình bày T3'!$B:$M,6,0)</f>
        <v>650</v>
      </c>
      <c r="T112" s="40">
        <f>VLOOKUP($B112,'Trình bày T3'!$B:$M,7,0)</f>
        <v>680</v>
      </c>
      <c r="U112" s="46">
        <f>T312-S112</f>
        <v>-650</v>
      </c>
      <c r="V112" s="42">
        <f>VLOOKUP($B112,'Trình bày T3'!$B:$M,9,0)</f>
        <v>2251.5471698113206</v>
      </c>
      <c r="W112" s="46">
        <f>(T312-V112)</f>
        <v>-2251.5471698113206</v>
      </c>
      <c r="X112" s="53" t="e">
        <f>+W112/T312</f>
        <v>#DIV/0!</v>
      </c>
      <c r="Y112" s="71">
        <f>VLOOKUP($B112,'Trình bày T3'!$B:$M,12,0)</f>
        <v>0</v>
      </c>
      <c r="Z112" s="5">
        <f>VLOOKUP($B112,'Trình bày T4'!$B:$M,6,0)</f>
        <v>680</v>
      </c>
      <c r="AA112" s="40">
        <f>VLOOKUP($B112,'Trình bày T4'!$B:$M,7,0)</f>
        <v>1120</v>
      </c>
      <c r="AB112" s="46">
        <f t="shared" si="172"/>
        <v>440</v>
      </c>
      <c r="AC112" s="42">
        <f>VLOOKUP($B112,'Trình bày T4'!$B:$M,9,0)</f>
        <v>2251.5471698113206</v>
      </c>
      <c r="AD112" s="46">
        <f t="shared" si="173"/>
        <v>-1131.5471698113206</v>
      </c>
      <c r="AE112" s="53">
        <f t="shared" si="174"/>
        <v>-1.010309973045822</v>
      </c>
      <c r="AF112" s="71">
        <f>VLOOKUP($B112,'Trình bày T4'!$B:$M,12,0)</f>
        <v>0</v>
      </c>
    </row>
    <row r="113" spans="1:32" outlineLevel="1">
      <c r="A113" s="9">
        <f>+A112+1</f>
        <v>3</v>
      </c>
      <c r="B113" s="20" t="s">
        <v>290</v>
      </c>
      <c r="C113" s="20" t="s">
        <v>289</v>
      </c>
      <c r="D113" s="26" t="s">
        <v>228</v>
      </c>
      <c r="E113" s="144">
        <f>VLOOKUP($B113,'Trình bày T1'!$B:$M,6,0)</f>
        <v>650</v>
      </c>
      <c r="F113" s="145">
        <f>VLOOKUP($B113,'Trình bày T1'!$B:$M,7,0)</f>
        <v>650</v>
      </c>
      <c r="G113" s="146">
        <f t="shared" si="166"/>
        <v>0</v>
      </c>
      <c r="H113" s="147">
        <f>VLOOKUP($B113,'Trình bày T1'!$B:$M,9,0)</f>
        <v>769.23076923076928</v>
      </c>
      <c r="I113" s="146">
        <f t="shared" si="167"/>
        <v>-119.23076923076928</v>
      </c>
      <c r="J113" s="64">
        <f t="shared" si="168"/>
        <v>-0.18343195266272197</v>
      </c>
      <c r="K113" s="80">
        <f>VLOOKUP($B113,'Trình bày T1'!$B:$M,12,0)</f>
        <v>600</v>
      </c>
      <c r="L113" s="144">
        <f>VLOOKUP($B113,'Trình bày T2'!$B:$M,6,0)</f>
        <v>650</v>
      </c>
      <c r="M113" s="145">
        <f>VLOOKUP($B113,'Trình bày T2'!$B:$M,7,0)</f>
        <v>650</v>
      </c>
      <c r="N113" s="146">
        <f t="shared" si="169"/>
        <v>0</v>
      </c>
      <c r="O113" s="147">
        <f>VLOOKUP($B113,'Trình bày T2'!$B:$M,9,0)</f>
        <v>754.71698113207549</v>
      </c>
      <c r="P113" s="146">
        <f t="shared" si="170"/>
        <v>-104.71698113207549</v>
      </c>
      <c r="Q113" s="64">
        <f t="shared" si="171"/>
        <v>-0.16110304789550076</v>
      </c>
      <c r="R113" s="80">
        <f>VLOOKUP($B113,'Trình bày T2'!$B:$M,12,0)</f>
        <v>0</v>
      </c>
      <c r="S113" s="144">
        <f>VLOOKUP($B113,'Trình bày T3'!$B:$M,6,0)</f>
        <v>650</v>
      </c>
      <c r="T113" s="145">
        <f>VLOOKUP($B113,'Trình bày T3'!$B:$M,7,0)</f>
        <v>680</v>
      </c>
      <c r="U113" s="146">
        <f>T313-S113</f>
        <v>-650</v>
      </c>
      <c r="V113" s="147">
        <f>VLOOKUP($B113,'Trình bày T3'!$B:$M,9,0)</f>
        <v>754.71698113207549</v>
      </c>
      <c r="W113" s="146">
        <f>(T313-V113)</f>
        <v>-754.71698113207549</v>
      </c>
      <c r="X113" s="64" t="e">
        <f>+W113/T313</f>
        <v>#DIV/0!</v>
      </c>
      <c r="Y113" s="80">
        <f>VLOOKUP($B113,'Trình bày T3'!$B:$M,12,0)</f>
        <v>0</v>
      </c>
      <c r="Z113" s="144">
        <f>VLOOKUP($B113,'Trình bày T4'!$B:$M,6,0)</f>
        <v>680</v>
      </c>
      <c r="AA113" s="145">
        <f>VLOOKUP($B113,'Trình bày T4'!$B:$M,7,0)</f>
        <v>1120</v>
      </c>
      <c r="AB113" s="146">
        <f t="shared" si="172"/>
        <v>440</v>
      </c>
      <c r="AC113" s="147">
        <f>VLOOKUP($B113,'Trình bày T4'!$B:$M,9,0)</f>
        <v>754.71698113207549</v>
      </c>
      <c r="AD113" s="146">
        <f t="shared" si="173"/>
        <v>365.28301886792451</v>
      </c>
      <c r="AE113" s="64">
        <f t="shared" si="174"/>
        <v>0.32614555256064687</v>
      </c>
      <c r="AF113" s="80">
        <f>VLOOKUP($B113,'Trình bày T4'!$B:$M,12,0)</f>
        <v>0</v>
      </c>
    </row>
    <row r="115" spans="1:32">
      <c r="D115"/>
      <c r="G115"/>
      <c r="H115"/>
      <c r="I115"/>
      <c r="J115"/>
      <c r="K115"/>
      <c r="N115"/>
      <c r="O115"/>
      <c r="P115"/>
      <c r="Q115"/>
      <c r="R115"/>
      <c r="U115"/>
      <c r="V115"/>
      <c r="W115"/>
      <c r="X115"/>
      <c r="Y115"/>
      <c r="AB115"/>
      <c r="AC115"/>
      <c r="AD115"/>
      <c r="AE115"/>
      <c r="AF115"/>
    </row>
    <row r="116" spans="1:32">
      <c r="D116"/>
      <c r="G116"/>
      <c r="H116"/>
      <c r="I116"/>
      <c r="J116"/>
      <c r="K116"/>
      <c r="N116"/>
      <c r="O116"/>
      <c r="P116"/>
      <c r="Q116"/>
      <c r="R116"/>
      <c r="U116"/>
      <c r="V116"/>
      <c r="W116"/>
      <c r="X116"/>
      <c r="Y116"/>
      <c r="AB116"/>
      <c r="AC116"/>
      <c r="AD116"/>
      <c r="AE116"/>
      <c r="AF116"/>
    </row>
    <row r="117" spans="1:32">
      <c r="G117"/>
      <c r="H117"/>
      <c r="I117"/>
      <c r="J117"/>
      <c r="K117"/>
      <c r="N117"/>
      <c r="O117"/>
      <c r="P117"/>
      <c r="Q117"/>
      <c r="R117"/>
      <c r="U117"/>
      <c r="V117"/>
      <c r="W117"/>
      <c r="X117"/>
      <c r="Y117"/>
      <c r="AB117"/>
      <c r="AC117"/>
      <c r="AD117"/>
      <c r="AE117"/>
      <c r="AF117"/>
    </row>
    <row r="118" spans="1:32">
      <c r="G118"/>
      <c r="H118"/>
      <c r="I118"/>
      <c r="J118"/>
      <c r="K118"/>
      <c r="N118"/>
      <c r="O118"/>
      <c r="P118"/>
      <c r="Q118"/>
      <c r="R118"/>
      <c r="U118"/>
      <c r="V118"/>
      <c r="W118"/>
      <c r="X118"/>
      <c r="Y118"/>
      <c r="AB118"/>
      <c r="AC118"/>
      <c r="AD118"/>
      <c r="AE118"/>
      <c r="AF118"/>
    </row>
    <row r="119" spans="1:32">
      <c r="G119"/>
      <c r="H119"/>
      <c r="I119"/>
      <c r="J119"/>
      <c r="K119"/>
      <c r="N119"/>
      <c r="O119"/>
      <c r="P119"/>
      <c r="Q119"/>
      <c r="R119"/>
      <c r="U119"/>
      <c r="V119"/>
      <c r="W119"/>
      <c r="X119"/>
      <c r="Y119"/>
      <c r="AB119"/>
      <c r="AC119"/>
      <c r="AD119"/>
      <c r="AE119"/>
      <c r="AF119"/>
    </row>
    <row r="120" spans="1:32">
      <c r="G120"/>
      <c r="H120"/>
      <c r="I120"/>
      <c r="J120"/>
      <c r="K120"/>
      <c r="N120"/>
      <c r="O120"/>
      <c r="P120"/>
      <c r="Q120"/>
      <c r="R120"/>
      <c r="U120"/>
      <c r="V120"/>
      <c r="W120"/>
      <c r="X120"/>
      <c r="Y120"/>
      <c r="AB120"/>
      <c r="AC120"/>
      <c r="AD120"/>
      <c r="AE120"/>
      <c r="AF120"/>
    </row>
  </sheetData>
  <autoFilter ref="A4:M113" xr:uid="{B546816D-46E9-4C95-9906-AEA9E12D0734}"/>
  <conditionalFormatting sqref="G7:G85 G105:G113">
    <cfRule type="cellIs" dxfId="135" priority="57" operator="lessThan">
      <formula>0</formula>
    </cfRule>
    <cfRule type="cellIs" dxfId="134" priority="59" operator="lessThan">
      <formula>-1</formula>
    </cfRule>
    <cfRule type="cellIs" dxfId="133" priority="60" operator="greaterThanOrEqual">
      <formula>0</formula>
    </cfRule>
  </conditionalFormatting>
  <conditionalFormatting sqref="I7:K112 K113">
    <cfRule type="cellIs" dxfId="132" priority="58" operator="lessThan">
      <formula>-1</formula>
    </cfRule>
  </conditionalFormatting>
  <conditionalFormatting sqref="I7:K113">
    <cfRule type="cellIs" dxfId="131" priority="44" operator="greaterThanOrEqual">
      <formula>0</formula>
    </cfRule>
    <cfRule type="cellIs" dxfId="130" priority="56" operator="lessThan">
      <formula>0</formula>
    </cfRule>
  </conditionalFormatting>
  <conditionalFormatting sqref="I113:K113">
    <cfRule type="cellIs" dxfId="129" priority="43" operator="lessThan">
      <formula>-1</formula>
    </cfRule>
  </conditionalFormatting>
  <conditionalFormatting sqref="N7:N85 N105:N113">
    <cfRule type="cellIs" dxfId="20" priority="18" operator="lessThan">
      <formula>0</formula>
    </cfRule>
    <cfRule type="cellIs" dxfId="19" priority="20" operator="lessThan">
      <formula>-1</formula>
    </cfRule>
    <cfRule type="cellIs" dxfId="18" priority="21" operator="greaterThanOrEqual">
      <formula>0</formula>
    </cfRule>
  </conditionalFormatting>
  <conditionalFormatting sqref="P7:R112 R113">
    <cfRule type="cellIs" dxfId="17" priority="19" operator="lessThan">
      <formula>-1</formula>
    </cfRule>
  </conditionalFormatting>
  <conditionalFormatting sqref="P7:R113">
    <cfRule type="cellIs" dxfId="16" priority="16" operator="greaterThanOrEqual">
      <formula>0</formula>
    </cfRule>
    <cfRule type="cellIs" dxfId="15" priority="17" operator="lessThan">
      <formula>0</formula>
    </cfRule>
  </conditionalFormatting>
  <conditionalFormatting sqref="P113:R113">
    <cfRule type="cellIs" dxfId="14" priority="15" operator="lessThan">
      <formula>-1</formula>
    </cfRule>
  </conditionalFormatting>
  <conditionalFormatting sqref="U7:U85 U105:U113">
    <cfRule type="cellIs" dxfId="13" priority="11" operator="lessThan">
      <formula>0</formula>
    </cfRule>
    <cfRule type="cellIs" dxfId="12" priority="13" operator="lessThan">
      <formula>-1</formula>
    </cfRule>
    <cfRule type="cellIs" dxfId="11" priority="14" operator="greaterThanOrEqual">
      <formula>0</formula>
    </cfRule>
  </conditionalFormatting>
  <conditionalFormatting sqref="W7:Y112 Y113">
    <cfRule type="cellIs" dxfId="10" priority="12" operator="lessThan">
      <formula>-1</formula>
    </cfRule>
  </conditionalFormatting>
  <conditionalFormatting sqref="W7:Y113">
    <cfRule type="cellIs" dxfId="9" priority="9" operator="greaterThanOrEqual">
      <formula>0</formula>
    </cfRule>
    <cfRule type="cellIs" dxfId="8" priority="10" operator="lessThan">
      <formula>0</formula>
    </cfRule>
  </conditionalFormatting>
  <conditionalFormatting sqref="W113:Y113">
    <cfRule type="cellIs" dxfId="7" priority="8" operator="lessThan">
      <formula>-1</formula>
    </cfRule>
  </conditionalFormatting>
  <conditionalFormatting sqref="AB7:AB85 AB105:AB113">
    <cfRule type="cellIs" dxfId="6" priority="4" operator="lessThan">
      <formula>0</formula>
    </cfRule>
    <cfRule type="cellIs" dxfId="5" priority="6" operator="lessThan">
      <formula>-1</formula>
    </cfRule>
    <cfRule type="cellIs" dxfId="4" priority="7" operator="greaterThanOrEqual">
      <formula>0</formula>
    </cfRule>
  </conditionalFormatting>
  <conditionalFormatting sqref="AD7:AF112 AF113">
    <cfRule type="cellIs" dxfId="3" priority="5" operator="lessThan">
      <formula>-1</formula>
    </cfRule>
  </conditionalFormatting>
  <conditionalFormatting sqref="AD7:AF113">
    <cfRule type="cellIs" dxfId="2" priority="2" operator="greaterThanOrEqual">
      <formula>0</formula>
    </cfRule>
    <cfRule type="cellIs" dxfId="1" priority="3" operator="lessThan">
      <formula>0</formula>
    </cfRule>
  </conditionalFormatting>
  <conditionalFormatting sqref="AD113:AF113">
    <cfRule type="cellIs" dxfId="0" priority="1" operator="lessThan">
      <formula>-1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4348-87A6-4127-A0F0-02955E19D479}">
  <sheetPr>
    <tabColor rgb="FFFF33CC"/>
  </sheetPr>
  <dimension ref="A1:T120"/>
  <sheetViews>
    <sheetView showGridLines="0" zoomScale="75" zoomScaleNormal="75" workbookViewId="0">
      <pane xSplit="3" ySplit="6" topLeftCell="D105" activePane="bottomRight" state="frozen"/>
      <selection pane="topRight" activeCell="D1" sqref="D1"/>
      <selection pane="bottomLeft" activeCell="A7" sqref="A7"/>
      <selection pane="bottomRight" activeCell="E12" sqref="E12"/>
    </sheetView>
  </sheetViews>
  <sheetFormatPr defaultRowHeight="14.5" outlineLevelRow="1"/>
  <cols>
    <col min="1" max="1" width="4.54296875" style="10" customWidth="1"/>
    <col min="2" max="2" width="11.453125" customWidth="1"/>
    <col min="3" max="3" width="27.7265625" bestFit="1" customWidth="1"/>
    <col min="4" max="4" width="8.26953125" style="21" customWidth="1"/>
    <col min="5" max="5" width="12.7265625" customWidth="1"/>
    <col min="6" max="8" width="15.453125" customWidth="1"/>
    <col min="9" max="9" width="13.453125" style="10" customWidth="1"/>
    <col min="10" max="10" width="10.26953125" style="10" customWidth="1"/>
    <col min="11" max="11" width="12.26953125" style="43" customWidth="1"/>
    <col min="12" max="12" width="12.26953125" style="50" customWidth="1"/>
    <col min="13" max="13" width="12.26953125" style="67" customWidth="1"/>
    <col min="14" max="14" width="38.26953125" customWidth="1"/>
    <col min="15" max="15" width="63.7265625" bestFit="1" customWidth="1"/>
  </cols>
  <sheetData>
    <row r="1" spans="1:15" ht="21">
      <c r="B1" s="17" t="s">
        <v>255</v>
      </c>
    </row>
    <row r="4" spans="1:15" ht="46.5">
      <c r="A4" s="11" t="s">
        <v>235</v>
      </c>
      <c r="B4" s="11" t="s">
        <v>236</v>
      </c>
      <c r="C4" s="11" t="s">
        <v>237</v>
      </c>
      <c r="D4" s="11" t="s">
        <v>224</v>
      </c>
      <c r="E4" s="16" t="s">
        <v>418</v>
      </c>
      <c r="F4" s="16" t="s">
        <v>372</v>
      </c>
      <c r="G4" s="16" t="s">
        <v>419</v>
      </c>
      <c r="H4" s="75" t="s">
        <v>420</v>
      </c>
      <c r="I4" s="27" t="s">
        <v>421</v>
      </c>
      <c r="J4" s="27" t="s">
        <v>284</v>
      </c>
      <c r="K4" s="126" t="s">
        <v>287</v>
      </c>
      <c r="L4" s="127" t="s">
        <v>376</v>
      </c>
      <c r="M4" s="68" t="s">
        <v>301</v>
      </c>
      <c r="N4" s="11" t="s">
        <v>256</v>
      </c>
      <c r="O4" s="11" t="s">
        <v>238</v>
      </c>
    </row>
    <row r="5" spans="1:15" s="18" customFormat="1" ht="15.5">
      <c r="A5" s="14" t="s">
        <v>254</v>
      </c>
      <c r="B5" s="15" t="s">
        <v>111</v>
      </c>
      <c r="C5" s="15"/>
      <c r="D5" s="22"/>
      <c r="E5" s="15"/>
      <c r="F5" s="15"/>
      <c r="G5" s="15"/>
      <c r="H5" s="15"/>
      <c r="I5" s="14"/>
      <c r="J5" s="14"/>
      <c r="K5" s="44"/>
      <c r="L5" s="51"/>
      <c r="M5" s="69"/>
      <c r="N5" s="15"/>
      <c r="O5" s="15"/>
    </row>
    <row r="6" spans="1:15" s="18" customFormat="1" ht="15.5">
      <c r="A6" s="12" t="s">
        <v>239</v>
      </c>
      <c r="B6" s="13" t="s">
        <v>240</v>
      </c>
      <c r="C6" s="13"/>
      <c r="D6" s="23"/>
      <c r="E6" s="13"/>
      <c r="F6" s="13"/>
      <c r="G6" s="13"/>
      <c r="H6" s="13"/>
      <c r="I6" s="12"/>
      <c r="J6" s="12"/>
      <c r="K6" s="45"/>
      <c r="L6" s="52"/>
      <c r="M6" s="70"/>
      <c r="N6" s="13"/>
      <c r="O6" s="13"/>
    </row>
    <row r="7" spans="1:15" outlineLevel="1">
      <c r="A7" s="9">
        <v>1</v>
      </c>
      <c r="B7" s="4" t="s">
        <v>130</v>
      </c>
      <c r="C7" s="4" t="s">
        <v>16</v>
      </c>
      <c r="D7" s="24"/>
      <c r="E7" s="5">
        <f>SUMIFS('[1]tồn TP 17.12'!H:H,'[1]tồn TP 17.12'!A:A,'[1]Trình bày'!B7)</f>
        <v>1781047.75</v>
      </c>
      <c r="F7" s="5">
        <f>IFERROR(_xlfn.XLOOKUP(B7,'[1]tồn TP 17.12'!A:A,'[1]tồn TP 17.12'!L:L),0)</f>
        <v>1667665.9090909092</v>
      </c>
      <c r="G7" s="5">
        <v>1200</v>
      </c>
      <c r="H7" s="40">
        <f>1220-10-10</f>
        <v>1200</v>
      </c>
      <c r="I7" s="46">
        <f>H7-G7</f>
        <v>0</v>
      </c>
      <c r="J7" s="42">
        <v>1096.8836793746136</v>
      </c>
      <c r="K7" s="46">
        <f>(H7-J7)</f>
        <v>103.11632062538638</v>
      </c>
      <c r="L7" s="53">
        <f>+K7/H7</f>
        <v>8.5930267187821985E-2</v>
      </c>
      <c r="M7" s="71">
        <v>1180</v>
      </c>
      <c r="N7" s="4"/>
      <c r="O7" s="4"/>
    </row>
    <row r="8" spans="1:15" outlineLevel="1">
      <c r="A8" s="9">
        <f>+A7+1</f>
        <v>2</v>
      </c>
      <c r="B8" s="4" t="s">
        <v>131</v>
      </c>
      <c r="C8" s="4" t="s">
        <v>17</v>
      </c>
      <c r="D8" s="24"/>
      <c r="E8" s="5">
        <f>SUMIFS('[1]tồn TP 17.12'!H:H,'[1]tồn TP 17.12'!A:A,'[1]Trình bày'!B8)</f>
        <v>284108.7</v>
      </c>
      <c r="F8" s="5">
        <f>IFERROR(_xlfn.XLOOKUP(B8,'[1]tồn TP 17.12'!A:A,'[1]tồn TP 17.12'!L:L),0)</f>
        <v>967139.61818181828</v>
      </c>
      <c r="G8" s="5">
        <v>1230</v>
      </c>
      <c r="H8" s="40">
        <f>+H7+30</f>
        <v>1230</v>
      </c>
      <c r="I8" s="46">
        <f t="shared" ref="I8:I16" si="0">H8-G8</f>
        <v>0</v>
      </c>
      <c r="J8" s="42">
        <f>+J7</f>
        <v>1096.8836793746136</v>
      </c>
      <c r="K8" s="46">
        <f t="shared" ref="K8:K16" si="1">(H8-J8)</f>
        <v>133.11632062538638</v>
      </c>
      <c r="L8" s="53">
        <f t="shared" ref="L8:L16" si="2">+K8/H8</f>
        <v>0.10822465091494828</v>
      </c>
      <c r="M8" s="71">
        <f>+M7+30</f>
        <v>1210</v>
      </c>
      <c r="N8" s="4"/>
      <c r="O8" s="4"/>
    </row>
    <row r="9" spans="1:15" outlineLevel="1">
      <c r="A9" s="9">
        <f t="shared" ref="A9:A16" si="3">+A8+1</f>
        <v>3</v>
      </c>
      <c r="B9" s="4" t="s">
        <v>121</v>
      </c>
      <c r="C9" s="4" t="s">
        <v>7</v>
      </c>
      <c r="D9" s="24"/>
      <c r="E9" s="5">
        <f>SUMIFS('[1]tồn TP 17.12'!H:H,'[1]tồn TP 17.12'!A:A,'[1]Trình bày'!B9)</f>
        <v>1197408.5</v>
      </c>
      <c r="F9" s="5">
        <f>IFERROR(_xlfn.XLOOKUP(B9,'[1]tồn TP 17.12'!A:A,'[1]tồn TP 17.12'!L:L),0)</f>
        <v>496599.44545454549</v>
      </c>
      <c r="G9" s="5">
        <v>1290</v>
      </c>
      <c r="H9" s="40">
        <f>H7+90</f>
        <v>1290</v>
      </c>
      <c r="I9" s="46">
        <f t="shared" si="0"/>
        <v>0</v>
      </c>
      <c r="J9" s="42">
        <v>1157.9867040243741</v>
      </c>
      <c r="K9" s="46">
        <f t="shared" si="1"/>
        <v>132.01329597562585</v>
      </c>
      <c r="L9" s="53">
        <f t="shared" si="2"/>
        <v>0.10233588835319833</v>
      </c>
      <c r="M9" s="71">
        <f>M7+90</f>
        <v>1270</v>
      </c>
      <c r="N9" s="4"/>
      <c r="O9" s="4"/>
    </row>
    <row r="10" spans="1:15" outlineLevel="1">
      <c r="A10" s="9">
        <f t="shared" si="3"/>
        <v>4</v>
      </c>
      <c r="B10" s="4" t="s">
        <v>133</v>
      </c>
      <c r="C10" s="4" t="s">
        <v>19</v>
      </c>
      <c r="D10" s="24"/>
      <c r="E10" s="5">
        <f>SUMIFS('[1]tồn TP 17.12'!H:H,'[1]tồn TP 17.12'!A:A,'[1]Trình bày'!B10)</f>
        <v>1614071.7</v>
      </c>
      <c r="F10" s="5">
        <f>IFERROR(_xlfn.XLOOKUP(B10,'[1]tồn TP 17.12'!A:A,'[1]tồn TP 17.12'!L:L),0)</f>
        <v>172277.27272727274</v>
      </c>
      <c r="G10" s="5">
        <v>1130</v>
      </c>
      <c r="H10" s="40">
        <f>+H7-70</f>
        <v>1130</v>
      </c>
      <c r="I10" s="46">
        <f t="shared" si="0"/>
        <v>0</v>
      </c>
      <c r="J10" s="42">
        <f>+J8</f>
        <v>1096.8836793746136</v>
      </c>
      <c r="K10" s="46">
        <f t="shared" si="1"/>
        <v>33.116320625386379</v>
      </c>
      <c r="L10" s="53">
        <f t="shared" si="2"/>
        <v>2.9306478429545469E-2</v>
      </c>
      <c r="M10" s="71">
        <f>+M7-70</f>
        <v>1110</v>
      </c>
      <c r="N10" s="4"/>
      <c r="O10" s="4"/>
    </row>
    <row r="11" spans="1:15" outlineLevel="1">
      <c r="A11" s="9">
        <f t="shared" si="3"/>
        <v>5</v>
      </c>
      <c r="B11" s="4" t="s">
        <v>118</v>
      </c>
      <c r="C11" s="4" t="s">
        <v>3</v>
      </c>
      <c r="D11" s="24"/>
      <c r="E11" s="5">
        <f>SUMIFS('[1]tồn TP 17.12'!H:H,'[1]tồn TP 17.12'!A:A,'[1]Trình bày'!B11)</f>
        <v>480417.3</v>
      </c>
      <c r="F11" s="5">
        <f>IFERROR(_xlfn.XLOOKUP(B11,'[1]tồn TP 17.12'!A:A,'[1]tồn TP 17.12'!L:L),0)</f>
        <v>16300</v>
      </c>
      <c r="G11" s="66">
        <v>1320</v>
      </c>
      <c r="H11" s="65">
        <v>1320</v>
      </c>
      <c r="I11" s="46">
        <f t="shared" si="0"/>
        <v>0</v>
      </c>
      <c r="J11" s="42">
        <v>1182.481455363255</v>
      </c>
      <c r="K11" s="46">
        <f t="shared" si="1"/>
        <v>137.51854463674499</v>
      </c>
      <c r="L11" s="53">
        <f t="shared" si="2"/>
        <v>0.10418071563389772</v>
      </c>
      <c r="M11" s="76">
        <v>1320</v>
      </c>
      <c r="N11" s="4" t="s">
        <v>268</v>
      </c>
      <c r="O11" s="4"/>
    </row>
    <row r="12" spans="1:15" outlineLevel="1">
      <c r="A12" s="9">
        <f t="shared" si="3"/>
        <v>6</v>
      </c>
      <c r="B12" s="4" t="s">
        <v>220</v>
      </c>
      <c r="C12" s="4" t="s">
        <v>106</v>
      </c>
      <c r="D12" s="24"/>
      <c r="E12" s="5">
        <f>SUMIFS('[1]tồn TP 17.12'!H:H,'[1]tồn TP 17.12'!A:A,'[1]Trình bày'!B12)</f>
        <v>5500</v>
      </c>
      <c r="F12" s="5">
        <f>IFERROR(_xlfn.XLOOKUP(B12,'[1]tồn TP 17.12'!A:A,'[1]tồn TP 17.12'!L:L),0)</f>
        <v>250</v>
      </c>
      <c r="G12" s="66">
        <v>1440</v>
      </c>
      <c r="H12" s="65">
        <v>1440</v>
      </c>
      <c r="I12" s="46">
        <f t="shared" si="0"/>
        <v>0</v>
      </c>
      <c r="J12" s="78">
        <v>1235.0715627345357</v>
      </c>
      <c r="K12" s="46">
        <f t="shared" si="1"/>
        <v>204.92843726546425</v>
      </c>
      <c r="L12" s="53">
        <f t="shared" si="2"/>
        <v>0.1423114147676835</v>
      </c>
      <c r="M12" s="76">
        <v>1440</v>
      </c>
      <c r="N12" s="4" t="s">
        <v>268</v>
      </c>
      <c r="O12" s="4"/>
    </row>
    <row r="13" spans="1:15" outlineLevel="1">
      <c r="A13" s="9">
        <f t="shared" si="3"/>
        <v>7</v>
      </c>
      <c r="B13" s="4" t="s">
        <v>221</v>
      </c>
      <c r="C13" s="4" t="s">
        <v>107</v>
      </c>
      <c r="D13" s="24"/>
      <c r="E13" s="5">
        <f>SUMIFS('[1]tồn TP 17.12'!H:H,'[1]tồn TP 17.12'!A:A,'[1]Trình bày'!B13)</f>
        <v>34080</v>
      </c>
      <c r="F13" s="5">
        <f>IFERROR(_xlfn.XLOOKUP(B13,'[1]tồn TP 17.12'!A:A,'[1]tồn TP 17.12'!L:L),0)</f>
        <v>100</v>
      </c>
      <c r="G13" s="5">
        <v>1200</v>
      </c>
      <c r="H13" s="40">
        <f>H7</f>
        <v>1200</v>
      </c>
      <c r="I13" s="46">
        <f t="shared" si="0"/>
        <v>0</v>
      </c>
      <c r="J13" s="42">
        <v>1015.2046171945354</v>
      </c>
      <c r="K13" s="46">
        <f t="shared" si="1"/>
        <v>184.79538280546456</v>
      </c>
      <c r="L13" s="53">
        <f t="shared" si="2"/>
        <v>0.15399615233788713</v>
      </c>
      <c r="M13" s="71">
        <f>M7</f>
        <v>1180</v>
      </c>
      <c r="N13" s="4"/>
      <c r="O13" s="4"/>
    </row>
    <row r="14" spans="1:15" outlineLevel="1">
      <c r="A14" s="9">
        <f t="shared" si="3"/>
        <v>8</v>
      </c>
      <c r="B14" s="4" t="s">
        <v>275</v>
      </c>
      <c r="C14" s="4" t="s">
        <v>276</v>
      </c>
      <c r="D14" s="24"/>
      <c r="E14" s="5">
        <f>SUMIFS('[1]tồn TP 17.12'!H:H,'[1]tồn TP 17.12'!A:A,'[1]Trình bày'!B14)</f>
        <v>499.5</v>
      </c>
      <c r="F14" s="5">
        <f>IFERROR(_xlfn.XLOOKUP(B14,'[1]tồn TP 17.12'!A:A,'[1]tồn TP 17.12'!L:L),0)</f>
        <v>1954.5454545454545</v>
      </c>
      <c r="G14" s="5">
        <v>1200</v>
      </c>
      <c r="H14" s="40">
        <f>H7</f>
        <v>1200</v>
      </c>
      <c r="I14" s="46">
        <f t="shared" si="0"/>
        <v>0</v>
      </c>
      <c r="J14" s="79">
        <v>1025.9230769230769</v>
      </c>
      <c r="K14" s="46">
        <f t="shared" si="1"/>
        <v>174.07692307692309</v>
      </c>
      <c r="L14" s="53">
        <f t="shared" si="2"/>
        <v>0.14506410256410257</v>
      </c>
      <c r="M14" s="71">
        <f>M7</f>
        <v>1180</v>
      </c>
      <c r="N14" s="4"/>
      <c r="O14" s="4" t="s">
        <v>303</v>
      </c>
    </row>
    <row r="15" spans="1:15" outlineLevel="1">
      <c r="A15" s="9">
        <f t="shared" si="3"/>
        <v>9</v>
      </c>
      <c r="B15" s="4" t="s">
        <v>277</v>
      </c>
      <c r="C15" s="4" t="s">
        <v>278</v>
      </c>
      <c r="D15" s="24"/>
      <c r="E15" s="5">
        <f>SUMIFS('[1]tồn TP 17.12'!H:H,'[1]tồn TP 17.12'!A:A,'[1]Trình bày'!B15)</f>
        <v>2154</v>
      </c>
      <c r="F15" s="5">
        <f>IFERROR(_xlfn.XLOOKUP(B15,'[1]tồn TP 17.12'!A:A,'[1]tồn TP 17.12'!L:L),0)</f>
        <v>78100</v>
      </c>
      <c r="G15" s="66">
        <v>1410</v>
      </c>
      <c r="H15" s="65">
        <f>+(H11+H12)/2+30</f>
        <v>1410</v>
      </c>
      <c r="I15" s="46">
        <f t="shared" si="0"/>
        <v>0</v>
      </c>
      <c r="J15" s="128">
        <f>+J11*50%+J12*50%</f>
        <v>1208.7765090488954</v>
      </c>
      <c r="K15" s="46">
        <f t="shared" si="1"/>
        <v>201.22349095110462</v>
      </c>
      <c r="L15" s="53">
        <f t="shared" si="2"/>
        <v>0.14271169571000328</v>
      </c>
      <c r="M15" s="76">
        <f>+(M11+M12)/2+30</f>
        <v>1410</v>
      </c>
      <c r="N15" s="4" t="s">
        <v>268</v>
      </c>
      <c r="O15" s="4"/>
    </row>
    <row r="16" spans="1:15" outlineLevel="1">
      <c r="A16" s="9">
        <f t="shared" si="3"/>
        <v>10</v>
      </c>
      <c r="B16" s="4" t="s">
        <v>209</v>
      </c>
      <c r="C16" s="4" t="s">
        <v>95</v>
      </c>
      <c r="D16" s="24"/>
      <c r="E16" s="5">
        <f>SUMIFS('[1]tồn TP 17.12'!H:H,'[1]tồn TP 17.12'!A:A,'[1]Trình bày'!B16)</f>
        <v>74205.5</v>
      </c>
      <c r="F16" s="5">
        <f>IFERROR(_xlfn.XLOOKUP(B16,'[1]tồn TP 17.12'!A:A,'[1]tồn TP 17.12'!L:L),0)</f>
        <v>353.63636363636363</v>
      </c>
      <c r="G16" s="5">
        <v>1230</v>
      </c>
      <c r="H16" s="40">
        <f>H8</f>
        <v>1230</v>
      </c>
      <c r="I16" s="46">
        <f t="shared" si="0"/>
        <v>0</v>
      </c>
      <c r="J16" s="129">
        <v>1138.6538461538462</v>
      </c>
      <c r="K16" s="46">
        <f t="shared" si="1"/>
        <v>91.346153846153811</v>
      </c>
      <c r="L16" s="53">
        <f t="shared" si="2"/>
        <v>7.4265165728580329E-2</v>
      </c>
      <c r="M16" s="71">
        <f>M8</f>
        <v>1210</v>
      </c>
      <c r="N16" s="4" t="s">
        <v>257</v>
      </c>
      <c r="O16" s="4" t="s">
        <v>303</v>
      </c>
    </row>
    <row r="17" spans="1:15" s="18" customFormat="1" ht="15.5">
      <c r="A17" s="12" t="s">
        <v>241</v>
      </c>
      <c r="B17" s="13" t="s">
        <v>242</v>
      </c>
      <c r="C17" s="13"/>
      <c r="D17" s="23"/>
      <c r="E17" s="13"/>
      <c r="F17" s="13"/>
      <c r="G17" s="13"/>
      <c r="H17" s="130"/>
      <c r="I17" s="131"/>
      <c r="J17" s="132"/>
      <c r="K17" s="47"/>
      <c r="L17" s="54"/>
      <c r="M17" s="72"/>
      <c r="N17" s="13"/>
      <c r="O17" s="13"/>
    </row>
    <row r="18" spans="1:15" outlineLevel="1">
      <c r="A18" s="9">
        <v>1</v>
      </c>
      <c r="B18" s="4" t="s">
        <v>148</v>
      </c>
      <c r="C18" s="4" t="s">
        <v>34</v>
      </c>
      <c r="D18" s="24"/>
      <c r="E18" s="5">
        <f>SUMIFS('[1]tồn TP 17.12'!H:H,'[1]tồn TP 17.12'!A:A,'[1]Trình bày'!B18)</f>
        <v>1649997</v>
      </c>
      <c r="F18" s="5">
        <f>IFERROR(_xlfn.XLOOKUP(B18,'[1]tồn TP 17.12'!A:A,'[1]tồn TP 17.12'!L:L),0)</f>
        <v>0</v>
      </c>
      <c r="G18" s="5">
        <v>1230</v>
      </c>
      <c r="H18" s="40">
        <f>+H7+30</f>
        <v>1230</v>
      </c>
      <c r="I18" s="46">
        <f t="shared" ref="I18:I28" si="4">H18-G18</f>
        <v>0</v>
      </c>
      <c r="J18" s="42">
        <f>+J7</f>
        <v>1096.8836793746136</v>
      </c>
      <c r="K18" s="46">
        <f t="shared" ref="K18:K19" si="5">(H18-J18)</f>
        <v>133.11632062538638</v>
      </c>
      <c r="L18" s="53">
        <f t="shared" ref="L18:L19" si="6">+K18/H18</f>
        <v>0.10822465091494828</v>
      </c>
      <c r="M18" s="71">
        <f>+M7+30</f>
        <v>1210</v>
      </c>
      <c r="N18" s="4" t="s">
        <v>269</v>
      </c>
      <c r="O18" s="4"/>
    </row>
    <row r="19" spans="1:15" outlineLevel="1">
      <c r="A19" s="9">
        <f>+A18+1</f>
        <v>2</v>
      </c>
      <c r="B19" s="4" t="s">
        <v>147</v>
      </c>
      <c r="C19" s="4" t="s">
        <v>33</v>
      </c>
      <c r="D19" s="24"/>
      <c r="E19" s="5">
        <f>SUMIFS('[1]tồn TP 17.12'!H:H,'[1]tồn TP 17.12'!A:A,'[1]Trình bày'!B19)</f>
        <v>307999.5</v>
      </c>
      <c r="F19" s="5">
        <f>IFERROR(_xlfn.XLOOKUP(B19,'[1]tồn TP 17.12'!A:A,'[1]tồn TP 17.12'!L:L),0)</f>
        <v>0</v>
      </c>
      <c r="G19" s="5">
        <v>1200</v>
      </c>
      <c r="H19" s="40">
        <f>H7</f>
        <v>1200</v>
      </c>
      <c r="I19" s="46">
        <f t="shared" si="4"/>
        <v>0</v>
      </c>
      <c r="J19" s="42">
        <f>+J8</f>
        <v>1096.8836793746136</v>
      </c>
      <c r="K19" s="46">
        <f t="shared" si="5"/>
        <v>103.11632062538638</v>
      </c>
      <c r="L19" s="53">
        <f t="shared" si="6"/>
        <v>8.5930267187821985E-2</v>
      </c>
      <c r="M19" s="71">
        <f>M7</f>
        <v>1180</v>
      </c>
      <c r="N19" s="4" t="s">
        <v>270</v>
      </c>
      <c r="O19" s="4"/>
    </row>
    <row r="20" spans="1:15" outlineLevel="1">
      <c r="A20" s="9">
        <f t="shared" ref="A20:A28" si="7">+A19+1</f>
        <v>3</v>
      </c>
      <c r="B20" s="4" t="s">
        <v>151</v>
      </c>
      <c r="C20" s="4" t="s">
        <v>37</v>
      </c>
      <c r="D20" s="24"/>
      <c r="E20" s="5">
        <f>SUMIFS('[1]tồn TP 17.12'!H:H,'[1]tồn TP 17.12'!A:A,'[1]Trình bày'!B20)</f>
        <v>52800</v>
      </c>
      <c r="F20" s="5">
        <f>IFERROR(_xlfn.XLOOKUP(B20,'[1]tồn TP 17.12'!A:A,'[1]tồn TP 17.12'!L:L),0)</f>
        <v>0</v>
      </c>
      <c r="G20" s="5"/>
      <c r="H20" s="40"/>
      <c r="I20" s="46">
        <f t="shared" si="4"/>
        <v>0</v>
      </c>
      <c r="J20" s="42">
        <v>1130.6153846153845</v>
      </c>
      <c r="K20" s="46"/>
      <c r="L20" s="53"/>
      <c r="M20" s="71"/>
      <c r="N20" s="4" t="s">
        <v>271</v>
      </c>
      <c r="O20" s="4" t="s">
        <v>303</v>
      </c>
    </row>
    <row r="21" spans="1:15" outlineLevel="1">
      <c r="A21" s="9">
        <f t="shared" si="7"/>
        <v>4</v>
      </c>
      <c r="B21" s="4" t="s">
        <v>123</v>
      </c>
      <c r="C21" s="4" t="s">
        <v>9</v>
      </c>
      <c r="D21" s="24"/>
      <c r="E21" s="5">
        <f>SUMIFS('[1]tồn TP 17.12'!H:H,'[1]tồn TP 17.12'!A:A,'[1]Trình bày'!B21)</f>
        <v>4420.7</v>
      </c>
      <c r="F21" s="5">
        <f>IFERROR(_xlfn.XLOOKUP(B21,'[1]tồn TP 17.12'!A:A,'[1]tồn TP 17.12'!L:L),0)</f>
        <v>8800</v>
      </c>
      <c r="G21" s="5"/>
      <c r="H21" s="40"/>
      <c r="I21" s="46">
        <f t="shared" si="4"/>
        <v>0</v>
      </c>
      <c r="J21" s="42">
        <v>1045.1153846153845</v>
      </c>
      <c r="K21" s="46"/>
      <c r="L21" s="53"/>
      <c r="M21" s="71"/>
      <c r="N21" s="4" t="s">
        <v>272</v>
      </c>
      <c r="O21" s="4" t="s">
        <v>303</v>
      </c>
    </row>
    <row r="22" spans="1:15" outlineLevel="1">
      <c r="A22" s="9">
        <f t="shared" si="7"/>
        <v>5</v>
      </c>
      <c r="B22" s="4" t="s">
        <v>132</v>
      </c>
      <c r="C22" s="4" t="s">
        <v>18</v>
      </c>
      <c r="D22" s="24"/>
      <c r="E22" s="5">
        <f>SUMIFS('[1]tồn TP 17.12'!H:H,'[1]tồn TP 17.12'!A:A,'[1]Trình bày'!B22)</f>
        <v>0</v>
      </c>
      <c r="F22" s="5">
        <f>IFERROR(_xlfn.XLOOKUP(B22,'[1]tồn TP 17.12'!A:A,'[1]tồn TP 17.12'!L:L),0)</f>
        <v>0</v>
      </c>
      <c r="G22" s="5"/>
      <c r="H22" s="40"/>
      <c r="I22" s="46">
        <f t="shared" si="4"/>
        <v>0</v>
      </c>
      <c r="J22" s="42"/>
      <c r="K22" s="46"/>
      <c r="L22" s="53"/>
      <c r="M22" s="71"/>
      <c r="N22" s="4" t="s">
        <v>272</v>
      </c>
      <c r="O22" s="4"/>
    </row>
    <row r="23" spans="1:15" outlineLevel="1">
      <c r="A23" s="9">
        <f t="shared" si="7"/>
        <v>6</v>
      </c>
      <c r="B23" s="4" t="s">
        <v>202</v>
      </c>
      <c r="C23" s="4" t="s">
        <v>88</v>
      </c>
      <c r="D23" s="24"/>
      <c r="E23" s="5">
        <f>SUMIFS('[1]tồn TP 17.12'!H:H,'[1]tồn TP 17.12'!A:A,'[1]Trình bày'!B23)</f>
        <v>74800</v>
      </c>
      <c r="F23" s="5">
        <f>IFERROR(_xlfn.XLOOKUP(B23,'[1]tồn TP 17.12'!A:A,'[1]tồn TP 17.12'!L:L),0)</f>
        <v>0</v>
      </c>
      <c r="G23" s="5"/>
      <c r="H23" s="40"/>
      <c r="I23" s="46">
        <f t="shared" si="4"/>
        <v>0</v>
      </c>
      <c r="J23" s="42">
        <v>1056.2692307692307</v>
      </c>
      <c r="K23" s="46"/>
      <c r="L23" s="53"/>
      <c r="M23" s="71"/>
      <c r="N23" s="4" t="s">
        <v>271</v>
      </c>
      <c r="O23" s="4" t="s">
        <v>303</v>
      </c>
    </row>
    <row r="24" spans="1:15" outlineLevel="1">
      <c r="A24" s="9">
        <f t="shared" si="7"/>
        <v>7</v>
      </c>
      <c r="B24" s="4" t="s">
        <v>122</v>
      </c>
      <c r="C24" s="4" t="s">
        <v>8</v>
      </c>
      <c r="D24" s="24"/>
      <c r="E24" s="5">
        <f>SUMIFS('[1]tồn TP 17.12'!H:H,'[1]tồn TP 17.12'!A:A,'[1]Trình bày'!B24)</f>
        <v>2269</v>
      </c>
      <c r="F24" s="5">
        <f>IFERROR(_xlfn.XLOOKUP(B24,'[1]tồn TP 17.12'!A:A,'[1]tồn TP 17.12'!L:L),0)</f>
        <v>0</v>
      </c>
      <c r="G24" s="5"/>
      <c r="H24" s="40"/>
      <c r="I24" s="46">
        <f t="shared" si="4"/>
        <v>0</v>
      </c>
      <c r="J24" s="42">
        <v>937.65384615384619</v>
      </c>
      <c r="K24" s="46"/>
      <c r="L24" s="53"/>
      <c r="M24" s="71"/>
      <c r="N24" s="4" t="s">
        <v>272</v>
      </c>
      <c r="O24" s="4" t="s">
        <v>303</v>
      </c>
    </row>
    <row r="25" spans="1:15" outlineLevel="1">
      <c r="A25" s="9">
        <f t="shared" si="7"/>
        <v>8</v>
      </c>
      <c r="B25" s="4" t="s">
        <v>146</v>
      </c>
      <c r="C25" s="4" t="s">
        <v>32</v>
      </c>
      <c r="D25" s="24"/>
      <c r="E25" s="5">
        <f>SUMIFS('[1]tồn TP 17.12'!H:H,'[1]tồn TP 17.12'!A:A,'[1]Trình bày'!B25)</f>
        <v>1900</v>
      </c>
      <c r="F25" s="5">
        <f>IFERROR(_xlfn.XLOOKUP(B25,'[1]tồn TP 17.12'!A:A,'[1]tồn TP 17.12'!L:L),0)</f>
        <v>27.272727272727273</v>
      </c>
      <c r="G25" s="5"/>
      <c r="H25" s="40"/>
      <c r="I25" s="46">
        <f t="shared" si="4"/>
        <v>0</v>
      </c>
      <c r="J25" s="42">
        <v>1198.8846153846155</v>
      </c>
      <c r="K25" s="46"/>
      <c r="L25" s="53"/>
      <c r="M25" s="71"/>
      <c r="N25" s="4" t="s">
        <v>272</v>
      </c>
      <c r="O25" s="4" t="s">
        <v>303</v>
      </c>
    </row>
    <row r="26" spans="1:15" outlineLevel="1">
      <c r="A26" s="9">
        <f t="shared" si="7"/>
        <v>9</v>
      </c>
      <c r="B26" s="4" t="s">
        <v>120</v>
      </c>
      <c r="C26" s="4" t="s">
        <v>6</v>
      </c>
      <c r="D26" s="24"/>
      <c r="E26" s="5">
        <f>SUMIFS('[1]tồn TP 17.12'!H:H,'[1]tồn TP 17.12'!A:A,'[1]Trình bày'!B26)</f>
        <v>0</v>
      </c>
      <c r="F26" s="5">
        <f>IFERROR(_xlfn.XLOOKUP(B26,'[1]tồn TP 17.12'!A:A,'[1]tồn TP 17.12'!L:L),0)</f>
        <v>0</v>
      </c>
      <c r="G26" s="5"/>
      <c r="H26" s="40"/>
      <c r="I26" s="46">
        <f t="shared" si="4"/>
        <v>0</v>
      </c>
      <c r="J26" s="42"/>
      <c r="K26" s="46"/>
      <c r="L26" s="53"/>
      <c r="M26" s="71"/>
      <c r="N26" s="4" t="s">
        <v>272</v>
      </c>
      <c r="O26" s="4"/>
    </row>
    <row r="27" spans="1:15" outlineLevel="1">
      <c r="A27" s="9">
        <f t="shared" si="7"/>
        <v>10</v>
      </c>
      <c r="B27" s="4" t="s">
        <v>119</v>
      </c>
      <c r="C27" s="4" t="s">
        <v>5</v>
      </c>
      <c r="D27" s="24"/>
      <c r="E27" s="5">
        <f>SUMIFS('[1]tồn TP 17.12'!H:H,'[1]tồn TP 17.12'!A:A,'[1]Trình bày'!B27)</f>
        <v>0</v>
      </c>
      <c r="F27" s="5">
        <f>IFERROR(_xlfn.XLOOKUP(B27,'[1]tồn TP 17.12'!A:A,'[1]tồn TP 17.12'!L:L),0)</f>
        <v>0</v>
      </c>
      <c r="G27" s="5"/>
      <c r="H27" s="40"/>
      <c r="I27" s="46">
        <f t="shared" si="4"/>
        <v>0</v>
      </c>
      <c r="J27" s="42"/>
      <c r="K27" s="46"/>
      <c r="L27" s="53"/>
      <c r="M27" s="71"/>
      <c r="N27" s="4" t="s">
        <v>272</v>
      </c>
      <c r="O27" s="4"/>
    </row>
    <row r="28" spans="1:15" outlineLevel="1">
      <c r="A28" s="9">
        <f t="shared" si="7"/>
        <v>11</v>
      </c>
      <c r="B28" s="4" t="s">
        <v>206</v>
      </c>
      <c r="C28" s="4" t="s">
        <v>92</v>
      </c>
      <c r="D28" s="24"/>
      <c r="E28" s="5">
        <f>SUMIFS('[1]tồn TP 17.12'!H:H,'[1]tồn TP 17.12'!A:A,'[1]Trình bày'!B28)</f>
        <v>0</v>
      </c>
      <c r="F28" s="5">
        <f>IFERROR(_xlfn.XLOOKUP(B28,'[1]tồn TP 17.12'!A:A,'[1]tồn TP 17.12'!L:L),0)</f>
        <v>0</v>
      </c>
      <c r="G28" s="5"/>
      <c r="H28" s="40"/>
      <c r="I28" s="46">
        <f t="shared" si="4"/>
        <v>0</v>
      </c>
      <c r="J28" s="41"/>
      <c r="K28" s="46"/>
      <c r="L28" s="53"/>
      <c r="M28" s="71"/>
      <c r="N28" s="4" t="s">
        <v>272</v>
      </c>
      <c r="O28" s="4"/>
    </row>
    <row r="29" spans="1:15" s="18" customFormat="1" ht="15.5">
      <c r="A29" s="12" t="s">
        <v>243</v>
      </c>
      <c r="B29" s="13" t="s">
        <v>291</v>
      </c>
      <c r="C29" s="13"/>
      <c r="D29" s="23"/>
      <c r="E29" s="13"/>
      <c r="F29" s="13"/>
      <c r="G29" s="13"/>
      <c r="H29" s="130"/>
      <c r="I29" s="131"/>
      <c r="J29" s="132"/>
      <c r="K29" s="47"/>
      <c r="L29" s="54"/>
      <c r="M29" s="72"/>
      <c r="N29" s="13"/>
      <c r="O29" s="13"/>
    </row>
    <row r="30" spans="1:15" outlineLevel="1">
      <c r="A30" s="9">
        <v>1</v>
      </c>
      <c r="B30" s="4" t="s">
        <v>201</v>
      </c>
      <c r="C30" s="4" t="s">
        <v>87</v>
      </c>
      <c r="D30" s="24"/>
      <c r="E30" s="5">
        <f>SUMIFS('[1]tồn TP 17.12'!H:H,'[1]tồn TP 17.12'!A:A,'[1]Trình bày'!B30)</f>
        <v>17363.2</v>
      </c>
      <c r="F30" s="5">
        <f>IFERROR(_xlfn.XLOOKUP(B30,'[1]tồn TP 17.12'!A:A,'[1]tồn TP 17.12'!L:L),0)</f>
        <v>40613.63636363636</v>
      </c>
      <c r="G30" s="5">
        <v>810</v>
      </c>
      <c r="H30" s="40">
        <f>G30</f>
        <v>810</v>
      </c>
      <c r="I30" s="46">
        <f>H30-G30</f>
        <v>0</v>
      </c>
      <c r="J30" s="42">
        <v>931.34533966904087</v>
      </c>
      <c r="K30" s="46">
        <f t="shared" ref="K30:K32" si="8">(H30-J30)</f>
        <v>-121.34533966904087</v>
      </c>
      <c r="L30" s="53">
        <f t="shared" ref="L30:L32" si="9">+K30/H30</f>
        <v>-0.14980906131980354</v>
      </c>
      <c r="M30" s="71">
        <v>800</v>
      </c>
      <c r="N30" s="4"/>
      <c r="O30" s="4" t="s">
        <v>246</v>
      </c>
    </row>
    <row r="31" spans="1:15" outlineLevel="1">
      <c r="A31" s="9">
        <f>A30+1</f>
        <v>2</v>
      </c>
      <c r="B31" s="4" t="s">
        <v>182</v>
      </c>
      <c r="C31" s="4" t="s">
        <v>68</v>
      </c>
      <c r="D31" s="24"/>
      <c r="E31" s="5">
        <f>SUMIFS('[1]tồn TP 17.12'!H:H,'[1]tồn TP 17.12'!A:A,'[1]Trình bày'!B31)</f>
        <v>629780.69999999995</v>
      </c>
      <c r="F31" s="5">
        <f>IFERROR(_xlfn.XLOOKUP(B31,'[1]tồn TP 17.12'!A:A,'[1]tồn TP 17.12'!L:L),0)</f>
        <v>97670.454545454544</v>
      </c>
      <c r="G31" s="5">
        <v>760</v>
      </c>
      <c r="H31" s="40">
        <f>G31</f>
        <v>760</v>
      </c>
      <c r="I31" s="46">
        <f t="shared" ref="I31:I36" si="10">H31-G31</f>
        <v>0</v>
      </c>
      <c r="J31" s="42">
        <v>957.10021689508881</v>
      </c>
      <c r="K31" s="46">
        <f t="shared" si="8"/>
        <v>-197.10021689508881</v>
      </c>
      <c r="L31" s="53">
        <f t="shared" si="9"/>
        <v>-0.25934239065143266</v>
      </c>
      <c r="M31" s="71">
        <v>750</v>
      </c>
      <c r="N31" s="4"/>
      <c r="O31" s="4" t="s">
        <v>250</v>
      </c>
    </row>
    <row r="32" spans="1:15" outlineLevel="1">
      <c r="A32" s="9">
        <v>2</v>
      </c>
      <c r="B32" s="4" t="s">
        <v>150</v>
      </c>
      <c r="C32" s="4" t="s">
        <v>36</v>
      </c>
      <c r="D32" s="24"/>
      <c r="E32" s="5">
        <f>SUMIFS('[1]tồn TP 17.12'!H:H,'[1]tồn TP 17.12'!A:A,'[1]Trình bày'!B32)</f>
        <v>1850</v>
      </c>
      <c r="F32" s="5">
        <f>IFERROR(_xlfn.XLOOKUP(B32,'[1]tồn TP 17.12'!A:A,'[1]tồn TP 17.12'!L:L),0)</f>
        <v>90.909090909090907</v>
      </c>
      <c r="G32" s="5">
        <v>1070</v>
      </c>
      <c r="H32" s="40">
        <f>G32</f>
        <v>1070</v>
      </c>
      <c r="I32" s="46">
        <f t="shared" si="10"/>
        <v>0</v>
      </c>
      <c r="J32" s="42">
        <v>582.96769144813777</v>
      </c>
      <c r="K32" s="46">
        <f t="shared" si="8"/>
        <v>487.03230855186223</v>
      </c>
      <c r="L32" s="53">
        <f t="shared" si="9"/>
        <v>0.4551703818241703</v>
      </c>
      <c r="M32" s="71"/>
      <c r="N32" s="4"/>
      <c r="O32" s="4" t="s">
        <v>247</v>
      </c>
    </row>
    <row r="33" spans="1:15" outlineLevel="1">
      <c r="A33" s="9">
        <f t="shared" ref="A33" si="11">A32+1</f>
        <v>3</v>
      </c>
      <c r="B33" s="4" t="s">
        <v>152</v>
      </c>
      <c r="C33" s="4" t="s">
        <v>38</v>
      </c>
      <c r="D33" s="24"/>
      <c r="E33" s="5">
        <f>SUMIFS('[1]tồn TP 17.12'!H:H,'[1]tồn TP 17.12'!A:A,'[1]Trình bày'!B33)</f>
        <v>185278.5</v>
      </c>
      <c r="F33" s="5">
        <f>IFERROR(_xlfn.XLOOKUP(B33,'[1]tồn TP 17.12'!A:A,'[1]tồn TP 17.12'!L:L),0)</f>
        <v>0</v>
      </c>
      <c r="G33" s="5"/>
      <c r="H33" s="40"/>
      <c r="I33" s="46">
        <f t="shared" si="10"/>
        <v>0</v>
      </c>
      <c r="J33" s="41"/>
      <c r="K33" s="46"/>
      <c r="L33" s="53"/>
      <c r="M33" s="71"/>
      <c r="N33" s="4"/>
      <c r="O33" s="4" t="s">
        <v>251</v>
      </c>
    </row>
    <row r="34" spans="1:15" outlineLevel="1">
      <c r="A34" s="9">
        <v>3</v>
      </c>
      <c r="B34" s="4" t="s">
        <v>149</v>
      </c>
      <c r="C34" s="4" t="s">
        <v>35</v>
      </c>
      <c r="D34" s="24"/>
      <c r="E34" s="5">
        <f>SUMIFS('[1]tồn TP 17.12'!H:H,'[1]tồn TP 17.12'!A:A,'[1]Trình bày'!B34)</f>
        <v>52855.799999999996</v>
      </c>
      <c r="F34" s="5">
        <f>IFERROR(_xlfn.XLOOKUP(B34,'[1]tồn TP 17.12'!A:A,'[1]tồn TP 17.12'!L:L),0)</f>
        <v>2.2727272727272729</v>
      </c>
      <c r="G34" s="5">
        <v>1070</v>
      </c>
      <c r="H34" s="40">
        <f>G34</f>
        <v>1070</v>
      </c>
      <c r="I34" s="46">
        <f t="shared" si="10"/>
        <v>0</v>
      </c>
      <c r="J34" s="42">
        <v>646.08292221736849</v>
      </c>
      <c r="K34" s="46">
        <f t="shared" ref="K34:K36" si="12">(H34-J34)</f>
        <v>423.91707778263151</v>
      </c>
      <c r="L34" s="53">
        <f t="shared" ref="L34:L36" si="13">+K34/H34</f>
        <v>0.39618418484358087</v>
      </c>
      <c r="M34" s="71"/>
      <c r="N34" s="4"/>
      <c r="O34" s="4" t="s">
        <v>248</v>
      </c>
    </row>
    <row r="35" spans="1:15" outlineLevel="1">
      <c r="A35" s="9">
        <f t="shared" ref="A35" si="14">A34+1</f>
        <v>4</v>
      </c>
      <c r="B35" s="4" t="s">
        <v>154</v>
      </c>
      <c r="C35" s="4" t="s">
        <v>40</v>
      </c>
      <c r="D35" s="24"/>
      <c r="E35" s="5">
        <f>SUMIFS('[1]tồn TP 17.12'!H:H,'[1]tồn TP 17.12'!A:A,'[1]Trình bày'!B35)</f>
        <v>15354.6</v>
      </c>
      <c r="F35" s="5">
        <f>IFERROR(_xlfn.XLOOKUP(B35,'[1]tồn TP 17.12'!A:A,'[1]tồn TP 17.12'!L:L),0)</f>
        <v>2.2727272727272729</v>
      </c>
      <c r="G35" s="5">
        <v>1070</v>
      </c>
      <c r="H35" s="40">
        <f>G35</f>
        <v>1070</v>
      </c>
      <c r="I35" s="46">
        <f t="shared" si="10"/>
        <v>0</v>
      </c>
      <c r="J35" s="42">
        <v>736.55619144813772</v>
      </c>
      <c r="K35" s="46">
        <f t="shared" si="12"/>
        <v>333.44380855186228</v>
      </c>
      <c r="L35" s="53">
        <f t="shared" si="13"/>
        <v>0.31162972761856289</v>
      </c>
      <c r="M35" s="71"/>
      <c r="N35" s="4"/>
      <c r="O35" s="4" t="s">
        <v>248</v>
      </c>
    </row>
    <row r="36" spans="1:15" outlineLevel="1">
      <c r="A36" s="9">
        <v>4</v>
      </c>
      <c r="B36" s="4" t="s">
        <v>200</v>
      </c>
      <c r="C36" s="4" t="s">
        <v>86</v>
      </c>
      <c r="D36" s="24"/>
      <c r="E36" s="5">
        <f>SUMIFS('[1]tồn TP 17.12'!H:H,'[1]tồn TP 17.12'!A:A,'[1]Trình bày'!B36)</f>
        <v>92423</v>
      </c>
      <c r="F36" s="5">
        <f>IFERROR(_xlfn.XLOOKUP(B36,'[1]tồn TP 17.12'!A:A,'[1]tồn TP 17.12'!L:L),0)</f>
        <v>0</v>
      </c>
      <c r="G36" s="5">
        <v>610</v>
      </c>
      <c r="H36" s="40">
        <f>G36</f>
        <v>610</v>
      </c>
      <c r="I36" s="46">
        <f t="shared" si="10"/>
        <v>0</v>
      </c>
      <c r="J36" s="42">
        <v>657.90591328743039</v>
      </c>
      <c r="K36" s="46">
        <f t="shared" si="12"/>
        <v>-47.905913287430394</v>
      </c>
      <c r="L36" s="53">
        <f t="shared" si="13"/>
        <v>-7.8534284077754743E-2</v>
      </c>
      <c r="M36" s="71">
        <v>600</v>
      </c>
      <c r="N36" s="4"/>
      <c r="O36" s="4" t="s">
        <v>249</v>
      </c>
    </row>
    <row r="37" spans="1:15" s="19" customFormat="1" outlineLevel="1">
      <c r="A37" s="9">
        <f t="shared" ref="A37" si="15">A36+1</f>
        <v>5</v>
      </c>
      <c r="B37" s="8" t="s">
        <v>177</v>
      </c>
      <c r="C37" s="8" t="s">
        <v>63</v>
      </c>
      <c r="D37" s="25"/>
      <c r="E37" s="133">
        <f>SUMIFS('[1]tồn TP 17.12'!H:H,'[1]tồn TP 17.12'!A:A,'[1]Trình bày'!B37)</f>
        <v>37399</v>
      </c>
      <c r="F37" s="133">
        <f>IFERROR(_xlfn.XLOOKUP(B37,'[1]tồn TP 17.12'!A:A,'[1]tồn TP 17.12'!L:L),0)</f>
        <v>0</v>
      </c>
      <c r="G37" s="133"/>
      <c r="H37" s="40"/>
      <c r="I37" s="46"/>
      <c r="J37" s="134"/>
      <c r="K37" s="46"/>
      <c r="L37" s="53"/>
      <c r="M37" s="71"/>
      <c r="N37" s="8"/>
      <c r="O37" s="8" t="s">
        <v>252</v>
      </c>
    </row>
    <row r="38" spans="1:15" s="18" customFormat="1" ht="15.5">
      <c r="A38" s="14" t="s">
        <v>258</v>
      </c>
      <c r="B38" s="15" t="s">
        <v>266</v>
      </c>
      <c r="C38" s="15"/>
      <c r="D38" s="22"/>
      <c r="E38" s="15"/>
      <c r="F38" s="15"/>
      <c r="G38" s="15"/>
      <c r="H38" s="135"/>
      <c r="I38" s="136"/>
      <c r="J38" s="137"/>
      <c r="K38" s="48"/>
      <c r="L38" s="55"/>
      <c r="M38" s="73"/>
      <c r="N38" s="15"/>
      <c r="O38" s="15"/>
    </row>
    <row r="39" spans="1:15" s="18" customFormat="1" ht="15.5">
      <c r="A39" s="12" t="s">
        <v>239</v>
      </c>
      <c r="B39" s="13" t="s">
        <v>240</v>
      </c>
      <c r="C39" s="13"/>
      <c r="D39" s="23"/>
      <c r="E39" s="13"/>
      <c r="F39" s="13"/>
      <c r="G39" s="13"/>
      <c r="H39" s="130"/>
      <c r="I39" s="131"/>
      <c r="J39" s="132"/>
      <c r="K39" s="47"/>
      <c r="L39" s="54"/>
      <c r="M39" s="72"/>
      <c r="N39" s="13"/>
      <c r="O39" s="13"/>
    </row>
    <row r="40" spans="1:15" outlineLevel="1">
      <c r="A40" s="9">
        <v>1</v>
      </c>
      <c r="B40" s="4" t="s">
        <v>126</v>
      </c>
      <c r="C40" s="4" t="s">
        <v>12</v>
      </c>
      <c r="D40" s="24" t="s">
        <v>230</v>
      </c>
      <c r="E40" s="5">
        <f>SUMIFS('[1]tồn TP 17.12'!H:H,'[1]tồn TP 17.12'!A:A,'[1]Trình bày'!B40)</f>
        <v>493431.3</v>
      </c>
      <c r="F40" s="5">
        <f>IFERROR(_xlfn.XLOOKUP(B40,'[1]tồn TP 17.12'!A:A,'[1]tồn TP 17.12'!L:L),0)</f>
        <v>110231.81818181818</v>
      </c>
      <c r="G40" s="5"/>
      <c r="H40" s="40"/>
      <c r="I40" s="46">
        <f t="shared" ref="I40:I46" si="16">H40-G40</f>
        <v>0</v>
      </c>
      <c r="J40" s="42"/>
      <c r="K40" s="46"/>
      <c r="L40" s="53"/>
      <c r="M40" s="71"/>
      <c r="N40" s="4" t="s">
        <v>313</v>
      </c>
      <c r="O40" s="4"/>
    </row>
    <row r="41" spans="1:15" outlineLevel="1">
      <c r="A41" s="9">
        <f>+A40+1</f>
        <v>2</v>
      </c>
      <c r="B41" s="4" t="s">
        <v>173</v>
      </c>
      <c r="C41" s="4" t="s">
        <v>59</v>
      </c>
      <c r="D41" s="24" t="s">
        <v>227</v>
      </c>
      <c r="E41" s="5">
        <f>SUMIFS('[1]tồn TP 17.12'!H:H,'[1]tồn TP 17.12'!A:A,'[1]Trình bày'!B41)</f>
        <v>23776</v>
      </c>
      <c r="F41" s="5">
        <f>IFERROR(_xlfn.XLOOKUP(B41,'[1]tồn TP 17.12'!A:A,'[1]tồn TP 17.12'!L:L),0)</f>
        <v>31625</v>
      </c>
      <c r="G41" s="5"/>
      <c r="H41" s="40"/>
      <c r="I41" s="46">
        <f t="shared" si="16"/>
        <v>0</v>
      </c>
      <c r="J41" s="42"/>
      <c r="K41" s="46"/>
      <c r="L41" s="53"/>
      <c r="M41" s="71"/>
      <c r="N41" s="4" t="s">
        <v>313</v>
      </c>
      <c r="O41" s="4"/>
    </row>
    <row r="42" spans="1:15" outlineLevel="1">
      <c r="A42" s="9">
        <f t="shared" ref="A42:A46" si="17">+A41+1</f>
        <v>3</v>
      </c>
      <c r="B42" s="4" t="s">
        <v>145</v>
      </c>
      <c r="C42" s="4" t="s">
        <v>31</v>
      </c>
      <c r="D42" s="24" t="s">
        <v>230</v>
      </c>
      <c r="E42" s="5">
        <f>SUMIFS('[1]tồn TP 17.12'!H:H,'[1]tồn TP 17.12'!A:A,'[1]Trình bày'!B42)</f>
        <v>318748.40000000002</v>
      </c>
      <c r="F42" s="5">
        <f>IFERROR(_xlfn.XLOOKUP(B42,'[1]tồn TP 17.12'!A:A,'[1]tồn TP 17.12'!L:L),0)</f>
        <v>32027.272727272728</v>
      </c>
      <c r="G42" s="5">
        <v>1200</v>
      </c>
      <c r="H42" s="40">
        <v>1200</v>
      </c>
      <c r="I42" s="46">
        <f t="shared" si="16"/>
        <v>0</v>
      </c>
      <c r="J42" s="42">
        <v>1111.3107354114027</v>
      </c>
      <c r="K42" s="46">
        <f t="shared" ref="K42:K43" si="18">(H42-J42)</f>
        <v>88.689264588597325</v>
      </c>
      <c r="L42" s="53">
        <f t="shared" ref="L42:L43" si="19">+K42/H42</f>
        <v>7.3907720490497777E-2</v>
      </c>
      <c r="M42" s="71">
        <v>1150</v>
      </c>
      <c r="N42" s="4"/>
      <c r="O42" s="4"/>
    </row>
    <row r="43" spans="1:15" outlineLevel="1">
      <c r="A43" s="9">
        <f t="shared" si="17"/>
        <v>4</v>
      </c>
      <c r="B43" s="4" t="s">
        <v>280</v>
      </c>
      <c r="C43" s="4" t="s">
        <v>281</v>
      </c>
      <c r="D43" s="24" t="s">
        <v>230</v>
      </c>
      <c r="E43" s="5">
        <f>SUMIFS('[1]tồn TP 17.12'!H:H,'[1]tồn TP 17.12'!A:A,'[1]Trình bày'!B43)</f>
        <v>1899</v>
      </c>
      <c r="F43" s="5">
        <f>IFERROR(_xlfn.XLOOKUP(B43,'[1]tồn TP 17.12'!A:A,'[1]tồn TP 17.12'!L:L),0)</f>
        <v>18420.454545454544</v>
      </c>
      <c r="G43" s="5">
        <v>1300</v>
      </c>
      <c r="H43" s="40">
        <v>1300</v>
      </c>
      <c r="I43" s="46">
        <f t="shared" si="16"/>
        <v>0</v>
      </c>
      <c r="J43" s="42">
        <f>+J42+22</f>
        <v>1133.3107354114027</v>
      </c>
      <c r="K43" s="46">
        <f t="shared" si="18"/>
        <v>166.68926458859733</v>
      </c>
      <c r="L43" s="53">
        <f t="shared" si="19"/>
        <v>0.12822251122199793</v>
      </c>
      <c r="M43" s="71">
        <v>1250</v>
      </c>
      <c r="N43" s="4"/>
      <c r="O43" s="4"/>
    </row>
    <row r="44" spans="1:15" outlineLevel="1">
      <c r="A44" s="9">
        <f t="shared" si="17"/>
        <v>5</v>
      </c>
      <c r="B44" s="4" t="s">
        <v>207</v>
      </c>
      <c r="C44" s="4" t="s">
        <v>93</v>
      </c>
      <c r="D44" s="24" t="s">
        <v>230</v>
      </c>
      <c r="E44" s="5">
        <f>SUMIFS('[1]tồn TP 17.12'!H:H,'[1]tồn TP 17.12'!A:A,'[1]Trình bày'!B44)</f>
        <v>422372.5</v>
      </c>
      <c r="F44" s="5">
        <f>IFERROR(_xlfn.XLOOKUP(B44,'[1]tồn TP 17.12'!A:A,'[1]tồn TP 17.12'!L:L),0)</f>
        <v>19318.18181818182</v>
      </c>
      <c r="G44" s="5"/>
      <c r="H44" s="40"/>
      <c r="I44" s="46">
        <f>H44-G44</f>
        <v>0</v>
      </c>
      <c r="J44" s="42"/>
      <c r="K44" s="46"/>
      <c r="L44" s="53"/>
      <c r="M44" s="71"/>
      <c r="N44" s="4" t="s">
        <v>313</v>
      </c>
      <c r="O44" s="4"/>
    </row>
    <row r="45" spans="1:15" outlineLevel="1">
      <c r="A45" s="9">
        <f t="shared" si="17"/>
        <v>6</v>
      </c>
      <c r="B45" s="4" t="s">
        <v>172</v>
      </c>
      <c r="C45" s="4" t="s">
        <v>58</v>
      </c>
      <c r="D45" s="24" t="s">
        <v>225</v>
      </c>
      <c r="E45" s="5">
        <f>SUMIFS('[1]tồn TP 17.12'!H:H,'[1]tồn TP 17.12'!A:A,'[1]Trình bày'!B45)</f>
        <v>152734.5</v>
      </c>
      <c r="F45" s="5">
        <f>IFERROR(_xlfn.XLOOKUP(B45,'[1]tồn TP 17.12'!A:A,'[1]tồn TP 17.12'!L:L),0)</f>
        <v>4627.272727272727</v>
      </c>
      <c r="G45" s="5"/>
      <c r="H45" s="40"/>
      <c r="I45" s="46">
        <f t="shared" si="16"/>
        <v>0</v>
      </c>
      <c r="J45" s="42"/>
      <c r="K45" s="46"/>
      <c r="L45" s="53"/>
      <c r="M45" s="71"/>
      <c r="N45" s="4" t="s">
        <v>313</v>
      </c>
      <c r="O45" s="4"/>
    </row>
    <row r="46" spans="1:15" outlineLevel="1">
      <c r="A46" s="9">
        <f t="shared" si="17"/>
        <v>7</v>
      </c>
      <c r="B46" s="4" t="s">
        <v>218</v>
      </c>
      <c r="C46" s="4" t="s">
        <v>104</v>
      </c>
      <c r="D46" s="24" t="s">
        <v>225</v>
      </c>
      <c r="E46" s="5">
        <f>SUMIFS('[1]tồn TP 17.12'!H:H,'[1]tồn TP 17.12'!A:A,'[1]Trình bày'!B46)</f>
        <v>15882.5</v>
      </c>
      <c r="F46" s="5">
        <f>IFERROR(_xlfn.XLOOKUP(B46,'[1]tồn TP 17.12'!A:A,'[1]tồn TP 17.12'!L:L),0)</f>
        <v>113.63636363636364</v>
      </c>
      <c r="G46" s="5">
        <v>1250</v>
      </c>
      <c r="H46" s="40">
        <v>1250</v>
      </c>
      <c r="I46" s="46">
        <f t="shared" si="16"/>
        <v>0</v>
      </c>
      <c r="J46" s="42">
        <v>1125.5142342013389</v>
      </c>
      <c r="K46" s="46">
        <f t="shared" ref="K46" si="20">(H46-J46)</f>
        <v>124.48576579866108</v>
      </c>
      <c r="L46" s="53">
        <f t="shared" ref="L46" si="21">+K46/H46</f>
        <v>9.9588612638928861E-2</v>
      </c>
      <c r="M46" s="71">
        <v>1200</v>
      </c>
      <c r="N46" s="4"/>
      <c r="O46" s="4"/>
    </row>
    <row r="47" spans="1:15" s="18" customFormat="1" ht="15.5">
      <c r="A47" s="12" t="s">
        <v>241</v>
      </c>
      <c r="B47" s="13" t="s">
        <v>242</v>
      </c>
      <c r="C47" s="13"/>
      <c r="D47" s="23"/>
      <c r="E47" s="13"/>
      <c r="F47" s="13"/>
      <c r="G47" s="13"/>
      <c r="H47" s="130"/>
      <c r="I47" s="47"/>
      <c r="J47" s="132"/>
      <c r="K47" s="47"/>
      <c r="L47" s="54"/>
      <c r="M47" s="72"/>
      <c r="N47" s="13"/>
      <c r="O47" s="13"/>
    </row>
    <row r="48" spans="1:15" outlineLevel="1">
      <c r="A48" s="9">
        <f>1</f>
        <v>1</v>
      </c>
      <c r="B48" s="4" t="s">
        <v>153</v>
      </c>
      <c r="C48" s="4" t="s">
        <v>39</v>
      </c>
      <c r="D48" s="24" t="s">
        <v>230</v>
      </c>
      <c r="E48" s="5">
        <f>SUMIFS('[1]tồn TP 17.12'!H:H,'[1]tồn TP 17.12'!A:A,'[1]Trình bày'!B48)</f>
        <v>55000</v>
      </c>
      <c r="F48" s="5">
        <f>IFERROR(_xlfn.XLOOKUP(B48,'[1]tồn TP 17.12'!A:A,'[1]tồn TP 17.12'!L:L),0)</f>
        <v>0</v>
      </c>
      <c r="G48" s="5">
        <v>1200</v>
      </c>
      <c r="H48" s="40">
        <v>1200</v>
      </c>
      <c r="I48" s="46">
        <f t="shared" ref="I48:I56" si="22">H48-G48</f>
        <v>0</v>
      </c>
      <c r="J48" s="42">
        <v>1213.5769230769231</v>
      </c>
      <c r="K48" s="46">
        <f t="shared" ref="K48:K49" si="23">(H48-J48)</f>
        <v>-13.576923076923094</v>
      </c>
      <c r="L48" s="53">
        <f t="shared" ref="L48:L49" si="24">+K48/H48</f>
        <v>-1.1314102564102578E-2</v>
      </c>
      <c r="M48" s="71">
        <v>1150</v>
      </c>
      <c r="N48" s="4" t="s">
        <v>285</v>
      </c>
      <c r="O48" s="4" t="s">
        <v>286</v>
      </c>
    </row>
    <row r="49" spans="1:15" outlineLevel="1">
      <c r="A49" s="9">
        <f>A48+1</f>
        <v>2</v>
      </c>
      <c r="B49" s="4" t="s">
        <v>129</v>
      </c>
      <c r="C49" s="4" t="s">
        <v>15</v>
      </c>
      <c r="D49" s="24" t="s">
        <v>227</v>
      </c>
      <c r="E49" s="5">
        <f>SUMIFS('[1]tồn TP 17.12'!H:H,'[1]tồn TP 17.12'!A:A,'[1]Trình bày'!B49)</f>
        <v>24325</v>
      </c>
      <c r="F49" s="5">
        <f>IFERROR(_xlfn.XLOOKUP(B49,'[1]tồn TP 17.12'!A:A,'[1]tồn TP 17.12'!L:L),0)</f>
        <v>0</v>
      </c>
      <c r="G49" s="5">
        <v>1200</v>
      </c>
      <c r="H49" s="40">
        <v>1200</v>
      </c>
      <c r="I49" s="46">
        <f t="shared" si="22"/>
        <v>0</v>
      </c>
      <c r="J49" s="42">
        <f>34395/26</f>
        <v>1322.8846153846155</v>
      </c>
      <c r="K49" s="46">
        <f t="shared" si="23"/>
        <v>-122.88461538461547</v>
      </c>
      <c r="L49" s="53">
        <f t="shared" si="24"/>
        <v>-0.10240384615384622</v>
      </c>
      <c r="M49" s="71">
        <v>1150</v>
      </c>
      <c r="N49" s="4" t="s">
        <v>308</v>
      </c>
      <c r="O49" s="4"/>
    </row>
    <row r="50" spans="1:15" outlineLevel="1">
      <c r="A50" s="9">
        <f t="shared" ref="A50:A56" si="25">A49+1</f>
        <v>3</v>
      </c>
      <c r="B50" s="4" t="s">
        <v>174</v>
      </c>
      <c r="C50" s="4" t="s">
        <v>60</v>
      </c>
      <c r="D50" s="24" t="s">
        <v>232</v>
      </c>
      <c r="E50" s="5">
        <f>SUMIFS('[1]tồn TP 17.12'!H:H,'[1]tồn TP 17.12'!A:A,'[1]Trình bày'!B50)</f>
        <v>19299.5</v>
      </c>
      <c r="F50" s="5">
        <f>IFERROR(_xlfn.XLOOKUP(B50,'[1]tồn TP 17.12'!A:A,'[1]tồn TP 17.12'!L:L),0)</f>
        <v>0</v>
      </c>
      <c r="G50" s="5"/>
      <c r="H50" s="40"/>
      <c r="I50" s="46">
        <f t="shared" si="22"/>
        <v>0</v>
      </c>
      <c r="J50" s="42"/>
      <c r="K50" s="46"/>
      <c r="L50" s="53"/>
      <c r="M50" s="71"/>
      <c r="N50" s="4" t="s">
        <v>313</v>
      </c>
      <c r="O50" s="4"/>
    </row>
    <row r="51" spans="1:15" outlineLevel="1">
      <c r="A51" s="9">
        <f t="shared" si="25"/>
        <v>4</v>
      </c>
      <c r="B51" s="4" t="s">
        <v>128</v>
      </c>
      <c r="C51" s="4" t="s">
        <v>14</v>
      </c>
      <c r="D51" s="24" t="s">
        <v>232</v>
      </c>
      <c r="E51" s="5">
        <f>SUMIFS('[1]tồn TP 17.12'!H:H,'[1]tồn TP 17.12'!A:A,'[1]Trình bày'!B51)</f>
        <v>14671</v>
      </c>
      <c r="F51" s="5">
        <f>IFERROR(_xlfn.XLOOKUP(B51,'[1]tồn TP 17.12'!A:A,'[1]tồn TP 17.12'!L:L),0)</f>
        <v>0</v>
      </c>
      <c r="G51" s="5">
        <v>1200</v>
      </c>
      <c r="H51" s="40">
        <v>1200</v>
      </c>
      <c r="I51" s="46">
        <f t="shared" si="22"/>
        <v>0</v>
      </c>
      <c r="J51" s="42">
        <v>1157</v>
      </c>
      <c r="K51" s="46">
        <f t="shared" ref="K51" si="26">(H51-J51)</f>
        <v>43</v>
      </c>
      <c r="L51" s="53">
        <f t="shared" ref="L51" si="27">+K51/H51</f>
        <v>3.5833333333333335E-2</v>
      </c>
      <c r="M51" s="71">
        <v>1150</v>
      </c>
      <c r="N51" s="4" t="s">
        <v>285</v>
      </c>
      <c r="O51" s="4"/>
    </row>
    <row r="52" spans="1:15" outlineLevel="1">
      <c r="A52" s="9">
        <f t="shared" si="25"/>
        <v>5</v>
      </c>
      <c r="B52" s="4" t="s">
        <v>124</v>
      </c>
      <c r="C52" s="4" t="s">
        <v>10</v>
      </c>
      <c r="D52" s="24"/>
      <c r="E52" s="5">
        <f>SUMIFS('[1]tồn TP 17.12'!H:H,'[1]tồn TP 17.12'!A:A,'[1]Trình bày'!B52)</f>
        <v>8159.1</v>
      </c>
      <c r="F52" s="5">
        <f>IFERROR(_xlfn.XLOOKUP(B52,'[1]tồn TP 17.12'!A:A,'[1]tồn TP 17.12'!L:L),0)</f>
        <v>0</v>
      </c>
      <c r="G52" s="5"/>
      <c r="H52" s="40"/>
      <c r="I52" s="46">
        <f t="shared" si="22"/>
        <v>0</v>
      </c>
      <c r="J52" s="42"/>
      <c r="K52" s="46"/>
      <c r="L52" s="53"/>
      <c r="M52" s="71"/>
      <c r="N52" s="4"/>
      <c r="O52" s="4"/>
    </row>
    <row r="53" spans="1:15" outlineLevel="1">
      <c r="A53" s="9">
        <f t="shared" si="25"/>
        <v>6</v>
      </c>
      <c r="B53" s="4" t="s">
        <v>125</v>
      </c>
      <c r="C53" s="4" t="s">
        <v>11</v>
      </c>
      <c r="D53" s="24" t="s">
        <v>225</v>
      </c>
      <c r="E53" s="5">
        <f>SUMIFS('[1]tồn TP 17.12'!H:H,'[1]tồn TP 17.12'!A:A,'[1]Trình bày'!B53)</f>
        <v>9199.7999999999993</v>
      </c>
      <c r="F53" s="5">
        <f>IFERROR(_xlfn.XLOOKUP(B53,'[1]tồn TP 17.12'!A:A,'[1]tồn TP 17.12'!L:L),0)</f>
        <v>0</v>
      </c>
      <c r="G53" s="5">
        <v>1200</v>
      </c>
      <c r="H53" s="40">
        <v>1200</v>
      </c>
      <c r="I53" s="46">
        <f t="shared" si="22"/>
        <v>0</v>
      </c>
      <c r="J53" s="42">
        <v>1125.5142342013389</v>
      </c>
      <c r="K53" s="46">
        <f t="shared" ref="K53:K56" si="28">(H53-J53)</f>
        <v>74.485765798661077</v>
      </c>
      <c r="L53" s="53">
        <f t="shared" ref="L53:L56" si="29">+K53/H53</f>
        <v>6.2071471498884229E-2</v>
      </c>
      <c r="M53" s="71">
        <v>1150</v>
      </c>
      <c r="N53" s="4"/>
      <c r="O53" s="4"/>
    </row>
    <row r="54" spans="1:15" s="61" customFormat="1" outlineLevel="1">
      <c r="A54" s="57">
        <f t="shared" si="25"/>
        <v>7</v>
      </c>
      <c r="B54" s="58" t="s">
        <v>180</v>
      </c>
      <c r="C54" s="58" t="s">
        <v>66</v>
      </c>
      <c r="D54" s="59" t="s">
        <v>230</v>
      </c>
      <c r="E54" s="60">
        <f>SUMIFS('[1]tồn TP 17.12'!H:H,'[1]tồn TP 17.12'!A:A,'[1]Trình bày'!B54)</f>
        <v>7925</v>
      </c>
      <c r="F54" s="60">
        <f>IFERROR(_xlfn.XLOOKUP(B54,'[1]tồn TP 17.12'!A:A,'[1]tồn TP 17.12'!L:L),0)</f>
        <v>0</v>
      </c>
      <c r="G54" s="60">
        <v>1200</v>
      </c>
      <c r="H54" s="40">
        <v>1200</v>
      </c>
      <c r="I54" s="46">
        <f t="shared" si="22"/>
        <v>0</v>
      </c>
      <c r="J54" s="42">
        <v>1153.8461538461538</v>
      </c>
      <c r="K54" s="46">
        <f t="shared" si="28"/>
        <v>46.153846153846189</v>
      </c>
      <c r="L54" s="53">
        <f t="shared" si="29"/>
        <v>3.8461538461538491E-2</v>
      </c>
      <c r="M54" s="71">
        <v>1150</v>
      </c>
      <c r="N54" s="4" t="s">
        <v>377</v>
      </c>
      <c r="O54" s="58" t="s">
        <v>296</v>
      </c>
    </row>
    <row r="55" spans="1:15" outlineLevel="1">
      <c r="A55" s="9">
        <f t="shared" si="25"/>
        <v>8</v>
      </c>
      <c r="B55" s="4" t="s">
        <v>176</v>
      </c>
      <c r="C55" s="4" t="s">
        <v>62</v>
      </c>
      <c r="D55" s="24" t="s">
        <v>230</v>
      </c>
      <c r="E55" s="5">
        <f>SUMIFS('[1]tồn TP 17.12'!H:H,'[1]tồn TP 17.12'!A:A,'[1]Trình bày'!B55)</f>
        <v>1072.5</v>
      </c>
      <c r="F55" s="5">
        <f>IFERROR(_xlfn.XLOOKUP(B55,'[1]tồn TP 17.12'!A:A,'[1]tồn TP 17.12'!L:L),0)</f>
        <v>0</v>
      </c>
      <c r="G55" s="5">
        <v>1300</v>
      </c>
      <c r="H55" s="40">
        <v>1300</v>
      </c>
      <c r="I55" s="46">
        <f t="shared" si="22"/>
        <v>0</v>
      </c>
      <c r="J55" s="42">
        <v>1062.5</v>
      </c>
      <c r="K55" s="46">
        <f t="shared" si="28"/>
        <v>237.5</v>
      </c>
      <c r="L55" s="53">
        <f t="shared" si="29"/>
        <v>0.18269230769230768</v>
      </c>
      <c r="M55" s="71">
        <v>1250</v>
      </c>
      <c r="N55" s="4" t="s">
        <v>378</v>
      </c>
      <c r="O55" s="4"/>
    </row>
    <row r="56" spans="1:15" outlineLevel="1">
      <c r="A56" s="9">
        <f t="shared" si="25"/>
        <v>9</v>
      </c>
      <c r="B56" s="4" t="s">
        <v>179</v>
      </c>
      <c r="C56" s="4" t="s">
        <v>65</v>
      </c>
      <c r="D56" s="24" t="s">
        <v>230</v>
      </c>
      <c r="E56" s="5">
        <f>SUMIFS('[1]tồn TP 17.12'!H:H,'[1]tồn TP 17.12'!A:A,'[1]Trình bày'!B56)</f>
        <v>2</v>
      </c>
      <c r="F56" s="5">
        <f>IFERROR(_xlfn.XLOOKUP(B56,'[1]tồn TP 17.12'!A:A,'[1]tồn TP 17.12'!L:L),0)</f>
        <v>0</v>
      </c>
      <c r="G56" s="5">
        <v>1200</v>
      </c>
      <c r="H56" s="40">
        <v>1200</v>
      </c>
      <c r="I56" s="46">
        <f t="shared" si="22"/>
        <v>0</v>
      </c>
      <c r="J56" s="42">
        <f>+J42</f>
        <v>1111.3107354114027</v>
      </c>
      <c r="K56" s="46">
        <f t="shared" si="28"/>
        <v>88.689264588597325</v>
      </c>
      <c r="L56" s="53">
        <f t="shared" si="29"/>
        <v>7.3907720490497777E-2</v>
      </c>
      <c r="M56" s="71">
        <v>1150</v>
      </c>
      <c r="N56" s="4"/>
      <c r="O56" s="4"/>
    </row>
    <row r="57" spans="1:15" s="18" customFormat="1" ht="15.5">
      <c r="A57" s="12" t="s">
        <v>243</v>
      </c>
      <c r="B57" s="13" t="s">
        <v>264</v>
      </c>
      <c r="C57" s="13"/>
      <c r="D57" s="23"/>
      <c r="E57" s="13"/>
      <c r="F57" s="13"/>
      <c r="G57" s="13"/>
      <c r="H57" s="130"/>
      <c r="I57" s="47"/>
      <c r="J57" s="132"/>
      <c r="K57" s="47"/>
      <c r="L57" s="54"/>
      <c r="M57" s="72"/>
      <c r="N57" s="13"/>
      <c r="O57" s="13"/>
    </row>
    <row r="58" spans="1:15" outlineLevel="1">
      <c r="A58" s="9">
        <v>1</v>
      </c>
      <c r="B58" s="4" t="s">
        <v>127</v>
      </c>
      <c r="C58" s="4" t="s">
        <v>13</v>
      </c>
      <c r="D58" s="24" t="s">
        <v>229</v>
      </c>
      <c r="E58" s="5">
        <f>SUMIFS('[1]tồn TP 17.12'!H:H,'[1]tồn TP 17.12'!A:A,'[1]Trình bày'!B58)</f>
        <v>95942</v>
      </c>
      <c r="F58" s="5">
        <f>IFERROR(_xlfn.XLOOKUP(B58,'[1]tồn TP 17.12'!A:A,'[1]tồn TP 17.12'!L:L),0)</f>
        <v>34734.090909090912</v>
      </c>
      <c r="G58" s="5">
        <v>900</v>
      </c>
      <c r="H58" s="40">
        <v>900</v>
      </c>
      <c r="I58" s="46">
        <f t="shared" ref="I58" si="30">H58-G58</f>
        <v>0</v>
      </c>
      <c r="J58" s="42"/>
      <c r="K58" s="46">
        <f t="shared" ref="K58" si="31">(H58-J58)</f>
        <v>900</v>
      </c>
      <c r="L58" s="53">
        <f t="shared" ref="L58" si="32">+K58/H58</f>
        <v>1</v>
      </c>
      <c r="M58" s="71">
        <v>700</v>
      </c>
      <c r="N58" s="4"/>
      <c r="O58" s="4" t="s">
        <v>253</v>
      </c>
    </row>
    <row r="59" spans="1:15" s="18" customFormat="1" ht="15.5">
      <c r="A59" s="14" t="s">
        <v>259</v>
      </c>
      <c r="B59" s="15" t="s">
        <v>265</v>
      </c>
      <c r="C59" s="15"/>
      <c r="D59" s="22"/>
      <c r="E59" s="15"/>
      <c r="F59" s="15"/>
      <c r="G59" s="15"/>
      <c r="H59" s="15"/>
      <c r="I59" s="48"/>
      <c r="J59" s="137"/>
      <c r="K59" s="48"/>
      <c r="L59" s="55"/>
      <c r="M59" s="73"/>
      <c r="N59" s="15"/>
      <c r="O59" s="15"/>
    </row>
    <row r="60" spans="1:15" s="18" customFormat="1" ht="15.5">
      <c r="A60" s="12" t="s">
        <v>239</v>
      </c>
      <c r="B60" s="13" t="s">
        <v>240</v>
      </c>
      <c r="C60" s="13"/>
      <c r="D60" s="23"/>
      <c r="E60" s="13"/>
      <c r="F60" s="13"/>
      <c r="G60" s="13"/>
      <c r="H60" s="13"/>
      <c r="I60" s="47"/>
      <c r="J60" s="132"/>
      <c r="K60" s="47"/>
      <c r="L60" s="54"/>
      <c r="M60" s="72"/>
      <c r="N60" s="13"/>
      <c r="O60" s="13"/>
    </row>
    <row r="61" spans="1:15" outlineLevel="1">
      <c r="A61" s="9">
        <v>1</v>
      </c>
      <c r="B61" s="4" t="s">
        <v>134</v>
      </c>
      <c r="C61" s="4" t="s">
        <v>20</v>
      </c>
      <c r="D61" s="24" t="s">
        <v>228</v>
      </c>
      <c r="E61" s="5">
        <f>SUMIFS('[1]tồn TP 17.12'!H:H,'[1]tồn TP 17.12'!A:A,'[1]Trình bày'!B61)</f>
        <v>3472.5</v>
      </c>
      <c r="F61" s="5">
        <f>IFERROR(_xlfn.XLOOKUP(B61,'[1]tồn TP 17.12'!A:A,'[1]tồn TP 17.12'!L:L),0)</f>
        <v>15000</v>
      </c>
      <c r="G61" s="138">
        <v>740</v>
      </c>
      <c r="H61" s="40">
        <v>740</v>
      </c>
      <c r="I61" s="46">
        <f t="shared" ref="I61:I68" si="33">H61-G61</f>
        <v>0</v>
      </c>
      <c r="J61" s="42">
        <v>747.86078922841239</v>
      </c>
      <c r="K61" s="46">
        <f t="shared" ref="K61:K68" si="34">(H61-J61)</f>
        <v>-7.8607892284123864</v>
      </c>
      <c r="L61" s="53">
        <f t="shared" ref="L61:L68" si="35">+K61/H61</f>
        <v>-1.0622688146503224E-2</v>
      </c>
      <c r="M61" s="71">
        <v>700</v>
      </c>
      <c r="N61" s="28" t="s">
        <v>274</v>
      </c>
      <c r="O61" s="4"/>
    </row>
    <row r="62" spans="1:15" outlineLevel="1">
      <c r="A62" s="9">
        <f>+A61+1</f>
        <v>2</v>
      </c>
      <c r="B62" s="4" t="s">
        <v>139</v>
      </c>
      <c r="C62" s="4" t="s">
        <v>25</v>
      </c>
      <c r="D62" s="24" t="s">
        <v>232</v>
      </c>
      <c r="E62" s="5">
        <f>SUMIFS('[1]tồn TP 17.12'!H:H,'[1]tồn TP 17.12'!A:A,'[1]Trình bày'!B62)</f>
        <v>40346</v>
      </c>
      <c r="F62" s="5">
        <f>IFERROR(_xlfn.XLOOKUP(B62,'[1]tồn TP 17.12'!A:A,'[1]tồn TP 17.12'!L:L),0)</f>
        <v>16570.454545454544</v>
      </c>
      <c r="G62" s="138">
        <v>740</v>
      </c>
      <c r="H62" s="40">
        <v>740</v>
      </c>
      <c r="I62" s="46">
        <f t="shared" si="33"/>
        <v>0</v>
      </c>
      <c r="J62" s="42">
        <v>747.86078922841239</v>
      </c>
      <c r="K62" s="46">
        <f t="shared" si="34"/>
        <v>-7.8607892284123864</v>
      </c>
      <c r="L62" s="53">
        <f t="shared" si="35"/>
        <v>-1.0622688146503224E-2</v>
      </c>
      <c r="M62" s="71">
        <v>700</v>
      </c>
      <c r="N62" s="28" t="s">
        <v>274</v>
      </c>
      <c r="O62" s="4"/>
    </row>
    <row r="63" spans="1:15" outlineLevel="1">
      <c r="A63" s="9">
        <f t="shared" ref="A63:A68" si="36">+A62+1</f>
        <v>3</v>
      </c>
      <c r="B63" s="4" t="s">
        <v>135</v>
      </c>
      <c r="C63" s="4" t="s">
        <v>21</v>
      </c>
      <c r="D63" s="24" t="s">
        <v>226</v>
      </c>
      <c r="E63" s="5">
        <f>SUMIFS('[1]tồn TP 17.12'!H:H,'[1]tồn TP 17.12'!A:A,'[1]Trình bày'!B63)</f>
        <v>9738</v>
      </c>
      <c r="F63" s="5">
        <f>IFERROR(_xlfn.XLOOKUP(B63,'[1]tồn TP 17.12'!A:A,'[1]tồn TP 17.12'!L:L),0)</f>
        <v>12911.363636363636</v>
      </c>
      <c r="G63" s="138">
        <v>740</v>
      </c>
      <c r="H63" s="40">
        <v>740</v>
      </c>
      <c r="I63" s="46">
        <f t="shared" si="33"/>
        <v>0</v>
      </c>
      <c r="J63" s="42">
        <v>747.86078922841239</v>
      </c>
      <c r="K63" s="46">
        <f t="shared" si="34"/>
        <v>-7.8607892284123864</v>
      </c>
      <c r="L63" s="53">
        <f t="shared" si="35"/>
        <v>-1.0622688146503224E-2</v>
      </c>
      <c r="M63" s="71">
        <v>700</v>
      </c>
      <c r="N63" s="28" t="s">
        <v>274</v>
      </c>
      <c r="O63" s="4"/>
    </row>
    <row r="64" spans="1:15" outlineLevel="1">
      <c r="A64" s="9">
        <f t="shared" si="36"/>
        <v>4</v>
      </c>
      <c r="B64" s="4" t="s">
        <v>219</v>
      </c>
      <c r="C64" s="4" t="s">
        <v>105</v>
      </c>
      <c r="D64" s="24" t="s">
        <v>228</v>
      </c>
      <c r="E64" s="5">
        <f>SUMIFS('[1]tồn TP 17.12'!H:H,'[1]tồn TP 17.12'!A:A,'[1]Trình bày'!B64)</f>
        <v>1473</v>
      </c>
      <c r="F64" s="5">
        <f>IFERROR(_xlfn.XLOOKUP(B64,'[1]tồn TP 17.12'!A:A,'[1]tồn TP 17.12'!L:L),0)</f>
        <v>2272.7272727272725</v>
      </c>
      <c r="G64" s="138">
        <v>740</v>
      </c>
      <c r="H64" s="40">
        <v>740</v>
      </c>
      <c r="I64" s="46">
        <f t="shared" si="33"/>
        <v>0</v>
      </c>
      <c r="J64" s="42">
        <f>33028/26</f>
        <v>1270.3076923076924</v>
      </c>
      <c r="K64" s="46">
        <f t="shared" si="34"/>
        <v>-530.30769230769238</v>
      </c>
      <c r="L64" s="53">
        <f t="shared" si="35"/>
        <v>-0.7166320166320167</v>
      </c>
      <c r="M64" s="71">
        <v>700</v>
      </c>
      <c r="N64" s="28" t="s">
        <v>274</v>
      </c>
      <c r="O64" s="4" t="s">
        <v>317</v>
      </c>
    </row>
    <row r="65" spans="1:15" outlineLevel="1">
      <c r="A65" s="9">
        <f t="shared" si="36"/>
        <v>5</v>
      </c>
      <c r="B65" s="4" t="s">
        <v>137</v>
      </c>
      <c r="C65" s="4" t="s">
        <v>23</v>
      </c>
      <c r="D65" s="24" t="s">
        <v>227</v>
      </c>
      <c r="E65" s="5">
        <f>SUMIFS('[1]tồn TP 17.12'!H:H,'[1]tồn TP 17.12'!A:A,'[1]Trình bày'!B65)</f>
        <v>40000</v>
      </c>
      <c r="F65" s="5">
        <f>IFERROR(_xlfn.XLOOKUP(B65,'[1]tồn TP 17.12'!A:A,'[1]tồn TP 17.12'!L:L),0)</f>
        <v>10763.636363636364</v>
      </c>
      <c r="G65" s="138">
        <v>740</v>
      </c>
      <c r="H65" s="40">
        <v>740</v>
      </c>
      <c r="I65" s="46">
        <f t="shared" si="33"/>
        <v>0</v>
      </c>
      <c r="J65" s="42">
        <v>747.86078922841239</v>
      </c>
      <c r="K65" s="46">
        <f t="shared" si="34"/>
        <v>-7.8607892284123864</v>
      </c>
      <c r="L65" s="53">
        <f t="shared" si="35"/>
        <v>-1.0622688146503224E-2</v>
      </c>
      <c r="M65" s="71">
        <v>700</v>
      </c>
      <c r="N65" s="28" t="s">
        <v>274</v>
      </c>
      <c r="O65" s="4"/>
    </row>
    <row r="66" spans="1:15" outlineLevel="1">
      <c r="A66" s="9">
        <f t="shared" si="36"/>
        <v>6</v>
      </c>
      <c r="B66" s="4" t="s">
        <v>138</v>
      </c>
      <c r="C66" s="4" t="s">
        <v>24</v>
      </c>
      <c r="D66" s="24" t="s">
        <v>225</v>
      </c>
      <c r="E66" s="5">
        <f>SUMIFS('[1]tồn TP 17.12'!H:H,'[1]tồn TP 17.12'!A:A,'[1]Trình bày'!B66)</f>
        <v>56033.4</v>
      </c>
      <c r="F66" s="5">
        <f>IFERROR(_xlfn.XLOOKUP(B66,'[1]tồn TP 17.12'!A:A,'[1]tồn TP 17.12'!L:L),0)</f>
        <v>1181.8181818181818</v>
      </c>
      <c r="G66" s="138">
        <v>740</v>
      </c>
      <c r="H66" s="40">
        <v>740</v>
      </c>
      <c r="I66" s="46">
        <f t="shared" si="33"/>
        <v>0</v>
      </c>
      <c r="J66" s="42">
        <f>+J68</f>
        <v>717.42307692307691</v>
      </c>
      <c r="K66" s="46">
        <f t="shared" si="34"/>
        <v>22.576923076923094</v>
      </c>
      <c r="L66" s="53">
        <f t="shared" si="35"/>
        <v>3.0509355509355532E-2</v>
      </c>
      <c r="M66" s="71">
        <v>700</v>
      </c>
      <c r="N66" s="28" t="s">
        <v>274</v>
      </c>
      <c r="O66" s="4" t="s">
        <v>422</v>
      </c>
    </row>
    <row r="67" spans="1:15" outlineLevel="1">
      <c r="A67" s="9">
        <f t="shared" si="36"/>
        <v>7</v>
      </c>
      <c r="B67" s="4" t="s">
        <v>178</v>
      </c>
      <c r="C67" s="4" t="s">
        <v>64</v>
      </c>
      <c r="D67" s="24" t="s">
        <v>234</v>
      </c>
      <c r="E67" s="5">
        <f>SUMIFS('[1]tồn TP 17.12'!H:H,'[1]tồn TP 17.12'!A:A,'[1]Trình bày'!B67)</f>
        <v>14543</v>
      </c>
      <c r="F67" s="5">
        <f>IFERROR(_xlfn.XLOOKUP(B67,'[1]tồn TP 17.12'!A:A,'[1]tồn TP 17.12'!L:L),0)</f>
        <v>1000</v>
      </c>
      <c r="G67" s="138">
        <v>660</v>
      </c>
      <c r="H67" s="40">
        <v>660</v>
      </c>
      <c r="I67" s="46">
        <f>H67-G67</f>
        <v>0</v>
      </c>
      <c r="J67" s="42">
        <v>651.81849467134691</v>
      </c>
      <c r="K67" s="46">
        <f>(H67-J67)</f>
        <v>8.1815053286530883</v>
      </c>
      <c r="L67" s="53">
        <f>+K67/H67</f>
        <v>1.2396220194928921E-2</v>
      </c>
      <c r="M67" s="71">
        <v>620</v>
      </c>
      <c r="N67" s="28" t="s">
        <v>274</v>
      </c>
      <c r="O67" s="4" t="s">
        <v>314</v>
      </c>
    </row>
    <row r="68" spans="1:15" outlineLevel="1">
      <c r="A68" s="9">
        <f t="shared" si="36"/>
        <v>8</v>
      </c>
      <c r="B68" s="4" t="s">
        <v>136</v>
      </c>
      <c r="C68" s="4" t="s">
        <v>22</v>
      </c>
      <c r="D68" s="24" t="s">
        <v>234</v>
      </c>
      <c r="E68" s="5">
        <f>SUMIFS('[1]tồn TP 17.12'!H:H,'[1]tồn TP 17.12'!A:A,'[1]Trình bày'!B68)</f>
        <v>246844.9</v>
      </c>
      <c r="F68" s="5">
        <f>IFERROR(_xlfn.XLOOKUP(B68,'[1]tồn TP 17.12'!A:A,'[1]tồn TP 17.12'!L:L),0)</f>
        <v>493.18181818181819</v>
      </c>
      <c r="G68" s="138">
        <v>740</v>
      </c>
      <c r="H68" s="40">
        <v>740</v>
      </c>
      <c r="I68" s="46">
        <f t="shared" si="33"/>
        <v>0</v>
      </c>
      <c r="J68" s="42">
        <v>717.42307692307691</v>
      </c>
      <c r="K68" s="46">
        <f t="shared" si="34"/>
        <v>22.576923076923094</v>
      </c>
      <c r="L68" s="53">
        <f t="shared" si="35"/>
        <v>3.0509355509355532E-2</v>
      </c>
      <c r="M68" s="71">
        <v>700</v>
      </c>
      <c r="N68" s="28" t="s">
        <v>274</v>
      </c>
      <c r="O68" s="4" t="s">
        <v>315</v>
      </c>
    </row>
    <row r="69" spans="1:15" s="18" customFormat="1" ht="15.5">
      <c r="A69" s="12" t="s">
        <v>241</v>
      </c>
      <c r="B69" s="13" t="s">
        <v>242</v>
      </c>
      <c r="C69" s="13"/>
      <c r="D69" s="23"/>
      <c r="E69" s="13"/>
      <c r="F69" s="13"/>
      <c r="G69" s="13"/>
      <c r="H69" s="130"/>
      <c r="I69" s="47"/>
      <c r="J69" s="132"/>
      <c r="K69" s="47"/>
      <c r="L69" s="54"/>
      <c r="M69" s="72"/>
      <c r="N69" s="13"/>
      <c r="O69" s="13"/>
    </row>
    <row r="70" spans="1:15" outlineLevel="1">
      <c r="A70" s="9">
        <f>1</f>
        <v>1</v>
      </c>
      <c r="B70" s="4" t="s">
        <v>144</v>
      </c>
      <c r="C70" s="4" t="s">
        <v>30</v>
      </c>
      <c r="D70" s="24" t="s">
        <v>228</v>
      </c>
      <c r="E70" s="5">
        <f>SUMIFS('[1]tồn TP 17.12'!H:H,'[1]tồn TP 17.12'!A:A,'[1]Trình bày'!B70)</f>
        <v>4372.8999999999996</v>
      </c>
      <c r="F70" s="5">
        <f>IFERROR(_xlfn.XLOOKUP(B70,'[1]tồn TP 17.12'!A:A,'[1]tồn TP 17.12'!L:L),0)</f>
        <v>0</v>
      </c>
      <c r="G70" s="138">
        <v>740</v>
      </c>
      <c r="H70" s="40">
        <v>740</v>
      </c>
      <c r="I70" s="46">
        <f t="shared" ref="I70" si="37">H70-G70</f>
        <v>0</v>
      </c>
      <c r="J70" s="42">
        <v>812.53846153846155</v>
      </c>
      <c r="K70" s="46">
        <f t="shared" ref="K70" si="38">(H70-J70)</f>
        <v>-72.538461538461547</v>
      </c>
      <c r="L70" s="53">
        <f t="shared" ref="L70" si="39">+K70/H70</f>
        <v>-9.802494802494803E-2</v>
      </c>
      <c r="M70" s="71">
        <v>700</v>
      </c>
      <c r="N70" s="28" t="s">
        <v>274</v>
      </c>
      <c r="O70" s="4" t="s">
        <v>316</v>
      </c>
    </row>
    <row r="71" spans="1:15" outlineLevel="1">
      <c r="A71" s="9"/>
      <c r="B71" s="4"/>
      <c r="C71" s="4"/>
      <c r="D71" s="24"/>
      <c r="E71" s="5"/>
      <c r="F71" s="5"/>
      <c r="G71" s="5"/>
      <c r="H71" s="40"/>
      <c r="I71" s="46"/>
      <c r="J71" s="41"/>
      <c r="K71" s="46"/>
      <c r="L71" s="53"/>
      <c r="M71" s="71"/>
      <c r="N71" s="4"/>
      <c r="O71" s="4"/>
    </row>
    <row r="72" spans="1:15" s="18" customFormat="1" ht="15.5">
      <c r="A72" s="14" t="s">
        <v>260</v>
      </c>
      <c r="B72" s="15" t="s">
        <v>244</v>
      </c>
      <c r="C72" s="15"/>
      <c r="D72" s="22"/>
      <c r="E72" s="15"/>
      <c r="F72" s="15"/>
      <c r="G72" s="15"/>
      <c r="H72" s="135"/>
      <c r="I72" s="48"/>
      <c r="J72" s="137"/>
      <c r="K72" s="48"/>
      <c r="L72" s="55"/>
      <c r="M72" s="73"/>
      <c r="N72" s="15"/>
      <c r="O72" s="15"/>
    </row>
    <row r="73" spans="1:15" s="18" customFormat="1" ht="15.5">
      <c r="A73" s="12" t="s">
        <v>239</v>
      </c>
      <c r="B73" s="13" t="s">
        <v>240</v>
      </c>
      <c r="C73" s="13"/>
      <c r="D73" s="23"/>
      <c r="E73" s="13"/>
      <c r="F73" s="13"/>
      <c r="G73" s="13"/>
      <c r="H73" s="130"/>
      <c r="I73" s="47"/>
      <c r="J73" s="132"/>
      <c r="K73" s="47"/>
      <c r="L73" s="54"/>
      <c r="M73" s="72"/>
      <c r="N73" s="13"/>
      <c r="O73" s="13"/>
    </row>
    <row r="74" spans="1:15" outlineLevel="1">
      <c r="A74" s="9">
        <v>4</v>
      </c>
      <c r="B74" s="4" t="s">
        <v>162</v>
      </c>
      <c r="C74" s="4" t="s">
        <v>48</v>
      </c>
      <c r="D74" s="24" t="s">
        <v>226</v>
      </c>
      <c r="E74" s="5">
        <f>SUMIFS('[1]tồn TP 17.12'!H:H,'[1]tồn TP 17.12'!A:A,'[1]Trình bày'!B74)</f>
        <v>147157</v>
      </c>
      <c r="F74" s="5">
        <f>IFERROR(_xlfn.XLOOKUP(B74,'[1]tồn TP 17.12'!A:A,'[1]tồn TP 17.12'!L:L),0)</f>
        <v>20052.272727272728</v>
      </c>
      <c r="G74" s="5">
        <v>665</v>
      </c>
      <c r="H74" s="40">
        <v>665</v>
      </c>
      <c r="I74" s="46">
        <f t="shared" ref="I74:I80" si="40">H74-G74</f>
        <v>0</v>
      </c>
      <c r="J74" s="139">
        <v>570.49450264840164</v>
      </c>
      <c r="K74" s="46">
        <f t="shared" ref="K74:K80" si="41">(H74-J74)</f>
        <v>94.505497351598365</v>
      </c>
      <c r="L74" s="53">
        <f t="shared" ref="L74:L80" si="42">+K74/H74</f>
        <v>0.1421135298520276</v>
      </c>
      <c r="M74" s="71">
        <v>650</v>
      </c>
      <c r="N74" s="148" t="s">
        <v>263</v>
      </c>
      <c r="O74" s="4"/>
    </row>
    <row r="75" spans="1:15" outlineLevel="1">
      <c r="A75" s="9">
        <v>2</v>
      </c>
      <c r="B75" s="4" t="s">
        <v>164</v>
      </c>
      <c r="C75" s="4" t="s">
        <v>50</v>
      </c>
      <c r="D75" s="24" t="s">
        <v>227</v>
      </c>
      <c r="E75" s="5">
        <f>SUMIFS('[1]tồn TP 17.12'!H:H,'[1]tồn TP 17.12'!A:A,'[1]Trình bày'!B75)</f>
        <v>44585</v>
      </c>
      <c r="F75" s="5">
        <f>IFERROR(_xlfn.XLOOKUP(B75,'[1]tồn TP 17.12'!A:A,'[1]tồn TP 17.12'!L:L),0)</f>
        <v>9847.7272727272721</v>
      </c>
      <c r="G75" s="5">
        <v>665</v>
      </c>
      <c r="H75" s="40">
        <v>665</v>
      </c>
      <c r="I75" s="46">
        <f t="shared" si="40"/>
        <v>0</v>
      </c>
      <c r="J75" s="139">
        <v>570.49450264840164</v>
      </c>
      <c r="K75" s="46">
        <f t="shared" si="41"/>
        <v>94.505497351598365</v>
      </c>
      <c r="L75" s="53">
        <f t="shared" si="42"/>
        <v>0.1421135298520276</v>
      </c>
      <c r="M75" s="71">
        <v>650</v>
      </c>
      <c r="N75" s="149"/>
      <c r="O75" s="4"/>
    </row>
    <row r="76" spans="1:15" outlineLevel="1">
      <c r="A76" s="9">
        <v>1</v>
      </c>
      <c r="B76" s="4" t="s">
        <v>165</v>
      </c>
      <c r="C76" s="4" t="s">
        <v>51</v>
      </c>
      <c r="D76" s="24" t="s">
        <v>232</v>
      </c>
      <c r="E76" s="5">
        <f>SUMIFS('[1]tồn TP 17.12'!H:H,'[1]tồn TP 17.12'!A:A,'[1]Trình bày'!B76)</f>
        <v>19549</v>
      </c>
      <c r="F76" s="5">
        <f>IFERROR(_xlfn.XLOOKUP(B76,'[1]tồn TP 17.12'!A:A,'[1]tồn TP 17.12'!L:L),0)</f>
        <v>10579.545454545454</v>
      </c>
      <c r="G76" s="5">
        <v>665</v>
      </c>
      <c r="H76" s="40">
        <v>665</v>
      </c>
      <c r="I76" s="46">
        <f t="shared" si="40"/>
        <v>0</v>
      </c>
      <c r="J76" s="139">
        <v>570.49450264840164</v>
      </c>
      <c r="K76" s="46">
        <f t="shared" si="41"/>
        <v>94.505497351598365</v>
      </c>
      <c r="L76" s="53">
        <f t="shared" si="42"/>
        <v>0.1421135298520276</v>
      </c>
      <c r="M76" s="71">
        <v>650</v>
      </c>
      <c r="N76" s="149"/>
      <c r="O76" s="4"/>
    </row>
    <row r="77" spans="1:15" outlineLevel="1">
      <c r="A77" s="9">
        <v>7</v>
      </c>
      <c r="B77" s="4" t="s">
        <v>166</v>
      </c>
      <c r="C77" s="4" t="s">
        <v>52</v>
      </c>
      <c r="D77" s="24" t="s">
        <v>228</v>
      </c>
      <c r="E77" s="5">
        <f>SUMIFS('[1]tồn TP 17.12'!H:H,'[1]tồn TP 17.12'!A:A,'[1]Trình bày'!B77)</f>
        <v>79170</v>
      </c>
      <c r="F77" s="5">
        <f>IFERROR(_xlfn.XLOOKUP(B77,'[1]tồn TP 17.12'!A:A,'[1]tồn TP 17.12'!L:L),0)</f>
        <v>6029.545454545455</v>
      </c>
      <c r="G77" s="5">
        <v>665</v>
      </c>
      <c r="H77" s="40">
        <v>665</v>
      </c>
      <c r="I77" s="46">
        <f t="shared" si="40"/>
        <v>0</v>
      </c>
      <c r="J77" s="139">
        <v>570.49450264840164</v>
      </c>
      <c r="K77" s="46">
        <f t="shared" si="41"/>
        <v>94.505497351598365</v>
      </c>
      <c r="L77" s="53">
        <f t="shared" si="42"/>
        <v>0.1421135298520276</v>
      </c>
      <c r="M77" s="71">
        <v>650</v>
      </c>
      <c r="N77" s="149"/>
      <c r="O77" s="4"/>
    </row>
    <row r="78" spans="1:15" outlineLevel="1">
      <c r="A78" s="9">
        <v>5</v>
      </c>
      <c r="B78" s="4" t="s">
        <v>163</v>
      </c>
      <c r="C78" s="4" t="s">
        <v>49</v>
      </c>
      <c r="D78" s="24" t="s">
        <v>225</v>
      </c>
      <c r="E78" s="5">
        <f>SUMIFS('[1]tồn TP 17.12'!H:H,'[1]tồn TP 17.12'!A:A,'[1]Trình bày'!B78)</f>
        <v>200749.2</v>
      </c>
      <c r="F78" s="5">
        <f>IFERROR(_xlfn.XLOOKUP(B78,'[1]tồn TP 17.12'!A:A,'[1]tồn TP 17.12'!L:L),0)</f>
        <v>46236.36363636364</v>
      </c>
      <c r="G78" s="5">
        <v>665</v>
      </c>
      <c r="H78" s="40">
        <v>665</v>
      </c>
      <c r="I78" s="46">
        <f t="shared" si="40"/>
        <v>0</v>
      </c>
      <c r="J78" s="139">
        <v>570.49450264840164</v>
      </c>
      <c r="K78" s="46">
        <f t="shared" si="41"/>
        <v>94.505497351598365</v>
      </c>
      <c r="L78" s="53">
        <f t="shared" si="42"/>
        <v>0.1421135298520276</v>
      </c>
      <c r="M78" s="71">
        <v>650</v>
      </c>
      <c r="N78" s="149"/>
      <c r="O78" s="4"/>
    </row>
    <row r="79" spans="1:15" outlineLevel="1">
      <c r="A79" s="9">
        <v>6</v>
      </c>
      <c r="B79" s="4" t="s">
        <v>167</v>
      </c>
      <c r="C79" s="4" t="s">
        <v>53</v>
      </c>
      <c r="D79" s="24" t="s">
        <v>229</v>
      </c>
      <c r="E79" s="5">
        <f>SUMIFS('[1]tồn TP 17.12'!H:H,'[1]tồn TP 17.12'!A:A,'[1]Trình bày'!B79)</f>
        <v>37467</v>
      </c>
      <c r="F79" s="5">
        <f>IFERROR(_xlfn.XLOOKUP(B79,'[1]tồn TP 17.12'!A:A,'[1]tồn TP 17.12'!L:L),0)</f>
        <v>3593.181818181818</v>
      </c>
      <c r="G79" s="5">
        <v>665</v>
      </c>
      <c r="H79" s="40">
        <v>665</v>
      </c>
      <c r="I79" s="46">
        <f t="shared" si="40"/>
        <v>0</v>
      </c>
      <c r="J79" s="139">
        <v>570.49450264840164</v>
      </c>
      <c r="K79" s="46">
        <f t="shared" si="41"/>
        <v>94.505497351598365</v>
      </c>
      <c r="L79" s="53">
        <f t="shared" si="42"/>
        <v>0.1421135298520276</v>
      </c>
      <c r="M79" s="71">
        <v>650</v>
      </c>
      <c r="N79" s="149"/>
      <c r="O79" s="4"/>
    </row>
    <row r="80" spans="1:15" outlineLevel="1">
      <c r="A80" s="9">
        <v>7</v>
      </c>
      <c r="B80" s="4" t="s">
        <v>168</v>
      </c>
      <c r="C80" s="4" t="s">
        <v>54</v>
      </c>
      <c r="D80" s="24" t="s">
        <v>231</v>
      </c>
      <c r="E80" s="5">
        <f>SUMIFS('[1]tồn TP 17.12'!H:H,'[1]tồn TP 17.12'!A:A,'[1]Trình bày'!B80)</f>
        <v>154424.5</v>
      </c>
      <c r="F80" s="5">
        <f>IFERROR(_xlfn.XLOOKUP(B80,'[1]tồn TP 17.12'!A:A,'[1]tồn TP 17.12'!L:L),0)</f>
        <v>6.8181818181818183</v>
      </c>
      <c r="G80" s="5">
        <v>665</v>
      </c>
      <c r="H80" s="40">
        <v>665</v>
      </c>
      <c r="I80" s="46">
        <f t="shared" si="40"/>
        <v>0</v>
      </c>
      <c r="J80" s="139">
        <v>570.49450264840164</v>
      </c>
      <c r="K80" s="46">
        <f t="shared" si="41"/>
        <v>94.505497351598365</v>
      </c>
      <c r="L80" s="53">
        <f t="shared" si="42"/>
        <v>0.1421135298520276</v>
      </c>
      <c r="M80" s="71">
        <v>650</v>
      </c>
      <c r="N80" s="150"/>
      <c r="O80" s="4"/>
    </row>
    <row r="81" spans="1:20" s="18" customFormat="1" ht="15.5">
      <c r="A81" s="12" t="s">
        <v>241</v>
      </c>
      <c r="B81" s="13" t="s">
        <v>242</v>
      </c>
      <c r="C81" s="13"/>
      <c r="D81" s="23"/>
      <c r="E81" s="13"/>
      <c r="F81" s="13"/>
      <c r="G81" s="13"/>
      <c r="H81" s="130"/>
      <c r="I81" s="47"/>
      <c r="J81" s="132"/>
      <c r="K81" s="47"/>
      <c r="L81" s="54"/>
      <c r="M81" s="72"/>
      <c r="N81" s="13"/>
      <c r="O81" s="13"/>
    </row>
    <row r="82" spans="1:20" outlineLevel="1">
      <c r="A82" s="9">
        <f>1</f>
        <v>1</v>
      </c>
      <c r="B82" s="4" t="s">
        <v>203</v>
      </c>
      <c r="C82" s="4" t="s">
        <v>89</v>
      </c>
      <c r="D82" s="24" t="s">
        <v>228</v>
      </c>
      <c r="E82" s="5">
        <f>SUMIFS('[1]tồn TP 17.12'!H:H,'[1]tồn TP 17.12'!A:A,'[1]Trình bày'!B82)</f>
        <v>6200</v>
      </c>
      <c r="F82" s="5">
        <f>IFERROR(_xlfn.XLOOKUP(B82,'[1]tồn TP 17.12'!A:A,'[1]tồn TP 17.12'!L:L),0)</f>
        <v>0</v>
      </c>
      <c r="G82" s="5"/>
      <c r="H82" s="40"/>
      <c r="I82" s="46"/>
      <c r="J82" s="41"/>
      <c r="K82" s="46"/>
      <c r="L82" s="53"/>
      <c r="M82" s="71"/>
      <c r="N82" s="4" t="s">
        <v>273</v>
      </c>
      <c r="O82" s="4"/>
    </row>
    <row r="83" spans="1:20" outlineLevel="1">
      <c r="A83" s="9"/>
      <c r="B83" s="4"/>
      <c r="C83" s="4"/>
      <c r="D83" s="24"/>
      <c r="E83" s="5"/>
      <c r="F83" s="5"/>
      <c r="G83" s="5"/>
      <c r="H83" s="40"/>
      <c r="I83" s="46"/>
      <c r="J83" s="41"/>
      <c r="K83" s="46"/>
      <c r="L83" s="53"/>
      <c r="M83" s="71"/>
      <c r="N83" s="4"/>
      <c r="O83" s="4"/>
    </row>
    <row r="84" spans="1:20" s="18" customFormat="1" ht="15.5">
      <c r="A84" s="14" t="s">
        <v>261</v>
      </c>
      <c r="B84" s="15" t="s">
        <v>115</v>
      </c>
      <c r="C84" s="15"/>
      <c r="D84" s="22"/>
      <c r="E84" s="15"/>
      <c r="F84" s="15"/>
      <c r="G84" s="15"/>
      <c r="H84" s="135"/>
      <c r="I84" s="48"/>
      <c r="J84" s="137"/>
      <c r="K84" s="48"/>
      <c r="L84" s="55"/>
      <c r="M84" s="73"/>
      <c r="N84" s="15"/>
      <c r="O84" s="15"/>
    </row>
    <row r="85" spans="1:20" s="18" customFormat="1" ht="15.5">
      <c r="A85" s="12" t="s">
        <v>239</v>
      </c>
      <c r="B85" s="13" t="s">
        <v>240</v>
      </c>
      <c r="C85" s="13"/>
      <c r="D85" s="23"/>
      <c r="E85" s="13"/>
      <c r="F85" s="13"/>
      <c r="G85" s="13"/>
      <c r="H85" s="130"/>
      <c r="I85" s="47"/>
      <c r="J85" s="132"/>
      <c r="K85" s="47"/>
      <c r="L85" s="54"/>
      <c r="M85" s="72"/>
      <c r="N85" s="13"/>
      <c r="O85" s="13"/>
    </row>
    <row r="86" spans="1:20" outlineLevel="1">
      <c r="A86" s="9">
        <v>1</v>
      </c>
      <c r="B86" s="4" t="s">
        <v>156</v>
      </c>
      <c r="C86" s="4" t="s">
        <v>42</v>
      </c>
      <c r="D86" s="24" t="s">
        <v>226</v>
      </c>
      <c r="E86" s="5">
        <f>SUMIFS('[1]tồn TP 17.12'!H:H,'[1]tồn TP 17.12'!A:A,'[1]Trình bày'!B86)</f>
        <v>12373</v>
      </c>
      <c r="F86" s="5">
        <f>IFERROR(_xlfn.XLOOKUP(B86,'[1]tồn TP 17.12'!A:A,'[1]tồn TP 17.12'!L:L),0)</f>
        <v>8352.7272727272721</v>
      </c>
      <c r="G86" s="140" t="s">
        <v>423</v>
      </c>
      <c r="H86" s="141" t="s">
        <v>368</v>
      </c>
      <c r="I86" s="49" t="s">
        <v>424</v>
      </c>
      <c r="J86" s="42">
        <v>1087</v>
      </c>
      <c r="K86" s="49" t="s">
        <v>425</v>
      </c>
      <c r="L86" s="56" t="s">
        <v>426</v>
      </c>
      <c r="M86" s="74" t="s">
        <v>427</v>
      </c>
      <c r="N86" s="4" t="s">
        <v>267</v>
      </c>
      <c r="O86" s="4" t="s">
        <v>303</v>
      </c>
      <c r="Q86" s="42">
        <v>1025</v>
      </c>
      <c r="R86" s="46">
        <f>J86</f>
        <v>1087</v>
      </c>
      <c r="S86" s="62">
        <f>Q86-R86</f>
        <v>-62</v>
      </c>
      <c r="T86" s="63">
        <f>S86/Q86</f>
        <v>-6.0487804878048779E-2</v>
      </c>
    </row>
    <row r="87" spans="1:20" outlineLevel="1">
      <c r="A87" s="9">
        <f>+A86+1</f>
        <v>2</v>
      </c>
      <c r="B87" s="4" t="s">
        <v>204</v>
      </c>
      <c r="C87" s="4" t="s">
        <v>90</v>
      </c>
      <c r="D87" s="24" t="s">
        <v>228</v>
      </c>
      <c r="E87" s="5">
        <f>SUMIFS('[1]tồn TP 17.12'!H:H,'[1]tồn TP 17.12'!A:A,'[1]Trình bày'!B87)</f>
        <v>10696</v>
      </c>
      <c r="F87" s="5">
        <f>IFERROR(_xlfn.XLOOKUP(B87,'[1]tồn TP 17.12'!A:A,'[1]tồn TP 17.12'!L:L),0)</f>
        <v>6090.909090909091</v>
      </c>
      <c r="G87" s="140" t="s">
        <v>423</v>
      </c>
      <c r="H87" s="141" t="s">
        <v>368</v>
      </c>
      <c r="I87" s="49" t="s">
        <v>424</v>
      </c>
      <c r="J87" s="42">
        <v>1085.6153846153845</v>
      </c>
      <c r="K87" s="49" t="s">
        <v>428</v>
      </c>
      <c r="L87" s="56" t="s">
        <v>426</v>
      </c>
      <c r="M87" s="74" t="s">
        <v>427</v>
      </c>
      <c r="N87" s="4" t="s">
        <v>267</v>
      </c>
      <c r="O87" s="4" t="s">
        <v>303</v>
      </c>
    </row>
    <row r="88" spans="1:20" outlineLevel="1">
      <c r="A88" s="9">
        <f t="shared" ref="A88:A94" si="43">+A87+1</f>
        <v>3</v>
      </c>
      <c r="B88" s="4" t="s">
        <v>205</v>
      </c>
      <c r="C88" s="4" t="s">
        <v>91</v>
      </c>
      <c r="D88" s="24" t="s">
        <v>234</v>
      </c>
      <c r="E88" s="5">
        <f>SUMIFS('[1]tồn TP 17.12'!H:H,'[1]tồn TP 17.12'!A:A,'[1]Trình bày'!B88)</f>
        <v>8148.8</v>
      </c>
      <c r="F88" s="5">
        <f>IFERROR(_xlfn.XLOOKUP(B88,'[1]tồn TP 17.12'!A:A,'[1]tồn TP 17.12'!L:L),0)</f>
        <v>3018.6363636363635</v>
      </c>
      <c r="G88" s="140" t="s">
        <v>423</v>
      </c>
      <c r="H88" s="141" t="s">
        <v>368</v>
      </c>
      <c r="I88" s="49" t="s">
        <v>424</v>
      </c>
      <c r="J88" s="42">
        <v>1090.6153846153845</v>
      </c>
      <c r="K88" s="49" t="s">
        <v>429</v>
      </c>
      <c r="L88" s="56" t="s">
        <v>430</v>
      </c>
      <c r="M88" s="74" t="s">
        <v>427</v>
      </c>
      <c r="N88" s="4" t="s">
        <v>267</v>
      </c>
      <c r="O88" s="4" t="s">
        <v>303</v>
      </c>
    </row>
    <row r="89" spans="1:20" outlineLevel="1">
      <c r="A89" s="9">
        <f t="shared" si="43"/>
        <v>4</v>
      </c>
      <c r="B89" s="4" t="s">
        <v>181</v>
      </c>
      <c r="C89" s="4" t="s">
        <v>67</v>
      </c>
      <c r="D89" s="24" t="s">
        <v>228</v>
      </c>
      <c r="E89" s="5">
        <f>SUMIFS('[1]tồn TP 17.12'!H:H,'[1]tồn TP 17.12'!A:A,'[1]Trình bày'!B89)</f>
        <v>1448</v>
      </c>
      <c r="F89" s="5">
        <f>IFERROR(_xlfn.XLOOKUP(B89,'[1]tồn TP 17.12'!A:A,'[1]tồn TP 17.12'!L:L),0)</f>
        <v>500.45454545454544</v>
      </c>
      <c r="G89" s="140" t="s">
        <v>423</v>
      </c>
      <c r="H89" s="141" t="s">
        <v>368</v>
      </c>
      <c r="I89" s="49" t="s">
        <v>424</v>
      </c>
      <c r="J89" s="42">
        <v>1033.1923076923076</v>
      </c>
      <c r="K89" s="49" t="s">
        <v>431</v>
      </c>
      <c r="L89" s="56" t="s">
        <v>432</v>
      </c>
      <c r="M89" s="74" t="s">
        <v>427</v>
      </c>
      <c r="N89" s="4" t="s">
        <v>267</v>
      </c>
      <c r="O89" s="4" t="s">
        <v>303</v>
      </c>
    </row>
    <row r="90" spans="1:20" outlineLevel="1">
      <c r="A90" s="9">
        <f t="shared" si="43"/>
        <v>5</v>
      </c>
      <c r="B90" s="4" t="s">
        <v>299</v>
      </c>
      <c r="C90" s="4" t="s">
        <v>297</v>
      </c>
      <c r="D90" s="24" t="s">
        <v>225</v>
      </c>
      <c r="E90" s="5">
        <f>SUMIFS('[1]tồn TP 17.12'!H:H,'[1]tồn TP 17.12'!A:A,'[1]Trình bày'!B90)</f>
        <v>773</v>
      </c>
      <c r="F90" s="5">
        <f>IFERROR(_xlfn.XLOOKUP(B90,'[1]tồn TP 17.12'!A:A,'[1]tồn TP 17.12'!L:L),0)</f>
        <v>454.54545454545456</v>
      </c>
      <c r="G90" s="5" t="s">
        <v>423</v>
      </c>
      <c r="H90" s="141" t="s">
        <v>368</v>
      </c>
      <c r="I90" s="49" t="s">
        <v>424</v>
      </c>
      <c r="J90" s="42">
        <f>35103/26</f>
        <v>1350.1153846153845</v>
      </c>
      <c r="K90" s="49" t="s">
        <v>433</v>
      </c>
      <c r="L90" s="56" t="s">
        <v>434</v>
      </c>
      <c r="M90" s="74" t="s">
        <v>427</v>
      </c>
      <c r="N90" s="4" t="s">
        <v>267</v>
      </c>
      <c r="O90" s="4" t="s">
        <v>303</v>
      </c>
    </row>
    <row r="91" spans="1:20" outlineLevel="1">
      <c r="A91" s="9">
        <f t="shared" si="43"/>
        <v>6</v>
      </c>
      <c r="B91" s="4" t="s">
        <v>159</v>
      </c>
      <c r="C91" s="4" t="s">
        <v>45</v>
      </c>
      <c r="D91" s="24" t="s">
        <v>229</v>
      </c>
      <c r="E91" s="5">
        <f>SUMIFS('[1]tồn TP 17.12'!H:H,'[1]tồn TP 17.12'!A:A,'[1]Trình bày'!B91)</f>
        <v>25532</v>
      </c>
      <c r="F91" s="5">
        <f>IFERROR(_xlfn.XLOOKUP(B91,'[1]tồn TP 17.12'!A:A,'[1]tồn TP 17.12'!L:L),0)</f>
        <v>66.36363636363636</v>
      </c>
      <c r="G91" s="140" t="s">
        <v>435</v>
      </c>
      <c r="H91" s="141" t="s">
        <v>370</v>
      </c>
      <c r="I91" s="49" t="s">
        <v>424</v>
      </c>
      <c r="J91" s="42">
        <v>824.11538461538464</v>
      </c>
      <c r="K91" s="49" t="s">
        <v>436</v>
      </c>
      <c r="L91" s="56" t="s">
        <v>437</v>
      </c>
      <c r="M91" s="77" t="s">
        <v>438</v>
      </c>
      <c r="N91" s="4" t="s">
        <v>267</v>
      </c>
      <c r="O91" s="4" t="s">
        <v>303</v>
      </c>
      <c r="Q91" s="42">
        <v>1025</v>
      </c>
      <c r="R91" s="46">
        <f>J91</f>
        <v>824.11538461538464</v>
      </c>
      <c r="S91" s="62">
        <f>Q91-R91</f>
        <v>200.88461538461536</v>
      </c>
      <c r="T91" s="63">
        <f>S91/Q91</f>
        <v>0.19598499061913693</v>
      </c>
    </row>
    <row r="92" spans="1:20" outlineLevel="1">
      <c r="A92" s="9">
        <f t="shared" si="43"/>
        <v>7</v>
      </c>
      <c r="B92" s="4" t="s">
        <v>208</v>
      </c>
      <c r="C92" s="4" t="s">
        <v>94</v>
      </c>
      <c r="D92" s="24" t="s">
        <v>225</v>
      </c>
      <c r="E92" s="5">
        <f>SUMIFS('[1]tồn TP 17.12'!H:H,'[1]tồn TP 17.12'!A:A,'[1]Trình bày'!B92)</f>
        <v>5056.2</v>
      </c>
      <c r="F92" s="5">
        <f>IFERROR(_xlfn.XLOOKUP(B92,'[1]tồn TP 17.12'!A:A,'[1]tồn TP 17.12'!L:L),0)</f>
        <v>34.545454545454547</v>
      </c>
      <c r="G92" s="140" t="s">
        <v>423</v>
      </c>
      <c r="H92" s="141" t="s">
        <v>368</v>
      </c>
      <c r="I92" s="49" t="s">
        <v>424</v>
      </c>
      <c r="J92" s="42">
        <f>36123/26</f>
        <v>1389.3461538461538</v>
      </c>
      <c r="K92" s="49" t="s">
        <v>439</v>
      </c>
      <c r="L92" s="56" t="s">
        <v>440</v>
      </c>
      <c r="M92" s="74" t="s">
        <v>427</v>
      </c>
      <c r="N92" s="4" t="s">
        <v>267</v>
      </c>
      <c r="O92" s="4" t="s">
        <v>303</v>
      </c>
      <c r="Q92" s="42">
        <v>1025</v>
      </c>
      <c r="R92" s="46">
        <f>J92</f>
        <v>1389.3461538461538</v>
      </c>
      <c r="S92" s="62">
        <f>Q92-R92</f>
        <v>-364.34615384615381</v>
      </c>
      <c r="T92" s="63">
        <f>S92/Q92</f>
        <v>-0.35545966228893056</v>
      </c>
    </row>
    <row r="93" spans="1:20" outlineLevel="1">
      <c r="A93" s="9">
        <f t="shared" si="43"/>
        <v>8</v>
      </c>
      <c r="B93" s="4" t="s">
        <v>161</v>
      </c>
      <c r="C93" s="4" t="s">
        <v>47</v>
      </c>
      <c r="D93" s="24" t="s">
        <v>234</v>
      </c>
      <c r="E93" s="5">
        <f>SUMIFS('[1]tồn TP 17.12'!H:H,'[1]tồn TP 17.12'!A:A,'[1]Trình bày'!B93)</f>
        <v>1599.5</v>
      </c>
      <c r="F93" s="5">
        <f>IFERROR(_xlfn.XLOOKUP(B93,'[1]tồn TP 17.12'!A:A,'[1]tồn TP 17.12'!L:L),0)</f>
        <v>4.5454545454545459</v>
      </c>
      <c r="G93" s="140" t="s">
        <v>423</v>
      </c>
      <c r="H93" s="141" t="s">
        <v>368</v>
      </c>
      <c r="I93" s="49" t="s">
        <v>424</v>
      </c>
      <c r="J93" s="42">
        <v>1138.2307692307693</v>
      </c>
      <c r="K93" s="49" t="s">
        <v>441</v>
      </c>
      <c r="L93" s="56" t="s">
        <v>442</v>
      </c>
      <c r="M93" s="74" t="s">
        <v>427</v>
      </c>
      <c r="N93" s="4" t="s">
        <v>267</v>
      </c>
      <c r="O93" s="4" t="s">
        <v>303</v>
      </c>
    </row>
    <row r="94" spans="1:20" outlineLevel="1">
      <c r="A94" s="9">
        <f t="shared" si="43"/>
        <v>9</v>
      </c>
      <c r="B94" s="4" t="s">
        <v>282</v>
      </c>
      <c r="C94" s="4" t="s">
        <v>283</v>
      </c>
      <c r="D94" s="24" t="s">
        <v>228</v>
      </c>
      <c r="E94" s="5">
        <f>SUMIFS('[1]tồn TP 17.12'!H:H,'[1]tồn TP 17.12'!A:A,'[1]Trình bày'!B94)</f>
        <v>1500</v>
      </c>
      <c r="F94" s="5">
        <f>IFERROR(_xlfn.XLOOKUP(B94,'[1]tồn TP 17.12'!A:A,'[1]tồn TP 17.12'!L:L),0)</f>
        <v>4.5454545454545459</v>
      </c>
      <c r="G94" s="140" t="s">
        <v>423</v>
      </c>
      <c r="H94" s="141" t="s">
        <v>368</v>
      </c>
      <c r="I94" s="49" t="s">
        <v>424</v>
      </c>
      <c r="J94" s="42">
        <v>865.61538461538464</v>
      </c>
      <c r="K94" s="49" t="s">
        <v>443</v>
      </c>
      <c r="L94" s="56" t="s">
        <v>444</v>
      </c>
      <c r="M94" s="74" t="s">
        <v>427</v>
      </c>
      <c r="N94" s="4" t="s">
        <v>267</v>
      </c>
      <c r="O94" s="4" t="s">
        <v>303</v>
      </c>
    </row>
    <row r="95" spans="1:20" s="18" customFormat="1" ht="15.5">
      <c r="A95" s="12" t="s">
        <v>241</v>
      </c>
      <c r="B95" s="13" t="s">
        <v>242</v>
      </c>
      <c r="C95" s="13"/>
      <c r="D95" s="23"/>
      <c r="E95" s="13"/>
      <c r="F95" s="13"/>
      <c r="G95" s="13"/>
      <c r="H95" s="142"/>
      <c r="I95" s="47"/>
      <c r="J95" s="132"/>
      <c r="K95" s="47"/>
      <c r="L95" s="54"/>
      <c r="M95" s="72"/>
      <c r="N95" s="13"/>
      <c r="O95" s="13"/>
    </row>
    <row r="96" spans="1:20" outlineLevel="1">
      <c r="A96" s="9">
        <v>1</v>
      </c>
      <c r="B96" s="4" t="s">
        <v>140</v>
      </c>
      <c r="C96" s="4" t="s">
        <v>26</v>
      </c>
      <c r="D96" s="24" t="s">
        <v>226</v>
      </c>
      <c r="E96" s="5">
        <f>SUMIFS('[1]tồn TP 17.12'!H:H,'[1]tồn TP 17.12'!A:A,'[1]Trình bày'!B96)</f>
        <v>719</v>
      </c>
      <c r="F96" s="5">
        <f>IFERROR(_xlfn.XLOOKUP(B96,'[1]tồn TP 17.12'!A:A,'[1]tồn TP 17.12'!L:L),0)</f>
        <v>0</v>
      </c>
      <c r="G96" s="140" t="s">
        <v>423</v>
      </c>
      <c r="H96" s="141" t="s">
        <v>368</v>
      </c>
      <c r="I96" s="49" t="s">
        <v>424</v>
      </c>
      <c r="J96" s="42">
        <v>846.11538461538464</v>
      </c>
      <c r="K96" s="49" t="s">
        <v>445</v>
      </c>
      <c r="L96" s="56" t="s">
        <v>397</v>
      </c>
      <c r="M96" s="74" t="s">
        <v>427</v>
      </c>
      <c r="N96" s="4" t="s">
        <v>267</v>
      </c>
      <c r="O96" s="4" t="s">
        <v>318</v>
      </c>
    </row>
    <row r="97" spans="1:20" outlineLevel="1">
      <c r="A97" s="9">
        <f>+A96+1</f>
        <v>2</v>
      </c>
      <c r="B97" s="4" t="s">
        <v>141</v>
      </c>
      <c r="C97" s="4" t="s">
        <v>27</v>
      </c>
      <c r="D97" s="24" t="s">
        <v>225</v>
      </c>
      <c r="E97" s="5">
        <f>SUMIFS('[1]tồn TP 17.12'!H:H,'[1]tồn TP 17.12'!A:A,'[1]Trình bày'!B97)</f>
        <v>2677.8</v>
      </c>
      <c r="F97" s="5">
        <f>IFERROR(_xlfn.XLOOKUP(B97,'[1]tồn TP 17.12'!A:A,'[1]tồn TP 17.12'!L:L),0)</f>
        <v>0</v>
      </c>
      <c r="G97" s="140" t="s">
        <v>423</v>
      </c>
      <c r="H97" s="141" t="s">
        <v>368</v>
      </c>
      <c r="I97" s="49" t="s">
        <v>424</v>
      </c>
      <c r="J97" s="42">
        <v>688.5</v>
      </c>
      <c r="K97" s="49" t="s">
        <v>446</v>
      </c>
      <c r="L97" s="56" t="s">
        <v>447</v>
      </c>
      <c r="M97" s="74" t="s">
        <v>427</v>
      </c>
      <c r="N97" s="4" t="s">
        <v>267</v>
      </c>
      <c r="O97" s="4" t="s">
        <v>318</v>
      </c>
    </row>
    <row r="98" spans="1:20" outlineLevel="1">
      <c r="A98" s="9">
        <f t="shared" ref="A98:A104" si="44">+A97+1</f>
        <v>3</v>
      </c>
      <c r="B98" s="4" t="s">
        <v>142</v>
      </c>
      <c r="C98" s="4" t="s">
        <v>28</v>
      </c>
      <c r="D98" s="24" t="s">
        <v>234</v>
      </c>
      <c r="E98" s="5">
        <f>SUMIFS('[1]tồn TP 17.12'!H:H,'[1]tồn TP 17.12'!A:A,'[1]Trình bày'!B98)</f>
        <v>2.5</v>
      </c>
      <c r="F98" s="5">
        <f>IFERROR(_xlfn.XLOOKUP(B98,'[1]tồn TP 17.12'!A:A,'[1]tồn TP 17.12'!L:L),0)</f>
        <v>0</v>
      </c>
      <c r="G98" s="140" t="s">
        <v>423</v>
      </c>
      <c r="H98" s="141" t="s">
        <v>368</v>
      </c>
      <c r="I98" s="49" t="s">
        <v>424</v>
      </c>
      <c r="J98" s="42">
        <v>971.88461538461536</v>
      </c>
      <c r="K98" s="49" t="s">
        <v>448</v>
      </c>
      <c r="L98" s="56" t="s">
        <v>332</v>
      </c>
      <c r="M98" s="74" t="s">
        <v>427</v>
      </c>
      <c r="N98" s="4" t="s">
        <v>267</v>
      </c>
      <c r="O98" s="4" t="s">
        <v>404</v>
      </c>
    </row>
    <row r="99" spans="1:20" outlineLevel="1">
      <c r="A99" s="9">
        <f t="shared" si="44"/>
        <v>4</v>
      </c>
      <c r="B99" s="4" t="s">
        <v>155</v>
      </c>
      <c r="C99" s="4" t="s">
        <v>41</v>
      </c>
      <c r="D99" s="24" t="s">
        <v>226</v>
      </c>
      <c r="E99" s="5">
        <f>SUMIFS('[1]tồn TP 17.12'!H:H,'[1]tồn TP 17.12'!A:A,'[1]Trình bày'!B99)</f>
        <v>1925</v>
      </c>
      <c r="F99" s="5">
        <f>IFERROR(_xlfn.XLOOKUP(B99,'[1]tồn TP 17.12'!A:A,'[1]tồn TP 17.12'!L:L),0)</f>
        <v>0</v>
      </c>
      <c r="G99" s="140" t="s">
        <v>423</v>
      </c>
      <c r="H99" s="141" t="s">
        <v>368</v>
      </c>
      <c r="I99" s="49" t="s">
        <v>424</v>
      </c>
      <c r="J99" s="42">
        <v>974.80769230769226</v>
      </c>
      <c r="K99" s="49" t="s">
        <v>449</v>
      </c>
      <c r="L99" s="56" t="s">
        <v>332</v>
      </c>
      <c r="M99" s="74" t="s">
        <v>427</v>
      </c>
      <c r="N99" s="4" t="s">
        <v>267</v>
      </c>
      <c r="O99" s="4" t="s">
        <v>320</v>
      </c>
    </row>
    <row r="100" spans="1:20" outlineLevel="1">
      <c r="A100" s="9">
        <f t="shared" si="44"/>
        <v>5</v>
      </c>
      <c r="B100" s="4" t="s">
        <v>157</v>
      </c>
      <c r="C100" s="4" t="s">
        <v>43</v>
      </c>
      <c r="D100" s="24" t="s">
        <v>228</v>
      </c>
      <c r="E100" s="5">
        <f>SUMIFS('[1]tồn TP 17.12'!H:H,'[1]tồn TP 17.12'!A:A,'[1]Trình bày'!B100)</f>
        <v>2280</v>
      </c>
      <c r="F100" s="5">
        <f>IFERROR(_xlfn.XLOOKUP(B100,'[1]tồn TP 17.12'!A:A,'[1]tồn TP 17.12'!L:L),0)</f>
        <v>0</v>
      </c>
      <c r="G100" s="140" t="s">
        <v>423</v>
      </c>
      <c r="H100" s="141" t="s">
        <v>368</v>
      </c>
      <c r="I100" s="49" t="s">
        <v>424</v>
      </c>
      <c r="J100" s="42">
        <v>903.96153846153845</v>
      </c>
      <c r="K100" s="49" t="s">
        <v>450</v>
      </c>
      <c r="L100" s="56" t="s">
        <v>451</v>
      </c>
      <c r="M100" s="74" t="s">
        <v>427</v>
      </c>
      <c r="N100" s="4" t="s">
        <v>267</v>
      </c>
      <c r="O100" s="4" t="s">
        <v>409</v>
      </c>
    </row>
    <row r="101" spans="1:20" outlineLevel="1">
      <c r="A101" s="9">
        <f t="shared" si="44"/>
        <v>6</v>
      </c>
      <c r="B101" s="4" t="s">
        <v>158</v>
      </c>
      <c r="C101" s="4" t="s">
        <v>44</v>
      </c>
      <c r="D101" s="24" t="s">
        <v>228</v>
      </c>
      <c r="E101" s="5">
        <f>SUMIFS('[1]tồn TP 17.12'!H:H,'[1]tồn TP 17.12'!A:A,'[1]Trình bày'!B101)</f>
        <v>2</v>
      </c>
      <c r="F101" s="5">
        <f>IFERROR(_xlfn.XLOOKUP(B101,'[1]tồn TP 17.12'!A:A,'[1]tồn TP 17.12'!L:L),0)</f>
        <v>0</v>
      </c>
      <c r="G101" s="140" t="s">
        <v>423</v>
      </c>
      <c r="H101" s="141" t="s">
        <v>368</v>
      </c>
      <c r="I101" s="49" t="s">
        <v>424</v>
      </c>
      <c r="J101" s="42">
        <v>790.76923076923072</v>
      </c>
      <c r="K101" s="49" t="s">
        <v>452</v>
      </c>
      <c r="L101" s="56" t="s">
        <v>453</v>
      </c>
      <c r="M101" s="74" t="s">
        <v>427</v>
      </c>
      <c r="N101" s="4" t="s">
        <v>267</v>
      </c>
      <c r="O101" s="4" t="s">
        <v>321</v>
      </c>
      <c r="Q101" s="42">
        <v>790</v>
      </c>
      <c r="R101" s="46">
        <f>J101</f>
        <v>790.76923076923072</v>
      </c>
      <c r="S101" s="62">
        <f>Q101-R101</f>
        <v>-0.76923076923071676</v>
      </c>
      <c r="T101" s="63">
        <f>S101/Q101</f>
        <v>-9.7370983446926171E-4</v>
      </c>
    </row>
    <row r="102" spans="1:20" outlineLevel="1">
      <c r="A102" s="9">
        <f t="shared" si="44"/>
        <v>7</v>
      </c>
      <c r="B102" s="4" t="s">
        <v>160</v>
      </c>
      <c r="C102" s="4" t="s">
        <v>46</v>
      </c>
      <c r="D102" s="24" t="s">
        <v>233</v>
      </c>
      <c r="E102" s="5">
        <f>SUMIFS('[1]tồn TP 17.12'!H:H,'[1]tồn TP 17.12'!A:A,'[1]Trình bày'!B102)</f>
        <v>44048</v>
      </c>
      <c r="F102" s="5">
        <f>IFERROR(_xlfn.XLOOKUP(B102,'[1]tồn TP 17.12'!A:A,'[1]tồn TP 17.12'!L:L),0)</f>
        <v>0</v>
      </c>
      <c r="G102" s="140" t="s">
        <v>423</v>
      </c>
      <c r="H102" s="141" t="s">
        <v>368</v>
      </c>
      <c r="I102" s="49" t="s">
        <v>424</v>
      </c>
      <c r="J102" s="42">
        <v>847</v>
      </c>
      <c r="K102" s="49" t="s">
        <v>454</v>
      </c>
      <c r="L102" s="56" t="s">
        <v>397</v>
      </c>
      <c r="M102" s="74" t="s">
        <v>427</v>
      </c>
      <c r="N102" s="4" t="s">
        <v>267</v>
      </c>
      <c r="O102" s="4" t="s">
        <v>319</v>
      </c>
      <c r="Q102" s="42">
        <v>790</v>
      </c>
      <c r="R102" s="46">
        <f>J102</f>
        <v>847</v>
      </c>
      <c r="S102" s="62">
        <f>Q102-R102</f>
        <v>-57</v>
      </c>
      <c r="T102" s="63">
        <f>S102/Q102</f>
        <v>-7.2151898734177211E-2</v>
      </c>
    </row>
    <row r="103" spans="1:20" outlineLevel="1">
      <c r="A103" s="9">
        <f t="shared" si="44"/>
        <v>8</v>
      </c>
      <c r="B103" s="4" t="s">
        <v>185</v>
      </c>
      <c r="C103" s="4" t="s">
        <v>71</v>
      </c>
      <c r="D103" s="24"/>
      <c r="E103" s="5">
        <f>SUMIFS('[1]tồn TP 17.12'!H:H,'[1]tồn TP 17.12'!A:A,'[1]Trình bày'!B103)</f>
        <v>4700.6000000000004</v>
      </c>
      <c r="F103" s="5">
        <f>IFERROR(_xlfn.XLOOKUP(B103,'[1]tồn TP 17.12'!A:A,'[1]tồn TP 17.12'!L:L),0)</f>
        <v>0</v>
      </c>
      <c r="G103" s="5"/>
      <c r="H103" s="141"/>
      <c r="I103" s="49"/>
      <c r="J103" s="42"/>
      <c r="K103" s="49"/>
      <c r="L103" s="56"/>
      <c r="M103" s="74"/>
      <c r="N103" s="4" t="s">
        <v>267</v>
      </c>
      <c r="O103" s="4"/>
    </row>
    <row r="104" spans="1:20" outlineLevel="1">
      <c r="A104" s="9">
        <f t="shared" si="44"/>
        <v>9</v>
      </c>
      <c r="B104" s="4" t="s">
        <v>143</v>
      </c>
      <c r="C104" s="4" t="s">
        <v>29</v>
      </c>
      <c r="D104" s="24" t="s">
        <v>229</v>
      </c>
      <c r="E104" s="143">
        <f>SUMIFS('[1]tồn TP 17.12'!H:H,'[1]tồn TP 17.12'!A:A,'[1]Trình bày'!B104)</f>
        <v>0.25</v>
      </c>
      <c r="F104" s="5">
        <f>IFERROR(_xlfn.XLOOKUP(B104,'[1]tồn TP 17.12'!A:A,'[1]tồn TP 17.12'!L:L),0)</f>
        <v>0</v>
      </c>
      <c r="G104" s="140" t="s">
        <v>435</v>
      </c>
      <c r="H104" s="141" t="s">
        <v>370</v>
      </c>
      <c r="I104" s="49" t="s">
        <v>424</v>
      </c>
      <c r="J104" s="42">
        <f>36060/26</f>
        <v>1386.9230769230769</v>
      </c>
      <c r="K104" s="49" t="s">
        <v>455</v>
      </c>
      <c r="L104" s="56" t="s">
        <v>456</v>
      </c>
      <c r="M104" s="77" t="s">
        <v>438</v>
      </c>
      <c r="N104" s="4" t="s">
        <v>267</v>
      </c>
      <c r="O104" s="4" t="s">
        <v>416</v>
      </c>
    </row>
    <row r="105" spans="1:20" s="18" customFormat="1" ht="15.5">
      <c r="A105" s="14" t="s">
        <v>262</v>
      </c>
      <c r="B105" s="15" t="s">
        <v>245</v>
      </c>
      <c r="C105" s="15"/>
      <c r="D105" s="22"/>
      <c r="E105" s="15"/>
      <c r="F105" s="15"/>
      <c r="G105" s="15"/>
      <c r="H105" s="135"/>
      <c r="I105" s="48"/>
      <c r="J105" s="137"/>
      <c r="K105" s="48"/>
      <c r="L105" s="55"/>
      <c r="M105" s="73"/>
      <c r="N105" s="15"/>
      <c r="O105" s="15"/>
    </row>
    <row r="106" spans="1:20" s="18" customFormat="1" ht="15.5">
      <c r="A106" s="12" t="s">
        <v>239</v>
      </c>
      <c r="B106" s="13" t="s">
        <v>240</v>
      </c>
      <c r="C106" s="13"/>
      <c r="D106" s="23"/>
      <c r="E106" s="13"/>
      <c r="F106" s="13"/>
      <c r="G106" s="13"/>
      <c r="H106" s="130"/>
      <c r="I106" s="47"/>
      <c r="J106" s="132"/>
      <c r="K106" s="47"/>
      <c r="L106" s="54"/>
      <c r="M106" s="72"/>
      <c r="N106" s="13"/>
      <c r="O106" s="13"/>
    </row>
    <row r="107" spans="1:20" outlineLevel="1">
      <c r="A107" s="9">
        <v>1</v>
      </c>
      <c r="B107" s="4" t="s">
        <v>169</v>
      </c>
      <c r="C107" s="4" t="s">
        <v>55</v>
      </c>
      <c r="D107" s="24" t="s">
        <v>226</v>
      </c>
      <c r="E107" s="5">
        <f>SUMIFS('[1]tồn TP 17.12'!H:H,'[1]tồn TP 17.12'!A:A,'[1]Trình bày'!B107)</f>
        <v>46434</v>
      </c>
      <c r="F107" s="5">
        <f>IFERROR(_xlfn.XLOOKUP(B107,'[1]tồn TP 17.12'!A:A,'[1]tồn TP 17.12'!L:L),0)</f>
        <v>4304.545454545455</v>
      </c>
      <c r="G107" s="5">
        <v>650</v>
      </c>
      <c r="H107" s="40">
        <f>+G107</f>
        <v>650</v>
      </c>
      <c r="I107" s="46">
        <f>H107-G107</f>
        <v>0</v>
      </c>
      <c r="J107" s="42">
        <v>783.96153846153845</v>
      </c>
      <c r="K107" s="46">
        <f t="shared" ref="K107" si="45">(H107-J107)</f>
        <v>-133.96153846153845</v>
      </c>
      <c r="L107" s="53">
        <f t="shared" ref="L107" si="46">+K107/H107</f>
        <v>-0.206094674556213</v>
      </c>
      <c r="M107" s="71">
        <v>600</v>
      </c>
      <c r="N107" s="4"/>
      <c r="O107" s="4" t="s">
        <v>322</v>
      </c>
    </row>
    <row r="108" spans="1:20" outlineLevel="1">
      <c r="A108" s="9">
        <f>+A107+1</f>
        <v>2</v>
      </c>
      <c r="B108" s="4" t="s">
        <v>171</v>
      </c>
      <c r="C108" s="4" t="s">
        <v>57</v>
      </c>
      <c r="D108" s="24" t="s">
        <v>228</v>
      </c>
      <c r="E108" s="5">
        <f>SUMIFS('[1]tồn TP 17.12'!H:H,'[1]tồn TP 17.12'!A:A,'[1]Trình bày'!B108)</f>
        <v>133521</v>
      </c>
      <c r="F108" s="5">
        <f>IFERROR(_xlfn.XLOOKUP(B108,'[1]tồn TP 17.12'!A:A,'[1]tồn TP 17.12'!L:L),0)</f>
        <v>9.0909090909090917</v>
      </c>
      <c r="G108" s="5">
        <v>650</v>
      </c>
      <c r="H108" s="40">
        <f>+G108</f>
        <v>650</v>
      </c>
      <c r="I108" s="46">
        <f>H108-G108</f>
        <v>0</v>
      </c>
      <c r="J108" s="42">
        <v>761.96153846153845</v>
      </c>
      <c r="K108" s="46">
        <f>(H108-J108)</f>
        <v>-111.96153846153845</v>
      </c>
      <c r="L108" s="53">
        <f>+K108/H108</f>
        <v>-0.17224852071005917</v>
      </c>
      <c r="M108" s="71">
        <v>600</v>
      </c>
      <c r="N108" s="4"/>
      <c r="O108" s="4" t="s">
        <v>319</v>
      </c>
    </row>
    <row r="109" spans="1:20" outlineLevel="1">
      <c r="A109" s="9"/>
      <c r="B109" s="4"/>
      <c r="C109" s="4"/>
      <c r="D109" s="24"/>
      <c r="E109" s="5"/>
      <c r="F109" s="5"/>
      <c r="G109" s="5"/>
      <c r="H109" s="40"/>
      <c r="I109" s="46"/>
      <c r="J109" s="41"/>
      <c r="K109" s="46"/>
      <c r="L109" s="53"/>
      <c r="M109" s="71"/>
      <c r="N109" s="4"/>
      <c r="O109" s="4"/>
    </row>
    <row r="110" spans="1:20" s="18" customFormat="1" ht="15.5">
      <c r="A110" s="12" t="s">
        <v>241</v>
      </c>
      <c r="B110" s="13" t="s">
        <v>242</v>
      </c>
      <c r="C110" s="13"/>
      <c r="D110" s="23"/>
      <c r="E110" s="13"/>
      <c r="F110" s="13"/>
      <c r="G110" s="13"/>
      <c r="H110" s="130"/>
      <c r="I110" s="47"/>
      <c r="J110" s="132"/>
      <c r="K110" s="47"/>
      <c r="L110" s="54"/>
      <c r="M110" s="72"/>
      <c r="N110" s="13"/>
      <c r="O110" s="13"/>
    </row>
    <row r="111" spans="1:20" outlineLevel="1">
      <c r="A111" s="9">
        <v>1</v>
      </c>
      <c r="B111" s="4" t="s">
        <v>170</v>
      </c>
      <c r="C111" s="4" t="s">
        <v>56</v>
      </c>
      <c r="D111" s="24" t="s">
        <v>226</v>
      </c>
      <c r="E111" s="5">
        <f>SUMIFS('[1]tồn TP 17.12'!H:H,'[1]tồn TP 17.12'!A:A,'[1]Trình bày'!B111)</f>
        <v>2250</v>
      </c>
      <c r="F111" s="5">
        <f>IFERROR(_xlfn.XLOOKUP(B111,'[1]tồn TP 17.12'!A:A,'[1]tồn TP 17.12'!L:L),0)</f>
        <v>0</v>
      </c>
      <c r="G111" s="5">
        <v>650</v>
      </c>
      <c r="H111" s="40">
        <f t="shared" ref="H111:H113" si="47">+G111</f>
        <v>650</v>
      </c>
      <c r="I111" s="46">
        <f t="shared" ref="I111:I113" si="48">H111-G111</f>
        <v>0</v>
      </c>
      <c r="J111" s="42">
        <v>768.53846153846155</v>
      </c>
      <c r="K111" s="46">
        <f t="shared" ref="K111:K113" si="49">(H111-J111)</f>
        <v>-118.53846153846155</v>
      </c>
      <c r="L111" s="53">
        <f t="shared" ref="L111:L113" si="50">+K111/H111</f>
        <v>-0.18236686390532544</v>
      </c>
      <c r="M111" s="71">
        <v>600</v>
      </c>
      <c r="N111" s="4"/>
      <c r="O111" s="4" t="s">
        <v>321</v>
      </c>
    </row>
    <row r="112" spans="1:20" outlineLevel="1">
      <c r="A112" s="9">
        <f>+A111+1</f>
        <v>2</v>
      </c>
      <c r="B112" s="4" t="s">
        <v>183</v>
      </c>
      <c r="C112" s="4" t="s">
        <v>69</v>
      </c>
      <c r="D112" s="24" t="s">
        <v>225</v>
      </c>
      <c r="E112" s="5">
        <f>SUMIFS('[1]tồn TP 17.12'!H:H,'[1]tồn TP 17.12'!A:A,'[1]Trình bày'!B112)</f>
        <v>7697</v>
      </c>
      <c r="F112" s="5">
        <f>IFERROR(_xlfn.XLOOKUP(B112,'[1]tồn TP 17.12'!A:A,'[1]tồn TP 17.12'!L:L),0)</f>
        <v>0</v>
      </c>
      <c r="G112" s="5">
        <v>650</v>
      </c>
      <c r="H112" s="40">
        <f t="shared" si="47"/>
        <v>650</v>
      </c>
      <c r="I112" s="46">
        <f t="shared" si="48"/>
        <v>0</v>
      </c>
      <c r="J112" s="42">
        <f>35367/26</f>
        <v>1360.2692307692307</v>
      </c>
      <c r="K112" s="46">
        <f t="shared" si="49"/>
        <v>-710.26923076923072</v>
      </c>
      <c r="L112" s="53">
        <f t="shared" si="50"/>
        <v>-1.0927218934911243</v>
      </c>
      <c r="M112" s="71">
        <v>600</v>
      </c>
      <c r="N112" s="4"/>
      <c r="O112" s="4" t="s">
        <v>417</v>
      </c>
    </row>
    <row r="113" spans="1:15" outlineLevel="1">
      <c r="A113" s="9">
        <f>+A112+1</f>
        <v>3</v>
      </c>
      <c r="B113" s="20" t="s">
        <v>290</v>
      </c>
      <c r="C113" s="20" t="s">
        <v>289</v>
      </c>
      <c r="D113" s="26" t="s">
        <v>228</v>
      </c>
      <c r="E113" s="144">
        <f>SUMIFS('[1]tồn TP 17.12'!H:H,'[1]tồn TP 17.12'!A:A,'[1]Trình bày'!B113)</f>
        <v>750</v>
      </c>
      <c r="F113" s="144">
        <f>IFERROR(_xlfn.XLOOKUP(B113,'[1]tồn TP 17.12'!A:A,'[1]tồn TP 17.12'!L:L),0)</f>
        <v>0</v>
      </c>
      <c r="G113" s="144">
        <v>650</v>
      </c>
      <c r="H113" s="145">
        <f t="shared" si="47"/>
        <v>650</v>
      </c>
      <c r="I113" s="146">
        <f t="shared" si="48"/>
        <v>0</v>
      </c>
      <c r="J113" s="147">
        <v>769.23076923076928</v>
      </c>
      <c r="K113" s="146">
        <f t="shared" si="49"/>
        <v>-119.23076923076928</v>
      </c>
      <c r="L113" s="64">
        <f t="shared" si="50"/>
        <v>-0.18343195266272197</v>
      </c>
      <c r="M113" s="80">
        <v>600</v>
      </c>
      <c r="N113" s="20"/>
      <c r="O113" s="20"/>
    </row>
    <row r="115" spans="1:15">
      <c r="D115"/>
      <c r="I115"/>
      <c r="J115"/>
      <c r="K115"/>
      <c r="L115"/>
      <c r="M115"/>
    </row>
    <row r="116" spans="1:15">
      <c r="D116"/>
      <c r="I116"/>
      <c r="J116"/>
      <c r="K116"/>
      <c r="L116"/>
      <c r="M116"/>
    </row>
    <row r="117" spans="1:15">
      <c r="I117"/>
      <c r="J117"/>
      <c r="K117"/>
      <c r="L117"/>
      <c r="M117"/>
    </row>
    <row r="118" spans="1:15">
      <c r="I118"/>
      <c r="J118"/>
      <c r="K118"/>
      <c r="L118"/>
      <c r="M118"/>
    </row>
    <row r="119" spans="1:15">
      <c r="I119"/>
      <c r="J119"/>
      <c r="K119"/>
      <c r="L119"/>
      <c r="M119"/>
    </row>
    <row r="120" spans="1:15">
      <c r="I120"/>
      <c r="J120"/>
      <c r="K120"/>
      <c r="L120"/>
      <c r="M120"/>
    </row>
  </sheetData>
  <autoFilter ref="A4:O113" xr:uid="{B546816D-46E9-4C95-9906-AEA9E12D0734}"/>
  <mergeCells count="1">
    <mergeCell ref="N74:N80"/>
  </mergeCells>
  <conditionalFormatting sqref="I7:I85 I105:I113">
    <cfRule type="cellIs" dxfId="117" priority="15" operator="lessThan">
      <formula>0</formula>
    </cfRule>
    <cfRule type="cellIs" dxfId="116" priority="17" operator="lessThan">
      <formula>-1</formula>
    </cfRule>
    <cfRule type="cellIs" dxfId="115" priority="18" operator="greaterThanOrEqual">
      <formula>0</formula>
    </cfRule>
  </conditionalFormatting>
  <conditionalFormatting sqref="K7:M112 M113">
    <cfRule type="cellIs" dxfId="114" priority="16" operator="lessThan">
      <formula>-1</formula>
    </cfRule>
  </conditionalFormatting>
  <conditionalFormatting sqref="K7:M113">
    <cfRule type="cellIs" dxfId="113" priority="2" operator="greaterThanOrEqual">
      <formula>0</formula>
    </cfRule>
    <cfRule type="cellIs" dxfId="112" priority="14" operator="lessThan">
      <formula>0</formula>
    </cfRule>
  </conditionalFormatting>
  <conditionalFormatting sqref="K113:M113">
    <cfRule type="cellIs" dxfId="111" priority="1" operator="lessThan">
      <formula>-1</formula>
    </cfRule>
  </conditionalFormatting>
  <conditionalFormatting sqref="R86:S86">
    <cfRule type="cellIs" dxfId="110" priority="11" operator="lessThan">
      <formula>0</formula>
    </cfRule>
    <cfRule type="cellIs" dxfId="109" priority="12" operator="lessThan">
      <formula>-1</formula>
    </cfRule>
    <cfRule type="cellIs" dxfId="108" priority="13" operator="greaterThanOrEqual">
      <formula>0</formula>
    </cfRule>
  </conditionalFormatting>
  <conditionalFormatting sqref="R91:S93">
    <cfRule type="cellIs" dxfId="107" priority="8" operator="greaterThanOrEqual">
      <formula>0</formula>
    </cfRule>
    <cfRule type="cellIs" dxfId="106" priority="9" operator="lessThan">
      <formula>0</formula>
    </cfRule>
    <cfRule type="cellIs" dxfId="105" priority="10" operator="lessThan">
      <formula>-1</formula>
    </cfRule>
  </conditionalFormatting>
  <conditionalFormatting sqref="R92:S93">
    <cfRule type="cellIs" dxfId="104" priority="6" operator="lessThan">
      <formula>0</formula>
    </cfRule>
    <cfRule type="cellIs" dxfId="103" priority="7" operator="lessThan">
      <formula>-1</formula>
    </cfRule>
  </conditionalFormatting>
  <conditionalFormatting sqref="R101:S102">
    <cfRule type="cellIs" dxfId="102" priority="3" operator="lessThan">
      <formula>0</formula>
    </cfRule>
    <cfRule type="cellIs" dxfId="101" priority="4" operator="lessThan">
      <formula>-1</formula>
    </cfRule>
    <cfRule type="cellIs" dxfId="100" priority="5" operator="greaterThanOr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93ED-BF1F-4AC6-A47F-AA608C62C7F9}">
  <sheetPr>
    <tabColor rgb="FFFF33CC"/>
  </sheetPr>
  <dimension ref="A1:T120"/>
  <sheetViews>
    <sheetView showGridLines="0" zoomScale="75" zoomScaleNormal="7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H16" sqref="H16"/>
    </sheetView>
  </sheetViews>
  <sheetFormatPr defaultRowHeight="14.5" outlineLevelRow="1"/>
  <cols>
    <col min="1" max="1" width="4.54296875" style="10" customWidth="1"/>
    <col min="2" max="2" width="11.453125" customWidth="1"/>
    <col min="3" max="3" width="27.81640625" bestFit="1" customWidth="1"/>
    <col min="4" max="4" width="8.1796875" style="21" customWidth="1"/>
    <col min="5" max="5" width="12.81640625" customWidth="1"/>
    <col min="6" max="8" width="15.453125" customWidth="1"/>
    <col min="9" max="9" width="13.453125" style="10" customWidth="1"/>
    <col min="10" max="10" width="8.36328125" style="10" customWidth="1"/>
    <col min="11" max="11" width="12.1796875" style="43" customWidth="1"/>
    <col min="12" max="12" width="12.1796875" style="50" customWidth="1"/>
    <col min="13" max="13" width="12.1796875" style="67" customWidth="1"/>
    <col min="14" max="14" width="38.1796875" customWidth="1"/>
    <col min="15" max="15" width="63.81640625" bestFit="1" customWidth="1"/>
  </cols>
  <sheetData>
    <row r="1" spans="1:15" ht="21">
      <c r="B1" s="17" t="s">
        <v>255</v>
      </c>
    </row>
    <row r="4" spans="1:15" ht="46.5">
      <c r="A4" s="11" t="s">
        <v>235</v>
      </c>
      <c r="B4" s="11" t="s">
        <v>236</v>
      </c>
      <c r="C4" s="11" t="s">
        <v>237</v>
      </c>
      <c r="D4" s="11" t="s">
        <v>224</v>
      </c>
      <c r="E4" s="16" t="s">
        <v>371</v>
      </c>
      <c r="F4" s="16" t="s">
        <v>372</v>
      </c>
      <c r="G4" s="16" t="s">
        <v>373</v>
      </c>
      <c r="H4" s="75" t="s">
        <v>374</v>
      </c>
      <c r="I4" s="27" t="s">
        <v>375</v>
      </c>
      <c r="J4" s="27" t="s">
        <v>284</v>
      </c>
      <c r="K4" s="126" t="s">
        <v>287</v>
      </c>
      <c r="L4" s="127" t="s">
        <v>376</v>
      </c>
      <c r="M4" s="68" t="s">
        <v>301</v>
      </c>
      <c r="N4" s="11" t="s">
        <v>256</v>
      </c>
      <c r="O4" s="11" t="s">
        <v>238</v>
      </c>
    </row>
    <row r="5" spans="1:15" s="18" customFormat="1" ht="15.5">
      <c r="A5" s="14" t="s">
        <v>254</v>
      </c>
      <c r="B5" s="15" t="s">
        <v>111</v>
      </c>
      <c r="C5" s="15"/>
      <c r="D5" s="22"/>
      <c r="E5" s="15"/>
      <c r="F5" s="15"/>
      <c r="G5" s="15"/>
      <c r="H5" s="15"/>
      <c r="I5" s="14"/>
      <c r="J5" s="14"/>
      <c r="K5" s="44"/>
      <c r="L5" s="51"/>
      <c r="M5" s="69"/>
      <c r="N5" s="15"/>
      <c r="O5" s="15"/>
    </row>
    <row r="6" spans="1:15" s="18" customFormat="1" ht="15.5">
      <c r="A6" s="12" t="s">
        <v>239</v>
      </c>
      <c r="B6" s="13" t="s">
        <v>240</v>
      </c>
      <c r="C6" s="13"/>
      <c r="D6" s="23"/>
      <c r="E6" s="13"/>
      <c r="F6" s="13"/>
      <c r="G6" s="13"/>
      <c r="H6" s="13"/>
      <c r="I6" s="12"/>
      <c r="J6" s="12"/>
      <c r="K6" s="45"/>
      <c r="L6" s="52"/>
      <c r="M6" s="70"/>
      <c r="N6" s="13"/>
      <c r="O6" s="13"/>
    </row>
    <row r="7" spans="1:15" outlineLevel="1">
      <c r="A7" s="9">
        <v>1</v>
      </c>
      <c r="B7" s="4" t="s">
        <v>130</v>
      </c>
      <c r="C7" s="4" t="s">
        <v>16</v>
      </c>
      <c r="D7" s="24"/>
      <c r="E7" s="5">
        <f>SUMIFS('[2]tồn TP 17.01'!H:H,'[2]tồn TP 17.01'!A:A,'[2]Trình bày'!B7)</f>
        <v>677410</v>
      </c>
      <c r="F7" s="5">
        <f>IFERROR(_xlfn.XLOOKUP(B7,'[2]tồn TP 17.01'!A:A,'[2]tồn TP 17.01'!L:L),0)</f>
        <v>1610552.0833333333</v>
      </c>
      <c r="G7" s="5">
        <v>1160</v>
      </c>
      <c r="H7" s="40">
        <v>1160</v>
      </c>
      <c r="I7" s="46">
        <f>H7-G7</f>
        <v>0</v>
      </c>
      <c r="J7" s="42">
        <v>1056</v>
      </c>
      <c r="K7" s="46">
        <f>(H7-J7)</f>
        <v>104</v>
      </c>
      <c r="L7" s="53">
        <f>+K7/H7</f>
        <v>8.9655172413793102E-2</v>
      </c>
      <c r="M7" s="71"/>
      <c r="N7" s="4"/>
      <c r="O7" s="4"/>
    </row>
    <row r="8" spans="1:15" outlineLevel="1">
      <c r="A8" s="9">
        <f>+A7+1</f>
        <v>2</v>
      </c>
      <c r="B8" s="4" t="s">
        <v>131</v>
      </c>
      <c r="C8" s="4" t="s">
        <v>17</v>
      </c>
      <c r="D8" s="24"/>
      <c r="E8" s="5">
        <f>SUMIFS('[2]tồn TP 17.01'!H:H,'[2]tồn TP 17.01'!A:A,'[2]Trình bày'!B8)</f>
        <v>239583.75</v>
      </c>
      <c r="F8" s="5">
        <f>IFERROR(_xlfn.XLOOKUP(B8,'[2]tồn TP 17.01'!A:A,'[2]tồn TP 17.01'!L:L),0)</f>
        <v>902311.31666666677</v>
      </c>
      <c r="G8" s="5">
        <v>1190</v>
      </c>
      <c r="H8" s="40">
        <f>+H7+30</f>
        <v>1190</v>
      </c>
      <c r="I8" s="46">
        <f t="shared" ref="I8:I16" si="0">H8-G8</f>
        <v>0</v>
      </c>
      <c r="J8" s="42">
        <f>+J7</f>
        <v>1056</v>
      </c>
      <c r="K8" s="46">
        <f t="shared" ref="K8:K16" si="1">(H8-J8)</f>
        <v>134</v>
      </c>
      <c r="L8" s="53">
        <f t="shared" ref="L8:L16" si="2">+K8/H8</f>
        <v>0.11260504201680673</v>
      </c>
      <c r="M8" s="71"/>
      <c r="N8" s="4"/>
      <c r="O8" s="4"/>
    </row>
    <row r="9" spans="1:15" outlineLevel="1">
      <c r="A9" s="9">
        <f t="shared" ref="A9:A16" si="3">+A8+1</f>
        <v>3</v>
      </c>
      <c r="B9" s="4" t="s">
        <v>121</v>
      </c>
      <c r="C9" s="4" t="s">
        <v>7</v>
      </c>
      <c r="D9" s="24"/>
      <c r="E9" s="5">
        <f>SUMIFS('[2]tồn TP 17.01'!H:H,'[2]tồn TP 17.01'!A:A,'[2]Trình bày'!B9)</f>
        <v>1168421.3999999999</v>
      </c>
      <c r="F9" s="5">
        <f>IFERROR(_xlfn.XLOOKUP(B9,'[2]tồn TP 17.01'!A:A,'[2]tồn TP 17.01'!L:L),0)</f>
        <v>534049.4916666667</v>
      </c>
      <c r="G9" s="5">
        <v>1250</v>
      </c>
      <c r="H9" s="40">
        <f>H7+90</f>
        <v>1250</v>
      </c>
      <c r="I9" s="46">
        <f t="shared" si="0"/>
        <v>0</v>
      </c>
      <c r="J9" s="42">
        <v>1111</v>
      </c>
      <c r="K9" s="46">
        <f t="shared" si="1"/>
        <v>139</v>
      </c>
      <c r="L9" s="53">
        <f t="shared" si="2"/>
        <v>0.11119999999999999</v>
      </c>
      <c r="M9" s="71"/>
      <c r="N9" s="4"/>
      <c r="O9" s="4"/>
    </row>
    <row r="10" spans="1:15" outlineLevel="1">
      <c r="A10" s="9">
        <f t="shared" si="3"/>
        <v>4</v>
      </c>
      <c r="B10" s="4" t="s">
        <v>133</v>
      </c>
      <c r="C10" s="4" t="s">
        <v>19</v>
      </c>
      <c r="D10" s="24"/>
      <c r="E10" s="5">
        <f>SUMIFS('[2]tồn TP 17.01'!H:H,'[2]tồn TP 17.01'!A:A,'[2]Trình bày'!B10)</f>
        <v>1688517.7</v>
      </c>
      <c r="F10" s="5">
        <f>IFERROR(_xlfn.XLOOKUP(B10,'[2]tồn TP 17.01'!A:A,'[2]tồn TP 17.01'!L:L),0)</f>
        <v>157920.83333333334</v>
      </c>
      <c r="G10" s="5">
        <v>1090</v>
      </c>
      <c r="H10" s="40">
        <f>+H7-70</f>
        <v>1090</v>
      </c>
      <c r="I10" s="46">
        <f t="shared" si="0"/>
        <v>0</v>
      </c>
      <c r="J10" s="42">
        <f>+J8</f>
        <v>1056</v>
      </c>
      <c r="K10" s="46">
        <f t="shared" si="1"/>
        <v>34</v>
      </c>
      <c r="L10" s="53">
        <f t="shared" si="2"/>
        <v>3.1192660550458717E-2</v>
      </c>
      <c r="M10" s="71"/>
      <c r="N10" s="4"/>
      <c r="O10" s="4"/>
    </row>
    <row r="11" spans="1:15" outlineLevel="1">
      <c r="A11" s="9">
        <f t="shared" si="3"/>
        <v>5</v>
      </c>
      <c r="B11" s="4" t="s">
        <v>118</v>
      </c>
      <c r="C11" s="4" t="s">
        <v>3</v>
      </c>
      <c r="D11" s="24"/>
      <c r="E11" s="5">
        <f>SUMIFS('[2]tồn TP 17.01'!H:H,'[2]tồn TP 17.01'!A:A,'[2]Trình bày'!B11)</f>
        <v>404521.3</v>
      </c>
      <c r="F11" s="5">
        <f>IFERROR(_xlfn.XLOOKUP(B11,'[2]tồn TP 17.01'!A:A,'[2]tồn TP 17.01'!L:L),0)</f>
        <v>24108.333333333332</v>
      </c>
      <c r="G11" s="66">
        <v>1320</v>
      </c>
      <c r="H11" s="65">
        <v>1320</v>
      </c>
      <c r="I11" s="46">
        <f t="shared" si="0"/>
        <v>0</v>
      </c>
      <c r="J11" s="42">
        <v>1154</v>
      </c>
      <c r="K11" s="46">
        <f t="shared" si="1"/>
        <v>166</v>
      </c>
      <c r="L11" s="53">
        <f t="shared" si="2"/>
        <v>0.12575757575757576</v>
      </c>
      <c r="M11" s="76"/>
      <c r="N11" s="4" t="s">
        <v>268</v>
      </c>
      <c r="O11" s="4"/>
    </row>
    <row r="12" spans="1:15" outlineLevel="1">
      <c r="A12" s="9">
        <f t="shared" si="3"/>
        <v>6</v>
      </c>
      <c r="B12" s="4" t="s">
        <v>220</v>
      </c>
      <c r="C12" s="4" t="s">
        <v>106</v>
      </c>
      <c r="D12" s="24"/>
      <c r="E12" s="5">
        <f>SUMIFS('[2]tồn TP 17.01'!H:H,'[2]tồn TP 17.01'!A:A,'[2]Trình bày'!B12)</f>
        <v>0</v>
      </c>
      <c r="F12" s="5">
        <f>IFERROR(_xlfn.XLOOKUP(B12,'[2]tồn TP 17.01'!A:A,'[2]tồn TP 17.01'!L:L),0)</f>
        <v>0</v>
      </c>
      <c r="G12" s="66">
        <v>1440</v>
      </c>
      <c r="H12" s="65">
        <v>1440</v>
      </c>
      <c r="I12" s="46">
        <f t="shared" si="0"/>
        <v>0</v>
      </c>
      <c r="J12" s="78">
        <v>1201</v>
      </c>
      <c r="K12" s="46">
        <f t="shared" si="1"/>
        <v>239</v>
      </c>
      <c r="L12" s="53">
        <f t="shared" si="2"/>
        <v>0.16597222222222222</v>
      </c>
      <c r="M12" s="76"/>
      <c r="N12" s="4" t="s">
        <v>268</v>
      </c>
      <c r="O12" s="4"/>
    </row>
    <row r="13" spans="1:15" outlineLevel="1">
      <c r="A13" s="9">
        <f t="shared" si="3"/>
        <v>7</v>
      </c>
      <c r="B13" s="4" t="s">
        <v>221</v>
      </c>
      <c r="C13" s="4" t="s">
        <v>107</v>
      </c>
      <c r="D13" s="24"/>
      <c r="E13" s="5">
        <f>SUMIFS('[2]tồn TP 17.01'!H:H,'[2]tồn TP 17.01'!A:A,'[2]Trình bày'!B13)</f>
        <v>34080</v>
      </c>
      <c r="F13" s="5">
        <f>IFERROR(_xlfn.XLOOKUP(B13,'[2]tồn TP 17.01'!A:A,'[2]tồn TP 17.01'!L:L),0)</f>
        <v>91.666666666666671</v>
      </c>
      <c r="G13" s="5">
        <v>1160</v>
      </c>
      <c r="H13" s="40">
        <f>H7</f>
        <v>1160</v>
      </c>
      <c r="I13" s="46">
        <f t="shared" si="0"/>
        <v>0</v>
      </c>
      <c r="J13" s="42">
        <v>998</v>
      </c>
      <c r="K13" s="46">
        <f t="shared" si="1"/>
        <v>162</v>
      </c>
      <c r="L13" s="53">
        <f t="shared" si="2"/>
        <v>0.1396551724137931</v>
      </c>
      <c r="M13" s="71"/>
      <c r="N13" s="4"/>
      <c r="O13" s="4"/>
    </row>
    <row r="14" spans="1:15" outlineLevel="1">
      <c r="A14" s="9">
        <f t="shared" si="3"/>
        <v>8</v>
      </c>
      <c r="B14" s="4" t="s">
        <v>275</v>
      </c>
      <c r="C14" s="4" t="s">
        <v>276</v>
      </c>
      <c r="D14" s="24"/>
      <c r="E14" s="5">
        <f>SUMIFS('[2]tồn TP 17.01'!H:H,'[2]tồn TP 17.01'!A:A,'[2]Trình bày'!B14)</f>
        <v>0</v>
      </c>
      <c r="F14" s="5">
        <f>IFERROR(_xlfn.XLOOKUP(B14,'[2]tồn TP 17.01'!A:A,'[2]tồn TP 17.01'!L:L),0)</f>
        <v>0</v>
      </c>
      <c r="G14" s="5">
        <v>1160</v>
      </c>
      <c r="H14" s="40">
        <f>H7</f>
        <v>1160</v>
      </c>
      <c r="I14" s="46">
        <f t="shared" si="0"/>
        <v>0</v>
      </c>
      <c r="J14" s="79"/>
      <c r="K14" s="46">
        <f t="shared" si="1"/>
        <v>1160</v>
      </c>
      <c r="L14" s="53">
        <f t="shared" si="2"/>
        <v>1</v>
      </c>
      <c r="M14" s="71"/>
      <c r="N14" s="4"/>
      <c r="O14" s="4" t="s">
        <v>303</v>
      </c>
    </row>
    <row r="15" spans="1:15" outlineLevel="1">
      <c r="A15" s="9">
        <f t="shared" si="3"/>
        <v>9</v>
      </c>
      <c r="B15" s="4" t="s">
        <v>277</v>
      </c>
      <c r="C15" s="4" t="s">
        <v>278</v>
      </c>
      <c r="D15" s="24"/>
      <c r="E15" s="5">
        <f>SUMIFS('[2]tồn TP 17.01'!H:H,'[2]tồn TP 17.01'!A:A,'[2]Trình bày'!B15)</f>
        <v>65840</v>
      </c>
      <c r="F15" s="5">
        <f>IFERROR(_xlfn.XLOOKUP(B15,'[2]tồn TP 17.01'!A:A,'[2]tồn TP 17.01'!L:L),0)</f>
        <v>71591.666666666672</v>
      </c>
      <c r="G15" s="66">
        <v>1410</v>
      </c>
      <c r="H15" s="65">
        <f>+(H11+H12)/2+30</f>
        <v>1410</v>
      </c>
      <c r="I15" s="46">
        <f t="shared" si="0"/>
        <v>0</v>
      </c>
      <c r="J15" s="128">
        <f>32400/26.5</f>
        <v>1222.6415094339623</v>
      </c>
      <c r="K15" s="46">
        <f t="shared" si="1"/>
        <v>187.35849056603774</v>
      </c>
      <c r="L15" s="53">
        <f t="shared" si="2"/>
        <v>0.13287836210357287</v>
      </c>
      <c r="M15" s="76"/>
      <c r="N15" s="4" t="s">
        <v>268</v>
      </c>
      <c r="O15" s="4"/>
    </row>
    <row r="16" spans="1:15" outlineLevel="1">
      <c r="A16" s="9">
        <f t="shared" si="3"/>
        <v>10</v>
      </c>
      <c r="B16" s="4" t="s">
        <v>209</v>
      </c>
      <c r="C16" s="4" t="s">
        <v>95</v>
      </c>
      <c r="D16" s="24"/>
      <c r="E16" s="5">
        <f>SUMIFS('[2]tồn TP 17.01'!H:H,'[2]tồn TP 17.01'!A:A,'[2]Trình bày'!B16)</f>
        <v>65404.5</v>
      </c>
      <c r="F16" s="5">
        <f>IFERROR(_xlfn.XLOOKUP(B16,'[2]tồn TP 17.01'!A:A,'[2]tồn TP 17.01'!L:L),0)</f>
        <v>965.83333333333337</v>
      </c>
      <c r="G16" s="5">
        <v>1190</v>
      </c>
      <c r="H16" s="40">
        <f>H8</f>
        <v>1190</v>
      </c>
      <c r="I16" s="46">
        <f t="shared" si="0"/>
        <v>0</v>
      </c>
      <c r="J16" s="129">
        <f>29605/26.5</f>
        <v>1117.1698113207547</v>
      </c>
      <c r="K16" s="46">
        <f t="shared" si="1"/>
        <v>72.830188679245339</v>
      </c>
      <c r="L16" s="53">
        <f t="shared" si="2"/>
        <v>6.1201839226256584E-2</v>
      </c>
      <c r="M16" s="71"/>
      <c r="N16" s="4" t="s">
        <v>257</v>
      </c>
      <c r="O16" s="4" t="s">
        <v>303</v>
      </c>
    </row>
    <row r="17" spans="1:15" s="18" customFormat="1" ht="15.5">
      <c r="A17" s="12" t="s">
        <v>241</v>
      </c>
      <c r="B17" s="13" t="s">
        <v>242</v>
      </c>
      <c r="C17" s="13"/>
      <c r="D17" s="23"/>
      <c r="E17" s="13"/>
      <c r="F17" s="13"/>
      <c r="G17" s="13"/>
      <c r="H17" s="130"/>
      <c r="I17" s="131"/>
      <c r="J17" s="132"/>
      <c r="K17" s="47"/>
      <c r="L17" s="54"/>
      <c r="M17" s="72"/>
      <c r="N17" s="13"/>
      <c r="O17" s="13"/>
    </row>
    <row r="18" spans="1:15" outlineLevel="1">
      <c r="A18" s="9">
        <v>1</v>
      </c>
      <c r="B18" s="4" t="s">
        <v>148</v>
      </c>
      <c r="C18" s="4" t="s">
        <v>34</v>
      </c>
      <c r="D18" s="24"/>
      <c r="E18" s="5">
        <f>SUMIFS('[2]tồn TP 17.01'!H:H,'[2]tồn TP 17.01'!A:A,'[2]Trình bày'!B18)</f>
        <v>1649997</v>
      </c>
      <c r="F18" s="5">
        <f>IFERROR(_xlfn.XLOOKUP(B18,'[2]tồn TP 17.01'!A:A,'[2]tồn TP 17.01'!L:L),0)</f>
        <v>0</v>
      </c>
      <c r="G18" s="5">
        <v>1190</v>
      </c>
      <c r="H18" s="40">
        <f>+H7+30</f>
        <v>1190</v>
      </c>
      <c r="I18" s="46">
        <f t="shared" ref="I18:I28" si="4">H18-G18</f>
        <v>0</v>
      </c>
      <c r="J18" s="42">
        <f>+J7</f>
        <v>1056</v>
      </c>
      <c r="K18" s="46">
        <f t="shared" ref="K18:K19" si="5">(H18-J18)</f>
        <v>134</v>
      </c>
      <c r="L18" s="53">
        <f t="shared" ref="L18:L19" si="6">+K18/H18</f>
        <v>0.11260504201680673</v>
      </c>
      <c r="M18" s="71"/>
      <c r="N18" s="4" t="s">
        <v>269</v>
      </c>
      <c r="O18" s="4"/>
    </row>
    <row r="19" spans="1:15" outlineLevel="1">
      <c r="A19" s="9">
        <f>+A18+1</f>
        <v>2</v>
      </c>
      <c r="B19" s="4" t="s">
        <v>147</v>
      </c>
      <c r="C19" s="4" t="s">
        <v>33</v>
      </c>
      <c r="D19" s="24"/>
      <c r="E19" s="5">
        <f>SUMIFS('[2]tồn TP 17.01'!H:H,'[2]tồn TP 17.01'!A:A,'[2]Trình bày'!B19)</f>
        <v>299199.5</v>
      </c>
      <c r="F19" s="5">
        <f>IFERROR(_xlfn.XLOOKUP(B19,'[2]tồn TP 17.01'!A:A,'[2]tồn TP 17.01'!L:L),0)</f>
        <v>0</v>
      </c>
      <c r="G19" s="5">
        <v>1160</v>
      </c>
      <c r="H19" s="40">
        <f>H7</f>
        <v>1160</v>
      </c>
      <c r="I19" s="46">
        <f t="shared" si="4"/>
        <v>0</v>
      </c>
      <c r="J19" s="42">
        <f>+J8</f>
        <v>1056</v>
      </c>
      <c r="K19" s="46">
        <f t="shared" si="5"/>
        <v>104</v>
      </c>
      <c r="L19" s="53">
        <f t="shared" si="6"/>
        <v>8.9655172413793102E-2</v>
      </c>
      <c r="M19" s="71"/>
      <c r="N19" s="4" t="s">
        <v>270</v>
      </c>
      <c r="O19" s="4"/>
    </row>
    <row r="20" spans="1:15" outlineLevel="1">
      <c r="A20" s="9">
        <f t="shared" ref="A20:A28" si="7">+A19+1</f>
        <v>3</v>
      </c>
      <c r="B20" s="4" t="s">
        <v>151</v>
      </c>
      <c r="C20" s="4" t="s">
        <v>37</v>
      </c>
      <c r="D20" s="24"/>
      <c r="E20" s="5">
        <f>SUMIFS('[2]tồn TP 17.01'!H:H,'[2]tồn TP 17.01'!A:A,'[2]Trình bày'!B20)</f>
        <v>52800</v>
      </c>
      <c r="F20" s="5">
        <f>IFERROR(_xlfn.XLOOKUP(B20,'[2]tồn TP 17.01'!A:A,'[2]tồn TP 17.01'!L:L),0)</f>
        <v>0</v>
      </c>
      <c r="G20" s="5"/>
      <c r="H20" s="40"/>
      <c r="I20" s="46">
        <f t="shared" si="4"/>
        <v>0</v>
      </c>
      <c r="J20" s="42">
        <f>29396/26.5</f>
        <v>1109.2830188679245</v>
      </c>
      <c r="K20" s="46"/>
      <c r="L20" s="53"/>
      <c r="M20" s="71"/>
      <c r="N20" s="4" t="s">
        <v>271</v>
      </c>
      <c r="O20" s="4" t="s">
        <v>303</v>
      </c>
    </row>
    <row r="21" spans="1:15" outlineLevel="1">
      <c r="A21" s="9">
        <f t="shared" si="7"/>
        <v>4</v>
      </c>
      <c r="B21" s="4" t="s">
        <v>123</v>
      </c>
      <c r="C21" s="4" t="s">
        <v>9</v>
      </c>
      <c r="D21" s="24"/>
      <c r="E21" s="5">
        <f>SUMIFS('[2]tồn TP 17.01'!H:H,'[2]tồn TP 17.01'!A:A,'[2]Trình bày'!B21)</f>
        <v>0</v>
      </c>
      <c r="F21" s="5">
        <f>IFERROR(_xlfn.XLOOKUP(B21,'[2]tồn TP 17.01'!A:A,'[2]tồn TP 17.01'!L:L),0)</f>
        <v>0</v>
      </c>
      <c r="G21" s="5"/>
      <c r="H21" s="40"/>
      <c r="I21" s="46">
        <f t="shared" si="4"/>
        <v>0</v>
      </c>
      <c r="J21" s="42"/>
      <c r="K21" s="46"/>
      <c r="L21" s="53"/>
      <c r="M21" s="71"/>
      <c r="N21" s="4" t="s">
        <v>272</v>
      </c>
      <c r="O21" s="4" t="s">
        <v>303</v>
      </c>
    </row>
    <row r="22" spans="1:15" outlineLevel="1">
      <c r="A22" s="9">
        <f t="shared" si="7"/>
        <v>5</v>
      </c>
      <c r="B22" s="4" t="s">
        <v>132</v>
      </c>
      <c r="C22" s="4" t="s">
        <v>18</v>
      </c>
      <c r="D22" s="24"/>
      <c r="E22" s="5">
        <f>SUMIFS('[2]tồn TP 17.01'!H:H,'[2]tồn TP 17.01'!A:A,'[2]Trình bày'!B22)</f>
        <v>0</v>
      </c>
      <c r="F22" s="5">
        <f>IFERROR(_xlfn.XLOOKUP(B22,'[2]tồn TP 17.01'!A:A,'[2]tồn TP 17.01'!L:L),0)</f>
        <v>0</v>
      </c>
      <c r="G22" s="5"/>
      <c r="H22" s="40"/>
      <c r="I22" s="46">
        <f t="shared" si="4"/>
        <v>0</v>
      </c>
      <c r="J22" s="42"/>
      <c r="K22" s="46"/>
      <c r="L22" s="53"/>
      <c r="M22" s="71"/>
      <c r="N22" s="4" t="s">
        <v>272</v>
      </c>
      <c r="O22" s="4"/>
    </row>
    <row r="23" spans="1:15" outlineLevel="1">
      <c r="A23" s="9">
        <f t="shared" si="7"/>
        <v>6</v>
      </c>
      <c r="B23" s="4" t="s">
        <v>202</v>
      </c>
      <c r="C23" s="4" t="s">
        <v>88</v>
      </c>
      <c r="D23" s="24"/>
      <c r="E23" s="5">
        <f>SUMIFS('[2]tồn TP 17.01'!H:H,'[2]tồn TP 17.01'!A:A,'[2]Trình bày'!B23)</f>
        <v>74800</v>
      </c>
      <c r="F23" s="5">
        <f>IFERROR(_xlfn.XLOOKUP(B23,'[2]tồn TP 17.01'!A:A,'[2]tồn TP 17.01'!L:L),0)</f>
        <v>0</v>
      </c>
      <c r="G23" s="5"/>
      <c r="H23" s="40"/>
      <c r="I23" s="46">
        <f t="shared" si="4"/>
        <v>0</v>
      </c>
      <c r="J23" s="42">
        <f>27463/26.5</f>
        <v>1036.3396226415093</v>
      </c>
      <c r="K23" s="46"/>
      <c r="L23" s="53"/>
      <c r="M23" s="71"/>
      <c r="N23" s="4" t="s">
        <v>271</v>
      </c>
      <c r="O23" s="4" t="s">
        <v>303</v>
      </c>
    </row>
    <row r="24" spans="1:15" outlineLevel="1">
      <c r="A24" s="9">
        <f t="shared" si="7"/>
        <v>7</v>
      </c>
      <c r="B24" s="4" t="s">
        <v>122</v>
      </c>
      <c r="C24" s="4" t="s">
        <v>8</v>
      </c>
      <c r="D24" s="24"/>
      <c r="E24" s="5">
        <f>SUMIFS('[2]tồn TP 17.01'!H:H,'[2]tồn TP 17.01'!A:A,'[2]Trình bày'!B24)</f>
        <v>0</v>
      </c>
      <c r="F24" s="5">
        <f>IFERROR(_xlfn.XLOOKUP(B24,'[2]tồn TP 17.01'!A:A,'[2]tồn TP 17.01'!L:L),0)</f>
        <v>0</v>
      </c>
      <c r="G24" s="5"/>
      <c r="H24" s="40"/>
      <c r="I24" s="46">
        <f t="shared" si="4"/>
        <v>0</v>
      </c>
      <c r="J24" s="42">
        <v>0</v>
      </c>
      <c r="K24" s="46"/>
      <c r="L24" s="53"/>
      <c r="M24" s="71"/>
      <c r="N24" s="4" t="s">
        <v>272</v>
      </c>
      <c r="O24" s="4" t="s">
        <v>303</v>
      </c>
    </row>
    <row r="25" spans="1:15" outlineLevel="1">
      <c r="A25" s="9">
        <f t="shared" si="7"/>
        <v>8</v>
      </c>
      <c r="B25" s="4" t="s">
        <v>146</v>
      </c>
      <c r="C25" s="4" t="s">
        <v>32</v>
      </c>
      <c r="D25" s="24"/>
      <c r="E25" s="5">
        <f>SUMIFS('[2]tồn TP 17.01'!H:H,'[2]tồn TP 17.01'!A:A,'[2]Trình bày'!B25)</f>
        <v>800</v>
      </c>
      <c r="F25" s="5">
        <f>IFERROR(_xlfn.XLOOKUP(B25,'[2]tồn TP 17.01'!A:A,'[2]tồn TP 17.01'!L:L),0)</f>
        <v>25</v>
      </c>
      <c r="G25" s="5"/>
      <c r="H25" s="40"/>
      <c r="I25" s="46">
        <f t="shared" si="4"/>
        <v>0</v>
      </c>
      <c r="J25" s="42">
        <f>31171/26.5</f>
        <v>1176.2641509433963</v>
      </c>
      <c r="K25" s="46"/>
      <c r="L25" s="53"/>
      <c r="M25" s="71"/>
      <c r="N25" s="4" t="s">
        <v>272</v>
      </c>
      <c r="O25" s="4" t="s">
        <v>303</v>
      </c>
    </row>
    <row r="26" spans="1:15" outlineLevel="1">
      <c r="A26" s="9">
        <f t="shared" si="7"/>
        <v>9</v>
      </c>
      <c r="B26" s="4" t="s">
        <v>120</v>
      </c>
      <c r="C26" s="4" t="s">
        <v>6</v>
      </c>
      <c r="D26" s="24"/>
      <c r="E26" s="5">
        <f>SUMIFS('[2]tồn TP 17.01'!H:H,'[2]tồn TP 17.01'!A:A,'[2]Trình bày'!B26)</f>
        <v>0</v>
      </c>
      <c r="F26" s="5">
        <f>IFERROR(_xlfn.XLOOKUP(B26,'[2]tồn TP 17.01'!A:A,'[2]tồn TP 17.01'!L:L),0)</f>
        <v>0</v>
      </c>
      <c r="G26" s="5"/>
      <c r="H26" s="40"/>
      <c r="I26" s="46">
        <f t="shared" si="4"/>
        <v>0</v>
      </c>
      <c r="J26" s="42"/>
      <c r="K26" s="46"/>
      <c r="L26" s="53"/>
      <c r="M26" s="71"/>
      <c r="N26" s="4" t="s">
        <v>272</v>
      </c>
      <c r="O26" s="4"/>
    </row>
    <row r="27" spans="1:15" outlineLevel="1">
      <c r="A27" s="9">
        <f t="shared" si="7"/>
        <v>10</v>
      </c>
      <c r="B27" s="4" t="s">
        <v>119</v>
      </c>
      <c r="C27" s="4" t="s">
        <v>5</v>
      </c>
      <c r="D27" s="24"/>
      <c r="E27" s="5">
        <f>SUMIFS('[2]tồn TP 17.01'!H:H,'[2]tồn TP 17.01'!A:A,'[2]Trình bày'!B27)</f>
        <v>0</v>
      </c>
      <c r="F27" s="5">
        <f>IFERROR(_xlfn.XLOOKUP(B27,'[2]tồn TP 17.01'!A:A,'[2]tồn TP 17.01'!L:L),0)</f>
        <v>0</v>
      </c>
      <c r="G27" s="5"/>
      <c r="H27" s="40"/>
      <c r="I27" s="46">
        <f t="shared" si="4"/>
        <v>0</v>
      </c>
      <c r="J27" s="42"/>
      <c r="K27" s="46"/>
      <c r="L27" s="53"/>
      <c r="M27" s="71"/>
      <c r="N27" s="4" t="s">
        <v>272</v>
      </c>
      <c r="O27" s="4"/>
    </row>
    <row r="28" spans="1:15" outlineLevel="1">
      <c r="A28" s="9">
        <f t="shared" si="7"/>
        <v>11</v>
      </c>
      <c r="B28" s="4" t="s">
        <v>206</v>
      </c>
      <c r="C28" s="4" t="s">
        <v>92</v>
      </c>
      <c r="D28" s="24"/>
      <c r="E28" s="5">
        <f>SUMIFS('[2]tồn TP 17.01'!H:H,'[2]tồn TP 17.01'!A:A,'[2]Trình bày'!B28)</f>
        <v>0</v>
      </c>
      <c r="F28" s="5">
        <f>IFERROR(_xlfn.XLOOKUP(B28,'[2]tồn TP 17.01'!A:A,'[2]tồn TP 17.01'!L:L),0)</f>
        <v>0</v>
      </c>
      <c r="G28" s="5"/>
      <c r="H28" s="40"/>
      <c r="I28" s="46">
        <f t="shared" si="4"/>
        <v>0</v>
      </c>
      <c r="J28" s="41"/>
      <c r="K28" s="46"/>
      <c r="L28" s="53"/>
      <c r="M28" s="71"/>
      <c r="N28" s="4" t="s">
        <v>272</v>
      </c>
      <c r="O28" s="4"/>
    </row>
    <row r="29" spans="1:15" s="18" customFormat="1" ht="15.5">
      <c r="A29" s="12" t="s">
        <v>243</v>
      </c>
      <c r="B29" s="13" t="s">
        <v>291</v>
      </c>
      <c r="C29" s="13"/>
      <c r="D29" s="23"/>
      <c r="E29" s="13"/>
      <c r="F29" s="13"/>
      <c r="G29" s="13"/>
      <c r="H29" s="130"/>
      <c r="I29" s="131"/>
      <c r="J29" s="132"/>
      <c r="K29" s="47"/>
      <c r="L29" s="54"/>
      <c r="M29" s="72"/>
      <c r="N29" s="13"/>
      <c r="O29" s="13"/>
    </row>
    <row r="30" spans="1:15" outlineLevel="1">
      <c r="A30" s="9">
        <v>1</v>
      </c>
      <c r="B30" s="4" t="s">
        <v>201</v>
      </c>
      <c r="C30" s="4" t="s">
        <v>87</v>
      </c>
      <c r="D30" s="24"/>
      <c r="E30" s="5">
        <f>SUMIFS('[2]tồn TP 17.01'!H:H,'[2]tồn TP 17.01'!A:A,'[2]Trình bày'!B30)</f>
        <v>16099</v>
      </c>
      <c r="F30" s="5">
        <f>IFERROR(_xlfn.XLOOKUP(B30,'[2]tồn TP 17.01'!A:A,'[2]tồn TP 17.01'!L:L),0)</f>
        <v>37229.166666666664</v>
      </c>
      <c r="G30" s="5">
        <v>770</v>
      </c>
      <c r="H30" s="40">
        <v>770</v>
      </c>
      <c r="I30" s="46"/>
      <c r="J30" s="42">
        <v>921</v>
      </c>
      <c r="K30" s="46">
        <f t="shared" ref="K30:K32" si="8">(H30-J30)</f>
        <v>-151</v>
      </c>
      <c r="L30" s="53">
        <f t="shared" ref="L30:L32" si="9">+K30/H30</f>
        <v>-0.19610389610389611</v>
      </c>
      <c r="M30" s="71"/>
      <c r="N30" s="4"/>
      <c r="O30" s="4" t="s">
        <v>246</v>
      </c>
    </row>
    <row r="31" spans="1:15" outlineLevel="1">
      <c r="A31" s="9">
        <f>A30+1</f>
        <v>2</v>
      </c>
      <c r="B31" s="4" t="s">
        <v>182</v>
      </c>
      <c r="C31" s="4" t="s">
        <v>68</v>
      </c>
      <c r="D31" s="24"/>
      <c r="E31" s="5">
        <f>SUMIFS('[2]tồn TP 17.01'!H:H,'[2]tồn TP 17.01'!A:A,'[2]Trình bày'!B31)</f>
        <v>652880.69999999995</v>
      </c>
      <c r="F31" s="5">
        <f>IFERROR(_xlfn.XLOOKUP(B31,'[2]tồn TP 17.01'!A:A,'[2]tồn TP 17.01'!L:L),0)</f>
        <v>91368.75</v>
      </c>
      <c r="G31" s="5">
        <v>720</v>
      </c>
      <c r="H31" s="40">
        <v>720</v>
      </c>
      <c r="I31" s="46">
        <f t="shared" ref="I31:I36" si="10">H31-G31</f>
        <v>0</v>
      </c>
      <c r="J31" s="42">
        <v>949</v>
      </c>
      <c r="K31" s="46">
        <f t="shared" si="8"/>
        <v>-229</v>
      </c>
      <c r="L31" s="53">
        <f t="shared" si="9"/>
        <v>-0.31805555555555554</v>
      </c>
      <c r="M31" s="71"/>
      <c r="N31" s="4"/>
      <c r="O31" s="4" t="s">
        <v>250</v>
      </c>
    </row>
    <row r="32" spans="1:15" outlineLevel="1">
      <c r="A32" s="9">
        <v>2</v>
      </c>
      <c r="B32" s="4" t="s">
        <v>150</v>
      </c>
      <c r="C32" s="4" t="s">
        <v>36</v>
      </c>
      <c r="D32" s="24"/>
      <c r="E32" s="5">
        <f>SUMIFS('[2]tồn TP 17.01'!H:H,'[2]tồn TP 17.01'!A:A,'[2]Trình bày'!B32)</f>
        <v>1050</v>
      </c>
      <c r="F32" s="5">
        <f>IFERROR(_xlfn.XLOOKUP(B32,'[2]tồn TP 17.01'!A:A,'[2]tồn TP 17.01'!L:L),0)</f>
        <v>83.333333333333329</v>
      </c>
      <c r="G32" s="5">
        <v>1030</v>
      </c>
      <c r="H32" s="40">
        <f>H7-130</f>
        <v>1030</v>
      </c>
      <c r="I32" s="46">
        <f t="shared" si="10"/>
        <v>0</v>
      </c>
      <c r="J32" s="42">
        <v>559</v>
      </c>
      <c r="K32" s="46">
        <f t="shared" si="8"/>
        <v>471</v>
      </c>
      <c r="L32" s="53">
        <f t="shared" si="9"/>
        <v>0.45728155339805826</v>
      </c>
      <c r="M32" s="71"/>
      <c r="N32" s="4"/>
      <c r="O32" s="4" t="s">
        <v>247</v>
      </c>
    </row>
    <row r="33" spans="1:15" outlineLevel="1">
      <c r="A33" s="9">
        <f t="shared" ref="A33" si="11">A32+1</f>
        <v>3</v>
      </c>
      <c r="B33" s="4" t="s">
        <v>152</v>
      </c>
      <c r="C33" s="4" t="s">
        <v>38</v>
      </c>
      <c r="D33" s="24"/>
      <c r="E33" s="5">
        <f>SUMIFS('[2]tồn TP 17.01'!H:H,'[2]tồn TP 17.01'!A:A,'[2]Trình bày'!B33)</f>
        <v>171597.5</v>
      </c>
      <c r="F33" s="5">
        <f>IFERROR(_xlfn.XLOOKUP(B33,'[2]tồn TP 17.01'!A:A,'[2]tồn TP 17.01'!L:L),0)</f>
        <v>0</v>
      </c>
      <c r="G33" s="5"/>
      <c r="H33" s="40"/>
      <c r="I33" s="46">
        <f t="shared" si="10"/>
        <v>0</v>
      </c>
      <c r="J33" s="41"/>
      <c r="K33" s="46"/>
      <c r="L33" s="53"/>
      <c r="M33" s="71"/>
      <c r="N33" s="4"/>
      <c r="O33" s="4" t="s">
        <v>251</v>
      </c>
    </row>
    <row r="34" spans="1:15" outlineLevel="1">
      <c r="A34" s="9">
        <v>3</v>
      </c>
      <c r="B34" s="4" t="s">
        <v>149</v>
      </c>
      <c r="C34" s="4" t="s">
        <v>35</v>
      </c>
      <c r="D34" s="24"/>
      <c r="E34" s="5">
        <f>SUMIFS('[2]tồn TP 17.01'!H:H,'[2]tồn TP 17.01'!A:A,'[2]Trình bày'!B34)</f>
        <v>68712.600000000006</v>
      </c>
      <c r="F34" s="5">
        <f>IFERROR(_xlfn.XLOOKUP(B34,'[2]tồn TP 17.01'!A:A,'[2]tồn TP 17.01'!L:L),0)</f>
        <v>7335.416666666667</v>
      </c>
      <c r="G34" s="5">
        <v>1030</v>
      </c>
      <c r="H34" s="40">
        <f>H32</f>
        <v>1030</v>
      </c>
      <c r="I34" s="46">
        <f t="shared" si="10"/>
        <v>0</v>
      </c>
      <c r="J34" s="42">
        <v>621</v>
      </c>
      <c r="K34" s="46">
        <f t="shared" ref="K34:K36" si="12">(H34-J34)</f>
        <v>409</v>
      </c>
      <c r="L34" s="53">
        <f t="shared" ref="L34:L36" si="13">+K34/H34</f>
        <v>0.3970873786407767</v>
      </c>
      <c r="M34" s="71"/>
      <c r="N34" s="4"/>
      <c r="O34" s="4" t="s">
        <v>248</v>
      </c>
    </row>
    <row r="35" spans="1:15" outlineLevel="1">
      <c r="A35" s="9">
        <f t="shared" ref="A35" si="14">A34+1</f>
        <v>4</v>
      </c>
      <c r="B35" s="4" t="s">
        <v>154</v>
      </c>
      <c r="C35" s="4" t="s">
        <v>40</v>
      </c>
      <c r="D35" s="24"/>
      <c r="E35" s="5">
        <f>SUMIFS('[2]tồn TP 17.01'!H:H,'[2]tồn TP 17.01'!A:A,'[2]Trình bày'!B35)</f>
        <v>13179.6</v>
      </c>
      <c r="F35" s="5">
        <f>IFERROR(_xlfn.XLOOKUP(B35,'[2]tồn TP 17.01'!A:A,'[2]tồn TP 17.01'!L:L),0)</f>
        <v>2.0833333333333335</v>
      </c>
      <c r="G35" s="5">
        <v>1030</v>
      </c>
      <c r="H35" s="40">
        <f>H32</f>
        <v>1030</v>
      </c>
      <c r="I35" s="46">
        <f t="shared" si="10"/>
        <v>0</v>
      </c>
      <c r="J35" s="42">
        <v>710</v>
      </c>
      <c r="K35" s="46">
        <f t="shared" si="12"/>
        <v>320</v>
      </c>
      <c r="L35" s="53">
        <f t="shared" si="13"/>
        <v>0.31067961165048541</v>
      </c>
      <c r="M35" s="71"/>
      <c r="N35" s="4"/>
      <c r="O35" s="4" t="s">
        <v>248</v>
      </c>
    </row>
    <row r="36" spans="1:15" outlineLevel="1">
      <c r="A36" s="9">
        <v>4</v>
      </c>
      <c r="B36" s="4" t="s">
        <v>200</v>
      </c>
      <c r="C36" s="4" t="s">
        <v>86</v>
      </c>
      <c r="D36" s="24"/>
      <c r="E36" s="5">
        <f>SUMIFS('[2]tồn TP 17.01'!H:H,'[2]tồn TP 17.01'!A:A,'[2]Trình bày'!B36)</f>
        <v>90593</v>
      </c>
      <c r="F36" s="5">
        <f>IFERROR(_xlfn.XLOOKUP(B36,'[2]tồn TP 17.01'!A:A,'[2]tồn TP 17.01'!L:L),0)</f>
        <v>0</v>
      </c>
      <c r="G36" s="5">
        <v>570</v>
      </c>
      <c r="H36" s="40">
        <v>570</v>
      </c>
      <c r="I36" s="46">
        <f t="shared" si="10"/>
        <v>0</v>
      </c>
      <c r="J36" s="42">
        <v>634</v>
      </c>
      <c r="K36" s="46">
        <f t="shared" si="12"/>
        <v>-64</v>
      </c>
      <c r="L36" s="53">
        <f t="shared" si="13"/>
        <v>-0.11228070175438597</v>
      </c>
      <c r="M36" s="71"/>
      <c r="N36" s="4"/>
      <c r="O36" s="4" t="s">
        <v>249</v>
      </c>
    </row>
    <row r="37" spans="1:15" s="19" customFormat="1" outlineLevel="1">
      <c r="A37" s="9">
        <f t="shared" ref="A37" si="15">A36+1</f>
        <v>5</v>
      </c>
      <c r="B37" s="8" t="s">
        <v>177</v>
      </c>
      <c r="C37" s="8" t="s">
        <v>63</v>
      </c>
      <c r="D37" s="25"/>
      <c r="E37" s="133">
        <f>SUMIFS('[2]tồn TP 17.01'!H:H,'[2]tồn TP 17.01'!A:A,'[2]Trình bày'!B37)</f>
        <v>37399</v>
      </c>
      <c r="F37" s="133">
        <f>IFERROR(_xlfn.XLOOKUP(B37,'[2]tồn TP 17.01'!A:A,'[2]tồn TP 17.01'!L:L),0)</f>
        <v>0</v>
      </c>
      <c r="G37" s="133"/>
      <c r="H37" s="40"/>
      <c r="I37" s="46"/>
      <c r="J37" s="134"/>
      <c r="K37" s="46"/>
      <c r="L37" s="53"/>
      <c r="M37" s="71"/>
      <c r="N37" s="8"/>
      <c r="O37" s="8" t="s">
        <v>252</v>
      </c>
    </row>
    <row r="38" spans="1:15" s="18" customFormat="1" ht="15.5">
      <c r="A38" s="14" t="s">
        <v>258</v>
      </c>
      <c r="B38" s="15" t="s">
        <v>266</v>
      </c>
      <c r="C38" s="15"/>
      <c r="D38" s="22"/>
      <c r="E38" s="15"/>
      <c r="F38" s="15"/>
      <c r="G38" s="15"/>
      <c r="H38" s="135"/>
      <c r="I38" s="136"/>
      <c r="J38" s="137"/>
      <c r="K38" s="48"/>
      <c r="L38" s="55"/>
      <c r="M38" s="73"/>
      <c r="N38" s="15"/>
      <c r="O38" s="15"/>
    </row>
    <row r="39" spans="1:15" s="18" customFormat="1" ht="15.5">
      <c r="A39" s="12" t="s">
        <v>239</v>
      </c>
      <c r="B39" s="13" t="s">
        <v>240</v>
      </c>
      <c r="C39" s="13"/>
      <c r="D39" s="23"/>
      <c r="E39" s="13"/>
      <c r="F39" s="13"/>
      <c r="G39" s="13"/>
      <c r="H39" s="130"/>
      <c r="I39" s="131"/>
      <c r="J39" s="132"/>
      <c r="K39" s="47"/>
      <c r="L39" s="54"/>
      <c r="M39" s="72"/>
      <c r="N39" s="13"/>
      <c r="O39" s="13"/>
    </row>
    <row r="40" spans="1:15" outlineLevel="1">
      <c r="A40" s="9">
        <v>1</v>
      </c>
      <c r="B40" s="4" t="s">
        <v>126</v>
      </c>
      <c r="C40" s="4" t="s">
        <v>12</v>
      </c>
      <c r="D40" s="24" t="s">
        <v>230</v>
      </c>
      <c r="E40" s="5">
        <f>SUMIFS('[2]tồn TP 17.01'!H:H,'[2]tồn TP 17.01'!A:A,'[2]Trình bày'!B40)</f>
        <v>478482.8</v>
      </c>
      <c r="F40" s="5">
        <f>IFERROR(_xlfn.XLOOKUP(B40,'[2]tồn TP 17.01'!A:A,'[2]tồn TP 17.01'!L:L),0)</f>
        <v>112733.33333333333</v>
      </c>
      <c r="G40" s="5"/>
      <c r="H40" s="40"/>
      <c r="I40" s="46">
        <f t="shared" ref="I40:I46" si="16">H40-G40</f>
        <v>0</v>
      </c>
      <c r="J40" s="42">
        <v>1083.9521515147321</v>
      </c>
      <c r="K40" s="46"/>
      <c r="L40" s="53"/>
      <c r="M40" s="71"/>
      <c r="N40" s="4" t="s">
        <v>313</v>
      </c>
      <c r="O40" s="4"/>
    </row>
    <row r="41" spans="1:15" outlineLevel="1">
      <c r="A41" s="9">
        <f>+A40+1</f>
        <v>2</v>
      </c>
      <c r="B41" s="4" t="s">
        <v>173</v>
      </c>
      <c r="C41" s="4" t="s">
        <v>59</v>
      </c>
      <c r="D41" s="24" t="s">
        <v>227</v>
      </c>
      <c r="E41" s="5">
        <f>SUMIFS('[2]tồn TP 17.01'!H:H,'[2]tồn TP 17.01'!A:A,'[2]Trình bày'!B41)</f>
        <v>40547</v>
      </c>
      <c r="F41" s="5">
        <f>IFERROR(_xlfn.XLOOKUP(B41,'[2]tồn TP 17.01'!A:A,'[2]tồn TP 17.01'!L:L),0)</f>
        <v>29906.25</v>
      </c>
      <c r="G41" s="5"/>
      <c r="H41" s="40"/>
      <c r="I41" s="46">
        <f t="shared" si="16"/>
        <v>0</v>
      </c>
      <c r="J41" s="42">
        <v>1078.3594385603442</v>
      </c>
      <c r="K41" s="46"/>
      <c r="L41" s="53"/>
      <c r="M41" s="71"/>
      <c r="N41" s="4" t="s">
        <v>313</v>
      </c>
      <c r="O41" s="4"/>
    </row>
    <row r="42" spans="1:15" outlineLevel="1">
      <c r="A42" s="9">
        <f t="shared" ref="A42:A46" si="17">+A41+1</f>
        <v>3</v>
      </c>
      <c r="B42" s="4" t="s">
        <v>145</v>
      </c>
      <c r="C42" s="4" t="s">
        <v>31</v>
      </c>
      <c r="D42" s="24" t="s">
        <v>230</v>
      </c>
      <c r="E42" s="5">
        <f>SUMIFS('[2]tồn TP 17.01'!H:H,'[2]tồn TP 17.01'!A:A,'[2]Trình bày'!B42)</f>
        <v>312564.40000000002</v>
      </c>
      <c r="F42" s="5">
        <f>IFERROR(_xlfn.XLOOKUP(B42,'[2]tồn TP 17.01'!A:A,'[2]tồn TP 17.01'!L:L),0)</f>
        <v>33941.666666666664</v>
      </c>
      <c r="G42" s="5">
        <v>1200</v>
      </c>
      <c r="H42" s="40">
        <v>1200</v>
      </c>
      <c r="I42" s="46">
        <f t="shared" si="16"/>
        <v>0</v>
      </c>
      <c r="J42" s="42">
        <f>+J40</f>
        <v>1083.9521515147321</v>
      </c>
      <c r="K42" s="46">
        <f t="shared" ref="K42:K43" si="18">(H42-J42)</f>
        <v>116.04784848526788</v>
      </c>
      <c r="L42" s="53">
        <f t="shared" ref="L42:L43" si="19">+K42/H42</f>
        <v>9.6706540404389904E-2</v>
      </c>
      <c r="M42" s="71"/>
      <c r="N42" s="4"/>
      <c r="O42" s="4"/>
    </row>
    <row r="43" spans="1:15" outlineLevel="1">
      <c r="A43" s="9">
        <f t="shared" si="17"/>
        <v>4</v>
      </c>
      <c r="B43" s="4" t="s">
        <v>280</v>
      </c>
      <c r="C43" s="4" t="s">
        <v>281</v>
      </c>
      <c r="D43" s="24" t="s">
        <v>230</v>
      </c>
      <c r="E43" s="5">
        <f>SUMIFS('[2]tồn TP 17.01'!H:H,'[2]tồn TP 17.01'!A:A,'[2]Trình bày'!B43)</f>
        <v>1899</v>
      </c>
      <c r="F43" s="5">
        <f>IFERROR(_xlfn.XLOOKUP(B43,'[2]tồn TP 17.01'!A:A,'[2]tồn TP 17.01'!L:L),0)</f>
        <v>16885.416666666668</v>
      </c>
      <c r="G43" s="5">
        <v>1300</v>
      </c>
      <c r="H43" s="40">
        <v>1300</v>
      </c>
      <c r="I43" s="46">
        <f t="shared" si="16"/>
        <v>0</v>
      </c>
      <c r="J43" s="42">
        <f>+J42+7</f>
        <v>1090.9521515147321</v>
      </c>
      <c r="K43" s="46">
        <f t="shared" si="18"/>
        <v>209.04784848526788</v>
      </c>
      <c r="L43" s="53">
        <f t="shared" si="19"/>
        <v>0.16080603729635989</v>
      </c>
      <c r="M43" s="71"/>
      <c r="N43" s="4"/>
      <c r="O43" s="4"/>
    </row>
    <row r="44" spans="1:15" outlineLevel="1">
      <c r="A44" s="9">
        <f t="shared" si="17"/>
        <v>5</v>
      </c>
      <c r="B44" s="4" t="s">
        <v>207</v>
      </c>
      <c r="C44" s="4" t="s">
        <v>93</v>
      </c>
      <c r="D44" s="24" t="s">
        <v>230</v>
      </c>
      <c r="E44" s="5">
        <f>SUMIFS('[2]tồn TP 17.01'!H:H,'[2]tồn TP 17.01'!A:A,'[2]Trình bày'!B44)</f>
        <v>399670</v>
      </c>
      <c r="F44" s="5">
        <f>IFERROR(_xlfn.XLOOKUP(B44,'[2]tồn TP 17.01'!A:A,'[2]tồn TP 17.01'!L:L),0)</f>
        <v>19541.666666666668</v>
      </c>
      <c r="G44" s="5"/>
      <c r="H44" s="40"/>
      <c r="I44" s="46">
        <f>H44-G44</f>
        <v>0</v>
      </c>
      <c r="J44" s="42"/>
      <c r="K44" s="46"/>
      <c r="L44" s="53"/>
      <c r="M44" s="71"/>
      <c r="N44" s="4" t="s">
        <v>313</v>
      </c>
      <c r="O44" s="4"/>
    </row>
    <row r="45" spans="1:15" outlineLevel="1">
      <c r="A45" s="9">
        <f t="shared" si="17"/>
        <v>6</v>
      </c>
      <c r="B45" s="4" t="s">
        <v>172</v>
      </c>
      <c r="C45" s="4" t="s">
        <v>58</v>
      </c>
      <c r="D45" s="24" t="s">
        <v>225</v>
      </c>
      <c r="E45" s="5">
        <f>SUMIFS('[2]tồn TP 17.01'!H:H,'[2]tồn TP 17.01'!A:A,'[2]Trình bày'!B45)</f>
        <v>132057.5</v>
      </c>
      <c r="F45" s="5">
        <f>IFERROR(_xlfn.XLOOKUP(B45,'[2]tồn TP 17.01'!A:A,'[2]tồn TP 17.01'!L:L),0)</f>
        <v>5158.333333333333</v>
      </c>
      <c r="G45" s="5"/>
      <c r="H45" s="40"/>
      <c r="I45" s="46">
        <f t="shared" si="16"/>
        <v>0</v>
      </c>
      <c r="J45" s="42"/>
      <c r="K45" s="46"/>
      <c r="L45" s="53"/>
      <c r="M45" s="71"/>
      <c r="N45" s="4" t="s">
        <v>313</v>
      </c>
      <c r="O45" s="4"/>
    </row>
    <row r="46" spans="1:15" outlineLevel="1">
      <c r="A46" s="9">
        <f t="shared" si="17"/>
        <v>7</v>
      </c>
      <c r="B46" s="4" t="s">
        <v>218</v>
      </c>
      <c r="C46" s="4" t="s">
        <v>104</v>
      </c>
      <c r="D46" s="24" t="s">
        <v>225</v>
      </c>
      <c r="E46" s="5">
        <f>SUMIFS('[2]tồn TP 17.01'!H:H,'[2]tồn TP 17.01'!A:A,'[2]Trình bày'!B46)</f>
        <v>15828</v>
      </c>
      <c r="F46" s="5">
        <f>IFERROR(_xlfn.XLOOKUP(B46,'[2]tồn TP 17.01'!A:A,'[2]tồn TP 17.01'!L:L),0)</f>
        <v>104.16666666666667</v>
      </c>
      <c r="G46" s="5">
        <v>1250</v>
      </c>
      <c r="H46" s="40">
        <v>1250</v>
      </c>
      <c r="I46" s="46">
        <f t="shared" si="16"/>
        <v>0</v>
      </c>
      <c r="J46" s="42">
        <f>1118.52567142482+7</f>
        <v>1125.5256714248201</v>
      </c>
      <c r="K46" s="46">
        <f t="shared" ref="K46" si="20">(H46-J46)</f>
        <v>124.47432857517992</v>
      </c>
      <c r="L46" s="53">
        <f t="shared" ref="L46" si="21">+K46/H46</f>
        <v>9.9579462860143936E-2</v>
      </c>
      <c r="M46" s="71"/>
      <c r="N46" s="4"/>
      <c r="O46" s="4"/>
    </row>
    <row r="47" spans="1:15" s="18" customFormat="1" ht="15.5">
      <c r="A47" s="12" t="s">
        <v>241</v>
      </c>
      <c r="B47" s="13" t="s">
        <v>242</v>
      </c>
      <c r="C47" s="13"/>
      <c r="D47" s="23"/>
      <c r="E47" s="13"/>
      <c r="F47" s="13"/>
      <c r="G47" s="13"/>
      <c r="H47" s="130"/>
      <c r="I47" s="47"/>
      <c r="J47" s="132"/>
      <c r="K47" s="47"/>
      <c r="L47" s="54"/>
      <c r="M47" s="72"/>
      <c r="N47" s="13"/>
      <c r="O47" s="13"/>
    </row>
    <row r="48" spans="1:15" outlineLevel="1">
      <c r="A48" s="9">
        <f>1</f>
        <v>1</v>
      </c>
      <c r="B48" s="4" t="s">
        <v>153</v>
      </c>
      <c r="C48" s="4" t="s">
        <v>39</v>
      </c>
      <c r="D48" s="24" t="s">
        <v>230</v>
      </c>
      <c r="E48" s="5">
        <f>SUMIFS('[2]tồn TP 17.01'!H:H,'[2]tồn TP 17.01'!A:A,'[2]Trình bày'!B48)</f>
        <v>41250</v>
      </c>
      <c r="F48" s="5">
        <f>IFERROR(_xlfn.XLOOKUP(B48,'[2]tồn TP 17.01'!A:A,'[2]tồn TP 17.01'!L:L),0)</f>
        <v>0</v>
      </c>
      <c r="G48" s="5">
        <v>1200</v>
      </c>
      <c r="H48" s="40">
        <v>1200</v>
      </c>
      <c r="I48" s="46">
        <f t="shared" ref="I48:I56" si="22">H48-G48</f>
        <v>0</v>
      </c>
      <c r="J48" s="42">
        <f>31516/26.5</f>
        <v>1189.2830188679245</v>
      </c>
      <c r="K48" s="46">
        <f t="shared" ref="K48:K49" si="23">(H48-J48)</f>
        <v>10.716981132075489</v>
      </c>
      <c r="L48" s="53">
        <f t="shared" ref="L48:L49" si="24">+K48/H48</f>
        <v>8.9308176100629071E-3</v>
      </c>
      <c r="M48" s="71"/>
      <c r="N48" s="4" t="s">
        <v>285</v>
      </c>
      <c r="O48" s="4" t="s">
        <v>286</v>
      </c>
    </row>
    <row r="49" spans="1:15" outlineLevel="1">
      <c r="A49" s="9">
        <f>A48+1</f>
        <v>2</v>
      </c>
      <c r="B49" s="4" t="s">
        <v>129</v>
      </c>
      <c r="C49" s="4" t="s">
        <v>15</v>
      </c>
      <c r="D49" s="24" t="s">
        <v>227</v>
      </c>
      <c r="E49" s="5">
        <f>SUMIFS('[2]tồn TP 17.01'!H:H,'[2]tồn TP 17.01'!A:A,'[2]Trình bày'!B49)</f>
        <v>3575</v>
      </c>
      <c r="F49" s="5">
        <f>IFERROR(_xlfn.XLOOKUP(B49,'[2]tồn TP 17.01'!A:A,'[2]tồn TP 17.01'!L:L),0)</f>
        <v>0</v>
      </c>
      <c r="G49" s="5">
        <v>1200</v>
      </c>
      <c r="H49" s="40">
        <v>1200</v>
      </c>
      <c r="I49" s="46">
        <f t="shared" si="22"/>
        <v>0</v>
      </c>
      <c r="J49" s="42">
        <f>34395/26.5</f>
        <v>1297.9245283018868</v>
      </c>
      <c r="K49" s="46">
        <f t="shared" si="23"/>
        <v>-97.924528301886767</v>
      </c>
      <c r="L49" s="53">
        <f t="shared" si="24"/>
        <v>-8.1603773584905642E-2</v>
      </c>
      <c r="M49" s="71"/>
      <c r="N49" s="4" t="s">
        <v>308</v>
      </c>
      <c r="O49" s="4"/>
    </row>
    <row r="50" spans="1:15" outlineLevel="1">
      <c r="A50" s="9">
        <f t="shared" ref="A50:A56" si="25">A49+1</f>
        <v>3</v>
      </c>
      <c r="B50" s="4" t="s">
        <v>174</v>
      </c>
      <c r="C50" s="4" t="s">
        <v>60</v>
      </c>
      <c r="D50" s="24" t="s">
        <v>232</v>
      </c>
      <c r="E50" s="5">
        <f>SUMIFS('[2]tồn TP 17.01'!H:H,'[2]tồn TP 17.01'!A:A,'[2]Trình bày'!B50)</f>
        <v>18774</v>
      </c>
      <c r="F50" s="5">
        <f>IFERROR(_xlfn.XLOOKUP(B50,'[2]tồn TP 17.01'!A:A,'[2]tồn TP 17.01'!L:L),0)</f>
        <v>0</v>
      </c>
      <c r="G50" s="5"/>
      <c r="H50" s="40"/>
      <c r="I50" s="46">
        <f t="shared" si="22"/>
        <v>0</v>
      </c>
      <c r="J50" s="42">
        <f>21813/26.5</f>
        <v>823.13207547169816</v>
      </c>
      <c r="K50" s="46"/>
      <c r="L50" s="53"/>
      <c r="M50" s="71"/>
      <c r="N50" s="4" t="s">
        <v>313</v>
      </c>
      <c r="O50" s="4"/>
    </row>
    <row r="51" spans="1:15" outlineLevel="1">
      <c r="A51" s="9">
        <f t="shared" si="25"/>
        <v>4</v>
      </c>
      <c r="B51" s="4" t="s">
        <v>128</v>
      </c>
      <c r="C51" s="4" t="s">
        <v>14</v>
      </c>
      <c r="D51" s="24" t="s">
        <v>232</v>
      </c>
      <c r="E51" s="5">
        <f>SUMIFS('[2]tồn TP 17.01'!H:H,'[2]tồn TP 17.01'!A:A,'[2]Trình bày'!B51)</f>
        <v>13300</v>
      </c>
      <c r="F51" s="5">
        <f>IFERROR(_xlfn.XLOOKUP(B51,'[2]tồn TP 17.01'!A:A,'[2]tồn TP 17.01'!L:L),0)</f>
        <v>0</v>
      </c>
      <c r="G51" s="5">
        <v>1200</v>
      </c>
      <c r="H51" s="40">
        <v>1200</v>
      </c>
      <c r="I51" s="46">
        <f t="shared" si="22"/>
        <v>0</v>
      </c>
      <c r="J51" s="42">
        <f>+J50</f>
        <v>823.13207547169816</v>
      </c>
      <c r="K51" s="46">
        <f t="shared" ref="K51" si="26">(H51-J51)</f>
        <v>376.86792452830184</v>
      </c>
      <c r="L51" s="53">
        <f t="shared" ref="L51" si="27">+K51/H51</f>
        <v>0.31405660377358485</v>
      </c>
      <c r="M51" s="71"/>
      <c r="N51" s="4" t="s">
        <v>285</v>
      </c>
      <c r="O51" s="4"/>
    </row>
    <row r="52" spans="1:15" outlineLevel="1">
      <c r="A52" s="9">
        <f t="shared" si="25"/>
        <v>5</v>
      </c>
      <c r="B52" s="4" t="s">
        <v>124</v>
      </c>
      <c r="C52" s="4" t="s">
        <v>10</v>
      </c>
      <c r="D52" s="24"/>
      <c r="E52" s="5">
        <f>SUMIFS('[2]tồn TP 17.01'!H:H,'[2]tồn TP 17.01'!A:A,'[2]Trình bày'!B52)</f>
        <v>11453.9</v>
      </c>
      <c r="F52" s="5">
        <f>IFERROR(_xlfn.XLOOKUP(B52,'[2]tồn TP 17.01'!A:A,'[2]tồn TP 17.01'!L:L),0)</f>
        <v>0</v>
      </c>
      <c r="G52" s="5"/>
      <c r="H52" s="40"/>
      <c r="I52" s="46">
        <f t="shared" si="22"/>
        <v>0</v>
      </c>
      <c r="J52" s="42"/>
      <c r="K52" s="46"/>
      <c r="L52" s="53"/>
      <c r="M52" s="71"/>
      <c r="N52" s="4"/>
      <c r="O52" s="4"/>
    </row>
    <row r="53" spans="1:15" outlineLevel="1">
      <c r="A53" s="9">
        <f t="shared" si="25"/>
        <v>6</v>
      </c>
      <c r="B53" s="4" t="s">
        <v>125</v>
      </c>
      <c r="C53" s="4" t="s">
        <v>11</v>
      </c>
      <c r="D53" s="24" t="s">
        <v>225</v>
      </c>
      <c r="E53" s="5">
        <f>SUMIFS('[2]tồn TP 17.01'!H:H,'[2]tồn TP 17.01'!A:A,'[2]Trình bày'!B53)</f>
        <v>350</v>
      </c>
      <c r="F53" s="5">
        <f>IFERROR(_xlfn.XLOOKUP(B53,'[2]tồn TP 17.01'!A:A,'[2]tồn TP 17.01'!L:L),0)</f>
        <v>0</v>
      </c>
      <c r="G53" s="5">
        <v>1200</v>
      </c>
      <c r="H53" s="40">
        <v>1200</v>
      </c>
      <c r="I53" s="46">
        <f t="shared" si="22"/>
        <v>0</v>
      </c>
      <c r="J53" s="42">
        <v>1118.5256714248248</v>
      </c>
      <c r="K53" s="46">
        <f t="shared" ref="K53:K56" si="28">(H53-J53)</f>
        <v>81.47432857517515</v>
      </c>
      <c r="L53" s="53">
        <f t="shared" ref="L53:L56" si="29">+K53/H53</f>
        <v>6.7895273812645957E-2</v>
      </c>
      <c r="M53" s="71"/>
      <c r="N53" s="4"/>
      <c r="O53" s="4"/>
    </row>
    <row r="54" spans="1:15" s="61" customFormat="1" outlineLevel="1">
      <c r="A54" s="57">
        <f t="shared" si="25"/>
        <v>7</v>
      </c>
      <c r="B54" s="58" t="s">
        <v>180</v>
      </c>
      <c r="C54" s="58" t="s">
        <v>66</v>
      </c>
      <c r="D54" s="59" t="s">
        <v>230</v>
      </c>
      <c r="E54" s="60">
        <f>SUMIFS('[2]tồn TP 17.01'!H:H,'[2]tồn TP 17.01'!A:A,'[2]Trình bày'!B54)</f>
        <v>0</v>
      </c>
      <c r="F54" s="60">
        <f>IFERROR(_xlfn.XLOOKUP(B54,'[2]tồn TP 17.01'!A:A,'[2]tồn TP 17.01'!L:L),0)</f>
        <v>0</v>
      </c>
      <c r="G54" s="60">
        <v>1200</v>
      </c>
      <c r="H54" s="40">
        <v>1200</v>
      </c>
      <c r="I54" s="46">
        <f t="shared" si="22"/>
        <v>0</v>
      </c>
      <c r="J54" s="42">
        <f>30000/26.5</f>
        <v>1132.0754716981132</v>
      </c>
      <c r="K54" s="46">
        <f t="shared" si="28"/>
        <v>67.924528301886767</v>
      </c>
      <c r="L54" s="53">
        <f t="shared" si="29"/>
        <v>5.6603773584905641E-2</v>
      </c>
      <c r="M54" s="71"/>
      <c r="N54" s="4" t="s">
        <v>377</v>
      </c>
      <c r="O54" s="58" t="s">
        <v>296</v>
      </c>
    </row>
    <row r="55" spans="1:15" outlineLevel="1">
      <c r="A55" s="9">
        <f t="shared" si="25"/>
        <v>8</v>
      </c>
      <c r="B55" s="4" t="s">
        <v>176</v>
      </c>
      <c r="C55" s="4" t="s">
        <v>62</v>
      </c>
      <c r="D55" s="24" t="s">
        <v>230</v>
      </c>
      <c r="E55" s="5">
        <f>SUMIFS('[2]tồn TP 17.01'!H:H,'[2]tồn TP 17.01'!A:A,'[2]Trình bày'!B55)</f>
        <v>0</v>
      </c>
      <c r="F55" s="5">
        <f>IFERROR(_xlfn.XLOOKUP(B55,'[2]tồn TP 17.01'!A:A,'[2]tồn TP 17.01'!L:L),0)</f>
        <v>0</v>
      </c>
      <c r="G55" s="5">
        <v>1300</v>
      </c>
      <c r="H55" s="40">
        <v>1300</v>
      </c>
      <c r="I55" s="46">
        <f t="shared" si="22"/>
        <v>0</v>
      </c>
      <c r="J55" s="42">
        <f>27625/26.5</f>
        <v>1042.4528301886792</v>
      </c>
      <c r="K55" s="46">
        <f t="shared" si="28"/>
        <v>257.54716981132083</v>
      </c>
      <c r="L55" s="53">
        <f t="shared" si="29"/>
        <v>0.19811320754716988</v>
      </c>
      <c r="M55" s="71"/>
      <c r="N55" s="4" t="s">
        <v>378</v>
      </c>
      <c r="O55" s="4"/>
    </row>
    <row r="56" spans="1:15" outlineLevel="1">
      <c r="A56" s="9">
        <f t="shared" si="25"/>
        <v>9</v>
      </c>
      <c r="B56" s="4" t="s">
        <v>179</v>
      </c>
      <c r="C56" s="4" t="s">
        <v>65</v>
      </c>
      <c r="D56" s="24" t="s">
        <v>230</v>
      </c>
      <c r="E56" s="5">
        <f>SUMIFS('[2]tồn TP 17.01'!H:H,'[2]tồn TP 17.01'!A:A,'[2]Trình bày'!B56)</f>
        <v>0</v>
      </c>
      <c r="F56" s="5">
        <f>IFERROR(_xlfn.XLOOKUP(B56,'[2]tồn TP 17.01'!A:A,'[2]tồn TP 17.01'!L:L),0)</f>
        <v>0</v>
      </c>
      <c r="G56" s="5">
        <v>1200</v>
      </c>
      <c r="H56" s="40">
        <v>1200</v>
      </c>
      <c r="I56" s="46">
        <f t="shared" si="22"/>
        <v>0</v>
      </c>
      <c r="J56" s="42">
        <f>+J42</f>
        <v>1083.9521515147321</v>
      </c>
      <c r="K56" s="46">
        <f t="shared" si="28"/>
        <v>116.04784848526788</v>
      </c>
      <c r="L56" s="53">
        <f t="shared" si="29"/>
        <v>9.6706540404389904E-2</v>
      </c>
      <c r="M56" s="71"/>
      <c r="N56" s="4"/>
      <c r="O56" s="4"/>
    </row>
    <row r="57" spans="1:15" s="18" customFormat="1" ht="15.5">
      <c r="A57" s="12" t="s">
        <v>243</v>
      </c>
      <c r="B57" s="13" t="s">
        <v>264</v>
      </c>
      <c r="C57" s="13"/>
      <c r="D57" s="23"/>
      <c r="E57" s="13"/>
      <c r="F57" s="13"/>
      <c r="G57" s="13"/>
      <c r="H57" s="130"/>
      <c r="I57" s="47"/>
      <c r="J57" s="132"/>
      <c r="K57" s="47"/>
      <c r="L57" s="54"/>
      <c r="M57" s="72"/>
      <c r="N57" s="13"/>
      <c r="O57" s="13"/>
    </row>
    <row r="58" spans="1:15" outlineLevel="1">
      <c r="A58" s="9">
        <v>1</v>
      </c>
      <c r="B58" s="4" t="s">
        <v>127</v>
      </c>
      <c r="C58" s="4" t="s">
        <v>13</v>
      </c>
      <c r="D58" s="24" t="s">
        <v>229</v>
      </c>
      <c r="E58" s="5">
        <f>SUMIFS('[2]tồn TP 17.01'!H:H,'[2]tồn TP 17.01'!A:A,'[2]Trình bày'!B58)</f>
        <v>68200</v>
      </c>
      <c r="F58" s="5">
        <f>IFERROR(_xlfn.XLOOKUP(B58,'[2]tồn TP 17.01'!A:A,'[2]tồn TP 17.01'!L:L),0)</f>
        <v>34610.416666666664</v>
      </c>
      <c r="G58" s="5">
        <v>780</v>
      </c>
      <c r="H58" s="40">
        <v>780</v>
      </c>
      <c r="I58" s="46">
        <f t="shared" ref="I58" si="30">H58-G58</f>
        <v>0</v>
      </c>
      <c r="J58" s="42"/>
      <c r="K58" s="46">
        <f t="shared" ref="K58" si="31">(H58-J58)</f>
        <v>780</v>
      </c>
      <c r="L58" s="53">
        <f t="shared" ref="L58" si="32">+K58/H58</f>
        <v>1</v>
      </c>
      <c r="M58" s="71"/>
      <c r="N58" s="4"/>
      <c r="O58" s="4" t="s">
        <v>253</v>
      </c>
    </row>
    <row r="59" spans="1:15" s="18" customFormat="1" ht="15.5">
      <c r="A59" s="14" t="s">
        <v>259</v>
      </c>
      <c r="B59" s="15" t="s">
        <v>265</v>
      </c>
      <c r="C59" s="15"/>
      <c r="D59" s="22"/>
      <c r="E59" s="15"/>
      <c r="F59" s="15"/>
      <c r="G59" s="15"/>
      <c r="H59" s="15"/>
      <c r="I59" s="48"/>
      <c r="J59" s="137"/>
      <c r="K59" s="48"/>
      <c r="L59" s="55"/>
      <c r="M59" s="73"/>
      <c r="N59" s="15"/>
      <c r="O59" s="15"/>
    </row>
    <row r="60" spans="1:15" s="18" customFormat="1" ht="15.5">
      <c r="A60" s="12" t="s">
        <v>239</v>
      </c>
      <c r="B60" s="13" t="s">
        <v>240</v>
      </c>
      <c r="C60" s="13"/>
      <c r="D60" s="23"/>
      <c r="E60" s="13"/>
      <c r="F60" s="13"/>
      <c r="G60" s="13"/>
      <c r="H60" s="13"/>
      <c r="I60" s="47"/>
      <c r="J60" s="132"/>
      <c r="K60" s="47"/>
      <c r="L60" s="54"/>
      <c r="M60" s="72"/>
      <c r="N60" s="13"/>
      <c r="O60" s="13"/>
    </row>
    <row r="61" spans="1:15" outlineLevel="1">
      <c r="A61" s="9">
        <v>1</v>
      </c>
      <c r="B61" s="4" t="s">
        <v>134</v>
      </c>
      <c r="C61" s="4" t="s">
        <v>20</v>
      </c>
      <c r="D61" s="24" t="s">
        <v>228</v>
      </c>
      <c r="E61" s="5">
        <f>SUMIFS('[2]tồn TP 17.01'!H:H,'[2]tồn TP 17.01'!A:A,'[2]Trình bày'!B61)</f>
        <v>32795</v>
      </c>
      <c r="F61" s="5">
        <f>IFERROR(_xlfn.XLOOKUP(B61,'[2]tồn TP 17.01'!A:A,'[2]tồn TP 17.01'!L:L),0)</f>
        <v>15583.333333333334</v>
      </c>
      <c r="G61" s="138">
        <v>740</v>
      </c>
      <c r="H61" s="40">
        <v>740</v>
      </c>
      <c r="I61" s="46">
        <f t="shared" ref="I61:I68" si="33">H61-G61</f>
        <v>0</v>
      </c>
      <c r="J61" s="42">
        <v>741</v>
      </c>
      <c r="K61" s="46">
        <f t="shared" ref="K61:K68" si="34">(H61-J61)</f>
        <v>-1</v>
      </c>
      <c r="L61" s="53">
        <f t="shared" ref="L61:L68" si="35">+K61/H61</f>
        <v>-1.3513513513513514E-3</v>
      </c>
      <c r="M61" s="71"/>
      <c r="N61" s="28" t="s">
        <v>274</v>
      </c>
      <c r="O61" s="4"/>
    </row>
    <row r="62" spans="1:15" outlineLevel="1">
      <c r="A62" s="9">
        <f>+A61+1</f>
        <v>2</v>
      </c>
      <c r="B62" s="4" t="s">
        <v>139</v>
      </c>
      <c r="C62" s="4" t="s">
        <v>25</v>
      </c>
      <c r="D62" s="24" t="s">
        <v>232</v>
      </c>
      <c r="E62" s="5">
        <f>SUMIFS('[2]tồn TP 17.01'!H:H,'[2]tồn TP 17.01'!A:A,'[2]Trình bày'!B62)</f>
        <v>1098</v>
      </c>
      <c r="F62" s="5">
        <f>IFERROR(_xlfn.XLOOKUP(B62,'[2]tồn TP 17.01'!A:A,'[2]tồn TP 17.01'!L:L),0)</f>
        <v>17158.333333333332</v>
      </c>
      <c r="G62" s="138">
        <v>740</v>
      </c>
      <c r="H62" s="40">
        <v>740</v>
      </c>
      <c r="I62" s="46">
        <f t="shared" si="33"/>
        <v>0</v>
      </c>
      <c r="J62" s="42">
        <v>741</v>
      </c>
      <c r="K62" s="46">
        <f t="shared" si="34"/>
        <v>-1</v>
      </c>
      <c r="L62" s="53">
        <f t="shared" si="35"/>
        <v>-1.3513513513513514E-3</v>
      </c>
      <c r="M62" s="71"/>
      <c r="N62" s="28" t="s">
        <v>274</v>
      </c>
      <c r="O62" s="4"/>
    </row>
    <row r="63" spans="1:15" outlineLevel="1">
      <c r="A63" s="9">
        <f t="shared" ref="A63:A68" si="36">+A62+1</f>
        <v>3</v>
      </c>
      <c r="B63" s="4" t="s">
        <v>135</v>
      </c>
      <c r="C63" s="4" t="s">
        <v>21</v>
      </c>
      <c r="D63" s="24" t="s">
        <v>226</v>
      </c>
      <c r="E63" s="5">
        <f>SUMIFS('[2]tồn TP 17.01'!H:H,'[2]tồn TP 17.01'!A:A,'[2]Trình bày'!B63)</f>
        <v>51753</v>
      </c>
      <c r="F63" s="5">
        <f>IFERROR(_xlfn.XLOOKUP(B63,'[2]tồn TP 17.01'!A:A,'[2]tồn TP 17.01'!L:L),0)</f>
        <v>12293.75</v>
      </c>
      <c r="G63" s="138">
        <v>740</v>
      </c>
      <c r="H63" s="40">
        <v>740</v>
      </c>
      <c r="I63" s="46">
        <f t="shared" si="33"/>
        <v>0</v>
      </c>
      <c r="J63" s="42">
        <v>741</v>
      </c>
      <c r="K63" s="46">
        <f t="shared" si="34"/>
        <v>-1</v>
      </c>
      <c r="L63" s="53">
        <f t="shared" si="35"/>
        <v>-1.3513513513513514E-3</v>
      </c>
      <c r="M63" s="71"/>
      <c r="N63" s="28" t="s">
        <v>274</v>
      </c>
      <c r="O63" s="4"/>
    </row>
    <row r="64" spans="1:15" outlineLevel="1">
      <c r="A64" s="9">
        <f t="shared" si="36"/>
        <v>4</v>
      </c>
      <c r="B64" s="4" t="s">
        <v>219</v>
      </c>
      <c r="C64" s="4" t="s">
        <v>105</v>
      </c>
      <c r="D64" s="24" t="s">
        <v>228</v>
      </c>
      <c r="E64" s="5">
        <f>SUMIFS('[2]tồn TP 17.01'!H:H,'[2]tồn TP 17.01'!A:A,'[2]Trình bày'!B64)</f>
        <v>1448</v>
      </c>
      <c r="F64" s="5">
        <f>IFERROR(_xlfn.XLOOKUP(B64,'[2]tồn TP 17.01'!A:A,'[2]tồn TP 17.01'!L:L),0)</f>
        <v>2083.3333333333335</v>
      </c>
      <c r="G64" s="138">
        <v>740</v>
      </c>
      <c r="H64" s="40">
        <v>740</v>
      </c>
      <c r="I64" s="46">
        <f t="shared" si="33"/>
        <v>0</v>
      </c>
      <c r="J64" s="42">
        <f>33028/26.5</f>
        <v>1246.3396226415093</v>
      </c>
      <c r="K64" s="46">
        <f t="shared" si="34"/>
        <v>-506.33962264150932</v>
      </c>
      <c r="L64" s="53">
        <f t="shared" si="35"/>
        <v>-0.68424273329933694</v>
      </c>
      <c r="M64" s="71"/>
      <c r="N64" s="28" t="s">
        <v>274</v>
      </c>
      <c r="O64" s="4" t="s">
        <v>317</v>
      </c>
    </row>
    <row r="65" spans="1:15" outlineLevel="1">
      <c r="A65" s="9">
        <f t="shared" si="36"/>
        <v>5</v>
      </c>
      <c r="B65" s="4" t="s">
        <v>137</v>
      </c>
      <c r="C65" s="4" t="s">
        <v>23</v>
      </c>
      <c r="D65" s="24" t="s">
        <v>227</v>
      </c>
      <c r="E65" s="5">
        <f>SUMIFS('[2]tồn TP 17.01'!H:H,'[2]tồn TP 17.01'!A:A,'[2]Trình bày'!B65)</f>
        <v>29015</v>
      </c>
      <c r="F65" s="5">
        <f>IFERROR(_xlfn.XLOOKUP(B65,'[2]tồn TP 17.01'!A:A,'[2]tồn TP 17.01'!L:L),0)</f>
        <v>10325</v>
      </c>
      <c r="G65" s="138">
        <v>740</v>
      </c>
      <c r="H65" s="40">
        <v>740</v>
      </c>
      <c r="I65" s="46">
        <f t="shared" si="33"/>
        <v>0</v>
      </c>
      <c r="J65" s="42">
        <v>741</v>
      </c>
      <c r="K65" s="46">
        <f t="shared" si="34"/>
        <v>-1</v>
      </c>
      <c r="L65" s="53">
        <f t="shared" si="35"/>
        <v>-1.3513513513513514E-3</v>
      </c>
      <c r="M65" s="71"/>
      <c r="N65" s="28" t="s">
        <v>274</v>
      </c>
      <c r="O65" s="4"/>
    </row>
    <row r="66" spans="1:15" outlineLevel="1">
      <c r="A66" s="9">
        <f t="shared" si="36"/>
        <v>6</v>
      </c>
      <c r="B66" s="4" t="s">
        <v>138</v>
      </c>
      <c r="C66" s="4" t="s">
        <v>24</v>
      </c>
      <c r="D66" s="24" t="s">
        <v>225</v>
      </c>
      <c r="E66" s="5">
        <f>SUMIFS('[2]tồn TP 17.01'!H:H,'[2]tồn TP 17.01'!A:A,'[2]Trình bày'!B66)</f>
        <v>61185.4</v>
      </c>
      <c r="F66" s="5">
        <f>IFERROR(_xlfn.XLOOKUP(B66,'[2]tồn TP 17.01'!A:A,'[2]tồn TP 17.01'!L:L),0)</f>
        <v>1333.3333333333333</v>
      </c>
      <c r="G66" s="138">
        <v>740</v>
      </c>
      <c r="H66" s="40">
        <v>740</v>
      </c>
      <c r="I66" s="46">
        <f t="shared" si="33"/>
        <v>0</v>
      </c>
      <c r="J66" s="42">
        <f>+J65</f>
        <v>741</v>
      </c>
      <c r="K66" s="46">
        <f t="shared" si="34"/>
        <v>-1</v>
      </c>
      <c r="L66" s="53">
        <f t="shared" si="35"/>
        <v>-1.3513513513513514E-3</v>
      </c>
      <c r="M66" s="71"/>
      <c r="N66" s="28" t="s">
        <v>274</v>
      </c>
      <c r="O66" s="4"/>
    </row>
    <row r="67" spans="1:15" outlineLevel="1">
      <c r="A67" s="9">
        <f t="shared" si="36"/>
        <v>7</v>
      </c>
      <c r="B67" s="4" t="s">
        <v>178</v>
      </c>
      <c r="C67" s="4" t="s">
        <v>64</v>
      </c>
      <c r="D67" s="24" t="s">
        <v>234</v>
      </c>
      <c r="E67" s="5">
        <f>SUMIFS('[2]tồn TP 17.01'!H:H,'[2]tồn TP 17.01'!A:A,'[2]Trình bày'!B67)</f>
        <v>3448</v>
      </c>
      <c r="F67" s="5">
        <f>IFERROR(_xlfn.XLOOKUP(B67,'[2]tồn TP 17.01'!A:A,'[2]tồn TP 17.01'!L:L),0)</f>
        <v>916.66666666666663</v>
      </c>
      <c r="G67" s="138">
        <v>660</v>
      </c>
      <c r="H67" s="40">
        <v>660</v>
      </c>
      <c r="I67" s="46">
        <f>H67-G67</f>
        <v>0</v>
      </c>
      <c r="J67" s="42">
        <f>23812/26.5</f>
        <v>898.56603773584902</v>
      </c>
      <c r="K67" s="46">
        <f>(H67-J67)</f>
        <v>-238.56603773584902</v>
      </c>
      <c r="L67" s="53">
        <f>+K67/H67</f>
        <v>-0.36146369353916519</v>
      </c>
      <c r="M67" s="71"/>
      <c r="N67" s="28" t="s">
        <v>274</v>
      </c>
      <c r="O67" s="4" t="s">
        <v>314</v>
      </c>
    </row>
    <row r="68" spans="1:15" outlineLevel="1">
      <c r="A68" s="9">
        <f t="shared" si="36"/>
        <v>8</v>
      </c>
      <c r="B68" s="4" t="s">
        <v>136</v>
      </c>
      <c r="C68" s="4" t="s">
        <v>22</v>
      </c>
      <c r="D68" s="24" t="s">
        <v>234</v>
      </c>
      <c r="E68" s="5">
        <f>SUMIFS('[2]tồn TP 17.01'!H:H,'[2]tồn TP 17.01'!A:A,'[2]Trình bày'!B68)</f>
        <v>244671.9</v>
      </c>
      <c r="F68" s="5">
        <f>IFERROR(_xlfn.XLOOKUP(B68,'[2]tồn TP 17.01'!A:A,'[2]tồn TP 17.01'!L:L),0)</f>
        <v>452.08333333333331</v>
      </c>
      <c r="G68" s="138">
        <v>740</v>
      </c>
      <c r="H68" s="40">
        <v>740</v>
      </c>
      <c r="I68" s="46">
        <f t="shared" si="33"/>
        <v>0</v>
      </c>
      <c r="J68" s="42">
        <f>18653/26.5</f>
        <v>703.88679245283015</v>
      </c>
      <c r="K68" s="46">
        <f t="shared" si="34"/>
        <v>36.11320754716985</v>
      </c>
      <c r="L68" s="53">
        <f t="shared" si="35"/>
        <v>4.8801631820499798E-2</v>
      </c>
      <c r="M68" s="71"/>
      <c r="N68" s="28" t="s">
        <v>274</v>
      </c>
      <c r="O68" s="4" t="s">
        <v>315</v>
      </c>
    </row>
    <row r="69" spans="1:15" s="18" customFormat="1" ht="15.5">
      <c r="A69" s="12" t="s">
        <v>241</v>
      </c>
      <c r="B69" s="13" t="s">
        <v>242</v>
      </c>
      <c r="C69" s="13"/>
      <c r="D69" s="23"/>
      <c r="E69" s="13"/>
      <c r="F69" s="13"/>
      <c r="G69" s="13"/>
      <c r="H69" s="130"/>
      <c r="I69" s="47"/>
      <c r="J69" s="132"/>
      <c r="K69" s="47"/>
      <c r="L69" s="54"/>
      <c r="M69" s="72"/>
      <c r="N69" s="13"/>
      <c r="O69" s="13"/>
    </row>
    <row r="70" spans="1:15" outlineLevel="1">
      <c r="A70" s="9">
        <f>1</f>
        <v>1</v>
      </c>
      <c r="B70" s="4" t="s">
        <v>144</v>
      </c>
      <c r="C70" s="4" t="s">
        <v>30</v>
      </c>
      <c r="D70" s="24" t="s">
        <v>228</v>
      </c>
      <c r="E70" s="5">
        <f>SUMIFS('[2]tồn TP 17.01'!H:H,'[2]tồn TP 17.01'!A:A,'[2]Trình bày'!B70)</f>
        <v>6235.4</v>
      </c>
      <c r="F70" s="5">
        <f>IFERROR(_xlfn.XLOOKUP(B70,'[2]tồn TP 17.01'!A:A,'[2]tồn TP 17.01'!L:L),0)</f>
        <v>0</v>
      </c>
      <c r="G70" s="138">
        <v>740</v>
      </c>
      <c r="H70" s="40">
        <v>740</v>
      </c>
      <c r="I70" s="46">
        <f t="shared" ref="I70" si="37">H70-G70</f>
        <v>0</v>
      </c>
      <c r="J70" s="42">
        <f>22637/26.5</f>
        <v>854.22641509433959</v>
      </c>
      <c r="K70" s="46">
        <f t="shared" ref="K70" si="38">(H70-J70)</f>
        <v>-114.22641509433959</v>
      </c>
      <c r="L70" s="53">
        <f t="shared" ref="L70" si="39">+K70/H70</f>
        <v>-0.1543600203977562</v>
      </c>
      <c r="M70" s="71"/>
      <c r="N70" s="28" t="s">
        <v>274</v>
      </c>
      <c r="O70" s="4" t="s">
        <v>316</v>
      </c>
    </row>
    <row r="71" spans="1:15" outlineLevel="1">
      <c r="A71" s="9"/>
      <c r="B71" s="4"/>
      <c r="C71" s="4"/>
      <c r="D71" s="24"/>
      <c r="E71" s="5"/>
      <c r="F71" s="5"/>
      <c r="G71" s="5"/>
      <c r="H71" s="40"/>
      <c r="I71" s="46"/>
      <c r="J71" s="41"/>
      <c r="K71" s="46"/>
      <c r="L71" s="53"/>
      <c r="M71" s="71"/>
      <c r="N71" s="4"/>
      <c r="O71" s="4"/>
    </row>
    <row r="72" spans="1:15" s="18" customFormat="1" ht="15.5">
      <c r="A72" s="14" t="s">
        <v>260</v>
      </c>
      <c r="B72" s="15" t="s">
        <v>244</v>
      </c>
      <c r="C72" s="15"/>
      <c r="D72" s="22"/>
      <c r="E72" s="15"/>
      <c r="F72" s="15"/>
      <c r="G72" s="15"/>
      <c r="H72" s="135"/>
      <c r="I72" s="48"/>
      <c r="J72" s="137"/>
      <c r="K72" s="48"/>
      <c r="L72" s="55"/>
      <c r="M72" s="73"/>
      <c r="N72" s="15"/>
      <c r="O72" s="15"/>
    </row>
    <row r="73" spans="1:15" s="18" customFormat="1" ht="15.5">
      <c r="A73" s="12" t="s">
        <v>239</v>
      </c>
      <c r="B73" s="13" t="s">
        <v>240</v>
      </c>
      <c r="C73" s="13"/>
      <c r="D73" s="23"/>
      <c r="E73" s="13"/>
      <c r="F73" s="13"/>
      <c r="G73" s="13"/>
      <c r="H73" s="130"/>
      <c r="I73" s="47"/>
      <c r="J73" s="132"/>
      <c r="K73" s="47"/>
      <c r="L73" s="54"/>
      <c r="M73" s="72"/>
      <c r="N73" s="13"/>
      <c r="O73" s="13"/>
    </row>
    <row r="74" spans="1:15" outlineLevel="1">
      <c r="A74" s="9">
        <v>4</v>
      </c>
      <c r="B74" s="4" t="s">
        <v>162</v>
      </c>
      <c r="C74" s="4" t="s">
        <v>48</v>
      </c>
      <c r="D74" s="24" t="s">
        <v>226</v>
      </c>
      <c r="E74" s="5">
        <f>SUMIFS('[2]tồn TP 17.01'!H:H,'[2]tồn TP 17.01'!A:A,'[2]Trình bày'!B74)</f>
        <v>112728</v>
      </c>
      <c r="F74" s="5">
        <f>IFERROR(_xlfn.XLOOKUP(B74,'[2]tồn TP 17.01'!A:A,'[2]tồn TP 17.01'!L:L),0)</f>
        <v>19297.916666666668</v>
      </c>
      <c r="G74" s="5">
        <v>665</v>
      </c>
      <c r="H74" s="40">
        <v>665</v>
      </c>
      <c r="I74" s="46">
        <f t="shared" ref="I74:I80" si="40">H74-G74</f>
        <v>0</v>
      </c>
      <c r="J74" s="139">
        <v>601</v>
      </c>
      <c r="K74" s="46">
        <f t="shared" ref="K74:K80" si="41">(H74-J74)</f>
        <v>64</v>
      </c>
      <c r="L74" s="53">
        <f t="shared" ref="L74:L80" si="42">+K74/H74</f>
        <v>9.6240601503759404E-2</v>
      </c>
      <c r="M74" s="71"/>
      <c r="N74" s="148" t="s">
        <v>263</v>
      </c>
      <c r="O74" s="4"/>
    </row>
    <row r="75" spans="1:15" outlineLevel="1">
      <c r="A75" s="9">
        <v>2</v>
      </c>
      <c r="B75" s="4" t="s">
        <v>164</v>
      </c>
      <c r="C75" s="4" t="s">
        <v>50</v>
      </c>
      <c r="D75" s="24" t="s">
        <v>227</v>
      </c>
      <c r="E75" s="5">
        <f>SUMIFS('[2]tồn TP 17.01'!H:H,'[2]tồn TP 17.01'!A:A,'[2]Trình bày'!B75)</f>
        <v>51603</v>
      </c>
      <c r="F75" s="5">
        <f>IFERROR(_xlfn.XLOOKUP(B75,'[2]tồn TP 17.01'!A:A,'[2]tồn TP 17.01'!L:L),0)</f>
        <v>9777.0833333333339</v>
      </c>
      <c r="G75" s="5">
        <v>665</v>
      </c>
      <c r="H75" s="40">
        <v>665</v>
      </c>
      <c r="I75" s="46">
        <f t="shared" si="40"/>
        <v>0</v>
      </c>
      <c r="J75" s="139">
        <v>601</v>
      </c>
      <c r="K75" s="46">
        <f t="shared" si="41"/>
        <v>64</v>
      </c>
      <c r="L75" s="53">
        <f t="shared" si="42"/>
        <v>9.6240601503759404E-2</v>
      </c>
      <c r="M75" s="71"/>
      <c r="N75" s="149"/>
      <c r="O75" s="4"/>
    </row>
    <row r="76" spans="1:15" outlineLevel="1">
      <c r="A76" s="9">
        <v>1</v>
      </c>
      <c r="B76" s="4" t="s">
        <v>165</v>
      </c>
      <c r="C76" s="4" t="s">
        <v>51</v>
      </c>
      <c r="D76" s="24" t="s">
        <v>232</v>
      </c>
      <c r="E76" s="5">
        <f>SUMIFS('[2]tồn TP 17.01'!H:H,'[2]tồn TP 17.01'!A:A,'[2]Trình bày'!B76)</f>
        <v>25349</v>
      </c>
      <c r="F76" s="5">
        <f>IFERROR(_xlfn.XLOOKUP(B76,'[2]tồn TP 17.01'!A:A,'[2]tồn TP 17.01'!L:L),0)</f>
        <v>10447.916666666666</v>
      </c>
      <c r="G76" s="5">
        <v>665</v>
      </c>
      <c r="H76" s="40">
        <v>665</v>
      </c>
      <c r="I76" s="46">
        <f t="shared" si="40"/>
        <v>0</v>
      </c>
      <c r="J76" s="139">
        <v>601</v>
      </c>
      <c r="K76" s="46">
        <f t="shared" si="41"/>
        <v>64</v>
      </c>
      <c r="L76" s="53">
        <f t="shared" si="42"/>
        <v>9.6240601503759404E-2</v>
      </c>
      <c r="M76" s="71"/>
      <c r="N76" s="149"/>
      <c r="O76" s="4"/>
    </row>
    <row r="77" spans="1:15" outlineLevel="1">
      <c r="A77" s="9">
        <v>7</v>
      </c>
      <c r="B77" s="4" t="s">
        <v>166</v>
      </c>
      <c r="C77" s="4" t="s">
        <v>52</v>
      </c>
      <c r="D77" s="24" t="s">
        <v>228</v>
      </c>
      <c r="E77" s="5">
        <f>SUMIFS('[2]tồn TP 17.01'!H:H,'[2]tồn TP 17.01'!A:A,'[2]Trình bày'!B77)</f>
        <v>56175</v>
      </c>
      <c r="F77" s="5">
        <f>IFERROR(_xlfn.XLOOKUP(B77,'[2]tồn TP 17.01'!A:A,'[2]tồn TP 17.01'!L:L),0)</f>
        <v>5527.083333333333</v>
      </c>
      <c r="G77" s="5">
        <v>665</v>
      </c>
      <c r="H77" s="40">
        <v>665</v>
      </c>
      <c r="I77" s="46">
        <f t="shared" si="40"/>
        <v>0</v>
      </c>
      <c r="J77" s="139">
        <v>601</v>
      </c>
      <c r="K77" s="46">
        <f t="shared" si="41"/>
        <v>64</v>
      </c>
      <c r="L77" s="53">
        <f t="shared" si="42"/>
        <v>9.6240601503759404E-2</v>
      </c>
      <c r="M77" s="71"/>
      <c r="N77" s="149"/>
      <c r="O77" s="4"/>
    </row>
    <row r="78" spans="1:15" outlineLevel="1">
      <c r="A78" s="9">
        <v>5</v>
      </c>
      <c r="B78" s="4" t="s">
        <v>163</v>
      </c>
      <c r="C78" s="4" t="s">
        <v>49</v>
      </c>
      <c r="D78" s="24" t="s">
        <v>225</v>
      </c>
      <c r="E78" s="5">
        <f>SUMIFS('[2]tồn TP 17.01'!H:H,'[2]tồn TP 17.01'!A:A,'[2]Trình bày'!B78)</f>
        <v>179758.2</v>
      </c>
      <c r="F78" s="5">
        <f>IFERROR(_xlfn.XLOOKUP(B78,'[2]tồn TP 17.01'!A:A,'[2]tồn TP 17.01'!L:L),0)</f>
        <v>44552.083333333336</v>
      </c>
      <c r="G78" s="5">
        <v>665</v>
      </c>
      <c r="H78" s="40">
        <v>665</v>
      </c>
      <c r="I78" s="46">
        <f t="shared" si="40"/>
        <v>0</v>
      </c>
      <c r="J78" s="139">
        <v>601</v>
      </c>
      <c r="K78" s="46">
        <f t="shared" si="41"/>
        <v>64</v>
      </c>
      <c r="L78" s="53">
        <f t="shared" si="42"/>
        <v>9.6240601503759404E-2</v>
      </c>
      <c r="M78" s="71"/>
      <c r="N78" s="149"/>
      <c r="O78" s="4"/>
    </row>
    <row r="79" spans="1:15" outlineLevel="1">
      <c r="A79" s="9">
        <v>6</v>
      </c>
      <c r="B79" s="4" t="s">
        <v>167</v>
      </c>
      <c r="C79" s="4" t="s">
        <v>53</v>
      </c>
      <c r="D79" s="24" t="s">
        <v>229</v>
      </c>
      <c r="E79" s="5">
        <f>SUMIFS('[2]tồn TP 17.01'!H:H,'[2]tồn TP 17.01'!A:A,'[2]Trình bày'!B79)</f>
        <v>40672</v>
      </c>
      <c r="F79" s="5">
        <f>IFERROR(_xlfn.XLOOKUP(B79,'[2]tồn TP 17.01'!A:A,'[2]tồn TP 17.01'!L:L),0)</f>
        <v>3293.75</v>
      </c>
      <c r="G79" s="5">
        <v>665</v>
      </c>
      <c r="H79" s="40">
        <v>665</v>
      </c>
      <c r="I79" s="46">
        <f t="shared" si="40"/>
        <v>0</v>
      </c>
      <c r="J79" s="139">
        <v>601</v>
      </c>
      <c r="K79" s="46">
        <f t="shared" si="41"/>
        <v>64</v>
      </c>
      <c r="L79" s="53">
        <f t="shared" si="42"/>
        <v>9.6240601503759404E-2</v>
      </c>
      <c r="M79" s="71"/>
      <c r="N79" s="149"/>
      <c r="O79" s="4"/>
    </row>
    <row r="80" spans="1:15" outlineLevel="1">
      <c r="A80" s="9">
        <v>7</v>
      </c>
      <c r="B80" s="4" t="s">
        <v>168</v>
      </c>
      <c r="C80" s="4" t="s">
        <v>54</v>
      </c>
      <c r="D80" s="24" t="s">
        <v>231</v>
      </c>
      <c r="E80" s="5">
        <f>SUMIFS('[2]tồn TP 17.01'!H:H,'[2]tồn TP 17.01'!A:A,'[2]Trình bày'!B80)</f>
        <v>154674.5</v>
      </c>
      <c r="F80" s="5">
        <f>IFERROR(_xlfn.XLOOKUP(B80,'[2]tồn TP 17.01'!A:A,'[2]tồn TP 17.01'!L:L),0)</f>
        <v>47.916666666666664</v>
      </c>
      <c r="G80" s="5">
        <v>665</v>
      </c>
      <c r="H80" s="40">
        <v>665</v>
      </c>
      <c r="I80" s="46">
        <f t="shared" si="40"/>
        <v>0</v>
      </c>
      <c r="J80" s="139">
        <v>601</v>
      </c>
      <c r="K80" s="46">
        <f t="shared" si="41"/>
        <v>64</v>
      </c>
      <c r="L80" s="53">
        <f t="shared" si="42"/>
        <v>9.6240601503759404E-2</v>
      </c>
      <c r="M80" s="71"/>
      <c r="N80" s="150"/>
      <c r="O80" s="4"/>
    </row>
    <row r="81" spans="1:20" s="18" customFormat="1" ht="15.5">
      <c r="A81" s="12" t="s">
        <v>241</v>
      </c>
      <c r="B81" s="13" t="s">
        <v>242</v>
      </c>
      <c r="C81" s="13"/>
      <c r="D81" s="23"/>
      <c r="E81" s="13"/>
      <c r="F81" s="13"/>
      <c r="G81" s="13"/>
      <c r="H81" s="130"/>
      <c r="I81" s="47"/>
      <c r="J81" s="132"/>
      <c r="K81" s="47"/>
      <c r="L81" s="54"/>
      <c r="M81" s="72"/>
      <c r="N81" s="13"/>
      <c r="O81" s="13"/>
    </row>
    <row r="82" spans="1:20" outlineLevel="1">
      <c r="A82" s="9">
        <f>1</f>
        <v>1</v>
      </c>
      <c r="B82" s="4" t="s">
        <v>203</v>
      </c>
      <c r="C82" s="4" t="s">
        <v>89</v>
      </c>
      <c r="D82" s="24" t="s">
        <v>228</v>
      </c>
      <c r="E82" s="5">
        <f>SUMIFS('[2]tồn TP 17.01'!H:H,'[2]tồn TP 17.01'!A:A,'[2]Trình bày'!B82)</f>
        <v>5700</v>
      </c>
      <c r="F82" s="5">
        <f>IFERROR(_xlfn.XLOOKUP(B82,'[2]tồn TP 17.01'!A:A,'[2]tồn TP 17.01'!L:L),0)</f>
        <v>0</v>
      </c>
      <c r="G82" s="5"/>
      <c r="H82" s="40"/>
      <c r="I82" s="46"/>
      <c r="J82" s="42">
        <f>19448/26.5</f>
        <v>733.88679245283015</v>
      </c>
      <c r="K82" s="46"/>
      <c r="L82" s="53"/>
      <c r="M82" s="71"/>
      <c r="N82" s="4" t="s">
        <v>273</v>
      </c>
      <c r="O82" s="4" t="s">
        <v>321</v>
      </c>
    </row>
    <row r="83" spans="1:20" outlineLevel="1">
      <c r="A83" s="9"/>
      <c r="B83" s="4"/>
      <c r="C83" s="4"/>
      <c r="D83" s="24"/>
      <c r="E83" s="5"/>
      <c r="F83" s="5"/>
      <c r="G83" s="5"/>
      <c r="H83" s="40"/>
      <c r="I83" s="46"/>
      <c r="J83" s="41"/>
      <c r="K83" s="46"/>
      <c r="L83" s="53"/>
      <c r="M83" s="71"/>
      <c r="N83" s="4"/>
      <c r="O83" s="4"/>
    </row>
    <row r="84" spans="1:20" s="18" customFormat="1" ht="15.5">
      <c r="A84" s="14" t="s">
        <v>261</v>
      </c>
      <c r="B84" s="15" t="s">
        <v>115</v>
      </c>
      <c r="C84" s="15"/>
      <c r="D84" s="22"/>
      <c r="E84" s="15"/>
      <c r="F84" s="15"/>
      <c r="G84" s="15"/>
      <c r="H84" s="135"/>
      <c r="I84" s="48"/>
      <c r="J84" s="137"/>
      <c r="K84" s="48"/>
      <c r="L84" s="55"/>
      <c r="M84" s="73"/>
      <c r="N84" s="15"/>
      <c r="O84" s="15"/>
    </row>
    <row r="85" spans="1:20" s="18" customFormat="1" ht="15.5">
      <c r="A85" s="12" t="s">
        <v>239</v>
      </c>
      <c r="B85" s="13" t="s">
        <v>240</v>
      </c>
      <c r="C85" s="13"/>
      <c r="D85" s="23"/>
      <c r="E85" s="13"/>
      <c r="F85" s="13"/>
      <c r="G85" s="13"/>
      <c r="H85" s="130"/>
      <c r="I85" s="47"/>
      <c r="J85" s="132"/>
      <c r="K85" s="47"/>
      <c r="L85" s="54"/>
      <c r="M85" s="72"/>
      <c r="N85" s="13"/>
      <c r="O85" s="13"/>
    </row>
    <row r="86" spans="1:20" outlineLevel="1">
      <c r="A86" s="9">
        <v>1</v>
      </c>
      <c r="B86" s="4" t="s">
        <v>156</v>
      </c>
      <c r="C86" s="4" t="s">
        <v>42</v>
      </c>
      <c r="D86" s="24" t="s">
        <v>226</v>
      </c>
      <c r="E86" s="5">
        <f>SUMIFS('[2]tồn TP 17.01'!H:H,'[2]tồn TP 17.01'!A:A,'[2]Trình bày'!B86)</f>
        <v>4090</v>
      </c>
      <c r="F86" s="5">
        <f>IFERROR(_xlfn.XLOOKUP(B86,'[2]tồn TP 17.01'!A:A,'[2]tồn TP 17.01'!L:L),0)</f>
        <v>8573.3333333333339</v>
      </c>
      <c r="G86" s="140" t="s">
        <v>368</v>
      </c>
      <c r="H86" s="141" t="s">
        <v>368</v>
      </c>
      <c r="I86" s="49" t="s">
        <v>379</v>
      </c>
      <c r="J86" s="42">
        <f>27883/26.5</f>
        <v>1052.1886792452831</v>
      </c>
      <c r="K86" s="49" t="s">
        <v>380</v>
      </c>
      <c r="L86" s="56" t="s">
        <v>381</v>
      </c>
      <c r="M86" s="74"/>
      <c r="N86" s="4" t="s">
        <v>267</v>
      </c>
      <c r="O86" s="4" t="s">
        <v>303</v>
      </c>
      <c r="Q86" s="42">
        <v>1025</v>
      </c>
      <c r="R86" s="46">
        <f>J86</f>
        <v>1052.1886792452831</v>
      </c>
      <c r="S86" s="62">
        <f>Q86-R86</f>
        <v>-27.188679245283083</v>
      </c>
      <c r="T86" s="63">
        <f>S86/Q86</f>
        <v>-2.6525540727105446E-2</v>
      </c>
    </row>
    <row r="87" spans="1:20" outlineLevel="1">
      <c r="A87" s="9">
        <f>+A86+1</f>
        <v>2</v>
      </c>
      <c r="B87" s="4" t="s">
        <v>204</v>
      </c>
      <c r="C87" s="4" t="s">
        <v>90</v>
      </c>
      <c r="D87" s="24" t="s">
        <v>228</v>
      </c>
      <c r="E87" s="5">
        <f>SUMIFS('[2]tồn TP 17.01'!H:H,'[2]tồn TP 17.01'!A:A,'[2]Trình bày'!B87)</f>
        <v>9347</v>
      </c>
      <c r="F87" s="5">
        <f>IFERROR(_xlfn.XLOOKUP(B87,'[2]tồn TP 17.01'!A:A,'[2]tồn TP 17.01'!L:L),0)</f>
        <v>5583.333333333333</v>
      </c>
      <c r="G87" s="140" t="s">
        <v>368</v>
      </c>
      <c r="H87" s="141" t="s">
        <v>368</v>
      </c>
      <c r="I87" s="49" t="s">
        <v>379</v>
      </c>
      <c r="J87" s="42">
        <f>28226/26.5</f>
        <v>1065.132075471698</v>
      </c>
      <c r="K87" s="49" t="s">
        <v>382</v>
      </c>
      <c r="L87" s="56" t="s">
        <v>383</v>
      </c>
      <c r="M87" s="74"/>
      <c r="N87" s="4" t="s">
        <v>267</v>
      </c>
      <c r="O87" s="4" t="s">
        <v>303</v>
      </c>
    </row>
    <row r="88" spans="1:20" outlineLevel="1">
      <c r="A88" s="9">
        <f t="shared" ref="A88:A94" si="43">+A87+1</f>
        <v>3</v>
      </c>
      <c r="B88" s="4" t="s">
        <v>205</v>
      </c>
      <c r="C88" s="4" t="s">
        <v>91</v>
      </c>
      <c r="D88" s="24" t="s">
        <v>234</v>
      </c>
      <c r="E88" s="5">
        <f>SUMIFS('[2]tồn TP 17.01'!H:H,'[2]tồn TP 17.01'!A:A,'[2]Trình bày'!B88)</f>
        <v>8727.5</v>
      </c>
      <c r="F88" s="5">
        <f>IFERROR(_xlfn.XLOOKUP(B88,'[2]tồn TP 17.01'!A:A,'[2]tồn TP 17.01'!L:L),0)</f>
        <v>2996.25</v>
      </c>
      <c r="G88" s="140" t="s">
        <v>368</v>
      </c>
      <c r="H88" s="141" t="s">
        <v>368</v>
      </c>
      <c r="I88" s="49" t="s">
        <v>379</v>
      </c>
      <c r="J88" s="42">
        <f>35442/26.5</f>
        <v>1337.433962264151</v>
      </c>
      <c r="K88" s="49" t="s">
        <v>384</v>
      </c>
      <c r="L88" s="56" t="s">
        <v>385</v>
      </c>
      <c r="M88" s="74"/>
      <c r="N88" s="4" t="s">
        <v>267</v>
      </c>
      <c r="O88" s="4" t="s">
        <v>303</v>
      </c>
    </row>
    <row r="89" spans="1:20" outlineLevel="1">
      <c r="A89" s="9">
        <f t="shared" si="43"/>
        <v>4</v>
      </c>
      <c r="B89" s="4" t="s">
        <v>181</v>
      </c>
      <c r="C89" s="4" t="s">
        <v>67</v>
      </c>
      <c r="D89" s="24" t="s">
        <v>228</v>
      </c>
      <c r="E89" s="5">
        <f>SUMIFS('[2]tồn TP 17.01'!H:H,'[2]tồn TP 17.01'!A:A,'[2]Trình bày'!B89)</f>
        <v>1990</v>
      </c>
      <c r="F89" s="5">
        <f>IFERROR(_xlfn.XLOOKUP(B89,'[2]tồn TP 17.01'!A:A,'[2]tồn TP 17.01'!L:L),0)</f>
        <v>1292.0833333333333</v>
      </c>
      <c r="G89" s="140" t="s">
        <v>368</v>
      </c>
      <c r="H89" s="141" t="s">
        <v>368</v>
      </c>
      <c r="I89" s="49" t="s">
        <v>379</v>
      </c>
      <c r="J89" s="42">
        <f>30087/26.5</f>
        <v>1135.3584905660377</v>
      </c>
      <c r="K89" s="49" t="s">
        <v>386</v>
      </c>
      <c r="L89" s="56" t="s">
        <v>387</v>
      </c>
      <c r="M89" s="74"/>
      <c r="N89" s="4" t="s">
        <v>267</v>
      </c>
      <c r="O89" s="4" t="s">
        <v>303</v>
      </c>
    </row>
    <row r="90" spans="1:20" outlineLevel="1">
      <c r="A90" s="9">
        <f t="shared" si="43"/>
        <v>5</v>
      </c>
      <c r="B90" s="4" t="s">
        <v>299</v>
      </c>
      <c r="C90" s="4" t="s">
        <v>297</v>
      </c>
      <c r="D90" s="24" t="s">
        <v>225</v>
      </c>
      <c r="E90" s="5">
        <f>SUMIFS('[2]tồn TP 17.01'!H:H,'[2]tồn TP 17.01'!A:A,'[2]Trình bày'!B90)</f>
        <v>518.70000000000005</v>
      </c>
      <c r="F90" s="5">
        <f>IFERROR(_xlfn.XLOOKUP(B90,'[2]tồn TP 17.01'!A:A,'[2]tồn TP 17.01'!L:L),0)</f>
        <v>416.66666666666669</v>
      </c>
      <c r="G90" s="5" t="s">
        <v>368</v>
      </c>
      <c r="H90" s="141" t="s">
        <v>368</v>
      </c>
      <c r="I90" s="49" t="s">
        <v>379</v>
      </c>
      <c r="J90" s="42">
        <f>35103/26.5</f>
        <v>1324.6415094339623</v>
      </c>
      <c r="K90" s="49" t="s">
        <v>388</v>
      </c>
      <c r="L90" s="56" t="s">
        <v>389</v>
      </c>
      <c r="M90" s="74"/>
      <c r="N90" s="4" t="s">
        <v>267</v>
      </c>
      <c r="O90" s="4" t="s">
        <v>303</v>
      </c>
    </row>
    <row r="91" spans="1:20" outlineLevel="1">
      <c r="A91" s="9">
        <f t="shared" si="43"/>
        <v>6</v>
      </c>
      <c r="B91" s="4" t="s">
        <v>159</v>
      </c>
      <c r="C91" s="4" t="s">
        <v>45</v>
      </c>
      <c r="D91" s="24" t="s">
        <v>229</v>
      </c>
      <c r="E91" s="5">
        <f>SUMIFS('[2]tồn TP 17.01'!H:H,'[2]tồn TP 17.01'!A:A,'[2]Trình bày'!B91)</f>
        <v>27858</v>
      </c>
      <c r="F91" s="5">
        <f>IFERROR(_xlfn.XLOOKUP(B91,'[2]tồn TP 17.01'!A:A,'[2]tồn TP 17.01'!L:L),0)</f>
        <v>60.833333333333336</v>
      </c>
      <c r="G91" s="140" t="s">
        <v>370</v>
      </c>
      <c r="H91" s="141" t="s">
        <v>370</v>
      </c>
      <c r="I91" s="49" t="s">
        <v>379</v>
      </c>
      <c r="J91" s="42">
        <f>18301/26.5</f>
        <v>690.60377358490564</v>
      </c>
      <c r="K91" s="49" t="s">
        <v>390</v>
      </c>
      <c r="L91" s="56" t="s">
        <v>391</v>
      </c>
      <c r="M91" s="77"/>
      <c r="N91" s="4" t="s">
        <v>267</v>
      </c>
      <c r="O91" s="4" t="s">
        <v>303</v>
      </c>
      <c r="Q91" s="42">
        <v>1025</v>
      </c>
      <c r="R91" s="46">
        <f>J91</f>
        <v>690.60377358490564</v>
      </c>
      <c r="S91" s="62">
        <f>Q91-R91</f>
        <v>334.39622641509436</v>
      </c>
      <c r="T91" s="63">
        <f>S91/Q91</f>
        <v>0.32624022089277499</v>
      </c>
    </row>
    <row r="92" spans="1:20" outlineLevel="1">
      <c r="A92" s="9">
        <f t="shared" si="43"/>
        <v>7</v>
      </c>
      <c r="B92" s="4" t="s">
        <v>208</v>
      </c>
      <c r="C92" s="4" t="s">
        <v>94</v>
      </c>
      <c r="D92" s="24" t="s">
        <v>225</v>
      </c>
      <c r="E92" s="5">
        <f>SUMIFS('[2]tồn TP 17.01'!H:H,'[2]tồn TP 17.01'!A:A,'[2]Trình bày'!B92)</f>
        <v>5032.8999999999996</v>
      </c>
      <c r="F92" s="5">
        <f>IFERROR(_xlfn.XLOOKUP(B92,'[2]tồn TP 17.01'!A:A,'[2]tồn TP 17.01'!L:L),0)</f>
        <v>31.666666666666668</v>
      </c>
      <c r="G92" s="140" t="s">
        <v>368</v>
      </c>
      <c r="H92" s="141" t="s">
        <v>368</v>
      </c>
      <c r="I92" s="49" t="s">
        <v>379</v>
      </c>
      <c r="J92" s="42">
        <f>36122/26.5</f>
        <v>1363.0943396226414</v>
      </c>
      <c r="K92" s="49" t="s">
        <v>392</v>
      </c>
      <c r="L92" s="56" t="s">
        <v>393</v>
      </c>
      <c r="M92" s="74"/>
      <c r="N92" s="4" t="s">
        <v>267</v>
      </c>
      <c r="O92" s="4" t="s">
        <v>303</v>
      </c>
      <c r="Q92" s="42">
        <v>1025</v>
      </c>
      <c r="R92" s="46">
        <f>J92</f>
        <v>1363.0943396226414</v>
      </c>
      <c r="S92" s="62">
        <f>Q92-R92</f>
        <v>-338.09433962264143</v>
      </c>
      <c r="T92" s="63">
        <f>S92/Q92</f>
        <v>-0.32984813621721115</v>
      </c>
    </row>
    <row r="93" spans="1:20" outlineLevel="1">
      <c r="A93" s="9">
        <f t="shared" si="43"/>
        <v>8</v>
      </c>
      <c r="B93" s="4" t="s">
        <v>161</v>
      </c>
      <c r="C93" s="4" t="s">
        <v>47</v>
      </c>
      <c r="D93" s="24" t="s">
        <v>234</v>
      </c>
      <c r="E93" s="5">
        <f>SUMIFS('[2]tồn TP 17.01'!H:H,'[2]tồn TP 17.01'!A:A,'[2]Trình bày'!B93)</f>
        <v>1370</v>
      </c>
      <c r="F93" s="5">
        <f>IFERROR(_xlfn.XLOOKUP(B93,'[2]tồn TP 17.01'!A:A,'[2]tồn TP 17.01'!L:L),0)</f>
        <v>4.166666666666667</v>
      </c>
      <c r="G93" s="140" t="s">
        <v>368</v>
      </c>
      <c r="H93" s="141" t="s">
        <v>368</v>
      </c>
      <c r="I93" s="49" t="s">
        <v>379</v>
      </c>
      <c r="J93" s="42">
        <f>29594/26.5</f>
        <v>1116.7547169811321</v>
      </c>
      <c r="K93" s="49" t="s">
        <v>394</v>
      </c>
      <c r="L93" s="56" t="s">
        <v>395</v>
      </c>
      <c r="M93" s="74"/>
      <c r="N93" s="4" t="s">
        <v>267</v>
      </c>
      <c r="O93" s="4" t="s">
        <v>303</v>
      </c>
    </row>
    <row r="94" spans="1:20" outlineLevel="1">
      <c r="A94" s="9">
        <f t="shared" si="43"/>
        <v>9</v>
      </c>
      <c r="B94" s="4" t="s">
        <v>282</v>
      </c>
      <c r="C94" s="4" t="s">
        <v>283</v>
      </c>
      <c r="D94" s="24" t="s">
        <v>228</v>
      </c>
      <c r="E94" s="5">
        <f>SUMIFS('[2]tồn TP 17.01'!H:H,'[2]tồn TP 17.01'!A:A,'[2]Trình bày'!B94)</f>
        <v>1500</v>
      </c>
      <c r="F94" s="5">
        <f>IFERROR(_xlfn.XLOOKUP(B94,'[2]tồn TP 17.01'!A:A,'[2]tồn TP 17.01'!L:L),0)</f>
        <v>4.166666666666667</v>
      </c>
      <c r="G94" s="140" t="s">
        <v>368</v>
      </c>
      <c r="H94" s="141" t="s">
        <v>368</v>
      </c>
      <c r="I94" s="49" t="s">
        <v>379</v>
      </c>
      <c r="J94" s="42">
        <f>22506/26.5</f>
        <v>849.28301886792451</v>
      </c>
      <c r="K94" s="49" t="s">
        <v>396</v>
      </c>
      <c r="L94" s="56" t="s">
        <v>397</v>
      </c>
      <c r="M94" s="74"/>
      <c r="N94" s="4" t="s">
        <v>267</v>
      </c>
      <c r="O94" s="4" t="s">
        <v>303</v>
      </c>
    </row>
    <row r="95" spans="1:20" s="18" customFormat="1" ht="15.5">
      <c r="A95" s="12" t="s">
        <v>241</v>
      </c>
      <c r="B95" s="13" t="s">
        <v>242</v>
      </c>
      <c r="C95" s="13"/>
      <c r="D95" s="23"/>
      <c r="E95" s="13"/>
      <c r="F95" s="13"/>
      <c r="G95" s="13"/>
      <c r="H95" s="142"/>
      <c r="I95" s="47"/>
      <c r="J95" s="132"/>
      <c r="K95" s="47"/>
      <c r="L95" s="54"/>
      <c r="M95" s="72"/>
      <c r="N95" s="13"/>
      <c r="O95" s="13"/>
    </row>
    <row r="96" spans="1:20" outlineLevel="1">
      <c r="A96" s="9">
        <v>1</v>
      </c>
      <c r="B96" s="4" t="s">
        <v>140</v>
      </c>
      <c r="C96" s="4" t="s">
        <v>26</v>
      </c>
      <c r="D96" s="24" t="s">
        <v>226</v>
      </c>
      <c r="E96" s="5">
        <f>SUMIFS('[2]tồn TP 17.01'!H:H,'[2]tồn TP 17.01'!A:A,'[2]Trình bày'!B96)</f>
        <v>141</v>
      </c>
      <c r="F96" s="5">
        <f>IFERROR(_xlfn.XLOOKUP(B96,'[2]tồn TP 17.01'!A:A,'[2]tồn TP 17.01'!L:L),0)</f>
        <v>0</v>
      </c>
      <c r="G96" s="140" t="s">
        <v>368</v>
      </c>
      <c r="H96" s="141" t="s">
        <v>368</v>
      </c>
      <c r="I96" s="49" t="s">
        <v>379</v>
      </c>
      <c r="J96" s="42">
        <f>21999/26.5</f>
        <v>830.15094339622647</v>
      </c>
      <c r="K96" s="49" t="s">
        <v>398</v>
      </c>
      <c r="L96" s="56" t="s">
        <v>399</v>
      </c>
      <c r="M96" s="74"/>
      <c r="N96" s="4" t="s">
        <v>267</v>
      </c>
      <c r="O96" s="4" t="s">
        <v>318</v>
      </c>
    </row>
    <row r="97" spans="1:20" outlineLevel="1">
      <c r="A97" s="9">
        <f>+A96+1</f>
        <v>2</v>
      </c>
      <c r="B97" s="4" t="s">
        <v>141</v>
      </c>
      <c r="C97" s="4" t="s">
        <v>27</v>
      </c>
      <c r="D97" s="24" t="s">
        <v>225</v>
      </c>
      <c r="E97" s="5">
        <f>SUMIFS('[2]tồn TP 17.01'!H:H,'[2]tồn TP 17.01'!A:A,'[2]Trình bày'!B97)</f>
        <v>2677.8</v>
      </c>
      <c r="F97" s="5">
        <f>IFERROR(_xlfn.XLOOKUP(B97,'[2]tồn TP 17.01'!A:A,'[2]tồn TP 17.01'!L:L),0)</f>
        <v>0</v>
      </c>
      <c r="G97" s="140" t="s">
        <v>368</v>
      </c>
      <c r="H97" s="141" t="s">
        <v>368</v>
      </c>
      <c r="I97" s="49" t="s">
        <v>379</v>
      </c>
      <c r="J97" s="42">
        <f>17901/26.5</f>
        <v>675.5094339622641</v>
      </c>
      <c r="K97" s="49" t="s">
        <v>400</v>
      </c>
      <c r="L97" s="56" t="s">
        <v>401</v>
      </c>
      <c r="M97" s="74"/>
      <c r="N97" s="4" t="s">
        <v>267</v>
      </c>
      <c r="O97" s="4" t="s">
        <v>318</v>
      </c>
    </row>
    <row r="98" spans="1:20" outlineLevel="1">
      <c r="A98" s="9">
        <f t="shared" ref="A98:A104" si="44">+A97+1</f>
        <v>3</v>
      </c>
      <c r="B98" s="4" t="s">
        <v>142</v>
      </c>
      <c r="C98" s="4" t="s">
        <v>28</v>
      </c>
      <c r="D98" s="24" t="s">
        <v>234</v>
      </c>
      <c r="E98" s="5">
        <f>SUMIFS('[2]tồn TP 17.01'!H:H,'[2]tồn TP 17.01'!A:A,'[2]Trình bày'!B98)</f>
        <v>0</v>
      </c>
      <c r="F98" s="5">
        <f>IFERROR(_xlfn.XLOOKUP(B98,'[2]tồn TP 17.01'!A:A,'[2]tồn TP 17.01'!L:L),0)</f>
        <v>0</v>
      </c>
      <c r="G98" s="140" t="s">
        <v>368</v>
      </c>
      <c r="H98" s="141" t="s">
        <v>368</v>
      </c>
      <c r="I98" s="49" t="s">
        <v>379</v>
      </c>
      <c r="J98" s="42">
        <f>25269/26.5</f>
        <v>953.54716981132071</v>
      </c>
      <c r="K98" s="49" t="s">
        <v>402</v>
      </c>
      <c r="L98" s="56" t="s">
        <v>403</v>
      </c>
      <c r="M98" s="74"/>
      <c r="N98" s="4" t="s">
        <v>267</v>
      </c>
      <c r="O98" s="4" t="s">
        <v>404</v>
      </c>
    </row>
    <row r="99" spans="1:20" outlineLevel="1">
      <c r="A99" s="9">
        <f t="shared" si="44"/>
        <v>4</v>
      </c>
      <c r="B99" s="4" t="s">
        <v>155</v>
      </c>
      <c r="C99" s="4" t="s">
        <v>41</v>
      </c>
      <c r="D99" s="24" t="s">
        <v>226</v>
      </c>
      <c r="E99" s="5">
        <f>SUMIFS('[2]tồn TP 17.01'!H:H,'[2]tồn TP 17.01'!A:A,'[2]Trình bày'!B99)</f>
        <v>2644</v>
      </c>
      <c r="F99" s="5">
        <f>IFERROR(_xlfn.XLOOKUP(B99,'[2]tồn TP 17.01'!A:A,'[2]tồn TP 17.01'!L:L),0)</f>
        <v>0</v>
      </c>
      <c r="G99" s="140" t="s">
        <v>368</v>
      </c>
      <c r="H99" s="141" t="s">
        <v>368</v>
      </c>
      <c r="I99" s="49" t="s">
        <v>379</v>
      </c>
      <c r="J99" s="42">
        <f>25345/26.5</f>
        <v>956.41509433962267</v>
      </c>
      <c r="K99" s="49" t="s">
        <v>405</v>
      </c>
      <c r="L99" s="56" t="s">
        <v>406</v>
      </c>
      <c r="M99" s="74"/>
      <c r="N99" s="4" t="s">
        <v>267</v>
      </c>
      <c r="O99" s="4" t="s">
        <v>320</v>
      </c>
    </row>
    <row r="100" spans="1:20" outlineLevel="1">
      <c r="A100" s="9">
        <f t="shared" si="44"/>
        <v>5</v>
      </c>
      <c r="B100" s="4" t="s">
        <v>157</v>
      </c>
      <c r="C100" s="4" t="s">
        <v>43</v>
      </c>
      <c r="D100" s="24" t="s">
        <v>228</v>
      </c>
      <c r="E100" s="5">
        <f>SUMIFS('[2]tồn TP 17.01'!H:H,'[2]tồn TP 17.01'!A:A,'[2]Trình bày'!B100)</f>
        <v>0</v>
      </c>
      <c r="F100" s="5">
        <f>IFERROR(_xlfn.XLOOKUP(B100,'[2]tồn TP 17.01'!A:A,'[2]tồn TP 17.01'!L:L),0)</f>
        <v>0</v>
      </c>
      <c r="G100" s="140" t="s">
        <v>368</v>
      </c>
      <c r="H100" s="141" t="s">
        <v>368</v>
      </c>
      <c r="I100" s="49" t="s">
        <v>379</v>
      </c>
      <c r="J100" s="42">
        <f>23503/26.5</f>
        <v>886.90566037735846</v>
      </c>
      <c r="K100" s="49" t="s">
        <v>407</v>
      </c>
      <c r="L100" s="56" t="s">
        <v>408</v>
      </c>
      <c r="M100" s="74"/>
      <c r="N100" s="4" t="s">
        <v>267</v>
      </c>
      <c r="O100" s="4" t="s">
        <v>409</v>
      </c>
    </row>
    <row r="101" spans="1:20" outlineLevel="1">
      <c r="A101" s="9">
        <f t="shared" si="44"/>
        <v>6</v>
      </c>
      <c r="B101" s="4" t="s">
        <v>158</v>
      </c>
      <c r="C101" s="4" t="s">
        <v>44</v>
      </c>
      <c r="D101" s="24" t="s">
        <v>228</v>
      </c>
      <c r="E101" s="5">
        <f>SUMIFS('[2]tồn TP 17.01'!H:H,'[2]tồn TP 17.01'!A:A,'[2]Trình bày'!B101)</f>
        <v>0</v>
      </c>
      <c r="F101" s="5">
        <f>IFERROR(_xlfn.XLOOKUP(B101,'[2]tồn TP 17.01'!A:A,'[2]tồn TP 17.01'!L:L),0)</f>
        <v>0</v>
      </c>
      <c r="G101" s="140" t="s">
        <v>368</v>
      </c>
      <c r="H101" s="141" t="s">
        <v>368</v>
      </c>
      <c r="I101" s="49" t="s">
        <v>379</v>
      </c>
      <c r="J101" s="42">
        <f>20560/26.5</f>
        <v>775.84905660377353</v>
      </c>
      <c r="K101" s="49" t="s">
        <v>410</v>
      </c>
      <c r="L101" s="56" t="s">
        <v>411</v>
      </c>
      <c r="M101" s="74"/>
      <c r="N101" s="4" t="s">
        <v>267</v>
      </c>
      <c r="O101" s="4" t="s">
        <v>321</v>
      </c>
      <c r="Q101" s="42">
        <v>790</v>
      </c>
      <c r="R101" s="46">
        <f>J101</f>
        <v>775.84905660377353</v>
      </c>
      <c r="S101" s="62">
        <f>Q101-R101</f>
        <v>14.150943396226467</v>
      </c>
      <c r="T101" s="63">
        <f>S101/Q101</f>
        <v>1.7912586577501857E-2</v>
      </c>
    </row>
    <row r="102" spans="1:20" outlineLevel="1">
      <c r="A102" s="9">
        <f t="shared" si="44"/>
        <v>7</v>
      </c>
      <c r="B102" s="4" t="s">
        <v>160</v>
      </c>
      <c r="C102" s="4" t="s">
        <v>46</v>
      </c>
      <c r="D102" s="24" t="s">
        <v>233</v>
      </c>
      <c r="E102" s="5">
        <f>SUMIFS('[2]tồn TP 17.01'!H:H,'[2]tồn TP 17.01'!A:A,'[2]Trình bày'!B102)</f>
        <v>43848</v>
      </c>
      <c r="F102" s="5">
        <f>IFERROR(_xlfn.XLOOKUP(B102,'[2]tồn TP 17.01'!A:A,'[2]tồn TP 17.01'!L:L),0)</f>
        <v>0</v>
      </c>
      <c r="G102" s="140" t="s">
        <v>368</v>
      </c>
      <c r="H102" s="141" t="s">
        <v>368</v>
      </c>
      <c r="I102" s="49" t="s">
        <v>379</v>
      </c>
      <c r="J102" s="42">
        <f>22022/26.5</f>
        <v>831.01886792452831</v>
      </c>
      <c r="K102" s="49" t="s">
        <v>412</v>
      </c>
      <c r="L102" s="56" t="s">
        <v>413</v>
      </c>
      <c r="M102" s="74"/>
      <c r="N102" s="4" t="s">
        <v>267</v>
      </c>
      <c r="O102" s="4" t="s">
        <v>319</v>
      </c>
      <c r="Q102" s="42">
        <v>790</v>
      </c>
      <c r="R102" s="46">
        <f>J102</f>
        <v>831.01886792452831</v>
      </c>
      <c r="S102" s="62">
        <f>Q102-R102</f>
        <v>-41.018867924528308</v>
      </c>
      <c r="T102" s="63">
        <f>S102/Q102</f>
        <v>-5.1922617625985198E-2</v>
      </c>
    </row>
    <row r="103" spans="1:20" outlineLevel="1">
      <c r="A103" s="9">
        <f t="shared" si="44"/>
        <v>8</v>
      </c>
      <c r="B103" s="4" t="s">
        <v>185</v>
      </c>
      <c r="C103" s="4" t="s">
        <v>71</v>
      </c>
      <c r="D103" s="24"/>
      <c r="E103" s="5">
        <f>SUMIFS('[2]tồn TP 17.01'!H:H,'[2]tồn TP 17.01'!A:A,'[2]Trình bày'!B103)</f>
        <v>5125.6000000000004</v>
      </c>
      <c r="F103" s="5">
        <f>IFERROR(_xlfn.XLOOKUP(B103,'[2]tồn TP 17.01'!A:A,'[2]tồn TP 17.01'!L:L),0)</f>
        <v>0</v>
      </c>
      <c r="G103" s="5"/>
      <c r="H103" s="141"/>
      <c r="I103" s="49"/>
      <c r="J103" s="42"/>
      <c r="K103" s="49"/>
      <c r="L103" s="56"/>
      <c r="M103" s="74"/>
      <c r="N103" s="4" t="s">
        <v>267</v>
      </c>
      <c r="O103" s="4"/>
    </row>
    <row r="104" spans="1:20" outlineLevel="1">
      <c r="A104" s="9">
        <f t="shared" si="44"/>
        <v>9</v>
      </c>
      <c r="B104" s="4" t="s">
        <v>143</v>
      </c>
      <c r="C104" s="4" t="s">
        <v>29</v>
      </c>
      <c r="D104" s="24" t="s">
        <v>229</v>
      </c>
      <c r="E104" s="143">
        <f>SUMIFS('[2]tồn TP 17.01'!H:H,'[2]tồn TP 17.01'!A:A,'[2]Trình bày'!B104)</f>
        <v>0</v>
      </c>
      <c r="F104" s="5">
        <f>IFERROR(_xlfn.XLOOKUP(B104,'[2]tồn TP 17.01'!A:A,'[2]tồn TP 17.01'!L:L),0)</f>
        <v>0</v>
      </c>
      <c r="G104" s="140" t="s">
        <v>370</v>
      </c>
      <c r="H104" s="141" t="s">
        <v>370</v>
      </c>
      <c r="I104" s="49" t="s">
        <v>379</v>
      </c>
      <c r="J104" s="42">
        <f>22145/26.5</f>
        <v>835.66037735849056</v>
      </c>
      <c r="K104" s="49" t="s">
        <v>414</v>
      </c>
      <c r="L104" s="56" t="s">
        <v>415</v>
      </c>
      <c r="M104" s="77"/>
      <c r="N104" s="4" t="s">
        <v>267</v>
      </c>
      <c r="O104" s="4" t="s">
        <v>416</v>
      </c>
    </row>
    <row r="105" spans="1:20" s="18" customFormat="1" ht="15.5">
      <c r="A105" s="14" t="s">
        <v>262</v>
      </c>
      <c r="B105" s="15" t="s">
        <v>245</v>
      </c>
      <c r="C105" s="15"/>
      <c r="D105" s="22"/>
      <c r="E105" s="15"/>
      <c r="F105" s="15"/>
      <c r="G105" s="15"/>
      <c r="H105" s="135"/>
      <c r="I105" s="48"/>
      <c r="J105" s="137"/>
      <c r="K105" s="48"/>
      <c r="L105" s="55"/>
      <c r="M105" s="73"/>
      <c r="N105" s="15"/>
      <c r="O105" s="15"/>
    </row>
    <row r="106" spans="1:20" s="18" customFormat="1" ht="15.5">
      <c r="A106" s="12" t="s">
        <v>239</v>
      </c>
      <c r="B106" s="13" t="s">
        <v>240</v>
      </c>
      <c r="C106" s="13"/>
      <c r="D106" s="23"/>
      <c r="E106" s="13"/>
      <c r="F106" s="13"/>
      <c r="G106" s="13"/>
      <c r="H106" s="130"/>
      <c r="I106" s="47"/>
      <c r="J106" s="132"/>
      <c r="K106" s="47"/>
      <c r="L106" s="54"/>
      <c r="M106" s="72"/>
      <c r="N106" s="13"/>
      <c r="O106" s="13"/>
    </row>
    <row r="107" spans="1:20" outlineLevel="1">
      <c r="A107" s="9">
        <v>1</v>
      </c>
      <c r="B107" s="4" t="s">
        <v>169</v>
      </c>
      <c r="C107" s="4" t="s">
        <v>55</v>
      </c>
      <c r="D107" s="24" t="s">
        <v>226</v>
      </c>
      <c r="E107" s="5">
        <f>SUMIFS('[2]tồn TP 17.01'!H:H,'[2]tồn TP 17.01'!A:A,'[2]Trình bày'!B107)</f>
        <v>37494</v>
      </c>
      <c r="F107" s="5">
        <f>IFERROR(_xlfn.XLOOKUP(B107,'[2]tồn TP 17.01'!A:A,'[2]tồn TP 17.01'!L:L),0)</f>
        <v>3945.8333333333335</v>
      </c>
      <c r="G107" s="5">
        <v>650</v>
      </c>
      <c r="H107" s="40">
        <f>+G107</f>
        <v>650</v>
      </c>
      <c r="I107" s="46">
        <f>H107-G107</f>
        <v>0</v>
      </c>
      <c r="J107" s="42">
        <v>783.96153846153845</v>
      </c>
      <c r="K107" s="46">
        <f t="shared" ref="K107" si="45">(H107-J107)</f>
        <v>-133.96153846153845</v>
      </c>
      <c r="L107" s="53">
        <f t="shared" ref="L107" si="46">+K107/H107</f>
        <v>-0.206094674556213</v>
      </c>
      <c r="M107" s="71"/>
      <c r="N107" s="4"/>
      <c r="O107" s="4" t="s">
        <v>322</v>
      </c>
    </row>
    <row r="108" spans="1:20" outlineLevel="1">
      <c r="A108" s="9">
        <f>+A107+1</f>
        <v>2</v>
      </c>
      <c r="B108" s="4" t="s">
        <v>171</v>
      </c>
      <c r="C108" s="4" t="s">
        <v>57</v>
      </c>
      <c r="D108" s="24" t="s">
        <v>228</v>
      </c>
      <c r="E108" s="5">
        <f>SUMIFS('[2]tồn TP 17.01'!H:H,'[2]tồn TP 17.01'!A:A,'[2]Trình bày'!B108)</f>
        <v>123553</v>
      </c>
      <c r="F108" s="5">
        <f>IFERROR(_xlfn.XLOOKUP(B108,'[2]tồn TP 17.01'!A:A,'[2]tồn TP 17.01'!L:L),0)</f>
        <v>8.3333333333333339</v>
      </c>
      <c r="G108" s="5">
        <v>650</v>
      </c>
      <c r="H108" s="40">
        <f>+G108</f>
        <v>650</v>
      </c>
      <c r="I108" s="46">
        <f>H108-G108</f>
        <v>0</v>
      </c>
      <c r="J108" s="42">
        <v>761.96153846153845</v>
      </c>
      <c r="K108" s="46">
        <f>(H108-J108)</f>
        <v>-111.96153846153845</v>
      </c>
      <c r="L108" s="53">
        <f>+K108/H108</f>
        <v>-0.17224852071005917</v>
      </c>
      <c r="M108" s="71"/>
      <c r="N108" s="4"/>
      <c r="O108" s="4" t="s">
        <v>319</v>
      </c>
    </row>
    <row r="109" spans="1:20" outlineLevel="1">
      <c r="A109" s="9"/>
      <c r="B109" s="4"/>
      <c r="C109" s="4"/>
      <c r="D109" s="24"/>
      <c r="E109" s="5"/>
      <c r="F109" s="5"/>
      <c r="G109" s="5"/>
      <c r="H109" s="40"/>
      <c r="I109" s="46"/>
      <c r="J109" s="41"/>
      <c r="K109" s="46"/>
      <c r="L109" s="53"/>
      <c r="M109" s="71"/>
      <c r="N109" s="4"/>
      <c r="O109" s="4"/>
    </row>
    <row r="110" spans="1:20" s="18" customFormat="1" ht="15.5">
      <c r="A110" s="12" t="s">
        <v>241</v>
      </c>
      <c r="B110" s="13" t="s">
        <v>242</v>
      </c>
      <c r="C110" s="13"/>
      <c r="D110" s="23"/>
      <c r="E110" s="13"/>
      <c r="F110" s="13"/>
      <c r="G110" s="13"/>
      <c r="H110" s="130"/>
      <c r="I110" s="47"/>
      <c r="J110" s="132"/>
      <c r="K110" s="47"/>
      <c r="L110" s="54"/>
      <c r="M110" s="72"/>
      <c r="N110" s="13"/>
      <c r="O110" s="13"/>
    </row>
    <row r="111" spans="1:20" outlineLevel="1">
      <c r="A111" s="9">
        <v>1</v>
      </c>
      <c r="B111" s="4" t="s">
        <v>170</v>
      </c>
      <c r="C111" s="4" t="s">
        <v>56</v>
      </c>
      <c r="D111" s="24" t="s">
        <v>226</v>
      </c>
      <c r="E111" s="5">
        <f>SUMIFS('[2]tồn TP 17.01'!H:H,'[2]tồn TP 17.01'!A:A,'[2]Trình bày'!B111)</f>
        <v>2250</v>
      </c>
      <c r="F111" s="5">
        <f>IFERROR(_xlfn.XLOOKUP(B111,'[2]tồn TP 17.01'!A:A,'[2]tồn TP 17.01'!L:L),0)</f>
        <v>0</v>
      </c>
      <c r="G111" s="5">
        <v>650</v>
      </c>
      <c r="H111" s="40">
        <f t="shared" ref="H111:H113" si="47">+G111</f>
        <v>650</v>
      </c>
      <c r="I111" s="46">
        <f t="shared" ref="I111:I113" si="48">H111-G111</f>
        <v>0</v>
      </c>
      <c r="J111" s="42">
        <f>20383/26.5</f>
        <v>769.16981132075466</v>
      </c>
      <c r="K111" s="46">
        <f t="shared" ref="K111:K113" si="49">(H111-J111)</f>
        <v>-119.16981132075466</v>
      </c>
      <c r="L111" s="53">
        <f t="shared" ref="L111:L113" si="50">+K111/H111</f>
        <v>-0.18333817126269947</v>
      </c>
      <c r="M111" s="71"/>
      <c r="N111" s="4"/>
      <c r="O111" s="4" t="s">
        <v>321</v>
      </c>
    </row>
    <row r="112" spans="1:20" outlineLevel="1">
      <c r="A112" s="9">
        <f>+A111+1</f>
        <v>2</v>
      </c>
      <c r="B112" s="4" t="s">
        <v>183</v>
      </c>
      <c r="C112" s="4" t="s">
        <v>69</v>
      </c>
      <c r="D112" s="24" t="s">
        <v>225</v>
      </c>
      <c r="E112" s="5">
        <f>SUMIFS('[2]tồn TP 17.01'!H:H,'[2]tồn TP 17.01'!A:A,'[2]Trình bày'!B112)</f>
        <v>5750</v>
      </c>
      <c r="F112" s="5">
        <f>IFERROR(_xlfn.XLOOKUP(B112,'[2]tồn TP 17.01'!A:A,'[2]tồn TP 17.01'!L:L),0)</f>
        <v>0</v>
      </c>
      <c r="G112" s="5">
        <v>650</v>
      </c>
      <c r="H112" s="40">
        <f t="shared" si="47"/>
        <v>650</v>
      </c>
      <c r="I112" s="46">
        <f t="shared" si="48"/>
        <v>0</v>
      </c>
      <c r="J112" s="42">
        <f>35367/26</f>
        <v>1360.2692307692307</v>
      </c>
      <c r="K112" s="46">
        <f t="shared" si="49"/>
        <v>-710.26923076923072</v>
      </c>
      <c r="L112" s="53">
        <f t="shared" si="50"/>
        <v>-1.0927218934911243</v>
      </c>
      <c r="M112" s="71"/>
      <c r="N112" s="4"/>
      <c r="O112" s="4" t="s">
        <v>417</v>
      </c>
    </row>
    <row r="113" spans="1:15" outlineLevel="1">
      <c r="A113" s="9">
        <f>+A112+1</f>
        <v>3</v>
      </c>
      <c r="B113" s="20" t="s">
        <v>290</v>
      </c>
      <c r="C113" s="20" t="s">
        <v>289</v>
      </c>
      <c r="D113" s="26" t="s">
        <v>228</v>
      </c>
      <c r="E113" s="144">
        <f>SUMIFS('[2]tồn TP 17.01'!H:H,'[2]tồn TP 17.01'!A:A,'[2]Trình bày'!B113)</f>
        <v>750</v>
      </c>
      <c r="F113" s="144">
        <f>IFERROR(_xlfn.XLOOKUP(B113,'[2]tồn TP 17.01'!A:A,'[2]tồn TP 17.01'!L:L),0)</f>
        <v>0</v>
      </c>
      <c r="G113" s="144">
        <v>650</v>
      </c>
      <c r="H113" s="145">
        <f t="shared" si="47"/>
        <v>650</v>
      </c>
      <c r="I113" s="146">
        <f t="shared" si="48"/>
        <v>0</v>
      </c>
      <c r="J113" s="147">
        <f>20000/26.5</f>
        <v>754.71698113207549</v>
      </c>
      <c r="K113" s="146">
        <f t="shared" si="49"/>
        <v>-104.71698113207549</v>
      </c>
      <c r="L113" s="64">
        <f t="shared" si="50"/>
        <v>-0.16110304789550076</v>
      </c>
      <c r="M113" s="80"/>
      <c r="N113" s="20"/>
      <c r="O113" s="20"/>
    </row>
    <row r="115" spans="1:15">
      <c r="D115"/>
      <c r="I115"/>
      <c r="J115"/>
      <c r="K115"/>
      <c r="L115"/>
      <c r="M115"/>
    </row>
    <row r="116" spans="1:15">
      <c r="D116"/>
      <c r="I116"/>
      <c r="J116"/>
      <c r="K116"/>
      <c r="L116"/>
      <c r="M116"/>
    </row>
    <row r="117" spans="1:15">
      <c r="I117"/>
      <c r="J117"/>
      <c r="K117"/>
      <c r="L117"/>
    </row>
    <row r="118" spans="1:15">
      <c r="I118"/>
      <c r="J118"/>
      <c r="K118"/>
      <c r="L118"/>
      <c r="M118"/>
    </row>
    <row r="119" spans="1:15">
      <c r="I119"/>
      <c r="J119"/>
      <c r="K119"/>
      <c r="L119"/>
      <c r="M119"/>
    </row>
    <row r="120" spans="1:15">
      <c r="I120"/>
      <c r="J120"/>
      <c r="K120"/>
      <c r="L120"/>
      <c r="M120"/>
    </row>
  </sheetData>
  <autoFilter ref="A4:O113" xr:uid="{B546816D-46E9-4C95-9906-AEA9E12D0734}"/>
  <mergeCells count="1">
    <mergeCell ref="N74:N80"/>
  </mergeCells>
  <conditionalFormatting sqref="I7:I85 I105:I113">
    <cfRule type="cellIs" dxfId="99" priority="15" operator="lessThan">
      <formula>0</formula>
    </cfRule>
    <cfRule type="cellIs" dxfId="98" priority="17" operator="lessThan">
      <formula>-1</formula>
    </cfRule>
    <cfRule type="cellIs" dxfId="97" priority="18" operator="greaterThanOrEqual">
      <formula>0</formula>
    </cfRule>
  </conditionalFormatting>
  <conditionalFormatting sqref="K7:M112 M113">
    <cfRule type="cellIs" dxfId="96" priority="16" operator="lessThan">
      <formula>-1</formula>
    </cfRule>
  </conditionalFormatting>
  <conditionalFormatting sqref="K7:M113">
    <cfRule type="cellIs" dxfId="95" priority="2" operator="greaterThanOrEqual">
      <formula>0</formula>
    </cfRule>
    <cfRule type="cellIs" dxfId="94" priority="14" operator="lessThan">
      <formula>0</formula>
    </cfRule>
  </conditionalFormatting>
  <conditionalFormatting sqref="K113:M113">
    <cfRule type="cellIs" dxfId="93" priority="1" operator="lessThan">
      <formula>-1</formula>
    </cfRule>
  </conditionalFormatting>
  <conditionalFormatting sqref="R86:S86">
    <cfRule type="cellIs" dxfId="92" priority="11" operator="lessThan">
      <formula>0</formula>
    </cfRule>
    <cfRule type="cellIs" dxfId="91" priority="12" operator="lessThan">
      <formula>-1</formula>
    </cfRule>
    <cfRule type="cellIs" dxfId="90" priority="13" operator="greaterThanOrEqual">
      <formula>0</formula>
    </cfRule>
  </conditionalFormatting>
  <conditionalFormatting sqref="R91:S93">
    <cfRule type="cellIs" dxfId="89" priority="8" operator="greaterThanOrEqual">
      <formula>0</formula>
    </cfRule>
    <cfRule type="cellIs" dxfId="88" priority="9" operator="lessThan">
      <formula>0</formula>
    </cfRule>
    <cfRule type="cellIs" dxfId="87" priority="10" operator="lessThan">
      <formula>-1</formula>
    </cfRule>
  </conditionalFormatting>
  <conditionalFormatting sqref="R92:S93">
    <cfRule type="cellIs" dxfId="86" priority="6" operator="lessThan">
      <formula>0</formula>
    </cfRule>
    <cfRule type="cellIs" dxfId="85" priority="7" operator="lessThan">
      <formula>-1</formula>
    </cfRule>
  </conditionalFormatting>
  <conditionalFormatting sqref="R101:S102">
    <cfRule type="cellIs" dxfId="84" priority="3" operator="lessThan">
      <formula>0</formula>
    </cfRule>
    <cfRule type="cellIs" dxfId="83" priority="4" operator="lessThan">
      <formula>-1</formula>
    </cfRule>
    <cfRule type="cellIs" dxfId="82" priority="5" operator="greaterThanOr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3A3B-8313-4A8A-A926-7BF0DBB2097E}">
  <sheetPr>
    <tabColor rgb="FFFF33CC"/>
  </sheetPr>
  <dimension ref="A1:T105"/>
  <sheetViews>
    <sheetView showGridLines="0" zoomScale="75" zoomScaleNormal="7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J7" sqref="J7"/>
    </sheetView>
  </sheetViews>
  <sheetFormatPr defaultRowHeight="14.5" outlineLevelRow="1"/>
  <cols>
    <col min="1" max="1" width="4.54296875" style="10" customWidth="1"/>
    <col min="2" max="2" width="11.453125" customWidth="1"/>
    <col min="3" max="3" width="27.81640625" bestFit="1" customWidth="1"/>
    <col min="4" max="4" width="8.1796875" style="21" customWidth="1"/>
    <col min="5" max="5" width="12.81640625" customWidth="1"/>
    <col min="6" max="7" width="15.453125" customWidth="1"/>
    <col min="8" max="8" width="16.54296875" customWidth="1"/>
    <col min="9" max="9" width="13.453125" style="10" customWidth="1"/>
    <col min="10" max="10" width="8.1796875" style="10" customWidth="1"/>
    <col min="11" max="11" width="12.1796875" style="43" customWidth="1"/>
    <col min="12" max="12" width="12.54296875" style="50" customWidth="1"/>
    <col min="13" max="13" width="12.1796875" style="67" customWidth="1"/>
    <col min="14" max="14" width="38.1796875" customWidth="1"/>
    <col min="15" max="15" width="63.81640625" bestFit="1" customWidth="1"/>
  </cols>
  <sheetData>
    <row r="1" spans="1:15" ht="21">
      <c r="B1" s="17" t="s">
        <v>255</v>
      </c>
    </row>
    <row r="4" spans="1:15" ht="46.5">
      <c r="A4" s="11" t="s">
        <v>235</v>
      </c>
      <c r="B4" s="11" t="s">
        <v>236</v>
      </c>
      <c r="C4" s="11" t="s">
        <v>237</v>
      </c>
      <c r="D4" s="11" t="s">
        <v>224</v>
      </c>
      <c r="E4" s="16" t="s">
        <v>364</v>
      </c>
      <c r="F4" s="16" t="s">
        <v>324</v>
      </c>
      <c r="G4" s="16" t="s">
        <v>365</v>
      </c>
      <c r="H4" s="75" t="s">
        <v>366</v>
      </c>
      <c r="I4" s="27" t="s">
        <v>367</v>
      </c>
      <c r="J4" s="27" t="s">
        <v>284</v>
      </c>
      <c r="K4" s="27" t="s">
        <v>287</v>
      </c>
      <c r="L4" s="27" t="s">
        <v>354</v>
      </c>
      <c r="M4" s="68" t="s">
        <v>301</v>
      </c>
      <c r="N4" s="11" t="s">
        <v>256</v>
      </c>
      <c r="O4" s="11" t="s">
        <v>238</v>
      </c>
    </row>
    <row r="5" spans="1:15" s="18" customFormat="1" ht="15.5">
      <c r="A5" s="14" t="s">
        <v>254</v>
      </c>
      <c r="B5" s="15" t="s">
        <v>111</v>
      </c>
      <c r="C5" s="15"/>
      <c r="D5" s="22"/>
      <c r="E5" s="15"/>
      <c r="F5" s="15"/>
      <c r="G5" s="15"/>
      <c r="H5" s="15"/>
      <c r="I5" s="14"/>
      <c r="J5" s="14"/>
      <c r="K5" s="44"/>
      <c r="L5" s="51"/>
      <c r="M5" s="69"/>
      <c r="N5" s="15"/>
      <c r="O5" s="15"/>
    </row>
    <row r="6" spans="1:15" s="18" customFormat="1" ht="15.5">
      <c r="A6" s="12" t="s">
        <v>239</v>
      </c>
      <c r="B6" s="13" t="s">
        <v>240</v>
      </c>
      <c r="C6" s="13"/>
      <c r="D6" s="23"/>
      <c r="E6" s="13"/>
      <c r="F6" s="13"/>
      <c r="G6" s="13"/>
      <c r="H6" s="13"/>
      <c r="I6" s="12"/>
      <c r="J6" s="12"/>
      <c r="K6" s="45"/>
      <c r="L6" s="52"/>
      <c r="M6" s="70"/>
      <c r="N6" s="13"/>
      <c r="O6" s="13"/>
    </row>
    <row r="7" spans="1:15" outlineLevel="1">
      <c r="A7" s="9">
        <v>1</v>
      </c>
      <c r="B7" s="119" t="s">
        <v>130</v>
      </c>
      <c r="C7" s="4" t="s">
        <v>16</v>
      </c>
      <c r="D7" s="24"/>
      <c r="E7" s="120">
        <v>503605</v>
      </c>
      <c r="F7" s="86">
        <v>2663100</v>
      </c>
      <c r="G7" s="86">
        <v>1160</v>
      </c>
      <c r="H7" s="87">
        <v>1160</v>
      </c>
      <c r="I7" s="46">
        <v>0</v>
      </c>
      <c r="J7" s="89">
        <v>1057.7957262938128</v>
      </c>
      <c r="K7" s="88">
        <v>102.20427370618722</v>
      </c>
      <c r="L7" s="53">
        <v>8.8107132505333807E-2</v>
      </c>
      <c r="M7" s="71"/>
      <c r="N7" s="4"/>
      <c r="O7" s="4"/>
    </row>
    <row r="8" spans="1:15" outlineLevel="1">
      <c r="A8" s="9">
        <v>2</v>
      </c>
      <c r="B8" s="4" t="s">
        <v>131</v>
      </c>
      <c r="C8" s="4" t="s">
        <v>17</v>
      </c>
      <c r="D8" s="24"/>
      <c r="E8" s="86">
        <v>154879.75</v>
      </c>
      <c r="F8" s="86">
        <v>25300</v>
      </c>
      <c r="G8" s="86">
        <v>1190</v>
      </c>
      <c r="H8" s="87">
        <v>1190</v>
      </c>
      <c r="I8" s="46">
        <v>0</v>
      </c>
      <c r="J8" s="89">
        <v>1057.7957262938128</v>
      </c>
      <c r="K8" s="88">
        <v>132.20427370618722</v>
      </c>
      <c r="L8" s="53">
        <v>0.11109602832452707</v>
      </c>
      <c r="M8" s="71"/>
      <c r="N8" s="4"/>
      <c r="O8" s="4"/>
    </row>
    <row r="9" spans="1:15" outlineLevel="1">
      <c r="A9" s="9">
        <v>3</v>
      </c>
      <c r="B9" s="4" t="s">
        <v>121</v>
      </c>
      <c r="C9" s="4" t="s">
        <v>7</v>
      </c>
      <c r="D9" s="24"/>
      <c r="E9" s="86">
        <v>788631.35</v>
      </c>
      <c r="F9" s="86">
        <v>616000</v>
      </c>
      <c r="G9" s="86">
        <v>1250</v>
      </c>
      <c r="H9" s="87">
        <v>1250</v>
      </c>
      <c r="I9" s="46">
        <v>0</v>
      </c>
      <c r="J9" s="89">
        <v>1113.7705258932212</v>
      </c>
      <c r="K9" s="88">
        <v>136.22947410677875</v>
      </c>
      <c r="L9" s="53">
        <v>0.108983579285423</v>
      </c>
      <c r="M9" s="71"/>
      <c r="N9" s="4"/>
      <c r="O9" s="4"/>
    </row>
    <row r="10" spans="1:15" outlineLevel="1">
      <c r="A10" s="9">
        <v>4</v>
      </c>
      <c r="B10" s="4" t="s">
        <v>133</v>
      </c>
      <c r="C10" s="4" t="s">
        <v>19</v>
      </c>
      <c r="D10" s="24"/>
      <c r="E10" s="86">
        <v>1999804.7000000002</v>
      </c>
      <c r="F10" s="86">
        <v>244200</v>
      </c>
      <c r="G10" s="86">
        <v>1090</v>
      </c>
      <c r="H10" s="87">
        <v>1090</v>
      </c>
      <c r="I10" s="46">
        <v>0</v>
      </c>
      <c r="J10" s="89">
        <v>1057.7957262938128</v>
      </c>
      <c r="K10" s="88">
        <v>32.204273706187223</v>
      </c>
      <c r="L10" s="53">
        <v>2.954520523503415E-2</v>
      </c>
      <c r="M10" s="71"/>
      <c r="N10" s="4"/>
      <c r="O10" s="4"/>
    </row>
    <row r="11" spans="1:15" outlineLevel="1">
      <c r="A11" s="9">
        <v>5</v>
      </c>
      <c r="B11" s="4" t="s">
        <v>118</v>
      </c>
      <c r="C11" s="4" t="s">
        <v>3</v>
      </c>
      <c r="D11" s="24"/>
      <c r="E11" s="86">
        <v>378162</v>
      </c>
      <c r="F11" s="86">
        <v>0</v>
      </c>
      <c r="G11" s="90">
        <v>1320</v>
      </c>
      <c r="H11" s="91">
        <v>1320</v>
      </c>
      <c r="I11" s="46">
        <v>0</v>
      </c>
      <c r="J11" s="89">
        <v>1155.3596491953047</v>
      </c>
      <c r="K11" s="88">
        <v>164.64035080469534</v>
      </c>
      <c r="L11" s="53">
        <v>0.12472753848840556</v>
      </c>
      <c r="M11" s="76"/>
      <c r="N11" s="4" t="s">
        <v>268</v>
      </c>
      <c r="O11" s="4"/>
    </row>
    <row r="12" spans="1:15" outlineLevel="1">
      <c r="A12" s="9">
        <v>7</v>
      </c>
      <c r="B12" s="4" t="s">
        <v>221</v>
      </c>
      <c r="C12" s="4" t="s">
        <v>107</v>
      </c>
      <c r="D12" s="24"/>
      <c r="E12" s="86">
        <v>34030</v>
      </c>
      <c r="F12" s="86">
        <v>0</v>
      </c>
      <c r="G12" s="86">
        <v>1160</v>
      </c>
      <c r="H12" s="87">
        <v>1160</v>
      </c>
      <c r="I12" s="46">
        <v>0</v>
      </c>
      <c r="J12" s="121">
        <v>1006.566037735849</v>
      </c>
      <c r="K12" s="88">
        <v>153.43396226415098</v>
      </c>
      <c r="L12" s="53">
        <v>0.13227065712426808</v>
      </c>
      <c r="M12" s="71"/>
      <c r="N12" s="4"/>
      <c r="O12" s="4"/>
    </row>
    <row r="13" spans="1:15" outlineLevel="1">
      <c r="A13" s="9">
        <v>9</v>
      </c>
      <c r="B13" s="4" t="s">
        <v>277</v>
      </c>
      <c r="C13" s="4" t="s">
        <v>278</v>
      </c>
      <c r="D13" s="24"/>
      <c r="E13" s="86">
        <v>65840</v>
      </c>
      <c r="F13" s="86">
        <v>0</v>
      </c>
      <c r="G13" s="90">
        <v>1410</v>
      </c>
      <c r="H13" s="91">
        <v>690</v>
      </c>
      <c r="I13" s="88">
        <v>-720</v>
      </c>
      <c r="J13" s="92">
        <v>1222.6415094339623</v>
      </c>
      <c r="K13" s="88">
        <v>-532.64150943396226</v>
      </c>
      <c r="L13" s="53">
        <v>-0.7719442165709598</v>
      </c>
      <c r="M13" s="76"/>
      <c r="N13" s="4" t="s">
        <v>268</v>
      </c>
      <c r="O13" s="4" t="s">
        <v>303</v>
      </c>
    </row>
    <row r="14" spans="1:15" outlineLevel="1">
      <c r="A14" s="9">
        <v>10</v>
      </c>
      <c r="B14" s="119" t="s">
        <v>209</v>
      </c>
      <c r="C14" s="4" t="s">
        <v>95</v>
      </c>
      <c r="D14" s="24"/>
      <c r="E14" s="120">
        <v>32405.5</v>
      </c>
      <c r="F14" s="86">
        <v>6600</v>
      </c>
      <c r="G14" s="86">
        <v>1190</v>
      </c>
      <c r="H14" s="87">
        <v>1190</v>
      </c>
      <c r="I14" s="46">
        <v>0</v>
      </c>
      <c r="J14" s="93">
        <v>1117.1698113207547</v>
      </c>
      <c r="K14" s="88">
        <v>72.830188679245339</v>
      </c>
      <c r="L14" s="53">
        <v>6.1201839226256584E-2</v>
      </c>
      <c r="M14" s="71"/>
      <c r="N14" s="4" t="s">
        <v>257</v>
      </c>
      <c r="O14" s="4" t="s">
        <v>303</v>
      </c>
    </row>
    <row r="15" spans="1:15" s="18" customFormat="1" ht="15.5">
      <c r="A15" s="12" t="s">
        <v>241</v>
      </c>
      <c r="B15" s="13" t="s">
        <v>242</v>
      </c>
      <c r="C15" s="13"/>
      <c r="D15" s="23"/>
      <c r="E15" s="94"/>
      <c r="F15" s="94"/>
      <c r="G15" s="94"/>
      <c r="H15" s="95"/>
      <c r="I15" s="96"/>
      <c r="J15" s="97"/>
      <c r="K15" s="96"/>
      <c r="L15" s="54"/>
      <c r="M15" s="72"/>
      <c r="N15" s="13"/>
      <c r="O15" s="13"/>
    </row>
    <row r="16" spans="1:15" outlineLevel="1">
      <c r="A16" s="9">
        <v>1</v>
      </c>
      <c r="B16" s="4" t="s">
        <v>148</v>
      </c>
      <c r="C16" s="4" t="s">
        <v>34</v>
      </c>
      <c r="D16" s="24"/>
      <c r="E16" s="86">
        <v>1649997</v>
      </c>
      <c r="F16" s="86">
        <v>0</v>
      </c>
      <c r="G16" s="86">
        <v>1190</v>
      </c>
      <c r="H16" s="87">
        <v>1190</v>
      </c>
      <c r="I16" s="46">
        <v>0</v>
      </c>
      <c r="J16" s="89">
        <v>1057.7957262938128</v>
      </c>
      <c r="K16" s="88">
        <v>132.20427370618722</v>
      </c>
      <c r="L16" s="53">
        <v>0.11109602832452707</v>
      </c>
      <c r="M16" s="71"/>
      <c r="N16" s="4" t="s">
        <v>269</v>
      </c>
      <c r="O16" s="4"/>
    </row>
    <row r="17" spans="1:17" outlineLevel="1">
      <c r="A17" s="9">
        <v>2</v>
      </c>
      <c r="B17" s="4" t="s">
        <v>147</v>
      </c>
      <c r="C17" s="4" t="s">
        <v>33</v>
      </c>
      <c r="D17" s="24"/>
      <c r="E17" s="86">
        <v>287099.5</v>
      </c>
      <c r="F17" s="86">
        <v>11000</v>
      </c>
      <c r="G17" s="86">
        <v>1160</v>
      </c>
      <c r="H17" s="87">
        <v>1160</v>
      </c>
      <c r="I17" s="46">
        <v>0</v>
      </c>
      <c r="J17" s="89">
        <v>1057.7957262938128</v>
      </c>
      <c r="K17" s="88">
        <v>102.20427370618722</v>
      </c>
      <c r="L17" s="53">
        <v>8.8107132505333807E-2</v>
      </c>
      <c r="M17" s="71"/>
      <c r="N17" s="4" t="s">
        <v>270</v>
      </c>
      <c r="O17" s="4"/>
    </row>
    <row r="18" spans="1:17" outlineLevel="1">
      <c r="A18" s="9">
        <v>3</v>
      </c>
      <c r="B18" s="4" t="s">
        <v>151</v>
      </c>
      <c r="C18" s="4" t="s">
        <v>37</v>
      </c>
      <c r="D18" s="24"/>
      <c r="E18" s="86">
        <v>52800</v>
      </c>
      <c r="F18" s="86">
        <v>0</v>
      </c>
      <c r="G18" s="86"/>
      <c r="H18" s="87"/>
      <c r="I18" s="46">
        <v>0</v>
      </c>
      <c r="J18" s="89">
        <v>1109.2830188679245</v>
      </c>
      <c r="K18" s="88"/>
      <c r="L18" s="53"/>
      <c r="M18" s="71"/>
      <c r="N18" s="4" t="s">
        <v>271</v>
      </c>
      <c r="O18" s="4" t="s">
        <v>303</v>
      </c>
    </row>
    <row r="19" spans="1:17" outlineLevel="1">
      <c r="A19" s="9">
        <v>6</v>
      </c>
      <c r="B19" s="122" t="s">
        <v>202</v>
      </c>
      <c r="C19" s="4" t="s">
        <v>88</v>
      </c>
      <c r="D19" s="24"/>
      <c r="E19" s="86">
        <v>73650</v>
      </c>
      <c r="F19" s="86">
        <v>0</v>
      </c>
      <c r="G19" s="86"/>
      <c r="H19" s="87"/>
      <c r="I19" s="46">
        <v>0</v>
      </c>
      <c r="J19" s="121">
        <v>1042.1886792452831</v>
      </c>
      <c r="K19" s="88"/>
      <c r="L19" s="53"/>
      <c r="M19" s="71"/>
      <c r="N19" s="4" t="s">
        <v>271</v>
      </c>
      <c r="O19" s="4" t="s">
        <v>303</v>
      </c>
      <c r="Q19" s="123">
        <v>27618000</v>
      </c>
    </row>
    <row r="20" spans="1:17" outlineLevel="1">
      <c r="A20" s="9">
        <v>8</v>
      </c>
      <c r="B20" s="119" t="s">
        <v>146</v>
      </c>
      <c r="C20" s="4" t="s">
        <v>32</v>
      </c>
      <c r="D20" s="24"/>
      <c r="E20" s="86">
        <v>800</v>
      </c>
      <c r="F20" s="86">
        <v>0</v>
      </c>
      <c r="G20" s="86"/>
      <c r="H20" s="87"/>
      <c r="I20" s="46">
        <v>0</v>
      </c>
      <c r="J20" s="89">
        <v>1176.2641509433963</v>
      </c>
      <c r="K20" s="88"/>
      <c r="L20" s="53"/>
      <c r="M20" s="71"/>
      <c r="N20" s="4" t="s">
        <v>272</v>
      </c>
      <c r="O20" s="4" t="s">
        <v>303</v>
      </c>
    </row>
    <row r="21" spans="1:17" s="18" customFormat="1" ht="15.5">
      <c r="A21" s="12" t="s">
        <v>243</v>
      </c>
      <c r="B21" s="13" t="s">
        <v>291</v>
      </c>
      <c r="C21" s="13"/>
      <c r="D21" s="23"/>
      <c r="E21" s="94"/>
      <c r="F21" s="94"/>
      <c r="G21" s="94"/>
      <c r="H21" s="95"/>
      <c r="I21" s="96"/>
      <c r="J21" s="97"/>
      <c r="K21" s="96"/>
      <c r="L21" s="54"/>
      <c r="M21" s="72"/>
      <c r="N21" s="13"/>
      <c r="O21" s="13"/>
    </row>
    <row r="22" spans="1:17" outlineLevel="1">
      <c r="A22" s="9">
        <v>1</v>
      </c>
      <c r="B22" s="4" t="s">
        <v>201</v>
      </c>
      <c r="C22" s="4" t="s">
        <v>87</v>
      </c>
      <c r="D22" s="24"/>
      <c r="E22" s="86">
        <v>16099</v>
      </c>
      <c r="F22" s="86">
        <v>0</v>
      </c>
      <c r="G22" s="86">
        <v>770</v>
      </c>
      <c r="H22" s="87">
        <v>770</v>
      </c>
      <c r="I22" s="46">
        <v>0</v>
      </c>
      <c r="J22" s="89">
        <v>853</v>
      </c>
      <c r="K22" s="88">
        <v>-83</v>
      </c>
      <c r="L22" s="53">
        <v>-0.10779220779220779</v>
      </c>
      <c r="M22" s="71"/>
      <c r="N22" s="4"/>
      <c r="O22" s="4" t="s">
        <v>246</v>
      </c>
    </row>
    <row r="23" spans="1:17" outlineLevel="1">
      <c r="A23" s="9">
        <v>2</v>
      </c>
      <c r="B23" s="4" t="s">
        <v>182</v>
      </c>
      <c r="C23" s="4" t="s">
        <v>68</v>
      </c>
      <c r="D23" s="24"/>
      <c r="E23" s="86">
        <v>570335.69999999995</v>
      </c>
      <c r="F23" s="86">
        <v>23100</v>
      </c>
      <c r="G23" s="86">
        <v>720</v>
      </c>
      <c r="H23" s="87">
        <v>720</v>
      </c>
      <c r="I23" s="46">
        <v>0</v>
      </c>
      <c r="J23" s="89">
        <v>880</v>
      </c>
      <c r="K23" s="88">
        <v>-160</v>
      </c>
      <c r="L23" s="53">
        <v>-0.22222222222222221</v>
      </c>
      <c r="M23" s="71"/>
      <c r="N23" s="4"/>
      <c r="O23" s="4" t="s">
        <v>250</v>
      </c>
    </row>
    <row r="24" spans="1:17" outlineLevel="1">
      <c r="A24" s="9">
        <v>2</v>
      </c>
      <c r="B24" s="4" t="s">
        <v>150</v>
      </c>
      <c r="C24" s="124" t="s">
        <v>36</v>
      </c>
      <c r="D24" s="24"/>
      <c r="E24" s="86">
        <v>4514.7</v>
      </c>
      <c r="F24" s="86">
        <v>0</v>
      </c>
      <c r="G24" s="86">
        <v>1030</v>
      </c>
      <c r="H24" s="87">
        <v>1030</v>
      </c>
      <c r="I24" s="46">
        <v>0</v>
      </c>
      <c r="J24" s="89">
        <v>517</v>
      </c>
      <c r="K24" s="88">
        <v>513</v>
      </c>
      <c r="L24" s="53">
        <v>0.49805825242718449</v>
      </c>
      <c r="M24" s="71"/>
      <c r="N24" s="4"/>
      <c r="O24" s="4" t="s">
        <v>247</v>
      </c>
    </row>
    <row r="25" spans="1:17" outlineLevel="1">
      <c r="A25" s="9">
        <v>3</v>
      </c>
      <c r="B25" s="4" t="s">
        <v>152</v>
      </c>
      <c r="C25" s="4" t="s">
        <v>38</v>
      </c>
      <c r="D25" s="24"/>
      <c r="E25" s="86">
        <v>171597.5</v>
      </c>
      <c r="F25" s="86">
        <v>0</v>
      </c>
      <c r="G25" s="86"/>
      <c r="H25" s="87"/>
      <c r="I25" s="46">
        <v>0</v>
      </c>
      <c r="J25" s="89"/>
      <c r="K25" s="88"/>
      <c r="L25" s="53"/>
      <c r="M25" s="71"/>
      <c r="N25" s="4"/>
      <c r="O25" s="4" t="s">
        <v>251</v>
      </c>
    </row>
    <row r="26" spans="1:17" outlineLevel="1">
      <c r="A26" s="9">
        <v>3</v>
      </c>
      <c r="B26" s="4" t="s">
        <v>149</v>
      </c>
      <c r="C26" s="4" t="s">
        <v>35</v>
      </c>
      <c r="D26" s="24"/>
      <c r="E26" s="86">
        <v>68711.600000000006</v>
      </c>
      <c r="F26" s="86">
        <v>-17600</v>
      </c>
      <c r="G26" s="86">
        <v>1030</v>
      </c>
      <c r="H26" s="87">
        <v>1030</v>
      </c>
      <c r="I26" s="46">
        <v>0</v>
      </c>
      <c r="J26" s="89">
        <v>579</v>
      </c>
      <c r="K26" s="88">
        <v>451</v>
      </c>
      <c r="L26" s="53">
        <v>0.43786407766990293</v>
      </c>
      <c r="M26" s="71"/>
      <c r="N26" s="4"/>
      <c r="O26" s="4" t="s">
        <v>248</v>
      </c>
    </row>
    <row r="27" spans="1:17" outlineLevel="1">
      <c r="A27" s="9">
        <v>4</v>
      </c>
      <c r="B27" s="4" t="s">
        <v>154</v>
      </c>
      <c r="C27" s="4" t="s">
        <v>40</v>
      </c>
      <c r="D27" s="24"/>
      <c r="E27" s="86">
        <v>13179.6</v>
      </c>
      <c r="F27" s="86">
        <v>0</v>
      </c>
      <c r="G27" s="86">
        <v>1030</v>
      </c>
      <c r="H27" s="87">
        <v>1030</v>
      </c>
      <c r="I27" s="46">
        <v>0</v>
      </c>
      <c r="J27" s="89">
        <v>668</v>
      </c>
      <c r="K27" s="88">
        <v>362</v>
      </c>
      <c r="L27" s="53">
        <v>0.35145631067961164</v>
      </c>
      <c r="M27" s="71"/>
      <c r="N27" s="4"/>
      <c r="O27" s="4" t="s">
        <v>248</v>
      </c>
    </row>
    <row r="28" spans="1:17" outlineLevel="1">
      <c r="A28" s="9">
        <v>4</v>
      </c>
      <c r="B28" s="4" t="s">
        <v>200</v>
      </c>
      <c r="C28" s="4" t="s">
        <v>86</v>
      </c>
      <c r="D28" s="24"/>
      <c r="E28" s="86">
        <v>90593</v>
      </c>
      <c r="F28" s="86">
        <v>0</v>
      </c>
      <c r="G28" s="86">
        <v>570</v>
      </c>
      <c r="H28" s="87">
        <v>570</v>
      </c>
      <c r="I28" s="46">
        <v>0</v>
      </c>
      <c r="J28" s="89">
        <v>589</v>
      </c>
      <c r="K28" s="88">
        <v>-19</v>
      </c>
      <c r="L28" s="53">
        <v>-3.3333333333333333E-2</v>
      </c>
      <c r="M28" s="71"/>
      <c r="N28" s="4"/>
      <c r="O28" s="4" t="s">
        <v>249</v>
      </c>
    </row>
    <row r="29" spans="1:17" s="19" customFormat="1" outlineLevel="1">
      <c r="A29" s="9">
        <v>5</v>
      </c>
      <c r="B29" s="8" t="s">
        <v>177</v>
      </c>
      <c r="C29" s="8" t="s">
        <v>63</v>
      </c>
      <c r="D29" s="25"/>
      <c r="E29" s="98">
        <v>37399</v>
      </c>
      <c r="F29" s="98">
        <v>0</v>
      </c>
      <c r="G29" s="98"/>
      <c r="H29" s="87"/>
      <c r="I29" s="46"/>
      <c r="J29" s="99"/>
      <c r="K29" s="88"/>
      <c r="L29" s="53"/>
      <c r="M29" s="71"/>
      <c r="N29" s="8"/>
      <c r="O29" s="8" t="s">
        <v>252</v>
      </c>
    </row>
    <row r="30" spans="1:17" s="18" customFormat="1" ht="15.5">
      <c r="A30" s="14" t="s">
        <v>258</v>
      </c>
      <c r="B30" s="15" t="s">
        <v>266</v>
      </c>
      <c r="C30" s="15"/>
      <c r="D30" s="22"/>
      <c r="E30" s="100"/>
      <c r="F30" s="100"/>
      <c r="G30" s="100"/>
      <c r="H30" s="101">
        <v>220</v>
      </c>
      <c r="I30" s="102"/>
      <c r="J30" s="103"/>
      <c r="K30" s="102"/>
      <c r="L30" s="55"/>
      <c r="M30" s="73"/>
      <c r="N30" s="15"/>
      <c r="O30" s="15"/>
    </row>
    <row r="31" spans="1:17" s="18" customFormat="1" ht="15.5">
      <c r="A31" s="12" t="s">
        <v>239</v>
      </c>
      <c r="B31" s="13" t="s">
        <v>240</v>
      </c>
      <c r="C31" s="13"/>
      <c r="D31" s="23"/>
      <c r="E31" s="94"/>
      <c r="F31" s="94"/>
      <c r="G31" s="94"/>
      <c r="H31" s="95"/>
      <c r="I31" s="96"/>
      <c r="J31" s="97"/>
      <c r="K31" s="96"/>
      <c r="L31" s="54"/>
      <c r="M31" s="72"/>
      <c r="N31" s="13"/>
      <c r="O31" s="13"/>
    </row>
    <row r="32" spans="1:17" outlineLevel="1">
      <c r="A32" s="9">
        <v>1</v>
      </c>
      <c r="B32" s="4" t="s">
        <v>126</v>
      </c>
      <c r="C32" s="4" t="s">
        <v>12</v>
      </c>
      <c r="D32" s="24" t="s">
        <v>230</v>
      </c>
      <c r="E32" s="86">
        <v>404076.5</v>
      </c>
      <c r="F32" s="86">
        <v>211750</v>
      </c>
      <c r="G32" s="86"/>
      <c r="H32" s="87"/>
      <c r="I32" s="46">
        <v>0</v>
      </c>
      <c r="J32" s="89">
        <v>1076</v>
      </c>
      <c r="K32" s="88"/>
      <c r="L32" s="53"/>
      <c r="M32" s="71"/>
      <c r="N32" s="4" t="s">
        <v>313</v>
      </c>
      <c r="O32" s="4"/>
    </row>
    <row r="33" spans="1:15" outlineLevel="1">
      <c r="A33" s="9">
        <v>2</v>
      </c>
      <c r="B33" s="4" t="s">
        <v>173</v>
      </c>
      <c r="C33" s="4" t="s">
        <v>59</v>
      </c>
      <c r="D33" s="24" t="s">
        <v>227</v>
      </c>
      <c r="E33" s="86">
        <v>40547</v>
      </c>
      <c r="F33" s="86">
        <v>0</v>
      </c>
      <c r="G33" s="86"/>
      <c r="H33" s="87"/>
      <c r="I33" s="46">
        <v>0</v>
      </c>
      <c r="J33" s="89">
        <v>1071.1352871447716</v>
      </c>
      <c r="K33" s="88"/>
      <c r="L33" s="53"/>
      <c r="M33" s="71"/>
      <c r="N33" s="4" t="s">
        <v>313</v>
      </c>
      <c r="O33" s="4"/>
    </row>
    <row r="34" spans="1:15" outlineLevel="1">
      <c r="A34" s="9">
        <v>3</v>
      </c>
      <c r="B34" s="4" t="s">
        <v>145</v>
      </c>
      <c r="C34" s="4" t="s">
        <v>31</v>
      </c>
      <c r="D34" s="24" t="s">
        <v>230</v>
      </c>
      <c r="E34" s="86">
        <v>326364.40000000002</v>
      </c>
      <c r="F34" s="86">
        <v>44500</v>
      </c>
      <c r="G34" s="86">
        <v>1200</v>
      </c>
      <c r="H34" s="87">
        <v>1200</v>
      </c>
      <c r="I34" s="46">
        <v>0</v>
      </c>
      <c r="J34" s="89">
        <v>1076</v>
      </c>
      <c r="K34" s="88">
        <v>124</v>
      </c>
      <c r="L34" s="53">
        <v>0.10333333333333333</v>
      </c>
      <c r="M34" s="71"/>
      <c r="N34" s="4"/>
      <c r="O34" s="4"/>
    </row>
    <row r="35" spans="1:15" outlineLevel="1">
      <c r="A35" s="9">
        <v>4</v>
      </c>
      <c r="B35" s="4" t="s">
        <v>280</v>
      </c>
      <c r="C35" s="4" t="s">
        <v>281</v>
      </c>
      <c r="D35" s="24" t="s">
        <v>230</v>
      </c>
      <c r="E35" s="86">
        <v>1749</v>
      </c>
      <c r="F35" s="86">
        <v>0</v>
      </c>
      <c r="G35" s="86">
        <v>1300</v>
      </c>
      <c r="H35" s="87">
        <v>1300</v>
      </c>
      <c r="I35" s="46">
        <v>0</v>
      </c>
      <c r="J35" s="89">
        <v>1083</v>
      </c>
      <c r="K35" s="88">
        <v>217</v>
      </c>
      <c r="L35" s="53">
        <v>0.16692307692307692</v>
      </c>
      <c r="M35" s="71"/>
      <c r="N35" s="4"/>
      <c r="O35" s="4"/>
    </row>
    <row r="36" spans="1:15" outlineLevel="1">
      <c r="A36" s="9">
        <v>5</v>
      </c>
      <c r="B36" s="4" t="s">
        <v>207</v>
      </c>
      <c r="C36" s="4" t="s">
        <v>93</v>
      </c>
      <c r="D36" s="24" t="s">
        <v>230</v>
      </c>
      <c r="E36" s="86">
        <v>377595</v>
      </c>
      <c r="F36" s="86">
        <v>11000</v>
      </c>
      <c r="G36" s="86"/>
      <c r="H36" s="87"/>
      <c r="I36" s="46">
        <v>0</v>
      </c>
      <c r="J36" s="89">
        <v>1083</v>
      </c>
      <c r="K36" s="88"/>
      <c r="L36" s="53"/>
      <c r="M36" s="71"/>
      <c r="N36" s="4" t="s">
        <v>313</v>
      </c>
      <c r="O36" s="4"/>
    </row>
    <row r="37" spans="1:15" outlineLevel="1">
      <c r="A37" s="9">
        <v>6</v>
      </c>
      <c r="B37" s="4" t="s">
        <v>172</v>
      </c>
      <c r="C37" s="4" t="s">
        <v>58</v>
      </c>
      <c r="D37" s="24" t="s">
        <v>225</v>
      </c>
      <c r="E37" s="86">
        <v>93557.5</v>
      </c>
      <c r="F37" s="86">
        <v>60500</v>
      </c>
      <c r="G37" s="86"/>
      <c r="H37" s="87"/>
      <c r="I37" s="46">
        <v>0</v>
      </c>
      <c r="J37" s="89">
        <v>1101.2590431031886</v>
      </c>
      <c r="K37" s="88"/>
      <c r="L37" s="53"/>
      <c r="M37" s="71"/>
      <c r="N37" s="4" t="s">
        <v>313</v>
      </c>
      <c r="O37" s="4"/>
    </row>
    <row r="38" spans="1:15" outlineLevel="1">
      <c r="A38" s="9">
        <v>7</v>
      </c>
      <c r="B38" s="4" t="s">
        <v>218</v>
      </c>
      <c r="C38" s="4" t="s">
        <v>104</v>
      </c>
      <c r="D38" s="24" t="s">
        <v>225</v>
      </c>
      <c r="E38" s="86">
        <v>15628</v>
      </c>
      <c r="F38" s="86">
        <v>0</v>
      </c>
      <c r="G38" s="86">
        <v>1250</v>
      </c>
      <c r="H38" s="87">
        <v>1250</v>
      </c>
      <c r="I38" s="46">
        <v>0</v>
      </c>
      <c r="J38" s="89">
        <v>1101.2590431031886</v>
      </c>
      <c r="K38" s="88">
        <v>148.74095689681144</v>
      </c>
      <c r="L38" s="53">
        <v>0.11899276551744915</v>
      </c>
      <c r="M38" s="71"/>
      <c r="N38" s="4"/>
      <c r="O38" s="4"/>
    </row>
    <row r="39" spans="1:15" s="18" customFormat="1" ht="15.5">
      <c r="A39" s="12" t="s">
        <v>241</v>
      </c>
      <c r="B39" s="13" t="s">
        <v>242</v>
      </c>
      <c r="C39" s="13"/>
      <c r="D39" s="23"/>
      <c r="E39" s="94"/>
      <c r="F39" s="94"/>
      <c r="G39" s="94"/>
      <c r="H39" s="95"/>
      <c r="I39" s="96"/>
      <c r="J39" s="97"/>
      <c r="K39" s="96"/>
      <c r="L39" s="54"/>
      <c r="M39" s="72"/>
      <c r="N39" s="13"/>
      <c r="O39" s="13"/>
    </row>
    <row r="40" spans="1:15" outlineLevel="1">
      <c r="A40" s="9">
        <v>1</v>
      </c>
      <c r="B40" s="4" t="s">
        <v>153</v>
      </c>
      <c r="C40" s="4" t="s">
        <v>39</v>
      </c>
      <c r="D40" s="24" t="s">
        <v>230</v>
      </c>
      <c r="E40" s="86">
        <v>2750</v>
      </c>
      <c r="F40" s="86">
        <v>0</v>
      </c>
      <c r="G40" s="86">
        <v>1200</v>
      </c>
      <c r="H40" s="87">
        <v>1200</v>
      </c>
      <c r="I40" s="46">
        <v>0</v>
      </c>
      <c r="J40" s="89">
        <v>1189.2830188679245</v>
      </c>
      <c r="K40" s="88">
        <v>10.716981132075489</v>
      </c>
      <c r="L40" s="53">
        <v>8.9308176100629071E-3</v>
      </c>
      <c r="M40" s="71"/>
      <c r="N40" s="4" t="s">
        <v>285</v>
      </c>
      <c r="O40" s="4" t="s">
        <v>286</v>
      </c>
    </row>
    <row r="41" spans="1:15" outlineLevel="1">
      <c r="A41" s="9">
        <v>2</v>
      </c>
      <c r="B41" s="4" t="s">
        <v>129</v>
      </c>
      <c r="C41" s="4" t="s">
        <v>15</v>
      </c>
      <c r="D41" s="24" t="s">
        <v>227</v>
      </c>
      <c r="E41" s="86">
        <v>3575</v>
      </c>
      <c r="F41" s="86">
        <v>0</v>
      </c>
      <c r="G41" s="86">
        <v>1200</v>
      </c>
      <c r="H41" s="87">
        <v>1200</v>
      </c>
      <c r="I41" s="46">
        <v>0</v>
      </c>
      <c r="J41" s="89">
        <v>1297.9245283018868</v>
      </c>
      <c r="K41" s="88">
        <v>-97.924528301886767</v>
      </c>
      <c r="L41" s="53">
        <v>-8.1603773584905642E-2</v>
      </c>
      <c r="M41" s="71"/>
      <c r="N41" s="4" t="s">
        <v>308</v>
      </c>
      <c r="O41" s="4"/>
    </row>
    <row r="42" spans="1:15" outlineLevel="1">
      <c r="A42" s="9">
        <v>3</v>
      </c>
      <c r="B42" s="4" t="s">
        <v>174</v>
      </c>
      <c r="C42" s="4" t="s">
        <v>60</v>
      </c>
      <c r="D42" s="24" t="s">
        <v>232</v>
      </c>
      <c r="E42" s="86">
        <v>18774</v>
      </c>
      <c r="F42" s="86">
        <v>0</v>
      </c>
      <c r="G42" s="86"/>
      <c r="H42" s="87"/>
      <c r="I42" s="46">
        <v>0</v>
      </c>
      <c r="J42" s="89">
        <v>823.13207547169816</v>
      </c>
      <c r="K42" s="88"/>
      <c r="L42" s="53"/>
      <c r="M42" s="71"/>
      <c r="N42" s="4" t="s">
        <v>313</v>
      </c>
      <c r="O42" s="4"/>
    </row>
    <row r="43" spans="1:15" outlineLevel="1">
      <c r="A43" s="9">
        <v>4</v>
      </c>
      <c r="B43" s="4" t="s">
        <v>128</v>
      </c>
      <c r="C43" s="4" t="s">
        <v>14</v>
      </c>
      <c r="D43" s="24" t="s">
        <v>232</v>
      </c>
      <c r="E43" s="86">
        <v>13300</v>
      </c>
      <c r="F43" s="86">
        <v>0</v>
      </c>
      <c r="G43" s="86">
        <v>1200</v>
      </c>
      <c r="H43" s="87">
        <v>1200</v>
      </c>
      <c r="I43" s="46">
        <v>0</v>
      </c>
      <c r="J43" s="89">
        <v>823.13207547169816</v>
      </c>
      <c r="K43" s="88">
        <v>376.86792452830184</v>
      </c>
      <c r="L43" s="53">
        <v>0.31405660377358485</v>
      </c>
      <c r="M43" s="71"/>
      <c r="N43" s="4" t="s">
        <v>285</v>
      </c>
      <c r="O43" s="4"/>
    </row>
    <row r="44" spans="1:15" outlineLevel="1">
      <c r="A44" s="9">
        <v>5</v>
      </c>
      <c r="B44" s="4" t="s">
        <v>124</v>
      </c>
      <c r="C44" s="4" t="s">
        <v>10</v>
      </c>
      <c r="D44" s="24"/>
      <c r="E44" s="86">
        <v>11303.9</v>
      </c>
      <c r="F44" s="86">
        <v>0</v>
      </c>
      <c r="G44" s="86"/>
      <c r="H44" s="87"/>
      <c r="I44" s="46">
        <v>0</v>
      </c>
      <c r="J44" s="89"/>
      <c r="K44" s="88"/>
      <c r="L44" s="53"/>
      <c r="M44" s="71"/>
      <c r="N44" s="4"/>
      <c r="O44" s="4"/>
    </row>
    <row r="45" spans="1:15" outlineLevel="1">
      <c r="A45" s="9">
        <v>6</v>
      </c>
      <c r="B45" s="4" t="s">
        <v>125</v>
      </c>
      <c r="C45" s="4" t="s">
        <v>11</v>
      </c>
      <c r="D45" s="24" t="s">
        <v>225</v>
      </c>
      <c r="E45" s="86">
        <v>350</v>
      </c>
      <c r="F45" s="86">
        <v>0</v>
      </c>
      <c r="G45" s="86">
        <v>1200</v>
      </c>
      <c r="H45" s="87">
        <v>1200</v>
      </c>
      <c r="I45" s="46">
        <v>0</v>
      </c>
      <c r="J45" s="89">
        <v>1108.7169811320755</v>
      </c>
      <c r="K45" s="88">
        <v>91.283018867924511</v>
      </c>
      <c r="L45" s="53">
        <v>7.6069182389937096E-2</v>
      </c>
      <c r="M45" s="71"/>
      <c r="N45" s="4"/>
      <c r="O45" s="4"/>
    </row>
    <row r="46" spans="1:15" s="18" customFormat="1" ht="15.5">
      <c r="A46" s="12" t="s">
        <v>243</v>
      </c>
      <c r="B46" s="13" t="s">
        <v>264</v>
      </c>
      <c r="C46" s="13"/>
      <c r="D46" s="23"/>
      <c r="E46" s="94"/>
      <c r="F46" s="94"/>
      <c r="G46" s="94"/>
      <c r="H46" s="95"/>
      <c r="I46" s="95"/>
      <c r="J46" s="97"/>
      <c r="K46" s="96"/>
      <c r="L46" s="54"/>
      <c r="M46" s="72"/>
      <c r="N46" s="13"/>
      <c r="O46" s="13"/>
    </row>
    <row r="47" spans="1:15" outlineLevel="1">
      <c r="A47" s="9">
        <v>1</v>
      </c>
      <c r="B47" s="4" t="s">
        <v>127</v>
      </c>
      <c r="C47" s="4" t="s">
        <v>13</v>
      </c>
      <c r="D47" s="24" t="s">
        <v>229</v>
      </c>
      <c r="E47" s="86">
        <v>159325.5</v>
      </c>
      <c r="F47" s="86">
        <v>15625</v>
      </c>
      <c r="G47" s="86">
        <v>780</v>
      </c>
      <c r="H47" s="87">
        <v>780</v>
      </c>
      <c r="I47" s="46">
        <v>0</v>
      </c>
      <c r="J47" s="89">
        <v>736.5405420805605</v>
      </c>
      <c r="K47" s="88">
        <v>43.459457919439501</v>
      </c>
      <c r="L47" s="53">
        <v>5.5717253742871155E-2</v>
      </c>
      <c r="M47" s="71"/>
      <c r="N47" s="4"/>
      <c r="O47" s="4" t="s">
        <v>253</v>
      </c>
    </row>
    <row r="48" spans="1:15" s="18" customFormat="1" ht="15.5">
      <c r="A48" s="14" t="s">
        <v>259</v>
      </c>
      <c r="B48" s="15" t="s">
        <v>265</v>
      </c>
      <c r="C48" s="15"/>
      <c r="D48" s="22"/>
      <c r="E48" s="100"/>
      <c r="F48" s="100"/>
      <c r="G48" s="100"/>
      <c r="H48" s="100"/>
      <c r="I48" s="102"/>
      <c r="J48" s="103"/>
      <c r="K48" s="102"/>
      <c r="L48" s="55"/>
      <c r="M48" s="73"/>
      <c r="N48" s="15"/>
      <c r="O48" s="15"/>
    </row>
    <row r="49" spans="1:15" s="18" customFormat="1" ht="15.5">
      <c r="A49" s="12" t="s">
        <v>239</v>
      </c>
      <c r="B49" s="13" t="s">
        <v>240</v>
      </c>
      <c r="C49" s="13"/>
      <c r="D49" s="23"/>
      <c r="E49" s="94"/>
      <c r="F49" s="94"/>
      <c r="G49" s="94"/>
      <c r="H49" s="94"/>
      <c r="I49" s="96"/>
      <c r="J49" s="97"/>
      <c r="K49" s="96"/>
      <c r="L49" s="54"/>
      <c r="M49" s="72"/>
      <c r="N49" s="13"/>
      <c r="O49" s="13"/>
    </row>
    <row r="50" spans="1:15" outlineLevel="1">
      <c r="A50" s="9">
        <v>1</v>
      </c>
      <c r="B50" s="4" t="s">
        <v>134</v>
      </c>
      <c r="C50" s="4" t="s">
        <v>20</v>
      </c>
      <c r="D50" s="24" t="s">
        <v>228</v>
      </c>
      <c r="E50" s="86">
        <v>21245</v>
      </c>
      <c r="F50" s="86">
        <v>22500</v>
      </c>
      <c r="G50" s="104">
        <v>740</v>
      </c>
      <c r="H50" s="87">
        <v>740</v>
      </c>
      <c r="I50" s="46">
        <v>0</v>
      </c>
      <c r="J50" s="89">
        <v>746.42906346587836</v>
      </c>
      <c r="K50" s="88">
        <v>-6.4290634658783574</v>
      </c>
      <c r="L50" s="53">
        <v>-8.6879236025383215E-3</v>
      </c>
      <c r="M50" s="71"/>
      <c r="N50" s="28" t="s">
        <v>274</v>
      </c>
      <c r="O50" s="4"/>
    </row>
    <row r="51" spans="1:15" outlineLevel="1">
      <c r="A51" s="9">
        <v>2</v>
      </c>
      <c r="B51" s="4" t="s">
        <v>139</v>
      </c>
      <c r="C51" s="4" t="s">
        <v>25</v>
      </c>
      <c r="D51" s="24" t="s">
        <v>232</v>
      </c>
      <c r="E51" s="86">
        <v>29275</v>
      </c>
      <c r="F51" s="86">
        <v>28000</v>
      </c>
      <c r="G51" s="104">
        <v>740</v>
      </c>
      <c r="H51" s="87">
        <v>740</v>
      </c>
      <c r="I51" s="46">
        <v>0</v>
      </c>
      <c r="J51" s="89">
        <v>746.42906346587836</v>
      </c>
      <c r="K51" s="88">
        <v>-6.4290634658783574</v>
      </c>
      <c r="L51" s="53">
        <v>-8.6879236025383215E-3</v>
      </c>
      <c r="M51" s="71"/>
      <c r="N51" s="28" t="s">
        <v>274</v>
      </c>
      <c r="O51" s="4"/>
    </row>
    <row r="52" spans="1:15" outlineLevel="1">
      <c r="A52" s="9">
        <v>3</v>
      </c>
      <c r="B52" s="4" t="s">
        <v>135</v>
      </c>
      <c r="C52" s="4" t="s">
        <v>21</v>
      </c>
      <c r="D52" s="24" t="s">
        <v>226</v>
      </c>
      <c r="E52" s="86">
        <v>48550</v>
      </c>
      <c r="F52" s="86">
        <v>5500</v>
      </c>
      <c r="G52" s="104">
        <v>740</v>
      </c>
      <c r="H52" s="87">
        <v>740</v>
      </c>
      <c r="I52" s="46">
        <v>0</v>
      </c>
      <c r="J52" s="89">
        <v>746.42906346587836</v>
      </c>
      <c r="K52" s="88">
        <v>-6.4290634658783574</v>
      </c>
      <c r="L52" s="53">
        <v>-8.6879236025383215E-3</v>
      </c>
      <c r="M52" s="71"/>
      <c r="N52" s="28" t="s">
        <v>274</v>
      </c>
      <c r="O52" s="4"/>
    </row>
    <row r="53" spans="1:15" outlineLevel="1">
      <c r="A53" s="9">
        <v>4</v>
      </c>
      <c r="B53" s="4" t="s">
        <v>219</v>
      </c>
      <c r="C53" s="4" t="s">
        <v>105</v>
      </c>
      <c r="D53" s="24" t="s">
        <v>228</v>
      </c>
      <c r="E53" s="86">
        <v>1448</v>
      </c>
      <c r="F53" s="86">
        <v>0</v>
      </c>
      <c r="G53" s="104">
        <v>740</v>
      </c>
      <c r="H53" s="87">
        <v>740</v>
      </c>
      <c r="I53" s="46">
        <v>0</v>
      </c>
      <c r="J53" s="89">
        <v>1246.3396226415093</v>
      </c>
      <c r="K53" s="88">
        <v>-506.33962264150932</v>
      </c>
      <c r="L53" s="53">
        <v>-0.68424273329933694</v>
      </c>
      <c r="M53" s="71"/>
      <c r="N53" s="28" t="s">
        <v>274</v>
      </c>
      <c r="O53" s="4" t="s">
        <v>317</v>
      </c>
    </row>
    <row r="54" spans="1:15" outlineLevel="1">
      <c r="A54" s="9">
        <v>5</v>
      </c>
      <c r="B54" s="4" t="s">
        <v>137</v>
      </c>
      <c r="C54" s="4" t="s">
        <v>23</v>
      </c>
      <c r="D54" s="24" t="s">
        <v>227</v>
      </c>
      <c r="E54" s="86">
        <v>29015</v>
      </c>
      <c r="F54" s="86">
        <v>11000</v>
      </c>
      <c r="G54" s="104">
        <v>740</v>
      </c>
      <c r="H54" s="87">
        <v>740</v>
      </c>
      <c r="I54" s="46">
        <v>0</v>
      </c>
      <c r="J54" s="89">
        <v>746.42906346587836</v>
      </c>
      <c r="K54" s="88">
        <v>-6.4290634658783574</v>
      </c>
      <c r="L54" s="53">
        <v>-8.6879236025383215E-3</v>
      </c>
      <c r="M54" s="71"/>
      <c r="N54" s="28" t="s">
        <v>274</v>
      </c>
      <c r="O54" s="4"/>
    </row>
    <row r="55" spans="1:15" outlineLevel="1">
      <c r="A55" s="9">
        <v>6</v>
      </c>
      <c r="B55" s="4" t="s">
        <v>138</v>
      </c>
      <c r="C55" s="4" t="s">
        <v>24</v>
      </c>
      <c r="D55" s="24" t="s">
        <v>225</v>
      </c>
      <c r="E55" s="86">
        <v>59110.400000000001</v>
      </c>
      <c r="F55" s="86">
        <v>0</v>
      </c>
      <c r="G55" s="104">
        <v>740</v>
      </c>
      <c r="H55" s="87">
        <v>740</v>
      </c>
      <c r="I55" s="46">
        <v>0</v>
      </c>
      <c r="J55" s="89">
        <v>746.42906346587836</v>
      </c>
      <c r="K55" s="88">
        <v>-6.4290634658783574</v>
      </c>
      <c r="L55" s="53">
        <v>-8.6879236025383215E-3</v>
      </c>
      <c r="M55" s="71"/>
      <c r="N55" s="28" t="s">
        <v>274</v>
      </c>
      <c r="O55" s="4"/>
    </row>
    <row r="56" spans="1:15" outlineLevel="1">
      <c r="A56" s="9">
        <v>7</v>
      </c>
      <c r="B56" s="4" t="s">
        <v>178</v>
      </c>
      <c r="C56" s="4" t="s">
        <v>64</v>
      </c>
      <c r="D56" s="24" t="s">
        <v>234</v>
      </c>
      <c r="E56" s="86">
        <v>3448</v>
      </c>
      <c r="F56" s="86">
        <v>11000</v>
      </c>
      <c r="G56" s="104">
        <v>660</v>
      </c>
      <c r="H56" s="87">
        <v>660</v>
      </c>
      <c r="I56" s="46">
        <v>0</v>
      </c>
      <c r="J56" s="89">
        <v>898.56603773584902</v>
      </c>
      <c r="K56" s="88">
        <v>-238.56603773584902</v>
      </c>
      <c r="L56" s="53">
        <v>-0.36146369353916519</v>
      </c>
      <c r="M56" s="71"/>
      <c r="N56" s="28" t="s">
        <v>274</v>
      </c>
      <c r="O56" s="4" t="s">
        <v>314</v>
      </c>
    </row>
    <row r="57" spans="1:15" outlineLevel="1">
      <c r="A57" s="9">
        <v>8</v>
      </c>
      <c r="B57" s="4" t="s">
        <v>136</v>
      </c>
      <c r="C57" s="4" t="s">
        <v>22</v>
      </c>
      <c r="D57" s="24" t="s">
        <v>234</v>
      </c>
      <c r="E57" s="125">
        <v>244671.9</v>
      </c>
      <c r="F57" s="86">
        <v>0</v>
      </c>
      <c r="G57" s="104">
        <v>740</v>
      </c>
      <c r="H57" s="87">
        <v>740</v>
      </c>
      <c r="I57" s="46">
        <v>0</v>
      </c>
      <c r="J57" s="89">
        <v>703.88679245283015</v>
      </c>
      <c r="K57" s="88">
        <v>36.11320754716985</v>
      </c>
      <c r="L57" s="53">
        <v>4.8801631820499798E-2</v>
      </c>
      <c r="M57" s="71"/>
      <c r="N57" s="28" t="s">
        <v>274</v>
      </c>
      <c r="O57" s="4" t="s">
        <v>315</v>
      </c>
    </row>
    <row r="58" spans="1:15" s="18" customFormat="1" ht="15.5">
      <c r="A58" s="12" t="s">
        <v>241</v>
      </c>
      <c r="B58" s="13" t="s">
        <v>242</v>
      </c>
      <c r="C58" s="13"/>
      <c r="D58" s="23"/>
      <c r="E58" s="94"/>
      <c r="F58" s="94"/>
      <c r="G58" s="94"/>
      <c r="H58" s="95"/>
      <c r="I58" s="96"/>
      <c r="J58" s="97"/>
      <c r="K58" s="96"/>
      <c r="L58" s="54"/>
      <c r="M58" s="72"/>
      <c r="N58" s="13"/>
      <c r="O58" s="13"/>
    </row>
    <row r="59" spans="1:15" outlineLevel="1">
      <c r="A59" s="9">
        <v>1</v>
      </c>
      <c r="B59" s="4" t="s">
        <v>144</v>
      </c>
      <c r="C59" s="4" t="s">
        <v>30</v>
      </c>
      <c r="D59" s="24" t="s">
        <v>228</v>
      </c>
      <c r="E59" s="86">
        <v>6235.4</v>
      </c>
      <c r="F59" s="86">
        <v>0</v>
      </c>
      <c r="G59" s="104">
        <v>740</v>
      </c>
      <c r="H59" s="87">
        <v>740</v>
      </c>
      <c r="I59" s="46">
        <v>0</v>
      </c>
      <c r="J59" s="89">
        <v>889.54716981132071</v>
      </c>
      <c r="K59" s="88">
        <v>-149.54716981132071</v>
      </c>
      <c r="L59" s="53">
        <v>-0.20209077001529827</v>
      </c>
      <c r="M59" s="71"/>
      <c r="N59" s="28" t="s">
        <v>274</v>
      </c>
      <c r="O59" s="4" t="s">
        <v>316</v>
      </c>
    </row>
    <row r="60" spans="1:15" outlineLevel="1">
      <c r="A60" s="9"/>
      <c r="B60" s="4"/>
      <c r="C60" s="4"/>
      <c r="D60" s="24"/>
      <c r="E60" s="86"/>
      <c r="F60" s="86"/>
      <c r="G60" s="86"/>
      <c r="H60" s="87"/>
      <c r="I60" s="88"/>
      <c r="J60" s="89"/>
      <c r="K60" s="88"/>
      <c r="L60" s="53"/>
      <c r="M60" s="71"/>
      <c r="N60" s="4"/>
      <c r="O60" s="4"/>
    </row>
    <row r="61" spans="1:15" s="18" customFormat="1" ht="15.5">
      <c r="A61" s="14" t="s">
        <v>260</v>
      </c>
      <c r="B61" s="15" t="s">
        <v>244</v>
      </c>
      <c r="C61" s="15"/>
      <c r="D61" s="22"/>
      <c r="E61" s="100"/>
      <c r="F61" s="100"/>
      <c r="G61" s="100"/>
      <c r="H61" s="101"/>
      <c r="I61" s="102"/>
      <c r="J61" s="103"/>
      <c r="K61" s="102"/>
      <c r="L61" s="55"/>
      <c r="M61" s="73"/>
      <c r="N61" s="15"/>
      <c r="O61" s="15"/>
    </row>
    <row r="62" spans="1:15" s="18" customFormat="1" ht="15.5">
      <c r="A62" s="12" t="s">
        <v>239</v>
      </c>
      <c r="B62" s="13" t="s">
        <v>240</v>
      </c>
      <c r="C62" s="13"/>
      <c r="D62" s="23"/>
      <c r="E62" s="94"/>
      <c r="F62" s="94"/>
      <c r="G62" s="94"/>
      <c r="H62" s="95"/>
      <c r="I62" s="96"/>
      <c r="J62" s="97"/>
      <c r="K62" s="96"/>
      <c r="L62" s="54"/>
      <c r="M62" s="72"/>
      <c r="N62" s="13"/>
      <c r="O62" s="13"/>
    </row>
    <row r="63" spans="1:15" outlineLevel="1">
      <c r="A63" s="9">
        <v>4</v>
      </c>
      <c r="B63" s="4" t="s">
        <v>162</v>
      </c>
      <c r="C63" s="4" t="s">
        <v>48</v>
      </c>
      <c r="D63" s="24" t="s">
        <v>226</v>
      </c>
      <c r="E63" s="86">
        <v>88328</v>
      </c>
      <c r="F63" s="86">
        <v>19750</v>
      </c>
      <c r="G63" s="86">
        <v>665</v>
      </c>
      <c r="H63" s="87">
        <v>665</v>
      </c>
      <c r="I63" s="46">
        <v>0</v>
      </c>
      <c r="J63" s="105">
        <v>615.4949916983893</v>
      </c>
      <c r="K63" s="88">
        <v>49.505008301610701</v>
      </c>
      <c r="L63" s="53">
        <v>7.4443621506181501E-2</v>
      </c>
      <c r="M63" s="71"/>
      <c r="N63" s="151" t="s">
        <v>263</v>
      </c>
      <c r="O63" s="4"/>
    </row>
    <row r="64" spans="1:15" outlineLevel="1">
      <c r="A64" s="9">
        <v>2</v>
      </c>
      <c r="B64" s="4" t="s">
        <v>164</v>
      </c>
      <c r="C64" s="4" t="s">
        <v>50</v>
      </c>
      <c r="D64" s="24" t="s">
        <v>227</v>
      </c>
      <c r="E64" s="86">
        <v>51387</v>
      </c>
      <c r="F64" s="86">
        <v>0</v>
      </c>
      <c r="G64" s="86">
        <v>665</v>
      </c>
      <c r="H64" s="87">
        <v>665</v>
      </c>
      <c r="I64" s="46">
        <v>0</v>
      </c>
      <c r="J64" s="105">
        <v>615.4949916983893</v>
      </c>
      <c r="K64" s="88">
        <v>49.505008301610701</v>
      </c>
      <c r="L64" s="53">
        <v>7.4443621506181501E-2</v>
      </c>
      <c r="M64" s="71"/>
      <c r="N64" s="152"/>
      <c r="O64" s="4"/>
    </row>
    <row r="65" spans="1:20" outlineLevel="1">
      <c r="A65" s="9">
        <v>1</v>
      </c>
      <c r="B65" s="4" t="s">
        <v>165</v>
      </c>
      <c r="C65" s="4" t="s">
        <v>51</v>
      </c>
      <c r="D65" s="24" t="s">
        <v>232</v>
      </c>
      <c r="E65" s="86">
        <v>27000</v>
      </c>
      <c r="F65" s="86">
        <v>0</v>
      </c>
      <c r="G65" s="86">
        <v>665</v>
      </c>
      <c r="H65" s="87">
        <v>665</v>
      </c>
      <c r="I65" s="46">
        <v>0</v>
      </c>
      <c r="J65" s="105">
        <v>615.4949916983893</v>
      </c>
      <c r="K65" s="88">
        <v>49.505008301610701</v>
      </c>
      <c r="L65" s="53">
        <v>7.4443621506181501E-2</v>
      </c>
      <c r="M65" s="71"/>
      <c r="N65" s="152"/>
      <c r="O65" s="4"/>
    </row>
    <row r="66" spans="1:20" outlineLevel="1">
      <c r="A66" s="9">
        <v>7</v>
      </c>
      <c r="B66" s="4" t="s">
        <v>166</v>
      </c>
      <c r="C66" s="4" t="s">
        <v>52</v>
      </c>
      <c r="D66" s="24" t="s">
        <v>228</v>
      </c>
      <c r="E66" s="86">
        <v>65925</v>
      </c>
      <c r="F66" s="86">
        <v>0</v>
      </c>
      <c r="G66" s="86">
        <v>665</v>
      </c>
      <c r="H66" s="87">
        <v>665</v>
      </c>
      <c r="I66" s="46">
        <v>0</v>
      </c>
      <c r="J66" s="105">
        <v>615.4949916983893</v>
      </c>
      <c r="K66" s="88">
        <v>49.505008301610701</v>
      </c>
      <c r="L66" s="53">
        <v>7.4443621506181501E-2</v>
      </c>
      <c r="M66" s="71"/>
      <c r="N66" s="152"/>
      <c r="O66" s="4"/>
    </row>
    <row r="67" spans="1:20" outlineLevel="1">
      <c r="A67" s="9">
        <v>5</v>
      </c>
      <c r="B67" s="4" t="s">
        <v>163</v>
      </c>
      <c r="C67" s="4" t="s">
        <v>49</v>
      </c>
      <c r="D67" s="24" t="s">
        <v>225</v>
      </c>
      <c r="E67" s="86">
        <v>108125.2</v>
      </c>
      <c r="F67" s="86">
        <v>56500</v>
      </c>
      <c r="G67" s="86">
        <v>665</v>
      </c>
      <c r="H67" s="87">
        <v>665</v>
      </c>
      <c r="I67" s="46">
        <v>0</v>
      </c>
      <c r="J67" s="105">
        <v>615.4949916983893</v>
      </c>
      <c r="K67" s="88">
        <v>49.505008301610701</v>
      </c>
      <c r="L67" s="53">
        <v>7.4443621506181501E-2</v>
      </c>
      <c r="M67" s="71"/>
      <c r="N67" s="152"/>
      <c r="O67" s="4"/>
    </row>
    <row r="68" spans="1:20" outlineLevel="1">
      <c r="A68" s="9">
        <v>6</v>
      </c>
      <c r="B68" s="4" t="s">
        <v>167</v>
      </c>
      <c r="C68" s="4" t="s">
        <v>53</v>
      </c>
      <c r="D68" s="24" t="s">
        <v>229</v>
      </c>
      <c r="E68" s="86">
        <v>37672</v>
      </c>
      <c r="F68" s="86">
        <v>2250</v>
      </c>
      <c r="G68" s="86">
        <v>665</v>
      </c>
      <c r="H68" s="87">
        <v>665</v>
      </c>
      <c r="I68" s="46">
        <v>0</v>
      </c>
      <c r="J68" s="105">
        <v>615.4949916983893</v>
      </c>
      <c r="K68" s="88">
        <v>49.505008301610701</v>
      </c>
      <c r="L68" s="53">
        <v>7.4443621506181501E-2</v>
      </c>
      <c r="M68" s="71"/>
      <c r="N68" s="152"/>
      <c r="O68" s="4"/>
    </row>
    <row r="69" spans="1:20" outlineLevel="1">
      <c r="A69" s="9">
        <v>7</v>
      </c>
      <c r="B69" s="4" t="s">
        <v>168</v>
      </c>
      <c r="C69" s="4" t="s">
        <v>54</v>
      </c>
      <c r="D69" s="24" t="s">
        <v>231</v>
      </c>
      <c r="E69" s="86">
        <v>157174.5</v>
      </c>
      <c r="F69" s="86">
        <v>0</v>
      </c>
      <c r="G69" s="86">
        <v>665</v>
      </c>
      <c r="H69" s="87">
        <v>665</v>
      </c>
      <c r="I69" s="46">
        <v>0</v>
      </c>
      <c r="J69" s="105">
        <v>615.4949916983893</v>
      </c>
      <c r="K69" s="88">
        <v>49.505008301610701</v>
      </c>
      <c r="L69" s="53">
        <v>7.4443621506181501E-2</v>
      </c>
      <c r="M69" s="71"/>
      <c r="N69" s="153"/>
      <c r="O69" s="4"/>
    </row>
    <row r="70" spans="1:20" s="18" customFormat="1" ht="15.5">
      <c r="A70" s="12" t="s">
        <v>241</v>
      </c>
      <c r="B70" s="13" t="s">
        <v>242</v>
      </c>
      <c r="C70" s="13"/>
      <c r="D70" s="23"/>
      <c r="E70" s="94"/>
      <c r="F70" s="94"/>
      <c r="G70" s="94"/>
      <c r="H70" s="95"/>
      <c r="I70" s="96"/>
      <c r="J70" s="97"/>
      <c r="K70" s="96"/>
      <c r="L70" s="54"/>
      <c r="M70" s="72"/>
      <c r="N70" s="13"/>
      <c r="O70" s="13"/>
    </row>
    <row r="71" spans="1:20" outlineLevel="1">
      <c r="A71" s="9">
        <v>1</v>
      </c>
      <c r="B71" s="4" t="s">
        <v>203</v>
      </c>
      <c r="C71" s="4" t="s">
        <v>89</v>
      </c>
      <c r="D71" s="24" t="s">
        <v>228</v>
      </c>
      <c r="E71" s="86">
        <v>5700</v>
      </c>
      <c r="F71" s="86">
        <v>0</v>
      </c>
      <c r="G71" s="86"/>
      <c r="H71" s="87"/>
      <c r="I71" s="88"/>
      <c r="J71" s="89"/>
      <c r="K71" s="46"/>
      <c r="L71" s="53"/>
      <c r="M71" s="71"/>
      <c r="N71" s="4" t="s">
        <v>273</v>
      </c>
      <c r="O71" s="4" t="s">
        <v>321</v>
      </c>
    </row>
    <row r="72" spans="1:20" outlineLevel="1">
      <c r="A72" s="9"/>
      <c r="B72" s="4"/>
      <c r="C72" s="4"/>
      <c r="D72" s="24"/>
      <c r="E72" s="86"/>
      <c r="F72" s="86"/>
      <c r="G72" s="86"/>
      <c r="H72" s="87"/>
      <c r="I72" s="88"/>
      <c r="J72" s="89"/>
      <c r="K72" s="46"/>
      <c r="L72" s="53"/>
      <c r="M72" s="71"/>
      <c r="N72" s="4"/>
      <c r="O72" s="4"/>
    </row>
    <row r="73" spans="1:20" s="18" customFormat="1" ht="15.5">
      <c r="A73" s="14" t="s">
        <v>261</v>
      </c>
      <c r="B73" s="15" t="s">
        <v>115</v>
      </c>
      <c r="C73" s="15"/>
      <c r="D73" s="22"/>
      <c r="E73" s="100"/>
      <c r="F73" s="100"/>
      <c r="G73" s="100"/>
      <c r="H73" s="101"/>
      <c r="I73" s="102"/>
      <c r="J73" s="103"/>
      <c r="K73" s="48"/>
      <c r="L73" s="55"/>
      <c r="M73" s="73"/>
      <c r="N73" s="15"/>
      <c r="O73" s="15"/>
    </row>
    <row r="74" spans="1:20" s="18" customFormat="1" ht="15.5">
      <c r="A74" s="12" t="s">
        <v>239</v>
      </c>
      <c r="B74" s="13" t="s">
        <v>240</v>
      </c>
      <c r="C74" s="13"/>
      <c r="D74" s="23"/>
      <c r="E74" s="94"/>
      <c r="F74" s="94"/>
      <c r="G74" s="94"/>
      <c r="H74" s="95"/>
      <c r="I74" s="96"/>
      <c r="J74" s="97"/>
      <c r="K74" s="47"/>
      <c r="L74" s="54"/>
      <c r="M74" s="72"/>
      <c r="N74" s="13"/>
      <c r="O74" s="13"/>
    </row>
    <row r="75" spans="1:20" outlineLevel="1">
      <c r="A75" s="9">
        <v>1</v>
      </c>
      <c r="B75" s="4" t="s">
        <v>156</v>
      </c>
      <c r="C75" s="4" t="s">
        <v>42</v>
      </c>
      <c r="D75" s="24" t="s">
        <v>226</v>
      </c>
      <c r="E75" s="86">
        <v>3890</v>
      </c>
      <c r="F75" s="86">
        <v>0</v>
      </c>
      <c r="G75" s="106" t="s">
        <v>368</v>
      </c>
      <c r="H75" s="107" t="s">
        <v>325</v>
      </c>
      <c r="I75" s="108" t="s">
        <v>369</v>
      </c>
      <c r="J75" s="89">
        <v>1042.1509433962265</v>
      </c>
      <c r="K75" s="49" t="s">
        <v>329</v>
      </c>
      <c r="L75" s="56" t="s">
        <v>330</v>
      </c>
      <c r="M75" s="74"/>
      <c r="N75" s="4" t="s">
        <v>267</v>
      </c>
      <c r="O75" s="4" t="s">
        <v>303</v>
      </c>
      <c r="Q75" s="42">
        <v>1025</v>
      </c>
      <c r="R75" s="46">
        <v>1042.1509433962265</v>
      </c>
      <c r="S75" s="62">
        <v>-17.150943396226467</v>
      </c>
      <c r="T75" s="63">
        <v>-1.6732627703635577E-2</v>
      </c>
    </row>
    <row r="76" spans="1:20" outlineLevel="1">
      <c r="A76" s="9">
        <v>2</v>
      </c>
      <c r="B76" s="4" t="s">
        <v>204</v>
      </c>
      <c r="C76" s="4" t="s">
        <v>90</v>
      </c>
      <c r="D76" s="24" t="s">
        <v>228</v>
      </c>
      <c r="E76" s="86">
        <v>6947</v>
      </c>
      <c r="F76" s="86">
        <v>18000</v>
      </c>
      <c r="G76" s="106" t="s">
        <v>368</v>
      </c>
      <c r="H76" s="107" t="s">
        <v>325</v>
      </c>
      <c r="I76" s="108" t="s">
        <v>369</v>
      </c>
      <c r="J76" s="89">
        <v>1010.9811320754717</v>
      </c>
      <c r="K76" s="49" t="s">
        <v>331</v>
      </c>
      <c r="L76" s="56" t="s">
        <v>332</v>
      </c>
      <c r="M76" s="74"/>
      <c r="N76" s="4" t="s">
        <v>267</v>
      </c>
      <c r="O76" s="4" t="s">
        <v>303</v>
      </c>
    </row>
    <row r="77" spans="1:20" outlineLevel="1">
      <c r="A77" s="9">
        <v>3</v>
      </c>
      <c r="B77" s="4" t="s">
        <v>205</v>
      </c>
      <c r="C77" s="4" t="s">
        <v>91</v>
      </c>
      <c r="D77" s="24" t="s">
        <v>234</v>
      </c>
      <c r="E77" s="86">
        <v>11000</v>
      </c>
      <c r="F77" s="86">
        <v>6000</v>
      </c>
      <c r="G77" s="106" t="s">
        <v>368</v>
      </c>
      <c r="H77" s="107" t="s">
        <v>325</v>
      </c>
      <c r="I77" s="108" t="s">
        <v>369</v>
      </c>
      <c r="J77" s="89">
        <v>1217.6226415094341</v>
      </c>
      <c r="K77" s="49" t="s">
        <v>333</v>
      </c>
      <c r="L77" s="56" t="s">
        <v>334</v>
      </c>
      <c r="M77" s="74"/>
      <c r="N77" s="4" t="s">
        <v>267</v>
      </c>
      <c r="O77" s="4" t="s">
        <v>303</v>
      </c>
    </row>
    <row r="78" spans="1:20" outlineLevel="1">
      <c r="A78" s="9">
        <v>4</v>
      </c>
      <c r="B78" s="4" t="s">
        <v>181</v>
      </c>
      <c r="C78" s="4" t="s">
        <v>67</v>
      </c>
      <c r="D78" s="24" t="s">
        <v>228</v>
      </c>
      <c r="E78" s="86">
        <v>1765</v>
      </c>
      <c r="F78" s="86">
        <v>0</v>
      </c>
      <c r="G78" s="106" t="s">
        <v>368</v>
      </c>
      <c r="H78" s="107" t="s">
        <v>325</v>
      </c>
      <c r="I78" s="108" t="s">
        <v>369</v>
      </c>
      <c r="J78" s="89">
        <v>1135.3584905660377</v>
      </c>
      <c r="K78" s="49" t="s">
        <v>335</v>
      </c>
      <c r="L78" s="56" t="s">
        <v>336</v>
      </c>
      <c r="M78" s="74"/>
      <c r="N78" s="4" t="s">
        <v>267</v>
      </c>
      <c r="O78" s="4" t="s">
        <v>303</v>
      </c>
    </row>
    <row r="79" spans="1:20" outlineLevel="1">
      <c r="A79" s="9">
        <v>5</v>
      </c>
      <c r="B79" s="4" t="s">
        <v>299</v>
      </c>
      <c r="C79" s="4" t="s">
        <v>297</v>
      </c>
      <c r="D79" s="24" t="s">
        <v>225</v>
      </c>
      <c r="E79" s="86">
        <v>518.70000000000005</v>
      </c>
      <c r="F79" s="86">
        <v>0</v>
      </c>
      <c r="G79" s="86" t="s">
        <v>368</v>
      </c>
      <c r="H79" s="107" t="s">
        <v>325</v>
      </c>
      <c r="I79" s="108" t="s">
        <v>369</v>
      </c>
      <c r="J79" s="89">
        <v>1324.6415094339623</v>
      </c>
      <c r="K79" s="49" t="s">
        <v>337</v>
      </c>
      <c r="L79" s="56" t="s">
        <v>338</v>
      </c>
      <c r="M79" s="74"/>
      <c r="N79" s="4" t="s">
        <v>267</v>
      </c>
      <c r="O79" s="4" t="s">
        <v>303</v>
      </c>
    </row>
    <row r="80" spans="1:20" outlineLevel="1">
      <c r="A80" s="9">
        <v>6</v>
      </c>
      <c r="B80" s="4" t="s">
        <v>159</v>
      </c>
      <c r="C80" s="4" t="s">
        <v>45</v>
      </c>
      <c r="D80" s="24" t="s">
        <v>229</v>
      </c>
      <c r="E80" s="86">
        <v>27833</v>
      </c>
      <c r="F80" s="86">
        <v>0</v>
      </c>
      <c r="G80" s="106" t="s">
        <v>370</v>
      </c>
      <c r="H80" s="107" t="s">
        <v>325</v>
      </c>
      <c r="I80" s="108" t="s">
        <v>369</v>
      </c>
      <c r="J80" s="89">
        <v>690.60377358490564</v>
      </c>
      <c r="K80" s="49" t="s">
        <v>339</v>
      </c>
      <c r="L80" s="56" t="s">
        <v>340</v>
      </c>
      <c r="M80" s="77"/>
      <c r="N80" s="4" t="s">
        <v>267</v>
      </c>
      <c r="O80" s="4" t="s">
        <v>303</v>
      </c>
      <c r="Q80" s="42">
        <v>1025</v>
      </c>
      <c r="R80" s="46">
        <v>690.60377358490564</v>
      </c>
      <c r="S80" s="62">
        <v>334.39622641509436</v>
      </c>
      <c r="T80" s="63">
        <v>0.32624022089277499</v>
      </c>
    </row>
    <row r="81" spans="1:20" outlineLevel="1">
      <c r="A81" s="9">
        <v>7</v>
      </c>
      <c r="B81" s="4" t="s">
        <v>208</v>
      </c>
      <c r="C81" s="4" t="s">
        <v>94</v>
      </c>
      <c r="D81" s="24" t="s">
        <v>225</v>
      </c>
      <c r="E81" s="86">
        <v>3637</v>
      </c>
      <c r="F81" s="86">
        <v>25</v>
      </c>
      <c r="G81" s="106" t="s">
        <v>368</v>
      </c>
      <c r="H81" s="107" t="s">
        <v>325</v>
      </c>
      <c r="I81" s="108" t="s">
        <v>369</v>
      </c>
      <c r="J81" s="89">
        <v>1363.0943396226414</v>
      </c>
      <c r="K81" s="49" t="s">
        <v>341</v>
      </c>
      <c r="L81" s="56" t="s">
        <v>342</v>
      </c>
      <c r="M81" s="74"/>
      <c r="N81" s="4" t="s">
        <v>267</v>
      </c>
      <c r="O81" s="4" t="s">
        <v>303</v>
      </c>
      <c r="Q81" s="42">
        <v>1025</v>
      </c>
      <c r="R81" s="46">
        <v>1363.0943396226414</v>
      </c>
      <c r="S81" s="62">
        <v>-338.09433962264143</v>
      </c>
      <c r="T81" s="63">
        <v>-0.32984813621721115</v>
      </c>
    </row>
    <row r="82" spans="1:20" outlineLevel="1">
      <c r="A82" s="9">
        <v>8</v>
      </c>
      <c r="B82" s="4" t="s">
        <v>161</v>
      </c>
      <c r="C82" s="4" t="s">
        <v>47</v>
      </c>
      <c r="D82" s="24" t="s">
        <v>234</v>
      </c>
      <c r="E82" s="86">
        <v>1370</v>
      </c>
      <c r="F82" s="86">
        <v>0</v>
      </c>
      <c r="G82" s="106" t="s">
        <v>368</v>
      </c>
      <c r="H82" s="107" t="s">
        <v>325</v>
      </c>
      <c r="I82" s="108" t="s">
        <v>369</v>
      </c>
      <c r="J82" s="89">
        <v>1116.7547169811321</v>
      </c>
      <c r="K82" s="49" t="s">
        <v>343</v>
      </c>
      <c r="L82" s="56" t="s">
        <v>344</v>
      </c>
      <c r="M82" s="74"/>
      <c r="N82" s="4" t="s">
        <v>267</v>
      </c>
      <c r="O82" s="4" t="s">
        <v>303</v>
      </c>
    </row>
    <row r="83" spans="1:20" outlineLevel="1">
      <c r="A83" s="9">
        <v>9</v>
      </c>
      <c r="B83" s="4" t="s">
        <v>282</v>
      </c>
      <c r="C83" s="4" t="s">
        <v>283</v>
      </c>
      <c r="D83" s="24" t="s">
        <v>228</v>
      </c>
      <c r="E83" s="86">
        <v>1500</v>
      </c>
      <c r="F83" s="86">
        <v>0</v>
      </c>
      <c r="G83" s="106" t="s">
        <v>368</v>
      </c>
      <c r="H83" s="107" t="s">
        <v>325</v>
      </c>
      <c r="I83" s="108" t="s">
        <v>369</v>
      </c>
      <c r="J83" s="89">
        <v>849.28301886792451</v>
      </c>
      <c r="K83" s="49" t="s">
        <v>345</v>
      </c>
      <c r="L83" s="56" t="s">
        <v>346</v>
      </c>
      <c r="M83" s="74"/>
      <c r="N83" s="4" t="s">
        <v>267</v>
      </c>
      <c r="O83" s="4" t="s">
        <v>303</v>
      </c>
    </row>
    <row r="84" spans="1:20" s="18" customFormat="1" ht="15.5">
      <c r="A84" s="12" t="s">
        <v>241</v>
      </c>
      <c r="B84" s="13" t="s">
        <v>242</v>
      </c>
      <c r="C84" s="13"/>
      <c r="D84" s="23"/>
      <c r="E84" s="94"/>
      <c r="F84" s="94"/>
      <c r="G84" s="94"/>
      <c r="H84" s="109"/>
      <c r="I84" s="97"/>
      <c r="J84" s="97"/>
      <c r="K84" s="47"/>
      <c r="L84" s="54"/>
      <c r="M84" s="72"/>
      <c r="N84" s="13"/>
      <c r="O84" s="13"/>
    </row>
    <row r="85" spans="1:20" outlineLevel="1">
      <c r="A85" s="9">
        <v>1</v>
      </c>
      <c r="B85" s="4" t="s">
        <v>140</v>
      </c>
      <c r="C85" s="4" t="s">
        <v>26</v>
      </c>
      <c r="D85" s="24" t="s">
        <v>226</v>
      </c>
      <c r="E85" s="86">
        <v>141</v>
      </c>
      <c r="F85" s="86">
        <v>0</v>
      </c>
      <c r="G85" s="106" t="s">
        <v>368</v>
      </c>
      <c r="H85" s="107" t="s">
        <v>325</v>
      </c>
      <c r="I85" s="108" t="s">
        <v>369</v>
      </c>
      <c r="J85" s="89">
        <v>830.15094339622647</v>
      </c>
      <c r="K85" s="49" t="s">
        <v>347</v>
      </c>
      <c r="L85" s="56" t="s">
        <v>348</v>
      </c>
      <c r="M85" s="74"/>
      <c r="N85" s="4" t="s">
        <v>267</v>
      </c>
      <c r="O85" s="4" t="s">
        <v>318</v>
      </c>
    </row>
    <row r="86" spans="1:20" outlineLevel="1">
      <c r="A86" s="9">
        <v>2</v>
      </c>
      <c r="B86" s="4" t="s">
        <v>141</v>
      </c>
      <c r="C86" s="4" t="s">
        <v>27</v>
      </c>
      <c r="D86" s="24" t="s">
        <v>225</v>
      </c>
      <c r="E86" s="86">
        <v>2677.8</v>
      </c>
      <c r="F86" s="86">
        <v>0</v>
      </c>
      <c r="G86" s="106" t="s">
        <v>368</v>
      </c>
      <c r="H86" s="107" t="s">
        <v>325</v>
      </c>
      <c r="I86" s="108" t="s">
        <v>369</v>
      </c>
      <c r="J86" s="89">
        <v>675.5094339622641</v>
      </c>
      <c r="K86" s="49" t="s">
        <v>349</v>
      </c>
      <c r="L86" s="56" t="s">
        <v>350</v>
      </c>
      <c r="M86" s="74"/>
      <c r="N86" s="4" t="s">
        <v>267</v>
      </c>
      <c r="O86" s="4" t="s">
        <v>318</v>
      </c>
    </row>
    <row r="87" spans="1:20" outlineLevel="1">
      <c r="A87" s="9">
        <v>4</v>
      </c>
      <c r="B87" s="4" t="s">
        <v>155</v>
      </c>
      <c r="C87" s="4" t="s">
        <v>41</v>
      </c>
      <c r="D87" s="24" t="s">
        <v>226</v>
      </c>
      <c r="E87" s="86">
        <v>2644</v>
      </c>
      <c r="F87" s="86">
        <v>0</v>
      </c>
      <c r="G87" s="106" t="s">
        <v>368</v>
      </c>
      <c r="H87" s="107" t="s">
        <v>325</v>
      </c>
      <c r="I87" s="108" t="s">
        <v>369</v>
      </c>
      <c r="J87" s="89">
        <v>950.94339622641508</v>
      </c>
      <c r="K87" s="49" t="s">
        <v>351</v>
      </c>
      <c r="L87" s="56" t="s">
        <v>352</v>
      </c>
      <c r="M87" s="74"/>
      <c r="N87" s="4" t="s">
        <v>267</v>
      </c>
      <c r="O87" s="4" t="s">
        <v>320</v>
      </c>
    </row>
    <row r="88" spans="1:20" outlineLevel="1">
      <c r="A88" s="9">
        <v>7</v>
      </c>
      <c r="B88" s="4" t="s">
        <v>160</v>
      </c>
      <c r="C88" s="4" t="s">
        <v>46</v>
      </c>
      <c r="D88" s="24" t="s">
        <v>233</v>
      </c>
      <c r="E88" s="86">
        <v>43838</v>
      </c>
      <c r="F88" s="86">
        <v>0</v>
      </c>
      <c r="G88" s="106" t="s">
        <v>368</v>
      </c>
      <c r="H88" s="107" t="s">
        <v>325</v>
      </c>
      <c r="I88" s="108" t="s">
        <v>369</v>
      </c>
      <c r="J88" s="89">
        <v>831.01886792452831</v>
      </c>
      <c r="K88" s="49" t="s">
        <v>353</v>
      </c>
      <c r="L88" s="56" t="s">
        <v>348</v>
      </c>
      <c r="M88" s="74"/>
      <c r="N88" s="4" t="s">
        <v>267</v>
      </c>
      <c r="O88" s="4" t="s">
        <v>319</v>
      </c>
      <c r="Q88" s="42">
        <v>790</v>
      </c>
      <c r="R88" s="46">
        <v>831.01886792452831</v>
      </c>
      <c r="S88" s="62">
        <v>-41.018867924528308</v>
      </c>
      <c r="T88" s="63">
        <v>-5.1922617625985198E-2</v>
      </c>
    </row>
    <row r="89" spans="1:20" outlineLevel="1">
      <c r="A89" s="9">
        <v>8</v>
      </c>
      <c r="B89" s="4" t="s">
        <v>185</v>
      </c>
      <c r="C89" s="4" t="s">
        <v>71</v>
      </c>
      <c r="D89" s="24"/>
      <c r="E89" s="86">
        <v>5115.6000000000004</v>
      </c>
      <c r="F89" s="86">
        <v>0</v>
      </c>
      <c r="G89" s="86"/>
      <c r="H89" s="107"/>
      <c r="I89" s="108"/>
      <c r="J89" s="89"/>
      <c r="K89" s="49"/>
      <c r="L89" s="56"/>
      <c r="M89" s="74"/>
      <c r="N89" s="4" t="s">
        <v>267</v>
      </c>
      <c r="O89" s="4"/>
    </row>
    <row r="90" spans="1:20" s="18" customFormat="1" ht="15.5">
      <c r="A90" s="14" t="s">
        <v>262</v>
      </c>
      <c r="B90" s="15" t="s">
        <v>245</v>
      </c>
      <c r="C90" s="15"/>
      <c r="D90" s="22"/>
      <c r="E90" s="100"/>
      <c r="F90" s="100"/>
      <c r="G90" s="100"/>
      <c r="H90" s="101"/>
      <c r="I90" s="102"/>
      <c r="J90" s="103"/>
      <c r="K90" s="48"/>
      <c r="L90" s="55"/>
      <c r="M90" s="73"/>
      <c r="N90" s="15"/>
      <c r="O90" s="15"/>
    </row>
    <row r="91" spans="1:20" s="18" customFormat="1" ht="15.5">
      <c r="A91" s="12" t="s">
        <v>239</v>
      </c>
      <c r="B91" s="13" t="s">
        <v>240</v>
      </c>
      <c r="C91" s="13"/>
      <c r="D91" s="23"/>
      <c r="E91" s="94"/>
      <c r="F91" s="94"/>
      <c r="G91" s="94"/>
      <c r="H91" s="95"/>
      <c r="I91" s="96"/>
      <c r="J91" s="97"/>
      <c r="K91" s="47"/>
      <c r="L91" s="54"/>
      <c r="M91" s="72"/>
      <c r="N91" s="13"/>
      <c r="O91" s="13"/>
    </row>
    <row r="92" spans="1:20" outlineLevel="1">
      <c r="A92" s="9">
        <v>1</v>
      </c>
      <c r="B92" s="4" t="s">
        <v>169</v>
      </c>
      <c r="C92" s="4" t="s">
        <v>55</v>
      </c>
      <c r="D92" s="24" t="s">
        <v>226</v>
      </c>
      <c r="E92" s="86">
        <v>30700.1</v>
      </c>
      <c r="F92" s="86">
        <v>11250</v>
      </c>
      <c r="G92" s="86">
        <v>650</v>
      </c>
      <c r="H92" s="87">
        <v>680</v>
      </c>
      <c r="I92" s="88">
        <v>30</v>
      </c>
      <c r="J92" s="89">
        <v>769.16981132075466</v>
      </c>
      <c r="K92" s="88">
        <v>-89.169811320754661</v>
      </c>
      <c r="L92" s="53">
        <v>-0.13113207547169803</v>
      </c>
      <c r="M92" s="71"/>
      <c r="N92" s="4"/>
      <c r="O92" s="4" t="s">
        <v>322</v>
      </c>
    </row>
    <row r="93" spans="1:20" outlineLevel="1">
      <c r="A93" s="9">
        <v>2</v>
      </c>
      <c r="B93" s="4" t="s">
        <v>171</v>
      </c>
      <c r="C93" s="4" t="s">
        <v>57</v>
      </c>
      <c r="D93" s="24" t="s">
        <v>228</v>
      </c>
      <c r="E93" s="86">
        <v>119803</v>
      </c>
      <c r="F93" s="86">
        <v>0</v>
      </c>
      <c r="G93" s="86">
        <v>650</v>
      </c>
      <c r="H93" s="87">
        <v>680</v>
      </c>
      <c r="I93" s="88">
        <v>30</v>
      </c>
      <c r="J93" s="89">
        <v>747.58490566037733</v>
      </c>
      <c r="K93" s="88">
        <v>-67.584905660377331</v>
      </c>
      <c r="L93" s="53">
        <v>-9.9389567147613725E-2</v>
      </c>
      <c r="M93" s="71"/>
      <c r="N93" s="4"/>
      <c r="O93" s="4" t="s">
        <v>319</v>
      </c>
    </row>
    <row r="94" spans="1:20" outlineLevel="1">
      <c r="A94" s="9"/>
      <c r="B94" s="4"/>
      <c r="C94" s="4"/>
      <c r="D94" s="24"/>
      <c r="E94" s="86"/>
      <c r="F94" s="86"/>
      <c r="G94" s="86"/>
      <c r="H94" s="87"/>
      <c r="I94" s="88"/>
      <c r="J94" s="89"/>
      <c r="K94" s="88"/>
      <c r="L94" s="53"/>
      <c r="M94" s="71"/>
      <c r="N94" s="4"/>
      <c r="O94" s="4"/>
    </row>
    <row r="95" spans="1:20" s="18" customFormat="1" ht="15.5">
      <c r="A95" s="12" t="s">
        <v>241</v>
      </c>
      <c r="B95" s="13" t="s">
        <v>242</v>
      </c>
      <c r="C95" s="13"/>
      <c r="D95" s="23"/>
      <c r="E95" s="94"/>
      <c r="F95" s="94"/>
      <c r="G95" s="94"/>
      <c r="H95" s="95"/>
      <c r="I95" s="96"/>
      <c r="J95" s="97"/>
      <c r="K95" s="96"/>
      <c r="L95" s="54"/>
      <c r="M95" s="72"/>
      <c r="N95" s="13"/>
      <c r="O95" s="13"/>
    </row>
    <row r="96" spans="1:20" outlineLevel="1">
      <c r="A96" s="9">
        <v>1</v>
      </c>
      <c r="B96" s="4" t="s">
        <v>170</v>
      </c>
      <c r="C96" s="4" t="s">
        <v>56</v>
      </c>
      <c r="D96" s="24" t="s">
        <v>226</v>
      </c>
      <c r="E96" s="86">
        <v>2250</v>
      </c>
      <c r="F96" s="86">
        <v>0</v>
      </c>
      <c r="G96" s="86">
        <v>650</v>
      </c>
      <c r="H96" s="87">
        <v>680</v>
      </c>
      <c r="I96" s="88">
        <v>30</v>
      </c>
      <c r="J96" s="89">
        <v>754.03773584905662</v>
      </c>
      <c r="K96" s="88">
        <v>-74.037735849056617</v>
      </c>
      <c r="L96" s="53">
        <v>-0.10887902330743621</v>
      </c>
      <c r="M96" s="71"/>
      <c r="N96" s="4"/>
      <c r="O96" s="4" t="s">
        <v>321</v>
      </c>
    </row>
    <row r="97" spans="1:15" s="85" customFormat="1" ht="43.5" outlineLevel="1">
      <c r="A97" s="24">
        <v>2</v>
      </c>
      <c r="B97" s="81" t="s">
        <v>183</v>
      </c>
      <c r="C97" s="81" t="s">
        <v>69</v>
      </c>
      <c r="D97" s="24" t="s">
        <v>225</v>
      </c>
      <c r="E97" s="111">
        <v>5250</v>
      </c>
      <c r="F97" s="111">
        <v>0</v>
      </c>
      <c r="G97" s="111">
        <v>650</v>
      </c>
      <c r="H97" s="112">
        <v>680</v>
      </c>
      <c r="I97" s="113">
        <v>30</v>
      </c>
      <c r="J97" s="114">
        <v>2251.5471698113206</v>
      </c>
      <c r="K97" s="113">
        <v>-1571.5471698113206</v>
      </c>
      <c r="L97" s="82">
        <v>-2.3110987791342952</v>
      </c>
      <c r="M97" s="83"/>
      <c r="N97" s="84" t="s">
        <v>328</v>
      </c>
      <c r="O97" s="81" t="s">
        <v>327</v>
      </c>
    </row>
    <row r="98" spans="1:15" outlineLevel="1">
      <c r="A98" s="9">
        <v>3</v>
      </c>
      <c r="B98" s="20" t="s">
        <v>290</v>
      </c>
      <c r="C98" s="20" t="s">
        <v>289</v>
      </c>
      <c r="D98" s="26" t="s">
        <v>228</v>
      </c>
      <c r="E98" s="115">
        <v>750</v>
      </c>
      <c r="F98" s="115">
        <v>0</v>
      </c>
      <c r="G98" s="115">
        <v>650</v>
      </c>
      <c r="H98" s="116">
        <v>680</v>
      </c>
      <c r="I98" s="117">
        <v>30</v>
      </c>
      <c r="J98" s="118">
        <v>754.71698113207549</v>
      </c>
      <c r="K98" s="117">
        <v>-74.716981132075489</v>
      </c>
      <c r="L98" s="64">
        <v>-0.10987791342952277</v>
      </c>
      <c r="M98" s="80"/>
      <c r="N98" s="20"/>
      <c r="O98" s="20"/>
    </row>
    <row r="100" spans="1:15">
      <c r="D100"/>
      <c r="I100"/>
      <c r="J100"/>
      <c r="K100"/>
      <c r="L100"/>
      <c r="M100"/>
    </row>
    <row r="101" spans="1:15">
      <c r="D101"/>
      <c r="I101"/>
      <c r="J101"/>
      <c r="K101"/>
      <c r="L101"/>
      <c r="M101"/>
    </row>
    <row r="102" spans="1:15">
      <c r="I102"/>
      <c r="J102"/>
      <c r="K102"/>
      <c r="L102"/>
      <c r="M102"/>
    </row>
    <row r="103" spans="1:15">
      <c r="I103"/>
      <c r="J103"/>
      <c r="K103"/>
      <c r="L103"/>
      <c r="M103"/>
    </row>
    <row r="104" spans="1:15">
      <c r="I104"/>
      <c r="J104"/>
      <c r="K104"/>
      <c r="L104"/>
      <c r="M104"/>
    </row>
    <row r="105" spans="1:15">
      <c r="I105"/>
      <c r="J105"/>
      <c r="K105"/>
      <c r="L105"/>
      <c r="M105"/>
    </row>
  </sheetData>
  <autoFilter ref="A4:O113" xr:uid="{B546816D-46E9-4C95-9906-AEA9E12D0734}"/>
  <mergeCells count="1">
    <mergeCell ref="N63:N69"/>
  </mergeCells>
  <conditionalFormatting sqref="I7:I45 I47:I74 I90:I98">
    <cfRule type="cellIs" dxfId="81" priority="18" operator="lessThan">
      <formula>0</formula>
    </cfRule>
    <cfRule type="cellIs" dxfId="80" priority="19" operator="lessThan">
      <formula>-1</formula>
    </cfRule>
    <cfRule type="cellIs" dxfId="79" priority="20" operator="greaterThanOrEqual">
      <formula>0</formula>
    </cfRule>
  </conditionalFormatting>
  <conditionalFormatting sqref="K7:M97 M96:M98">
    <cfRule type="cellIs" dxfId="78" priority="14" operator="lessThan">
      <formula>-1</formula>
    </cfRule>
  </conditionalFormatting>
  <conditionalFormatting sqref="K7:M98">
    <cfRule type="cellIs" dxfId="77" priority="13" operator="lessThan">
      <formula>0</formula>
    </cfRule>
    <cfRule type="cellIs" dxfId="76" priority="17" operator="greaterThanOrEqual">
      <formula>0</formula>
    </cfRule>
  </conditionalFormatting>
  <conditionalFormatting sqref="K98:M98">
    <cfRule type="cellIs" dxfId="75" priority="1" operator="lessThan">
      <formula>-1</formula>
    </cfRule>
  </conditionalFormatting>
  <conditionalFormatting sqref="R75:S75">
    <cfRule type="cellIs" dxfId="74" priority="10" operator="lessThan">
      <formula>0</formula>
    </cfRule>
    <cfRule type="cellIs" dxfId="73" priority="11" operator="lessThan">
      <formula>-1</formula>
    </cfRule>
    <cfRule type="cellIs" dxfId="72" priority="12" operator="greaterThanOrEqual">
      <formula>0</formula>
    </cfRule>
  </conditionalFormatting>
  <conditionalFormatting sqref="R80:S82">
    <cfRule type="cellIs" dxfId="71" priority="7" operator="greaterThanOrEqual">
      <formula>0</formula>
    </cfRule>
    <cfRule type="cellIs" dxfId="70" priority="8" operator="lessThan">
      <formula>0</formula>
    </cfRule>
    <cfRule type="cellIs" dxfId="69" priority="9" operator="lessThan">
      <formula>-1</formula>
    </cfRule>
  </conditionalFormatting>
  <conditionalFormatting sqref="R81:S82">
    <cfRule type="cellIs" dxfId="68" priority="5" operator="lessThan">
      <formula>0</formula>
    </cfRule>
    <cfRule type="cellIs" dxfId="67" priority="6" operator="lessThan">
      <formula>-1</formula>
    </cfRule>
  </conditionalFormatting>
  <conditionalFormatting sqref="R88:S88">
    <cfRule type="cellIs" dxfId="66" priority="2" operator="lessThan">
      <formula>0</formula>
    </cfRule>
    <cfRule type="cellIs" dxfId="65" priority="3" operator="lessThan">
      <formula>-1</formula>
    </cfRule>
    <cfRule type="cellIs" dxfId="64" priority="4" operator="greaterThanOr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816D-46E9-4C95-9906-AEA9E12D0734}">
  <sheetPr>
    <tabColor rgb="FFFF33CC"/>
  </sheetPr>
  <dimension ref="A1:T120"/>
  <sheetViews>
    <sheetView showGridLines="0" zoomScale="75" zoomScaleNormal="75" workbookViewId="0">
      <pane xSplit="3" ySplit="6" topLeftCell="D99" activePane="bottomRight" state="frozen"/>
      <selection pane="topRight" activeCell="D1" sqref="D1"/>
      <selection pane="bottomLeft" activeCell="A7" sqref="A7"/>
      <selection pane="bottomRight" activeCell="L112" sqref="L112"/>
    </sheetView>
  </sheetViews>
  <sheetFormatPr defaultRowHeight="14.5" outlineLevelRow="1"/>
  <cols>
    <col min="1" max="1" width="4.54296875" style="10" customWidth="1"/>
    <col min="2" max="2" width="11.453125" customWidth="1"/>
    <col min="3" max="3" width="27.81640625" bestFit="1" customWidth="1"/>
    <col min="4" max="4" width="8.1796875" style="21" customWidth="1"/>
    <col min="5" max="5" width="12.81640625" customWidth="1"/>
    <col min="6" max="7" width="15.453125" customWidth="1"/>
    <col min="8" max="8" width="16.54296875" customWidth="1"/>
    <col min="9" max="9" width="13.453125" style="10" customWidth="1"/>
    <col min="10" max="10" width="8.1796875" style="10" customWidth="1"/>
    <col min="11" max="11" width="12.1796875" style="43" customWidth="1"/>
    <col min="12" max="12" width="12.54296875" style="50" customWidth="1"/>
    <col min="13" max="13" width="12.1796875" style="67" customWidth="1"/>
    <col min="14" max="14" width="38.1796875" customWidth="1"/>
    <col min="15" max="15" width="63.81640625" bestFit="1" customWidth="1"/>
  </cols>
  <sheetData>
    <row r="1" spans="1:15" ht="21">
      <c r="B1" s="17" t="s">
        <v>255</v>
      </c>
    </row>
    <row r="4" spans="1:15" ht="46.5">
      <c r="A4" s="11" t="s">
        <v>235</v>
      </c>
      <c r="B4" s="11" t="s">
        <v>236</v>
      </c>
      <c r="C4" s="11" t="s">
        <v>237</v>
      </c>
      <c r="D4" s="11" t="s">
        <v>224</v>
      </c>
      <c r="E4" s="16" t="s">
        <v>359</v>
      </c>
      <c r="F4" s="16" t="s">
        <v>324</v>
      </c>
      <c r="G4" s="16" t="s">
        <v>355</v>
      </c>
      <c r="H4" s="75" t="s">
        <v>356</v>
      </c>
      <c r="I4" s="27" t="s">
        <v>357</v>
      </c>
      <c r="J4" s="27" t="s">
        <v>284</v>
      </c>
      <c r="K4" s="27" t="s">
        <v>287</v>
      </c>
      <c r="L4" s="27" t="s">
        <v>354</v>
      </c>
      <c r="M4" s="68" t="s">
        <v>301</v>
      </c>
      <c r="N4" s="11" t="s">
        <v>256</v>
      </c>
      <c r="O4" s="11" t="s">
        <v>238</v>
      </c>
    </row>
    <row r="5" spans="1:15" s="18" customFormat="1" ht="15.5">
      <c r="A5" s="14" t="s">
        <v>254</v>
      </c>
      <c r="B5" s="15" t="s">
        <v>111</v>
      </c>
      <c r="C5" s="15"/>
      <c r="D5" s="22"/>
      <c r="E5" s="15"/>
      <c r="F5" s="15"/>
      <c r="G5" s="15"/>
      <c r="H5" s="15"/>
      <c r="I5" s="14"/>
      <c r="J5" s="14"/>
      <c r="K5" s="44"/>
      <c r="L5" s="51"/>
      <c r="M5" s="69"/>
      <c r="N5" s="15"/>
      <c r="O5" s="15"/>
    </row>
    <row r="6" spans="1:15" s="18" customFormat="1" ht="15.5">
      <c r="A6" s="12" t="s">
        <v>239</v>
      </c>
      <c r="B6" s="13" t="s">
        <v>240</v>
      </c>
      <c r="C6" s="13"/>
      <c r="D6" s="23"/>
      <c r="E6" s="13"/>
      <c r="F6" s="13"/>
      <c r="G6" s="13"/>
      <c r="H6" s="13"/>
      <c r="I6" s="12"/>
      <c r="J6" s="12"/>
      <c r="K6" s="45"/>
      <c r="L6" s="52"/>
      <c r="M6" s="70"/>
      <c r="N6" s="13"/>
      <c r="O6" s="13"/>
    </row>
    <row r="7" spans="1:15" outlineLevel="1">
      <c r="A7" s="9">
        <v>1</v>
      </c>
      <c r="B7" s="4" t="s">
        <v>130</v>
      </c>
      <c r="C7" s="4" t="s">
        <v>16</v>
      </c>
      <c r="D7" s="24"/>
      <c r="E7" s="86">
        <f>SUMIFS('tồn TP 17.03'!F:F,'tồn TP 17.03'!A:A,'Trình bày T4'!B7)</f>
        <v>405696.5</v>
      </c>
      <c r="F7" s="86">
        <f>IFERROR(_xlfn.XLOOKUP(B7,'tồn TP 17.03'!A:A,'tồn TP 17.03'!J:J),0)</f>
        <v>4488000</v>
      </c>
      <c r="G7" s="86">
        <v>1160</v>
      </c>
      <c r="H7" s="87">
        <v>1280</v>
      </c>
      <c r="I7" s="46">
        <f>H7-G7</f>
        <v>120</v>
      </c>
      <c r="J7" s="89">
        <v>1078</v>
      </c>
      <c r="K7" s="88">
        <f>(H7-J7)</f>
        <v>202</v>
      </c>
      <c r="L7" s="53">
        <f>+K7/H7</f>
        <v>0.15781249999999999</v>
      </c>
      <c r="M7" s="71"/>
      <c r="N7" s="4"/>
      <c r="O7" s="4"/>
    </row>
    <row r="8" spans="1:15" outlineLevel="1">
      <c r="A8" s="9">
        <f>+A7+1</f>
        <v>2</v>
      </c>
      <c r="B8" s="4" t="s">
        <v>131</v>
      </c>
      <c r="C8" s="4" t="s">
        <v>17</v>
      </c>
      <c r="D8" s="24"/>
      <c r="E8" s="86">
        <f>SUMIFS('tồn TP 17.03'!F:F,'tồn TP 17.03'!A:A,'Trình bày T4'!B8)</f>
        <v>56977.75</v>
      </c>
      <c r="F8" s="86">
        <f>IFERROR(_xlfn.XLOOKUP(B8,'tồn TP 17.03'!A:A,'tồn TP 17.03'!J:J),0)</f>
        <v>518100</v>
      </c>
      <c r="G8" s="86">
        <v>1190</v>
      </c>
      <c r="H8" s="87">
        <f>+H7+30</f>
        <v>1310</v>
      </c>
      <c r="I8" s="46">
        <f t="shared" ref="I8:I16" si="0">H8-G8</f>
        <v>120</v>
      </c>
      <c r="J8" s="89">
        <f>+J7</f>
        <v>1078</v>
      </c>
      <c r="K8" s="88">
        <f t="shared" ref="K8:K14" si="1">(H8-J8)</f>
        <v>232</v>
      </c>
      <c r="L8" s="53">
        <f t="shared" ref="L8:L13" si="2">+K8/H8</f>
        <v>0.17709923664122137</v>
      </c>
      <c r="M8" s="71"/>
      <c r="N8" s="4"/>
      <c r="O8" s="4"/>
    </row>
    <row r="9" spans="1:15" outlineLevel="1">
      <c r="A9" s="9">
        <f t="shared" ref="A9:A16" si="3">+A8+1</f>
        <v>3</v>
      </c>
      <c r="B9" s="4" t="s">
        <v>121</v>
      </c>
      <c r="C9" s="4" t="s">
        <v>7</v>
      </c>
      <c r="D9" s="24"/>
      <c r="E9" s="86">
        <f>SUMIFS('tồn TP 17.03'!F:F,'tồn TP 17.03'!A:A,'Trình bày T4'!B9)</f>
        <v>653416.35</v>
      </c>
      <c r="F9" s="86">
        <f>IFERROR(_xlfn.XLOOKUP(B9,'tồn TP 17.03'!A:A,'tồn TP 17.03'!J:J),0)</f>
        <v>1014200</v>
      </c>
      <c r="G9" s="86">
        <v>1250</v>
      </c>
      <c r="H9" s="87">
        <f>H7+90</f>
        <v>1370</v>
      </c>
      <c r="I9" s="46">
        <f t="shared" si="0"/>
        <v>120</v>
      </c>
      <c r="J9" s="89">
        <v>1136</v>
      </c>
      <c r="K9" s="88">
        <f t="shared" si="1"/>
        <v>234</v>
      </c>
      <c r="L9" s="53">
        <f t="shared" si="2"/>
        <v>0.17080291970802919</v>
      </c>
      <c r="M9" s="71"/>
      <c r="N9" s="4"/>
      <c r="O9" s="4"/>
    </row>
    <row r="10" spans="1:15" outlineLevel="1">
      <c r="A10" s="9">
        <f t="shared" si="3"/>
        <v>4</v>
      </c>
      <c r="B10" s="4" t="s">
        <v>133</v>
      </c>
      <c r="C10" s="4" t="s">
        <v>19</v>
      </c>
      <c r="D10" s="24"/>
      <c r="E10" s="86">
        <f>SUMIFS('tồn TP 17.03'!F:F,'tồn TP 17.03'!A:A,'Trình bày T4'!B10)</f>
        <v>1802894.7000000002</v>
      </c>
      <c r="F10" s="86">
        <f>IFERROR(_xlfn.XLOOKUP(B10,'tồn TP 17.03'!A:A,'tồn TP 17.03'!J:J),0)</f>
        <v>249700</v>
      </c>
      <c r="G10" s="86">
        <v>1090</v>
      </c>
      <c r="H10" s="87">
        <f>+H7-70</f>
        <v>1210</v>
      </c>
      <c r="I10" s="46">
        <f t="shared" si="0"/>
        <v>120</v>
      </c>
      <c r="J10" s="89">
        <f>+J7</f>
        <v>1078</v>
      </c>
      <c r="K10" s="88">
        <f t="shared" si="1"/>
        <v>132</v>
      </c>
      <c r="L10" s="53">
        <f t="shared" si="2"/>
        <v>0.10909090909090909</v>
      </c>
      <c r="M10" s="71"/>
      <c r="N10" s="4"/>
      <c r="O10" s="4"/>
    </row>
    <row r="11" spans="1:15" outlineLevel="1">
      <c r="A11" s="9">
        <f t="shared" si="3"/>
        <v>5</v>
      </c>
      <c r="B11" s="4" t="s">
        <v>118</v>
      </c>
      <c r="C11" s="4" t="s">
        <v>3</v>
      </c>
      <c r="D11" s="24"/>
      <c r="E11" s="86">
        <f>SUMIFS('tồn TP 17.03'!F:F,'tồn TP 17.03'!A:A,'Trình bày T4'!B11)</f>
        <v>474660</v>
      </c>
      <c r="F11" s="86">
        <f>IFERROR(_xlfn.XLOOKUP(B11,'tồn TP 17.03'!A:A,'tồn TP 17.03'!J:J),0)</f>
        <v>33000</v>
      </c>
      <c r="G11" s="90">
        <v>1290</v>
      </c>
      <c r="H11" s="91">
        <v>1290</v>
      </c>
      <c r="I11" s="46">
        <f t="shared" si="0"/>
        <v>0</v>
      </c>
      <c r="J11" s="89">
        <v>1169</v>
      </c>
      <c r="K11" s="88">
        <f t="shared" si="1"/>
        <v>121</v>
      </c>
      <c r="L11" s="53">
        <f t="shared" si="2"/>
        <v>9.3798449612403106E-2</v>
      </c>
      <c r="M11" s="76"/>
      <c r="N11" s="4" t="s">
        <v>268</v>
      </c>
      <c r="O11" s="4"/>
    </row>
    <row r="12" spans="1:15" outlineLevel="1">
      <c r="A12" s="9">
        <f t="shared" si="3"/>
        <v>6</v>
      </c>
      <c r="B12" s="4" t="s">
        <v>220</v>
      </c>
      <c r="C12" s="4" t="s">
        <v>106</v>
      </c>
      <c r="D12" s="24"/>
      <c r="E12" s="5">
        <f>SUMIFS('tồn TP 17.03'!F:F,'tồn TP 17.03'!A:A,'Trình bày T4'!B12)</f>
        <v>0</v>
      </c>
      <c r="F12" s="5">
        <f>IFERROR(_xlfn.XLOOKUP(B12,'tồn TP 17.03'!A:A,'tồn TP 17.03'!J:J),0)</f>
        <v>0</v>
      </c>
      <c r="G12" s="66"/>
      <c r="H12" s="65"/>
      <c r="I12" s="46">
        <f t="shared" si="0"/>
        <v>0</v>
      </c>
      <c r="J12" s="78"/>
      <c r="K12" s="46">
        <f t="shared" si="1"/>
        <v>0</v>
      </c>
      <c r="L12" s="53"/>
      <c r="M12" s="76"/>
      <c r="N12" s="4"/>
      <c r="O12" s="4"/>
    </row>
    <row r="13" spans="1:15" outlineLevel="1">
      <c r="A13" s="9">
        <f t="shared" si="3"/>
        <v>7</v>
      </c>
      <c r="B13" s="4" t="s">
        <v>221</v>
      </c>
      <c r="C13" s="4" t="s">
        <v>107</v>
      </c>
      <c r="D13" s="24"/>
      <c r="E13" s="86">
        <f>SUMIFS('tồn TP 17.03'!F:F,'tồn TP 17.03'!A:A,'Trình bày T4'!B13)</f>
        <v>34030</v>
      </c>
      <c r="F13" s="86">
        <f>IFERROR(_xlfn.XLOOKUP(B13,'tồn TP 17.03'!A:A,'tồn TP 17.03'!J:J),0)</f>
        <v>0</v>
      </c>
      <c r="G13" s="86">
        <v>1160</v>
      </c>
      <c r="H13" s="87">
        <f>H7</f>
        <v>1280</v>
      </c>
      <c r="I13" s="46">
        <f t="shared" si="0"/>
        <v>120</v>
      </c>
      <c r="J13" s="89">
        <v>1026</v>
      </c>
      <c r="K13" s="88">
        <f t="shared" si="1"/>
        <v>254</v>
      </c>
      <c r="L13" s="53">
        <f t="shared" si="2"/>
        <v>0.19843749999999999</v>
      </c>
      <c r="M13" s="71"/>
      <c r="N13" s="4"/>
      <c r="O13" s="4"/>
    </row>
    <row r="14" spans="1:15" outlineLevel="1">
      <c r="A14" s="9">
        <f t="shared" si="3"/>
        <v>8</v>
      </c>
      <c r="B14" s="4" t="s">
        <v>275</v>
      </c>
      <c r="C14" s="4" t="s">
        <v>276</v>
      </c>
      <c r="D14" s="24"/>
      <c r="E14" s="5">
        <f>SUMIFS('tồn TP 17.03'!F:F,'tồn TP 17.03'!A:A,'Trình bày T4'!B14)</f>
        <v>0</v>
      </c>
      <c r="F14" s="5">
        <f>IFERROR(_xlfn.XLOOKUP(B14,'tồn TP 17.03'!A:A,'tồn TP 17.03'!J:J),0)</f>
        <v>0</v>
      </c>
      <c r="G14" s="5"/>
      <c r="H14" s="40"/>
      <c r="I14" s="46">
        <f t="shared" si="0"/>
        <v>0</v>
      </c>
      <c r="J14" s="79"/>
      <c r="K14" s="46">
        <f t="shared" si="1"/>
        <v>0</v>
      </c>
      <c r="L14" s="53"/>
      <c r="M14" s="71"/>
      <c r="N14" s="4"/>
      <c r="O14" s="4"/>
    </row>
    <row r="15" spans="1:15" outlineLevel="1">
      <c r="A15" s="9">
        <f t="shared" si="3"/>
        <v>9</v>
      </c>
      <c r="B15" s="4" t="s">
        <v>277</v>
      </c>
      <c r="C15" s="4" t="s">
        <v>278</v>
      </c>
      <c r="D15" s="24"/>
      <c r="E15" s="86">
        <f>SUMIFS('tồn TP 17.03'!F:F,'tồn TP 17.03'!A:A,'Trình bày T4'!B15)</f>
        <v>65840</v>
      </c>
      <c r="F15" s="86">
        <f>IFERROR(_xlfn.XLOOKUP(B15,'tồn TP 17.03'!A:A,'tồn TP 17.03'!J:J),0)</f>
        <v>0</v>
      </c>
      <c r="G15" s="90"/>
      <c r="H15" s="91"/>
      <c r="I15" s="88">
        <f t="shared" si="0"/>
        <v>0</v>
      </c>
      <c r="J15" s="92">
        <f>32400/26.5</f>
        <v>1222.6415094339623</v>
      </c>
      <c r="K15" s="88">
        <f t="shared" ref="K15:K16" si="4">(H15-J15)</f>
        <v>-1222.6415094339623</v>
      </c>
      <c r="L15" s="53" t="e">
        <f t="shared" ref="L15:L16" si="5">+K15/H15</f>
        <v>#DIV/0!</v>
      </c>
      <c r="M15" s="76"/>
      <c r="N15" s="4"/>
      <c r="O15" s="4" t="s">
        <v>303</v>
      </c>
    </row>
    <row r="16" spans="1:15" outlineLevel="1">
      <c r="A16" s="9">
        <f t="shared" si="3"/>
        <v>10</v>
      </c>
      <c r="B16" s="4" t="s">
        <v>209</v>
      </c>
      <c r="C16" s="4" t="s">
        <v>95</v>
      </c>
      <c r="D16" s="24"/>
      <c r="E16" s="86">
        <f>SUMIFS('tồn TP 17.03'!F:F,'tồn TP 17.03'!A:A,'Trình bày T4'!B16)</f>
        <v>1035.5</v>
      </c>
      <c r="F16" s="86">
        <f>IFERROR(_xlfn.XLOOKUP(B16,'tồn TP 17.03'!A:A,'tồn TP 17.03'!J:J),0)</f>
        <v>6600</v>
      </c>
      <c r="G16" s="86">
        <v>1190</v>
      </c>
      <c r="H16" s="87">
        <f>H8</f>
        <v>1310</v>
      </c>
      <c r="I16" s="46">
        <f t="shared" si="0"/>
        <v>120</v>
      </c>
      <c r="J16" s="93">
        <f>29605/26.5</f>
        <v>1117.1698113207547</v>
      </c>
      <c r="K16" s="88">
        <f t="shared" si="4"/>
        <v>192.83018867924534</v>
      </c>
      <c r="L16" s="53">
        <f t="shared" si="5"/>
        <v>0.14719861731240103</v>
      </c>
      <c r="M16" s="71"/>
      <c r="N16" s="4" t="s">
        <v>257</v>
      </c>
      <c r="O16" s="4" t="s">
        <v>303</v>
      </c>
    </row>
    <row r="17" spans="1:15" s="18" customFormat="1" ht="15.5">
      <c r="A17" s="12" t="s">
        <v>241</v>
      </c>
      <c r="B17" s="13" t="s">
        <v>242</v>
      </c>
      <c r="C17" s="13"/>
      <c r="D17" s="23"/>
      <c r="E17" s="94"/>
      <c r="F17" s="94"/>
      <c r="G17" s="94"/>
      <c r="H17" s="95"/>
      <c r="I17" s="96"/>
      <c r="J17" s="97"/>
      <c r="K17" s="96"/>
      <c r="L17" s="54"/>
      <c r="M17" s="72"/>
      <c r="N17" s="13"/>
      <c r="O17" s="13"/>
    </row>
    <row r="18" spans="1:15" outlineLevel="1">
      <c r="A18" s="9">
        <v>1</v>
      </c>
      <c r="B18" s="4" t="s">
        <v>148</v>
      </c>
      <c r="C18" s="4" t="s">
        <v>34</v>
      </c>
      <c r="D18" s="24"/>
      <c r="E18" s="86">
        <f>SUMIFS('tồn TP 17.03'!F:F,'tồn TP 17.03'!A:A,'Trình bày T4'!B18)</f>
        <v>1411297</v>
      </c>
      <c r="F18" s="86">
        <f>IFERROR(_xlfn.XLOOKUP(B18,'tồn TP 17.03'!A:A,'tồn TP 17.03'!J:J),0)</f>
        <v>0</v>
      </c>
      <c r="G18" s="86">
        <v>1190</v>
      </c>
      <c r="H18" s="87">
        <f>+H7+30</f>
        <v>1310</v>
      </c>
      <c r="I18" s="46">
        <f t="shared" ref="I18:I28" si="6">H18-G18</f>
        <v>120</v>
      </c>
      <c r="J18" s="89">
        <f>+J7</f>
        <v>1078</v>
      </c>
      <c r="K18" s="88">
        <f t="shared" ref="K18:K19" si="7">(H18-J18)</f>
        <v>232</v>
      </c>
      <c r="L18" s="53">
        <f t="shared" ref="L18:L19" si="8">+K18/H18</f>
        <v>0.17709923664122137</v>
      </c>
      <c r="M18" s="71">
        <f>M8</f>
        <v>0</v>
      </c>
      <c r="N18" s="4" t="s">
        <v>269</v>
      </c>
      <c r="O18" s="4"/>
    </row>
    <row r="19" spans="1:15" outlineLevel="1">
      <c r="A19" s="9">
        <f>+A18+1</f>
        <v>2</v>
      </c>
      <c r="B19" s="4" t="s">
        <v>147</v>
      </c>
      <c r="C19" s="4" t="s">
        <v>33</v>
      </c>
      <c r="D19" s="24"/>
      <c r="E19" s="86">
        <f>SUMIFS('tồn TP 17.03'!F:F,'tồn TP 17.03'!A:A,'Trình bày T4'!B19)</f>
        <v>256299.5</v>
      </c>
      <c r="F19" s="86">
        <f>IFERROR(_xlfn.XLOOKUP(B19,'tồn TP 17.03'!A:A,'tồn TP 17.03'!J:J),0)</f>
        <v>22000</v>
      </c>
      <c r="G19" s="86">
        <v>1160</v>
      </c>
      <c r="H19" s="87">
        <f>H7</f>
        <v>1280</v>
      </c>
      <c r="I19" s="46">
        <f t="shared" si="6"/>
        <v>120</v>
      </c>
      <c r="J19" s="89">
        <f>+J8</f>
        <v>1078</v>
      </c>
      <c r="K19" s="88">
        <f t="shared" si="7"/>
        <v>202</v>
      </c>
      <c r="L19" s="53">
        <f t="shared" si="8"/>
        <v>0.15781249999999999</v>
      </c>
      <c r="M19" s="71">
        <f>M7</f>
        <v>0</v>
      </c>
      <c r="N19" s="4" t="s">
        <v>270</v>
      </c>
      <c r="O19" s="4"/>
    </row>
    <row r="20" spans="1:15" outlineLevel="1">
      <c r="A20" s="9">
        <f t="shared" ref="A20:A28" si="9">+A19+1</f>
        <v>3</v>
      </c>
      <c r="B20" s="4" t="s">
        <v>151</v>
      </c>
      <c r="C20" s="4" t="s">
        <v>37</v>
      </c>
      <c r="D20" s="24"/>
      <c r="E20" s="86">
        <f>SUMIFS('tồn TP 17.03'!F:F,'tồn TP 17.03'!A:A,'Trình bày T4'!B20)</f>
        <v>52800</v>
      </c>
      <c r="F20" s="86">
        <f>IFERROR(_xlfn.XLOOKUP(B20,'tồn TP 17.03'!A:A,'tồn TP 17.03'!J:J),0)</f>
        <v>0</v>
      </c>
      <c r="G20" s="86"/>
      <c r="H20" s="87"/>
      <c r="I20" s="46">
        <f t="shared" si="6"/>
        <v>0</v>
      </c>
      <c r="J20" s="89">
        <f>29396/26.5</f>
        <v>1109.2830188679245</v>
      </c>
      <c r="K20" s="88"/>
      <c r="L20" s="53"/>
      <c r="M20" s="71"/>
      <c r="N20" s="4" t="s">
        <v>271</v>
      </c>
      <c r="O20" s="4" t="s">
        <v>303</v>
      </c>
    </row>
    <row r="21" spans="1:15" outlineLevel="1">
      <c r="A21" s="9">
        <f t="shared" si="9"/>
        <v>4</v>
      </c>
      <c r="B21" s="4" t="s">
        <v>123</v>
      </c>
      <c r="C21" s="4" t="s">
        <v>9</v>
      </c>
      <c r="D21" s="24"/>
      <c r="E21" s="5">
        <f>SUMIFS('tồn TP 17.03'!F:F,'tồn TP 17.03'!A:A,'Trình bày T4'!B21)</f>
        <v>0</v>
      </c>
      <c r="F21" s="5">
        <f>IFERROR(_xlfn.XLOOKUP(B21,'tồn TP 17.03'!A:A,'tồn TP 17.03'!J:J),0)</f>
        <v>0</v>
      </c>
      <c r="G21" s="5"/>
      <c r="H21" s="40"/>
      <c r="I21" s="46">
        <f t="shared" si="6"/>
        <v>0</v>
      </c>
      <c r="J21" s="42"/>
      <c r="K21" s="46">
        <f t="shared" ref="K21:K22" si="10">(H21-J21)</f>
        <v>0</v>
      </c>
      <c r="L21" s="53"/>
      <c r="M21" s="71"/>
      <c r="N21" s="4"/>
      <c r="O21" s="4" t="s">
        <v>303</v>
      </c>
    </row>
    <row r="22" spans="1:15" outlineLevel="1">
      <c r="A22" s="9">
        <f t="shared" si="9"/>
        <v>5</v>
      </c>
      <c r="B22" s="4" t="s">
        <v>132</v>
      </c>
      <c r="C22" s="4" t="s">
        <v>18</v>
      </c>
      <c r="D22" s="24"/>
      <c r="E22" s="5">
        <f>SUMIFS('tồn TP 17.03'!F:F,'tồn TP 17.03'!A:A,'Trình bày T4'!B22)</f>
        <v>0</v>
      </c>
      <c r="F22" s="5">
        <f>IFERROR(_xlfn.XLOOKUP(B22,'tồn TP 17.03'!A:A,'tồn TP 17.03'!J:J),0)</f>
        <v>0</v>
      </c>
      <c r="G22" s="5"/>
      <c r="H22" s="40"/>
      <c r="I22" s="46">
        <f t="shared" si="6"/>
        <v>0</v>
      </c>
      <c r="J22" s="42"/>
      <c r="K22" s="46">
        <f t="shared" si="10"/>
        <v>0</v>
      </c>
      <c r="L22" s="53"/>
      <c r="M22" s="71"/>
      <c r="N22" s="4"/>
      <c r="O22" s="4"/>
    </row>
    <row r="23" spans="1:15" outlineLevel="1">
      <c r="A23" s="9">
        <f t="shared" si="9"/>
        <v>6</v>
      </c>
      <c r="B23" s="4" t="s">
        <v>202</v>
      </c>
      <c r="C23" s="4" t="s">
        <v>88</v>
      </c>
      <c r="D23" s="24"/>
      <c r="E23" s="86">
        <f>SUMIFS('tồn TP 17.03'!F:F,'tồn TP 17.03'!A:A,'Trình bày T4'!B23)</f>
        <v>67050</v>
      </c>
      <c r="F23" s="86">
        <f>IFERROR(_xlfn.XLOOKUP(B23,'tồn TP 17.03'!A:A,'tồn TP 17.03'!J:J),0)</f>
        <v>0</v>
      </c>
      <c r="G23" s="86"/>
      <c r="H23" s="87"/>
      <c r="I23" s="46">
        <f t="shared" si="6"/>
        <v>0</v>
      </c>
      <c r="J23" s="89">
        <f>27618/26.5</f>
        <v>1042.1886792452831</v>
      </c>
      <c r="K23" s="88"/>
      <c r="L23" s="53"/>
      <c r="M23" s="71"/>
      <c r="N23" s="4" t="s">
        <v>271</v>
      </c>
      <c r="O23" s="4" t="s">
        <v>303</v>
      </c>
    </row>
    <row r="24" spans="1:15" outlineLevel="1">
      <c r="A24" s="9">
        <f t="shared" si="9"/>
        <v>7</v>
      </c>
      <c r="B24" s="4" t="s">
        <v>122</v>
      </c>
      <c r="C24" s="4" t="s">
        <v>8</v>
      </c>
      <c r="D24" s="24"/>
      <c r="E24" s="5">
        <f>SUMIFS('tồn TP 17.03'!F:F,'tồn TP 17.03'!A:A,'Trình bày T4'!B24)</f>
        <v>0</v>
      </c>
      <c r="F24" s="5">
        <f>IFERROR(_xlfn.XLOOKUP(B24,'tồn TP 17.03'!A:A,'tồn TP 17.03'!J:J),0)</f>
        <v>0</v>
      </c>
      <c r="G24" s="5"/>
      <c r="H24" s="40"/>
      <c r="I24" s="46">
        <f t="shared" si="6"/>
        <v>0</v>
      </c>
      <c r="J24" s="42"/>
      <c r="K24" s="46">
        <f t="shared" ref="K24" si="11">(H24-J24)</f>
        <v>0</v>
      </c>
      <c r="L24" s="53"/>
      <c r="M24" s="71"/>
      <c r="N24" s="4"/>
      <c r="O24" s="4" t="s">
        <v>303</v>
      </c>
    </row>
    <row r="25" spans="1:15" outlineLevel="1">
      <c r="A25" s="9">
        <f t="shared" si="9"/>
        <v>8</v>
      </c>
      <c r="B25" s="4" t="s">
        <v>146</v>
      </c>
      <c r="C25" s="4" t="s">
        <v>32</v>
      </c>
      <c r="D25" s="24"/>
      <c r="E25" s="86">
        <f>SUMIFS('tồn TP 17.03'!F:F,'tồn TP 17.03'!A:A,'Trình bày T4'!B25)</f>
        <v>800</v>
      </c>
      <c r="F25" s="86">
        <f>IFERROR(_xlfn.XLOOKUP(B25,'tồn TP 17.03'!A:A,'tồn TP 17.03'!J:J),0)</f>
        <v>0</v>
      </c>
      <c r="G25" s="86"/>
      <c r="H25" s="87"/>
      <c r="I25" s="46">
        <f t="shared" si="6"/>
        <v>0</v>
      </c>
      <c r="J25" s="89">
        <f>31171/26.5</f>
        <v>1176.2641509433963</v>
      </c>
      <c r="K25" s="88"/>
      <c r="L25" s="53"/>
      <c r="M25" s="71"/>
      <c r="N25" s="4" t="s">
        <v>272</v>
      </c>
      <c r="O25" s="4" t="s">
        <v>303</v>
      </c>
    </row>
    <row r="26" spans="1:15" outlineLevel="1">
      <c r="A26" s="9">
        <f t="shared" si="9"/>
        <v>9</v>
      </c>
      <c r="B26" s="4" t="s">
        <v>120</v>
      </c>
      <c r="C26" s="4" t="s">
        <v>6</v>
      </c>
      <c r="D26" s="24"/>
      <c r="E26" s="5">
        <f>SUMIFS('tồn TP 17.03'!F:F,'tồn TP 17.03'!A:A,'Trình bày T4'!B26)</f>
        <v>0</v>
      </c>
      <c r="F26" s="5">
        <f>IFERROR(_xlfn.XLOOKUP(B26,'tồn TP 17.03'!A:A,'tồn TP 17.03'!J:J),0)</f>
        <v>0</v>
      </c>
      <c r="G26" s="5"/>
      <c r="H26" s="40"/>
      <c r="I26" s="46">
        <f t="shared" si="6"/>
        <v>0</v>
      </c>
      <c r="J26" s="42"/>
      <c r="K26" s="46">
        <f t="shared" ref="K26:K28" si="12">(H26-J26)</f>
        <v>0</v>
      </c>
      <c r="L26" s="53"/>
      <c r="M26" s="71"/>
      <c r="N26" s="4"/>
      <c r="O26" s="4"/>
    </row>
    <row r="27" spans="1:15" outlineLevel="1">
      <c r="A27" s="9">
        <f t="shared" si="9"/>
        <v>10</v>
      </c>
      <c r="B27" s="4" t="s">
        <v>119</v>
      </c>
      <c r="C27" s="4" t="s">
        <v>5</v>
      </c>
      <c r="D27" s="24"/>
      <c r="E27" s="5">
        <f>SUMIFS('tồn TP 17.03'!F:F,'tồn TP 17.03'!A:A,'Trình bày T4'!B27)</f>
        <v>0</v>
      </c>
      <c r="F27" s="5">
        <f>IFERROR(_xlfn.XLOOKUP(B27,'tồn TP 17.03'!A:A,'tồn TP 17.03'!J:J),0)</f>
        <v>0</v>
      </c>
      <c r="G27" s="5"/>
      <c r="H27" s="40"/>
      <c r="I27" s="46">
        <f t="shared" si="6"/>
        <v>0</v>
      </c>
      <c r="J27" s="42"/>
      <c r="K27" s="46">
        <f t="shared" si="12"/>
        <v>0</v>
      </c>
      <c r="L27" s="53"/>
      <c r="M27" s="71"/>
      <c r="N27" s="4"/>
      <c r="O27" s="4"/>
    </row>
    <row r="28" spans="1:15" outlineLevel="1">
      <c r="A28" s="9">
        <f t="shared" si="9"/>
        <v>11</v>
      </c>
      <c r="B28" s="4" t="s">
        <v>206</v>
      </c>
      <c r="C28" s="4" t="s">
        <v>92</v>
      </c>
      <c r="D28" s="24"/>
      <c r="E28" s="5">
        <f>SUMIFS('tồn TP 17.03'!F:F,'tồn TP 17.03'!A:A,'Trình bày T4'!B28)</f>
        <v>0</v>
      </c>
      <c r="F28" s="5">
        <f>IFERROR(_xlfn.XLOOKUP(B28,'tồn TP 17.03'!A:A,'tồn TP 17.03'!J:J),0)</f>
        <v>0</v>
      </c>
      <c r="G28" s="5"/>
      <c r="H28" s="40"/>
      <c r="I28" s="46">
        <f t="shared" si="6"/>
        <v>0</v>
      </c>
      <c r="J28" s="41"/>
      <c r="K28" s="46">
        <f t="shared" si="12"/>
        <v>0</v>
      </c>
      <c r="L28" s="53"/>
      <c r="M28" s="71"/>
      <c r="N28" s="4"/>
      <c r="O28" s="4"/>
    </row>
    <row r="29" spans="1:15" s="18" customFormat="1" ht="15.5">
      <c r="A29" s="12" t="s">
        <v>243</v>
      </c>
      <c r="B29" s="13" t="s">
        <v>291</v>
      </c>
      <c r="C29" s="13"/>
      <c r="D29" s="23"/>
      <c r="E29" s="94"/>
      <c r="F29" s="94"/>
      <c r="G29" s="94"/>
      <c r="H29" s="95"/>
      <c r="I29" s="96"/>
      <c r="J29" s="97"/>
      <c r="K29" s="96"/>
      <c r="L29" s="54"/>
      <c r="M29" s="72"/>
      <c r="N29" s="13"/>
      <c r="O29" s="13"/>
    </row>
    <row r="30" spans="1:15" outlineLevel="1">
      <c r="A30" s="9">
        <v>1</v>
      </c>
      <c r="B30" s="4" t="s">
        <v>201</v>
      </c>
      <c r="C30" s="4" t="s">
        <v>87</v>
      </c>
      <c r="D30" s="24"/>
      <c r="E30" s="86">
        <f>SUMIFS('tồn TP 17.03'!F:F,'tồn TP 17.03'!A:A,'Trình bày T4'!B30)</f>
        <v>16099</v>
      </c>
      <c r="F30" s="86">
        <f>IFERROR(_xlfn.XLOOKUP(B30,'tồn TP 17.03'!A:A,'tồn TP 17.03'!J:J),0)</f>
        <v>0</v>
      </c>
      <c r="G30" s="86">
        <v>770</v>
      </c>
      <c r="H30" s="87"/>
      <c r="I30" s="46">
        <f t="shared" ref="I30:I36" si="13">H30-G30</f>
        <v>-770</v>
      </c>
      <c r="J30" s="89">
        <v>858</v>
      </c>
      <c r="K30" s="88">
        <f t="shared" ref="K30:K32" si="14">(H30-J30)</f>
        <v>-858</v>
      </c>
      <c r="L30" s="53" t="e">
        <f t="shared" ref="L30:L32" si="15">+K30/H30</f>
        <v>#DIV/0!</v>
      </c>
      <c r="M30" s="71"/>
      <c r="N30" s="4"/>
      <c r="O30" s="4" t="s">
        <v>246</v>
      </c>
    </row>
    <row r="31" spans="1:15" outlineLevel="1">
      <c r="A31" s="9">
        <f>A30+1</f>
        <v>2</v>
      </c>
      <c r="B31" s="4" t="s">
        <v>182</v>
      </c>
      <c r="C31" s="4" t="s">
        <v>68</v>
      </c>
      <c r="D31" s="24"/>
      <c r="E31" s="86">
        <f>SUMIFS('tồn TP 17.03'!F:F,'tồn TP 17.03'!A:A,'Trình bày T4'!B31)</f>
        <v>331785.7</v>
      </c>
      <c r="F31" s="86">
        <f>IFERROR(_xlfn.XLOOKUP(B31,'tồn TP 17.03'!A:A,'tồn TP 17.03'!J:J),0)</f>
        <v>90300</v>
      </c>
      <c r="G31" s="86">
        <v>720</v>
      </c>
      <c r="H31" s="87"/>
      <c r="I31" s="46">
        <f t="shared" si="13"/>
        <v>-720</v>
      </c>
      <c r="J31" s="89">
        <v>884</v>
      </c>
      <c r="K31" s="88">
        <f t="shared" si="14"/>
        <v>-884</v>
      </c>
      <c r="L31" s="53" t="e">
        <f t="shared" si="15"/>
        <v>#DIV/0!</v>
      </c>
      <c r="M31" s="71"/>
      <c r="N31" s="4"/>
      <c r="O31" s="4" t="s">
        <v>250</v>
      </c>
    </row>
    <row r="32" spans="1:15" outlineLevel="1">
      <c r="A32" s="9">
        <v>2</v>
      </c>
      <c r="B32" s="4" t="s">
        <v>150</v>
      </c>
      <c r="C32" s="4" t="s">
        <v>36</v>
      </c>
      <c r="D32" s="24"/>
      <c r="E32" s="86">
        <f>SUMIFS('tồn TP 17.03'!F:F,'tồn TP 17.03'!A:A,'Trình bày T4'!B32)</f>
        <v>6614.7</v>
      </c>
      <c r="F32" s="86">
        <f>IFERROR(_xlfn.XLOOKUP(B32,'tồn TP 17.03'!A:A,'tồn TP 17.03'!J:J),0)</f>
        <v>9450</v>
      </c>
      <c r="G32" s="86">
        <v>1030</v>
      </c>
      <c r="H32" s="87">
        <f>H7-130</f>
        <v>1150</v>
      </c>
      <c r="I32" s="46">
        <f t="shared" si="13"/>
        <v>120</v>
      </c>
      <c r="J32" s="89">
        <v>521</v>
      </c>
      <c r="K32" s="88">
        <f t="shared" si="14"/>
        <v>629</v>
      </c>
      <c r="L32" s="53">
        <f t="shared" si="15"/>
        <v>0.54695652173913045</v>
      </c>
      <c r="M32" s="71"/>
      <c r="N32" s="4"/>
      <c r="O32" s="4" t="s">
        <v>247</v>
      </c>
    </row>
    <row r="33" spans="1:15" outlineLevel="1">
      <c r="A33" s="9">
        <f t="shared" ref="A33" si="16">A32+1</f>
        <v>3</v>
      </c>
      <c r="B33" s="4" t="s">
        <v>152</v>
      </c>
      <c r="C33" s="4" t="s">
        <v>38</v>
      </c>
      <c r="D33" s="24"/>
      <c r="E33" s="86">
        <f>SUMIFS('tồn TP 17.03'!F:F,'tồn TP 17.03'!A:A,'Trình bày T4'!B33)</f>
        <v>171597.5</v>
      </c>
      <c r="F33" s="86">
        <f>IFERROR(_xlfn.XLOOKUP(B33,'tồn TP 17.03'!A:A,'tồn TP 17.03'!J:J),0)</f>
        <v>0</v>
      </c>
      <c r="G33" s="86"/>
      <c r="H33" s="87"/>
      <c r="I33" s="46">
        <f t="shared" si="13"/>
        <v>0</v>
      </c>
      <c r="J33" s="89"/>
      <c r="K33" s="88"/>
      <c r="L33" s="53"/>
      <c r="M33" s="71"/>
      <c r="N33" s="4"/>
      <c r="O33" s="4" t="s">
        <v>251</v>
      </c>
    </row>
    <row r="34" spans="1:15" outlineLevel="1">
      <c r="A34" s="9">
        <v>3</v>
      </c>
      <c r="B34" s="4" t="s">
        <v>149</v>
      </c>
      <c r="C34" s="4" t="s">
        <v>35</v>
      </c>
      <c r="D34" s="24"/>
      <c r="E34" s="86">
        <f>SUMIFS('tồn TP 17.03'!F:F,'tồn TP 17.03'!A:A,'Trình bày T4'!B34)</f>
        <v>54292.2</v>
      </c>
      <c r="F34" s="86">
        <f>IFERROR(_xlfn.XLOOKUP(B34,'tồn TP 17.03'!A:A,'tồn TP 17.03'!J:J),0)</f>
        <v>-17600</v>
      </c>
      <c r="G34" s="86">
        <v>1030</v>
      </c>
      <c r="H34" s="87">
        <f>H32</f>
        <v>1150</v>
      </c>
      <c r="I34" s="46">
        <f t="shared" si="13"/>
        <v>120</v>
      </c>
      <c r="J34" s="89">
        <v>592</v>
      </c>
      <c r="K34" s="88">
        <f t="shared" ref="K34:K36" si="17">(H34-J34)</f>
        <v>558</v>
      </c>
      <c r="L34" s="53">
        <f t="shared" ref="L34:L36" si="18">+K34/H34</f>
        <v>0.48521739130434782</v>
      </c>
      <c r="M34" s="71"/>
      <c r="N34" s="4"/>
      <c r="O34" s="4" t="s">
        <v>248</v>
      </c>
    </row>
    <row r="35" spans="1:15" outlineLevel="1">
      <c r="A35" s="9">
        <f t="shared" ref="A35" si="19">A34+1</f>
        <v>4</v>
      </c>
      <c r="B35" s="4" t="s">
        <v>154</v>
      </c>
      <c r="C35" s="4" t="s">
        <v>40</v>
      </c>
      <c r="D35" s="24"/>
      <c r="E35" s="86">
        <f>SUMIFS('tồn TP 17.03'!F:F,'tồn TP 17.03'!A:A,'Trình bày T4'!B35)</f>
        <v>6599</v>
      </c>
      <c r="F35" s="86">
        <f>IFERROR(_xlfn.XLOOKUP(B35,'tồn TP 17.03'!A:A,'tồn TP 17.03'!J:J),0)</f>
        <v>0</v>
      </c>
      <c r="G35" s="86">
        <v>1030</v>
      </c>
      <c r="H35" s="87">
        <f>H32</f>
        <v>1150</v>
      </c>
      <c r="I35" s="46">
        <f t="shared" si="13"/>
        <v>120</v>
      </c>
      <c r="J35" s="89">
        <f>32081/26.5</f>
        <v>1210.6037735849056</v>
      </c>
      <c r="K35" s="88">
        <f t="shared" si="17"/>
        <v>-60.603773584905639</v>
      </c>
      <c r="L35" s="53">
        <f t="shared" si="18"/>
        <v>-5.2698933552091862E-2</v>
      </c>
      <c r="M35" s="71"/>
      <c r="N35" s="4" t="s">
        <v>363</v>
      </c>
      <c r="O35" s="4"/>
    </row>
    <row r="36" spans="1:15" outlineLevel="1">
      <c r="A36" s="9">
        <v>4</v>
      </c>
      <c r="B36" s="4" t="s">
        <v>200</v>
      </c>
      <c r="C36" s="4" t="s">
        <v>86</v>
      </c>
      <c r="D36" s="24"/>
      <c r="E36" s="86">
        <f>SUMIFS('tồn TP 17.03'!F:F,'tồn TP 17.03'!A:A,'Trình bày T4'!B36)</f>
        <v>90593</v>
      </c>
      <c r="F36" s="86">
        <f>IFERROR(_xlfn.XLOOKUP(B36,'tồn TP 17.03'!A:A,'tồn TP 17.03'!J:J),0)</f>
        <v>0</v>
      </c>
      <c r="G36" s="86">
        <v>570</v>
      </c>
      <c r="H36" s="87"/>
      <c r="I36" s="46">
        <f t="shared" si="13"/>
        <v>-570</v>
      </c>
      <c r="J36" s="89">
        <v>593</v>
      </c>
      <c r="K36" s="88">
        <f t="shared" si="17"/>
        <v>-593</v>
      </c>
      <c r="L36" s="53" t="e">
        <f t="shared" si="18"/>
        <v>#DIV/0!</v>
      </c>
      <c r="M36" s="71"/>
      <c r="N36" s="4"/>
      <c r="O36" s="4" t="s">
        <v>249</v>
      </c>
    </row>
    <row r="37" spans="1:15" s="19" customFormat="1" outlineLevel="1">
      <c r="A37" s="9">
        <f t="shared" ref="A37" si="20">A36+1</f>
        <v>5</v>
      </c>
      <c r="B37" s="8" t="s">
        <v>177</v>
      </c>
      <c r="C37" s="8" t="s">
        <v>63</v>
      </c>
      <c r="D37" s="25"/>
      <c r="E37" s="98">
        <f>SUMIFS('tồn TP 17.03'!F:F,'tồn TP 17.03'!A:A,'Trình bày T4'!B37)</f>
        <v>37399</v>
      </c>
      <c r="F37" s="98">
        <f>IFERROR(_xlfn.XLOOKUP(B37,'tồn TP 17.03'!A:A,'tồn TP 17.03'!J:J),0)</f>
        <v>0</v>
      </c>
      <c r="G37" s="98"/>
      <c r="H37" s="87"/>
      <c r="I37" s="46"/>
      <c r="J37" s="99"/>
      <c r="K37" s="88"/>
      <c r="L37" s="53"/>
      <c r="M37" s="71"/>
      <c r="N37" s="8"/>
      <c r="O37" s="8" t="s">
        <v>252</v>
      </c>
    </row>
    <row r="38" spans="1:15" s="18" customFormat="1" ht="15.5">
      <c r="A38" s="14" t="s">
        <v>258</v>
      </c>
      <c r="B38" s="15" t="s">
        <v>266</v>
      </c>
      <c r="C38" s="15"/>
      <c r="D38" s="22"/>
      <c r="E38" s="100"/>
      <c r="F38" s="100"/>
      <c r="G38" s="100"/>
      <c r="H38" s="101"/>
      <c r="I38" s="102"/>
      <c r="J38" s="103"/>
      <c r="K38" s="102"/>
      <c r="L38" s="55"/>
      <c r="M38" s="73"/>
      <c r="N38" s="15"/>
      <c r="O38" s="15"/>
    </row>
    <row r="39" spans="1:15" s="18" customFormat="1" ht="15.5">
      <c r="A39" s="12" t="s">
        <v>239</v>
      </c>
      <c r="B39" s="13" t="s">
        <v>240</v>
      </c>
      <c r="C39" s="13"/>
      <c r="D39" s="23"/>
      <c r="E39" s="94"/>
      <c r="F39" s="94"/>
      <c r="G39" s="94"/>
      <c r="H39" s="95"/>
      <c r="I39" s="96"/>
      <c r="J39" s="97"/>
      <c r="K39" s="96"/>
      <c r="L39" s="54"/>
      <c r="M39" s="72"/>
      <c r="N39" s="13"/>
      <c r="O39" s="13"/>
    </row>
    <row r="40" spans="1:15" outlineLevel="1">
      <c r="A40" s="9">
        <v>1</v>
      </c>
      <c r="B40" s="4" t="s">
        <v>126</v>
      </c>
      <c r="C40" s="4" t="s">
        <v>12</v>
      </c>
      <c r="D40" s="24" t="s">
        <v>230</v>
      </c>
      <c r="E40" s="86">
        <f>SUMIFS('tồn TP 17.03'!F:F,'tồn TP 17.03'!A:A,'Trình bày T4'!B40)</f>
        <v>261707.5</v>
      </c>
      <c r="F40" s="86">
        <f>IFERROR(_xlfn.XLOOKUP(B40,'tồn TP 17.03'!A:A,'tồn TP 17.03'!J:J),0)</f>
        <v>412500</v>
      </c>
      <c r="G40" s="86"/>
      <c r="H40" s="87"/>
      <c r="I40" s="46">
        <f t="shared" ref="I40:I46" si="21">H40-G40</f>
        <v>0</v>
      </c>
      <c r="J40" s="89">
        <v>1113</v>
      </c>
      <c r="K40" s="88"/>
      <c r="L40" s="53"/>
      <c r="M40" s="71"/>
      <c r="N40" s="4" t="s">
        <v>313</v>
      </c>
      <c r="O40" s="4"/>
    </row>
    <row r="41" spans="1:15" outlineLevel="1">
      <c r="A41" s="9">
        <f>+A40+1</f>
        <v>2</v>
      </c>
      <c r="B41" s="4" t="s">
        <v>173</v>
      </c>
      <c r="C41" s="4" t="s">
        <v>59</v>
      </c>
      <c r="D41" s="24" t="s">
        <v>227</v>
      </c>
      <c r="E41" s="86">
        <f>SUMIFS('tồn TP 17.03'!F:F,'tồn TP 17.03'!A:A,'Trình bày T4'!B41)</f>
        <v>40547</v>
      </c>
      <c r="F41" s="86">
        <f>IFERROR(_xlfn.XLOOKUP(B41,'tồn TP 17.03'!A:A,'tồn TP 17.03'!J:J),0)</f>
        <v>0</v>
      </c>
      <c r="G41" s="86"/>
      <c r="H41" s="87"/>
      <c r="I41" s="46">
        <f t="shared" si="21"/>
        <v>0</v>
      </c>
      <c r="J41" s="89">
        <f>33485/26.5</f>
        <v>1263.5849056603774</v>
      </c>
      <c r="K41" s="88"/>
      <c r="L41" s="53"/>
      <c r="M41" s="71"/>
      <c r="N41" s="4" t="s">
        <v>313</v>
      </c>
      <c r="O41" s="4"/>
    </row>
    <row r="42" spans="1:15" outlineLevel="1">
      <c r="A42" s="9">
        <f t="shared" ref="A42:A46" si="22">+A41+1</f>
        <v>3</v>
      </c>
      <c r="B42" s="4" t="s">
        <v>145</v>
      </c>
      <c r="C42" s="4" t="s">
        <v>31</v>
      </c>
      <c r="D42" s="24" t="s">
        <v>230</v>
      </c>
      <c r="E42" s="86">
        <f>SUMIFS('tồn TP 17.03'!F:F,'tồn TP 17.03'!A:A,'Trình bày T4'!B42)</f>
        <v>305689.40000000002</v>
      </c>
      <c r="F42" s="86">
        <f>IFERROR(_xlfn.XLOOKUP(B42,'tồn TP 17.03'!A:A,'tồn TP 17.03'!J:J),0)</f>
        <v>66500</v>
      </c>
      <c r="G42" s="86">
        <v>1200</v>
      </c>
      <c r="H42" s="87">
        <v>1300</v>
      </c>
      <c r="I42" s="46">
        <f t="shared" si="21"/>
        <v>100</v>
      </c>
      <c r="J42" s="89">
        <f>27898/26.5</f>
        <v>1052.7547169811321</v>
      </c>
      <c r="K42" s="88">
        <f t="shared" ref="K42:K43" si="23">(H42-J42)</f>
        <v>247.24528301886789</v>
      </c>
      <c r="L42" s="53">
        <f t="shared" ref="L42:L43" si="24">+K42/H42</f>
        <v>0.19018867924528299</v>
      </c>
      <c r="M42" s="71"/>
      <c r="N42" s="4"/>
      <c r="O42" s="4"/>
    </row>
    <row r="43" spans="1:15" outlineLevel="1">
      <c r="A43" s="9">
        <f t="shared" si="22"/>
        <v>4</v>
      </c>
      <c r="B43" s="4" t="s">
        <v>280</v>
      </c>
      <c r="C43" s="4" t="s">
        <v>281</v>
      </c>
      <c r="D43" s="24" t="s">
        <v>230</v>
      </c>
      <c r="E43" s="86">
        <f>SUMIFS('tồn TP 17.03'!F:F,'tồn TP 17.03'!A:A,'Trình bày T4'!B43)</f>
        <v>1749</v>
      </c>
      <c r="F43" s="86">
        <f>IFERROR(_xlfn.XLOOKUP(B43,'tồn TP 17.03'!A:A,'tồn TP 17.03'!J:J),0)</f>
        <v>150</v>
      </c>
      <c r="G43" s="86">
        <v>1300</v>
      </c>
      <c r="H43" s="87">
        <v>1400</v>
      </c>
      <c r="I43" s="46">
        <f t="shared" ref="I43" si="25">H43-G43</f>
        <v>100</v>
      </c>
      <c r="J43" s="89">
        <f>J40</f>
        <v>1113</v>
      </c>
      <c r="K43" s="88">
        <f t="shared" si="23"/>
        <v>287</v>
      </c>
      <c r="L43" s="53">
        <f t="shared" si="24"/>
        <v>0.20499999999999999</v>
      </c>
      <c r="M43" s="71"/>
      <c r="N43" s="4"/>
      <c r="O43" s="4"/>
    </row>
    <row r="44" spans="1:15" outlineLevel="1">
      <c r="A44" s="9">
        <f t="shared" si="22"/>
        <v>5</v>
      </c>
      <c r="B44" s="4" t="s">
        <v>207</v>
      </c>
      <c r="C44" s="4" t="s">
        <v>93</v>
      </c>
      <c r="D44" s="24" t="s">
        <v>230</v>
      </c>
      <c r="E44" s="86">
        <f>SUMIFS('tồn TP 17.03'!F:F,'tồn TP 17.03'!A:A,'Trình bày T4'!B44)</f>
        <v>336345</v>
      </c>
      <c r="F44" s="86">
        <f>IFERROR(_xlfn.XLOOKUP(B44,'tồn TP 17.03'!A:A,'tồn TP 17.03'!J:J),0)</f>
        <v>33000</v>
      </c>
      <c r="G44" s="86"/>
      <c r="H44" s="87"/>
      <c r="I44" s="46">
        <f>H44-G44</f>
        <v>0</v>
      </c>
      <c r="J44" s="89">
        <f>J40+7</f>
        <v>1120</v>
      </c>
      <c r="K44" s="88"/>
      <c r="L44" s="53"/>
      <c r="M44" s="71"/>
      <c r="N44" s="4" t="s">
        <v>313</v>
      </c>
      <c r="O44" s="4"/>
    </row>
    <row r="45" spans="1:15" outlineLevel="1">
      <c r="A45" s="9">
        <f t="shared" si="22"/>
        <v>6</v>
      </c>
      <c r="B45" s="4" t="s">
        <v>172</v>
      </c>
      <c r="C45" s="4" t="s">
        <v>58</v>
      </c>
      <c r="D45" s="24" t="s">
        <v>225</v>
      </c>
      <c r="E45" s="86">
        <f>SUMIFS('tồn TP 17.03'!F:F,'tồn TP 17.03'!A:A,'Trình bày T4'!B45)</f>
        <v>48873.5</v>
      </c>
      <c r="F45" s="86">
        <f>IFERROR(_xlfn.XLOOKUP(B45,'tồn TP 17.03'!A:A,'tồn TP 17.03'!J:J),0)</f>
        <v>66000</v>
      </c>
      <c r="G45" s="86"/>
      <c r="H45" s="87"/>
      <c r="I45" s="46">
        <f t="shared" si="21"/>
        <v>0</v>
      </c>
      <c r="J45" s="89">
        <f>25669/26.5</f>
        <v>968.64150943396226</v>
      </c>
      <c r="K45" s="88"/>
      <c r="L45" s="53"/>
      <c r="M45" s="71"/>
      <c r="N45" s="4" t="s">
        <v>313</v>
      </c>
      <c r="O45" s="4"/>
    </row>
    <row r="46" spans="1:15" outlineLevel="1">
      <c r="A46" s="9">
        <f t="shared" si="22"/>
        <v>7</v>
      </c>
      <c r="B46" s="4" t="s">
        <v>218</v>
      </c>
      <c r="C46" s="4" t="s">
        <v>104</v>
      </c>
      <c r="D46" s="24" t="s">
        <v>225</v>
      </c>
      <c r="E46" s="86">
        <f>SUMIFS('tồn TP 17.03'!F:F,'tồn TP 17.03'!A:A,'Trình bày T4'!B46)</f>
        <v>20078</v>
      </c>
      <c r="F46" s="86">
        <f>IFERROR(_xlfn.XLOOKUP(B46,'tồn TP 17.03'!A:A,'tồn TP 17.03'!J:J),0)</f>
        <v>0</v>
      </c>
      <c r="G46" s="86">
        <v>1250</v>
      </c>
      <c r="H46" s="87">
        <v>1350</v>
      </c>
      <c r="I46" s="46">
        <f t="shared" si="21"/>
        <v>100</v>
      </c>
      <c r="J46" s="89">
        <f>29574/26.5</f>
        <v>1116</v>
      </c>
      <c r="K46" s="88">
        <f t="shared" ref="K46" si="26">(H46-J46)</f>
        <v>234</v>
      </c>
      <c r="L46" s="53">
        <f t="shared" ref="L46" si="27">+K46/H46</f>
        <v>0.17333333333333334</v>
      </c>
      <c r="M46" s="71"/>
      <c r="N46" s="4"/>
      <c r="O46" s="4"/>
    </row>
    <row r="47" spans="1:15" s="18" customFormat="1" ht="15.5">
      <c r="A47" s="12" t="s">
        <v>241</v>
      </c>
      <c r="B47" s="13" t="s">
        <v>242</v>
      </c>
      <c r="C47" s="13"/>
      <c r="D47" s="23"/>
      <c r="E47" s="94"/>
      <c r="F47" s="94"/>
      <c r="G47" s="94"/>
      <c r="H47" s="95"/>
      <c r="I47" s="96"/>
      <c r="J47" s="97"/>
      <c r="K47" s="96"/>
      <c r="L47" s="54"/>
      <c r="M47" s="72"/>
      <c r="N47" s="13"/>
      <c r="O47" s="13"/>
    </row>
    <row r="48" spans="1:15" outlineLevel="1">
      <c r="A48" s="9">
        <f>1</f>
        <v>1</v>
      </c>
      <c r="B48" s="4" t="s">
        <v>153</v>
      </c>
      <c r="C48" s="4" t="s">
        <v>39</v>
      </c>
      <c r="D48" s="24" t="s">
        <v>230</v>
      </c>
      <c r="E48" s="86">
        <f>SUMIFS('tồn TP 17.03'!F:F,'tồn TP 17.03'!A:A,'Trình bày T4'!B48)</f>
        <v>2750</v>
      </c>
      <c r="F48" s="5">
        <f>IFERROR(_xlfn.XLOOKUP(B48,'tồn TP 17.03'!A:A,'tồn TP 17.03'!J:J),0)</f>
        <v>0</v>
      </c>
      <c r="G48" s="86">
        <v>1200</v>
      </c>
      <c r="H48" s="87">
        <v>1300</v>
      </c>
      <c r="I48" s="46">
        <f t="shared" ref="I48:I53" si="28">H48-G48</f>
        <v>100</v>
      </c>
      <c r="J48" s="89">
        <f>31516/26.5</f>
        <v>1189.2830188679245</v>
      </c>
      <c r="K48" s="88">
        <f t="shared" ref="K48:K49" si="29">(H48-J48)</f>
        <v>110.71698113207549</v>
      </c>
      <c r="L48" s="53">
        <f t="shared" ref="L48:L49" si="30">+K48/H48</f>
        <v>8.5166908563134996E-2</v>
      </c>
      <c r="M48" s="71"/>
      <c r="N48" s="4" t="s">
        <v>285</v>
      </c>
      <c r="O48" s="4" t="s">
        <v>286</v>
      </c>
    </row>
    <row r="49" spans="1:15" outlineLevel="1">
      <c r="A49" s="9">
        <f>A48+1</f>
        <v>2</v>
      </c>
      <c r="B49" s="4" t="s">
        <v>129</v>
      </c>
      <c r="C49" s="4" t="s">
        <v>15</v>
      </c>
      <c r="D49" s="24" t="s">
        <v>227</v>
      </c>
      <c r="E49" s="86">
        <f>SUMIFS('tồn TP 17.03'!F:F,'tồn TP 17.03'!A:A,'Trình bày T4'!B49)</f>
        <v>3575</v>
      </c>
      <c r="F49" s="5">
        <f>IFERROR(_xlfn.XLOOKUP(B49,'tồn TP 17.03'!A:A,'tồn TP 17.03'!J:J),0)</f>
        <v>0</v>
      </c>
      <c r="G49" s="86">
        <v>1200</v>
      </c>
      <c r="H49" s="87">
        <v>1300</v>
      </c>
      <c r="I49" s="46">
        <f t="shared" si="28"/>
        <v>100</v>
      </c>
      <c r="J49" s="89">
        <f>34395/26.5</f>
        <v>1297.9245283018868</v>
      </c>
      <c r="K49" s="88">
        <f t="shared" si="29"/>
        <v>2.0754716981132333</v>
      </c>
      <c r="L49" s="53">
        <f t="shared" si="30"/>
        <v>1.5965166908563334E-3</v>
      </c>
      <c r="M49" s="71"/>
      <c r="N49" s="4" t="s">
        <v>308</v>
      </c>
      <c r="O49" s="4"/>
    </row>
    <row r="50" spans="1:15" outlineLevel="1">
      <c r="A50" s="9">
        <f t="shared" ref="A50:A56" si="31">A49+1</f>
        <v>3</v>
      </c>
      <c r="B50" s="4" t="s">
        <v>174</v>
      </c>
      <c r="C50" s="4" t="s">
        <v>60</v>
      </c>
      <c r="D50" s="24" t="s">
        <v>232</v>
      </c>
      <c r="E50" s="86">
        <f>SUMIFS('tồn TP 17.03'!F:F,'tồn TP 17.03'!A:A,'Trình bày T4'!B50)</f>
        <v>18774</v>
      </c>
      <c r="F50" s="5">
        <f>IFERROR(_xlfn.XLOOKUP(B50,'tồn TP 17.03'!A:A,'tồn TP 17.03'!J:J),0)</f>
        <v>0</v>
      </c>
      <c r="G50" s="86"/>
      <c r="H50" s="87"/>
      <c r="I50" s="46">
        <f t="shared" si="28"/>
        <v>0</v>
      </c>
      <c r="J50" s="89">
        <f>21813/26.5</f>
        <v>823.13207547169816</v>
      </c>
      <c r="K50" s="88"/>
      <c r="L50" s="53"/>
      <c r="M50" s="71"/>
      <c r="N50" s="4" t="s">
        <v>313</v>
      </c>
      <c r="O50" s="4"/>
    </row>
    <row r="51" spans="1:15" outlineLevel="1">
      <c r="A51" s="9">
        <f t="shared" si="31"/>
        <v>4</v>
      </c>
      <c r="B51" s="4" t="s">
        <v>128</v>
      </c>
      <c r="C51" s="4" t="s">
        <v>14</v>
      </c>
      <c r="D51" s="24" t="s">
        <v>232</v>
      </c>
      <c r="E51" s="86">
        <f>SUMIFS('tồn TP 17.03'!F:F,'tồn TP 17.03'!A:A,'Trình bày T4'!B51)</f>
        <v>13300</v>
      </c>
      <c r="F51" s="5">
        <f>IFERROR(_xlfn.XLOOKUP(B51,'tồn TP 17.03'!A:A,'tồn TP 17.03'!J:J),0)</f>
        <v>0</v>
      </c>
      <c r="G51" s="86">
        <v>1200</v>
      </c>
      <c r="H51" s="87">
        <v>1300</v>
      </c>
      <c r="I51" s="46">
        <f t="shared" si="28"/>
        <v>100</v>
      </c>
      <c r="J51" s="89">
        <f>21813</f>
        <v>21813</v>
      </c>
      <c r="K51" s="88">
        <f t="shared" ref="K51" si="32">(H51-J51)</f>
        <v>-20513</v>
      </c>
      <c r="L51" s="53">
        <f t="shared" ref="L51" si="33">+K51/H51</f>
        <v>-15.77923076923077</v>
      </c>
      <c r="M51" s="71"/>
      <c r="N51" s="4" t="s">
        <v>285</v>
      </c>
      <c r="O51" s="4"/>
    </row>
    <row r="52" spans="1:15" outlineLevel="1">
      <c r="A52" s="9">
        <f t="shared" si="31"/>
        <v>5</v>
      </c>
      <c r="B52" s="4" t="s">
        <v>124</v>
      </c>
      <c r="C52" s="4" t="s">
        <v>10</v>
      </c>
      <c r="D52" s="24"/>
      <c r="E52" s="86">
        <f>SUMIFS('tồn TP 17.03'!F:F,'tồn TP 17.03'!A:A,'Trình bày T4'!B52)</f>
        <v>12451.9</v>
      </c>
      <c r="F52" s="5">
        <f>IFERROR(_xlfn.XLOOKUP(B52,'tồn TP 17.03'!A:A,'tồn TP 17.03'!J:J),0)</f>
        <v>0</v>
      </c>
      <c r="G52" s="86"/>
      <c r="H52" s="87"/>
      <c r="I52" s="46">
        <f t="shared" si="28"/>
        <v>0</v>
      </c>
      <c r="J52" s="89"/>
      <c r="K52" s="88"/>
      <c r="L52" s="53"/>
      <c r="M52" s="71"/>
      <c r="N52" s="4"/>
      <c r="O52" s="4"/>
    </row>
    <row r="53" spans="1:15" outlineLevel="1">
      <c r="A53" s="9">
        <f t="shared" si="31"/>
        <v>6</v>
      </c>
      <c r="B53" s="4" t="s">
        <v>125</v>
      </c>
      <c r="C53" s="4" t="s">
        <v>11</v>
      </c>
      <c r="D53" s="24" t="s">
        <v>225</v>
      </c>
      <c r="E53" s="5">
        <f>SUMIFS('tồn TP 17.03'!F:F,'tồn TP 17.03'!A:A,'Trình bày T4'!B53)</f>
        <v>0</v>
      </c>
      <c r="F53" s="5">
        <f>IFERROR(_xlfn.XLOOKUP(B53,'tồn TP 17.03'!A:A,'tồn TP 17.03'!J:J),0)</f>
        <v>0</v>
      </c>
      <c r="G53" s="86">
        <v>1200</v>
      </c>
      <c r="H53" s="87">
        <v>1300</v>
      </c>
      <c r="I53" s="46">
        <f t="shared" si="28"/>
        <v>100</v>
      </c>
      <c r="J53" s="89"/>
      <c r="K53" s="88">
        <f t="shared" ref="K53:K56" si="34">(H53-J53)</f>
        <v>1300</v>
      </c>
      <c r="L53" s="53">
        <f t="shared" ref="L53" si="35">+K53/H53</f>
        <v>1</v>
      </c>
      <c r="M53" s="71"/>
      <c r="N53" s="4"/>
      <c r="O53" s="4"/>
    </row>
    <row r="54" spans="1:15" s="61" customFormat="1" outlineLevel="1">
      <c r="A54" s="57">
        <f t="shared" si="31"/>
        <v>7</v>
      </c>
      <c r="B54" s="58" t="s">
        <v>180</v>
      </c>
      <c r="C54" s="58" t="s">
        <v>66</v>
      </c>
      <c r="D54" s="59" t="s">
        <v>230</v>
      </c>
      <c r="E54" s="60">
        <f>SUMIFS('tồn TP 17.03'!F:F,'tồn TP 17.03'!A:A,'Trình bày T4'!B54)</f>
        <v>0</v>
      </c>
      <c r="F54" s="60">
        <f>IFERROR(_xlfn.XLOOKUP(B54,'tồn TP 17.03'!A:A,'tồn TP 17.03'!J:J),0)</f>
        <v>0</v>
      </c>
      <c r="G54" s="60">
        <v>1200</v>
      </c>
      <c r="H54" s="40"/>
      <c r="I54" s="46"/>
      <c r="J54" s="42"/>
      <c r="K54" s="46">
        <f t="shared" si="34"/>
        <v>0</v>
      </c>
      <c r="L54" s="53"/>
      <c r="M54" s="71"/>
      <c r="N54" s="4"/>
      <c r="O54" s="58" t="s">
        <v>296</v>
      </c>
    </row>
    <row r="55" spans="1:15" outlineLevel="1">
      <c r="A55" s="9">
        <f t="shared" si="31"/>
        <v>8</v>
      </c>
      <c r="B55" s="4" t="s">
        <v>176</v>
      </c>
      <c r="C55" s="4" t="s">
        <v>62</v>
      </c>
      <c r="D55" s="24" t="s">
        <v>230</v>
      </c>
      <c r="E55" s="5">
        <f>SUMIFS('tồn TP 17.03'!F:F,'tồn TP 17.03'!A:A,'Trình bày T4'!B55)</f>
        <v>0</v>
      </c>
      <c r="F55" s="5">
        <f>IFERROR(_xlfn.XLOOKUP(B55,'tồn TP 17.03'!A:A,'tồn TP 17.03'!J:J),0)</f>
        <v>0</v>
      </c>
      <c r="G55" s="5">
        <v>1300</v>
      </c>
      <c r="H55" s="40"/>
      <c r="I55" s="46"/>
      <c r="J55" s="42"/>
      <c r="K55" s="46">
        <f t="shared" si="34"/>
        <v>0</v>
      </c>
      <c r="L55" s="53"/>
      <c r="M55" s="71"/>
      <c r="N55" s="4"/>
      <c r="O55" s="4"/>
    </row>
    <row r="56" spans="1:15" outlineLevel="1">
      <c r="A56" s="9">
        <f t="shared" si="31"/>
        <v>9</v>
      </c>
      <c r="B56" s="4" t="s">
        <v>179</v>
      </c>
      <c r="C56" s="4" t="s">
        <v>65</v>
      </c>
      <c r="D56" s="24" t="s">
        <v>230</v>
      </c>
      <c r="E56" s="5">
        <f>SUMIFS('tồn TP 17.03'!F:F,'tồn TP 17.03'!A:A,'Trình bày T4'!B56)</f>
        <v>0</v>
      </c>
      <c r="F56" s="5">
        <f>IFERROR(_xlfn.XLOOKUP(B56,'tồn TP 17.03'!A:A,'tồn TP 17.03'!J:J),0)</f>
        <v>0</v>
      </c>
      <c r="G56" s="5">
        <v>1200</v>
      </c>
      <c r="H56" s="40"/>
      <c r="I56" s="46"/>
      <c r="J56" s="42"/>
      <c r="K56" s="46">
        <f t="shared" si="34"/>
        <v>0</v>
      </c>
      <c r="L56" s="53"/>
      <c r="M56" s="71"/>
      <c r="N56" s="4"/>
      <c r="O56" s="4"/>
    </row>
    <row r="57" spans="1:15" s="18" customFormat="1" ht="15.5">
      <c r="A57" s="12" t="s">
        <v>243</v>
      </c>
      <c r="B57" s="13" t="s">
        <v>264</v>
      </c>
      <c r="C57" s="13"/>
      <c r="D57" s="23"/>
      <c r="E57" s="94"/>
      <c r="F57" s="94"/>
      <c r="G57" s="94"/>
      <c r="H57" s="95"/>
      <c r="I57" s="95"/>
      <c r="J57" s="97"/>
      <c r="K57" s="96"/>
      <c r="L57" s="54"/>
      <c r="M57" s="72"/>
      <c r="N57" s="13"/>
      <c r="O57" s="13"/>
    </row>
    <row r="58" spans="1:15" outlineLevel="1">
      <c r="A58" s="9">
        <v>1</v>
      </c>
      <c r="B58" s="4" t="s">
        <v>127</v>
      </c>
      <c r="C58" s="4" t="s">
        <v>13</v>
      </c>
      <c r="D58" s="24" t="s">
        <v>229</v>
      </c>
      <c r="E58" s="86">
        <f>SUMIFS('tồn TP 17.03'!F:F,'tồn TP 17.03'!A:A,'Trình bày T4'!B58)</f>
        <v>185975.5</v>
      </c>
      <c r="F58" s="86">
        <f>IFERROR(_xlfn.XLOOKUP(B58,'tồn TP 17.03'!A:A,'tồn TP 17.03'!J:J),0)</f>
        <v>19750</v>
      </c>
      <c r="G58" s="86">
        <v>780</v>
      </c>
      <c r="H58" s="87"/>
      <c r="I58" s="46">
        <f t="shared" ref="I58" si="36">H58-G58</f>
        <v>-780</v>
      </c>
      <c r="J58" s="89">
        <v>736.5405420805605</v>
      </c>
      <c r="K58" s="88">
        <f t="shared" ref="K58" si="37">(H58-J58)</f>
        <v>-736.5405420805605</v>
      </c>
      <c r="L58" s="53" t="e">
        <f t="shared" ref="L58" si="38">+K58/H58</f>
        <v>#DIV/0!</v>
      </c>
      <c r="M58" s="71"/>
      <c r="N58" s="4"/>
      <c r="O58" s="4" t="s">
        <v>253</v>
      </c>
    </row>
    <row r="59" spans="1:15" s="18" customFormat="1" ht="15.5">
      <c r="A59" s="14" t="s">
        <v>259</v>
      </c>
      <c r="B59" s="15" t="s">
        <v>265</v>
      </c>
      <c r="C59" s="15"/>
      <c r="D59" s="22"/>
      <c r="E59" s="100"/>
      <c r="F59" s="100"/>
      <c r="G59" s="100"/>
      <c r="H59" s="100"/>
      <c r="I59" s="102"/>
      <c r="J59" s="103"/>
      <c r="K59" s="102"/>
      <c r="L59" s="55"/>
      <c r="M59" s="73"/>
      <c r="N59" s="15"/>
      <c r="O59" s="15"/>
    </row>
    <row r="60" spans="1:15" s="18" customFormat="1" ht="15.5">
      <c r="A60" s="12" t="s">
        <v>239</v>
      </c>
      <c r="B60" s="13" t="s">
        <v>240</v>
      </c>
      <c r="C60" s="13"/>
      <c r="D60" s="23"/>
      <c r="E60" s="94"/>
      <c r="F60" s="94"/>
      <c r="G60" s="94"/>
      <c r="H60" s="94"/>
      <c r="I60" s="96"/>
      <c r="J60" s="97"/>
      <c r="K60" s="96"/>
      <c r="L60" s="54"/>
      <c r="M60" s="72"/>
      <c r="N60" s="13"/>
      <c r="O60" s="13"/>
    </row>
    <row r="61" spans="1:15" outlineLevel="1">
      <c r="A61" s="9">
        <v>1</v>
      </c>
      <c r="B61" s="4" t="s">
        <v>134</v>
      </c>
      <c r="C61" s="4" t="s">
        <v>20</v>
      </c>
      <c r="D61" s="24" t="s">
        <v>228</v>
      </c>
      <c r="E61" s="86">
        <f>SUMIFS('tồn TP 17.03'!F:F,'tồn TP 17.03'!A:A,'Trình bày T4'!B61)</f>
        <v>52070</v>
      </c>
      <c r="F61" s="86">
        <f>IFERROR(_xlfn.XLOOKUP(B61,'tồn TP 17.03'!A:A,'tồn TP 17.03'!J:J),0)</f>
        <v>22500</v>
      </c>
      <c r="G61" s="104">
        <v>740</v>
      </c>
      <c r="H61" s="87">
        <v>1230</v>
      </c>
      <c r="I61" s="46">
        <f t="shared" ref="I61:I68" si="39">H61-G61</f>
        <v>490</v>
      </c>
      <c r="J61" s="89">
        <v>774.16653942368782</v>
      </c>
      <c r="K61" s="88">
        <f t="shared" ref="K61:K68" si="40">(H61-J61)</f>
        <v>455.83346057631218</v>
      </c>
      <c r="L61" s="53">
        <f t="shared" ref="L61:L68" si="41">+K61/H61</f>
        <v>0.3705963094116359</v>
      </c>
      <c r="M61" s="71"/>
      <c r="N61" s="28" t="s">
        <v>274</v>
      </c>
      <c r="O61" s="4"/>
    </row>
    <row r="62" spans="1:15" outlineLevel="1">
      <c r="A62" s="9">
        <f>+A61+1</f>
        <v>2</v>
      </c>
      <c r="B62" s="4" t="s">
        <v>139</v>
      </c>
      <c r="C62" s="4" t="s">
        <v>25</v>
      </c>
      <c r="D62" s="24" t="s">
        <v>232</v>
      </c>
      <c r="E62" s="86">
        <f>SUMIFS('tồn TP 17.03'!F:F,'tồn TP 17.03'!A:A,'Trình bày T4'!B62)</f>
        <v>1775</v>
      </c>
      <c r="F62" s="86">
        <f>IFERROR(_xlfn.XLOOKUP(B62,'tồn TP 17.03'!A:A,'tồn TP 17.03'!J:J),0)</f>
        <v>39000</v>
      </c>
      <c r="G62" s="104">
        <v>740</v>
      </c>
      <c r="H62" s="87">
        <v>1230</v>
      </c>
      <c r="I62" s="46">
        <f t="shared" si="39"/>
        <v>490</v>
      </c>
      <c r="J62" s="89">
        <v>774.16653942368782</v>
      </c>
      <c r="K62" s="88">
        <f t="shared" si="40"/>
        <v>455.83346057631218</v>
      </c>
      <c r="L62" s="53">
        <f t="shared" si="41"/>
        <v>0.3705963094116359</v>
      </c>
      <c r="M62" s="71"/>
      <c r="N62" s="28" t="s">
        <v>274</v>
      </c>
      <c r="O62" s="4"/>
    </row>
    <row r="63" spans="1:15" outlineLevel="1">
      <c r="A63" s="9">
        <f t="shared" ref="A63:A68" si="42">+A62+1</f>
        <v>3</v>
      </c>
      <c r="B63" s="4" t="s">
        <v>135</v>
      </c>
      <c r="C63" s="4" t="s">
        <v>21</v>
      </c>
      <c r="D63" s="24" t="s">
        <v>226</v>
      </c>
      <c r="E63" s="86">
        <f>SUMIFS('tồn TP 17.03'!F:F,'tồn TP 17.03'!A:A,'Trình bày T4'!B63)</f>
        <v>43050</v>
      </c>
      <c r="F63" s="86">
        <f>IFERROR(_xlfn.XLOOKUP(B63,'tồn TP 17.03'!A:A,'tồn TP 17.03'!J:J),0)</f>
        <v>5500</v>
      </c>
      <c r="G63" s="104">
        <v>740</v>
      </c>
      <c r="H63" s="87">
        <v>1230</v>
      </c>
      <c r="I63" s="46">
        <f t="shared" si="39"/>
        <v>490</v>
      </c>
      <c r="J63" s="89">
        <v>774.16653942368782</v>
      </c>
      <c r="K63" s="88">
        <f t="shared" si="40"/>
        <v>455.83346057631218</v>
      </c>
      <c r="L63" s="53">
        <f t="shared" si="41"/>
        <v>0.3705963094116359</v>
      </c>
      <c r="M63" s="71"/>
      <c r="N63" s="28" t="s">
        <v>274</v>
      </c>
      <c r="O63" s="4"/>
    </row>
    <row r="64" spans="1:15" outlineLevel="1">
      <c r="A64" s="9">
        <f t="shared" si="42"/>
        <v>4</v>
      </c>
      <c r="B64" s="4" t="s">
        <v>219</v>
      </c>
      <c r="C64" s="4" t="s">
        <v>105</v>
      </c>
      <c r="D64" s="24" t="s">
        <v>228</v>
      </c>
      <c r="E64" s="86">
        <f>SUMIFS('tồn TP 17.03'!F:F,'tồn TP 17.03'!A:A,'Trình bày T4'!B64)</f>
        <v>1448</v>
      </c>
      <c r="F64" s="86">
        <f>IFERROR(_xlfn.XLOOKUP(B64,'tồn TP 17.03'!A:A,'tồn TP 17.03'!J:J),0)</f>
        <v>0</v>
      </c>
      <c r="G64" s="104">
        <v>740</v>
      </c>
      <c r="H64" s="87">
        <v>1230</v>
      </c>
      <c r="I64" s="46">
        <f t="shared" si="39"/>
        <v>490</v>
      </c>
      <c r="J64" s="89">
        <f>33028/26.5</f>
        <v>1246.3396226415093</v>
      </c>
      <c r="K64" s="88">
        <f t="shared" si="40"/>
        <v>-16.339622641509322</v>
      </c>
      <c r="L64" s="53">
        <f t="shared" si="41"/>
        <v>-1.3284246050007579E-2</v>
      </c>
      <c r="M64" s="71"/>
      <c r="N64" s="28" t="s">
        <v>274</v>
      </c>
      <c r="O64" s="4" t="s">
        <v>317</v>
      </c>
    </row>
    <row r="65" spans="1:15" outlineLevel="1">
      <c r="A65" s="9">
        <f t="shared" si="42"/>
        <v>5</v>
      </c>
      <c r="B65" s="4" t="s">
        <v>137</v>
      </c>
      <c r="C65" s="4" t="s">
        <v>23</v>
      </c>
      <c r="D65" s="24" t="s">
        <v>227</v>
      </c>
      <c r="E65" s="86">
        <f>SUMIFS('tồn TP 17.03'!F:F,'tồn TP 17.03'!A:A,'Trình bày T4'!B65)</f>
        <v>18015</v>
      </c>
      <c r="F65" s="86">
        <f>IFERROR(_xlfn.XLOOKUP(B65,'tồn TP 17.03'!A:A,'tồn TP 17.03'!J:J),0)</f>
        <v>16500</v>
      </c>
      <c r="G65" s="104">
        <v>740</v>
      </c>
      <c r="H65" s="87">
        <v>1230</v>
      </c>
      <c r="I65" s="46">
        <f t="shared" si="39"/>
        <v>490</v>
      </c>
      <c r="J65" s="89">
        <f>21943/26.5</f>
        <v>828.03773584905662</v>
      </c>
      <c r="K65" s="88">
        <f t="shared" si="40"/>
        <v>401.96226415094338</v>
      </c>
      <c r="L65" s="53">
        <f t="shared" si="41"/>
        <v>0.32679858874060436</v>
      </c>
      <c r="M65" s="71"/>
      <c r="N65" s="28" t="s">
        <v>274</v>
      </c>
      <c r="O65" s="4"/>
    </row>
    <row r="66" spans="1:15" outlineLevel="1">
      <c r="A66" s="9">
        <f t="shared" si="42"/>
        <v>6</v>
      </c>
      <c r="B66" s="4" t="s">
        <v>138</v>
      </c>
      <c r="C66" s="4" t="s">
        <v>24</v>
      </c>
      <c r="D66" s="24" t="s">
        <v>225</v>
      </c>
      <c r="E66" s="86">
        <f>SUMIFS('tồn TP 17.03'!F:F,'tồn TP 17.03'!A:A,'Trình bày T4'!B66)</f>
        <v>56110.400000000001</v>
      </c>
      <c r="F66" s="86">
        <f>IFERROR(_xlfn.XLOOKUP(B66,'tồn TP 17.03'!A:A,'tồn TP 17.03'!J:J),0)</f>
        <v>25</v>
      </c>
      <c r="G66" s="104">
        <v>740</v>
      </c>
      <c r="H66" s="87">
        <v>1230</v>
      </c>
      <c r="I66" s="46">
        <f t="shared" si="39"/>
        <v>490</v>
      </c>
      <c r="J66" s="89">
        <v>774.16653942368782</v>
      </c>
      <c r="K66" s="88">
        <f t="shared" si="40"/>
        <v>455.83346057631218</v>
      </c>
      <c r="L66" s="53">
        <f t="shared" si="41"/>
        <v>0.3705963094116359</v>
      </c>
      <c r="M66" s="71"/>
      <c r="N66" s="28" t="s">
        <v>274</v>
      </c>
      <c r="O66" s="4"/>
    </row>
    <row r="67" spans="1:15" outlineLevel="1">
      <c r="A67" s="9">
        <f t="shared" si="42"/>
        <v>7</v>
      </c>
      <c r="B67" s="4" t="s">
        <v>178</v>
      </c>
      <c r="C67" s="4" t="s">
        <v>64</v>
      </c>
      <c r="D67" s="24" t="s">
        <v>234</v>
      </c>
      <c r="E67" s="86">
        <f>SUMIFS('tồn TP 17.03'!F:F,'tồn TP 17.03'!A:A,'Trình bày T4'!B67)</f>
        <v>3448</v>
      </c>
      <c r="F67" s="86">
        <f>IFERROR(_xlfn.XLOOKUP(B67,'tồn TP 17.03'!A:A,'tồn TP 17.03'!J:J),0)</f>
        <v>11000</v>
      </c>
      <c r="G67" s="104">
        <v>660</v>
      </c>
      <c r="H67" s="87"/>
      <c r="I67" s="46">
        <f>H67-G67</f>
        <v>-660</v>
      </c>
      <c r="J67" s="89">
        <f>20040/26.5</f>
        <v>756.22641509433959</v>
      </c>
      <c r="K67" s="88">
        <f>(H67-J67)</f>
        <v>-756.22641509433959</v>
      </c>
      <c r="L67" s="53" t="e">
        <f>+K67/H67</f>
        <v>#DIV/0!</v>
      </c>
      <c r="M67" s="71"/>
      <c r="N67" s="28" t="s">
        <v>274</v>
      </c>
      <c r="O67" s="4" t="s">
        <v>314</v>
      </c>
    </row>
    <row r="68" spans="1:15" outlineLevel="1">
      <c r="A68" s="9">
        <f t="shared" si="42"/>
        <v>8</v>
      </c>
      <c r="B68" s="4" t="s">
        <v>136</v>
      </c>
      <c r="C68" s="4" t="s">
        <v>22</v>
      </c>
      <c r="D68" s="24" t="s">
        <v>234</v>
      </c>
      <c r="E68" s="86">
        <f>SUMIFS('tồn TP 17.03'!F:F,'tồn TP 17.03'!A:A,'Trình bày T4'!B68)</f>
        <v>243296.9</v>
      </c>
      <c r="F68" s="86">
        <f>IFERROR(_xlfn.XLOOKUP(B68,'tồn TP 17.03'!A:A,'tồn TP 17.03'!J:J),0)</f>
        <v>0</v>
      </c>
      <c r="G68" s="104">
        <v>740</v>
      </c>
      <c r="H68" s="87">
        <v>1230</v>
      </c>
      <c r="I68" s="46">
        <f t="shared" si="39"/>
        <v>490</v>
      </c>
      <c r="J68" s="89">
        <f>18654/26.5</f>
        <v>703.92452830188677</v>
      </c>
      <c r="K68" s="88">
        <f t="shared" si="40"/>
        <v>526.07547169811323</v>
      </c>
      <c r="L68" s="53">
        <f t="shared" si="41"/>
        <v>0.42770363552692131</v>
      </c>
      <c r="M68" s="71"/>
      <c r="N68" s="28" t="s">
        <v>274</v>
      </c>
      <c r="O68" s="4" t="s">
        <v>315</v>
      </c>
    </row>
    <row r="69" spans="1:15" s="18" customFormat="1" ht="15.5">
      <c r="A69" s="12" t="s">
        <v>241</v>
      </c>
      <c r="B69" s="13" t="s">
        <v>242</v>
      </c>
      <c r="C69" s="13"/>
      <c r="D69" s="23"/>
      <c r="E69" s="94"/>
      <c r="F69" s="94"/>
      <c r="G69" s="94"/>
      <c r="H69" s="95"/>
      <c r="I69" s="96"/>
      <c r="J69" s="97"/>
      <c r="K69" s="96"/>
      <c r="L69" s="54"/>
      <c r="M69" s="72"/>
      <c r="N69" s="13"/>
      <c r="O69" s="13"/>
    </row>
    <row r="70" spans="1:15" outlineLevel="1">
      <c r="A70" s="9">
        <f>1</f>
        <v>1</v>
      </c>
      <c r="B70" s="4" t="s">
        <v>144</v>
      </c>
      <c r="C70" s="4" t="s">
        <v>30</v>
      </c>
      <c r="D70" s="24" t="s">
        <v>228</v>
      </c>
      <c r="E70" s="86">
        <f>SUMIFS('tồn TP 17.03'!F:F,'tồn TP 17.03'!A:A,'Trình bày T4'!B70)</f>
        <v>6235.4</v>
      </c>
      <c r="F70" s="86">
        <f>IFERROR(_xlfn.XLOOKUP(B70,'tồn TP 17.03'!A:A,'tồn TP 17.03'!J:J),0)</f>
        <v>0</v>
      </c>
      <c r="G70" s="104">
        <v>740</v>
      </c>
      <c r="H70" s="87">
        <v>1230</v>
      </c>
      <c r="I70" s="46">
        <f t="shared" ref="I70" si="43">H70-G70</f>
        <v>490</v>
      </c>
      <c r="J70" s="89">
        <f>23573/26.5</f>
        <v>889.54716981132071</v>
      </c>
      <c r="K70" s="88">
        <f t="shared" ref="K70" si="44">(H70-J70)</f>
        <v>340.45283018867929</v>
      </c>
      <c r="L70" s="53">
        <f t="shared" ref="L70" si="45">+K70/H70</f>
        <v>0.27679091885258478</v>
      </c>
      <c r="M70" s="71"/>
      <c r="N70" s="28" t="s">
        <v>274</v>
      </c>
      <c r="O70" s="4" t="s">
        <v>316</v>
      </c>
    </row>
    <row r="71" spans="1:15" outlineLevel="1">
      <c r="A71" s="9"/>
      <c r="B71" s="4"/>
      <c r="C71" s="4"/>
      <c r="D71" s="24"/>
      <c r="E71" s="86"/>
      <c r="F71" s="86"/>
      <c r="G71" s="86"/>
      <c r="H71" s="87"/>
      <c r="I71" s="88"/>
      <c r="J71" s="89"/>
      <c r="K71" s="88"/>
      <c r="L71" s="53"/>
      <c r="M71" s="71"/>
      <c r="N71" s="4"/>
      <c r="O71" s="4"/>
    </row>
    <row r="72" spans="1:15" s="18" customFormat="1" ht="15.5">
      <c r="A72" s="14" t="s">
        <v>260</v>
      </c>
      <c r="B72" s="15" t="s">
        <v>244</v>
      </c>
      <c r="C72" s="15"/>
      <c r="D72" s="22"/>
      <c r="E72" s="100"/>
      <c r="F72" s="100"/>
      <c r="G72" s="100"/>
      <c r="H72" s="101"/>
      <c r="I72" s="102"/>
      <c r="J72" s="103"/>
      <c r="K72" s="102"/>
      <c r="L72" s="55"/>
      <c r="M72" s="73"/>
      <c r="N72" s="15"/>
      <c r="O72" s="15"/>
    </row>
    <row r="73" spans="1:15" s="18" customFormat="1" ht="15.5">
      <c r="A73" s="12" t="s">
        <v>239</v>
      </c>
      <c r="B73" s="13" t="s">
        <v>240</v>
      </c>
      <c r="C73" s="13"/>
      <c r="D73" s="23"/>
      <c r="E73" s="94"/>
      <c r="F73" s="94"/>
      <c r="G73" s="94"/>
      <c r="H73" s="95"/>
      <c r="I73" s="96"/>
      <c r="J73" s="97"/>
      <c r="K73" s="96"/>
      <c r="L73" s="54"/>
      <c r="M73" s="72"/>
      <c r="N73" s="13"/>
      <c r="O73" s="13"/>
    </row>
    <row r="74" spans="1:15" outlineLevel="1">
      <c r="A74" s="9">
        <v>4</v>
      </c>
      <c r="B74" s="4" t="s">
        <v>162</v>
      </c>
      <c r="C74" s="4" t="s">
        <v>48</v>
      </c>
      <c r="D74" s="24" t="s">
        <v>226</v>
      </c>
      <c r="E74" s="86">
        <f>SUMIFS('tồn TP 17.03'!F:F,'tồn TP 17.03'!A:A,'Trình bày T4'!B74)</f>
        <v>68028</v>
      </c>
      <c r="F74" s="86">
        <f>IFERROR(_xlfn.XLOOKUP(B74,'tồn TP 17.03'!A:A,'tồn TP 17.03'!J:J),0)</f>
        <v>39250</v>
      </c>
      <c r="G74" s="86">
        <v>665</v>
      </c>
      <c r="H74" s="87">
        <v>1160</v>
      </c>
      <c r="I74" s="46">
        <f t="shared" ref="I74:I80" si="46">H74-G74</f>
        <v>495</v>
      </c>
      <c r="J74" s="105">
        <v>640.71231347737239</v>
      </c>
      <c r="K74" s="88">
        <f t="shared" ref="K74:K80" si="47">(H74-J74)</f>
        <v>519.28768652262761</v>
      </c>
      <c r="L74" s="53">
        <f t="shared" ref="L74:L80" si="48">+K74/H74</f>
        <v>0.4476617987264031</v>
      </c>
      <c r="M74" s="71"/>
      <c r="N74" s="151" t="s">
        <v>263</v>
      </c>
      <c r="O74" s="4"/>
    </row>
    <row r="75" spans="1:15" outlineLevel="1">
      <c r="A75" s="9">
        <v>2</v>
      </c>
      <c r="B75" s="4" t="s">
        <v>164</v>
      </c>
      <c r="C75" s="4" t="s">
        <v>50</v>
      </c>
      <c r="D75" s="24" t="s">
        <v>227</v>
      </c>
      <c r="E75" s="86">
        <f>SUMIFS('tồn TP 17.03'!F:F,'tồn TP 17.03'!A:A,'Trình bày T4'!B75)</f>
        <v>40385</v>
      </c>
      <c r="F75" s="86">
        <f>IFERROR(_xlfn.XLOOKUP(B75,'tồn TP 17.03'!A:A,'tồn TP 17.03'!J:J),0)</f>
        <v>6000</v>
      </c>
      <c r="G75" s="86">
        <v>665</v>
      </c>
      <c r="H75" s="87">
        <v>1160</v>
      </c>
      <c r="I75" s="46">
        <f t="shared" si="46"/>
        <v>495</v>
      </c>
      <c r="J75" s="105">
        <v>640.71231347737239</v>
      </c>
      <c r="K75" s="88">
        <f t="shared" si="47"/>
        <v>519.28768652262761</v>
      </c>
      <c r="L75" s="53">
        <f t="shared" si="48"/>
        <v>0.4476617987264031</v>
      </c>
      <c r="M75" s="71"/>
      <c r="N75" s="152"/>
      <c r="O75" s="4"/>
    </row>
    <row r="76" spans="1:15" outlineLevel="1">
      <c r="A76" s="9">
        <v>1</v>
      </c>
      <c r="B76" s="4" t="s">
        <v>165</v>
      </c>
      <c r="C76" s="4" t="s">
        <v>51</v>
      </c>
      <c r="D76" s="24" t="s">
        <v>232</v>
      </c>
      <c r="E76" s="86">
        <f>SUMIFS('tồn TP 17.03'!F:F,'tồn TP 17.03'!A:A,'Trình bày T4'!B76)</f>
        <v>26650</v>
      </c>
      <c r="F76" s="86">
        <f>IFERROR(_xlfn.XLOOKUP(B76,'tồn TP 17.03'!A:A,'tồn TP 17.03'!J:J),0)</f>
        <v>3750</v>
      </c>
      <c r="G76" s="86">
        <v>665</v>
      </c>
      <c r="H76" s="87">
        <v>1160</v>
      </c>
      <c r="I76" s="46">
        <f t="shared" si="46"/>
        <v>495</v>
      </c>
      <c r="J76" s="105">
        <v>640.71231347737239</v>
      </c>
      <c r="K76" s="88">
        <f t="shared" si="47"/>
        <v>519.28768652262761</v>
      </c>
      <c r="L76" s="53">
        <f t="shared" si="48"/>
        <v>0.4476617987264031</v>
      </c>
      <c r="M76" s="71"/>
      <c r="N76" s="152"/>
      <c r="O76" s="4"/>
    </row>
    <row r="77" spans="1:15" outlineLevel="1">
      <c r="A77" s="9">
        <v>7</v>
      </c>
      <c r="B77" s="4" t="s">
        <v>166</v>
      </c>
      <c r="C77" s="4" t="s">
        <v>52</v>
      </c>
      <c r="D77" s="24" t="s">
        <v>228</v>
      </c>
      <c r="E77" s="86">
        <f>SUMIFS('tồn TP 17.03'!F:F,'tồn TP 17.03'!A:A,'Trình bày T4'!B77)</f>
        <v>36750</v>
      </c>
      <c r="F77" s="86">
        <f>IFERROR(_xlfn.XLOOKUP(B77,'tồn TP 17.03'!A:A,'tồn TP 17.03'!J:J),0)</f>
        <v>0</v>
      </c>
      <c r="G77" s="86">
        <v>665</v>
      </c>
      <c r="H77" s="87">
        <v>1160</v>
      </c>
      <c r="I77" s="46">
        <f t="shared" si="46"/>
        <v>495</v>
      </c>
      <c r="J77" s="105">
        <v>640.71231347737239</v>
      </c>
      <c r="K77" s="88">
        <f t="shared" si="47"/>
        <v>519.28768652262761</v>
      </c>
      <c r="L77" s="53">
        <f t="shared" si="48"/>
        <v>0.4476617987264031</v>
      </c>
      <c r="M77" s="71"/>
      <c r="N77" s="152"/>
      <c r="O77" s="4"/>
    </row>
    <row r="78" spans="1:15" outlineLevel="1">
      <c r="A78" s="9">
        <v>5</v>
      </c>
      <c r="B78" s="4" t="s">
        <v>163</v>
      </c>
      <c r="C78" s="4" t="s">
        <v>49</v>
      </c>
      <c r="D78" s="24" t="s">
        <v>225</v>
      </c>
      <c r="E78" s="86">
        <f>SUMIFS('tồn TP 17.03'!F:F,'tồn TP 17.03'!A:A,'Trình bày T4'!B78)</f>
        <v>95857.2</v>
      </c>
      <c r="F78" s="86">
        <f>IFERROR(_xlfn.XLOOKUP(B78,'tồn TP 17.03'!A:A,'tồn TP 17.03'!J:J),0)</f>
        <v>80500</v>
      </c>
      <c r="G78" s="86">
        <v>665</v>
      </c>
      <c r="H78" s="87">
        <v>1160</v>
      </c>
      <c r="I78" s="46">
        <f t="shared" si="46"/>
        <v>495</v>
      </c>
      <c r="J78" s="105">
        <v>640.71231347737239</v>
      </c>
      <c r="K78" s="88">
        <f t="shared" si="47"/>
        <v>519.28768652262761</v>
      </c>
      <c r="L78" s="53">
        <f t="shared" si="48"/>
        <v>0.4476617987264031</v>
      </c>
      <c r="M78" s="71"/>
      <c r="N78" s="152"/>
      <c r="O78" s="4"/>
    </row>
    <row r="79" spans="1:15" outlineLevel="1">
      <c r="A79" s="9">
        <v>6</v>
      </c>
      <c r="B79" s="4" t="s">
        <v>167</v>
      </c>
      <c r="C79" s="4" t="s">
        <v>53</v>
      </c>
      <c r="D79" s="24" t="s">
        <v>229</v>
      </c>
      <c r="E79" s="86">
        <f>SUMIFS('tồn TP 17.03'!F:F,'tồn TP 17.03'!A:A,'Trình bày T4'!B79)</f>
        <v>34022</v>
      </c>
      <c r="F79" s="86">
        <f>IFERROR(_xlfn.XLOOKUP(B79,'tồn TP 17.03'!A:A,'tồn TP 17.03'!J:J),0)</f>
        <v>2250</v>
      </c>
      <c r="G79" s="86">
        <v>665</v>
      </c>
      <c r="H79" s="87">
        <v>1160</v>
      </c>
      <c r="I79" s="46">
        <f t="shared" si="46"/>
        <v>495</v>
      </c>
      <c r="J79" s="105">
        <v>640.71231347737239</v>
      </c>
      <c r="K79" s="88">
        <f t="shared" si="47"/>
        <v>519.28768652262761</v>
      </c>
      <c r="L79" s="53">
        <f t="shared" si="48"/>
        <v>0.4476617987264031</v>
      </c>
      <c r="M79" s="71"/>
      <c r="N79" s="152"/>
      <c r="O79" s="4"/>
    </row>
    <row r="80" spans="1:15" outlineLevel="1">
      <c r="A80" s="9">
        <v>7</v>
      </c>
      <c r="B80" s="4" t="s">
        <v>168</v>
      </c>
      <c r="C80" s="4" t="s">
        <v>54</v>
      </c>
      <c r="D80" s="24" t="s">
        <v>231</v>
      </c>
      <c r="E80" s="86">
        <f>SUMIFS('tồn TP 17.03'!F:F,'tồn TP 17.03'!A:A,'Trình bày T4'!B80)</f>
        <v>160374.5</v>
      </c>
      <c r="F80" s="86">
        <f>IFERROR(_xlfn.XLOOKUP(B80,'tồn TP 17.03'!A:A,'tồn TP 17.03'!J:J),0)</f>
        <v>0</v>
      </c>
      <c r="G80" s="86">
        <v>665</v>
      </c>
      <c r="H80" s="87">
        <v>1160</v>
      </c>
      <c r="I80" s="46">
        <f t="shared" si="46"/>
        <v>495</v>
      </c>
      <c r="J80" s="105">
        <v>640.71231347737239</v>
      </c>
      <c r="K80" s="88">
        <f t="shared" si="47"/>
        <v>519.28768652262761</v>
      </c>
      <c r="L80" s="53">
        <f t="shared" si="48"/>
        <v>0.4476617987264031</v>
      </c>
      <c r="M80" s="71"/>
      <c r="N80" s="153"/>
      <c r="O80" s="4"/>
    </row>
    <row r="81" spans="1:20" s="18" customFormat="1" ht="15.5">
      <c r="A81" s="12" t="s">
        <v>241</v>
      </c>
      <c r="B81" s="13" t="s">
        <v>242</v>
      </c>
      <c r="C81" s="13"/>
      <c r="D81" s="23"/>
      <c r="E81" s="94"/>
      <c r="F81" s="94"/>
      <c r="G81" s="94"/>
      <c r="H81" s="95"/>
      <c r="I81" s="96"/>
      <c r="J81" s="97"/>
      <c r="K81" s="96"/>
      <c r="L81" s="54"/>
      <c r="M81" s="72"/>
      <c r="N81" s="13"/>
      <c r="O81" s="13"/>
    </row>
    <row r="82" spans="1:20" outlineLevel="1">
      <c r="A82" s="9">
        <f>1</f>
        <v>1</v>
      </c>
      <c r="B82" s="4" t="s">
        <v>203</v>
      </c>
      <c r="C82" s="4" t="s">
        <v>89</v>
      </c>
      <c r="D82" s="24" t="s">
        <v>228</v>
      </c>
      <c r="E82" s="86">
        <f>SUMIFS('tồn TP 17.03'!F:F,'tồn TP 17.03'!A:A,'Trình bày T4'!B82)</f>
        <v>5700</v>
      </c>
      <c r="F82" s="86">
        <f>IFERROR(_xlfn.XLOOKUP(B82,'tồn TP 17.03'!A:A,'tồn TP 17.03'!J:J),0)</f>
        <v>0</v>
      </c>
      <c r="G82" s="86"/>
      <c r="H82" s="87"/>
      <c r="I82" s="88"/>
      <c r="J82" s="89">
        <f>19448/26.5</f>
        <v>733.88679245283015</v>
      </c>
      <c r="K82" s="46"/>
      <c r="L82" s="53"/>
      <c r="M82" s="71"/>
      <c r="N82" s="4" t="s">
        <v>273</v>
      </c>
      <c r="O82" s="4" t="s">
        <v>321</v>
      </c>
    </row>
    <row r="83" spans="1:20" outlineLevel="1">
      <c r="A83" s="9"/>
      <c r="B83" s="4"/>
      <c r="C83" s="4"/>
      <c r="D83" s="24"/>
      <c r="E83" s="86"/>
      <c r="F83" s="86"/>
      <c r="G83" s="86"/>
      <c r="H83" s="87"/>
      <c r="I83" s="88"/>
      <c r="J83" s="89"/>
      <c r="K83" s="46"/>
      <c r="L83" s="53"/>
      <c r="M83" s="71"/>
      <c r="N83" s="4"/>
      <c r="O83" s="4"/>
    </row>
    <row r="84" spans="1:20" s="18" customFormat="1" ht="15.5">
      <c r="A84" s="14" t="s">
        <v>261</v>
      </c>
      <c r="B84" s="15" t="s">
        <v>115</v>
      </c>
      <c r="C84" s="15"/>
      <c r="D84" s="22"/>
      <c r="E84" s="100"/>
      <c r="F84" s="100"/>
      <c r="G84" s="100"/>
      <c r="H84" s="101"/>
      <c r="I84" s="102"/>
      <c r="J84" s="103"/>
      <c r="K84" s="48"/>
      <c r="L84" s="55"/>
      <c r="M84" s="73"/>
      <c r="N84" s="15"/>
      <c r="O84" s="15"/>
    </row>
    <row r="85" spans="1:20" s="18" customFormat="1" ht="15.5">
      <c r="A85" s="12" t="s">
        <v>239</v>
      </c>
      <c r="B85" s="13" t="s">
        <v>240</v>
      </c>
      <c r="C85" s="13"/>
      <c r="D85" s="23"/>
      <c r="E85" s="94"/>
      <c r="F85" s="94"/>
      <c r="G85" s="94"/>
      <c r="H85" s="95"/>
      <c r="I85" s="96"/>
      <c r="J85" s="97"/>
      <c r="K85" s="47"/>
      <c r="L85" s="54"/>
      <c r="M85" s="72"/>
      <c r="N85" s="13"/>
      <c r="O85" s="13"/>
    </row>
    <row r="86" spans="1:20" outlineLevel="1">
      <c r="A86" s="9">
        <v>1</v>
      </c>
      <c r="B86" s="4" t="s">
        <v>156</v>
      </c>
      <c r="C86" s="4" t="s">
        <v>42</v>
      </c>
      <c r="D86" s="24" t="s">
        <v>226</v>
      </c>
      <c r="E86" s="86">
        <f>SUMIFS('tồn TP 17.03'!F:F,'tồn TP 17.03'!A:A,'Trình bày T4'!B86)</f>
        <v>3890</v>
      </c>
      <c r="F86" s="86">
        <f>IFERROR(_xlfn.XLOOKUP(B86,'tồn TP 17.03'!A:A,'tồn TP 17.03'!J:J),0)</f>
        <v>200</v>
      </c>
      <c r="G86" s="106" t="s">
        <v>325</v>
      </c>
      <c r="H86" s="107" t="s">
        <v>360</v>
      </c>
      <c r="I86" s="108" t="s">
        <v>361</v>
      </c>
      <c r="J86" s="89">
        <f>27706/26.5</f>
        <v>1045.5094339622642</v>
      </c>
      <c r="K86" s="49" t="s">
        <v>329</v>
      </c>
      <c r="L86" s="56" t="s">
        <v>330</v>
      </c>
      <c r="M86" s="74"/>
      <c r="N86" s="4" t="s">
        <v>267</v>
      </c>
      <c r="O86" s="4" t="s">
        <v>303</v>
      </c>
      <c r="Q86" s="42">
        <v>1025</v>
      </c>
      <c r="R86" s="46">
        <f>J86</f>
        <v>1045.5094339622642</v>
      </c>
      <c r="S86" s="62">
        <f>Q86-R86</f>
        <v>-20.509433962264211</v>
      </c>
      <c r="T86" s="63">
        <f>S86/Q86</f>
        <v>-2.0009203865623621E-2</v>
      </c>
    </row>
    <row r="87" spans="1:20" outlineLevel="1">
      <c r="A87" s="9">
        <f>+A86+1</f>
        <v>2</v>
      </c>
      <c r="B87" s="4" t="s">
        <v>204</v>
      </c>
      <c r="C87" s="4" t="s">
        <v>90</v>
      </c>
      <c r="D87" s="24" t="s">
        <v>228</v>
      </c>
      <c r="E87" s="86">
        <f>SUMIFS('tồn TP 17.03'!F:F,'tồn TP 17.03'!A:A,'Trình bày T4'!B87)</f>
        <v>20697</v>
      </c>
      <c r="F87" s="86">
        <f>IFERROR(_xlfn.XLOOKUP(B87,'tồn TP 17.03'!A:A,'tồn TP 17.03'!J:J),0)</f>
        <v>18000</v>
      </c>
      <c r="G87" s="106" t="s">
        <v>325</v>
      </c>
      <c r="H87" s="107" t="s">
        <v>360</v>
      </c>
      <c r="I87" s="108" t="s">
        <v>361</v>
      </c>
      <c r="J87" s="89">
        <f>25918/26.5</f>
        <v>978.03773584905662</v>
      </c>
      <c r="K87" s="49" t="s">
        <v>331</v>
      </c>
      <c r="L87" s="56" t="s">
        <v>332</v>
      </c>
      <c r="M87" s="74"/>
      <c r="N87" s="4" t="s">
        <v>267</v>
      </c>
      <c r="O87" s="4" t="s">
        <v>303</v>
      </c>
    </row>
    <row r="88" spans="1:20" outlineLevel="1">
      <c r="A88" s="9">
        <f t="shared" ref="A88:A94" si="49">+A87+1</f>
        <v>3</v>
      </c>
      <c r="B88" s="4" t="s">
        <v>205</v>
      </c>
      <c r="C88" s="4" t="s">
        <v>91</v>
      </c>
      <c r="D88" s="24" t="s">
        <v>234</v>
      </c>
      <c r="E88" s="86">
        <f>SUMIFS('tồn TP 17.03'!F:F,'tồn TP 17.03'!A:A,'Trình bày T4'!B88)</f>
        <v>10125</v>
      </c>
      <c r="F88" s="86">
        <f>IFERROR(_xlfn.XLOOKUP(B88,'tồn TP 17.03'!A:A,'tồn TP 17.03'!J:J),0)</f>
        <v>6000</v>
      </c>
      <c r="G88" s="106" t="s">
        <v>325</v>
      </c>
      <c r="H88" s="107" t="s">
        <v>360</v>
      </c>
      <c r="I88" s="108" t="s">
        <v>361</v>
      </c>
      <c r="J88" s="89">
        <f>32267/26.5</f>
        <v>1217.6226415094341</v>
      </c>
      <c r="K88" s="49" t="s">
        <v>333</v>
      </c>
      <c r="L88" s="56" t="s">
        <v>334</v>
      </c>
      <c r="M88" s="74"/>
      <c r="N88" s="4" t="s">
        <v>267</v>
      </c>
      <c r="O88" s="4" t="s">
        <v>303</v>
      </c>
    </row>
    <row r="89" spans="1:20" outlineLevel="1">
      <c r="A89" s="9">
        <f t="shared" si="49"/>
        <v>4</v>
      </c>
      <c r="B89" s="4" t="s">
        <v>181</v>
      </c>
      <c r="C89" s="4" t="s">
        <v>67</v>
      </c>
      <c r="D89" s="24" t="s">
        <v>228</v>
      </c>
      <c r="E89" s="86">
        <f>SUMIFS('tồn TP 17.03'!F:F,'tồn TP 17.03'!A:A,'Trình bày T4'!B89)</f>
        <v>1765</v>
      </c>
      <c r="F89" s="86">
        <f>IFERROR(_xlfn.XLOOKUP(B89,'tồn TP 17.03'!A:A,'tồn TP 17.03'!J:J),0)</f>
        <v>200</v>
      </c>
      <c r="G89" s="106" t="s">
        <v>325</v>
      </c>
      <c r="H89" s="107" t="s">
        <v>360</v>
      </c>
      <c r="I89" s="108" t="s">
        <v>361</v>
      </c>
      <c r="J89" s="89">
        <f>30087/26.5</f>
        <v>1135.3584905660377</v>
      </c>
      <c r="K89" s="49" t="s">
        <v>335</v>
      </c>
      <c r="L89" s="56" t="s">
        <v>336</v>
      </c>
      <c r="M89" s="74"/>
      <c r="N89" s="4" t="s">
        <v>267</v>
      </c>
      <c r="O89" s="4" t="s">
        <v>303</v>
      </c>
    </row>
    <row r="90" spans="1:20" outlineLevel="1">
      <c r="A90" s="9">
        <f t="shared" si="49"/>
        <v>5</v>
      </c>
      <c r="B90" s="4" t="s">
        <v>299</v>
      </c>
      <c r="C90" s="4" t="s">
        <v>297</v>
      </c>
      <c r="D90" s="24" t="s">
        <v>225</v>
      </c>
      <c r="E90" s="86">
        <f>SUMIFS('tồn TP 17.03'!F:F,'tồn TP 17.03'!A:A,'Trình bày T4'!B90)</f>
        <v>518.70000000000005</v>
      </c>
      <c r="F90" s="86">
        <f>IFERROR(_xlfn.XLOOKUP(B90,'tồn TP 17.03'!A:A,'tồn TP 17.03'!J:J),0)</f>
        <v>0</v>
      </c>
      <c r="G90" s="86" t="s">
        <v>325</v>
      </c>
      <c r="H90" s="107" t="s">
        <v>360</v>
      </c>
      <c r="I90" s="108" t="s">
        <v>361</v>
      </c>
      <c r="J90" s="89">
        <f>34198/26.5</f>
        <v>1290.4905660377358</v>
      </c>
      <c r="K90" s="49" t="s">
        <v>337</v>
      </c>
      <c r="L90" s="56" t="s">
        <v>338</v>
      </c>
      <c r="M90" s="74"/>
      <c r="N90" s="4" t="s">
        <v>267</v>
      </c>
      <c r="O90" s="4" t="s">
        <v>303</v>
      </c>
    </row>
    <row r="91" spans="1:20" outlineLevel="1">
      <c r="A91" s="9">
        <f t="shared" si="49"/>
        <v>6</v>
      </c>
      <c r="B91" s="4" t="s">
        <v>159</v>
      </c>
      <c r="C91" s="4" t="s">
        <v>45</v>
      </c>
      <c r="D91" s="24" t="s">
        <v>229</v>
      </c>
      <c r="E91" s="86">
        <f>SUMIFS('tồn TP 17.03'!F:F,'tồn TP 17.03'!A:A,'Trình bày T4'!B91)</f>
        <v>27828</v>
      </c>
      <c r="F91" s="86">
        <f>IFERROR(_xlfn.XLOOKUP(B91,'tồn TP 17.03'!A:A,'tồn TP 17.03'!J:J),0)</f>
        <v>0</v>
      </c>
      <c r="G91" s="106" t="s">
        <v>325</v>
      </c>
      <c r="H91" s="107" t="s">
        <v>360</v>
      </c>
      <c r="I91" s="108" t="s">
        <v>361</v>
      </c>
      <c r="J91" s="89">
        <v>690.60377358490564</v>
      </c>
      <c r="K91" s="49" t="s">
        <v>339</v>
      </c>
      <c r="L91" s="56" t="s">
        <v>340</v>
      </c>
      <c r="M91" s="74"/>
      <c r="N91" s="4" t="s">
        <v>267</v>
      </c>
      <c r="O91" s="4" t="s">
        <v>303</v>
      </c>
      <c r="Q91" s="42">
        <v>1025</v>
      </c>
      <c r="R91" s="46">
        <f>J91</f>
        <v>690.60377358490564</v>
      </c>
      <c r="S91" s="62">
        <f>Q91-R91</f>
        <v>334.39622641509436</v>
      </c>
      <c r="T91" s="63">
        <f>S91/Q91</f>
        <v>0.32624022089277499</v>
      </c>
    </row>
    <row r="92" spans="1:20" outlineLevel="1">
      <c r="A92" s="9">
        <f t="shared" si="49"/>
        <v>7</v>
      </c>
      <c r="B92" s="4" t="s">
        <v>208</v>
      </c>
      <c r="C92" s="4" t="s">
        <v>94</v>
      </c>
      <c r="D92" s="24" t="s">
        <v>225</v>
      </c>
      <c r="E92" s="86">
        <f>SUMIFS('tồn TP 17.03'!F:F,'tồn TP 17.03'!A:A,'Trình bày T4'!B92)</f>
        <v>3637</v>
      </c>
      <c r="F92" s="86">
        <f>IFERROR(_xlfn.XLOOKUP(B92,'tồn TP 17.03'!A:A,'tồn TP 17.03'!J:J),0)</f>
        <v>25</v>
      </c>
      <c r="G92" s="106" t="s">
        <v>325</v>
      </c>
      <c r="H92" s="107" t="s">
        <v>360</v>
      </c>
      <c r="I92" s="108" t="s">
        <v>361</v>
      </c>
      <c r="J92" s="89">
        <v>1363.0943396226414</v>
      </c>
      <c r="K92" s="49" t="s">
        <v>341</v>
      </c>
      <c r="L92" s="56" t="s">
        <v>342</v>
      </c>
      <c r="M92" s="74"/>
      <c r="N92" s="4" t="s">
        <v>267</v>
      </c>
      <c r="O92" s="4" t="s">
        <v>303</v>
      </c>
      <c r="Q92" s="42">
        <v>1025</v>
      </c>
      <c r="R92" s="46">
        <f>J92</f>
        <v>1363.0943396226414</v>
      </c>
      <c r="S92" s="62">
        <f>Q92-R92</f>
        <v>-338.09433962264143</v>
      </c>
      <c r="T92" s="63">
        <f>S92/Q92</f>
        <v>-0.32984813621721115</v>
      </c>
    </row>
    <row r="93" spans="1:20" outlineLevel="1">
      <c r="A93" s="9">
        <f t="shared" si="49"/>
        <v>8</v>
      </c>
      <c r="B93" s="4" t="s">
        <v>161</v>
      </c>
      <c r="C93" s="4" t="s">
        <v>47</v>
      </c>
      <c r="D93" s="24" t="s">
        <v>234</v>
      </c>
      <c r="E93" s="86">
        <f>SUMIFS('tồn TP 17.03'!F:F,'tồn TP 17.03'!A:A,'Trình bày T4'!B93)</f>
        <v>1370</v>
      </c>
      <c r="F93" s="86">
        <f>IFERROR(_xlfn.XLOOKUP(B93,'tồn TP 17.03'!A:A,'tồn TP 17.03'!J:J),0)</f>
        <v>0</v>
      </c>
      <c r="G93" s="106" t="s">
        <v>325</v>
      </c>
      <c r="H93" s="107" t="s">
        <v>360</v>
      </c>
      <c r="I93" s="108" t="s">
        <v>361</v>
      </c>
      <c r="J93" s="89">
        <v>1116.7547169811321</v>
      </c>
      <c r="K93" s="49" t="s">
        <v>343</v>
      </c>
      <c r="L93" s="56" t="s">
        <v>344</v>
      </c>
      <c r="M93" s="74"/>
      <c r="N93" s="4" t="s">
        <v>267</v>
      </c>
      <c r="O93" s="4" t="s">
        <v>303</v>
      </c>
    </row>
    <row r="94" spans="1:20" outlineLevel="1">
      <c r="A94" s="9">
        <f t="shared" si="49"/>
        <v>9</v>
      </c>
      <c r="B94" s="4" t="s">
        <v>282</v>
      </c>
      <c r="C94" s="4" t="s">
        <v>283</v>
      </c>
      <c r="D94" s="24" t="s">
        <v>228</v>
      </c>
      <c r="E94" s="86">
        <f>SUMIFS('tồn TP 17.03'!F:F,'tồn TP 17.03'!A:A,'Trình bày T4'!B94)</f>
        <v>1500</v>
      </c>
      <c r="F94" s="86">
        <f>IFERROR(_xlfn.XLOOKUP(B94,'tồn TP 17.03'!A:A,'tồn TP 17.03'!J:J),0)</f>
        <v>0</v>
      </c>
      <c r="G94" s="106" t="s">
        <v>325</v>
      </c>
      <c r="H94" s="107" t="s">
        <v>360</v>
      </c>
      <c r="I94" s="108" t="s">
        <v>361</v>
      </c>
      <c r="J94" s="89">
        <v>849.28301886792451</v>
      </c>
      <c r="K94" s="49" t="s">
        <v>345</v>
      </c>
      <c r="L94" s="56" t="s">
        <v>346</v>
      </c>
      <c r="M94" s="74"/>
      <c r="N94" s="4" t="s">
        <v>267</v>
      </c>
      <c r="O94" s="4" t="s">
        <v>303</v>
      </c>
    </row>
    <row r="95" spans="1:20" s="18" customFormat="1" ht="15.5">
      <c r="A95" s="12" t="s">
        <v>241</v>
      </c>
      <c r="B95" s="13" t="s">
        <v>242</v>
      </c>
      <c r="C95" s="13"/>
      <c r="D95" s="23"/>
      <c r="E95" s="94"/>
      <c r="F95" s="94"/>
      <c r="G95" s="94"/>
      <c r="H95" s="109"/>
      <c r="I95" s="97"/>
      <c r="J95" s="97"/>
      <c r="K95" s="47"/>
      <c r="L95" s="54"/>
      <c r="M95" s="72"/>
      <c r="N95" s="13"/>
      <c r="O95" s="13"/>
    </row>
    <row r="96" spans="1:20" outlineLevel="1">
      <c r="A96" s="9">
        <v>1</v>
      </c>
      <c r="B96" s="4" t="s">
        <v>140</v>
      </c>
      <c r="C96" s="4" t="s">
        <v>26</v>
      </c>
      <c r="D96" s="24" t="s">
        <v>226</v>
      </c>
      <c r="E96" s="86">
        <f>SUMIFS('tồn TP 17.03'!F:F,'tồn TP 17.03'!A:A,'Trình bày T4'!B96)</f>
        <v>141</v>
      </c>
      <c r="F96" s="86">
        <f>IFERROR(_xlfn.XLOOKUP(B96,'tồn TP 17.03'!A:A,'tồn TP 17.03'!J:J),0)</f>
        <v>0</v>
      </c>
      <c r="G96" s="106" t="s">
        <v>325</v>
      </c>
      <c r="H96" s="107" t="s">
        <v>360</v>
      </c>
      <c r="I96" s="108" t="s">
        <v>361</v>
      </c>
      <c r="J96" s="89">
        <v>830.15094339622647</v>
      </c>
      <c r="K96" s="49" t="s">
        <v>347</v>
      </c>
      <c r="L96" s="56" t="s">
        <v>348</v>
      </c>
      <c r="M96" s="74"/>
      <c r="N96" s="4" t="s">
        <v>267</v>
      </c>
      <c r="O96" s="4" t="s">
        <v>318</v>
      </c>
    </row>
    <row r="97" spans="1:20" outlineLevel="1">
      <c r="A97" s="9">
        <f>+A96+1</f>
        <v>2</v>
      </c>
      <c r="B97" s="4" t="s">
        <v>141</v>
      </c>
      <c r="C97" s="4" t="s">
        <v>27</v>
      </c>
      <c r="D97" s="24" t="s">
        <v>225</v>
      </c>
      <c r="E97" s="86">
        <f>SUMIFS('tồn TP 17.03'!F:F,'tồn TP 17.03'!A:A,'Trình bày T4'!B97)</f>
        <v>2677.8</v>
      </c>
      <c r="F97" s="86">
        <f>IFERROR(_xlfn.XLOOKUP(B97,'tồn TP 17.03'!A:A,'tồn TP 17.03'!J:J),0)</f>
        <v>0</v>
      </c>
      <c r="G97" s="106" t="s">
        <v>325</v>
      </c>
      <c r="H97" s="107" t="s">
        <v>360</v>
      </c>
      <c r="I97" s="108" t="s">
        <v>361</v>
      </c>
      <c r="J97" s="89">
        <v>675.5094339622641</v>
      </c>
      <c r="K97" s="49" t="s">
        <v>349</v>
      </c>
      <c r="L97" s="56" t="s">
        <v>350</v>
      </c>
      <c r="M97" s="74"/>
      <c r="N97" s="4" t="s">
        <v>267</v>
      </c>
      <c r="O97" s="4" t="s">
        <v>318</v>
      </c>
    </row>
    <row r="98" spans="1:20" outlineLevel="1">
      <c r="A98" s="9">
        <f t="shared" ref="A98:A104" si="50">+A97+1</f>
        <v>3</v>
      </c>
      <c r="B98" s="4" t="s">
        <v>142</v>
      </c>
      <c r="C98" s="4" t="s">
        <v>28</v>
      </c>
      <c r="D98" s="24" t="s">
        <v>234</v>
      </c>
      <c r="E98" s="86">
        <f>SUMIFS('tồn TP 17.03'!F:F,'tồn TP 17.03'!A:A,'Trình bày T4'!B98)</f>
        <v>0</v>
      </c>
      <c r="F98" s="86">
        <f>IFERROR(_xlfn.XLOOKUP(B98,'tồn TP 17.03'!A:A,'tồn TP 17.03'!J:J),0)</f>
        <v>0</v>
      </c>
      <c r="G98" s="106" t="s">
        <v>325</v>
      </c>
      <c r="H98" s="107" t="s">
        <v>360</v>
      </c>
      <c r="I98" s="108" t="s">
        <v>361</v>
      </c>
      <c r="J98" s="89"/>
      <c r="K98" s="49"/>
      <c r="L98" s="56"/>
      <c r="M98" s="74"/>
      <c r="N98" s="4" t="s">
        <v>267</v>
      </c>
      <c r="O98" s="4"/>
    </row>
    <row r="99" spans="1:20" outlineLevel="1">
      <c r="A99" s="9">
        <f t="shared" si="50"/>
        <v>4</v>
      </c>
      <c r="B99" s="4" t="s">
        <v>155</v>
      </c>
      <c r="C99" s="4" t="s">
        <v>41</v>
      </c>
      <c r="D99" s="24" t="s">
        <v>226</v>
      </c>
      <c r="E99" s="86">
        <f>SUMIFS('tồn TP 17.03'!F:F,'tồn TP 17.03'!A:A,'Trình bày T4'!B99)</f>
        <v>2644</v>
      </c>
      <c r="F99" s="86">
        <f>IFERROR(_xlfn.XLOOKUP(B99,'tồn TP 17.03'!A:A,'tồn TP 17.03'!J:J),0)</f>
        <v>0</v>
      </c>
      <c r="G99" s="106" t="s">
        <v>325</v>
      </c>
      <c r="H99" s="107" t="s">
        <v>360</v>
      </c>
      <c r="I99" s="108" t="s">
        <v>361</v>
      </c>
      <c r="J99" s="89">
        <v>950.94339622641508</v>
      </c>
      <c r="K99" s="49" t="s">
        <v>351</v>
      </c>
      <c r="L99" s="56" t="s">
        <v>352</v>
      </c>
      <c r="M99" s="74"/>
      <c r="N99" s="4" t="s">
        <v>267</v>
      </c>
      <c r="O99" s="4" t="s">
        <v>320</v>
      </c>
    </row>
    <row r="100" spans="1:20" outlineLevel="1">
      <c r="A100" s="9">
        <f t="shared" si="50"/>
        <v>5</v>
      </c>
      <c r="B100" s="4" t="s">
        <v>157</v>
      </c>
      <c r="C100" s="4" t="s">
        <v>43</v>
      </c>
      <c r="D100" s="24" t="s">
        <v>228</v>
      </c>
      <c r="E100" s="86">
        <f>SUMIFS('tồn TP 17.03'!F:F,'tồn TP 17.03'!A:A,'Trình bày T4'!B100)</f>
        <v>0</v>
      </c>
      <c r="F100" s="86">
        <f>IFERROR(_xlfn.XLOOKUP(B100,'tồn TP 17.03'!A:A,'tồn TP 17.03'!J:J),0)</f>
        <v>0</v>
      </c>
      <c r="G100" s="106" t="s">
        <v>325</v>
      </c>
      <c r="H100" s="107" t="s">
        <v>360</v>
      </c>
      <c r="I100" s="108" t="s">
        <v>361</v>
      </c>
      <c r="J100" s="89"/>
      <c r="K100" s="49"/>
      <c r="L100" s="56"/>
      <c r="M100" s="74"/>
      <c r="N100" s="4" t="s">
        <v>267</v>
      </c>
      <c r="O100" s="4"/>
    </row>
    <row r="101" spans="1:20" outlineLevel="1">
      <c r="A101" s="9">
        <f t="shared" si="50"/>
        <v>6</v>
      </c>
      <c r="B101" s="4" t="s">
        <v>158</v>
      </c>
      <c r="C101" s="4" t="s">
        <v>44</v>
      </c>
      <c r="D101" s="24" t="s">
        <v>228</v>
      </c>
      <c r="E101" s="86">
        <f>SUMIFS('tồn TP 17.03'!F:F,'tồn TP 17.03'!A:A,'Trình bày T4'!B101)</f>
        <v>0</v>
      </c>
      <c r="F101" s="86">
        <f>IFERROR(_xlfn.XLOOKUP(B101,'tồn TP 17.03'!A:A,'tồn TP 17.03'!J:J),0)</f>
        <v>0</v>
      </c>
      <c r="G101" s="106" t="s">
        <v>325</v>
      </c>
      <c r="H101" s="107" t="s">
        <v>360</v>
      </c>
      <c r="I101" s="108" t="s">
        <v>361</v>
      </c>
      <c r="J101" s="89"/>
      <c r="K101" s="49"/>
      <c r="L101" s="56"/>
      <c r="M101" s="74"/>
      <c r="N101" s="4" t="s">
        <v>267</v>
      </c>
      <c r="O101" s="4"/>
      <c r="Q101" s="42">
        <v>790</v>
      </c>
      <c r="R101" s="46">
        <f>J101</f>
        <v>0</v>
      </c>
      <c r="S101" s="62">
        <f>Q101-R101</f>
        <v>790</v>
      </c>
      <c r="T101" s="63">
        <f>S101/Q101</f>
        <v>1</v>
      </c>
    </row>
    <row r="102" spans="1:20" outlineLevel="1">
      <c r="A102" s="9">
        <f t="shared" si="50"/>
        <v>7</v>
      </c>
      <c r="B102" s="4" t="s">
        <v>160</v>
      </c>
      <c r="C102" s="4" t="s">
        <v>46</v>
      </c>
      <c r="D102" s="24" t="s">
        <v>233</v>
      </c>
      <c r="E102" s="86">
        <f>SUMIFS('tồn TP 17.03'!F:F,'tồn TP 17.03'!A:A,'Trình bày T4'!B102)</f>
        <v>43636</v>
      </c>
      <c r="F102" s="86">
        <f>IFERROR(_xlfn.XLOOKUP(B102,'tồn TP 17.03'!A:A,'tồn TP 17.03'!J:J),0)</f>
        <v>0</v>
      </c>
      <c r="G102" s="106" t="s">
        <v>325</v>
      </c>
      <c r="H102" s="107" t="s">
        <v>360</v>
      </c>
      <c r="I102" s="108" t="s">
        <v>361</v>
      </c>
      <c r="J102" s="89">
        <v>831.01886792452831</v>
      </c>
      <c r="K102" s="49" t="s">
        <v>353</v>
      </c>
      <c r="L102" s="56" t="s">
        <v>348</v>
      </c>
      <c r="M102" s="74"/>
      <c r="N102" s="4" t="s">
        <v>267</v>
      </c>
      <c r="O102" s="4" t="s">
        <v>319</v>
      </c>
      <c r="Q102" s="42">
        <v>790</v>
      </c>
      <c r="R102" s="46">
        <f>J102</f>
        <v>831.01886792452831</v>
      </c>
      <c r="S102" s="62">
        <f>Q102-R102</f>
        <v>-41.018867924528308</v>
      </c>
      <c r="T102" s="63">
        <f>S102/Q102</f>
        <v>-5.1922617625985198E-2</v>
      </c>
    </row>
    <row r="103" spans="1:20" outlineLevel="1">
      <c r="A103" s="9">
        <f t="shared" si="50"/>
        <v>8</v>
      </c>
      <c r="B103" s="4" t="s">
        <v>185</v>
      </c>
      <c r="C103" s="4" t="s">
        <v>71</v>
      </c>
      <c r="D103" s="24"/>
      <c r="E103" s="86">
        <f>SUMIFS('tồn TP 17.03'!F:F,'tồn TP 17.03'!A:A,'Trình bày T4'!B103)</f>
        <v>5115.6000000000004</v>
      </c>
      <c r="F103" s="86">
        <f>IFERROR(_xlfn.XLOOKUP(B103,'tồn TP 17.03'!A:A,'tồn TP 17.03'!J:J),0)</f>
        <v>0</v>
      </c>
      <c r="G103" s="86"/>
      <c r="H103" s="107"/>
      <c r="I103" s="108"/>
      <c r="J103" s="89"/>
      <c r="K103" s="49"/>
      <c r="L103" s="56"/>
      <c r="M103" s="74"/>
      <c r="N103" s="4" t="s">
        <v>267</v>
      </c>
      <c r="O103" s="4"/>
    </row>
    <row r="104" spans="1:20" outlineLevel="1">
      <c r="A104" s="9">
        <f t="shared" si="50"/>
        <v>9</v>
      </c>
      <c r="B104" s="4" t="s">
        <v>143</v>
      </c>
      <c r="C104" s="4" t="s">
        <v>29</v>
      </c>
      <c r="D104" s="24" t="s">
        <v>229</v>
      </c>
      <c r="E104" s="110">
        <f>SUMIFS('tồn TP 17.03'!F:F,'tồn TP 17.03'!A:A,'Trình bày T4'!B104)</f>
        <v>0</v>
      </c>
      <c r="F104" s="86">
        <f>IFERROR(_xlfn.XLOOKUP(B104,'tồn TP 17.03'!A:A,'tồn TP 17.03'!J:J),0)</f>
        <v>0</v>
      </c>
      <c r="G104" s="106" t="s">
        <v>326</v>
      </c>
      <c r="H104" s="107" t="s">
        <v>362</v>
      </c>
      <c r="I104" s="108" t="s">
        <v>361</v>
      </c>
      <c r="J104" s="89"/>
      <c r="K104" s="49"/>
      <c r="L104" s="56"/>
      <c r="M104" s="77"/>
      <c r="N104" s="4" t="s">
        <v>267</v>
      </c>
      <c r="O104" s="4"/>
    </row>
    <row r="105" spans="1:20" s="18" customFormat="1" ht="15.5">
      <c r="A105" s="14" t="s">
        <v>262</v>
      </c>
      <c r="B105" s="15" t="s">
        <v>245</v>
      </c>
      <c r="C105" s="15"/>
      <c r="D105" s="22"/>
      <c r="E105" s="100"/>
      <c r="F105" s="100"/>
      <c r="G105" s="100"/>
      <c r="H105" s="101"/>
      <c r="I105" s="102"/>
      <c r="J105" s="103"/>
      <c r="K105" s="48"/>
      <c r="L105" s="55"/>
      <c r="M105" s="73"/>
      <c r="N105" s="15"/>
      <c r="O105" s="15"/>
    </row>
    <row r="106" spans="1:20" s="18" customFormat="1" ht="15.5">
      <c r="A106" s="12" t="s">
        <v>239</v>
      </c>
      <c r="B106" s="13" t="s">
        <v>240</v>
      </c>
      <c r="C106" s="13"/>
      <c r="D106" s="23"/>
      <c r="E106" s="94"/>
      <c r="F106" s="94"/>
      <c r="G106" s="94"/>
      <c r="H106" s="95"/>
      <c r="I106" s="96"/>
      <c r="J106" s="97"/>
      <c r="K106" s="47"/>
      <c r="L106" s="54"/>
      <c r="M106" s="72"/>
      <c r="N106" s="13"/>
      <c r="O106" s="13"/>
    </row>
    <row r="107" spans="1:20" outlineLevel="1">
      <c r="A107" s="9">
        <v>1</v>
      </c>
      <c r="B107" s="4" t="s">
        <v>169</v>
      </c>
      <c r="C107" s="4" t="s">
        <v>55</v>
      </c>
      <c r="D107" s="24" t="s">
        <v>226</v>
      </c>
      <c r="E107" s="86">
        <f>SUMIFS('tồn TP 17.03'!F:F,'tồn TP 17.03'!A:A,'Trình bày T4'!B107)</f>
        <v>20925.099999999999</v>
      </c>
      <c r="F107" s="86">
        <f>IFERROR(_xlfn.XLOOKUP(B107,'tồn TP 17.03'!A:A,'tồn TP 17.03'!J:J),0)</f>
        <v>11250</v>
      </c>
      <c r="G107" s="86">
        <v>680</v>
      </c>
      <c r="H107" s="87">
        <v>1120</v>
      </c>
      <c r="I107" s="88">
        <f>H107-G107</f>
        <v>440</v>
      </c>
      <c r="J107" s="89">
        <v>769.16981132075466</v>
      </c>
      <c r="K107" s="88">
        <f t="shared" ref="K107" si="51">(H107-J107)</f>
        <v>350.83018867924534</v>
      </c>
      <c r="L107" s="53">
        <f t="shared" ref="L107" si="52">+K107/H107</f>
        <v>0.31324123989218333</v>
      </c>
      <c r="M107" s="71"/>
      <c r="N107" s="4"/>
      <c r="O107" s="4" t="s">
        <v>322</v>
      </c>
    </row>
    <row r="108" spans="1:20" outlineLevel="1">
      <c r="A108" s="9">
        <f>+A107+1</f>
        <v>2</v>
      </c>
      <c r="B108" s="4" t="s">
        <v>171</v>
      </c>
      <c r="C108" s="4" t="s">
        <v>57</v>
      </c>
      <c r="D108" s="24" t="s">
        <v>228</v>
      </c>
      <c r="E108" s="86">
        <f>SUMIFS('tồn TP 17.03'!F:F,'tồn TP 17.03'!A:A,'Trình bày T4'!B108)</f>
        <v>119023</v>
      </c>
      <c r="F108" s="86">
        <f>IFERROR(_xlfn.XLOOKUP(B108,'tồn TP 17.03'!A:A,'tồn TP 17.03'!J:J),0)</f>
        <v>0</v>
      </c>
      <c r="G108" s="86">
        <v>680</v>
      </c>
      <c r="H108" s="87">
        <v>1120</v>
      </c>
      <c r="I108" s="88">
        <f>H108-G108</f>
        <v>440</v>
      </c>
      <c r="J108" s="89">
        <v>747.58490566037733</v>
      </c>
      <c r="K108" s="88">
        <f>(H108-J108)</f>
        <v>372.41509433962267</v>
      </c>
      <c r="L108" s="53">
        <f>+K108/H108</f>
        <v>0.33251347708894879</v>
      </c>
      <c r="M108" s="71"/>
      <c r="N108" s="4"/>
      <c r="O108" s="4" t="s">
        <v>319</v>
      </c>
    </row>
    <row r="109" spans="1:20" outlineLevel="1">
      <c r="A109" s="9"/>
      <c r="B109" s="4"/>
      <c r="C109" s="4"/>
      <c r="D109" s="24"/>
      <c r="E109" s="86"/>
      <c r="F109" s="86"/>
      <c r="G109" s="86"/>
      <c r="H109" s="87"/>
      <c r="I109" s="88"/>
      <c r="J109" s="89"/>
      <c r="K109" s="88"/>
      <c r="L109" s="53"/>
      <c r="M109" s="71"/>
      <c r="N109" s="4"/>
      <c r="O109" s="4"/>
    </row>
    <row r="110" spans="1:20" s="18" customFormat="1" ht="15.5">
      <c r="A110" s="12" t="s">
        <v>241</v>
      </c>
      <c r="B110" s="13" t="s">
        <v>242</v>
      </c>
      <c r="C110" s="13"/>
      <c r="D110" s="23"/>
      <c r="E110" s="94"/>
      <c r="F110" s="94"/>
      <c r="G110" s="94"/>
      <c r="H110" s="95"/>
      <c r="I110" s="96"/>
      <c r="J110" s="97"/>
      <c r="K110" s="96"/>
      <c r="L110" s="54"/>
      <c r="M110" s="72"/>
      <c r="N110" s="13"/>
      <c r="O110" s="13"/>
    </row>
    <row r="111" spans="1:20" outlineLevel="1">
      <c r="A111" s="9">
        <v>1</v>
      </c>
      <c r="B111" s="4" t="s">
        <v>170</v>
      </c>
      <c r="C111" s="4" t="s">
        <v>56</v>
      </c>
      <c r="D111" s="24" t="s">
        <v>226</v>
      </c>
      <c r="E111" s="86">
        <f>SUMIFS('tồn TP 17.03'!F:F,'tồn TP 17.03'!A:A,'Trình bày T4'!B111)</f>
        <v>2250</v>
      </c>
      <c r="F111" s="86">
        <f>IFERROR(_xlfn.XLOOKUP(B111,'tồn TP 17.03'!A:A,'tồn TP 17.03'!J:J),0)</f>
        <v>0</v>
      </c>
      <c r="G111" s="86">
        <v>680</v>
      </c>
      <c r="H111" s="87">
        <v>1120</v>
      </c>
      <c r="I111" s="88">
        <f t="shared" ref="I111:I112" si="53">H111-G111</f>
        <v>440</v>
      </c>
      <c r="J111" s="89">
        <f>19982/26.5</f>
        <v>754.03773584905662</v>
      </c>
      <c r="K111" s="88">
        <f t="shared" ref="K111:K112" si="54">(H111-J111)</f>
        <v>365.96226415094338</v>
      </c>
      <c r="L111" s="53">
        <f t="shared" ref="L111:L112" si="55">+K111/H111</f>
        <v>0.32675202156334232</v>
      </c>
      <c r="M111" s="71"/>
      <c r="N111" s="4"/>
      <c r="O111" s="4" t="s">
        <v>321</v>
      </c>
    </row>
    <row r="112" spans="1:20" s="85" customFormat="1" ht="43.5" outlineLevel="1">
      <c r="A112" s="24">
        <f>+A111+1</f>
        <v>2</v>
      </c>
      <c r="B112" s="81" t="s">
        <v>183</v>
      </c>
      <c r="C112" s="81" t="s">
        <v>69</v>
      </c>
      <c r="D112" s="24" t="s">
        <v>225</v>
      </c>
      <c r="E112" s="111">
        <f>SUMIFS('tồn TP 17.03'!F:F,'tồn TP 17.03'!A:A,'Trình bày T4'!B112)</f>
        <v>5250</v>
      </c>
      <c r="F112" s="111">
        <f>IFERROR(_xlfn.XLOOKUP(B112,'tồn TP 17.03'!A:A,'tồn TP 17.03'!J:J),0)</f>
        <v>0</v>
      </c>
      <c r="G112" s="111">
        <v>680</v>
      </c>
      <c r="H112" s="112">
        <v>1120</v>
      </c>
      <c r="I112" s="113">
        <f t="shared" si="53"/>
        <v>440</v>
      </c>
      <c r="J112" s="114">
        <f>59666/26.5</f>
        <v>2251.5471698113206</v>
      </c>
      <c r="K112" s="113">
        <f t="shared" si="54"/>
        <v>-1131.5471698113206</v>
      </c>
      <c r="L112" s="82">
        <f t="shared" si="55"/>
        <v>-1.010309973045822</v>
      </c>
      <c r="M112" s="83"/>
      <c r="N112" s="84" t="s">
        <v>328</v>
      </c>
      <c r="O112" s="81" t="s">
        <v>327</v>
      </c>
    </row>
    <row r="113" spans="1:15" outlineLevel="1">
      <c r="A113" s="9">
        <f>+A112+1</f>
        <v>3</v>
      </c>
      <c r="B113" s="20" t="s">
        <v>290</v>
      </c>
      <c r="C113" s="20" t="s">
        <v>289</v>
      </c>
      <c r="D113" s="26" t="s">
        <v>228</v>
      </c>
      <c r="E113" s="115">
        <f>SUMIFS('tồn TP 17.03'!F:F,'tồn TP 17.03'!A:A,'Trình bày T4'!B113)</f>
        <v>750</v>
      </c>
      <c r="F113" s="115">
        <f>IFERROR(_xlfn.XLOOKUP(B113,'tồn TP 17.03'!A:A,'tồn TP 17.03'!J:J),0)</f>
        <v>0</v>
      </c>
      <c r="G113" s="115">
        <v>680</v>
      </c>
      <c r="H113" s="116">
        <v>1120</v>
      </c>
      <c r="I113" s="117">
        <f t="shared" ref="I113" si="56">H113-G113</f>
        <v>440</v>
      </c>
      <c r="J113" s="118">
        <f>20000/26.5</f>
        <v>754.71698113207549</v>
      </c>
      <c r="K113" s="117">
        <f t="shared" ref="K113" si="57">(H113-J113)</f>
        <v>365.28301886792451</v>
      </c>
      <c r="L113" s="64">
        <f t="shared" ref="L113" si="58">+K113/H113</f>
        <v>0.32614555256064687</v>
      </c>
      <c r="M113" s="80"/>
      <c r="N113" s="20"/>
      <c r="O113" s="20"/>
    </row>
    <row r="115" spans="1:15">
      <c r="D115"/>
      <c r="I115"/>
      <c r="J115"/>
      <c r="K115"/>
      <c r="L115"/>
      <c r="M115"/>
    </row>
    <row r="116" spans="1:15">
      <c r="D116"/>
      <c r="I116"/>
      <c r="J116"/>
      <c r="K116"/>
      <c r="L116"/>
      <c r="M116"/>
    </row>
    <row r="117" spans="1:15">
      <c r="I117"/>
      <c r="J117"/>
      <c r="K117"/>
      <c r="L117"/>
      <c r="M117"/>
    </row>
    <row r="118" spans="1:15">
      <c r="I118"/>
      <c r="J118"/>
      <c r="K118"/>
      <c r="L118"/>
      <c r="M118"/>
    </row>
    <row r="119" spans="1:15">
      <c r="I119"/>
      <c r="J119"/>
      <c r="K119"/>
      <c r="L119"/>
      <c r="M119"/>
    </row>
    <row r="120" spans="1:15">
      <c r="I120"/>
      <c r="J120"/>
      <c r="K120"/>
      <c r="L120"/>
      <c r="M120"/>
    </row>
  </sheetData>
  <autoFilter ref="A4:O113" xr:uid="{B546816D-46E9-4C95-9906-AEA9E12D0734}"/>
  <mergeCells count="1">
    <mergeCell ref="N74:N80"/>
  </mergeCells>
  <conditionalFormatting sqref="I7:I56 I58:I85 I105:I113">
    <cfRule type="cellIs" dxfId="63" priority="101" operator="lessThan">
      <formula>0</formula>
    </cfRule>
    <cfRule type="cellIs" dxfId="62" priority="106" operator="lessThan">
      <formula>-1</formula>
    </cfRule>
    <cfRule type="cellIs" dxfId="61" priority="107" operator="greaterThanOrEqual">
      <formula>0</formula>
    </cfRule>
  </conditionalFormatting>
  <conditionalFormatting sqref="K7:M56">
    <cfRule type="cellIs" dxfId="60" priority="1" operator="lessThan">
      <formula>0</formula>
    </cfRule>
    <cfRule type="cellIs" dxfId="59" priority="2" operator="lessThan">
      <formula>-1</formula>
    </cfRule>
  </conditionalFormatting>
  <conditionalFormatting sqref="K7:M113">
    <cfRule type="cellIs" dxfId="58" priority="3" operator="greaterThanOrEqual">
      <formula>0</formula>
    </cfRule>
  </conditionalFormatting>
  <conditionalFormatting sqref="K57:M112 M111:M113">
    <cfRule type="cellIs" dxfId="57" priority="102" operator="lessThan">
      <formula>-1</formula>
    </cfRule>
  </conditionalFormatting>
  <conditionalFormatting sqref="K57:M113">
    <cfRule type="cellIs" dxfId="56" priority="100" operator="lessThan">
      <formula>0</formula>
    </cfRule>
  </conditionalFormatting>
  <conditionalFormatting sqref="K113:M113">
    <cfRule type="cellIs" dxfId="55" priority="82" operator="lessThan">
      <formula>-1</formula>
    </cfRule>
  </conditionalFormatting>
  <conditionalFormatting sqref="R86:S86">
    <cfRule type="cellIs" dxfId="54" priority="97" operator="lessThan">
      <formula>0</formula>
    </cfRule>
    <cfRule type="cellIs" dxfId="53" priority="98" operator="lessThan">
      <formula>-1</formula>
    </cfRule>
    <cfRule type="cellIs" dxfId="52" priority="99" operator="greaterThanOrEqual">
      <formula>0</formula>
    </cfRule>
  </conditionalFormatting>
  <conditionalFormatting sqref="R91:S93">
    <cfRule type="cellIs" dxfId="51" priority="93" operator="greaterThanOrEqual">
      <formula>0</formula>
    </cfRule>
    <cfRule type="cellIs" dxfId="50" priority="94" operator="lessThan">
      <formula>0</formula>
    </cfRule>
    <cfRule type="cellIs" dxfId="49" priority="95" operator="lessThan">
      <formula>-1</formula>
    </cfRule>
  </conditionalFormatting>
  <conditionalFormatting sqref="R92:S93">
    <cfRule type="cellIs" dxfId="48" priority="91" operator="lessThan">
      <formula>0</formula>
    </cfRule>
    <cfRule type="cellIs" dxfId="47" priority="92" operator="lessThan">
      <formula>-1</formula>
    </cfRule>
  </conditionalFormatting>
  <conditionalFormatting sqref="R101:S102">
    <cfRule type="cellIs" dxfId="46" priority="85" operator="lessThan">
      <formula>0</formula>
    </cfRule>
    <cfRule type="cellIs" dxfId="45" priority="86" operator="lessThan">
      <formula>-1</formula>
    </cfRule>
    <cfRule type="cellIs" dxfId="44" priority="87" operator="greaterThanOr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9E84-2634-4B88-A7A8-80D474A5A188}">
  <dimension ref="A1:L90"/>
  <sheetViews>
    <sheetView workbookViewId="0">
      <pane xSplit="3" ySplit="2" topLeftCell="D3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M9" sqref="M9"/>
    </sheetView>
  </sheetViews>
  <sheetFormatPr defaultColWidth="8.81640625" defaultRowHeight="13"/>
  <cols>
    <col min="1" max="1" width="11.54296875" style="29" customWidth="1"/>
    <col min="2" max="2" width="29.1796875" style="29" customWidth="1"/>
    <col min="3" max="3" width="8.81640625" style="29"/>
    <col min="4" max="4" width="9.453125" style="30" bestFit="1" customWidth="1"/>
    <col min="5" max="5" width="8.81640625" style="30" bestFit="1" customWidth="1"/>
    <col min="6" max="6" width="11.453125" style="30" customWidth="1"/>
    <col min="7" max="7" width="9.81640625" style="30" customWidth="1"/>
    <col min="8" max="8" width="8.81640625" style="30"/>
    <col min="9" max="9" width="12.1796875" style="29" customWidth="1"/>
    <col min="10" max="10" width="10.1796875" style="29" customWidth="1"/>
    <col min="11" max="11" width="12.81640625" style="29" customWidth="1"/>
    <col min="12" max="16384" width="8.81640625" style="29"/>
  </cols>
  <sheetData>
    <row r="1" spans="1:12">
      <c r="F1" s="30">
        <f>SUBTOTAL(9,F3:F879)</f>
        <v>9080695.5</v>
      </c>
      <c r="I1" s="30">
        <f>SUBTOTAL(9,I3:I90)</f>
        <v>7274100</v>
      </c>
    </row>
    <row r="2" spans="1:12" s="39" customFormat="1" ht="29.15" customHeight="1">
      <c r="A2" s="36" t="s">
        <v>0</v>
      </c>
      <c r="B2" s="37" t="s">
        <v>1</v>
      </c>
      <c r="C2" s="37" t="s">
        <v>292</v>
      </c>
      <c r="D2" s="38" t="s">
        <v>293</v>
      </c>
      <c r="E2" s="38" t="s">
        <v>294</v>
      </c>
      <c r="F2" s="38" t="s">
        <v>358</v>
      </c>
      <c r="G2" s="38" t="s">
        <v>288</v>
      </c>
      <c r="H2" s="38" t="s">
        <v>224</v>
      </c>
      <c r="I2" s="37" t="s">
        <v>323</v>
      </c>
      <c r="J2" s="37" t="s">
        <v>300</v>
      </c>
      <c r="K2" s="37" t="s">
        <v>279</v>
      </c>
    </row>
    <row r="3" spans="1:12">
      <c r="A3" s="31" t="s">
        <v>118</v>
      </c>
      <c r="B3" s="29" t="s">
        <v>3</v>
      </c>
      <c r="C3" s="29" t="s">
        <v>4</v>
      </c>
      <c r="D3" s="30">
        <v>464760</v>
      </c>
      <c r="E3" s="30">
        <v>9900</v>
      </c>
      <c r="F3" s="30">
        <f>+D3+E3</f>
        <v>474660</v>
      </c>
      <c r="G3" s="30" t="str">
        <f>IFERROR(_xlfn.XLOOKUP(A3,data!A:A,data!D:D)," ")</f>
        <v>rPET</v>
      </c>
      <c r="H3" s="30">
        <f>IFERROR(_xlfn.XLOOKUP(A3,data!A:A,data!E:E)," ")</f>
        <v>0</v>
      </c>
      <c r="I3" s="30">
        <v>33000</v>
      </c>
      <c r="J3" s="32">
        <f>IFERROR(I3/1,0)</f>
        <v>33000</v>
      </c>
      <c r="K3" s="29" t="str">
        <f>VLOOKUP(A3,'Trình bày T4'!B:B,1,0)</f>
        <v>110000329</v>
      </c>
      <c r="L3" s="32"/>
    </row>
    <row r="4" spans="1:12">
      <c r="A4" s="31" t="s">
        <v>121</v>
      </c>
      <c r="B4" s="29" t="s">
        <v>7</v>
      </c>
      <c r="C4" s="29" t="s">
        <v>4</v>
      </c>
      <c r="D4" s="30">
        <v>413352.35</v>
      </c>
      <c r="E4" s="30">
        <v>240064</v>
      </c>
      <c r="F4" s="30">
        <f t="shared" ref="F4:F67" si="0">+D4+E4</f>
        <v>653416.35</v>
      </c>
      <c r="G4" s="30" t="str">
        <f>IFERROR(_xlfn.XLOOKUP(A4,data!A:A,data!D:D)," ")</f>
        <v>rPET</v>
      </c>
      <c r="H4" s="30">
        <f>IFERROR(_xlfn.XLOOKUP(A4,data!A:A,data!E:E)," ")</f>
        <v>0</v>
      </c>
      <c r="I4" s="30">
        <v>1014200</v>
      </c>
      <c r="J4" s="32">
        <f t="shared" ref="J4:J67" si="1">IFERROR(I4/1,0)</f>
        <v>1014200</v>
      </c>
      <c r="K4" s="29" t="str">
        <f>VLOOKUP(A4,'Trình bày T4'!B:B,1,0)</f>
        <v>110000332</v>
      </c>
      <c r="L4" s="32"/>
    </row>
    <row r="5" spans="1:12">
      <c r="A5" s="31" t="s">
        <v>124</v>
      </c>
      <c r="B5" s="29" t="s">
        <v>10</v>
      </c>
      <c r="C5" s="29" t="s">
        <v>4</v>
      </c>
      <c r="D5" s="30">
        <v>5008.8999999999996</v>
      </c>
      <c r="E5" s="30">
        <v>7443</v>
      </c>
      <c r="F5" s="30">
        <f t="shared" si="0"/>
        <v>12451.9</v>
      </c>
      <c r="G5" s="30" t="str">
        <f>IFERROR(_xlfn.XLOOKUP(A5,data!A:A,data!D:D)," ")</f>
        <v>HD thổi</v>
      </c>
      <c r="H5" s="30">
        <f>IFERROR(_xlfn.XLOOKUP(A5,data!A:A,data!E:E)," ")</f>
        <v>0</v>
      </c>
      <c r="I5" s="30">
        <v>0</v>
      </c>
      <c r="J5" s="32">
        <f t="shared" si="1"/>
        <v>0</v>
      </c>
      <c r="K5" s="29" t="str">
        <f>VLOOKUP(A5,'Trình bày T4'!B:B,1,0)</f>
        <v>110000336</v>
      </c>
      <c r="L5" s="32"/>
    </row>
    <row r="6" spans="1:12">
      <c r="A6" s="31" t="s">
        <v>126</v>
      </c>
      <c r="B6" s="29" t="s">
        <v>12</v>
      </c>
      <c r="C6" s="29" t="s">
        <v>4</v>
      </c>
      <c r="D6" s="30">
        <v>190232.5</v>
      </c>
      <c r="E6" s="30">
        <v>71475</v>
      </c>
      <c r="F6" s="30">
        <f t="shared" si="0"/>
        <v>261707.5</v>
      </c>
      <c r="G6" s="30" t="str">
        <f>IFERROR(_xlfn.XLOOKUP(A6,data!A:A,data!D:D)," ")</f>
        <v>HD thổi</v>
      </c>
      <c r="H6" s="30" t="str">
        <f>IFERROR(_xlfn.XLOOKUP(A6,data!A:A,data!E:E)," ")</f>
        <v>Trong</v>
      </c>
      <c r="I6" s="30">
        <v>412500</v>
      </c>
      <c r="J6" s="32">
        <f t="shared" si="1"/>
        <v>412500</v>
      </c>
      <c r="K6" s="29" t="str">
        <f>VLOOKUP(A6,'Trình bày T4'!B:B,1,0)</f>
        <v>110000339</v>
      </c>
      <c r="L6" s="32"/>
    </row>
    <row r="7" spans="1:12">
      <c r="A7" s="31" t="s">
        <v>127</v>
      </c>
      <c r="B7" s="29" t="s">
        <v>13</v>
      </c>
      <c r="C7" s="29" t="s">
        <v>4</v>
      </c>
      <c r="D7" s="30">
        <v>183625.5</v>
      </c>
      <c r="E7" s="30">
        <v>2350</v>
      </c>
      <c r="F7" s="30">
        <f t="shared" si="0"/>
        <v>185975.5</v>
      </c>
      <c r="G7" s="30" t="str">
        <f>IFERROR(_xlfn.XLOOKUP(A7,data!A:A,data!D:D)," ")</f>
        <v>HD thổi</v>
      </c>
      <c r="H7" s="30" t="str">
        <f>IFERROR(_xlfn.XLOOKUP(A7,data!A:A,data!E:E)," ")</f>
        <v>Đen</v>
      </c>
      <c r="I7" s="30">
        <v>19750</v>
      </c>
      <c r="J7" s="32">
        <f t="shared" si="1"/>
        <v>19750</v>
      </c>
      <c r="K7" s="29" t="str">
        <f>VLOOKUP(A7,'Trình bày T4'!B:B,1,0)</f>
        <v>110000341</v>
      </c>
      <c r="L7" s="32"/>
    </row>
    <row r="8" spans="1:12">
      <c r="A8" s="31" t="s">
        <v>128</v>
      </c>
      <c r="B8" s="29" t="s">
        <v>14</v>
      </c>
      <c r="C8" s="29" t="s">
        <v>4</v>
      </c>
      <c r="D8" s="30">
        <v>13300</v>
      </c>
      <c r="E8" s="30">
        <v>0</v>
      </c>
      <c r="F8" s="30">
        <f t="shared" si="0"/>
        <v>13300</v>
      </c>
      <c r="G8" s="30" t="str">
        <f>IFERROR(_xlfn.XLOOKUP(A8,data!A:A,data!D:D)," ")</f>
        <v>HD thổi</v>
      </c>
      <c r="H8" s="30" t="str">
        <f>IFERROR(_xlfn.XLOOKUP(A8,data!A:A,data!E:E)," ")</f>
        <v>Lá</v>
      </c>
      <c r="I8" s="30">
        <v>0</v>
      </c>
      <c r="J8" s="32">
        <f t="shared" si="1"/>
        <v>0</v>
      </c>
      <c r="K8" s="29" t="str">
        <f>VLOOKUP(A8,'Trình bày T4'!B:B,1,0)</f>
        <v>110000343</v>
      </c>
      <c r="L8" s="32"/>
    </row>
    <row r="9" spans="1:12">
      <c r="A9" s="31" t="s">
        <v>129</v>
      </c>
      <c r="B9" s="29" t="s">
        <v>15</v>
      </c>
      <c r="C9" s="29" t="s">
        <v>4</v>
      </c>
      <c r="D9" s="30">
        <v>1375</v>
      </c>
      <c r="E9" s="30">
        <v>2200</v>
      </c>
      <c r="F9" s="30">
        <f t="shared" si="0"/>
        <v>3575</v>
      </c>
      <c r="G9" s="30" t="str">
        <f>IFERROR(_xlfn.XLOOKUP(A9,data!A:A,data!D:D)," ")</f>
        <v>HD thổi</v>
      </c>
      <c r="H9" s="30" t="str">
        <f>IFERROR(_xlfn.XLOOKUP(A9,data!A:A,data!E:E)," ")</f>
        <v>Vàng</v>
      </c>
      <c r="I9" s="30">
        <v>0</v>
      </c>
      <c r="J9" s="32">
        <f t="shared" si="1"/>
        <v>0</v>
      </c>
      <c r="K9" s="29" t="str">
        <f>VLOOKUP(A9,'Trình bày T4'!B:B,1,0)</f>
        <v>110000345</v>
      </c>
      <c r="L9" s="32"/>
    </row>
    <row r="10" spans="1:12">
      <c r="A10" s="31" t="s">
        <v>130</v>
      </c>
      <c r="B10" s="29" t="s">
        <v>16</v>
      </c>
      <c r="C10" s="29" t="s">
        <v>4</v>
      </c>
      <c r="D10" s="30">
        <v>405696.5</v>
      </c>
      <c r="E10" s="30">
        <v>0</v>
      </c>
      <c r="F10" s="30">
        <f t="shared" si="0"/>
        <v>405696.5</v>
      </c>
      <c r="G10" s="30" t="str">
        <f>IFERROR(_xlfn.XLOOKUP(A10,data!A:A,data!D:D)," ")</f>
        <v>rPET</v>
      </c>
      <c r="H10" s="30">
        <f>IFERROR(_xlfn.XLOOKUP(A10,data!A:A,data!E:E)," ")</f>
        <v>0</v>
      </c>
      <c r="I10" s="30">
        <v>4488000</v>
      </c>
      <c r="J10" s="32">
        <f t="shared" si="1"/>
        <v>4488000</v>
      </c>
      <c r="K10" s="29" t="str">
        <f>VLOOKUP(A10,'Trình bày T4'!B:B,1,0)</f>
        <v>110000354</v>
      </c>
      <c r="L10" s="32"/>
    </row>
    <row r="11" spans="1:12">
      <c r="A11" s="31" t="s">
        <v>131</v>
      </c>
      <c r="B11" s="29" t="s">
        <v>17</v>
      </c>
      <c r="C11" s="29" t="s">
        <v>4</v>
      </c>
      <c r="D11" s="30">
        <v>56977.75</v>
      </c>
      <c r="E11" s="30">
        <v>0</v>
      </c>
      <c r="F11" s="30">
        <f t="shared" si="0"/>
        <v>56977.75</v>
      </c>
      <c r="G11" s="30" t="str">
        <f>IFERROR(_xlfn.XLOOKUP(A11,data!A:A,data!D:D)," ")</f>
        <v>rPET</v>
      </c>
      <c r="H11" s="30">
        <f>IFERROR(_xlfn.XLOOKUP(A11,data!A:A,data!E:E)," ")</f>
        <v>0</v>
      </c>
      <c r="I11" s="30">
        <v>518100</v>
      </c>
      <c r="J11" s="32">
        <f t="shared" si="1"/>
        <v>518100</v>
      </c>
      <c r="K11" s="29" t="str">
        <f>VLOOKUP(A11,'Trình bày T4'!B:B,1,0)</f>
        <v>110000355</v>
      </c>
      <c r="L11" s="32"/>
    </row>
    <row r="12" spans="1:12">
      <c r="A12" s="31" t="s">
        <v>133</v>
      </c>
      <c r="B12" s="29" t="s">
        <v>19</v>
      </c>
      <c r="C12" s="29" t="s">
        <v>4</v>
      </c>
      <c r="D12" s="30">
        <v>1763294.7000000002</v>
      </c>
      <c r="E12" s="30">
        <v>39600</v>
      </c>
      <c r="F12" s="30">
        <f t="shared" si="0"/>
        <v>1802894.7000000002</v>
      </c>
      <c r="G12" s="30" t="str">
        <f>IFERROR(_xlfn.XLOOKUP(A12,data!A:A,data!D:D)," ")</f>
        <v>rPET</v>
      </c>
      <c r="H12" s="30">
        <f>IFERROR(_xlfn.XLOOKUP(A12,data!A:A,data!E:E)," ")</f>
        <v>0</v>
      </c>
      <c r="I12" s="30">
        <v>249700</v>
      </c>
      <c r="J12" s="32">
        <f t="shared" si="1"/>
        <v>249700</v>
      </c>
      <c r="K12" s="29" t="str">
        <f>VLOOKUP(A12,'Trình bày T4'!B:B,1,0)</f>
        <v>110000359</v>
      </c>
      <c r="L12" s="32"/>
    </row>
    <row r="13" spans="1:12">
      <c r="A13" s="31" t="s">
        <v>134</v>
      </c>
      <c r="B13" s="29" t="s">
        <v>20</v>
      </c>
      <c r="C13" s="29" t="s">
        <v>4</v>
      </c>
      <c r="D13" s="30">
        <v>52070</v>
      </c>
      <c r="E13" s="30">
        <v>0</v>
      </c>
      <c r="F13" s="30">
        <f t="shared" si="0"/>
        <v>52070</v>
      </c>
      <c r="G13" s="30" t="str">
        <f>IFERROR(_xlfn.XLOOKUP(A13,data!A:A,data!D:D)," ")</f>
        <v>HD ép</v>
      </c>
      <c r="H13" s="30" t="str">
        <f>IFERROR(_xlfn.XLOOKUP(A13,data!A:A,data!E:E)," ")</f>
        <v>Dương</v>
      </c>
      <c r="I13" s="30">
        <v>22500</v>
      </c>
      <c r="J13" s="32">
        <f t="shared" si="1"/>
        <v>22500</v>
      </c>
      <c r="K13" s="29" t="str">
        <f>VLOOKUP(A13,'Trình bày T4'!B:B,1,0)</f>
        <v>110000360</v>
      </c>
      <c r="L13" s="32"/>
    </row>
    <row r="14" spans="1:12">
      <c r="A14" s="31" t="s">
        <v>135</v>
      </c>
      <c r="B14" s="29" t="s">
        <v>21</v>
      </c>
      <c r="C14" s="29" t="s">
        <v>4</v>
      </c>
      <c r="D14" s="30">
        <v>43050</v>
      </c>
      <c r="E14" s="30">
        <v>0</v>
      </c>
      <c r="F14" s="30">
        <f t="shared" si="0"/>
        <v>43050</v>
      </c>
      <c r="G14" s="30" t="str">
        <f>IFERROR(_xlfn.XLOOKUP(A14,data!A:A,data!D:D)," ")</f>
        <v>HD ép</v>
      </c>
      <c r="H14" s="30" t="str">
        <f>IFERROR(_xlfn.XLOOKUP(A14,data!A:A,data!E:E)," ")</f>
        <v>Đỏ</v>
      </c>
      <c r="I14" s="30">
        <v>5500</v>
      </c>
      <c r="J14" s="32">
        <f t="shared" si="1"/>
        <v>5500</v>
      </c>
      <c r="K14" s="29" t="str">
        <f>VLOOKUP(A14,'Trình bày T4'!B:B,1,0)</f>
        <v>110000361</v>
      </c>
      <c r="L14" s="32"/>
    </row>
    <row r="15" spans="1:12">
      <c r="A15" s="31" t="s">
        <v>136</v>
      </c>
      <c r="B15" s="29" t="s">
        <v>22</v>
      </c>
      <c r="C15" s="29" t="s">
        <v>4</v>
      </c>
      <c r="D15" s="30">
        <v>243296.9</v>
      </c>
      <c r="E15" s="30">
        <v>0</v>
      </c>
      <c r="F15" s="30">
        <f t="shared" si="0"/>
        <v>243296.9</v>
      </c>
      <c r="G15" s="30" t="str">
        <f>IFERROR(_xlfn.XLOOKUP(A15,data!A:A,data!D:D)," ")</f>
        <v>HD ép</v>
      </c>
      <c r="H15" s="30" t="str">
        <f>IFERROR(_xlfn.XLOOKUP(A15,data!A:A,data!E:E)," ")</f>
        <v>Xám</v>
      </c>
      <c r="I15" s="30">
        <v>0</v>
      </c>
      <c r="J15" s="32">
        <f t="shared" si="1"/>
        <v>0</v>
      </c>
      <c r="K15" s="29" t="str">
        <f>VLOOKUP(A15,'Trình bày T4'!B:B,1,0)</f>
        <v>110000363</v>
      </c>
      <c r="L15" s="32"/>
    </row>
    <row r="16" spans="1:12">
      <c r="A16" s="31" t="s">
        <v>137</v>
      </c>
      <c r="B16" s="29" t="s">
        <v>23</v>
      </c>
      <c r="C16" s="29" t="s">
        <v>4</v>
      </c>
      <c r="D16" s="30">
        <v>18015</v>
      </c>
      <c r="E16" s="30">
        <v>0</v>
      </c>
      <c r="F16" s="30">
        <f t="shared" si="0"/>
        <v>18015</v>
      </c>
      <c r="G16" s="30" t="str">
        <f>IFERROR(_xlfn.XLOOKUP(A16,data!A:A,data!D:D)," ")</f>
        <v>HD ép</v>
      </c>
      <c r="H16" s="30" t="str">
        <f>IFERROR(_xlfn.XLOOKUP(A16,data!A:A,data!E:E)," ")</f>
        <v>Vàng</v>
      </c>
      <c r="I16" s="30">
        <v>16500</v>
      </c>
      <c r="J16" s="32">
        <f t="shared" si="1"/>
        <v>16500</v>
      </c>
      <c r="K16" s="29" t="str">
        <f>VLOOKUP(A16,'Trình bày T4'!B:B,1,0)</f>
        <v>110000364</v>
      </c>
      <c r="L16" s="32"/>
    </row>
    <row r="17" spans="1:12">
      <c r="A17" s="31" t="s">
        <v>138</v>
      </c>
      <c r="B17" s="29" t="s">
        <v>24</v>
      </c>
      <c r="C17" s="29" t="s">
        <v>4</v>
      </c>
      <c r="D17" s="30">
        <v>48600.4</v>
      </c>
      <c r="E17" s="30">
        <v>7510</v>
      </c>
      <c r="F17" s="30">
        <f t="shared" si="0"/>
        <v>56110.400000000001</v>
      </c>
      <c r="G17" s="30" t="str">
        <f>IFERROR(_xlfn.XLOOKUP(A17,data!A:A,data!D:D)," ")</f>
        <v>HD ép</v>
      </c>
      <c r="H17" s="30" t="str">
        <f>IFERROR(_xlfn.XLOOKUP(A17,data!A:A,data!E:E)," ")</f>
        <v>Trắng</v>
      </c>
      <c r="I17" s="30">
        <v>25</v>
      </c>
      <c r="J17" s="32">
        <f t="shared" si="1"/>
        <v>25</v>
      </c>
      <c r="K17" s="29" t="str">
        <f>VLOOKUP(A17,'Trình bày T4'!B:B,1,0)</f>
        <v>110000365</v>
      </c>
      <c r="L17" s="32"/>
    </row>
    <row r="18" spans="1:12">
      <c r="A18" s="31" t="s">
        <v>139</v>
      </c>
      <c r="B18" s="29" t="s">
        <v>25</v>
      </c>
      <c r="C18" s="29" t="s">
        <v>4</v>
      </c>
      <c r="D18" s="30">
        <v>1775</v>
      </c>
      <c r="E18" s="30">
        <v>0</v>
      </c>
      <c r="F18" s="30">
        <f t="shared" si="0"/>
        <v>1775</v>
      </c>
      <c r="G18" s="30" t="str">
        <f>IFERROR(_xlfn.XLOOKUP(A18,data!A:A,data!D:D)," ")</f>
        <v>HD ép</v>
      </c>
      <c r="H18" s="30" t="str">
        <f>IFERROR(_xlfn.XLOOKUP(A18,data!A:A,data!E:E)," ")</f>
        <v>Lá</v>
      </c>
      <c r="I18" s="30">
        <v>39000</v>
      </c>
      <c r="J18" s="32">
        <f t="shared" si="1"/>
        <v>39000</v>
      </c>
      <c r="K18" s="29" t="str">
        <f>VLOOKUP(A18,'Trình bày T4'!B:B,1,0)</f>
        <v>110000366</v>
      </c>
      <c r="L18" s="32"/>
    </row>
    <row r="19" spans="1:12">
      <c r="A19" s="31" t="s">
        <v>140</v>
      </c>
      <c r="B19" s="29" t="s">
        <v>26</v>
      </c>
      <c r="C19" s="29" t="s">
        <v>4</v>
      </c>
      <c r="D19" s="30">
        <v>0</v>
      </c>
      <c r="E19" s="30">
        <v>141</v>
      </c>
      <c r="F19" s="30">
        <f t="shared" si="0"/>
        <v>141</v>
      </c>
      <c r="G19" s="30" t="str">
        <f>IFERROR(_xlfn.XLOOKUP(A19,data!A:A,data!D:D)," ")</f>
        <v>rPP</v>
      </c>
      <c r="H19" s="30" t="str">
        <f>IFERROR(_xlfn.XLOOKUP(A19,data!A:A,data!E:E)," ")</f>
        <v>Đỏ</v>
      </c>
      <c r="I19" s="30">
        <v>0</v>
      </c>
      <c r="J19" s="32">
        <f t="shared" si="1"/>
        <v>0</v>
      </c>
      <c r="K19" s="29" t="str">
        <f>VLOOKUP(A19,'Trình bày T4'!B:B,1,0)</f>
        <v>110000367</v>
      </c>
      <c r="L19" s="32"/>
    </row>
    <row r="20" spans="1:12">
      <c r="A20" s="31" t="s">
        <v>141</v>
      </c>
      <c r="B20" s="29" t="s">
        <v>27</v>
      </c>
      <c r="C20" s="29" t="s">
        <v>4</v>
      </c>
      <c r="D20" s="30">
        <v>0</v>
      </c>
      <c r="E20" s="30">
        <v>2677.8</v>
      </c>
      <c r="F20" s="30">
        <f t="shared" si="0"/>
        <v>2677.8</v>
      </c>
      <c r="G20" s="30" t="str">
        <f>IFERROR(_xlfn.XLOOKUP(A20,data!A:A,data!D:D)," ")</f>
        <v>rPP</v>
      </c>
      <c r="H20" s="30" t="str">
        <f>IFERROR(_xlfn.XLOOKUP(A20,data!A:A,data!E:E)," ")</f>
        <v>Trắng</v>
      </c>
      <c r="I20" s="30">
        <v>0</v>
      </c>
      <c r="J20" s="32">
        <f t="shared" si="1"/>
        <v>0</v>
      </c>
      <c r="K20" s="29" t="str">
        <f>VLOOKUP(A20,'Trình bày T4'!B:B,1,0)</f>
        <v>110000369</v>
      </c>
      <c r="L20" s="32"/>
    </row>
    <row r="21" spans="1:12">
      <c r="A21" s="31" t="s">
        <v>144</v>
      </c>
      <c r="B21" s="29" t="s">
        <v>30</v>
      </c>
      <c r="C21" s="29" t="s">
        <v>4</v>
      </c>
      <c r="D21" s="30">
        <v>3847.5</v>
      </c>
      <c r="E21" s="30">
        <v>2387.9</v>
      </c>
      <c r="F21" s="30">
        <f t="shared" si="0"/>
        <v>6235.4</v>
      </c>
      <c r="G21" s="30" t="str">
        <f>IFERROR(_xlfn.XLOOKUP(A21,data!A:A,data!D:D)," ")</f>
        <v>HD ép</v>
      </c>
      <c r="H21" s="30" t="str">
        <f>IFERROR(_xlfn.XLOOKUP(A21,data!A:A,data!E:E)," ")</f>
        <v>Dương</v>
      </c>
      <c r="I21" s="30">
        <v>0</v>
      </c>
      <c r="J21" s="32">
        <f t="shared" si="1"/>
        <v>0</v>
      </c>
      <c r="K21" s="29" t="str">
        <f>VLOOKUP(A21,'Trình bày T4'!B:B,1,0)</f>
        <v>110000373</v>
      </c>
      <c r="L21" s="32"/>
    </row>
    <row r="22" spans="1:12">
      <c r="A22" s="31" t="s">
        <v>145</v>
      </c>
      <c r="B22" s="29" t="s">
        <v>31</v>
      </c>
      <c r="C22" s="29" t="s">
        <v>4</v>
      </c>
      <c r="D22" s="30">
        <v>277373.40000000002</v>
      </c>
      <c r="E22" s="30">
        <v>28316</v>
      </c>
      <c r="F22" s="30">
        <f t="shared" si="0"/>
        <v>305689.40000000002</v>
      </c>
      <c r="G22" s="30" t="str">
        <f>IFERROR(_xlfn.XLOOKUP(A22,data!A:A,data!D:D)," ")</f>
        <v>HD thổi</v>
      </c>
      <c r="H22" s="30" t="str">
        <f>IFERROR(_xlfn.XLOOKUP(A22,data!A:A,data!E:E)," ")</f>
        <v>Trong</v>
      </c>
      <c r="I22" s="30">
        <v>66500</v>
      </c>
      <c r="J22" s="32">
        <f t="shared" si="1"/>
        <v>66500</v>
      </c>
      <c r="K22" s="29" t="str">
        <f>VLOOKUP(A22,'Trình bày T4'!B:B,1,0)</f>
        <v>110000374</v>
      </c>
      <c r="L22" s="32"/>
    </row>
    <row r="23" spans="1:12">
      <c r="A23" s="31" t="s">
        <v>146</v>
      </c>
      <c r="B23" s="29" t="s">
        <v>32</v>
      </c>
      <c r="C23" s="29" t="s">
        <v>4</v>
      </c>
      <c r="D23" s="30">
        <v>800</v>
      </c>
      <c r="E23" s="30">
        <v>0</v>
      </c>
      <c r="F23" s="30">
        <f t="shared" si="0"/>
        <v>800</v>
      </c>
      <c r="G23" s="30" t="str">
        <f>IFERROR(_xlfn.XLOOKUP(A23,data!A:A,data!D:D)," ")</f>
        <v>rPET</v>
      </c>
      <c r="H23" s="30">
        <f>IFERROR(_xlfn.XLOOKUP(A23,data!A:A,data!E:E)," ")</f>
        <v>0</v>
      </c>
      <c r="I23" s="30">
        <v>0</v>
      </c>
      <c r="J23" s="32">
        <f t="shared" si="1"/>
        <v>0</v>
      </c>
      <c r="K23" s="29" t="str">
        <f>VLOOKUP(A23,'Trình bày T4'!B:B,1,0)</f>
        <v>110000376</v>
      </c>
      <c r="L23" s="32"/>
    </row>
    <row r="24" spans="1:12">
      <c r="A24" s="31" t="s">
        <v>147</v>
      </c>
      <c r="B24" s="29" t="s">
        <v>33</v>
      </c>
      <c r="C24" s="29" t="s">
        <v>4</v>
      </c>
      <c r="D24" s="30">
        <v>256299.5</v>
      </c>
      <c r="E24" s="30">
        <v>0</v>
      </c>
      <c r="F24" s="30">
        <f t="shared" si="0"/>
        <v>256299.5</v>
      </c>
      <c r="G24" s="30" t="str">
        <f>IFERROR(_xlfn.XLOOKUP(A24,data!A:A,data!D:D)," ")</f>
        <v>rPET</v>
      </c>
      <c r="H24" s="30">
        <f>IFERROR(_xlfn.XLOOKUP(A24,data!A:A,data!E:E)," ")</f>
        <v>0</v>
      </c>
      <c r="I24" s="30">
        <v>22000</v>
      </c>
      <c r="J24" s="32">
        <f t="shared" si="1"/>
        <v>22000</v>
      </c>
      <c r="K24" s="29" t="str">
        <f>VLOOKUP(A24,'Trình bày T4'!B:B,1,0)</f>
        <v>110000377</v>
      </c>
      <c r="L24" s="32"/>
    </row>
    <row r="25" spans="1:12">
      <c r="A25" s="31" t="s">
        <v>148</v>
      </c>
      <c r="B25" s="29" t="s">
        <v>34</v>
      </c>
      <c r="C25" s="29" t="s">
        <v>4</v>
      </c>
      <c r="D25" s="30">
        <v>1411297</v>
      </c>
      <c r="E25" s="30">
        <v>0</v>
      </c>
      <c r="F25" s="30">
        <f t="shared" si="0"/>
        <v>1411297</v>
      </c>
      <c r="G25" s="30" t="str">
        <f>IFERROR(_xlfn.XLOOKUP(A25,data!A:A,data!D:D)," ")</f>
        <v>rPET</v>
      </c>
      <c r="H25" s="30">
        <f>IFERROR(_xlfn.XLOOKUP(A25,data!A:A,data!E:E)," ")</f>
        <v>0</v>
      </c>
      <c r="I25" s="30">
        <v>0</v>
      </c>
      <c r="J25" s="32">
        <f t="shared" si="1"/>
        <v>0</v>
      </c>
      <c r="K25" s="29" t="str">
        <f>VLOOKUP(A25,'Trình bày T4'!B:B,1,0)</f>
        <v>110000378</v>
      </c>
      <c r="L25" s="32"/>
    </row>
    <row r="26" spans="1:12">
      <c r="A26" s="31" t="s">
        <v>149</v>
      </c>
      <c r="B26" s="29" t="s">
        <v>35</v>
      </c>
      <c r="C26" s="29" t="s">
        <v>4</v>
      </c>
      <c r="D26" s="30">
        <v>54292.2</v>
      </c>
      <c r="E26" s="30">
        <v>0</v>
      </c>
      <c r="F26" s="30">
        <f t="shared" si="0"/>
        <v>54292.2</v>
      </c>
      <c r="G26" s="30" t="str">
        <f>IFERROR(_xlfn.XLOOKUP(A26,data!A:A,data!D:D)," ")</f>
        <v>Xơ sợi</v>
      </c>
      <c r="H26" s="30">
        <f>IFERROR(_xlfn.XLOOKUP(A26,data!A:A,data!E:E)," ")</f>
        <v>0</v>
      </c>
      <c r="I26" s="30">
        <v>-17600</v>
      </c>
      <c r="J26" s="32">
        <f t="shared" si="1"/>
        <v>-17600</v>
      </c>
      <c r="K26" s="29" t="str">
        <f>VLOOKUP(A26,'Trình bày T4'!B:B,1,0)</f>
        <v>110000381</v>
      </c>
      <c r="L26" s="32"/>
    </row>
    <row r="27" spans="1:12">
      <c r="A27" s="31" t="s">
        <v>150</v>
      </c>
      <c r="B27" s="29" t="s">
        <v>36</v>
      </c>
      <c r="C27" s="29" t="s">
        <v>4</v>
      </c>
      <c r="D27" s="30">
        <v>6614.7</v>
      </c>
      <c r="E27" s="30">
        <v>0</v>
      </c>
      <c r="F27" s="30">
        <f t="shared" si="0"/>
        <v>6614.7</v>
      </c>
      <c r="G27" s="30" t="str">
        <f>IFERROR(_xlfn.XLOOKUP(A27,data!A:A,data!D:D)," ")</f>
        <v>Xơ sợi</v>
      </c>
      <c r="H27" s="30">
        <f>IFERROR(_xlfn.XLOOKUP(A27,data!A:A,data!E:E)," ")</f>
        <v>0</v>
      </c>
      <c r="I27" s="30">
        <v>9450</v>
      </c>
      <c r="J27" s="32">
        <f t="shared" si="1"/>
        <v>9450</v>
      </c>
      <c r="K27" s="29" t="str">
        <f>VLOOKUP(A27,'Trình bày T4'!B:B,1,0)</f>
        <v>110000382</v>
      </c>
      <c r="L27" s="32"/>
    </row>
    <row r="28" spans="1:12">
      <c r="A28" s="31" t="s">
        <v>151</v>
      </c>
      <c r="B28" s="29" t="s">
        <v>37</v>
      </c>
      <c r="C28" s="29" t="s">
        <v>4</v>
      </c>
      <c r="D28" s="30">
        <v>24200</v>
      </c>
      <c r="E28" s="30">
        <v>28600</v>
      </c>
      <c r="F28" s="30">
        <f t="shared" si="0"/>
        <v>52800</v>
      </c>
      <c r="G28" s="30" t="str">
        <f>IFERROR(_xlfn.XLOOKUP(A28,data!A:A,data!D:D)," ")</f>
        <v>rPET</v>
      </c>
      <c r="H28" s="30">
        <f>IFERROR(_xlfn.XLOOKUP(A28,data!A:A,data!E:E)," ")</f>
        <v>0</v>
      </c>
      <c r="I28" s="30">
        <v>0</v>
      </c>
      <c r="J28" s="32">
        <f t="shared" si="1"/>
        <v>0</v>
      </c>
      <c r="K28" s="29" t="str">
        <f>VLOOKUP(A28,'Trình bày T4'!B:B,1,0)</f>
        <v>110000383</v>
      </c>
      <c r="L28" s="32"/>
    </row>
    <row r="29" spans="1:12">
      <c r="A29" s="31" t="s">
        <v>152</v>
      </c>
      <c r="B29" s="29" t="s">
        <v>38</v>
      </c>
      <c r="C29" s="29" t="s">
        <v>4</v>
      </c>
      <c r="D29" s="30">
        <v>171597.5</v>
      </c>
      <c r="E29" s="30">
        <v>0</v>
      </c>
      <c r="F29" s="30">
        <f t="shared" si="0"/>
        <v>171597.5</v>
      </c>
      <c r="G29" s="30" t="str">
        <f>IFERROR(_xlfn.XLOOKUP(A29,data!A:A,data!D:D)," ")</f>
        <v>Xơ sợi</v>
      </c>
      <c r="H29" s="30">
        <f>IFERROR(_xlfn.XLOOKUP(A29,data!A:A,data!E:E)," ")</f>
        <v>0</v>
      </c>
      <c r="I29" s="30">
        <v>0</v>
      </c>
      <c r="J29" s="32">
        <f t="shared" si="1"/>
        <v>0</v>
      </c>
      <c r="K29" s="29" t="str">
        <f>VLOOKUP(A29,'Trình bày T4'!B:B,1,0)</f>
        <v>110000384</v>
      </c>
      <c r="L29" s="32"/>
    </row>
    <row r="30" spans="1:12">
      <c r="A30" s="31" t="s">
        <v>153</v>
      </c>
      <c r="B30" s="29" t="s">
        <v>39</v>
      </c>
      <c r="C30" s="29" t="s">
        <v>4</v>
      </c>
      <c r="D30" s="30">
        <v>2750</v>
      </c>
      <c r="E30" s="30">
        <v>0</v>
      </c>
      <c r="F30" s="30">
        <f t="shared" si="0"/>
        <v>2750</v>
      </c>
      <c r="G30" s="30" t="str">
        <f>IFERROR(_xlfn.XLOOKUP(A30,data!A:A,data!D:D)," ")</f>
        <v>HD thổi</v>
      </c>
      <c r="H30" s="30" t="str">
        <f>IFERROR(_xlfn.XLOOKUP(A30,data!A:A,data!E:E)," ")</f>
        <v>Trong</v>
      </c>
      <c r="I30" s="30">
        <v>0</v>
      </c>
      <c r="J30" s="32">
        <f t="shared" si="1"/>
        <v>0</v>
      </c>
      <c r="K30" s="29" t="str">
        <f>VLOOKUP(A30,'Trình bày T4'!B:B,1,0)</f>
        <v>110000385</v>
      </c>
      <c r="L30" s="32"/>
    </row>
    <row r="31" spans="1:12">
      <c r="A31" s="31" t="s">
        <v>154</v>
      </c>
      <c r="B31" s="29" t="s">
        <v>40</v>
      </c>
      <c r="C31" s="29" t="s">
        <v>4</v>
      </c>
      <c r="D31" s="30">
        <v>6599</v>
      </c>
      <c r="E31" s="30">
        <v>0</v>
      </c>
      <c r="F31" s="30">
        <f t="shared" si="0"/>
        <v>6599</v>
      </c>
      <c r="G31" s="30" t="str">
        <f>IFERROR(_xlfn.XLOOKUP(A31,data!A:A,data!D:D)," ")</f>
        <v>Xơ sợi</v>
      </c>
      <c r="H31" s="30">
        <f>IFERROR(_xlfn.XLOOKUP(A31,data!A:A,data!E:E)," ")</f>
        <v>0</v>
      </c>
      <c r="I31" s="30">
        <v>0</v>
      </c>
      <c r="J31" s="32">
        <f t="shared" si="1"/>
        <v>0</v>
      </c>
      <c r="K31" s="29" t="str">
        <f>VLOOKUP(A31,'Trình bày T4'!B:B,1,0)</f>
        <v>110000387</v>
      </c>
      <c r="L31" s="32"/>
    </row>
    <row r="32" spans="1:12">
      <c r="A32" s="31" t="s">
        <v>155</v>
      </c>
      <c r="B32" s="29" t="s">
        <v>41</v>
      </c>
      <c r="C32" s="29" t="s">
        <v>4</v>
      </c>
      <c r="D32" s="30">
        <v>2644</v>
      </c>
      <c r="E32" s="30">
        <v>0</v>
      </c>
      <c r="F32" s="30">
        <f t="shared" si="0"/>
        <v>2644</v>
      </c>
      <c r="G32" s="30" t="str">
        <f>IFERROR(_xlfn.XLOOKUP(A32,data!A:A,data!D:D)," ")</f>
        <v>rPP</v>
      </c>
      <c r="H32" s="30" t="str">
        <f>IFERROR(_xlfn.XLOOKUP(A32,data!A:A,data!E:E)," ")</f>
        <v>Đỏ</v>
      </c>
      <c r="I32" s="30">
        <v>0</v>
      </c>
      <c r="J32" s="32">
        <f t="shared" si="1"/>
        <v>0</v>
      </c>
      <c r="K32" s="29" t="str">
        <f>VLOOKUP(A32,'Trình bày T4'!B:B,1,0)</f>
        <v>110000388</v>
      </c>
      <c r="L32" s="32"/>
    </row>
    <row r="33" spans="1:12">
      <c r="A33" s="31" t="s">
        <v>156</v>
      </c>
      <c r="B33" s="29" t="s">
        <v>42</v>
      </c>
      <c r="C33" s="29" t="s">
        <v>4</v>
      </c>
      <c r="D33" s="30">
        <v>2981</v>
      </c>
      <c r="E33" s="30">
        <v>909</v>
      </c>
      <c r="F33" s="30">
        <f t="shared" si="0"/>
        <v>3890</v>
      </c>
      <c r="G33" s="30" t="str">
        <f>IFERROR(_xlfn.XLOOKUP(A33,data!A:A,data!D:D)," ")</f>
        <v>rPP</v>
      </c>
      <c r="H33" s="30" t="str">
        <f>IFERROR(_xlfn.XLOOKUP(A33,data!A:A,data!E:E)," ")</f>
        <v>Đỏ</v>
      </c>
      <c r="I33" s="30">
        <v>200</v>
      </c>
      <c r="J33" s="32">
        <f t="shared" si="1"/>
        <v>200</v>
      </c>
      <c r="K33" s="29" t="str">
        <f>VLOOKUP(A33,'Trình bày T4'!B:B,1,0)</f>
        <v>110000389</v>
      </c>
      <c r="L33" s="32"/>
    </row>
    <row r="34" spans="1:12">
      <c r="A34" s="31" t="s">
        <v>159</v>
      </c>
      <c r="B34" s="29" t="s">
        <v>45</v>
      </c>
      <c r="C34" s="29" t="s">
        <v>4</v>
      </c>
      <c r="D34" s="30">
        <v>27828</v>
      </c>
      <c r="E34" s="30">
        <v>0</v>
      </c>
      <c r="F34" s="30">
        <f t="shared" si="0"/>
        <v>27828</v>
      </c>
      <c r="G34" s="30" t="str">
        <f>IFERROR(_xlfn.XLOOKUP(A34,data!A:A,data!D:D)," ")</f>
        <v>rPP</v>
      </c>
      <c r="H34" s="30" t="str">
        <f>IFERROR(_xlfn.XLOOKUP(A34,data!A:A,data!E:E)," ")</f>
        <v>Đen</v>
      </c>
      <c r="I34" s="30">
        <v>0</v>
      </c>
      <c r="J34" s="32">
        <f t="shared" si="1"/>
        <v>0</v>
      </c>
      <c r="K34" s="29" t="str">
        <f>VLOOKUP(A34,'Trình bày T4'!B:B,1,0)</f>
        <v>110000392</v>
      </c>
      <c r="L34" s="32"/>
    </row>
    <row r="35" spans="1:12">
      <c r="A35" s="31" t="s">
        <v>160</v>
      </c>
      <c r="B35" s="29" t="s">
        <v>46</v>
      </c>
      <c r="C35" s="29" t="s">
        <v>4</v>
      </c>
      <c r="D35" s="30">
        <v>43636</v>
      </c>
      <c r="E35" s="30">
        <v>0</v>
      </c>
      <c r="F35" s="30">
        <f t="shared" si="0"/>
        <v>43636</v>
      </c>
      <c r="G35" s="30" t="str">
        <f>IFERROR(_xlfn.XLOOKUP(A35,data!A:A,data!D:D)," ")</f>
        <v>rPP</v>
      </c>
      <c r="H35" s="30" t="str">
        <f>IFERROR(_xlfn.XLOOKUP(A35,data!A:A,data!E:E)," ")</f>
        <v>Be</v>
      </c>
      <c r="I35" s="30">
        <v>0</v>
      </c>
      <c r="J35" s="32">
        <f t="shared" si="1"/>
        <v>0</v>
      </c>
      <c r="K35" s="29" t="str">
        <f>VLOOKUP(A35,'Trình bày T4'!B:B,1,0)</f>
        <v>110000393</v>
      </c>
      <c r="L35" s="32"/>
    </row>
    <row r="36" spans="1:12">
      <c r="A36" s="31" t="s">
        <v>161</v>
      </c>
      <c r="B36" s="33" t="s">
        <v>47</v>
      </c>
      <c r="C36" s="29" t="s">
        <v>4</v>
      </c>
      <c r="D36" s="30">
        <v>0</v>
      </c>
      <c r="E36" s="30">
        <v>1370</v>
      </c>
      <c r="F36" s="30">
        <f t="shared" si="0"/>
        <v>1370</v>
      </c>
      <c r="G36" s="30" t="str">
        <f>IFERROR(_xlfn.XLOOKUP(A36,data!A:A,data!D:D)," ")</f>
        <v>rPP</v>
      </c>
      <c r="H36" s="30" t="str">
        <f>IFERROR(_xlfn.XLOOKUP(A36,data!A:A,data!E:E)," ")</f>
        <v>Xám</v>
      </c>
      <c r="I36" s="30">
        <v>0</v>
      </c>
      <c r="J36" s="32">
        <f t="shared" si="1"/>
        <v>0</v>
      </c>
      <c r="K36" s="29" t="str">
        <f>VLOOKUP(A36,'Trình bày T4'!B:B,1,0)</f>
        <v>110000394</v>
      </c>
      <c r="L36" s="32"/>
    </row>
    <row r="37" spans="1:12">
      <c r="A37" s="31" t="s">
        <v>162</v>
      </c>
      <c r="B37" s="29" t="s">
        <v>48</v>
      </c>
      <c r="C37" s="29" t="s">
        <v>4</v>
      </c>
      <c r="D37" s="30">
        <v>27779</v>
      </c>
      <c r="E37" s="30">
        <v>40249</v>
      </c>
      <c r="F37" s="30">
        <f t="shared" si="0"/>
        <v>68028</v>
      </c>
      <c r="G37" s="30" t="str">
        <f>IFERROR(_xlfn.XLOOKUP(A37,data!A:A,data!D:D)," ")</f>
        <v>Vảy HD ép</v>
      </c>
      <c r="H37" s="30" t="str">
        <f>IFERROR(_xlfn.XLOOKUP(A37,data!A:A,data!E:E)," ")</f>
        <v>Đỏ</v>
      </c>
      <c r="I37" s="30">
        <v>39250</v>
      </c>
      <c r="J37" s="32">
        <f t="shared" si="1"/>
        <v>39250</v>
      </c>
      <c r="K37" s="29" t="str">
        <f>VLOOKUP(A37,'Trình bày T4'!B:B,1,0)</f>
        <v>110000407</v>
      </c>
      <c r="L37" s="32"/>
    </row>
    <row r="38" spans="1:12">
      <c r="A38" s="31" t="s">
        <v>163</v>
      </c>
      <c r="B38" s="29" t="s">
        <v>49</v>
      </c>
      <c r="C38" s="29" t="s">
        <v>4</v>
      </c>
      <c r="D38" s="30">
        <v>53513.2</v>
      </c>
      <c r="E38" s="30">
        <v>42344</v>
      </c>
      <c r="F38" s="30">
        <f t="shared" si="0"/>
        <v>95857.2</v>
      </c>
      <c r="G38" s="30" t="str">
        <f>IFERROR(_xlfn.XLOOKUP(A38,data!A:A,data!D:D)," ")</f>
        <v>Vảy HD ép</v>
      </c>
      <c r="H38" s="30" t="str">
        <f>IFERROR(_xlfn.XLOOKUP(A38,data!A:A,data!E:E)," ")</f>
        <v>Trắng</v>
      </c>
      <c r="I38" s="30">
        <v>80500</v>
      </c>
      <c r="J38" s="32">
        <f t="shared" si="1"/>
        <v>80500</v>
      </c>
      <c r="K38" s="29" t="str">
        <f>VLOOKUP(A38,'Trình bày T4'!B:B,1,0)</f>
        <v>110000408</v>
      </c>
      <c r="L38" s="32"/>
    </row>
    <row r="39" spans="1:12">
      <c r="A39" s="31" t="s">
        <v>164</v>
      </c>
      <c r="B39" s="29" t="s">
        <v>50</v>
      </c>
      <c r="C39" s="29" t="s">
        <v>4</v>
      </c>
      <c r="D39" s="30">
        <v>12975</v>
      </c>
      <c r="E39" s="30">
        <v>27410</v>
      </c>
      <c r="F39" s="30">
        <f t="shared" si="0"/>
        <v>40385</v>
      </c>
      <c r="G39" s="30" t="str">
        <f>IFERROR(_xlfn.XLOOKUP(A39,data!A:A,data!D:D)," ")</f>
        <v>Vảy HD ép</v>
      </c>
      <c r="H39" s="30" t="str">
        <f>IFERROR(_xlfn.XLOOKUP(A39,data!A:A,data!E:E)," ")</f>
        <v>Vàng</v>
      </c>
      <c r="I39" s="30">
        <v>6000</v>
      </c>
      <c r="J39" s="32">
        <f t="shared" si="1"/>
        <v>6000</v>
      </c>
      <c r="K39" s="29" t="str">
        <f>VLOOKUP(A39,'Trình bày T4'!B:B,1,0)</f>
        <v>110000409</v>
      </c>
      <c r="L39" s="32"/>
    </row>
    <row r="40" spans="1:12">
      <c r="A40" s="31" t="s">
        <v>165</v>
      </c>
      <c r="B40" s="29" t="s">
        <v>51</v>
      </c>
      <c r="C40" s="29" t="s">
        <v>4</v>
      </c>
      <c r="D40" s="30">
        <v>8650</v>
      </c>
      <c r="E40" s="30">
        <v>18000</v>
      </c>
      <c r="F40" s="30">
        <f t="shared" si="0"/>
        <v>26650</v>
      </c>
      <c r="G40" s="30" t="str">
        <f>IFERROR(_xlfn.XLOOKUP(A40,data!A:A,data!D:D)," ")</f>
        <v>Vảy HD ép</v>
      </c>
      <c r="H40" s="30" t="str">
        <f>IFERROR(_xlfn.XLOOKUP(A40,data!A:A,data!E:E)," ")</f>
        <v>Lá</v>
      </c>
      <c r="I40" s="30">
        <v>3750</v>
      </c>
      <c r="J40" s="32">
        <f t="shared" si="1"/>
        <v>3750</v>
      </c>
      <c r="K40" s="29" t="str">
        <f>VLOOKUP(A40,'Trình bày T4'!B:B,1,0)</f>
        <v>110000410</v>
      </c>
      <c r="L40" s="32"/>
    </row>
    <row r="41" spans="1:12">
      <c r="A41" s="31" t="s">
        <v>166</v>
      </c>
      <c r="B41" s="29" t="s">
        <v>52</v>
      </c>
      <c r="C41" s="29" t="s">
        <v>4</v>
      </c>
      <c r="D41" s="30">
        <v>36750</v>
      </c>
      <c r="E41" s="30">
        <v>0</v>
      </c>
      <c r="F41" s="30">
        <f t="shared" si="0"/>
        <v>36750</v>
      </c>
      <c r="G41" s="30" t="str">
        <f>IFERROR(_xlfn.XLOOKUP(A41,data!A:A,data!D:D)," ")</f>
        <v>Vảy HD ép</v>
      </c>
      <c r="H41" s="30" t="str">
        <f>IFERROR(_xlfn.XLOOKUP(A41,data!A:A,data!E:E)," ")</f>
        <v>Dương</v>
      </c>
      <c r="I41" s="30">
        <v>0</v>
      </c>
      <c r="J41" s="32">
        <f t="shared" si="1"/>
        <v>0</v>
      </c>
      <c r="K41" s="29" t="str">
        <f>VLOOKUP(A41,'Trình bày T4'!B:B,1,0)</f>
        <v>110000411</v>
      </c>
      <c r="L41" s="32"/>
    </row>
    <row r="42" spans="1:12">
      <c r="A42" s="31" t="s">
        <v>167</v>
      </c>
      <c r="B42" s="29" t="s">
        <v>53</v>
      </c>
      <c r="C42" s="29" t="s">
        <v>4</v>
      </c>
      <c r="D42" s="30">
        <v>34022</v>
      </c>
      <c r="E42" s="30">
        <v>0</v>
      </c>
      <c r="F42" s="30">
        <f t="shared" si="0"/>
        <v>34022</v>
      </c>
      <c r="G42" s="30" t="str">
        <f>IFERROR(_xlfn.XLOOKUP(A42,data!A:A,data!D:D)," ")</f>
        <v>Vảy HD ép</v>
      </c>
      <c r="H42" s="30" t="str">
        <f>IFERROR(_xlfn.XLOOKUP(A42,data!A:A,data!E:E)," ")</f>
        <v>Đen</v>
      </c>
      <c r="I42" s="30">
        <v>2250</v>
      </c>
      <c r="J42" s="32">
        <f t="shared" si="1"/>
        <v>2250</v>
      </c>
      <c r="K42" s="29" t="str">
        <f>VLOOKUP(A42,'Trình bày T4'!B:B,1,0)</f>
        <v>110000412</v>
      </c>
      <c r="L42" s="32"/>
    </row>
    <row r="43" spans="1:12">
      <c r="A43" s="31" t="s">
        <v>168</v>
      </c>
      <c r="B43" s="29" t="s">
        <v>54</v>
      </c>
      <c r="C43" s="29" t="s">
        <v>4</v>
      </c>
      <c r="D43" s="30">
        <v>153449.5</v>
      </c>
      <c r="E43" s="30">
        <v>6925</v>
      </c>
      <c r="F43" s="30">
        <f t="shared" si="0"/>
        <v>160374.5</v>
      </c>
      <c r="G43" s="30" t="str">
        <f>IFERROR(_xlfn.XLOOKUP(A43,data!A:A,data!D:D)," ")</f>
        <v>Vảy HD ép</v>
      </c>
      <c r="H43" s="30" t="str">
        <f>IFERROR(_xlfn.XLOOKUP(A43,data!A:A,data!E:E)," ")</f>
        <v>Đồng</v>
      </c>
      <c r="I43" s="30">
        <v>0</v>
      </c>
      <c r="J43" s="32">
        <f t="shared" si="1"/>
        <v>0</v>
      </c>
      <c r="K43" s="29" t="str">
        <f>VLOOKUP(A43,'Trình bày T4'!B:B,1,0)</f>
        <v>110000413</v>
      </c>
      <c r="L43" s="32"/>
    </row>
    <row r="44" spans="1:12">
      <c r="A44" s="31" t="s">
        <v>169</v>
      </c>
      <c r="B44" s="29" t="s">
        <v>55</v>
      </c>
      <c r="C44" s="29" t="s">
        <v>4</v>
      </c>
      <c r="D44" s="30">
        <v>5200.1000000000004</v>
      </c>
      <c r="E44" s="30">
        <v>15725</v>
      </c>
      <c r="F44" s="30">
        <f t="shared" si="0"/>
        <v>20925.099999999999</v>
      </c>
      <c r="G44" s="30" t="str">
        <f>IFERROR(_xlfn.XLOOKUP(A44,data!A:A,data!D:D)," ")</f>
        <v>Vảy PP</v>
      </c>
      <c r="H44" s="30" t="str">
        <f>IFERROR(_xlfn.XLOOKUP(A44,data!A:A,data!E:E)," ")</f>
        <v>Đỏ</v>
      </c>
      <c r="I44" s="30">
        <v>11250</v>
      </c>
      <c r="J44" s="32">
        <f t="shared" si="1"/>
        <v>11250</v>
      </c>
      <c r="K44" s="29" t="str">
        <f>VLOOKUP(A44,'Trình bày T4'!B:B,1,0)</f>
        <v>110000421</v>
      </c>
      <c r="L44" s="32"/>
    </row>
    <row r="45" spans="1:12">
      <c r="A45" s="31" t="s">
        <v>170</v>
      </c>
      <c r="B45" s="29" t="s">
        <v>56</v>
      </c>
      <c r="C45" s="29" t="s">
        <v>4</v>
      </c>
      <c r="D45" s="30">
        <v>2250</v>
      </c>
      <c r="E45" s="30">
        <v>0</v>
      </c>
      <c r="F45" s="30">
        <f t="shared" si="0"/>
        <v>2250</v>
      </c>
      <c r="G45" s="30" t="str">
        <f>IFERROR(_xlfn.XLOOKUP(A45,data!A:A,data!D:D)," ")</f>
        <v>Vảy PP</v>
      </c>
      <c r="H45" s="30" t="str">
        <f>IFERROR(_xlfn.XLOOKUP(A45,data!A:A,data!E:E)," ")</f>
        <v>Đỏ</v>
      </c>
      <c r="I45" s="30">
        <v>0</v>
      </c>
      <c r="J45" s="32">
        <f t="shared" si="1"/>
        <v>0</v>
      </c>
      <c r="K45" s="29" t="str">
        <f>VLOOKUP(A45,'Trình bày T4'!B:B,1,0)</f>
        <v>110000422</v>
      </c>
      <c r="L45" s="32"/>
    </row>
    <row r="46" spans="1:12">
      <c r="A46" s="31" t="s">
        <v>171</v>
      </c>
      <c r="B46" s="29" t="s">
        <v>57</v>
      </c>
      <c r="C46" s="29" t="s">
        <v>4</v>
      </c>
      <c r="D46" s="30">
        <v>113773</v>
      </c>
      <c r="E46" s="30">
        <v>5250</v>
      </c>
      <c r="F46" s="30">
        <f t="shared" si="0"/>
        <v>119023</v>
      </c>
      <c r="G46" s="30" t="str">
        <f>IFERROR(_xlfn.XLOOKUP(A46,data!A:A,data!D:D)," ")</f>
        <v>Vảy PP</v>
      </c>
      <c r="H46" s="30" t="str">
        <f>IFERROR(_xlfn.XLOOKUP(A46,data!A:A,data!E:E)," ")</f>
        <v>Dương</v>
      </c>
      <c r="I46" s="30">
        <v>0</v>
      </c>
      <c r="J46" s="32">
        <f t="shared" si="1"/>
        <v>0</v>
      </c>
      <c r="K46" s="29" t="str">
        <f>VLOOKUP(A46,'Trình bày T4'!B:B,1,0)</f>
        <v>110000423</v>
      </c>
      <c r="L46" s="32"/>
    </row>
    <row r="47" spans="1:12">
      <c r="A47" s="31" t="s">
        <v>290</v>
      </c>
      <c r="B47" s="29" t="s">
        <v>289</v>
      </c>
      <c r="C47" s="29" t="s">
        <v>4</v>
      </c>
      <c r="D47" s="30">
        <v>750</v>
      </c>
      <c r="E47" s="30">
        <v>0</v>
      </c>
      <c r="F47" s="30">
        <f t="shared" si="0"/>
        <v>750</v>
      </c>
      <c r="G47" s="30" t="str">
        <f>IFERROR(_xlfn.XLOOKUP(A47,data!A:A,data!D:D)," ")</f>
        <v>rPP</v>
      </c>
      <c r="H47" s="30" t="str">
        <f>IFERROR(_xlfn.XLOOKUP(A47,data!A:A,data!E:E)," ")</f>
        <v>Dương</v>
      </c>
      <c r="I47" s="30">
        <v>0</v>
      </c>
      <c r="J47" s="32">
        <f t="shared" si="1"/>
        <v>0</v>
      </c>
      <c r="K47" s="29" t="str">
        <f>VLOOKUP(A47,'Trình bày T4'!B:B,1,0)</f>
        <v>110000424</v>
      </c>
      <c r="L47" s="32"/>
    </row>
    <row r="48" spans="1:12">
      <c r="A48" s="31" t="s">
        <v>172</v>
      </c>
      <c r="B48" s="29" t="s">
        <v>58</v>
      </c>
      <c r="C48" s="29" t="s">
        <v>4</v>
      </c>
      <c r="D48" s="30">
        <v>44216.5</v>
      </c>
      <c r="E48" s="30">
        <v>4657</v>
      </c>
      <c r="F48" s="30">
        <f t="shared" si="0"/>
        <v>48873.5</v>
      </c>
      <c r="G48" s="30" t="str">
        <f>IFERROR(_xlfn.XLOOKUP(A48,data!A:A,data!D:D)," ")</f>
        <v>HD thổi</v>
      </c>
      <c r="H48" s="30" t="str">
        <f>IFERROR(_xlfn.XLOOKUP(A48,data!A:A,data!E:E)," ")</f>
        <v>Trắng</v>
      </c>
      <c r="I48" s="30">
        <v>66000</v>
      </c>
      <c r="J48" s="32">
        <f t="shared" si="1"/>
        <v>66000</v>
      </c>
      <c r="K48" s="29" t="str">
        <f>VLOOKUP(A48,'Trình bày T4'!B:B,1,0)</f>
        <v>110000425</v>
      </c>
      <c r="L48" s="32"/>
    </row>
    <row r="49" spans="1:12">
      <c r="A49" s="31" t="s">
        <v>173</v>
      </c>
      <c r="B49" s="29" t="s">
        <v>59</v>
      </c>
      <c r="C49" s="29" t="s">
        <v>4</v>
      </c>
      <c r="D49" s="30">
        <v>16653</v>
      </c>
      <c r="E49" s="30">
        <v>23894</v>
      </c>
      <c r="F49" s="30">
        <f t="shared" si="0"/>
        <v>40547</v>
      </c>
      <c r="G49" s="30" t="str">
        <f>IFERROR(_xlfn.XLOOKUP(A49,data!A:A,data!D:D)," ")</f>
        <v>HD thổi</v>
      </c>
      <c r="H49" s="30" t="str">
        <f>IFERROR(_xlfn.XLOOKUP(A49,data!A:A,data!E:E)," ")</f>
        <v>Vàng</v>
      </c>
      <c r="I49" s="30">
        <v>0</v>
      </c>
      <c r="J49" s="32">
        <f t="shared" si="1"/>
        <v>0</v>
      </c>
      <c r="K49" s="29" t="str">
        <f>VLOOKUP(A49,'Trình bày T4'!B:B,1,0)</f>
        <v>110000426</v>
      </c>
      <c r="L49" s="32"/>
    </row>
    <row r="50" spans="1:12">
      <c r="A50" s="31" t="s">
        <v>174</v>
      </c>
      <c r="B50" s="29" t="s">
        <v>60</v>
      </c>
      <c r="C50" s="29" t="s">
        <v>4</v>
      </c>
      <c r="D50" s="30">
        <v>17100</v>
      </c>
      <c r="E50" s="30">
        <v>1674</v>
      </c>
      <c r="F50" s="30">
        <f t="shared" si="0"/>
        <v>18774</v>
      </c>
      <c r="G50" s="30" t="str">
        <f>IFERROR(_xlfn.XLOOKUP(A50,data!A:A,data!D:D)," ")</f>
        <v>HD thổi</v>
      </c>
      <c r="H50" s="30" t="str">
        <f>IFERROR(_xlfn.XLOOKUP(A50,data!A:A,data!E:E)," ")</f>
        <v>Lá</v>
      </c>
      <c r="I50" s="30">
        <v>0</v>
      </c>
      <c r="J50" s="32">
        <f t="shared" si="1"/>
        <v>0</v>
      </c>
      <c r="K50" s="29" t="str">
        <f>VLOOKUP(A50,'Trình bày T4'!B:B,1,0)</f>
        <v>110000427</v>
      </c>
      <c r="L50" s="32"/>
    </row>
    <row r="51" spans="1:12">
      <c r="A51" s="31" t="s">
        <v>175</v>
      </c>
      <c r="B51" s="29" t="s">
        <v>61</v>
      </c>
      <c r="C51" s="29" t="s">
        <v>4</v>
      </c>
      <c r="D51" s="30">
        <v>284680</v>
      </c>
      <c r="E51" s="30">
        <v>0</v>
      </c>
      <c r="F51" s="30">
        <f t="shared" si="0"/>
        <v>284680</v>
      </c>
      <c r="G51" s="30">
        <f>IFERROR(_xlfn.XLOOKUP(A51,data!A:A,data!D:D)," ")</f>
        <v>0</v>
      </c>
      <c r="H51" s="30">
        <f>IFERROR(_xlfn.XLOOKUP(A51,data!A:A,data!E:E)," ")</f>
        <v>0</v>
      </c>
      <c r="I51" s="30">
        <v>500</v>
      </c>
      <c r="J51" s="32">
        <f t="shared" si="1"/>
        <v>500</v>
      </c>
      <c r="K51" s="29" t="e">
        <f>VLOOKUP(A51,'Trình bày T4'!B:B,1,0)</f>
        <v>#N/A</v>
      </c>
      <c r="L51" s="32"/>
    </row>
    <row r="52" spans="1:12">
      <c r="A52" s="31" t="s">
        <v>177</v>
      </c>
      <c r="B52" s="29" t="s">
        <v>63</v>
      </c>
      <c r="C52" s="29" t="s">
        <v>4</v>
      </c>
      <c r="D52" s="30">
        <v>37399</v>
      </c>
      <c r="E52" s="30">
        <v>0</v>
      </c>
      <c r="F52" s="30">
        <f t="shared" si="0"/>
        <v>37399</v>
      </c>
      <c r="G52" s="30" t="str">
        <f>IFERROR(_xlfn.XLOOKUP(A52,data!A:A,data!D:D)," ")</f>
        <v>rPET</v>
      </c>
      <c r="H52" s="30">
        <f>IFERROR(_xlfn.XLOOKUP(A52,data!A:A,data!E:E)," ")</f>
        <v>0</v>
      </c>
      <c r="I52" s="30">
        <v>0</v>
      </c>
      <c r="J52" s="32">
        <f t="shared" si="1"/>
        <v>0</v>
      </c>
      <c r="K52" s="29" t="str">
        <f>VLOOKUP(A52,'Trình bày T4'!B:B,1,0)</f>
        <v>110000430</v>
      </c>
      <c r="L52" s="32"/>
    </row>
    <row r="53" spans="1:12">
      <c r="A53" s="31" t="s">
        <v>178</v>
      </c>
      <c r="B53" s="29" t="s">
        <v>64</v>
      </c>
      <c r="C53" s="29" t="s">
        <v>4</v>
      </c>
      <c r="D53" s="30">
        <v>1848</v>
      </c>
      <c r="E53" s="30">
        <v>1600</v>
      </c>
      <c r="F53" s="30">
        <f t="shared" si="0"/>
        <v>3448</v>
      </c>
      <c r="G53" s="30" t="str">
        <f>IFERROR(_xlfn.XLOOKUP(A53,data!A:A,data!D:D)," ")</f>
        <v>HD ép</v>
      </c>
      <c r="H53" s="30" t="str">
        <f>IFERROR(_xlfn.XLOOKUP(A53,data!A:A,data!E:E)," ")</f>
        <v>Xám</v>
      </c>
      <c r="I53" s="30">
        <v>11000</v>
      </c>
      <c r="J53" s="32">
        <f t="shared" si="1"/>
        <v>11000</v>
      </c>
      <c r="K53" s="29" t="str">
        <f>VLOOKUP(A53,'Trình bày T4'!B:B,1,0)</f>
        <v>110000431</v>
      </c>
      <c r="L53" s="32"/>
    </row>
    <row r="54" spans="1:12">
      <c r="A54" s="31" t="s">
        <v>181</v>
      </c>
      <c r="B54" s="29" t="s">
        <v>67</v>
      </c>
      <c r="C54" s="29" t="s">
        <v>4</v>
      </c>
      <c r="D54" s="30">
        <v>573</v>
      </c>
      <c r="E54" s="30">
        <v>1192</v>
      </c>
      <c r="F54" s="30">
        <f t="shared" si="0"/>
        <v>1765</v>
      </c>
      <c r="G54" s="30" t="str">
        <f>IFERROR(_xlfn.XLOOKUP(A54,data!A:A,data!D:D)," ")</f>
        <v>rPP</v>
      </c>
      <c r="H54" s="30" t="str">
        <f>IFERROR(_xlfn.XLOOKUP(A54,data!A:A,data!E:E)," ")</f>
        <v>Dương</v>
      </c>
      <c r="I54" s="30">
        <v>200</v>
      </c>
      <c r="J54" s="32">
        <f t="shared" si="1"/>
        <v>200</v>
      </c>
      <c r="K54" s="29" t="str">
        <f>VLOOKUP(A54,'Trình bày T4'!B:B,1,0)</f>
        <v>110000435</v>
      </c>
      <c r="L54" s="32"/>
    </row>
    <row r="55" spans="1:12">
      <c r="A55" s="31" t="s">
        <v>182</v>
      </c>
      <c r="B55" s="29" t="s">
        <v>68</v>
      </c>
      <c r="C55" s="29" t="s">
        <v>4</v>
      </c>
      <c r="D55" s="30">
        <v>328610.7</v>
      </c>
      <c r="E55" s="30">
        <v>3175</v>
      </c>
      <c r="F55" s="30">
        <f t="shared" si="0"/>
        <v>331785.7</v>
      </c>
      <c r="G55" s="30" t="str">
        <f>IFERROR(_xlfn.XLOOKUP(A55,data!A:A,data!D:D)," ")</f>
        <v>Xơ sợi</v>
      </c>
      <c r="H55" s="30">
        <f>IFERROR(_xlfn.XLOOKUP(A55,data!A:A,data!E:E)," ")</f>
        <v>0</v>
      </c>
      <c r="I55" s="30">
        <v>90300</v>
      </c>
      <c r="J55" s="32">
        <f t="shared" si="1"/>
        <v>90300</v>
      </c>
      <c r="K55" s="29" t="str">
        <f>VLOOKUP(A55,'Trình bày T4'!B:B,1,0)</f>
        <v>110000436</v>
      </c>
      <c r="L55" s="32"/>
    </row>
    <row r="56" spans="1:12">
      <c r="A56" s="31" t="s">
        <v>183</v>
      </c>
      <c r="B56" s="29" t="s">
        <v>69</v>
      </c>
      <c r="C56" s="29" t="s">
        <v>4</v>
      </c>
      <c r="D56" s="30">
        <v>0</v>
      </c>
      <c r="E56" s="30">
        <v>5250</v>
      </c>
      <c r="F56" s="30">
        <f t="shared" si="0"/>
        <v>5250</v>
      </c>
      <c r="G56" s="30" t="str">
        <f>IFERROR(_xlfn.XLOOKUP(A56,data!A:A,data!D:D)," ")</f>
        <v>Vảy PP</v>
      </c>
      <c r="H56" s="30" t="str">
        <f>IFERROR(_xlfn.XLOOKUP(A56,data!A:A,data!E:E)," ")</f>
        <v>Trắng</v>
      </c>
      <c r="I56" s="30">
        <v>0</v>
      </c>
      <c r="J56" s="32">
        <f t="shared" si="1"/>
        <v>0</v>
      </c>
      <c r="K56" s="29" t="str">
        <f>VLOOKUP(A56,'Trình bày T4'!B:B,1,0)</f>
        <v>110000439</v>
      </c>
      <c r="L56" s="32"/>
    </row>
    <row r="57" spans="1:12">
      <c r="A57" s="31" t="s">
        <v>185</v>
      </c>
      <c r="B57" s="29" t="s">
        <v>71</v>
      </c>
      <c r="C57" s="29" t="s">
        <v>4</v>
      </c>
      <c r="D57" s="30">
        <v>2390.6</v>
      </c>
      <c r="E57" s="30">
        <v>2725</v>
      </c>
      <c r="F57" s="30">
        <f t="shared" si="0"/>
        <v>5115.6000000000004</v>
      </c>
      <c r="G57" s="30" t="str">
        <f>IFERROR(_xlfn.XLOOKUP(A57,data!A:A,data!D:D)," ")</f>
        <v>rPP</v>
      </c>
      <c r="H57" s="30">
        <f>IFERROR(_xlfn.XLOOKUP(A57,data!A:A,data!E:E)," ")</f>
        <v>0</v>
      </c>
      <c r="I57" s="30">
        <v>0</v>
      </c>
      <c r="J57" s="32">
        <f t="shared" si="1"/>
        <v>0</v>
      </c>
      <c r="K57" s="29" t="str">
        <f>VLOOKUP(A57,'Trình bày T4'!B:B,1,0)</f>
        <v>110000441</v>
      </c>
      <c r="L57" s="32"/>
    </row>
    <row r="58" spans="1:12">
      <c r="A58" s="31" t="s">
        <v>311</v>
      </c>
      <c r="B58" s="29" t="s">
        <v>309</v>
      </c>
      <c r="C58" s="29" t="s">
        <v>4</v>
      </c>
      <c r="D58" s="30">
        <v>450</v>
      </c>
      <c r="E58" s="30">
        <v>0</v>
      </c>
      <c r="F58" s="30">
        <f t="shared" si="0"/>
        <v>450</v>
      </c>
      <c r="G58" s="30" t="str">
        <f>IFERROR(_xlfn.XLOOKUP(A58,data!A:A,data!D:D)," ")</f>
        <v xml:space="preserve"> </v>
      </c>
      <c r="H58" s="30" t="str">
        <f>IFERROR(_xlfn.XLOOKUP(A58,data!A:A,data!E:E)," ")</f>
        <v xml:space="preserve"> </v>
      </c>
      <c r="I58" s="30">
        <v>0</v>
      </c>
      <c r="J58" s="32">
        <f t="shared" si="1"/>
        <v>0</v>
      </c>
      <c r="K58" s="29" t="e">
        <f>VLOOKUP(A58,'Trình bày T4'!B:B,1,0)</f>
        <v>#N/A</v>
      </c>
      <c r="L58" s="32"/>
    </row>
    <row r="59" spans="1:12">
      <c r="A59" s="31" t="s">
        <v>280</v>
      </c>
      <c r="B59" s="29" t="s">
        <v>281</v>
      </c>
      <c r="C59" s="29" t="s">
        <v>4</v>
      </c>
      <c r="D59" s="30">
        <v>1749</v>
      </c>
      <c r="E59" s="30">
        <v>0</v>
      </c>
      <c r="F59" s="30">
        <f t="shared" si="0"/>
        <v>1749</v>
      </c>
      <c r="G59" s="30" t="str">
        <f>IFERROR(_xlfn.XLOOKUP(A59,data!A:A,data!D:D)," ")</f>
        <v>HD thổi</v>
      </c>
      <c r="H59" s="30" t="str">
        <f>IFERROR(_xlfn.XLOOKUP(A59,data!A:A,data!E:E)," ")</f>
        <v>Trong</v>
      </c>
      <c r="I59" s="30">
        <v>150</v>
      </c>
      <c r="J59" s="32">
        <f t="shared" si="1"/>
        <v>150</v>
      </c>
      <c r="K59" s="29" t="str">
        <f>VLOOKUP(A59,'Trình bày T4'!B:B,1,0)</f>
        <v>110000443</v>
      </c>
      <c r="L59" s="32"/>
    </row>
    <row r="60" spans="1:12">
      <c r="A60" s="31" t="s">
        <v>186</v>
      </c>
      <c r="B60" s="29" t="s">
        <v>72</v>
      </c>
      <c r="C60" s="29" t="s">
        <v>4</v>
      </c>
      <c r="D60" s="30">
        <v>0</v>
      </c>
      <c r="E60" s="30">
        <v>18243</v>
      </c>
      <c r="F60" s="30">
        <f t="shared" si="0"/>
        <v>18243</v>
      </c>
      <c r="G60" s="30">
        <f>IFERROR(_xlfn.XLOOKUP(A60,data!A:A,data!D:D)," ")</f>
        <v>0</v>
      </c>
      <c r="H60" s="30">
        <f>IFERROR(_xlfn.XLOOKUP(A60,data!A:A,data!E:E)," ")</f>
        <v>0</v>
      </c>
      <c r="I60" s="30">
        <v>0</v>
      </c>
      <c r="J60" s="32">
        <f t="shared" si="1"/>
        <v>0</v>
      </c>
      <c r="K60" s="29" t="e">
        <f>VLOOKUP(A60,'Trình bày T4'!B:B,1,0)</f>
        <v>#N/A</v>
      </c>
      <c r="L60" s="32"/>
    </row>
    <row r="61" spans="1:12">
      <c r="A61" s="31" t="s">
        <v>188</v>
      </c>
      <c r="B61" s="29" t="s">
        <v>74</v>
      </c>
      <c r="C61" s="29" t="s">
        <v>4</v>
      </c>
      <c r="D61" s="30">
        <v>0</v>
      </c>
      <c r="E61" s="30">
        <v>760</v>
      </c>
      <c r="F61" s="30">
        <f t="shared" si="0"/>
        <v>760</v>
      </c>
      <c r="G61" s="30">
        <f>IFERROR(_xlfn.XLOOKUP(A61,data!A:A,data!D:D)," ")</f>
        <v>0</v>
      </c>
      <c r="H61" s="30">
        <f>IFERROR(_xlfn.XLOOKUP(A61,data!A:A,data!E:E)," ")</f>
        <v>0</v>
      </c>
      <c r="I61" s="30">
        <v>0</v>
      </c>
      <c r="J61" s="32">
        <f t="shared" si="1"/>
        <v>0</v>
      </c>
      <c r="K61" s="29" t="e">
        <f>VLOOKUP(A61,'Trình bày T4'!B:B,1,0)</f>
        <v>#N/A</v>
      </c>
      <c r="L61" s="32"/>
    </row>
    <row r="62" spans="1:12">
      <c r="A62" s="31" t="s">
        <v>191</v>
      </c>
      <c r="B62" s="29" t="s">
        <v>77</v>
      </c>
      <c r="C62" s="29" t="s">
        <v>4</v>
      </c>
      <c r="D62" s="30">
        <v>0</v>
      </c>
      <c r="E62" s="30">
        <v>943</v>
      </c>
      <c r="F62" s="30">
        <f t="shared" si="0"/>
        <v>943</v>
      </c>
      <c r="G62" s="30">
        <f>IFERROR(_xlfn.XLOOKUP(A62,data!A:A,data!D:D)," ")</f>
        <v>0</v>
      </c>
      <c r="H62" s="30">
        <f>IFERROR(_xlfn.XLOOKUP(A62,data!A:A,data!E:E)," ")</f>
        <v>0</v>
      </c>
      <c r="I62" s="30">
        <v>0</v>
      </c>
      <c r="J62" s="32">
        <f t="shared" si="1"/>
        <v>0</v>
      </c>
      <c r="K62" s="29" t="e">
        <f>VLOOKUP(A62,'Trình bày T4'!B:B,1,0)</f>
        <v>#N/A</v>
      </c>
      <c r="L62" s="32"/>
    </row>
    <row r="63" spans="1:12">
      <c r="A63" s="31" t="s">
        <v>196</v>
      </c>
      <c r="B63" s="29" t="s">
        <v>82</v>
      </c>
      <c r="C63" s="29" t="s">
        <v>4</v>
      </c>
      <c r="D63" s="30">
        <v>0</v>
      </c>
      <c r="E63" s="30">
        <v>1223</v>
      </c>
      <c r="F63" s="30">
        <f t="shared" si="0"/>
        <v>1223</v>
      </c>
      <c r="G63" s="30">
        <f>IFERROR(_xlfn.XLOOKUP(A63,data!A:A,data!D:D)," ")</f>
        <v>0</v>
      </c>
      <c r="H63" s="30">
        <f>IFERROR(_xlfn.XLOOKUP(A63,data!A:A,data!E:E)," ")</f>
        <v>0</v>
      </c>
      <c r="I63" s="30">
        <v>0</v>
      </c>
      <c r="J63" s="32">
        <f t="shared" si="1"/>
        <v>0</v>
      </c>
      <c r="K63" s="29" t="e">
        <f>VLOOKUP(A63,'Trình bày T4'!B:B,1,0)</f>
        <v>#N/A</v>
      </c>
      <c r="L63" s="32"/>
    </row>
    <row r="64" spans="1:12">
      <c r="A64" s="31" t="s">
        <v>200</v>
      </c>
      <c r="B64" s="29" t="s">
        <v>86</v>
      </c>
      <c r="C64" s="29" t="s">
        <v>4</v>
      </c>
      <c r="D64" s="30">
        <v>90593</v>
      </c>
      <c r="E64" s="30">
        <v>0</v>
      </c>
      <c r="F64" s="30">
        <f t="shared" si="0"/>
        <v>90593</v>
      </c>
      <c r="G64" s="30" t="str">
        <f>IFERROR(_xlfn.XLOOKUP(A64,data!A:A,data!D:D)," ")</f>
        <v>Xơ sợi</v>
      </c>
      <c r="H64" s="30">
        <f>IFERROR(_xlfn.XLOOKUP(A64,data!A:A,data!E:E)," ")</f>
        <v>0</v>
      </c>
      <c r="I64" s="30">
        <v>0</v>
      </c>
      <c r="J64" s="32">
        <f t="shared" si="1"/>
        <v>0</v>
      </c>
      <c r="K64" s="29" t="str">
        <f>VLOOKUP(A64,'Trình bày T4'!B:B,1,0)</f>
        <v>110000464</v>
      </c>
      <c r="L64" s="32"/>
    </row>
    <row r="65" spans="1:12">
      <c r="A65" s="31" t="s">
        <v>201</v>
      </c>
      <c r="B65" s="29" t="s">
        <v>87</v>
      </c>
      <c r="C65" s="29" t="s">
        <v>4</v>
      </c>
      <c r="D65" s="30">
        <v>16099</v>
      </c>
      <c r="E65" s="30">
        <v>0</v>
      </c>
      <c r="F65" s="30">
        <f t="shared" si="0"/>
        <v>16099</v>
      </c>
      <c r="G65" s="30" t="str">
        <f>IFERROR(_xlfn.XLOOKUP(A65,data!A:A,data!D:D)," ")</f>
        <v>Xơ sợi</v>
      </c>
      <c r="H65" s="30">
        <f>IFERROR(_xlfn.XLOOKUP(A65,data!A:A,data!E:E)," ")</f>
        <v>0</v>
      </c>
      <c r="I65" s="30">
        <v>0</v>
      </c>
      <c r="J65" s="32">
        <f t="shared" si="1"/>
        <v>0</v>
      </c>
      <c r="K65" s="29" t="str">
        <f>VLOOKUP(A65,'Trình bày T4'!B:B,1,0)</f>
        <v>110000466</v>
      </c>
      <c r="L65" s="32"/>
    </row>
    <row r="66" spans="1:12">
      <c r="A66" s="31" t="s">
        <v>202</v>
      </c>
      <c r="B66" s="29" t="s">
        <v>88</v>
      </c>
      <c r="C66" s="29" t="s">
        <v>4</v>
      </c>
      <c r="D66" s="30">
        <v>58250</v>
      </c>
      <c r="E66" s="30">
        <v>8800</v>
      </c>
      <c r="F66" s="30">
        <f t="shared" si="0"/>
        <v>67050</v>
      </c>
      <c r="G66" s="30" t="str">
        <f>IFERROR(_xlfn.XLOOKUP(A66,data!A:A,data!D:D)," ")</f>
        <v>rPET</v>
      </c>
      <c r="H66" s="30">
        <f>IFERROR(_xlfn.XLOOKUP(A66,data!A:A,data!E:E)," ")</f>
        <v>0</v>
      </c>
      <c r="I66" s="30">
        <v>0</v>
      </c>
      <c r="J66" s="32">
        <f t="shared" si="1"/>
        <v>0</v>
      </c>
      <c r="K66" s="29" t="str">
        <f>VLOOKUP(A66,'Trình bày T4'!B:B,1,0)</f>
        <v>110000468</v>
      </c>
      <c r="L66" s="32"/>
    </row>
    <row r="67" spans="1:12">
      <c r="A67" s="31" t="s">
        <v>203</v>
      </c>
      <c r="B67" s="29" t="s">
        <v>89</v>
      </c>
      <c r="C67" s="29" t="s">
        <v>4</v>
      </c>
      <c r="D67" s="30">
        <v>4950</v>
      </c>
      <c r="E67" s="30">
        <v>750</v>
      </c>
      <c r="F67" s="30">
        <f t="shared" si="0"/>
        <v>5700</v>
      </c>
      <c r="G67" s="30" t="str">
        <f>IFERROR(_xlfn.XLOOKUP(A67,data!A:A,data!D:D)," ")</f>
        <v>Vảy HD ép</v>
      </c>
      <c r="H67" s="30" t="str">
        <f>IFERROR(_xlfn.XLOOKUP(A67,data!A:A,data!E:E)," ")</f>
        <v>Dương</v>
      </c>
      <c r="I67" s="30">
        <v>0</v>
      </c>
      <c r="J67" s="32">
        <f t="shared" si="1"/>
        <v>0</v>
      </c>
      <c r="K67" s="29" t="str">
        <f>VLOOKUP(A67,'Trình bày T4'!B:B,1,0)</f>
        <v>110000469</v>
      </c>
      <c r="L67" s="32"/>
    </row>
    <row r="68" spans="1:12">
      <c r="A68" s="31" t="s">
        <v>282</v>
      </c>
      <c r="B68" s="29" t="s">
        <v>283</v>
      </c>
      <c r="C68" s="29" t="s">
        <v>4</v>
      </c>
      <c r="D68" s="30">
        <v>200</v>
      </c>
      <c r="E68" s="30">
        <v>1300</v>
      </c>
      <c r="F68" s="30">
        <f t="shared" ref="F68:F86" si="2">+D68+E68</f>
        <v>1500</v>
      </c>
      <c r="G68" s="30" t="str">
        <f>IFERROR(_xlfn.XLOOKUP(A68,data!A:A,data!D:D)," ")</f>
        <v>rPP</v>
      </c>
      <c r="H68" s="30" t="str">
        <f>IFERROR(_xlfn.XLOOKUP(A68,data!A:A,data!E:E)," ")</f>
        <v>Dương</v>
      </c>
      <c r="I68" s="30">
        <v>0</v>
      </c>
      <c r="J68" s="32">
        <f t="shared" ref="J68:J90" si="3">IFERROR(I68/1,0)</f>
        <v>0</v>
      </c>
      <c r="K68" s="29" t="str">
        <f>VLOOKUP(A68,'Trình bày T4'!B:B,1,0)</f>
        <v>110000470</v>
      </c>
      <c r="L68" s="32"/>
    </row>
    <row r="69" spans="1:12">
      <c r="A69" s="31" t="s">
        <v>204</v>
      </c>
      <c r="B69" s="29" t="s">
        <v>90</v>
      </c>
      <c r="C69" s="29" t="s">
        <v>4</v>
      </c>
      <c r="D69" s="30">
        <v>20697</v>
      </c>
      <c r="E69" s="30">
        <v>0</v>
      </c>
      <c r="F69" s="30">
        <f t="shared" si="2"/>
        <v>20697</v>
      </c>
      <c r="G69" s="30" t="str">
        <f>IFERROR(_xlfn.XLOOKUP(A69,data!A:A,data!D:D)," ")</f>
        <v>rPP</v>
      </c>
      <c r="H69" s="30" t="str">
        <f>IFERROR(_xlfn.XLOOKUP(A69,data!A:A,data!E:E)," ")</f>
        <v>Dương</v>
      </c>
      <c r="I69" s="30">
        <v>18000</v>
      </c>
      <c r="J69" s="32">
        <f t="shared" si="3"/>
        <v>18000</v>
      </c>
      <c r="K69" s="29" t="str">
        <f>VLOOKUP(A69,'Trình bày T4'!B:B,1,0)</f>
        <v>110000471</v>
      </c>
      <c r="L69" s="32"/>
    </row>
    <row r="70" spans="1:12">
      <c r="A70" s="31" t="s">
        <v>205</v>
      </c>
      <c r="B70" s="29" t="s">
        <v>91</v>
      </c>
      <c r="C70" s="29" t="s">
        <v>4</v>
      </c>
      <c r="D70" s="30">
        <v>6000</v>
      </c>
      <c r="E70" s="30">
        <v>4125</v>
      </c>
      <c r="F70" s="30">
        <f t="shared" si="2"/>
        <v>10125</v>
      </c>
      <c r="G70" s="30" t="str">
        <f>IFERROR(_xlfn.XLOOKUP(A70,data!A:A,data!D:D)," ")</f>
        <v>rPP</v>
      </c>
      <c r="H70" s="30" t="str">
        <f>IFERROR(_xlfn.XLOOKUP(A70,data!A:A,data!E:E)," ")</f>
        <v>Xám</v>
      </c>
      <c r="I70" s="30">
        <v>6000</v>
      </c>
      <c r="J70" s="32">
        <f t="shared" si="3"/>
        <v>6000</v>
      </c>
      <c r="K70" s="29" t="str">
        <f>VLOOKUP(A70,'Trình bày T4'!B:B,1,0)</f>
        <v>110000472</v>
      </c>
      <c r="L70" s="32"/>
    </row>
    <row r="71" spans="1:12">
      <c r="A71" s="31" t="s">
        <v>312</v>
      </c>
      <c r="B71" s="29" t="s">
        <v>310</v>
      </c>
      <c r="C71" s="29" t="s">
        <v>4</v>
      </c>
      <c r="D71" s="30">
        <v>0</v>
      </c>
      <c r="E71" s="30">
        <v>4902</v>
      </c>
      <c r="F71" s="30">
        <f t="shared" si="2"/>
        <v>4902</v>
      </c>
      <c r="G71" s="30" t="str">
        <f>IFERROR(_xlfn.XLOOKUP(A71,data!A:A,data!D:D)," ")</f>
        <v xml:space="preserve"> </v>
      </c>
      <c r="H71" s="30" t="str">
        <f>IFERROR(_xlfn.XLOOKUP(A71,data!A:A,data!E:E)," ")</f>
        <v xml:space="preserve"> </v>
      </c>
      <c r="I71" s="30">
        <v>0</v>
      </c>
      <c r="J71" s="32">
        <f t="shared" si="3"/>
        <v>0</v>
      </c>
      <c r="K71" s="29" t="e">
        <f>VLOOKUP(A71,'Trình bày T4'!B:B,1,0)</f>
        <v>#N/A</v>
      </c>
      <c r="L71" s="32"/>
    </row>
    <row r="72" spans="1:12">
      <c r="A72" s="31" t="s">
        <v>207</v>
      </c>
      <c r="B72" s="33" t="s">
        <v>93</v>
      </c>
      <c r="C72" s="29" t="s">
        <v>4</v>
      </c>
      <c r="D72" s="30">
        <v>334970</v>
      </c>
      <c r="E72" s="30">
        <v>1375</v>
      </c>
      <c r="F72" s="30">
        <f t="shared" si="2"/>
        <v>336345</v>
      </c>
      <c r="G72" s="30" t="str">
        <f>IFERROR(_xlfn.XLOOKUP(A72,data!A:A,data!D:D)," ")</f>
        <v>HD thổi</v>
      </c>
      <c r="H72" s="30" t="str">
        <f>IFERROR(_xlfn.XLOOKUP(A72,data!A:A,data!E:E)," ")</f>
        <v>Trong</v>
      </c>
      <c r="I72" s="30">
        <v>33000</v>
      </c>
      <c r="J72" s="32">
        <f t="shared" si="3"/>
        <v>33000</v>
      </c>
      <c r="K72" s="29" t="str">
        <f>VLOOKUP(A72,'Trình bày T4'!B:B,1,0)</f>
        <v>110000481</v>
      </c>
      <c r="L72" s="32"/>
    </row>
    <row r="73" spans="1:12">
      <c r="A73" s="31" t="s">
        <v>208</v>
      </c>
      <c r="B73" s="29" t="s">
        <v>94</v>
      </c>
      <c r="C73" s="29" t="s">
        <v>4</v>
      </c>
      <c r="D73" s="30">
        <v>3637</v>
      </c>
      <c r="E73" s="30">
        <v>0</v>
      </c>
      <c r="F73" s="30">
        <f t="shared" si="2"/>
        <v>3637</v>
      </c>
      <c r="G73" s="30" t="str">
        <f>IFERROR(_xlfn.XLOOKUP(A73,data!A:A,data!D:D)," ")</f>
        <v>rPP</v>
      </c>
      <c r="H73" s="30" t="str">
        <f>IFERROR(_xlfn.XLOOKUP(A73,data!A:A,data!E:E)," ")</f>
        <v>Trắng</v>
      </c>
      <c r="I73" s="30">
        <v>25</v>
      </c>
      <c r="J73" s="32">
        <f t="shared" si="3"/>
        <v>25</v>
      </c>
      <c r="K73" s="29" t="str">
        <f>VLOOKUP(A73,'Trình bày T4'!B:B,1,0)</f>
        <v>110000482</v>
      </c>
      <c r="L73" s="32"/>
    </row>
    <row r="74" spans="1:12">
      <c r="A74" s="31" t="s">
        <v>209</v>
      </c>
      <c r="B74" s="29" t="s">
        <v>95</v>
      </c>
      <c r="C74" s="29" t="s">
        <v>4</v>
      </c>
      <c r="D74" s="30">
        <v>0</v>
      </c>
      <c r="E74" s="30">
        <v>1035.5</v>
      </c>
      <c r="F74" s="30">
        <f t="shared" si="2"/>
        <v>1035.5</v>
      </c>
      <c r="G74" s="30" t="str">
        <f>IFERROR(_xlfn.XLOOKUP(A74,data!A:A,data!D:D)," ")</f>
        <v>rPET</v>
      </c>
      <c r="H74" s="30">
        <f>IFERROR(_xlfn.XLOOKUP(A74,data!A:A,data!E:E)," ")</f>
        <v>0</v>
      </c>
      <c r="I74" s="30">
        <v>6600</v>
      </c>
      <c r="J74" s="32">
        <f t="shared" si="3"/>
        <v>6600</v>
      </c>
      <c r="K74" s="29" t="str">
        <f>VLOOKUP(A74,'Trình bày T4'!B:B,1,0)</f>
        <v>110000483</v>
      </c>
      <c r="L74" s="32"/>
    </row>
    <row r="75" spans="1:12">
      <c r="A75" s="31" t="s">
        <v>210</v>
      </c>
      <c r="B75" s="29" t="s">
        <v>96</v>
      </c>
      <c r="C75" s="29" t="s">
        <v>4</v>
      </c>
      <c r="D75" s="30">
        <v>2200</v>
      </c>
      <c r="E75" s="30">
        <v>0</v>
      </c>
      <c r="F75" s="30">
        <f t="shared" si="2"/>
        <v>2200</v>
      </c>
      <c r="G75" s="30" t="str">
        <f>IFERROR(_xlfn.XLOOKUP(A75,data!A:A,data!D:D)," ")</f>
        <v>rPET</v>
      </c>
      <c r="H75" s="30">
        <f>IFERROR(_xlfn.XLOOKUP(A75,data!A:A,data!E:E)," ")</f>
        <v>0</v>
      </c>
      <c r="I75" s="30">
        <v>0</v>
      </c>
      <c r="J75" s="32">
        <f t="shared" si="3"/>
        <v>0</v>
      </c>
      <c r="K75" s="29" t="e">
        <f>VLOOKUP(A75,'Trình bày T4'!B:B,1,0)</f>
        <v>#N/A</v>
      </c>
      <c r="L75" s="32"/>
    </row>
    <row r="76" spans="1:12">
      <c r="A76" s="31" t="s">
        <v>212</v>
      </c>
      <c r="B76" s="29" t="s">
        <v>98</v>
      </c>
      <c r="C76" s="29" t="s">
        <v>4</v>
      </c>
      <c r="D76" s="30">
        <v>16500</v>
      </c>
      <c r="E76" s="30">
        <v>0</v>
      </c>
      <c r="F76" s="30">
        <f t="shared" si="2"/>
        <v>16500</v>
      </c>
      <c r="G76" s="30" t="str">
        <f>IFERROR(_xlfn.XLOOKUP(A76,data!A:A,data!D:D)," ")</f>
        <v>rPET</v>
      </c>
      <c r="H76" s="30">
        <f>IFERROR(_xlfn.XLOOKUP(A76,data!A:A,data!E:E)," ")</f>
        <v>0</v>
      </c>
      <c r="I76" s="30">
        <v>0</v>
      </c>
      <c r="J76" s="32">
        <f t="shared" si="3"/>
        <v>0</v>
      </c>
      <c r="K76" s="29" t="e">
        <f>VLOOKUP(A76,'Trình bày T4'!B:B,1,0)</f>
        <v>#N/A</v>
      </c>
      <c r="L76" s="32"/>
    </row>
    <row r="77" spans="1:12">
      <c r="A77" s="31" t="s">
        <v>213</v>
      </c>
      <c r="B77" s="29" t="s">
        <v>99</v>
      </c>
      <c r="C77" s="29" t="s">
        <v>4</v>
      </c>
      <c r="D77" s="30">
        <v>12252</v>
      </c>
      <c r="E77" s="30">
        <v>0</v>
      </c>
      <c r="F77" s="30">
        <f t="shared" si="2"/>
        <v>12252</v>
      </c>
      <c r="G77" s="30" t="str">
        <f>IFERROR(_xlfn.XLOOKUP(A77,data!A:A,data!D:D)," ")</f>
        <v>rPET</v>
      </c>
      <c r="H77" s="30">
        <f>IFERROR(_xlfn.XLOOKUP(A77,data!A:A,data!E:E)," ")</f>
        <v>0</v>
      </c>
      <c r="I77" s="30">
        <v>0</v>
      </c>
      <c r="J77" s="32">
        <f t="shared" si="3"/>
        <v>0</v>
      </c>
      <c r="K77" s="29" t="e">
        <f>VLOOKUP(A77,'Trình bày T4'!B:B,1,0)</f>
        <v>#N/A</v>
      </c>
      <c r="L77" s="32"/>
    </row>
    <row r="78" spans="1:12">
      <c r="A78" s="31" t="s">
        <v>214</v>
      </c>
      <c r="B78" s="29" t="s">
        <v>100</v>
      </c>
      <c r="C78" s="29" t="s">
        <v>4</v>
      </c>
      <c r="D78" s="30">
        <v>725</v>
      </c>
      <c r="E78" s="30">
        <v>0</v>
      </c>
      <c r="F78" s="30">
        <f t="shared" si="2"/>
        <v>725</v>
      </c>
      <c r="G78" s="30" t="str">
        <f>IFERROR(_xlfn.XLOOKUP(A78,data!A:A,data!D:D)," ")</f>
        <v>rPET</v>
      </c>
      <c r="H78" s="30">
        <f>IFERROR(_xlfn.XLOOKUP(A78,data!A:A,data!E:E)," ")</f>
        <v>0</v>
      </c>
      <c r="I78" s="30">
        <v>0</v>
      </c>
      <c r="J78" s="32">
        <f t="shared" si="3"/>
        <v>0</v>
      </c>
      <c r="K78" s="29" t="e">
        <f>VLOOKUP(A78,'Trình bày T4'!B:B,1,0)</f>
        <v>#N/A</v>
      </c>
      <c r="L78" s="32"/>
    </row>
    <row r="79" spans="1:12">
      <c r="A79" s="31" t="s">
        <v>216</v>
      </c>
      <c r="B79" s="29" t="s">
        <v>102</v>
      </c>
      <c r="C79" s="29" t="s">
        <v>4</v>
      </c>
      <c r="D79" s="30">
        <v>239423.7</v>
      </c>
      <c r="E79" s="30">
        <v>722</v>
      </c>
      <c r="F79" s="30">
        <f t="shared" si="2"/>
        <v>240145.7</v>
      </c>
      <c r="G79" s="30" t="str">
        <f>IFERROR(_xlfn.XLOOKUP(A79,data!A:A,data!D:D)," ")</f>
        <v>rPET</v>
      </c>
      <c r="H79" s="30">
        <f>IFERROR(_xlfn.XLOOKUP(A79,data!A:A,data!E:E)," ")</f>
        <v>0</v>
      </c>
      <c r="I79" s="30">
        <v>0</v>
      </c>
      <c r="J79" s="32">
        <f t="shared" si="3"/>
        <v>0</v>
      </c>
      <c r="K79" s="29" t="e">
        <f>VLOOKUP(A79,'Trình bày T4'!B:B,1,0)</f>
        <v>#N/A</v>
      </c>
      <c r="L79" s="32"/>
    </row>
    <row r="80" spans="1:12">
      <c r="A80" s="31" t="s">
        <v>217</v>
      </c>
      <c r="B80" s="29" t="s">
        <v>103</v>
      </c>
      <c r="C80" s="29" t="s">
        <v>4</v>
      </c>
      <c r="D80" s="30">
        <v>25298</v>
      </c>
      <c r="E80" s="30">
        <v>0</v>
      </c>
      <c r="F80" s="30">
        <f t="shared" si="2"/>
        <v>25298</v>
      </c>
      <c r="G80" s="30" t="str">
        <f>IFERROR(_xlfn.XLOOKUP(A80,data!A:A,data!D:D)," ")</f>
        <v>rPET</v>
      </c>
      <c r="H80" s="30">
        <f>IFERROR(_xlfn.XLOOKUP(A80,data!A:A,data!E:E)," ")</f>
        <v>0</v>
      </c>
      <c r="I80" s="30">
        <v>0</v>
      </c>
      <c r="J80" s="32">
        <f t="shared" si="3"/>
        <v>0</v>
      </c>
      <c r="K80" s="29" t="e">
        <f>VLOOKUP(A80,'Trình bày T4'!B:B,1,0)</f>
        <v>#N/A</v>
      </c>
      <c r="L80" s="32"/>
    </row>
    <row r="81" spans="1:12">
      <c r="A81" s="31" t="s">
        <v>218</v>
      </c>
      <c r="B81" s="33" t="s">
        <v>104</v>
      </c>
      <c r="C81" s="29" t="s">
        <v>4</v>
      </c>
      <c r="D81" s="30">
        <v>19853</v>
      </c>
      <c r="E81" s="30">
        <v>225</v>
      </c>
      <c r="F81" s="30">
        <f t="shared" si="2"/>
        <v>20078</v>
      </c>
      <c r="G81" s="30" t="str">
        <f>IFERROR(_xlfn.XLOOKUP(A81,data!A:A,data!D:D)," ")</f>
        <v>HD thổi</v>
      </c>
      <c r="H81" s="30" t="str">
        <f>IFERROR(_xlfn.XLOOKUP(A81,data!A:A,data!E:E)," ")</f>
        <v>Trắng</v>
      </c>
      <c r="I81" s="30">
        <v>0</v>
      </c>
      <c r="J81" s="32">
        <f t="shared" si="3"/>
        <v>0</v>
      </c>
      <c r="K81" s="29" t="str">
        <f>VLOOKUP(A81,'Trình bày T4'!B:B,1,0)</f>
        <v>110000495</v>
      </c>
      <c r="L81" s="32"/>
    </row>
    <row r="82" spans="1:12">
      <c r="A82" s="31" t="s">
        <v>219</v>
      </c>
      <c r="B82" s="33" t="s">
        <v>105</v>
      </c>
      <c r="C82" s="29" t="s">
        <v>4</v>
      </c>
      <c r="D82" s="30">
        <v>1448</v>
      </c>
      <c r="E82" s="30">
        <v>0</v>
      </c>
      <c r="F82" s="30">
        <f t="shared" si="2"/>
        <v>1448</v>
      </c>
      <c r="G82" s="30" t="str">
        <f>IFERROR(_xlfn.XLOOKUP(A82,data!A:A,data!D:D)," ")</f>
        <v>HD ép</v>
      </c>
      <c r="H82" s="30" t="str">
        <f>IFERROR(_xlfn.XLOOKUP(A82,data!A:A,data!E:E)," ")</f>
        <v>Dương</v>
      </c>
      <c r="I82" s="30">
        <v>0</v>
      </c>
      <c r="J82" s="32">
        <f t="shared" si="3"/>
        <v>0</v>
      </c>
      <c r="K82" s="29" t="str">
        <f>VLOOKUP(A82,'Trình bày T4'!B:B,1,0)</f>
        <v>110000496</v>
      </c>
      <c r="L82" s="32"/>
    </row>
    <row r="83" spans="1:12">
      <c r="A83" s="31" t="s">
        <v>221</v>
      </c>
      <c r="B83" s="29" t="s">
        <v>107</v>
      </c>
      <c r="C83" s="29" t="s">
        <v>4</v>
      </c>
      <c r="D83" s="30">
        <v>34030</v>
      </c>
      <c r="E83" s="30">
        <v>0</v>
      </c>
      <c r="F83" s="30">
        <f t="shared" si="2"/>
        <v>34030</v>
      </c>
      <c r="G83" s="30" t="str">
        <f>IFERROR(_xlfn.XLOOKUP(A83,data!A:A,data!D:D)," ")</f>
        <v>rPET</v>
      </c>
      <c r="H83" s="30">
        <f>IFERROR(_xlfn.XLOOKUP(A83,data!A:A,data!E:E)," ")</f>
        <v>0</v>
      </c>
      <c r="I83" s="30">
        <v>0</v>
      </c>
      <c r="J83" s="32">
        <f t="shared" si="3"/>
        <v>0</v>
      </c>
      <c r="K83" s="29" t="str">
        <f>VLOOKUP(A83,'Trình bày T4'!B:B,1,0)</f>
        <v>110000499</v>
      </c>
      <c r="L83" s="32"/>
    </row>
    <row r="84" spans="1:12">
      <c r="A84" s="31" t="s">
        <v>222</v>
      </c>
      <c r="B84" s="29" t="s">
        <v>108</v>
      </c>
      <c r="C84" s="29" t="s">
        <v>4</v>
      </c>
      <c r="D84" s="30">
        <v>17597</v>
      </c>
      <c r="E84" s="30">
        <v>0</v>
      </c>
      <c r="F84" s="30">
        <f t="shared" si="2"/>
        <v>17597</v>
      </c>
      <c r="G84" s="30" t="str">
        <f>IFERROR(_xlfn.XLOOKUP(A84,data!A:A,data!D:D)," ")</f>
        <v>rPET</v>
      </c>
      <c r="H84" s="30">
        <f>IFERROR(_xlfn.XLOOKUP(A84,data!A:A,data!E:E)," ")</f>
        <v>0</v>
      </c>
      <c r="I84" s="30">
        <v>0</v>
      </c>
      <c r="J84" s="32">
        <f t="shared" si="3"/>
        <v>0</v>
      </c>
      <c r="K84" s="29" t="e">
        <f>VLOOKUP(A84,'Trình bày T4'!B:B,1,0)</f>
        <v>#N/A</v>
      </c>
      <c r="L84" s="32"/>
    </row>
    <row r="85" spans="1:12">
      <c r="A85" s="31" t="s">
        <v>223</v>
      </c>
      <c r="B85" s="29" t="s">
        <v>109</v>
      </c>
      <c r="C85" s="29" t="s">
        <v>4</v>
      </c>
      <c r="D85" s="30">
        <v>3060</v>
      </c>
      <c r="E85" s="30">
        <v>0</v>
      </c>
      <c r="F85" s="30">
        <f t="shared" si="2"/>
        <v>3060</v>
      </c>
      <c r="G85" s="30" t="str">
        <f>IFERROR(_xlfn.XLOOKUP(A85,data!A:A,data!D:D)," ")</f>
        <v>LDPE</v>
      </c>
      <c r="H85" s="30">
        <f>IFERROR(_xlfn.XLOOKUP(A85,data!A:A,data!E:E)," ")</f>
        <v>0</v>
      </c>
      <c r="I85" s="30">
        <v>0</v>
      </c>
      <c r="J85" s="32">
        <f t="shared" si="3"/>
        <v>0</v>
      </c>
      <c r="K85" s="29" t="e">
        <f>VLOOKUP(A85,'Trình bày T4'!B:B,1,0)</f>
        <v>#N/A</v>
      </c>
      <c r="L85" s="32"/>
    </row>
    <row r="86" spans="1:12">
      <c r="A86" s="31" t="s">
        <v>277</v>
      </c>
      <c r="B86" s="29" t="s">
        <v>278</v>
      </c>
      <c r="C86" s="29" t="s">
        <v>4</v>
      </c>
      <c r="D86" s="30">
        <v>65840</v>
      </c>
      <c r="E86" s="30">
        <v>0</v>
      </c>
      <c r="F86" s="30">
        <f t="shared" si="2"/>
        <v>65840</v>
      </c>
      <c r="G86" s="30" t="str">
        <f>IFERROR(_xlfn.XLOOKUP(A86,data!A:A,data!D:D)," ")</f>
        <v>rPET</v>
      </c>
      <c r="H86" s="30">
        <f>IFERROR(_xlfn.XLOOKUP(A86,data!A:A,data!E:E)," ")</f>
        <v>0</v>
      </c>
      <c r="I86" s="30">
        <v>0</v>
      </c>
      <c r="J86" s="32">
        <f t="shared" si="3"/>
        <v>0</v>
      </c>
      <c r="K86" s="29" t="str">
        <f>VLOOKUP(A86,'Trình bày T4'!B:B,1,0)</f>
        <v>110000506</v>
      </c>
      <c r="L86" s="32"/>
    </row>
    <row r="87" spans="1:12">
      <c r="A87" s="34" t="s">
        <v>298</v>
      </c>
      <c r="B87" s="35" t="s">
        <v>302</v>
      </c>
      <c r="C87" s="29" t="s">
        <v>4</v>
      </c>
      <c r="D87" s="30">
        <v>1392</v>
      </c>
      <c r="E87" s="30">
        <v>0</v>
      </c>
      <c r="F87" s="30">
        <f t="shared" ref="F87:F90" si="4">+D87+E87</f>
        <v>1392</v>
      </c>
      <c r="G87" s="30" t="str">
        <f>IFERROR(_xlfn.XLOOKUP(A87,data!A:A,data!D:D)," ")</f>
        <v>rPET</v>
      </c>
      <c r="H87" s="30">
        <f>IFERROR(_xlfn.XLOOKUP(A87,data!A:A,data!E:E)," ")</f>
        <v>0</v>
      </c>
      <c r="I87" s="30">
        <v>0</v>
      </c>
      <c r="J87" s="32">
        <f t="shared" si="3"/>
        <v>0</v>
      </c>
      <c r="K87" s="29" t="e">
        <f>VLOOKUP(A87,'Trình bày T4'!B:B,1,0)</f>
        <v>#N/A</v>
      </c>
    </row>
    <row r="88" spans="1:12">
      <c r="A88" s="29" t="s">
        <v>299</v>
      </c>
      <c r="B88" s="29" t="s">
        <v>297</v>
      </c>
      <c r="C88" s="29" t="s">
        <v>4</v>
      </c>
      <c r="D88" s="30">
        <v>518.70000000000005</v>
      </c>
      <c r="E88" s="30">
        <v>0</v>
      </c>
      <c r="F88" s="30">
        <f t="shared" si="4"/>
        <v>518.70000000000005</v>
      </c>
      <c r="G88" s="30" t="str">
        <f>IFERROR(_xlfn.XLOOKUP(A88,data!A:A,data!D:D)," ")</f>
        <v>rPP</v>
      </c>
      <c r="H88" s="30" t="str">
        <f>IFERROR(_xlfn.XLOOKUP(A88,data!A:A,data!E:E)," ")</f>
        <v>Trắng</v>
      </c>
      <c r="I88" s="30">
        <v>0</v>
      </c>
      <c r="J88" s="32">
        <f t="shared" si="3"/>
        <v>0</v>
      </c>
      <c r="K88" s="29" t="str">
        <f>VLOOKUP(A88,'Trình bày T4'!B:B,1,0)</f>
        <v>110000508</v>
      </c>
    </row>
    <row r="89" spans="1:12">
      <c r="A89" s="29" t="s">
        <v>304</v>
      </c>
      <c r="B89" s="29" t="s">
        <v>305</v>
      </c>
      <c r="C89" s="29" t="s">
        <v>4</v>
      </c>
      <c r="D89" s="30">
        <v>1225</v>
      </c>
      <c r="E89" s="30">
        <v>0</v>
      </c>
      <c r="F89" s="30">
        <f t="shared" si="4"/>
        <v>1225</v>
      </c>
      <c r="G89" s="30" t="str">
        <f>IFERROR(_xlfn.XLOOKUP(A89,data!A:A,data!D:D)," ")</f>
        <v>HD thổi</v>
      </c>
      <c r="H89" s="30" t="str">
        <f>IFERROR(_xlfn.XLOOKUP(A89,data!A:A,data!E:E)," ")</f>
        <v>Đen</v>
      </c>
      <c r="I89" s="30">
        <v>0</v>
      </c>
      <c r="J89" s="32">
        <f t="shared" si="3"/>
        <v>0</v>
      </c>
      <c r="K89" s="29" t="e">
        <f>VLOOKUP(A89,'Trình bày T4'!B:B,1,0)</f>
        <v>#N/A</v>
      </c>
    </row>
    <row r="90" spans="1:12">
      <c r="A90" s="29" t="s">
        <v>306</v>
      </c>
      <c r="B90" s="29" t="s">
        <v>307</v>
      </c>
      <c r="C90" s="29" t="s">
        <v>4</v>
      </c>
      <c r="D90" s="30">
        <v>32548</v>
      </c>
      <c r="E90" s="30">
        <v>0</v>
      </c>
      <c r="F90" s="30">
        <f t="shared" si="4"/>
        <v>32548</v>
      </c>
      <c r="G90" s="30" t="str">
        <f>IFERROR(_xlfn.XLOOKUP(A90,data!A:A,data!D:D)," ")</f>
        <v>Xơ sợi</v>
      </c>
      <c r="H90" s="30">
        <f>IFERROR(_xlfn.XLOOKUP(A90,data!A:A,data!E:E)," ")</f>
        <v>0</v>
      </c>
      <c r="I90" s="30">
        <v>0</v>
      </c>
      <c r="J90" s="32">
        <f t="shared" si="3"/>
        <v>0</v>
      </c>
      <c r="K90" s="29" t="e">
        <f>VLOOKUP(A90,'Trình bày T4'!B:B,1,0)</f>
        <v>#N/A</v>
      </c>
    </row>
  </sheetData>
  <autoFilter ref="A2:R90" xr:uid="{13A89E84-2634-4B88-A7A8-80D474A5A188}"/>
  <conditionalFormatting sqref="A1:A1048576">
    <cfRule type="duplicateValues" dxfId="4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4AFB-1507-40CE-A203-644F150F9106}">
  <dimension ref="A1:E117"/>
  <sheetViews>
    <sheetView workbookViewId="0">
      <pane xSplit="2" ySplit="1" topLeftCell="C15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E118" sqref="E118"/>
    </sheetView>
  </sheetViews>
  <sheetFormatPr defaultRowHeight="14.5"/>
  <cols>
    <col min="1" max="1" width="11.1796875" customWidth="1"/>
    <col min="2" max="2" width="27.54296875" bestFit="1" customWidth="1"/>
  </cols>
  <sheetData>
    <row r="1" spans="1:5">
      <c r="A1" s="6" t="s">
        <v>0</v>
      </c>
      <c r="B1" s="7" t="s">
        <v>1</v>
      </c>
      <c r="C1" s="7" t="s">
        <v>2</v>
      </c>
      <c r="D1" s="7" t="s">
        <v>110</v>
      </c>
      <c r="E1" s="7" t="s">
        <v>224</v>
      </c>
    </row>
    <row r="2" spans="1:5">
      <c r="A2" s="2" t="s">
        <v>148</v>
      </c>
      <c r="B2" s="1" t="s">
        <v>34</v>
      </c>
      <c r="C2" s="1" t="s">
        <v>4</v>
      </c>
      <c r="D2" s="1" t="s">
        <v>111</v>
      </c>
      <c r="E2" s="1"/>
    </row>
    <row r="3" spans="1:5">
      <c r="A3" s="2" t="s">
        <v>147</v>
      </c>
      <c r="B3" s="1" t="s">
        <v>33</v>
      </c>
      <c r="C3" s="1" t="s">
        <v>4</v>
      </c>
      <c r="D3" s="1" t="s">
        <v>111</v>
      </c>
      <c r="E3" s="1"/>
    </row>
    <row r="4" spans="1:5">
      <c r="A4" s="2" t="s">
        <v>130</v>
      </c>
      <c r="B4" s="3" t="s">
        <v>16</v>
      </c>
      <c r="C4" s="1" t="s">
        <v>4</v>
      </c>
      <c r="D4" s="1" t="s">
        <v>111</v>
      </c>
      <c r="E4" s="1"/>
    </row>
    <row r="5" spans="1:5">
      <c r="A5" s="2" t="s">
        <v>216</v>
      </c>
      <c r="B5" s="1" t="s">
        <v>102</v>
      </c>
      <c r="C5" s="1" t="s">
        <v>4</v>
      </c>
      <c r="D5" s="1" t="s">
        <v>111</v>
      </c>
      <c r="E5" s="1"/>
    </row>
    <row r="6" spans="1:5">
      <c r="A6" s="2" t="s">
        <v>131</v>
      </c>
      <c r="B6" s="3" t="s">
        <v>17</v>
      </c>
      <c r="C6" s="1" t="s">
        <v>4</v>
      </c>
      <c r="D6" s="1" t="s">
        <v>111</v>
      </c>
      <c r="E6" s="1"/>
    </row>
    <row r="7" spans="1:5">
      <c r="A7" s="2" t="s">
        <v>209</v>
      </c>
      <c r="B7" s="1" t="s">
        <v>95</v>
      </c>
      <c r="C7" s="1" t="s">
        <v>4</v>
      </c>
      <c r="D7" s="1" t="s">
        <v>111</v>
      </c>
      <c r="E7" s="1"/>
    </row>
    <row r="8" spans="1:5">
      <c r="A8" s="2" t="s">
        <v>126</v>
      </c>
      <c r="B8" s="1" t="s">
        <v>12</v>
      </c>
      <c r="C8" s="1" t="s">
        <v>4</v>
      </c>
      <c r="D8" s="1" t="s">
        <v>113</v>
      </c>
      <c r="E8" s="1" t="s">
        <v>230</v>
      </c>
    </row>
    <row r="9" spans="1:5">
      <c r="A9" s="2" t="s">
        <v>173</v>
      </c>
      <c r="B9" s="1" t="s">
        <v>59</v>
      </c>
      <c r="C9" s="1" t="s">
        <v>4</v>
      </c>
      <c r="D9" s="1" t="s">
        <v>113</v>
      </c>
      <c r="E9" s="1" t="s">
        <v>227</v>
      </c>
    </row>
    <row r="10" spans="1:5">
      <c r="A10" s="2" t="s">
        <v>145</v>
      </c>
      <c r="B10" s="1" t="s">
        <v>31</v>
      </c>
      <c r="C10" s="1" t="s">
        <v>4</v>
      </c>
      <c r="D10" s="1" t="s">
        <v>113</v>
      </c>
      <c r="E10" s="1" t="s">
        <v>230</v>
      </c>
    </row>
    <row r="11" spans="1:5">
      <c r="A11" s="2" t="s">
        <v>207</v>
      </c>
      <c r="B11" s="1" t="s">
        <v>93</v>
      </c>
      <c r="C11" s="1" t="s">
        <v>4</v>
      </c>
      <c r="D11" s="1" t="s">
        <v>113</v>
      </c>
      <c r="E11" s="1" t="s">
        <v>230</v>
      </c>
    </row>
    <row r="12" spans="1:5">
      <c r="A12" s="2" t="s">
        <v>127</v>
      </c>
      <c r="B12" s="1" t="s">
        <v>13</v>
      </c>
      <c r="C12" s="1" t="s">
        <v>4</v>
      </c>
      <c r="D12" s="1" t="s">
        <v>113</v>
      </c>
      <c r="E12" s="1" t="s">
        <v>229</v>
      </c>
    </row>
    <row r="13" spans="1:5">
      <c r="A13" s="2" t="s">
        <v>172</v>
      </c>
      <c r="B13" s="1" t="s">
        <v>58</v>
      </c>
      <c r="C13" s="1" t="s">
        <v>4</v>
      </c>
      <c r="D13" s="1" t="s">
        <v>113</v>
      </c>
      <c r="E13" s="1" t="s">
        <v>225</v>
      </c>
    </row>
    <row r="14" spans="1:5">
      <c r="A14" s="2" t="s">
        <v>151</v>
      </c>
      <c r="B14" s="1" t="s">
        <v>37</v>
      </c>
      <c r="C14" s="1" t="s">
        <v>4</v>
      </c>
      <c r="D14" s="1" t="s">
        <v>111</v>
      </c>
      <c r="E14" s="1"/>
    </row>
    <row r="15" spans="1:5">
      <c r="A15" s="2" t="s">
        <v>210</v>
      </c>
      <c r="B15" s="1" t="s">
        <v>96</v>
      </c>
      <c r="C15" s="1" t="s">
        <v>4</v>
      </c>
      <c r="D15" s="1" t="s">
        <v>111</v>
      </c>
      <c r="E15" s="1"/>
    </row>
    <row r="16" spans="1:5">
      <c r="A16" s="2" t="s">
        <v>123</v>
      </c>
      <c r="B16" s="1" t="s">
        <v>9</v>
      </c>
      <c r="C16" s="1" t="s">
        <v>4</v>
      </c>
      <c r="D16" s="1" t="s">
        <v>111</v>
      </c>
      <c r="E16" s="1"/>
    </row>
    <row r="17" spans="1:5">
      <c r="A17" s="2" t="s">
        <v>132</v>
      </c>
      <c r="B17" s="1" t="s">
        <v>18</v>
      </c>
      <c r="C17" s="1" t="s">
        <v>4</v>
      </c>
      <c r="D17" s="1" t="s">
        <v>111</v>
      </c>
      <c r="E17" s="1"/>
    </row>
    <row r="18" spans="1:5">
      <c r="A18" s="2" t="s">
        <v>134</v>
      </c>
      <c r="B18" s="1" t="s">
        <v>20</v>
      </c>
      <c r="C18" s="1" t="s">
        <v>4</v>
      </c>
      <c r="D18" s="1" t="s">
        <v>114</v>
      </c>
      <c r="E18" s="1" t="s">
        <v>228</v>
      </c>
    </row>
    <row r="19" spans="1:5">
      <c r="A19" s="2" t="s">
        <v>139</v>
      </c>
      <c r="B19" s="1" t="s">
        <v>25</v>
      </c>
      <c r="C19" s="1" t="s">
        <v>4</v>
      </c>
      <c r="D19" s="1" t="s">
        <v>114</v>
      </c>
      <c r="E19" s="1" t="s">
        <v>232</v>
      </c>
    </row>
    <row r="20" spans="1:5">
      <c r="A20" s="2" t="s">
        <v>135</v>
      </c>
      <c r="B20" s="1" t="s">
        <v>21</v>
      </c>
      <c r="C20" s="1" t="s">
        <v>4</v>
      </c>
      <c r="D20" s="1" t="s">
        <v>114</v>
      </c>
      <c r="E20" s="1" t="s">
        <v>226</v>
      </c>
    </row>
    <row r="21" spans="1:5">
      <c r="A21" s="2" t="s">
        <v>219</v>
      </c>
      <c r="B21" s="1" t="s">
        <v>105</v>
      </c>
      <c r="C21" s="1" t="s">
        <v>4</v>
      </c>
      <c r="D21" s="1" t="s">
        <v>114</v>
      </c>
      <c r="E21" s="1" t="s">
        <v>228</v>
      </c>
    </row>
    <row r="22" spans="1:5">
      <c r="A22" s="2" t="s">
        <v>137</v>
      </c>
      <c r="B22" s="1" t="s">
        <v>23</v>
      </c>
      <c r="C22" s="1" t="s">
        <v>4</v>
      </c>
      <c r="D22" s="1" t="s">
        <v>114</v>
      </c>
      <c r="E22" s="1" t="s">
        <v>227</v>
      </c>
    </row>
    <row r="23" spans="1:5">
      <c r="A23" s="2" t="s">
        <v>138</v>
      </c>
      <c r="B23" s="1" t="s">
        <v>24</v>
      </c>
      <c r="C23" s="1" t="s">
        <v>4</v>
      </c>
      <c r="D23" s="1" t="s">
        <v>114</v>
      </c>
      <c r="E23" s="1" t="s">
        <v>225</v>
      </c>
    </row>
    <row r="24" spans="1:5">
      <c r="A24" s="2" t="s">
        <v>156</v>
      </c>
      <c r="B24" s="1" t="s">
        <v>42</v>
      </c>
      <c r="C24" s="1" t="s">
        <v>4</v>
      </c>
      <c r="D24" s="1" t="s">
        <v>115</v>
      </c>
      <c r="E24" s="1" t="s">
        <v>226</v>
      </c>
    </row>
    <row r="25" spans="1:5">
      <c r="A25" s="2" t="s">
        <v>204</v>
      </c>
      <c r="B25" s="1" t="s">
        <v>90</v>
      </c>
      <c r="C25" s="1" t="s">
        <v>4</v>
      </c>
      <c r="D25" s="1" t="s">
        <v>115</v>
      </c>
      <c r="E25" s="1" t="s">
        <v>228</v>
      </c>
    </row>
    <row r="26" spans="1:5">
      <c r="A26" s="2" t="s">
        <v>205</v>
      </c>
      <c r="B26" s="1" t="s">
        <v>91</v>
      </c>
      <c r="C26" s="1" t="s">
        <v>4</v>
      </c>
      <c r="D26" s="1" t="s">
        <v>115</v>
      </c>
      <c r="E26" s="1" t="s">
        <v>234</v>
      </c>
    </row>
    <row r="27" spans="1:5">
      <c r="A27" s="2" t="s">
        <v>159</v>
      </c>
      <c r="B27" s="1" t="s">
        <v>45</v>
      </c>
      <c r="C27" s="1" t="s">
        <v>4</v>
      </c>
      <c r="D27" s="1" t="s">
        <v>115</v>
      </c>
      <c r="E27" s="1" t="s">
        <v>229</v>
      </c>
    </row>
    <row r="28" spans="1:5">
      <c r="A28" s="2" t="s">
        <v>136</v>
      </c>
      <c r="B28" s="1" t="s">
        <v>22</v>
      </c>
      <c r="C28" s="1" t="s">
        <v>4</v>
      </c>
      <c r="D28" s="1" t="s">
        <v>114</v>
      </c>
      <c r="E28" s="1" t="s">
        <v>234</v>
      </c>
    </row>
    <row r="29" spans="1:5">
      <c r="A29" s="2" t="s">
        <v>218</v>
      </c>
      <c r="B29" s="1" t="s">
        <v>104</v>
      </c>
      <c r="C29" s="1" t="s">
        <v>4</v>
      </c>
      <c r="D29" s="1" t="s">
        <v>113</v>
      </c>
      <c r="E29" s="1" t="s">
        <v>225</v>
      </c>
    </row>
    <row r="30" spans="1:5">
      <c r="A30" s="2" t="s">
        <v>177</v>
      </c>
      <c r="B30" s="1" t="s">
        <v>63</v>
      </c>
      <c r="C30" s="1" t="s">
        <v>4</v>
      </c>
      <c r="D30" s="1" t="s">
        <v>111</v>
      </c>
      <c r="E30" s="1"/>
    </row>
    <row r="31" spans="1:5">
      <c r="A31" s="2" t="s">
        <v>202</v>
      </c>
      <c r="B31" s="1" t="s">
        <v>88</v>
      </c>
      <c r="C31" s="1" t="s">
        <v>4</v>
      </c>
      <c r="D31" s="1" t="s">
        <v>111</v>
      </c>
      <c r="E31" s="1"/>
    </row>
    <row r="32" spans="1:5">
      <c r="A32" s="2" t="s">
        <v>222</v>
      </c>
      <c r="B32" s="1" t="s">
        <v>108</v>
      </c>
      <c r="C32" s="1" t="s">
        <v>4</v>
      </c>
      <c r="D32" s="1" t="s">
        <v>111</v>
      </c>
      <c r="E32" s="1"/>
    </row>
    <row r="33" spans="1:5">
      <c r="A33" s="2" t="s">
        <v>149</v>
      </c>
      <c r="B33" s="1" t="s">
        <v>35</v>
      </c>
      <c r="C33" s="1" t="s">
        <v>4</v>
      </c>
      <c r="D33" s="1" t="s">
        <v>112</v>
      </c>
      <c r="E33" s="1"/>
    </row>
    <row r="34" spans="1:5">
      <c r="A34" s="2" t="s">
        <v>150</v>
      </c>
      <c r="B34" s="1" t="s">
        <v>36</v>
      </c>
      <c r="C34" s="1" t="s">
        <v>4</v>
      </c>
      <c r="D34" s="1" t="s">
        <v>112</v>
      </c>
      <c r="E34" s="1"/>
    </row>
    <row r="35" spans="1:5">
      <c r="A35" s="2" t="s">
        <v>121</v>
      </c>
      <c r="B35" s="3" t="s">
        <v>7</v>
      </c>
      <c r="C35" s="1" t="s">
        <v>4</v>
      </c>
      <c r="D35" s="1" t="s">
        <v>111</v>
      </c>
      <c r="E35" s="1"/>
    </row>
    <row r="36" spans="1:5">
      <c r="A36" s="2" t="s">
        <v>152</v>
      </c>
      <c r="B36" s="1" t="s">
        <v>38</v>
      </c>
      <c r="C36" s="1" t="s">
        <v>4</v>
      </c>
      <c r="D36" s="1" t="s">
        <v>112</v>
      </c>
      <c r="E36" s="1"/>
    </row>
    <row r="37" spans="1:5">
      <c r="A37" s="2" t="s">
        <v>124</v>
      </c>
      <c r="B37" s="1" t="s">
        <v>10</v>
      </c>
      <c r="C37" s="1" t="s">
        <v>4</v>
      </c>
      <c r="D37" s="1" t="s">
        <v>113</v>
      </c>
      <c r="E37" s="1"/>
    </row>
    <row r="38" spans="1:5">
      <c r="A38" s="2" t="s">
        <v>154</v>
      </c>
      <c r="B38" s="1" t="s">
        <v>40</v>
      </c>
      <c r="C38" s="1" t="s">
        <v>4</v>
      </c>
      <c r="D38" s="1" t="s">
        <v>112</v>
      </c>
      <c r="E38" s="1"/>
    </row>
    <row r="39" spans="1:5">
      <c r="A39" s="2" t="s">
        <v>181</v>
      </c>
      <c r="B39" s="1" t="s">
        <v>67</v>
      </c>
      <c r="C39" s="1" t="s">
        <v>4</v>
      </c>
      <c r="D39" s="1" t="s">
        <v>115</v>
      </c>
      <c r="E39" s="1" t="s">
        <v>228</v>
      </c>
    </row>
    <row r="40" spans="1:5">
      <c r="A40" s="2" t="s">
        <v>208</v>
      </c>
      <c r="B40" s="1" t="s">
        <v>94</v>
      </c>
      <c r="C40" s="1" t="s">
        <v>4</v>
      </c>
      <c r="D40" s="1" t="s">
        <v>115</v>
      </c>
      <c r="E40" s="1" t="s">
        <v>225</v>
      </c>
    </row>
    <row r="41" spans="1:5">
      <c r="A41" s="2" t="s">
        <v>140</v>
      </c>
      <c r="B41" s="1" t="s">
        <v>26</v>
      </c>
      <c r="C41" s="1" t="s">
        <v>4</v>
      </c>
      <c r="D41" s="1" t="s">
        <v>115</v>
      </c>
      <c r="E41" s="1" t="s">
        <v>226</v>
      </c>
    </row>
    <row r="42" spans="1:5">
      <c r="A42" s="2" t="s">
        <v>141</v>
      </c>
      <c r="B42" s="1" t="s">
        <v>27</v>
      </c>
      <c r="C42" s="1" t="s">
        <v>4</v>
      </c>
      <c r="D42" s="1" t="s">
        <v>115</v>
      </c>
      <c r="E42" s="1" t="s">
        <v>225</v>
      </c>
    </row>
    <row r="43" spans="1:5">
      <c r="A43" s="2" t="s">
        <v>142</v>
      </c>
      <c r="B43" s="1" t="s">
        <v>28</v>
      </c>
      <c r="C43" s="1" t="s">
        <v>4</v>
      </c>
      <c r="D43" s="1" t="s">
        <v>115</v>
      </c>
      <c r="E43" s="1" t="s">
        <v>234</v>
      </c>
    </row>
    <row r="44" spans="1:5">
      <c r="A44" s="2" t="s">
        <v>143</v>
      </c>
      <c r="B44" s="1" t="s">
        <v>29</v>
      </c>
      <c r="C44" s="1" t="s">
        <v>4</v>
      </c>
      <c r="D44" s="1" t="s">
        <v>115</v>
      </c>
      <c r="E44" s="1" t="s">
        <v>229</v>
      </c>
    </row>
    <row r="45" spans="1:5">
      <c r="A45" s="2" t="s">
        <v>155</v>
      </c>
      <c r="B45" s="1" t="s">
        <v>41</v>
      </c>
      <c r="C45" s="1" t="s">
        <v>4</v>
      </c>
      <c r="D45" s="1" t="s">
        <v>115</v>
      </c>
      <c r="E45" s="1" t="s">
        <v>226</v>
      </c>
    </row>
    <row r="46" spans="1:5">
      <c r="A46" s="2" t="s">
        <v>162</v>
      </c>
      <c r="B46" s="1" t="s">
        <v>48</v>
      </c>
      <c r="C46" s="1" t="s">
        <v>4</v>
      </c>
      <c r="D46" s="1" t="s">
        <v>117</v>
      </c>
      <c r="E46" s="1" t="s">
        <v>226</v>
      </c>
    </row>
    <row r="47" spans="1:5">
      <c r="A47" s="2" t="s">
        <v>164</v>
      </c>
      <c r="B47" s="1" t="s">
        <v>50</v>
      </c>
      <c r="C47" s="1" t="s">
        <v>4</v>
      </c>
      <c r="D47" s="1" t="s">
        <v>117</v>
      </c>
      <c r="E47" s="1" t="s">
        <v>227</v>
      </c>
    </row>
    <row r="48" spans="1:5">
      <c r="A48" s="2" t="s">
        <v>165</v>
      </c>
      <c r="B48" s="1" t="s">
        <v>51</v>
      </c>
      <c r="C48" s="1" t="s">
        <v>4</v>
      </c>
      <c r="D48" s="1" t="s">
        <v>117</v>
      </c>
      <c r="E48" s="1" t="s">
        <v>232</v>
      </c>
    </row>
    <row r="49" spans="1:5">
      <c r="A49" s="2" t="s">
        <v>166</v>
      </c>
      <c r="B49" s="1" t="s">
        <v>52</v>
      </c>
      <c r="C49" s="1" t="s">
        <v>4</v>
      </c>
      <c r="D49" s="1" t="s">
        <v>117</v>
      </c>
      <c r="E49" s="1" t="s">
        <v>228</v>
      </c>
    </row>
    <row r="50" spans="1:5">
      <c r="A50" s="2" t="s">
        <v>163</v>
      </c>
      <c r="B50" s="1" t="s">
        <v>49</v>
      </c>
      <c r="C50" s="1" t="s">
        <v>4</v>
      </c>
      <c r="D50" s="1" t="s">
        <v>117</v>
      </c>
      <c r="E50" s="1" t="s">
        <v>225</v>
      </c>
    </row>
    <row r="51" spans="1:5">
      <c r="A51" s="2" t="s">
        <v>167</v>
      </c>
      <c r="B51" s="1" t="s">
        <v>53</v>
      </c>
      <c r="C51" s="1" t="s">
        <v>4</v>
      </c>
      <c r="D51" s="1" t="s">
        <v>117</v>
      </c>
      <c r="E51" s="1" t="s">
        <v>229</v>
      </c>
    </row>
    <row r="52" spans="1:5">
      <c r="A52" s="2" t="s">
        <v>168</v>
      </c>
      <c r="B52" s="1" t="s">
        <v>54</v>
      </c>
      <c r="C52" s="1" t="s">
        <v>4</v>
      </c>
      <c r="D52" s="1" t="s">
        <v>117</v>
      </c>
      <c r="E52" s="1" t="s">
        <v>231</v>
      </c>
    </row>
    <row r="53" spans="1:5">
      <c r="A53" s="2" t="s">
        <v>169</v>
      </c>
      <c r="B53" s="1" t="s">
        <v>55</v>
      </c>
      <c r="C53" s="1" t="s">
        <v>4</v>
      </c>
      <c r="D53" s="1" t="s">
        <v>116</v>
      </c>
      <c r="E53" s="1" t="s">
        <v>226</v>
      </c>
    </row>
    <row r="54" spans="1:5">
      <c r="A54" s="2" t="s">
        <v>171</v>
      </c>
      <c r="B54" s="1" t="s">
        <v>57</v>
      </c>
      <c r="C54" s="1" t="s">
        <v>4</v>
      </c>
      <c r="D54" s="1" t="s">
        <v>116</v>
      </c>
      <c r="E54" s="1" t="s">
        <v>228</v>
      </c>
    </row>
    <row r="55" spans="1:5">
      <c r="A55" s="2" t="s">
        <v>170</v>
      </c>
      <c r="B55" s="1" t="s">
        <v>56</v>
      </c>
      <c r="C55" s="1" t="s">
        <v>4</v>
      </c>
      <c r="D55" s="1" t="s">
        <v>116</v>
      </c>
      <c r="E55" s="1" t="s">
        <v>226</v>
      </c>
    </row>
    <row r="56" spans="1:5">
      <c r="A56" s="2" t="s">
        <v>125</v>
      </c>
      <c r="B56" s="1" t="s">
        <v>11</v>
      </c>
      <c r="C56" s="1" t="s">
        <v>4</v>
      </c>
      <c r="D56" s="1" t="s">
        <v>113</v>
      </c>
      <c r="E56" s="1" t="s">
        <v>225</v>
      </c>
    </row>
    <row r="57" spans="1:5">
      <c r="A57" s="2" t="s">
        <v>128</v>
      </c>
      <c r="B57" s="1" t="s">
        <v>14</v>
      </c>
      <c r="C57" s="1" t="s">
        <v>4</v>
      </c>
      <c r="D57" s="1" t="s">
        <v>113</v>
      </c>
      <c r="E57" s="1" t="s">
        <v>232</v>
      </c>
    </row>
    <row r="58" spans="1:5">
      <c r="A58" s="2" t="s">
        <v>129</v>
      </c>
      <c r="B58" s="1" t="s">
        <v>15</v>
      </c>
      <c r="C58" s="1" t="s">
        <v>4</v>
      </c>
      <c r="D58" s="1" t="s">
        <v>113</v>
      </c>
      <c r="E58" s="1" t="s">
        <v>227</v>
      </c>
    </row>
    <row r="59" spans="1:5">
      <c r="A59" s="2" t="s">
        <v>175</v>
      </c>
      <c r="B59" s="1" t="s">
        <v>61</v>
      </c>
      <c r="C59" s="1" t="s">
        <v>4</v>
      </c>
      <c r="D59" s="1"/>
      <c r="E59" s="1"/>
    </row>
    <row r="60" spans="1:5">
      <c r="A60" s="2" t="s">
        <v>153</v>
      </c>
      <c r="B60" s="1" t="s">
        <v>39</v>
      </c>
      <c r="C60" s="1" t="s">
        <v>4</v>
      </c>
      <c r="D60" s="1" t="s">
        <v>113</v>
      </c>
      <c r="E60" s="1" t="s">
        <v>230</v>
      </c>
    </row>
    <row r="61" spans="1:5">
      <c r="A61" s="2" t="s">
        <v>122</v>
      </c>
      <c r="B61" s="1" t="s">
        <v>8</v>
      </c>
      <c r="C61" s="1" t="s">
        <v>4</v>
      </c>
      <c r="D61" s="1" t="s">
        <v>111</v>
      </c>
      <c r="E61" s="1"/>
    </row>
    <row r="62" spans="1:5">
      <c r="A62" s="2" t="s">
        <v>144</v>
      </c>
      <c r="B62" s="1" t="s">
        <v>30</v>
      </c>
      <c r="C62" s="1" t="s">
        <v>4</v>
      </c>
      <c r="D62" s="1" t="s">
        <v>114</v>
      </c>
      <c r="E62" s="1" t="s">
        <v>228</v>
      </c>
    </row>
    <row r="63" spans="1:5">
      <c r="A63" s="2" t="s">
        <v>174</v>
      </c>
      <c r="B63" s="1" t="s">
        <v>60</v>
      </c>
      <c r="C63" s="1" t="s">
        <v>4</v>
      </c>
      <c r="D63" s="1" t="s">
        <v>113</v>
      </c>
      <c r="E63" s="1" t="s">
        <v>232</v>
      </c>
    </row>
    <row r="64" spans="1:5">
      <c r="A64" s="2" t="s">
        <v>176</v>
      </c>
      <c r="B64" s="1" t="s">
        <v>62</v>
      </c>
      <c r="C64" s="1" t="s">
        <v>4</v>
      </c>
      <c r="D64" s="1" t="s">
        <v>113</v>
      </c>
      <c r="E64" s="1" t="s">
        <v>230</v>
      </c>
    </row>
    <row r="65" spans="1:5">
      <c r="A65" s="2" t="s">
        <v>157</v>
      </c>
      <c r="B65" s="1" t="s">
        <v>43</v>
      </c>
      <c r="C65" s="1" t="s">
        <v>4</v>
      </c>
      <c r="D65" s="1" t="s">
        <v>115</v>
      </c>
      <c r="E65" s="1" t="s">
        <v>228</v>
      </c>
    </row>
    <row r="66" spans="1:5">
      <c r="A66" s="2" t="s">
        <v>182</v>
      </c>
      <c r="B66" s="1" t="s">
        <v>68</v>
      </c>
      <c r="C66" s="1" t="s">
        <v>4</v>
      </c>
      <c r="D66" s="1" t="s">
        <v>112</v>
      </c>
      <c r="E66" s="1"/>
    </row>
    <row r="67" spans="1:5">
      <c r="A67" s="2" t="s">
        <v>183</v>
      </c>
      <c r="B67" s="1" t="s">
        <v>69</v>
      </c>
      <c r="C67" s="1" t="s">
        <v>4</v>
      </c>
      <c r="D67" s="1" t="s">
        <v>116</v>
      </c>
      <c r="E67" s="1" t="s">
        <v>225</v>
      </c>
    </row>
    <row r="68" spans="1:5">
      <c r="A68" s="2" t="s">
        <v>184</v>
      </c>
      <c r="B68" s="1" t="s">
        <v>70</v>
      </c>
      <c r="C68" s="1" t="s">
        <v>4</v>
      </c>
      <c r="D68" s="1" t="s">
        <v>295</v>
      </c>
      <c r="E68" s="1"/>
    </row>
    <row r="69" spans="1:5">
      <c r="A69" s="2" t="s">
        <v>158</v>
      </c>
      <c r="B69" s="1" t="s">
        <v>44</v>
      </c>
      <c r="C69" s="1" t="s">
        <v>4</v>
      </c>
      <c r="D69" s="1" t="s">
        <v>115</v>
      </c>
      <c r="E69" s="1" t="s">
        <v>228</v>
      </c>
    </row>
    <row r="70" spans="1:5">
      <c r="A70" s="2" t="s">
        <v>186</v>
      </c>
      <c r="B70" s="1" t="s">
        <v>72</v>
      </c>
      <c r="C70" s="1" t="s">
        <v>4</v>
      </c>
      <c r="D70" s="1"/>
      <c r="E70" s="1"/>
    </row>
    <row r="71" spans="1:5">
      <c r="A71" s="2" t="s">
        <v>187</v>
      </c>
      <c r="B71" s="1" t="s">
        <v>73</v>
      </c>
      <c r="C71" s="1" t="s">
        <v>4</v>
      </c>
      <c r="D71" s="1"/>
      <c r="E71" s="1"/>
    </row>
    <row r="72" spans="1:5">
      <c r="A72" s="2" t="s">
        <v>188</v>
      </c>
      <c r="B72" s="1" t="s">
        <v>74</v>
      </c>
      <c r="C72" s="1" t="s">
        <v>4</v>
      </c>
      <c r="D72" s="1"/>
      <c r="E72" s="1"/>
    </row>
    <row r="73" spans="1:5">
      <c r="A73" s="2" t="s">
        <v>189</v>
      </c>
      <c r="B73" s="1" t="s">
        <v>75</v>
      </c>
      <c r="C73" s="1" t="s">
        <v>4</v>
      </c>
      <c r="D73" s="1"/>
      <c r="E73" s="1"/>
    </row>
    <row r="74" spans="1:5">
      <c r="A74" s="2" t="s">
        <v>190</v>
      </c>
      <c r="B74" s="1" t="s">
        <v>76</v>
      </c>
      <c r="C74" s="1" t="s">
        <v>4</v>
      </c>
      <c r="D74" s="1"/>
      <c r="E74" s="1"/>
    </row>
    <row r="75" spans="1:5">
      <c r="A75" s="2" t="s">
        <v>191</v>
      </c>
      <c r="B75" s="1" t="s">
        <v>77</v>
      </c>
      <c r="C75" s="1" t="s">
        <v>4</v>
      </c>
      <c r="D75" s="1"/>
      <c r="E75" s="1"/>
    </row>
    <row r="76" spans="1:5">
      <c r="A76" s="2" t="s">
        <v>192</v>
      </c>
      <c r="B76" s="1" t="s">
        <v>78</v>
      </c>
      <c r="C76" s="1" t="s">
        <v>4</v>
      </c>
      <c r="D76" s="1"/>
      <c r="E76" s="1"/>
    </row>
    <row r="77" spans="1:5">
      <c r="A77" s="2" t="s">
        <v>193</v>
      </c>
      <c r="B77" s="1" t="s">
        <v>79</v>
      </c>
      <c r="C77" s="1" t="s">
        <v>4</v>
      </c>
      <c r="D77" s="1"/>
      <c r="E77" s="1"/>
    </row>
    <row r="78" spans="1:5">
      <c r="A78" s="2" t="s">
        <v>194</v>
      </c>
      <c r="B78" s="1" t="s">
        <v>80</v>
      </c>
      <c r="C78" s="1" t="s">
        <v>4</v>
      </c>
      <c r="D78" s="1"/>
      <c r="E78" s="1"/>
    </row>
    <row r="79" spans="1:5">
      <c r="A79" s="2" t="s">
        <v>195</v>
      </c>
      <c r="B79" s="1" t="s">
        <v>81</v>
      </c>
      <c r="C79" s="1" t="s">
        <v>4</v>
      </c>
      <c r="D79" s="1"/>
      <c r="E79" s="1"/>
    </row>
    <row r="80" spans="1:5">
      <c r="A80" s="2" t="s">
        <v>196</v>
      </c>
      <c r="B80" s="1" t="s">
        <v>82</v>
      </c>
      <c r="C80" s="1" t="s">
        <v>4</v>
      </c>
      <c r="D80" s="1"/>
      <c r="E80" s="1"/>
    </row>
    <row r="81" spans="1:5">
      <c r="A81" s="2" t="s">
        <v>197</v>
      </c>
      <c r="B81" s="1" t="s">
        <v>83</v>
      </c>
      <c r="C81" s="1" t="s">
        <v>4</v>
      </c>
      <c r="D81" s="1"/>
      <c r="E81" s="1"/>
    </row>
    <row r="82" spans="1:5">
      <c r="A82" s="2" t="s">
        <v>198</v>
      </c>
      <c r="B82" s="1" t="s">
        <v>84</v>
      </c>
      <c r="C82" s="1" t="s">
        <v>4</v>
      </c>
      <c r="D82" s="1"/>
      <c r="E82" s="1"/>
    </row>
    <row r="83" spans="1:5">
      <c r="A83" s="2" t="s">
        <v>199</v>
      </c>
      <c r="B83" s="1" t="s">
        <v>85</v>
      </c>
      <c r="C83" s="1" t="s">
        <v>4</v>
      </c>
      <c r="D83" s="1"/>
      <c r="E83" s="1"/>
    </row>
    <row r="84" spans="1:5">
      <c r="A84" s="2" t="s">
        <v>200</v>
      </c>
      <c r="B84" s="1" t="s">
        <v>86</v>
      </c>
      <c r="C84" s="1" t="s">
        <v>4</v>
      </c>
      <c r="D84" s="1" t="s">
        <v>112</v>
      </c>
      <c r="E84" s="1"/>
    </row>
    <row r="85" spans="1:5">
      <c r="A85" s="2" t="s">
        <v>201</v>
      </c>
      <c r="B85" s="1" t="s">
        <v>87</v>
      </c>
      <c r="C85" s="1" t="s">
        <v>4</v>
      </c>
      <c r="D85" s="1" t="s">
        <v>112</v>
      </c>
      <c r="E85" s="1"/>
    </row>
    <row r="86" spans="1:5">
      <c r="A86" s="2" t="s">
        <v>133</v>
      </c>
      <c r="B86" s="3" t="s">
        <v>19</v>
      </c>
      <c r="C86" s="1" t="s">
        <v>4</v>
      </c>
      <c r="D86" s="1" t="s">
        <v>111</v>
      </c>
      <c r="E86" s="1"/>
    </row>
    <row r="87" spans="1:5">
      <c r="A87" s="2" t="s">
        <v>203</v>
      </c>
      <c r="B87" s="1" t="s">
        <v>89</v>
      </c>
      <c r="C87" s="1" t="s">
        <v>4</v>
      </c>
      <c r="D87" s="1" t="s">
        <v>117</v>
      </c>
      <c r="E87" s="1" t="s">
        <v>228</v>
      </c>
    </row>
    <row r="88" spans="1:5">
      <c r="A88" s="2" t="s">
        <v>160</v>
      </c>
      <c r="B88" s="1" t="s">
        <v>46</v>
      </c>
      <c r="C88" s="1" t="s">
        <v>4</v>
      </c>
      <c r="D88" s="1" t="s">
        <v>115</v>
      </c>
      <c r="E88" s="1" t="s">
        <v>233</v>
      </c>
    </row>
    <row r="89" spans="1:5">
      <c r="A89" s="2" t="s">
        <v>161</v>
      </c>
      <c r="B89" s="1" t="s">
        <v>47</v>
      </c>
      <c r="C89" s="1" t="s">
        <v>4</v>
      </c>
      <c r="D89" s="1" t="s">
        <v>115</v>
      </c>
      <c r="E89" s="1" t="s">
        <v>234</v>
      </c>
    </row>
    <row r="90" spans="1:5">
      <c r="A90" s="2" t="s">
        <v>214</v>
      </c>
      <c r="B90" s="1" t="s">
        <v>100</v>
      </c>
      <c r="C90" s="1" t="s">
        <v>4</v>
      </c>
      <c r="D90" s="1" t="s">
        <v>111</v>
      </c>
      <c r="E90" s="1"/>
    </row>
    <row r="91" spans="1:5">
      <c r="A91" s="2" t="s">
        <v>179</v>
      </c>
      <c r="B91" s="1" t="s">
        <v>65</v>
      </c>
      <c r="C91" s="1" t="s">
        <v>4</v>
      </c>
      <c r="D91" s="1" t="s">
        <v>113</v>
      </c>
      <c r="E91" s="1" t="s">
        <v>230</v>
      </c>
    </row>
    <row r="92" spans="1:5">
      <c r="A92" s="2" t="s">
        <v>185</v>
      </c>
      <c r="B92" s="1" t="s">
        <v>71</v>
      </c>
      <c r="C92" s="1" t="s">
        <v>4</v>
      </c>
      <c r="D92" s="1" t="s">
        <v>115</v>
      </c>
      <c r="E92" s="1"/>
    </row>
    <row r="93" spans="1:5">
      <c r="A93" s="2" t="s">
        <v>217</v>
      </c>
      <c r="B93" s="1" t="s">
        <v>103</v>
      </c>
      <c r="C93" s="1" t="s">
        <v>4</v>
      </c>
      <c r="D93" s="1" t="s">
        <v>111</v>
      </c>
      <c r="E93" s="1"/>
    </row>
    <row r="94" spans="1:5">
      <c r="A94" s="2" t="s">
        <v>213</v>
      </c>
      <c r="B94" s="1" t="s">
        <v>99</v>
      </c>
      <c r="C94" s="1" t="s">
        <v>4</v>
      </c>
      <c r="D94" s="1" t="s">
        <v>111</v>
      </c>
      <c r="E94" s="1"/>
    </row>
    <row r="95" spans="1:5">
      <c r="A95" s="2" t="s">
        <v>118</v>
      </c>
      <c r="B95" s="3" t="s">
        <v>3</v>
      </c>
      <c r="C95" s="1" t="s">
        <v>4</v>
      </c>
      <c r="D95" s="1" t="s">
        <v>111</v>
      </c>
      <c r="E95" s="1"/>
    </row>
    <row r="96" spans="1:5">
      <c r="A96" s="2" t="s">
        <v>220</v>
      </c>
      <c r="B96" s="3" t="s">
        <v>106</v>
      </c>
      <c r="C96" s="1" t="s">
        <v>4</v>
      </c>
      <c r="D96" s="1" t="s">
        <v>111</v>
      </c>
      <c r="E96" s="1"/>
    </row>
    <row r="97" spans="1:5">
      <c r="A97" s="2" t="s">
        <v>212</v>
      </c>
      <c r="B97" s="1" t="s">
        <v>98</v>
      </c>
      <c r="C97" s="1" t="s">
        <v>4</v>
      </c>
      <c r="D97" s="1" t="s">
        <v>111</v>
      </c>
      <c r="E97" s="1"/>
    </row>
    <row r="98" spans="1:5">
      <c r="A98" s="2" t="s">
        <v>146</v>
      </c>
      <c r="B98" s="1" t="s">
        <v>32</v>
      </c>
      <c r="C98" s="1" t="s">
        <v>4</v>
      </c>
      <c r="D98" s="1" t="s">
        <v>111</v>
      </c>
      <c r="E98" s="1"/>
    </row>
    <row r="99" spans="1:5">
      <c r="A99" s="2" t="s">
        <v>211</v>
      </c>
      <c r="B99" s="1" t="s">
        <v>97</v>
      </c>
      <c r="C99" s="1" t="s">
        <v>4</v>
      </c>
      <c r="D99" s="1" t="s">
        <v>111</v>
      </c>
      <c r="E99" s="1"/>
    </row>
    <row r="100" spans="1:5">
      <c r="A100" s="2" t="s">
        <v>120</v>
      </c>
      <c r="B100" s="1" t="s">
        <v>6</v>
      </c>
      <c r="C100" s="1" t="s">
        <v>4</v>
      </c>
      <c r="D100" s="1" t="s">
        <v>111</v>
      </c>
      <c r="E100" s="1"/>
    </row>
    <row r="101" spans="1:5">
      <c r="A101" s="2" t="s">
        <v>221</v>
      </c>
      <c r="B101" s="1" t="s">
        <v>107</v>
      </c>
      <c r="C101" s="1" t="s">
        <v>4</v>
      </c>
      <c r="D101" s="1" t="s">
        <v>111</v>
      </c>
      <c r="E101" s="1"/>
    </row>
    <row r="102" spans="1:5">
      <c r="A102" s="2" t="s">
        <v>180</v>
      </c>
      <c r="B102" s="1" t="s">
        <v>66</v>
      </c>
      <c r="C102" s="1" t="s">
        <v>4</v>
      </c>
      <c r="D102" s="1" t="s">
        <v>113</v>
      </c>
      <c r="E102" s="1" t="s">
        <v>230</v>
      </c>
    </row>
    <row r="103" spans="1:5">
      <c r="A103" s="2" t="s">
        <v>178</v>
      </c>
      <c r="B103" s="1" t="s">
        <v>64</v>
      </c>
      <c r="C103" s="1" t="s">
        <v>4</v>
      </c>
      <c r="D103" s="1" t="s">
        <v>114</v>
      </c>
      <c r="E103" s="1" t="s">
        <v>234</v>
      </c>
    </row>
    <row r="104" spans="1:5">
      <c r="A104" s="2" t="s">
        <v>119</v>
      </c>
      <c r="B104" s="1" t="s">
        <v>5</v>
      </c>
      <c r="C104" s="1" t="s">
        <v>4</v>
      </c>
      <c r="D104" s="1" t="s">
        <v>111</v>
      </c>
      <c r="E104" s="1"/>
    </row>
    <row r="105" spans="1:5">
      <c r="A105" s="2" t="s">
        <v>215</v>
      </c>
      <c r="B105" s="1" t="s">
        <v>101</v>
      </c>
      <c r="C105" s="1" t="s">
        <v>4</v>
      </c>
      <c r="D105" s="1" t="s">
        <v>111</v>
      </c>
      <c r="E105" s="1"/>
    </row>
    <row r="106" spans="1:5">
      <c r="A106" s="2" t="s">
        <v>206</v>
      </c>
      <c r="B106" s="1" t="s">
        <v>92</v>
      </c>
      <c r="C106" s="1" t="s">
        <v>4</v>
      </c>
      <c r="D106" s="1" t="s">
        <v>111</v>
      </c>
      <c r="E106" s="1"/>
    </row>
    <row r="107" spans="1:5">
      <c r="A107" s="2" t="s">
        <v>223</v>
      </c>
      <c r="B107" s="1" t="s">
        <v>109</v>
      </c>
      <c r="C107" s="1" t="s">
        <v>4</v>
      </c>
      <c r="D107" s="1" t="s">
        <v>295</v>
      </c>
      <c r="E107" s="1"/>
    </row>
    <row r="108" spans="1:5">
      <c r="A108" t="s">
        <v>277</v>
      </c>
      <c r="B108" t="s">
        <v>278</v>
      </c>
      <c r="C108" s="1" t="s">
        <v>4</v>
      </c>
      <c r="D108" s="1" t="s">
        <v>111</v>
      </c>
    </row>
    <row r="109" spans="1:5">
      <c r="A109" t="s">
        <v>275</v>
      </c>
      <c r="B109" t="s">
        <v>276</v>
      </c>
      <c r="C109" s="1" t="s">
        <v>4</v>
      </c>
      <c r="D109" s="1" t="s">
        <v>111</v>
      </c>
    </row>
    <row r="110" spans="1:5">
      <c r="A110" t="s">
        <v>290</v>
      </c>
      <c r="B110" t="s">
        <v>289</v>
      </c>
      <c r="C110" s="1" t="s">
        <v>4</v>
      </c>
      <c r="D110" s="1" t="s">
        <v>115</v>
      </c>
      <c r="E110" t="s">
        <v>228</v>
      </c>
    </row>
    <row r="111" spans="1:5">
      <c r="A111" t="s">
        <v>280</v>
      </c>
      <c r="B111" t="s">
        <v>281</v>
      </c>
      <c r="C111" s="1" t="s">
        <v>4</v>
      </c>
      <c r="D111" s="1" t="s">
        <v>113</v>
      </c>
      <c r="E111" t="s">
        <v>230</v>
      </c>
    </row>
    <row r="112" spans="1:5">
      <c r="A112" t="s">
        <v>123</v>
      </c>
      <c r="B112" t="s">
        <v>9</v>
      </c>
      <c r="C112" s="1" t="s">
        <v>4</v>
      </c>
      <c r="D112" s="1" t="s">
        <v>111</v>
      </c>
    </row>
    <row r="113" spans="1:5">
      <c r="A113" t="s">
        <v>298</v>
      </c>
      <c r="B113" t="s">
        <v>302</v>
      </c>
      <c r="C113" s="1" t="s">
        <v>4</v>
      </c>
      <c r="D113" s="1" t="s">
        <v>111</v>
      </c>
    </row>
    <row r="114" spans="1:5">
      <c r="A114" t="s">
        <v>299</v>
      </c>
      <c r="B114" t="s">
        <v>297</v>
      </c>
      <c r="C114" s="1" t="s">
        <v>4</v>
      </c>
      <c r="D114" s="1" t="s">
        <v>115</v>
      </c>
      <c r="E114" t="s">
        <v>225</v>
      </c>
    </row>
    <row r="115" spans="1:5">
      <c r="A115" t="s">
        <v>304</v>
      </c>
      <c r="B115" t="s">
        <v>305</v>
      </c>
      <c r="C115" s="1" t="s">
        <v>4</v>
      </c>
      <c r="D115" s="1" t="s">
        <v>113</v>
      </c>
      <c r="E115" s="1" t="s">
        <v>229</v>
      </c>
    </row>
    <row r="116" spans="1:5">
      <c r="A116" t="s">
        <v>306</v>
      </c>
      <c r="B116" t="s">
        <v>307</v>
      </c>
      <c r="C116" s="1" t="s">
        <v>4</v>
      </c>
      <c r="D116" s="1" t="s">
        <v>112</v>
      </c>
    </row>
    <row r="117" spans="1:5">
      <c r="A117" s="29" t="s">
        <v>282</v>
      </c>
      <c r="B117" s="29" t="s">
        <v>283</v>
      </c>
      <c r="C117" s="1" t="s">
        <v>4</v>
      </c>
      <c r="D117" s="1" t="s">
        <v>115</v>
      </c>
      <c r="E117" t="s">
        <v>228</v>
      </c>
    </row>
  </sheetData>
  <autoFilter ref="A1:E116" xr:uid="{98EC4AFB-1507-40CE-A203-644F150F9106}"/>
  <conditionalFormatting sqref="A117">
    <cfRule type="duplicateValues" dxfId="4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Trình bày 2026</vt:lpstr>
      <vt:lpstr>Trình bày T1</vt:lpstr>
      <vt:lpstr>Trình bày T2</vt:lpstr>
      <vt:lpstr>Trình bày T3</vt:lpstr>
      <vt:lpstr>Trình bày T4</vt:lpstr>
      <vt:lpstr>tồn TP 17.03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Diễm, Nguyễn Thị Thanh</dc:creator>
  <cp:lastModifiedBy>Cư, Lê Hoành</cp:lastModifiedBy>
  <dcterms:created xsi:type="dcterms:W3CDTF">2025-06-23T08:27:31Z</dcterms:created>
  <dcterms:modified xsi:type="dcterms:W3CDTF">2026-04-15T11:20:41Z</dcterms:modified>
</cp:coreProperties>
</file>