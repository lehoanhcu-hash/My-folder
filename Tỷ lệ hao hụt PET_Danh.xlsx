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Kiểm tra giá thành\"/>
    </mc:Choice>
  </mc:AlternateContent>
  <xr:revisionPtr revIDLastSave="0" documentId="13_ncr:1_{84B05BC1-F523-4960-B72B-C968BD295B5F}" xr6:coauthVersionLast="47" xr6:coauthVersionMax="47" xr10:uidLastSave="{00000000-0000-0000-0000-000000000000}"/>
  <bookViews>
    <workbookView xWindow="-110" yWindow="-110" windowWidth="19420" windowHeight="10300" xr2:uid="{7BF2778B-CD72-48E9-9906-322C11F6F361}"/>
  </bookViews>
  <sheets>
    <sheet name="Tác động-GM-Data" sheetId="1" r:id="rId1"/>
  </sheets>
  <externalReferences>
    <externalReference r:id="rId2"/>
  </externalReferences>
  <definedNames>
    <definedName name="Department">[1]MD!$A$19:$A$36</definedName>
    <definedName name="LIST_CT">[1]MD!$B$4:$B$11</definedName>
    <definedName name="Mth_PP">'[1]&gt;PowerPoint'!$B$2</definedName>
    <definedName name="PreviousCell">!A1048576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J38" i="1" l="1"/>
  <c r="BJ61" i="1"/>
  <c r="BJ60" i="1"/>
  <c r="BJ58" i="1"/>
  <c r="BH80" i="1"/>
  <c r="AN80" i="1"/>
  <c r="BQ79" i="1"/>
  <c r="BM79" i="1"/>
  <c r="AK79" i="1"/>
  <c r="AI79" i="1"/>
  <c r="AH79" i="1"/>
  <c r="BI77" i="1"/>
  <c r="AQ77" i="1"/>
  <c r="AP77" i="1"/>
  <c r="AO77" i="1"/>
  <c r="AN77" i="1"/>
  <c r="AM77" i="1"/>
  <c r="H77" i="1"/>
  <c r="AF76" i="1"/>
  <c r="BS73" i="1"/>
  <c r="BR73" i="1"/>
  <c r="BQ73" i="1"/>
  <c r="BP73" i="1"/>
  <c r="BO73" i="1"/>
  <c r="BN73" i="1"/>
  <c r="BM73" i="1"/>
  <c r="BM80" i="1" s="1"/>
  <c r="BL73" i="1"/>
  <c r="BL80" i="1" s="1"/>
  <c r="BK73" i="1"/>
  <c r="BK80" i="1" s="1"/>
  <c r="BJ73" i="1"/>
  <c r="BJ80" i="1" s="1"/>
  <c r="BI73" i="1"/>
  <c r="BI80" i="1" s="1"/>
  <c r="BH73" i="1"/>
  <c r="AQ73" i="1"/>
  <c r="AP73" i="1"/>
  <c r="AO73" i="1"/>
  <c r="AN73" i="1"/>
  <c r="AM73" i="1"/>
  <c r="AL73" i="1"/>
  <c r="AK73" i="1"/>
  <c r="AJ73" i="1"/>
  <c r="AI73" i="1"/>
  <c r="AI80" i="1" s="1"/>
  <c r="AH73" i="1"/>
  <c r="AH80" i="1" s="1"/>
  <c r="AG73" i="1"/>
  <c r="AG80" i="1" s="1"/>
  <c r="AF73" i="1"/>
  <c r="AF80" i="1" s="1"/>
  <c r="P73" i="1"/>
  <c r="O73" i="1"/>
  <c r="O80" i="1" s="1"/>
  <c r="P80" i="1" s="1"/>
  <c r="N73" i="1"/>
  <c r="N80" i="1" s="1"/>
  <c r="M73" i="1"/>
  <c r="M80" i="1" s="1"/>
  <c r="L73" i="1"/>
  <c r="K73" i="1"/>
  <c r="K80" i="1" s="1"/>
  <c r="J73" i="1"/>
  <c r="J80" i="1" s="1"/>
  <c r="I73" i="1"/>
  <c r="H73" i="1"/>
  <c r="G73" i="1"/>
  <c r="F73" i="1"/>
  <c r="E73" i="1"/>
  <c r="E80" i="1" s="1"/>
  <c r="D73" i="1"/>
  <c r="D80" i="1" s="1"/>
  <c r="BS72" i="1"/>
  <c r="BS79" i="1" s="1"/>
  <c r="BR72" i="1"/>
  <c r="BR79" i="1" s="1"/>
  <c r="BQ72" i="1"/>
  <c r="BP72" i="1"/>
  <c r="BO72" i="1"/>
  <c r="BN72" i="1"/>
  <c r="BM72" i="1"/>
  <c r="BL72" i="1"/>
  <c r="BK72" i="1"/>
  <c r="BJ72" i="1"/>
  <c r="BI72" i="1"/>
  <c r="BH72" i="1"/>
  <c r="AQ72" i="1"/>
  <c r="AP72" i="1"/>
  <c r="AO72" i="1"/>
  <c r="AO79" i="1" s="1"/>
  <c r="AN72" i="1"/>
  <c r="AN79" i="1" s="1"/>
  <c r="AM72" i="1"/>
  <c r="AL72" i="1"/>
  <c r="AK72" i="1"/>
  <c r="AJ72" i="1"/>
  <c r="AI72" i="1"/>
  <c r="AH72" i="1"/>
  <c r="AG72" i="1"/>
  <c r="AG79" i="1" s="1"/>
  <c r="AF72" i="1"/>
  <c r="O72" i="1"/>
  <c r="P72" i="1" s="1"/>
  <c r="N72" i="1"/>
  <c r="N79" i="1" s="1"/>
  <c r="M72" i="1"/>
  <c r="M79" i="1" s="1"/>
  <c r="L72" i="1"/>
  <c r="L79" i="1" s="1"/>
  <c r="K72" i="1"/>
  <c r="J72" i="1"/>
  <c r="J79" i="1" s="1"/>
  <c r="I72" i="1"/>
  <c r="H72" i="1"/>
  <c r="G72" i="1"/>
  <c r="F72" i="1"/>
  <c r="F79" i="1" s="1"/>
  <c r="E72" i="1"/>
  <c r="D72" i="1"/>
  <c r="D79" i="1" s="1"/>
  <c r="BS71" i="1"/>
  <c r="BS77" i="1" s="1"/>
  <c r="BR71" i="1"/>
  <c r="BQ71" i="1"/>
  <c r="BP71" i="1"/>
  <c r="BO71" i="1"/>
  <c r="BO77" i="1" s="1"/>
  <c r="BN71" i="1"/>
  <c r="BM71" i="1"/>
  <c r="BM77" i="1" s="1"/>
  <c r="BL71" i="1"/>
  <c r="BL77" i="1" s="1"/>
  <c r="BK71" i="1"/>
  <c r="BJ71" i="1"/>
  <c r="BI71" i="1"/>
  <c r="BH71" i="1"/>
  <c r="BH77" i="1" s="1"/>
  <c r="AQ71" i="1"/>
  <c r="AP71" i="1"/>
  <c r="AO71" i="1"/>
  <c r="AN71" i="1"/>
  <c r="AM71" i="1"/>
  <c r="AL71" i="1"/>
  <c r="AL32" i="1" s="1"/>
  <c r="AK71" i="1"/>
  <c r="AJ71" i="1"/>
  <c r="AJ77" i="1" s="1"/>
  <c r="AI71" i="1"/>
  <c r="AI77" i="1" s="1"/>
  <c r="AH71" i="1"/>
  <c r="AG71" i="1"/>
  <c r="AF71" i="1"/>
  <c r="O71" i="1"/>
  <c r="N71" i="1"/>
  <c r="M71" i="1"/>
  <c r="L71" i="1"/>
  <c r="L77" i="1" s="1"/>
  <c r="K71" i="1"/>
  <c r="K77" i="1" s="1"/>
  <c r="J71" i="1"/>
  <c r="J77" i="1" s="1"/>
  <c r="I71" i="1"/>
  <c r="I77" i="1" s="1"/>
  <c r="H71" i="1"/>
  <c r="G71" i="1"/>
  <c r="G33" i="1" s="1"/>
  <c r="F71" i="1"/>
  <c r="E71" i="1"/>
  <c r="E77" i="1" s="1"/>
  <c r="D71" i="1"/>
  <c r="D77" i="1" s="1"/>
  <c r="BS70" i="1"/>
  <c r="BR70" i="1"/>
  <c r="BQ70" i="1"/>
  <c r="BP70" i="1"/>
  <c r="BO70" i="1"/>
  <c r="BN70" i="1"/>
  <c r="BM70" i="1"/>
  <c r="BL70" i="1"/>
  <c r="BK70" i="1"/>
  <c r="BJ70" i="1"/>
  <c r="BJ76" i="1" s="1"/>
  <c r="BI70" i="1"/>
  <c r="BI76" i="1" s="1"/>
  <c r="BI78" i="1" s="1"/>
  <c r="BH70" i="1"/>
  <c r="BH76" i="1" s="1"/>
  <c r="AQ70" i="1"/>
  <c r="AP70" i="1"/>
  <c r="AO70" i="1"/>
  <c r="AN70" i="1"/>
  <c r="AM70" i="1"/>
  <c r="AL70" i="1"/>
  <c r="AK70" i="1"/>
  <c r="AJ70" i="1"/>
  <c r="AI70" i="1"/>
  <c r="AH70" i="1"/>
  <c r="AG70" i="1"/>
  <c r="AF70" i="1"/>
  <c r="O70" i="1"/>
  <c r="P70" i="1" s="1"/>
  <c r="N70" i="1"/>
  <c r="N76" i="1" s="1"/>
  <c r="M70" i="1"/>
  <c r="M76" i="1" s="1"/>
  <c r="L70" i="1"/>
  <c r="K70" i="1"/>
  <c r="J70" i="1"/>
  <c r="I70" i="1"/>
  <c r="H70" i="1"/>
  <c r="G70" i="1"/>
  <c r="F70" i="1"/>
  <c r="E70" i="1"/>
  <c r="D70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AQ67" i="1"/>
  <c r="AQ80" i="1" s="1"/>
  <c r="AP67" i="1"/>
  <c r="AP33" i="1" s="1"/>
  <c r="AO67" i="1"/>
  <c r="AO80" i="1" s="1"/>
  <c r="AN67" i="1"/>
  <c r="AM67" i="1"/>
  <c r="AL67" i="1"/>
  <c r="AK67" i="1"/>
  <c r="AJ67" i="1"/>
  <c r="AI67" i="1"/>
  <c r="AH67" i="1"/>
  <c r="AG67" i="1"/>
  <c r="AF67" i="1"/>
  <c r="O67" i="1"/>
  <c r="P67" i="1" s="1"/>
  <c r="N67" i="1"/>
  <c r="M67" i="1"/>
  <c r="L67" i="1"/>
  <c r="K67" i="1"/>
  <c r="J67" i="1"/>
  <c r="I67" i="1"/>
  <c r="I80" i="1" s="1"/>
  <c r="H67" i="1"/>
  <c r="G67" i="1"/>
  <c r="F67" i="1"/>
  <c r="E67" i="1"/>
  <c r="D67" i="1"/>
  <c r="BS66" i="1"/>
  <c r="BR66" i="1"/>
  <c r="BQ66" i="1"/>
  <c r="BP66" i="1"/>
  <c r="BO66" i="1"/>
  <c r="BO79" i="1" s="1"/>
  <c r="BN66" i="1"/>
  <c r="BN79" i="1" s="1"/>
  <c r="BM66" i="1"/>
  <c r="BL66" i="1"/>
  <c r="BK66" i="1"/>
  <c r="BJ66" i="1"/>
  <c r="BI66" i="1"/>
  <c r="BH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O66" i="1"/>
  <c r="O32" i="1" s="1"/>
  <c r="N66" i="1"/>
  <c r="N32" i="1" s="1"/>
  <c r="M66" i="1"/>
  <c r="L66" i="1"/>
  <c r="K66" i="1"/>
  <c r="J66" i="1"/>
  <c r="I66" i="1"/>
  <c r="H66" i="1"/>
  <c r="G66" i="1"/>
  <c r="F66" i="1"/>
  <c r="E66" i="1"/>
  <c r="D66" i="1"/>
  <c r="BS65" i="1"/>
  <c r="BR65" i="1"/>
  <c r="BR77" i="1" s="1"/>
  <c r="BQ65" i="1"/>
  <c r="BQ77" i="1" s="1"/>
  <c r="BP65" i="1"/>
  <c r="BP32" i="1" s="1"/>
  <c r="BO65" i="1"/>
  <c r="BN65" i="1"/>
  <c r="BM65" i="1"/>
  <c r="BL65" i="1"/>
  <c r="BK65" i="1"/>
  <c r="BJ65" i="1"/>
  <c r="BI65" i="1"/>
  <c r="BH65" i="1"/>
  <c r="AQ65" i="1"/>
  <c r="AP65" i="1"/>
  <c r="AO65" i="1"/>
  <c r="AN65" i="1"/>
  <c r="AN33" i="1" s="1"/>
  <c r="AM65" i="1"/>
  <c r="AL65" i="1"/>
  <c r="AL77" i="1" s="1"/>
  <c r="AK65" i="1"/>
  <c r="AJ65" i="1"/>
  <c r="AI65" i="1"/>
  <c r="AH65" i="1"/>
  <c r="AG65" i="1"/>
  <c r="AF65" i="1"/>
  <c r="O65" i="1"/>
  <c r="P65" i="1" s="1"/>
  <c r="N65" i="1"/>
  <c r="M65" i="1"/>
  <c r="L65" i="1"/>
  <c r="K65" i="1"/>
  <c r="J65" i="1"/>
  <c r="I65" i="1"/>
  <c r="I33" i="1" s="1"/>
  <c r="H65" i="1"/>
  <c r="G65" i="1"/>
  <c r="F65" i="1"/>
  <c r="E65" i="1"/>
  <c r="D65" i="1"/>
  <c r="BS64" i="1"/>
  <c r="BR64" i="1"/>
  <c r="BQ64" i="1"/>
  <c r="BP64" i="1"/>
  <c r="BO64" i="1"/>
  <c r="BN64" i="1"/>
  <c r="BM64" i="1"/>
  <c r="BL64" i="1"/>
  <c r="BK64" i="1"/>
  <c r="BK76" i="1" s="1"/>
  <c r="BJ64" i="1"/>
  <c r="BI64" i="1"/>
  <c r="BH64" i="1"/>
  <c r="AQ64" i="1"/>
  <c r="AP64" i="1"/>
  <c r="AO64" i="1"/>
  <c r="AN64" i="1"/>
  <c r="AN32" i="1" s="1"/>
  <c r="AM64" i="1"/>
  <c r="AM32" i="1" s="1"/>
  <c r="AL64" i="1"/>
  <c r="AK64" i="1"/>
  <c r="AJ64" i="1"/>
  <c r="AJ32" i="1" s="1"/>
  <c r="AI64" i="1"/>
  <c r="AH64" i="1"/>
  <c r="AH76" i="1" s="1"/>
  <c r="AG64" i="1"/>
  <c r="AG76" i="1" s="1"/>
  <c r="AF64" i="1"/>
  <c r="O64" i="1"/>
  <c r="P64" i="1" s="1"/>
  <c r="N64" i="1"/>
  <c r="M64" i="1"/>
  <c r="L64" i="1"/>
  <c r="K64" i="1"/>
  <c r="K76" i="1" s="1"/>
  <c r="J64" i="1"/>
  <c r="I64" i="1"/>
  <c r="H64" i="1"/>
  <c r="G64" i="1"/>
  <c r="F64" i="1"/>
  <c r="E64" i="1"/>
  <c r="D64" i="1"/>
  <c r="BS61" i="1"/>
  <c r="BR61" i="1"/>
  <c r="BQ61" i="1"/>
  <c r="BP61" i="1"/>
  <c r="BO61" i="1"/>
  <c r="BN61" i="1"/>
  <c r="BM61" i="1"/>
  <c r="BL61" i="1"/>
  <c r="BK61" i="1"/>
  <c r="BI61" i="1"/>
  <c r="BH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I61" i="1"/>
  <c r="H61" i="1"/>
  <c r="G61" i="1"/>
  <c r="F61" i="1"/>
  <c r="E61" i="1"/>
  <c r="D61" i="1"/>
  <c r="BS60" i="1"/>
  <c r="BR60" i="1"/>
  <c r="BQ60" i="1"/>
  <c r="BP60" i="1"/>
  <c r="BO60" i="1"/>
  <c r="BN60" i="1"/>
  <c r="BM60" i="1"/>
  <c r="BL60" i="1"/>
  <c r="BK60" i="1"/>
  <c r="BI60" i="1"/>
  <c r="BH60" i="1"/>
  <c r="BE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O60" i="1"/>
  <c r="N60" i="1"/>
  <c r="M60" i="1"/>
  <c r="L60" i="1"/>
  <c r="K60" i="1"/>
  <c r="J60" i="1"/>
  <c r="I60" i="1"/>
  <c r="H60" i="1"/>
  <c r="G60" i="1"/>
  <c r="F60" i="1"/>
  <c r="E60" i="1"/>
  <c r="D60" i="1"/>
  <c r="BN59" i="1"/>
  <c r="BM59" i="1"/>
  <c r="AT59" i="1"/>
  <c r="AT60" i="1" s="1"/>
  <c r="AF59" i="1"/>
  <c r="N59" i="1"/>
  <c r="M59" i="1"/>
  <c r="L59" i="1"/>
  <c r="K59" i="1"/>
  <c r="BS58" i="1"/>
  <c r="BR58" i="1"/>
  <c r="BQ58" i="1"/>
  <c r="BP58" i="1"/>
  <c r="BO58" i="1"/>
  <c r="BN58" i="1"/>
  <c r="BM58" i="1"/>
  <c r="BL58" i="1"/>
  <c r="BK58" i="1"/>
  <c r="BI58" i="1"/>
  <c r="BH58" i="1"/>
  <c r="BF58" i="1"/>
  <c r="BE58" i="1"/>
  <c r="BD58" i="1"/>
  <c r="BC58" i="1"/>
  <c r="BB58" i="1"/>
  <c r="BA58" i="1"/>
  <c r="AZ58" i="1"/>
  <c r="AY58" i="1"/>
  <c r="AX58" i="1"/>
  <c r="AX59" i="1" s="1"/>
  <c r="AX60" i="1" s="1"/>
  <c r="AW58" i="1"/>
  <c r="AW59" i="1" s="1"/>
  <c r="AW60" i="1" s="1"/>
  <c r="AV58" i="1"/>
  <c r="AV59" i="1" s="1"/>
  <c r="AV60" i="1" s="1"/>
  <c r="AU58" i="1"/>
  <c r="AU59" i="1" s="1"/>
  <c r="AU60" i="1" s="1"/>
  <c r="AT58" i="1"/>
  <c r="AQ58" i="1"/>
  <c r="AP58" i="1"/>
  <c r="AP59" i="1" s="1"/>
  <c r="AO58" i="1"/>
  <c r="AN58" i="1"/>
  <c r="AM58" i="1"/>
  <c r="AL58" i="1"/>
  <c r="AK58" i="1"/>
  <c r="AJ58" i="1"/>
  <c r="AI58" i="1"/>
  <c r="AH58" i="1"/>
  <c r="AG58" i="1"/>
  <c r="AF58" i="1"/>
  <c r="O58" i="1"/>
  <c r="N58" i="1"/>
  <c r="M58" i="1"/>
  <c r="L58" i="1"/>
  <c r="K58" i="1"/>
  <c r="J58" i="1"/>
  <c r="I58" i="1"/>
  <c r="H58" i="1"/>
  <c r="G58" i="1"/>
  <c r="F58" i="1"/>
  <c r="E58" i="1"/>
  <c r="D58" i="1"/>
  <c r="BS57" i="1"/>
  <c r="BR57" i="1"/>
  <c r="BR59" i="1" s="1"/>
  <c r="BQ57" i="1"/>
  <c r="BQ59" i="1" s="1"/>
  <c r="BP57" i="1"/>
  <c r="BP59" i="1" s="1"/>
  <c r="BO57" i="1"/>
  <c r="BN57" i="1"/>
  <c r="BM57" i="1"/>
  <c r="BL57" i="1"/>
  <c r="BL59" i="1" s="1"/>
  <c r="BK57" i="1"/>
  <c r="BK59" i="1" s="1"/>
  <c r="BJ57" i="1"/>
  <c r="BI57" i="1"/>
  <c r="BI59" i="1" s="1"/>
  <c r="BH57" i="1"/>
  <c r="BH59" i="1" s="1"/>
  <c r="BF57" i="1"/>
  <c r="BF59" i="1" s="1"/>
  <c r="BF60" i="1" s="1"/>
  <c r="BE57" i="1"/>
  <c r="BE59" i="1" s="1"/>
  <c r="BD57" i="1"/>
  <c r="BD59" i="1" s="1"/>
  <c r="BD60" i="1" s="1"/>
  <c r="BC57" i="1"/>
  <c r="BC59" i="1" s="1"/>
  <c r="BC60" i="1" s="1"/>
  <c r="BB57" i="1"/>
  <c r="BB59" i="1" s="1"/>
  <c r="BB60" i="1" s="1"/>
  <c r="BA57" i="1"/>
  <c r="BA59" i="1" s="1"/>
  <c r="BA60" i="1" s="1"/>
  <c r="AZ57" i="1"/>
  <c r="AZ59" i="1" s="1"/>
  <c r="AZ60" i="1" s="1"/>
  <c r="AY57" i="1"/>
  <c r="AY59" i="1" s="1"/>
  <c r="AY60" i="1" s="1"/>
  <c r="AX57" i="1"/>
  <c r="AW57" i="1"/>
  <c r="AV57" i="1"/>
  <c r="AU57" i="1"/>
  <c r="AT57" i="1"/>
  <c r="AQ57" i="1"/>
  <c r="AQ59" i="1" s="1"/>
  <c r="AP57" i="1"/>
  <c r="AO57" i="1"/>
  <c r="AN57" i="1"/>
  <c r="AM57" i="1"/>
  <c r="AL57" i="1"/>
  <c r="AL59" i="1" s="1"/>
  <c r="AK57" i="1"/>
  <c r="AK59" i="1" s="1"/>
  <c r="AJ57" i="1"/>
  <c r="AJ59" i="1" s="1"/>
  <c r="AI57" i="1"/>
  <c r="AI59" i="1" s="1"/>
  <c r="AH57" i="1"/>
  <c r="AH59" i="1" s="1"/>
  <c r="AG57" i="1"/>
  <c r="AF57" i="1"/>
  <c r="O57" i="1"/>
  <c r="O59" i="1" s="1"/>
  <c r="N57" i="1"/>
  <c r="M57" i="1"/>
  <c r="L57" i="1"/>
  <c r="K57" i="1"/>
  <c r="J57" i="1"/>
  <c r="I57" i="1"/>
  <c r="H57" i="1"/>
  <c r="H59" i="1" s="1"/>
  <c r="G57" i="1"/>
  <c r="G59" i="1" s="1"/>
  <c r="F57" i="1"/>
  <c r="F59" i="1" s="1"/>
  <c r="E57" i="1"/>
  <c r="E59" i="1" s="1"/>
  <c r="D57" i="1"/>
  <c r="D59" i="1" s="1"/>
  <c r="BT54" i="1"/>
  <c r="BF54" i="1"/>
  <c r="AR54" i="1"/>
  <c r="P54" i="1"/>
  <c r="P61" i="1" s="1"/>
  <c r="BT53" i="1"/>
  <c r="BT60" i="1" s="1"/>
  <c r="BF53" i="1"/>
  <c r="AR53" i="1"/>
  <c r="AR60" i="1" s="1"/>
  <c r="P53" i="1"/>
  <c r="P60" i="1" s="1"/>
  <c r="BT52" i="1"/>
  <c r="BT58" i="1" s="1"/>
  <c r="BF52" i="1"/>
  <c r="AR52" i="1"/>
  <c r="P52" i="1"/>
  <c r="BT51" i="1"/>
  <c r="BT57" i="1" s="1"/>
  <c r="BF51" i="1"/>
  <c r="AR51" i="1"/>
  <c r="P51" i="1"/>
  <c r="BT48" i="1"/>
  <c r="BF48" i="1"/>
  <c r="AR48" i="1"/>
  <c r="P48" i="1"/>
  <c r="BT47" i="1"/>
  <c r="BF47" i="1"/>
  <c r="AR47" i="1"/>
  <c r="P47" i="1"/>
  <c r="BT46" i="1"/>
  <c r="BF46" i="1"/>
  <c r="AR46" i="1"/>
  <c r="P46" i="1"/>
  <c r="P26" i="1" s="1"/>
  <c r="BT45" i="1"/>
  <c r="BF45" i="1"/>
  <c r="AR45" i="1"/>
  <c r="P45" i="1"/>
  <c r="BS38" i="1"/>
  <c r="BR38" i="1"/>
  <c r="BQ38" i="1"/>
  <c r="BP38" i="1"/>
  <c r="BO38" i="1"/>
  <c r="BN38" i="1"/>
  <c r="BM38" i="1"/>
  <c r="BL38" i="1"/>
  <c r="BK38" i="1"/>
  <c r="BI38" i="1"/>
  <c r="BC38" i="1"/>
  <c r="AU38" i="1"/>
  <c r="AC38" i="1"/>
  <c r="AB38" i="1"/>
  <c r="AA38" i="1"/>
  <c r="Z38" i="1"/>
  <c r="Y38" i="1"/>
  <c r="X38" i="1"/>
  <c r="W38" i="1"/>
  <c r="V38" i="1"/>
  <c r="U38" i="1"/>
  <c r="T38" i="1"/>
  <c r="S38" i="1"/>
  <c r="R38" i="1"/>
  <c r="AI34" i="1"/>
  <c r="AH34" i="1"/>
  <c r="AG34" i="1"/>
  <c r="AF34" i="1"/>
  <c r="AG33" i="1"/>
  <c r="H33" i="1"/>
  <c r="AI28" i="1"/>
  <c r="AH28" i="1"/>
  <c r="AG28" i="1"/>
  <c r="AF28" i="1"/>
  <c r="BJ27" i="1"/>
  <c r="BI27" i="1"/>
  <c r="BH27" i="1"/>
  <c r="BH38" i="1" s="1"/>
  <c r="BF27" i="1"/>
  <c r="BF38" i="1" s="1"/>
  <c r="BE27" i="1"/>
  <c r="BE38" i="1" s="1"/>
  <c r="BD27" i="1"/>
  <c r="BD38" i="1" s="1"/>
  <c r="BC27" i="1"/>
  <c r="BB27" i="1"/>
  <c r="BA27" i="1"/>
  <c r="AZ27" i="1"/>
  <c r="AY27" i="1"/>
  <c r="AX27" i="1"/>
  <c r="AW27" i="1"/>
  <c r="AV27" i="1"/>
  <c r="AU27" i="1"/>
  <c r="AT27" i="1"/>
  <c r="AQ27" i="1"/>
  <c r="AP27" i="1"/>
  <c r="AP38" i="1" s="1"/>
  <c r="AO27" i="1"/>
  <c r="AO38" i="1" s="1"/>
  <c r="AN27" i="1"/>
  <c r="AM27" i="1"/>
  <c r="AL27" i="1"/>
  <c r="AK27" i="1"/>
  <c r="AJ27" i="1"/>
  <c r="AI27" i="1"/>
  <c r="AH27" i="1"/>
  <c r="AG27" i="1"/>
  <c r="AF27" i="1"/>
  <c r="O27" i="1"/>
  <c r="N27" i="1"/>
  <c r="M27" i="1"/>
  <c r="L27" i="1"/>
  <c r="L38" i="1" s="1"/>
  <c r="K27" i="1"/>
  <c r="K38" i="1" s="1"/>
  <c r="J27" i="1"/>
  <c r="I27" i="1"/>
  <c r="H27" i="1"/>
  <c r="G27" i="1"/>
  <c r="F27" i="1"/>
  <c r="E27" i="1"/>
  <c r="D27" i="1"/>
  <c r="BJ26" i="1"/>
  <c r="BI26" i="1"/>
  <c r="BH26" i="1"/>
  <c r="BF26" i="1"/>
  <c r="BE26" i="1"/>
  <c r="BD26" i="1"/>
  <c r="BC26" i="1"/>
  <c r="BB26" i="1"/>
  <c r="BB38" i="1" s="1"/>
  <c r="BA26" i="1"/>
  <c r="BA38" i="1" s="1"/>
  <c r="AZ26" i="1"/>
  <c r="AZ38" i="1" s="1"/>
  <c r="AY26" i="1"/>
  <c r="AY38" i="1" s="1"/>
  <c r="AX26" i="1"/>
  <c r="AX38" i="1" s="1"/>
  <c r="AW26" i="1"/>
  <c r="AW38" i="1" s="1"/>
  <c r="AV26" i="1"/>
  <c r="AV38" i="1" s="1"/>
  <c r="AU26" i="1"/>
  <c r="AT26" i="1"/>
  <c r="AT38" i="1" s="1"/>
  <c r="AQ26" i="1"/>
  <c r="AQ38" i="1" s="1"/>
  <c r="AP26" i="1"/>
  <c r="AO26" i="1"/>
  <c r="AN26" i="1"/>
  <c r="AN38" i="1" s="1"/>
  <c r="AM26" i="1"/>
  <c r="AM38" i="1" s="1"/>
  <c r="AL26" i="1"/>
  <c r="AK26" i="1"/>
  <c r="AK38" i="1" s="1"/>
  <c r="AJ26" i="1"/>
  <c r="AJ38" i="1" s="1"/>
  <c r="AI26" i="1"/>
  <c r="AI38" i="1" s="1"/>
  <c r="AH26" i="1"/>
  <c r="AG26" i="1"/>
  <c r="AF26" i="1"/>
  <c r="AF38" i="1" s="1"/>
  <c r="O26" i="1"/>
  <c r="N26" i="1"/>
  <c r="M26" i="1"/>
  <c r="L26" i="1"/>
  <c r="K26" i="1"/>
  <c r="J26" i="1"/>
  <c r="I26" i="1"/>
  <c r="H26" i="1"/>
  <c r="G26" i="1"/>
  <c r="F26" i="1"/>
  <c r="E26" i="1"/>
  <c r="E38" i="1" s="1"/>
  <c r="D26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C23" i="1"/>
  <c r="AB23" i="1"/>
  <c r="AA23" i="1"/>
  <c r="Z23" i="1"/>
  <c r="Y23" i="1"/>
  <c r="X23" i="1"/>
  <c r="W23" i="1"/>
  <c r="V23" i="1"/>
  <c r="U23" i="1"/>
  <c r="T23" i="1"/>
  <c r="S23" i="1"/>
  <c r="R23" i="1"/>
  <c r="O23" i="1"/>
  <c r="N23" i="1"/>
  <c r="M23" i="1"/>
  <c r="L23" i="1"/>
  <c r="K23" i="1"/>
  <c r="J23" i="1"/>
  <c r="I23" i="1"/>
  <c r="H23" i="1"/>
  <c r="G23" i="1"/>
  <c r="F23" i="1"/>
  <c r="E23" i="1"/>
  <c r="D23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C22" i="1"/>
  <c r="AB22" i="1"/>
  <c r="AA22" i="1"/>
  <c r="Z22" i="1"/>
  <c r="Y22" i="1"/>
  <c r="X22" i="1"/>
  <c r="W22" i="1"/>
  <c r="V22" i="1"/>
  <c r="U22" i="1"/>
  <c r="T22" i="1"/>
  <c r="S22" i="1"/>
  <c r="R22" i="1"/>
  <c r="O22" i="1"/>
  <c r="N22" i="1"/>
  <c r="M22" i="1"/>
  <c r="L22" i="1"/>
  <c r="K22" i="1"/>
  <c r="J22" i="1"/>
  <c r="I22" i="1"/>
  <c r="H22" i="1"/>
  <c r="G22" i="1"/>
  <c r="F22" i="1"/>
  <c r="E22" i="1"/>
  <c r="D22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C21" i="1"/>
  <c r="AB21" i="1"/>
  <c r="AA21" i="1"/>
  <c r="Z21" i="1"/>
  <c r="Y21" i="1"/>
  <c r="X21" i="1"/>
  <c r="W21" i="1"/>
  <c r="V21" i="1"/>
  <c r="U21" i="1"/>
  <c r="T21" i="1"/>
  <c r="S21" i="1"/>
  <c r="R21" i="1"/>
  <c r="O21" i="1"/>
  <c r="N21" i="1"/>
  <c r="M21" i="1"/>
  <c r="L21" i="1"/>
  <c r="K21" i="1"/>
  <c r="J21" i="1"/>
  <c r="I21" i="1"/>
  <c r="H21" i="1"/>
  <c r="G21" i="1"/>
  <c r="F21" i="1"/>
  <c r="E21" i="1"/>
  <c r="D21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C20" i="1"/>
  <c r="AB20" i="1"/>
  <c r="AA20" i="1"/>
  <c r="Z20" i="1"/>
  <c r="Y20" i="1"/>
  <c r="X20" i="1"/>
  <c r="W20" i="1"/>
  <c r="V20" i="1"/>
  <c r="U20" i="1"/>
  <c r="T20" i="1"/>
  <c r="S20" i="1"/>
  <c r="R20" i="1"/>
  <c r="O20" i="1"/>
  <c r="N20" i="1"/>
  <c r="M20" i="1"/>
  <c r="L20" i="1"/>
  <c r="K20" i="1"/>
  <c r="J20" i="1"/>
  <c r="I20" i="1"/>
  <c r="H20" i="1"/>
  <c r="G20" i="1"/>
  <c r="F20" i="1"/>
  <c r="E20" i="1"/>
  <c r="D20" i="1"/>
  <c r="AQ19" i="1"/>
  <c r="AB19" i="1"/>
  <c r="AA19" i="1"/>
  <c r="Z19" i="1"/>
  <c r="BT17" i="1"/>
  <c r="BT23" i="1" s="1"/>
  <c r="BF17" i="1"/>
  <c r="BF23" i="1" s="1"/>
  <c r="AR17" i="1"/>
  <c r="AD17" i="1"/>
  <c r="P17" i="1"/>
  <c r="BT16" i="1"/>
  <c r="BF16" i="1"/>
  <c r="BF22" i="1" s="1"/>
  <c r="AR16" i="1"/>
  <c r="AR22" i="1" s="1"/>
  <c r="AD16" i="1"/>
  <c r="P16" i="1"/>
  <c r="P22" i="1" s="1"/>
  <c r="BT15" i="1"/>
  <c r="BT21" i="1" s="1"/>
  <c r="BF15" i="1"/>
  <c r="BF21" i="1" s="1"/>
  <c r="AR15" i="1"/>
  <c r="AD15" i="1"/>
  <c r="P15" i="1"/>
  <c r="P21" i="1" s="1"/>
  <c r="BT14" i="1"/>
  <c r="BT20" i="1" s="1"/>
  <c r="BF14" i="1"/>
  <c r="AR14" i="1"/>
  <c r="AD14" i="1"/>
  <c r="P14" i="1"/>
  <c r="P13" i="1" s="1"/>
  <c r="BS13" i="1"/>
  <c r="BR13" i="1"/>
  <c r="BR19" i="1" s="1"/>
  <c r="BQ13" i="1"/>
  <c r="BP13" i="1"/>
  <c r="BO13" i="1"/>
  <c r="BN13" i="1"/>
  <c r="BM13" i="1"/>
  <c r="BL13" i="1"/>
  <c r="BK13" i="1"/>
  <c r="BK19" i="1" s="1"/>
  <c r="BJ13" i="1"/>
  <c r="BJ19" i="1" s="1"/>
  <c r="BI13" i="1"/>
  <c r="BI19" i="1" s="1"/>
  <c r="BH13" i="1"/>
  <c r="BH19" i="1" s="1"/>
  <c r="BE13" i="1"/>
  <c r="BD13" i="1"/>
  <c r="BC13" i="1"/>
  <c r="BB13" i="1"/>
  <c r="BA13" i="1"/>
  <c r="AZ13" i="1"/>
  <c r="AY13" i="1"/>
  <c r="AX13" i="1"/>
  <c r="AW13" i="1"/>
  <c r="AV13" i="1"/>
  <c r="AU13" i="1"/>
  <c r="AU19" i="1" s="1"/>
  <c r="AT13" i="1"/>
  <c r="AT19" i="1" s="1"/>
  <c r="AQ13" i="1"/>
  <c r="AP13" i="1"/>
  <c r="AO13" i="1"/>
  <c r="AO19" i="1" s="1"/>
  <c r="AN13" i="1"/>
  <c r="AM13" i="1"/>
  <c r="AL13" i="1"/>
  <c r="AK13" i="1"/>
  <c r="AJ13" i="1"/>
  <c r="AI13" i="1"/>
  <c r="AH13" i="1"/>
  <c r="AG13" i="1"/>
  <c r="AF13" i="1"/>
  <c r="AC13" i="1"/>
  <c r="AC19" i="1" s="1"/>
  <c r="AB13" i="1"/>
  <c r="AA13" i="1"/>
  <c r="Z13" i="1"/>
  <c r="Y13" i="1"/>
  <c r="Y19" i="1" s="1"/>
  <c r="X13" i="1"/>
  <c r="X19" i="1" s="1"/>
  <c r="W13" i="1"/>
  <c r="W19" i="1" s="1"/>
  <c r="V13" i="1"/>
  <c r="U13" i="1"/>
  <c r="T13" i="1"/>
  <c r="S13" i="1"/>
  <c r="R13" i="1"/>
  <c r="O13" i="1"/>
  <c r="N13" i="1"/>
  <c r="N19" i="1" s="1"/>
  <c r="M13" i="1"/>
  <c r="L13" i="1"/>
  <c r="L19" i="1" s="1"/>
  <c r="K13" i="1"/>
  <c r="K19" i="1" s="1"/>
  <c r="J13" i="1"/>
  <c r="J19" i="1" s="1"/>
  <c r="I13" i="1"/>
  <c r="I19" i="1" s="1"/>
  <c r="H13" i="1"/>
  <c r="H19" i="1" s="1"/>
  <c r="G13" i="1"/>
  <c r="G19" i="1" s="1"/>
  <c r="F13" i="1"/>
  <c r="E13" i="1"/>
  <c r="D13" i="1"/>
  <c r="BT11" i="1"/>
  <c r="BF11" i="1"/>
  <c r="AR11" i="1"/>
  <c r="AD11" i="1"/>
  <c r="P11" i="1"/>
  <c r="P23" i="1" s="1"/>
  <c r="BT10" i="1"/>
  <c r="BF10" i="1"/>
  <c r="AR10" i="1"/>
  <c r="AD10" i="1"/>
  <c r="P10" i="1"/>
  <c r="BT9" i="1"/>
  <c r="BF9" i="1"/>
  <c r="AR9" i="1"/>
  <c r="AD9" i="1"/>
  <c r="P9" i="1"/>
  <c r="BT8" i="1"/>
  <c r="BF8" i="1"/>
  <c r="AR8" i="1"/>
  <c r="AD8" i="1"/>
  <c r="P8" i="1"/>
  <c r="BS7" i="1"/>
  <c r="BR7" i="1"/>
  <c r="BQ7" i="1"/>
  <c r="BP7" i="1"/>
  <c r="BO7" i="1"/>
  <c r="BN7" i="1"/>
  <c r="BM7" i="1"/>
  <c r="BL7" i="1"/>
  <c r="BK7" i="1"/>
  <c r="BJ7" i="1"/>
  <c r="BI7" i="1"/>
  <c r="BH7" i="1"/>
  <c r="BE7" i="1"/>
  <c r="BE19" i="1" s="1"/>
  <c r="BD7" i="1"/>
  <c r="BC7" i="1"/>
  <c r="BB7" i="1"/>
  <c r="BA7" i="1"/>
  <c r="AZ7" i="1"/>
  <c r="AY7" i="1"/>
  <c r="AX7" i="1"/>
  <c r="AW7" i="1"/>
  <c r="AV7" i="1"/>
  <c r="AU7" i="1"/>
  <c r="AT7" i="1"/>
  <c r="AQ7" i="1"/>
  <c r="AP7" i="1"/>
  <c r="AO7" i="1"/>
  <c r="AN7" i="1"/>
  <c r="AM7" i="1"/>
  <c r="AL7" i="1"/>
  <c r="AK7" i="1"/>
  <c r="AK19" i="1" s="1"/>
  <c r="AJ7" i="1"/>
  <c r="AI7" i="1"/>
  <c r="AH7" i="1"/>
  <c r="AG7" i="1"/>
  <c r="AF7" i="1"/>
  <c r="AC7" i="1"/>
  <c r="AB7" i="1"/>
  <c r="AA7" i="1"/>
  <c r="Z7" i="1"/>
  <c r="Y7" i="1"/>
  <c r="X7" i="1"/>
  <c r="W7" i="1"/>
  <c r="V7" i="1"/>
  <c r="U7" i="1"/>
  <c r="U19" i="1" s="1"/>
  <c r="T7" i="1"/>
  <c r="T19" i="1" s="1"/>
  <c r="S7" i="1"/>
  <c r="R7" i="1"/>
  <c r="O7" i="1"/>
  <c r="N7" i="1"/>
  <c r="M7" i="1"/>
  <c r="L7" i="1"/>
  <c r="K7" i="1"/>
  <c r="J7" i="1"/>
  <c r="I7" i="1"/>
  <c r="H7" i="1"/>
  <c r="G7" i="1"/>
  <c r="F7" i="1"/>
  <c r="F19" i="1" s="1"/>
  <c r="E7" i="1"/>
  <c r="E19" i="1" s="1"/>
  <c r="D7" i="1"/>
  <c r="D19" i="1" s="1"/>
  <c r="BM2" i="1"/>
  <c r="BH78" i="1" l="1"/>
  <c r="AL19" i="1"/>
  <c r="P58" i="1"/>
  <c r="BK32" i="1"/>
  <c r="BC19" i="1"/>
  <c r="AJ33" i="1"/>
  <c r="G32" i="1"/>
  <c r="BL32" i="1"/>
  <c r="J33" i="1"/>
  <c r="BP77" i="1"/>
  <c r="BH79" i="1"/>
  <c r="V19" i="1"/>
  <c r="BB19" i="1"/>
  <c r="M38" i="1"/>
  <c r="AI33" i="1"/>
  <c r="AM19" i="1"/>
  <c r="BS19" i="1"/>
  <c r="AP19" i="1"/>
  <c r="N38" i="1"/>
  <c r="AN19" i="1"/>
  <c r="BD19" i="1"/>
  <c r="P7" i="1"/>
  <c r="P19" i="1" s="1"/>
  <c r="BT7" i="1"/>
  <c r="BF13" i="1"/>
  <c r="BF19" i="1" s="1"/>
  <c r="O38" i="1"/>
  <c r="AL33" i="1"/>
  <c r="H32" i="1"/>
  <c r="K33" i="1"/>
  <c r="AJ80" i="1"/>
  <c r="BN80" i="1"/>
  <c r="BJ59" i="1"/>
  <c r="BI32" i="1"/>
  <c r="AF32" i="1"/>
  <c r="BJ32" i="1"/>
  <c r="I59" i="1"/>
  <c r="AM59" i="1"/>
  <c r="I32" i="1"/>
  <c r="L32" i="1"/>
  <c r="D76" i="1"/>
  <c r="D78" i="1" s="1"/>
  <c r="BL76" i="1"/>
  <c r="BL78" i="1" s="1"/>
  <c r="H80" i="1"/>
  <c r="BO80" i="1"/>
  <c r="J59" i="1"/>
  <c r="AN59" i="1"/>
  <c r="BS59" i="1"/>
  <c r="J32" i="1"/>
  <c r="E76" i="1"/>
  <c r="E78" i="1" s="1"/>
  <c r="BM76" i="1"/>
  <c r="BM78" i="1" s="1"/>
  <c r="AR23" i="1"/>
  <c r="O19" i="1"/>
  <c r="AF19" i="1"/>
  <c r="BL19" i="1"/>
  <c r="AD21" i="1"/>
  <c r="D38" i="1"/>
  <c r="AG38" i="1"/>
  <c r="AO59" i="1"/>
  <c r="AG59" i="1"/>
  <c r="K78" i="1"/>
  <c r="AO32" i="1"/>
  <c r="F76" i="1"/>
  <c r="BN76" i="1"/>
  <c r="AM80" i="1"/>
  <c r="BP80" i="1"/>
  <c r="AG19" i="1"/>
  <c r="AW19" i="1"/>
  <c r="AR21" i="1"/>
  <c r="AH38" i="1"/>
  <c r="F38" i="1"/>
  <c r="L76" i="1"/>
  <c r="AP76" i="1"/>
  <c r="AP78" i="1" s="1"/>
  <c r="D33" i="1"/>
  <c r="AK76" i="1"/>
  <c r="M33" i="1"/>
  <c r="E79" i="1"/>
  <c r="R19" i="1"/>
  <c r="AH19" i="1"/>
  <c r="AX19" i="1"/>
  <c r="BN19" i="1"/>
  <c r="G38" i="1"/>
  <c r="BO59" i="1"/>
  <c r="AQ76" i="1"/>
  <c r="AQ78" i="1" s="1"/>
  <c r="E33" i="1"/>
  <c r="H76" i="1"/>
  <c r="H78" i="1" s="1"/>
  <c r="AL76" i="1"/>
  <c r="AL78" i="1" s="1"/>
  <c r="N33" i="1"/>
  <c r="BH33" i="1"/>
  <c r="AJ79" i="1"/>
  <c r="BS80" i="1"/>
  <c r="S19" i="1"/>
  <c r="AI19" i="1"/>
  <c r="AY19" i="1"/>
  <c r="BO19" i="1"/>
  <c r="H38" i="1"/>
  <c r="AL38" i="1"/>
  <c r="F77" i="1"/>
  <c r="I76" i="1"/>
  <c r="I78" i="1" s="1"/>
  <c r="BQ76" i="1"/>
  <c r="BQ78" i="1" s="1"/>
  <c r="BI33" i="1"/>
  <c r="G79" i="1"/>
  <c r="AJ19" i="1"/>
  <c r="AZ19" i="1"/>
  <c r="BP19" i="1"/>
  <c r="I38" i="1"/>
  <c r="G77" i="1"/>
  <c r="AN76" i="1"/>
  <c r="AN78" i="1" s="1"/>
  <c r="BR76" i="1"/>
  <c r="BR78" i="1" s="1"/>
  <c r="H79" i="1"/>
  <c r="AL79" i="1"/>
  <c r="BP79" i="1"/>
  <c r="M77" i="1"/>
  <c r="O79" i="1"/>
  <c r="P79" i="1" s="1"/>
  <c r="BF7" i="1"/>
  <c r="BA19" i="1"/>
  <c r="BQ19" i="1"/>
  <c r="AD22" i="1"/>
  <c r="J38" i="1"/>
  <c r="AK77" i="1"/>
  <c r="AO76" i="1"/>
  <c r="AO78" i="1" s="1"/>
  <c r="AG77" i="1"/>
  <c r="AG78" i="1" s="1"/>
  <c r="I79" i="1"/>
  <c r="AM79" i="1"/>
  <c r="O76" i="1"/>
  <c r="P76" i="1" s="1"/>
  <c r="N77" i="1"/>
  <c r="N78" i="1" s="1"/>
  <c r="AR7" i="1"/>
  <c r="P20" i="1"/>
  <c r="AK33" i="1"/>
  <c r="AK2" i="1" s="1"/>
  <c r="L78" i="1"/>
  <c r="J76" i="1"/>
  <c r="J78" i="1" s="1"/>
  <c r="L80" i="1"/>
  <c r="AQ32" i="1"/>
  <c r="AO33" i="1"/>
  <c r="D32" i="1"/>
  <c r="BM32" i="1"/>
  <c r="BM1" i="1" s="1"/>
  <c r="BF20" i="1"/>
  <c r="BR32" i="1"/>
  <c r="BT61" i="1"/>
  <c r="BN32" i="1"/>
  <c r="AQ33" i="1"/>
  <c r="AR13" i="1"/>
  <c r="P57" i="1"/>
  <c r="P59" i="1" s="1"/>
  <c r="BJ79" i="1"/>
  <c r="BT26" i="1"/>
  <c r="AR57" i="1"/>
  <c r="BK79" i="1"/>
  <c r="F33" i="1"/>
  <c r="E32" i="1"/>
  <c r="AK32" i="1"/>
  <c r="AK1" i="1" s="1"/>
  <c r="BQ32" i="1"/>
  <c r="AI32" i="1"/>
  <c r="AI76" i="1"/>
  <c r="AI78" i="1" s="1"/>
  <c r="BO32" i="1"/>
  <c r="BO76" i="1"/>
  <c r="BO78" i="1" s="1"/>
  <c r="O33" i="1"/>
  <c r="O77" i="1"/>
  <c r="P77" i="1" s="1"/>
  <c r="BJ33" i="1"/>
  <c r="BJ77" i="1"/>
  <c r="BJ78" i="1" s="1"/>
  <c r="AP79" i="1"/>
  <c r="F80" i="1"/>
  <c r="AK80" i="1"/>
  <c r="BQ80" i="1"/>
  <c r="BL79" i="1"/>
  <c r="AD38" i="1"/>
  <c r="AD20" i="1"/>
  <c r="AD23" i="1"/>
  <c r="BT22" i="1"/>
  <c r="AF79" i="1"/>
  <c r="AP32" i="1"/>
  <c r="AM33" i="1"/>
  <c r="BT13" i="1"/>
  <c r="BT19" i="1" s="1"/>
  <c r="BH32" i="1"/>
  <c r="AG32" i="1"/>
  <c r="F32" i="1"/>
  <c r="AH32" i="1"/>
  <c r="L33" i="1"/>
  <c r="BI79" i="1"/>
  <c r="AD7" i="1"/>
  <c r="AR26" i="1"/>
  <c r="BT59" i="1"/>
  <c r="AP80" i="1"/>
  <c r="BM19" i="1"/>
  <c r="M19" i="1"/>
  <c r="AD13" i="1"/>
  <c r="AD19" i="1" s="1"/>
  <c r="AV19" i="1"/>
  <c r="M32" i="1"/>
  <c r="AJ76" i="1"/>
  <c r="AJ78" i="1" s="1"/>
  <c r="BP76" i="1"/>
  <c r="P71" i="1"/>
  <c r="BK77" i="1"/>
  <c r="BK78" i="1" s="1"/>
  <c r="K79" i="1"/>
  <c r="AQ79" i="1"/>
  <c r="G80" i="1"/>
  <c r="AL80" i="1"/>
  <c r="BR80" i="1"/>
  <c r="K32" i="1"/>
  <c r="P27" i="1"/>
  <c r="P38" i="1" s="1"/>
  <c r="AF33" i="1"/>
  <c r="AF77" i="1"/>
  <c r="AF78" i="1" s="1"/>
  <c r="O78" i="1"/>
  <c r="P78" i="1" s="1"/>
  <c r="AR58" i="1"/>
  <c r="AR27" i="1"/>
  <c r="M78" i="1"/>
  <c r="P66" i="1"/>
  <c r="G76" i="1"/>
  <c r="AM76" i="1"/>
  <c r="AM78" i="1" s="1"/>
  <c r="BS76" i="1"/>
  <c r="BS78" i="1" s="1"/>
  <c r="AH33" i="1"/>
  <c r="BN77" i="1"/>
  <c r="BN78" i="1" s="1"/>
  <c r="BT27" i="1"/>
  <c r="AH77" i="1"/>
  <c r="AH78" i="1" s="1"/>
  <c r="BP78" i="1" l="1"/>
  <c r="F78" i="1"/>
  <c r="AR38" i="1"/>
  <c r="AK78" i="1"/>
  <c r="G78" i="1"/>
  <c r="AR59" i="1"/>
  <c r="BT38" i="1"/>
  <c r="AR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AT5" authorId="0" shapeId="0" xr:uid="{6C28BF8D-1975-4AB4-BC14-E7CA14C54A86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sản lượng đang lấy theo Nam KH</t>
        </r>
      </text>
    </comment>
  </commentList>
</comments>
</file>

<file path=xl/sharedStrings.xml><?xml version="1.0" encoding="utf-8"?>
<sst xmlns="http://schemas.openxmlformats.org/spreadsheetml/2006/main" count="100" uniqueCount="32">
  <si>
    <t>DỮ LIỆU THU MUA/HAO HỤT</t>
  </si>
  <si>
    <t>KH25</t>
  </si>
  <si>
    <t>KH26</t>
  </si>
  <si>
    <t>CHỈ TIÊU</t>
  </si>
  <si>
    <t>Đvt</t>
  </si>
  <si>
    <t>Tổng</t>
  </si>
  <si>
    <t>SẢN LƯỢNG</t>
  </si>
  <si>
    <t>kg</t>
  </si>
  <si>
    <t>Chai rPET</t>
  </si>
  <si>
    <t>Vảy rPET</t>
  </si>
  <si>
    <t>rHDPE</t>
  </si>
  <si>
    <t>rPP</t>
  </si>
  <si>
    <t>GIÁ TRỊ</t>
  </si>
  <si>
    <t>VND</t>
  </si>
  <si>
    <t>ĐƠN GIÁ TRUNG BÌNH</t>
  </si>
  <si>
    <t>VND/kg</t>
  </si>
  <si>
    <t>HAO HỤT-THÁNG</t>
  </si>
  <si>
    <t>HAO HỤT-LŨY KẾ</t>
  </si>
  <si>
    <t>Hao hụt Chai+Vảy PET</t>
  </si>
  <si>
    <t>rPET</t>
  </si>
  <si>
    <t>NGUYÊN VẬT LIỆU</t>
  </si>
  <si>
    <t>Băm (lấy chai)</t>
  </si>
  <si>
    <t>Rửa (lấy vảy)</t>
  </si>
  <si>
    <t>Băm | Rửa (lấy chai)</t>
  </si>
  <si>
    <t>Tạo hạt</t>
  </si>
  <si>
    <t>SPC+SPP</t>
  </si>
  <si>
    <t>TỶ LỆ THU HỒI</t>
  </si>
  <si>
    <r>
      <t xml:space="preserve">Băm </t>
    </r>
    <r>
      <rPr>
        <b/>
        <sz val="11"/>
        <color theme="1"/>
        <rFont val="Wingdings 3"/>
        <family val="1"/>
        <charset val="2"/>
      </rPr>
      <t></t>
    </r>
    <r>
      <rPr>
        <b/>
        <sz val="11"/>
        <color theme="1"/>
        <rFont val="Aptos Narrow"/>
        <family val="2"/>
        <scheme val="minor"/>
      </rPr>
      <t xml:space="preserve">  Rửa</t>
    </r>
  </si>
  <si>
    <t>NGUYÊN VẬT LIỆU-LŨY KẾ</t>
  </si>
  <si>
    <t>SPC+SPP-LŨY KẾ</t>
  </si>
  <si>
    <t>TỶ LỆ THU HỒI-LŨY KẾ</t>
  </si>
  <si>
    <t>Băm   Rửa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</si>
</sst>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%;\-0.0%;;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rgb="FF119303"/>
      <name val="Aptos Narrow"/>
      <family val="2"/>
      <scheme val="minor"/>
    </font>
    <font>
      <sz val="15"/>
      <color rgb="FF11930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3"/>
      <color rgb="FFC00000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11"/>
      <color theme="1"/>
      <name val="Wingdings 3"/>
      <family val="1"/>
      <charset val="2"/>
    </font>
    <font>
      <b/>
      <sz val="12"/>
      <color theme="7" tint="-0.249977111117893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1930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11" fontId="0" fillId="0" borderId="0" xfId="0" applyNumberFormat="1"/>
    <xf numFmtId="43" fontId="0" fillId="0" borderId="0" xfId="0" applyNumberFormat="1"/>
    <xf numFmtId="0" fontId="2" fillId="0" borderId="0" xfId="0" applyFont="1"/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5" fillId="3" borderId="0" xfId="0" applyFont="1" applyFill="1"/>
    <xf numFmtId="0" fontId="5" fillId="3" borderId="0" xfId="0" applyFont="1" applyFill="1" applyAlignment="1">
      <alignment horizontal="right"/>
    </xf>
    <xf numFmtId="0" fontId="5" fillId="4" borderId="0" xfId="0" applyFont="1" applyFill="1"/>
    <xf numFmtId="0" fontId="5" fillId="4" borderId="0" xfId="0" applyFont="1" applyFill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1" xfId="0" applyFont="1" applyBorder="1"/>
    <xf numFmtId="164" fontId="4" fillId="0" borderId="1" xfId="1" applyNumberFormat="1" applyFont="1" applyBorder="1"/>
    <xf numFmtId="0" fontId="0" fillId="0" borderId="2" xfId="0" applyBorder="1"/>
    <xf numFmtId="164" fontId="0" fillId="0" borderId="2" xfId="1" applyNumberFormat="1" applyFont="1" applyBorder="1"/>
    <xf numFmtId="0" fontId="0" fillId="0" borderId="3" xfId="0" applyBorder="1"/>
    <xf numFmtId="164" fontId="0" fillId="0" borderId="3" xfId="1" applyNumberFormat="1" applyFont="1" applyBorder="1"/>
    <xf numFmtId="164" fontId="0" fillId="0" borderId="0" xfId="1" applyNumberFormat="1" applyFont="1"/>
    <xf numFmtId="164" fontId="0" fillId="0" borderId="0" xfId="1" applyNumberFormat="1" applyFont="1" applyFill="1"/>
    <xf numFmtId="164" fontId="4" fillId="0" borderId="1" xfId="1" applyNumberFormat="1" applyFont="1" applyFill="1" applyBorder="1"/>
    <xf numFmtId="165" fontId="0" fillId="0" borderId="2" xfId="0" applyNumberFormat="1" applyBorder="1"/>
    <xf numFmtId="165" fontId="0" fillId="0" borderId="3" xfId="0" applyNumberFormat="1" applyBorder="1"/>
    <xf numFmtId="165" fontId="0" fillId="6" borderId="3" xfId="0" applyNumberFormat="1" applyFill="1" applyBorder="1"/>
    <xf numFmtId="165" fontId="0" fillId="0" borderId="0" xfId="0" applyNumberFormat="1"/>
    <xf numFmtId="0" fontId="6" fillId="0" borderId="0" xfId="0" applyFont="1"/>
    <xf numFmtId="165" fontId="6" fillId="0" borderId="0" xfId="0" applyNumberFormat="1" applyFont="1"/>
    <xf numFmtId="0" fontId="0" fillId="0" borderId="4" xfId="0" applyBorder="1"/>
    <xf numFmtId="0" fontId="7" fillId="0" borderId="0" xfId="0" applyFont="1"/>
    <xf numFmtId="0" fontId="8" fillId="0" borderId="0" xfId="0" applyFont="1"/>
    <xf numFmtId="164" fontId="8" fillId="0" borderId="0" xfId="1" applyNumberFormat="1" applyFont="1"/>
    <xf numFmtId="164" fontId="4" fillId="0" borderId="3" xfId="1" applyNumberFormat="1" applyFont="1" applyBorder="1"/>
    <xf numFmtId="164" fontId="0" fillId="0" borderId="3" xfId="1" applyNumberFormat="1" applyFont="1" applyFill="1" applyBorder="1"/>
    <xf numFmtId="164" fontId="4" fillId="0" borderId="3" xfId="1" applyNumberFormat="1" applyFont="1" applyFill="1" applyBorder="1"/>
    <xf numFmtId="0" fontId="9" fillId="0" borderId="3" xfId="0" applyFont="1" applyBorder="1"/>
    <xf numFmtId="0" fontId="9" fillId="0" borderId="0" xfId="0" applyFont="1"/>
    <xf numFmtId="164" fontId="9" fillId="0" borderId="3" xfId="1" applyNumberFormat="1" applyFont="1" applyBorder="1"/>
    <xf numFmtId="164" fontId="10" fillId="0" borderId="3" xfId="1" applyNumberFormat="1" applyFont="1" applyBorder="1"/>
    <xf numFmtId="164" fontId="9" fillId="0" borderId="3" xfId="1" applyNumberFormat="1" applyFont="1" applyFill="1" applyBorder="1"/>
    <xf numFmtId="164" fontId="10" fillId="0" borderId="3" xfId="1" applyNumberFormat="1" applyFont="1" applyFill="1" applyBorder="1"/>
    <xf numFmtId="164" fontId="8" fillId="0" borderId="0" xfId="1" applyNumberFormat="1" applyFont="1" applyFill="1"/>
    <xf numFmtId="0" fontId="8" fillId="7" borderId="0" xfId="0" applyFont="1" applyFill="1"/>
    <xf numFmtId="166" fontId="8" fillId="7" borderId="0" xfId="0" applyNumberFormat="1" applyFont="1" applyFill="1"/>
    <xf numFmtId="166" fontId="8" fillId="7" borderId="0" xfId="1" applyNumberFormat="1" applyFont="1" applyFill="1"/>
    <xf numFmtId="0" fontId="0" fillId="7" borderId="3" xfId="0" applyFill="1" applyBorder="1"/>
    <xf numFmtId="166" fontId="0" fillId="7" borderId="3" xfId="1" applyNumberFormat="1" applyFont="1" applyFill="1" applyBorder="1"/>
    <xf numFmtId="166" fontId="4" fillId="7" borderId="3" xfId="1" applyNumberFormat="1" applyFont="1" applyFill="1" applyBorder="1"/>
    <xf numFmtId="165" fontId="0" fillId="7" borderId="3" xfId="0" applyNumberFormat="1" applyFill="1" applyBorder="1"/>
    <xf numFmtId="166" fontId="0" fillId="7" borderId="3" xfId="0" applyNumberFormat="1" applyFill="1" applyBorder="1"/>
    <xf numFmtId="0" fontId="4" fillId="8" borderId="3" xfId="0" applyFont="1" applyFill="1" applyBorder="1"/>
    <xf numFmtId="166" fontId="4" fillId="8" borderId="3" xfId="1" applyNumberFormat="1" applyFont="1" applyFill="1" applyBorder="1"/>
    <xf numFmtId="165" fontId="4" fillId="0" borderId="0" xfId="0" applyNumberFormat="1" applyFont="1"/>
    <xf numFmtId="165" fontId="4" fillId="8" borderId="3" xfId="0" applyNumberFormat="1" applyFont="1" applyFill="1" applyBorder="1"/>
    <xf numFmtId="166" fontId="4" fillId="8" borderId="3" xfId="0" applyNumberFormat="1" applyFont="1" applyFill="1" applyBorder="1"/>
    <xf numFmtId="0" fontId="10" fillId="8" borderId="3" xfId="0" applyFont="1" applyFill="1" applyBorder="1"/>
    <xf numFmtId="0" fontId="10" fillId="0" borderId="0" xfId="0" applyFont="1"/>
    <xf numFmtId="166" fontId="10" fillId="8" borderId="3" xfId="1" applyNumberFormat="1" applyFont="1" applyFill="1" applyBorder="1"/>
    <xf numFmtId="165" fontId="10" fillId="0" borderId="0" xfId="0" applyNumberFormat="1" applyFont="1"/>
    <xf numFmtId="165" fontId="10" fillId="8" borderId="3" xfId="0" applyNumberFormat="1" applyFont="1" applyFill="1" applyBorder="1"/>
    <xf numFmtId="166" fontId="10" fillId="8" borderId="3" xfId="0" applyNumberFormat="1" applyFont="1" applyFill="1" applyBorder="1"/>
    <xf numFmtId="0" fontId="12" fillId="0" borderId="0" xfId="0" applyFont="1"/>
    <xf numFmtId="164" fontId="12" fillId="0" borderId="0" xfId="1" applyNumberFormat="1" applyFont="1"/>
    <xf numFmtId="0" fontId="12" fillId="7" borderId="0" xfId="0" applyFont="1" applyFill="1"/>
    <xf numFmtId="166" fontId="12" fillId="7" borderId="0" xfId="0" applyNumberFormat="1" applyFont="1" applyFill="1"/>
    <xf numFmtId="164" fontId="12" fillId="7" borderId="0" xfId="1" applyNumberFormat="1" applyFont="1" applyFill="1"/>
    <xf numFmtId="165" fontId="0" fillId="7" borderId="3" xfId="1" applyNumberFormat="1" applyFont="1" applyFill="1" applyBorder="1"/>
    <xf numFmtId="165" fontId="4" fillId="7" borderId="3" xfId="1" applyNumberFormat="1" applyFont="1" applyFill="1" applyBorder="1"/>
    <xf numFmtId="165" fontId="4" fillId="8" borderId="3" xfId="1" applyNumberFormat="1" applyFont="1" applyFill="1" applyBorder="1"/>
    <xf numFmtId="165" fontId="10" fillId="8" borderId="3" xfId="1" applyNumberFormat="1" applyFont="1" applyFill="1" applyBorder="1"/>
    <xf numFmtId="1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tg-my.sharepoint.com/personal/nguyenthithanhdiem_duytanrecycling_com/Documents/KTQT/14.%20BC%20GI&#7842;M%20GI&#193;%20TH&#192;NH/2026/00.%20B&#7843;ng%20T&#237;nh%20Gi&#225;%20Tr&#7883;%20C&#7843;i%20Ti&#7871;n%20Ti&#7871;t%20Ki&#7879;m%20N&#259;m%202026%20-%20T03.26%20-%20&#272;i&#7873;u%20ch&#7881;nh%20thu&#234;%20x&#432;&#7903;ng,%20thu&#234;%20m&#225;y%20(gom%20l&#7841;i%20627+632)%20-%20Xem%20t&#225;ch%20chai,v&#7843;y%20PET.xlsx" TargetMode="External"/><Relationship Id="rId2" Type="http://schemas.microsoft.com/office/2019/04/relationships/externalLinkLongPath" Target="https://dtg-my.sharepoint.com/personal/nguyenthithanhdiem_duytanrecycling_com/Documents/KTQT/14.%20BC%20GI&#7842;M%20GI&#193;%20TH&#192;NH/2026/00.%20B&#7843;ng%20T&#237;nh%20Gi&#225;%20Tr&#7883;%20C&#7843;i%20Ti&#7871;n%20Ti&#7871;t%20Ki&#7879;m%20N&#259;m%202026%20-%20T03.26%20-%20&#272;i&#7873;u%20ch&#7881;nh%20thu&#234;%20x&#432;&#7903;ng,%20thu&#234;%20m&#225;y%20(gom%20l&#7841;i%20627+632)%20-%20Xem%20t&#225;ch%20chai,v&#7843;y%20PET.xlsx?B65DEE3D" TargetMode="External"/><Relationship Id="rId1" Type="http://schemas.openxmlformats.org/officeDocument/2006/relationships/externalLinkPath" Target="file:///\\B65DEE3D\00.%20B&#7843;ng%20T&#237;nh%20Gi&#225;%20Tr&#7883;%20C&#7843;i%20Ti&#7871;n%20Ti&#7871;t%20Ki&#7879;m%20N&#259;m%202026%20-%20T03.26%20-%20&#272;i&#7873;u%20ch&#7881;nh%20thu&#234;%20x&#432;&#7903;ng,%20thu&#234;%20m&#225;y%20(gom%20l&#7841;i%20627+632)%20-%20Xem%20t&#225;ch%20chai,v&#7843;y%20P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&gt;PowerPoint"/>
      <sheetName val="Định nghĩa"/>
      <sheetName val="Nội dung"/>
      <sheetName val="Trình bày"/>
      <sheetName val="Tóm tắt"/>
      <sheetName val="Thống kê theo phân loại"/>
      <sheetName val="GTTK chung"/>
      <sheetName val="tiết kiệm CP-tấn"/>
      <sheetName val="PET-HDPE"/>
      <sheetName val="||"/>
      <sheetName val="Chụp hình"/>
      <sheetName val="Trình Bày-Tháng-DIỄM"/>
      <sheetName val="Data-Vẽ-Tháng"/>
      <sheetName val="Trình Bày-LK"/>
      <sheetName val="Data-Vẽ-LK"/>
      <sheetName val="Trình Bày-MoM"/>
      <sheetName val="Data-Vẽ -MoM"/>
      <sheetName val="Trình Bày-CYvsPY-DIỄM"/>
      <sheetName val="Data-Vẽ -CYvsPY"/>
      <sheetName val="Tác động-GM"/>
      <sheetName val="Tác động-GM-Nháp"/>
      <sheetName val="Tác động-GM-Data"/>
      <sheetName val="Nháp"/>
      <sheetName val="Nháp_2"/>
      <sheetName val="&gt;KMP"/>
      <sheetName val="18 KMP- Tháng (Tâm)"/>
      <sheetName val="18 KMP- Tháng"/>
      <sheetName val="48 KMP -Tháng"/>
      <sheetName val="&gt;Cải tiến"/>
      <sheetName val="&gt;Phòng ban"/>
      <sheetName val="KH Hành động"/>
      <sheetName val="SX PET"/>
      <sheetName val=" SX HDPE.PP"/>
      <sheetName val="Kỹ Thuật"/>
      <sheetName val="Phòng mua-XNK"/>
      <sheetName val="QLCL"/>
      <sheetName val="Phòng cung ứng"/>
      <sheetName val="KTQT"/>
      <sheetName val="CFO"/>
      <sheetName val="Kho"/>
      <sheetName val="Phòng R&amp;D"/>
      <sheetName val="Nhân sự"/>
      <sheetName val="Kinh doanh"/>
      <sheetName val="VPGĐ"/>
      <sheetName val="Kế hoạch"/>
      <sheetName val="KTTC"/>
      <sheetName val="Phân bổ của TĐH"/>
      <sheetName val="&gt;Khác"/>
      <sheetName val="MD"/>
      <sheetName val="VD Cấu trúc lương theo bậc"/>
      <sheetName val="Tiết kiệm quy đổi từ cải tiến"/>
      <sheetName val="Data_Rửa"/>
    </sheetNames>
    <sheetDataSet>
      <sheetData sheetId="0">
        <row r="2">
          <cell r="B2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4">
          <cell r="B4" t="str">
            <v>Tăng năng suất</v>
          </cell>
        </row>
        <row r="5">
          <cell r="B5" t="str">
            <v>Tự động hóa</v>
          </cell>
        </row>
        <row r="6">
          <cell r="B6" t="str">
            <v>Giảm hao hụt trong sản xuất</v>
          </cell>
        </row>
        <row r="7">
          <cell r="B7" t="str">
            <v>Tiết kiệm năng lượng</v>
          </cell>
        </row>
        <row r="8">
          <cell r="B8" t="str">
            <v>Giảm tỷ lệ phó sản</v>
          </cell>
        </row>
        <row r="9">
          <cell r="B9" t="str">
            <v>Gia tăng giá trị phó sản</v>
          </cell>
        </row>
        <row r="10">
          <cell r="B10" t="str">
            <v>Kiểm soát giá mua</v>
          </cell>
        </row>
        <row r="11">
          <cell r="B11" t="str">
            <v>Khác</v>
          </cell>
        </row>
        <row r="19">
          <cell r="A19" t="str">
            <v>SX PET</v>
          </cell>
        </row>
        <row r="20">
          <cell r="A20" t="str">
            <v>SX HDPE</v>
          </cell>
        </row>
        <row r="21">
          <cell r="A21" t="str">
            <v>Tự động hóa</v>
          </cell>
        </row>
        <row r="22">
          <cell r="A22" t="str">
            <v>Phòng Mua</v>
          </cell>
        </row>
        <row r="23">
          <cell r="A23" t="str">
            <v>Kỹ Thuật</v>
          </cell>
        </row>
        <row r="24">
          <cell r="A24" t="str">
            <v>Kế Toán Quản Trị</v>
          </cell>
        </row>
        <row r="25">
          <cell r="A25" t="str">
            <v>Kế Toán Tài Chính</v>
          </cell>
        </row>
        <row r="26">
          <cell r="A26" t="str">
            <v>Quản Lý Chất Lượng HDPE</v>
          </cell>
        </row>
        <row r="27">
          <cell r="A27" t="str">
            <v>Quản Lý Chất Lượng PET</v>
          </cell>
        </row>
        <row r="28">
          <cell r="A28" t="str">
            <v>Kho</v>
          </cell>
        </row>
        <row r="29">
          <cell r="A29" t="str">
            <v>Cung ứng</v>
          </cell>
        </row>
        <row r="30">
          <cell r="A30" t="str">
            <v>R&amp;D</v>
          </cell>
        </row>
        <row r="31">
          <cell r="A31" t="str">
            <v>CFO</v>
          </cell>
        </row>
        <row r="32">
          <cell r="A32" t="str">
            <v>Nhân sự</v>
          </cell>
        </row>
        <row r="33">
          <cell r="A33" t="str">
            <v>Kinh doanh</v>
          </cell>
        </row>
        <row r="34">
          <cell r="A34" t="str">
            <v>Kế hoạch</v>
          </cell>
        </row>
        <row r="35">
          <cell r="A35" t="str">
            <v>VPGĐ</v>
          </cell>
        </row>
        <row r="36">
          <cell r="A36" t="str">
            <v>QTHT</v>
          </cell>
        </row>
      </sheetData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F991-F48C-4894-AE95-8AD0DFA26A42}">
  <dimension ref="A1:BW92"/>
  <sheetViews>
    <sheetView showGridLines="0" tabSelected="1" zoomScale="102" zoomScaleNormal="85" workbookViewId="0">
      <pane xSplit="3" ySplit="6" topLeftCell="BQ69" activePane="bottomRight" state="frozen"/>
      <selection activeCell="AQ3" sqref="AQ3"/>
      <selection pane="topRight" activeCell="AQ3" sqref="AQ3"/>
      <selection pane="bottomLeft" activeCell="AQ3" sqref="AQ3"/>
      <selection pane="bottomRight" activeCell="BQ84" sqref="BQ84"/>
    </sheetView>
  </sheetViews>
  <sheetFormatPr defaultRowHeight="14.5" outlineLevelRow="1" outlineLevelCol="1" x14ac:dyDescent="0.35"/>
  <cols>
    <col min="1" max="1" width="35.453125" customWidth="1"/>
    <col min="2" max="2" width="7.453125" customWidth="1"/>
    <col min="3" max="3" width="1" customWidth="1"/>
    <col min="4" max="4" width="16.453125" customWidth="1"/>
    <col min="5" max="14" width="16.453125" hidden="1" customWidth="1" outlineLevel="1"/>
    <col min="15" max="15" width="16.453125" customWidth="1" collapsed="1"/>
    <col min="16" max="16" width="17.453125" customWidth="1"/>
    <col min="17" max="17" width="2.1796875" customWidth="1"/>
    <col min="18" max="18" width="15.1796875" customWidth="1"/>
    <col min="19" max="26" width="15.1796875" hidden="1" customWidth="1" outlineLevel="1"/>
    <col min="27" max="28" width="16.1796875" hidden="1" customWidth="1" outlineLevel="1"/>
    <col min="29" max="29" width="16.1796875" customWidth="1" collapsed="1"/>
    <col min="30" max="30" width="18" customWidth="1"/>
    <col min="31" max="31" width="2.1796875" customWidth="1"/>
    <col min="32" max="32" width="16.453125" customWidth="1"/>
    <col min="33" max="42" width="16.453125" hidden="1" customWidth="1" outlineLevel="1"/>
    <col min="43" max="43" width="16.453125" customWidth="1" collapsed="1"/>
    <col min="44" max="44" width="17.453125" customWidth="1"/>
    <col min="45" max="45" width="1.81640625" customWidth="1"/>
    <col min="46" max="46" width="15.26953125" bestFit="1" customWidth="1"/>
    <col min="47" max="56" width="15.26953125" hidden="1" customWidth="1" outlineLevel="1"/>
    <col min="57" max="57" width="15.26953125" bestFit="1" customWidth="1" collapsed="1"/>
    <col min="58" max="58" width="16.26953125" bestFit="1" customWidth="1"/>
    <col min="59" max="59" width="2.1796875" customWidth="1"/>
    <col min="60" max="62" width="16.453125" customWidth="1"/>
    <col min="63" max="70" width="16.453125" customWidth="1" outlineLevel="1"/>
    <col min="71" max="71" width="16.453125" customWidth="1"/>
    <col min="72" max="72" width="17.453125" customWidth="1"/>
    <col min="73" max="73" width="1.81640625" customWidth="1"/>
    <col min="75" max="75" width="13.26953125" bestFit="1" customWidth="1"/>
  </cols>
  <sheetData>
    <row r="1" spans="1:72" x14ac:dyDescent="0.35">
      <c r="R1" s="1"/>
      <c r="AK1" s="2">
        <f>SUM(AF8:AK8)*(1-AK32)</f>
        <v>8619308.4918564949</v>
      </c>
      <c r="BM1" s="2">
        <f>SUM(BH8:BM8)*(1-BM32)</f>
        <v>3873196.1921612029</v>
      </c>
    </row>
    <row r="2" spans="1:72" s="4" customFormat="1" ht="19.5" x14ac:dyDescent="0.45">
      <c r="A2" s="3" t="s">
        <v>0</v>
      </c>
      <c r="R2" s="5"/>
      <c r="AK2" s="2">
        <f>SUM(AF9:AK9)*(1-AK33)</f>
        <v>11445353.800100584</v>
      </c>
      <c r="BM2" s="2">
        <f>SUM(BH9:BM9)*(1-BM33)</f>
        <v>4765618</v>
      </c>
    </row>
    <row r="3" spans="1:72" x14ac:dyDescent="0.35">
      <c r="R3" s="1"/>
    </row>
    <row r="4" spans="1:72" x14ac:dyDescent="0.35">
      <c r="D4" s="6">
        <v>2024</v>
      </c>
      <c r="R4" s="6" t="s">
        <v>1</v>
      </c>
      <c r="AF4" s="6">
        <v>2025</v>
      </c>
      <c r="AL4" s="7"/>
      <c r="AT4" s="6" t="s">
        <v>2</v>
      </c>
      <c r="BH4" s="6">
        <v>2026</v>
      </c>
      <c r="BN4" s="7"/>
    </row>
    <row r="5" spans="1:72" s="6" customFormat="1" x14ac:dyDescent="0.35">
      <c r="A5" s="8" t="s">
        <v>3</v>
      </c>
      <c r="B5" s="8" t="s">
        <v>4</v>
      </c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10" t="s">
        <v>5</v>
      </c>
      <c r="R5" s="11">
        <v>1</v>
      </c>
      <c r="S5" s="11">
        <v>2</v>
      </c>
      <c r="T5" s="11">
        <v>3</v>
      </c>
      <c r="U5" s="11">
        <v>4</v>
      </c>
      <c r="V5" s="11">
        <v>5</v>
      </c>
      <c r="W5" s="11">
        <v>6</v>
      </c>
      <c r="X5" s="11">
        <v>7</v>
      </c>
      <c r="Y5" s="11">
        <v>8</v>
      </c>
      <c r="Z5" s="11">
        <v>9</v>
      </c>
      <c r="AA5" s="11">
        <v>10</v>
      </c>
      <c r="AB5" s="11">
        <v>11</v>
      </c>
      <c r="AC5" s="11">
        <v>12</v>
      </c>
      <c r="AD5" s="12" t="s">
        <v>5</v>
      </c>
      <c r="AF5" s="9">
        <v>1</v>
      </c>
      <c r="AG5" s="9">
        <v>2</v>
      </c>
      <c r="AH5" s="9">
        <v>3</v>
      </c>
      <c r="AI5" s="9">
        <v>4</v>
      </c>
      <c r="AJ5" s="9">
        <v>5</v>
      </c>
      <c r="AK5" s="9">
        <v>6</v>
      </c>
      <c r="AL5" s="9">
        <v>7</v>
      </c>
      <c r="AM5" s="9">
        <v>8</v>
      </c>
      <c r="AN5" s="9">
        <v>9</v>
      </c>
      <c r="AO5" s="9">
        <v>10</v>
      </c>
      <c r="AP5" s="9">
        <v>11</v>
      </c>
      <c r="AQ5" s="9">
        <v>12</v>
      </c>
      <c r="AR5" s="10" t="s">
        <v>5</v>
      </c>
      <c r="AT5" s="11">
        <v>1</v>
      </c>
      <c r="AU5" s="11">
        <v>2</v>
      </c>
      <c r="AV5" s="11">
        <v>3</v>
      </c>
      <c r="AW5" s="11">
        <v>4</v>
      </c>
      <c r="AX5" s="11">
        <v>5</v>
      </c>
      <c r="AY5" s="11">
        <v>6</v>
      </c>
      <c r="AZ5" s="11">
        <v>7</v>
      </c>
      <c r="BA5" s="11">
        <v>8</v>
      </c>
      <c r="BB5" s="11">
        <v>9</v>
      </c>
      <c r="BC5" s="11">
        <v>10</v>
      </c>
      <c r="BD5" s="11">
        <v>11</v>
      </c>
      <c r="BE5" s="11">
        <v>12</v>
      </c>
      <c r="BF5" s="12" t="s">
        <v>5</v>
      </c>
      <c r="BH5" s="13">
        <v>1</v>
      </c>
      <c r="BI5" s="13">
        <v>2</v>
      </c>
      <c r="BJ5" s="13">
        <v>3</v>
      </c>
      <c r="BK5" s="13">
        <v>4</v>
      </c>
      <c r="BL5" s="13">
        <v>5</v>
      </c>
      <c r="BM5" s="13">
        <v>6</v>
      </c>
      <c r="BN5" s="13">
        <v>7</v>
      </c>
      <c r="BO5" s="13">
        <v>8</v>
      </c>
      <c r="BP5" s="13">
        <v>9</v>
      </c>
      <c r="BQ5" s="13">
        <v>10</v>
      </c>
      <c r="BR5" s="13">
        <v>11</v>
      </c>
      <c r="BS5" s="13">
        <v>12</v>
      </c>
      <c r="BT5" s="14" t="s">
        <v>5</v>
      </c>
    </row>
    <row r="6" spans="1:72" ht="3" customHeight="1" x14ac:dyDescent="0.35"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5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15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15"/>
    </row>
    <row r="7" spans="1:72" s="6" customFormat="1" x14ac:dyDescent="0.35">
      <c r="A7" s="16" t="s">
        <v>6</v>
      </c>
      <c r="B7" s="16" t="s">
        <v>7</v>
      </c>
      <c r="D7" s="17">
        <f>SUM(D8:D11)</f>
        <v>4104592.48</v>
      </c>
      <c r="E7" s="17">
        <f t="shared" ref="E7:AD7" si="0">SUM(E8:E11)</f>
        <v>2382651.12</v>
      </c>
      <c r="F7" s="17">
        <f t="shared" si="0"/>
        <v>5042694.76</v>
      </c>
      <c r="G7" s="17">
        <f t="shared" si="0"/>
        <v>4387895.5600000005</v>
      </c>
      <c r="H7" s="17">
        <f t="shared" si="0"/>
        <v>5331010.32</v>
      </c>
      <c r="I7" s="17">
        <f t="shared" si="0"/>
        <v>4637671.08</v>
      </c>
      <c r="J7" s="17">
        <f t="shared" si="0"/>
        <v>2546152.36</v>
      </c>
      <c r="K7" s="17">
        <f t="shared" si="0"/>
        <v>2972537.4</v>
      </c>
      <c r="L7" s="17">
        <f t="shared" si="0"/>
        <v>4928940.08</v>
      </c>
      <c r="M7" s="17">
        <f t="shared" si="0"/>
        <v>4282104.8</v>
      </c>
      <c r="N7" s="17">
        <f t="shared" si="0"/>
        <v>4185072.16</v>
      </c>
      <c r="O7" s="17">
        <f t="shared" si="0"/>
        <v>3934551.32</v>
      </c>
      <c r="P7" s="17">
        <f t="shared" si="0"/>
        <v>48735873.439999998</v>
      </c>
      <c r="R7" s="17">
        <f t="shared" si="0"/>
        <v>4140000</v>
      </c>
      <c r="S7" s="17">
        <f t="shared" si="0"/>
        <v>4290000</v>
      </c>
      <c r="T7" s="17">
        <f t="shared" si="0"/>
        <v>5215000</v>
      </c>
      <c r="U7" s="17">
        <f t="shared" si="0"/>
        <v>5155000</v>
      </c>
      <c r="V7" s="17">
        <f t="shared" si="0"/>
        <v>5305000</v>
      </c>
      <c r="W7" s="17">
        <f t="shared" si="0"/>
        <v>5265000</v>
      </c>
      <c r="X7" s="17">
        <f t="shared" si="0"/>
        <v>5425000</v>
      </c>
      <c r="Y7" s="17">
        <f t="shared" si="0"/>
        <v>5375000</v>
      </c>
      <c r="Z7" s="17">
        <f t="shared" si="0"/>
        <v>5435000</v>
      </c>
      <c r="AA7" s="17">
        <f t="shared" si="0"/>
        <v>5445000</v>
      </c>
      <c r="AB7" s="17">
        <f t="shared" si="0"/>
        <v>5495000</v>
      </c>
      <c r="AC7" s="17">
        <f t="shared" si="0"/>
        <v>5455000</v>
      </c>
      <c r="AD7" s="17">
        <f t="shared" si="0"/>
        <v>62000000</v>
      </c>
      <c r="AF7" s="17">
        <f>SUM(AF8:AF11)</f>
        <v>1725373</v>
      </c>
      <c r="AG7" s="17">
        <f t="shared" ref="AG7:AR7" si="1">SUM(AG8:AG11)</f>
        <v>2432703.36</v>
      </c>
      <c r="AH7" s="17">
        <f t="shared" si="1"/>
        <v>4401834.28</v>
      </c>
      <c r="AI7" s="17">
        <f t="shared" si="1"/>
        <v>6853696</v>
      </c>
      <c r="AJ7" s="17">
        <f t="shared" si="1"/>
        <v>5297102</v>
      </c>
      <c r="AK7" s="17">
        <f t="shared" si="1"/>
        <v>4829869</v>
      </c>
      <c r="AL7" s="17">
        <f t="shared" si="1"/>
        <v>4950858.040000001</v>
      </c>
      <c r="AM7" s="17">
        <f t="shared" si="1"/>
        <v>6367826.2000000002</v>
      </c>
      <c r="AN7" s="17">
        <f t="shared" si="1"/>
        <v>3608205.1199999996</v>
      </c>
      <c r="AO7" s="17">
        <f t="shared" si="1"/>
        <v>3341959.12</v>
      </c>
      <c r="AP7" s="17">
        <f t="shared" si="1"/>
        <v>3276042.68</v>
      </c>
      <c r="AQ7" s="17">
        <f t="shared" si="1"/>
        <v>3643921</v>
      </c>
      <c r="AR7" s="17">
        <f t="shared" si="1"/>
        <v>50729389.799999997</v>
      </c>
      <c r="AT7" s="17">
        <f>SUM(AT8:AT11)</f>
        <v>5120000</v>
      </c>
      <c r="AU7" s="17">
        <f t="shared" ref="AU7:BF7" si="2">SUM(AU8:AU11)</f>
        <v>4220000</v>
      </c>
      <c r="AV7" s="17">
        <f t="shared" si="2"/>
        <v>5220000</v>
      </c>
      <c r="AW7" s="17">
        <f t="shared" si="2"/>
        <v>5220000</v>
      </c>
      <c r="AX7" s="17">
        <f t="shared" si="2"/>
        <v>5230000</v>
      </c>
      <c r="AY7" s="17">
        <f t="shared" si="2"/>
        <v>5220000</v>
      </c>
      <c r="AZ7" s="17">
        <f t="shared" si="2"/>
        <v>5300000</v>
      </c>
      <c r="BA7" s="17">
        <f t="shared" si="2"/>
        <v>5300000</v>
      </c>
      <c r="BB7" s="17">
        <f t="shared" si="2"/>
        <v>5300000</v>
      </c>
      <c r="BC7" s="17">
        <f t="shared" si="2"/>
        <v>5280000</v>
      </c>
      <c r="BD7" s="17">
        <f t="shared" si="2"/>
        <v>5310000</v>
      </c>
      <c r="BE7" s="17">
        <f t="shared" si="2"/>
        <v>5280000</v>
      </c>
      <c r="BF7" s="17">
        <f t="shared" si="2"/>
        <v>62000000</v>
      </c>
      <c r="BH7" s="17">
        <f>SUM(BH8:BH11)</f>
        <v>3841962.4</v>
      </c>
      <c r="BI7" s="17">
        <f t="shared" ref="BI7:BT7" si="3">SUM(BI8:BI11)</f>
        <v>2314417.7599999998</v>
      </c>
      <c r="BJ7" s="17">
        <f t="shared" si="3"/>
        <v>3899650.12</v>
      </c>
      <c r="BK7" s="17">
        <f t="shared" si="3"/>
        <v>0</v>
      </c>
      <c r="BL7" s="17">
        <f t="shared" si="3"/>
        <v>0</v>
      </c>
      <c r="BM7" s="17">
        <f t="shared" si="3"/>
        <v>0</v>
      </c>
      <c r="BN7" s="17">
        <f t="shared" si="3"/>
        <v>0</v>
      </c>
      <c r="BO7" s="17">
        <f t="shared" si="3"/>
        <v>0</v>
      </c>
      <c r="BP7" s="17">
        <f t="shared" si="3"/>
        <v>0</v>
      </c>
      <c r="BQ7" s="17">
        <f t="shared" si="3"/>
        <v>0</v>
      </c>
      <c r="BR7" s="17">
        <f t="shared" si="3"/>
        <v>0</v>
      </c>
      <c r="BS7" s="17">
        <f t="shared" si="3"/>
        <v>0</v>
      </c>
      <c r="BT7" s="17">
        <f t="shared" si="3"/>
        <v>10056030.280000001</v>
      </c>
    </row>
    <row r="8" spans="1:72" hidden="1" outlineLevel="1" x14ac:dyDescent="0.35">
      <c r="A8" s="18" t="s">
        <v>8</v>
      </c>
      <c r="B8" s="18" t="s">
        <v>7</v>
      </c>
      <c r="D8" s="19">
        <v>1130320.48</v>
      </c>
      <c r="E8" s="19">
        <v>894356.12</v>
      </c>
      <c r="F8" s="19">
        <v>1153107.76</v>
      </c>
      <c r="G8" s="19">
        <v>766060.56</v>
      </c>
      <c r="H8" s="19">
        <v>1474445.32</v>
      </c>
      <c r="I8" s="19">
        <v>1504974.08</v>
      </c>
      <c r="J8" s="19">
        <v>651202.36</v>
      </c>
      <c r="K8" s="19">
        <v>806250.4</v>
      </c>
      <c r="L8" s="19">
        <v>1201896.08</v>
      </c>
      <c r="M8" s="19">
        <v>1477979.8</v>
      </c>
      <c r="N8" s="19">
        <v>1449388.1600000001</v>
      </c>
      <c r="O8" s="19">
        <v>1327315.3199999998</v>
      </c>
      <c r="P8" s="19">
        <f>SUM(D8:O8)</f>
        <v>13837296.440000001</v>
      </c>
      <c r="R8" s="19">
        <v>1920000</v>
      </c>
      <c r="S8" s="19">
        <v>1920000</v>
      </c>
      <c r="T8" s="19">
        <v>2120000</v>
      </c>
      <c r="U8" s="19">
        <v>2120000</v>
      </c>
      <c r="V8" s="19">
        <v>2120000</v>
      </c>
      <c r="W8" s="19">
        <v>2120000</v>
      </c>
      <c r="X8" s="19">
        <v>2120000</v>
      </c>
      <c r="Y8" s="19">
        <v>2120000</v>
      </c>
      <c r="Z8" s="19">
        <v>2120000</v>
      </c>
      <c r="AA8" s="19">
        <v>2120000</v>
      </c>
      <c r="AB8" s="19">
        <v>2120000</v>
      </c>
      <c r="AC8" s="19">
        <v>2120000</v>
      </c>
      <c r="AD8" s="19">
        <f t="shared" ref="AD8:AD11" si="4">SUM(R8:AC8)</f>
        <v>25040000</v>
      </c>
      <c r="AF8" s="19">
        <v>748508</v>
      </c>
      <c r="AG8" s="19">
        <v>1257523.3599999999</v>
      </c>
      <c r="AH8" s="19">
        <v>1931474.28</v>
      </c>
      <c r="AI8" s="19">
        <v>2555080</v>
      </c>
      <c r="AJ8" s="19">
        <v>1950553</v>
      </c>
      <c r="AK8" s="19">
        <v>2384707</v>
      </c>
      <c r="AL8" s="19">
        <v>2774975.64</v>
      </c>
      <c r="AM8" s="19">
        <v>2998985.4</v>
      </c>
      <c r="AN8" s="19">
        <v>2280944.3199999998</v>
      </c>
      <c r="AO8" s="19">
        <v>1898788.32</v>
      </c>
      <c r="AP8" s="19">
        <v>1329599.08</v>
      </c>
      <c r="AQ8" s="19">
        <v>1659625</v>
      </c>
      <c r="AR8" s="19">
        <f>SUM(AF8:AQ8)</f>
        <v>23770763.399999999</v>
      </c>
      <c r="AT8" s="19">
        <v>2450000</v>
      </c>
      <c r="AU8" s="19">
        <v>1950000</v>
      </c>
      <c r="AV8" s="19">
        <v>2450000</v>
      </c>
      <c r="AW8" s="19">
        <v>2450000</v>
      </c>
      <c r="AX8" s="19">
        <v>2450000</v>
      </c>
      <c r="AY8" s="19">
        <v>2450000</v>
      </c>
      <c r="AZ8" s="19">
        <v>2450000</v>
      </c>
      <c r="BA8" s="19">
        <v>2450000</v>
      </c>
      <c r="BB8" s="19">
        <v>2450000</v>
      </c>
      <c r="BC8" s="19">
        <v>2450000</v>
      </c>
      <c r="BD8" s="19">
        <v>2450000</v>
      </c>
      <c r="BE8" s="19">
        <v>2450000</v>
      </c>
      <c r="BF8" s="19">
        <f t="shared" ref="BF8:BF11" si="5">SUM(AT8:BE8)</f>
        <v>28900000</v>
      </c>
      <c r="BH8" s="19">
        <v>1692933.4</v>
      </c>
      <c r="BI8" s="19">
        <v>1175081.96</v>
      </c>
      <c r="BJ8" s="19">
        <v>2141940.12</v>
      </c>
      <c r="BK8" s="19"/>
      <c r="BL8" s="19"/>
      <c r="BM8" s="19"/>
      <c r="BN8" s="19"/>
      <c r="BO8" s="19"/>
      <c r="BP8" s="19"/>
      <c r="BQ8" s="19"/>
      <c r="BR8" s="19"/>
      <c r="BS8" s="19"/>
      <c r="BT8" s="19">
        <f>SUM(BH8:BS8)</f>
        <v>5009955.4800000004</v>
      </c>
    </row>
    <row r="9" spans="1:72" hidden="1" outlineLevel="1" x14ac:dyDescent="0.35">
      <c r="A9" s="20" t="s">
        <v>9</v>
      </c>
      <c r="B9" s="20" t="s">
        <v>7</v>
      </c>
      <c r="D9" s="21">
        <v>2406798</v>
      </c>
      <c r="E9" s="21">
        <v>1303717</v>
      </c>
      <c r="F9" s="21">
        <v>3307461</v>
      </c>
      <c r="G9" s="21">
        <v>3144028</v>
      </c>
      <c r="H9" s="21">
        <v>3218486</v>
      </c>
      <c r="I9" s="21">
        <v>2695529</v>
      </c>
      <c r="J9" s="21">
        <v>1647620</v>
      </c>
      <c r="K9" s="21">
        <v>1619300</v>
      </c>
      <c r="L9" s="21">
        <v>3160262</v>
      </c>
      <c r="M9" s="21">
        <v>2318284</v>
      </c>
      <c r="N9" s="21">
        <v>2170935</v>
      </c>
      <c r="O9" s="21">
        <v>1985469</v>
      </c>
      <c r="P9" s="21">
        <f>SUM(D9:O9)</f>
        <v>28977889</v>
      </c>
      <c r="R9" s="21">
        <v>1900000</v>
      </c>
      <c r="S9" s="21">
        <v>2100000</v>
      </c>
      <c r="T9" s="21">
        <v>2600000</v>
      </c>
      <c r="U9" s="21">
        <v>2600000</v>
      </c>
      <c r="V9" s="21">
        <v>2600000</v>
      </c>
      <c r="W9" s="21">
        <v>2600000</v>
      </c>
      <c r="X9" s="21">
        <v>2600000</v>
      </c>
      <c r="Y9" s="21">
        <v>2600000</v>
      </c>
      <c r="Z9" s="21">
        <v>2600000</v>
      </c>
      <c r="AA9" s="21">
        <v>2600000</v>
      </c>
      <c r="AB9" s="21">
        <v>2600000</v>
      </c>
      <c r="AC9" s="21">
        <v>2600000</v>
      </c>
      <c r="AD9" s="21">
        <f t="shared" si="4"/>
        <v>30000000</v>
      </c>
      <c r="AF9" s="21">
        <v>629001</v>
      </c>
      <c r="AG9" s="21">
        <v>800414</v>
      </c>
      <c r="AH9" s="21">
        <v>2172025</v>
      </c>
      <c r="AI9" s="21">
        <v>3983881</v>
      </c>
      <c r="AJ9" s="21">
        <v>3056526</v>
      </c>
      <c r="AK9" s="21">
        <v>2289307</v>
      </c>
      <c r="AL9" s="21">
        <v>2020857</v>
      </c>
      <c r="AM9" s="21">
        <v>3201342</v>
      </c>
      <c r="AN9" s="21">
        <v>1221931</v>
      </c>
      <c r="AO9" s="21">
        <v>1383754</v>
      </c>
      <c r="AP9" s="21">
        <v>1874926</v>
      </c>
      <c r="AQ9" s="21">
        <v>1929342</v>
      </c>
      <c r="AR9" s="21">
        <f t="shared" ref="AR9:AR11" si="6">SUM(AF9:AQ9)</f>
        <v>24563306</v>
      </c>
      <c r="AT9" s="21">
        <v>2400000</v>
      </c>
      <c r="AU9" s="21">
        <v>2000000</v>
      </c>
      <c r="AV9" s="21">
        <v>2400000</v>
      </c>
      <c r="AW9" s="21">
        <v>2400000</v>
      </c>
      <c r="AX9" s="21">
        <v>2400000</v>
      </c>
      <c r="AY9" s="21">
        <v>2400000</v>
      </c>
      <c r="AZ9" s="21">
        <v>2400000</v>
      </c>
      <c r="BA9" s="21">
        <v>2400000</v>
      </c>
      <c r="BB9" s="21">
        <v>2400000</v>
      </c>
      <c r="BC9" s="21">
        <v>2400000</v>
      </c>
      <c r="BD9" s="21">
        <v>2400000</v>
      </c>
      <c r="BE9" s="21">
        <v>2400000</v>
      </c>
      <c r="BF9" s="21">
        <f t="shared" si="5"/>
        <v>28400000</v>
      </c>
      <c r="BH9" s="21">
        <v>2069911</v>
      </c>
      <c r="BI9" s="21">
        <v>1111864</v>
      </c>
      <c r="BJ9" s="21">
        <v>1583843</v>
      </c>
      <c r="BK9" s="21"/>
      <c r="BL9" s="21"/>
      <c r="BM9" s="21"/>
      <c r="BN9" s="21"/>
      <c r="BO9" s="21"/>
      <c r="BP9" s="21"/>
      <c r="BQ9" s="21"/>
      <c r="BR9" s="21"/>
      <c r="BS9" s="21"/>
      <c r="BT9" s="21">
        <f t="shared" ref="BT9:BT11" si="7">SUM(BH9:BS9)</f>
        <v>4765618</v>
      </c>
    </row>
    <row r="10" spans="1:72" hidden="1" outlineLevel="1" x14ac:dyDescent="0.35">
      <c r="A10" s="20" t="s">
        <v>10</v>
      </c>
      <c r="B10" s="20" t="s">
        <v>7</v>
      </c>
      <c r="D10" s="21">
        <v>478674</v>
      </c>
      <c r="E10" s="21">
        <v>155046</v>
      </c>
      <c r="F10" s="21">
        <v>338037</v>
      </c>
      <c r="G10" s="21">
        <v>293798</v>
      </c>
      <c r="H10" s="21">
        <v>473189</v>
      </c>
      <c r="I10" s="21">
        <v>323705</v>
      </c>
      <c r="J10" s="21">
        <v>215868</v>
      </c>
      <c r="K10" s="21">
        <v>471680</v>
      </c>
      <c r="L10" s="21">
        <v>562442</v>
      </c>
      <c r="M10" s="21">
        <v>468395</v>
      </c>
      <c r="N10" s="21">
        <v>554705</v>
      </c>
      <c r="O10" s="21">
        <v>603639</v>
      </c>
      <c r="P10" s="21">
        <f>SUM(D10:O10)</f>
        <v>4939178</v>
      </c>
      <c r="R10" s="21">
        <v>270000</v>
      </c>
      <c r="S10" s="21">
        <v>270000</v>
      </c>
      <c r="T10" s="21">
        <v>400000</v>
      </c>
      <c r="U10" s="21">
        <v>400000</v>
      </c>
      <c r="V10" s="21">
        <v>500000</v>
      </c>
      <c r="W10" s="21">
        <v>500000</v>
      </c>
      <c r="X10" s="21">
        <v>620000</v>
      </c>
      <c r="Y10" s="21">
        <v>620000</v>
      </c>
      <c r="Z10" s="21">
        <v>620000</v>
      </c>
      <c r="AA10" s="21">
        <v>670000</v>
      </c>
      <c r="AB10" s="21">
        <v>670000</v>
      </c>
      <c r="AC10" s="21">
        <v>670000</v>
      </c>
      <c r="AD10" s="21">
        <f t="shared" si="4"/>
        <v>6210000</v>
      </c>
      <c r="AF10" s="21">
        <v>347864</v>
      </c>
      <c r="AG10" s="21">
        <v>361474</v>
      </c>
      <c r="AH10" s="21">
        <v>255041</v>
      </c>
      <c r="AI10" s="21">
        <v>288772</v>
      </c>
      <c r="AJ10" s="21">
        <v>258061</v>
      </c>
      <c r="AK10" s="21">
        <v>154365</v>
      </c>
      <c r="AL10" s="21">
        <v>145777.4</v>
      </c>
      <c r="AM10" s="21">
        <v>146604.79999999999</v>
      </c>
      <c r="AN10" s="21">
        <v>105329.8</v>
      </c>
      <c r="AO10" s="21">
        <v>59416.800000000003</v>
      </c>
      <c r="AP10" s="21">
        <v>71517.600000000006</v>
      </c>
      <c r="AQ10" s="21">
        <v>54954</v>
      </c>
      <c r="AR10" s="21">
        <f t="shared" si="6"/>
        <v>2249177.4</v>
      </c>
      <c r="AT10" s="21">
        <v>240000</v>
      </c>
      <c r="AU10" s="21">
        <v>240000</v>
      </c>
      <c r="AV10" s="21">
        <v>340000</v>
      </c>
      <c r="AW10" s="21">
        <v>340000</v>
      </c>
      <c r="AX10" s="21">
        <v>340000</v>
      </c>
      <c r="AY10" s="21">
        <v>340000</v>
      </c>
      <c r="AZ10" s="21">
        <v>420000</v>
      </c>
      <c r="BA10" s="21">
        <v>420000</v>
      </c>
      <c r="BB10" s="21">
        <v>420000</v>
      </c>
      <c r="BC10" s="21">
        <v>420000</v>
      </c>
      <c r="BD10" s="21">
        <v>420000</v>
      </c>
      <c r="BE10" s="21">
        <v>420000</v>
      </c>
      <c r="BF10" s="21">
        <f t="shared" si="5"/>
        <v>4360000</v>
      </c>
      <c r="BH10" s="21">
        <v>40926</v>
      </c>
      <c r="BI10" s="21">
        <v>27471.8</v>
      </c>
      <c r="BJ10" s="21">
        <v>168335</v>
      </c>
      <c r="BK10" s="21"/>
      <c r="BL10" s="21"/>
      <c r="BM10" s="21"/>
      <c r="BN10" s="21"/>
      <c r="BO10" s="21"/>
      <c r="BP10" s="21"/>
      <c r="BQ10" s="21"/>
      <c r="BR10" s="21"/>
      <c r="BS10" s="21"/>
      <c r="BT10" s="21">
        <f t="shared" si="7"/>
        <v>236732.79999999999</v>
      </c>
    </row>
    <row r="11" spans="1:72" hidden="1" outlineLevel="1" x14ac:dyDescent="0.35">
      <c r="A11" s="20" t="s">
        <v>11</v>
      </c>
      <c r="B11" s="20" t="s">
        <v>7</v>
      </c>
      <c r="D11" s="21">
        <v>88800</v>
      </c>
      <c r="E11" s="21">
        <v>29532</v>
      </c>
      <c r="F11" s="21">
        <v>244089</v>
      </c>
      <c r="G11" s="21">
        <v>184009</v>
      </c>
      <c r="H11" s="21">
        <v>164890</v>
      </c>
      <c r="I11" s="21">
        <v>113463</v>
      </c>
      <c r="J11" s="21">
        <v>31462</v>
      </c>
      <c r="K11" s="21">
        <v>75307</v>
      </c>
      <c r="L11" s="21">
        <v>4340</v>
      </c>
      <c r="M11" s="21">
        <v>17446</v>
      </c>
      <c r="N11" s="21">
        <v>10044</v>
      </c>
      <c r="O11" s="21">
        <v>18128</v>
      </c>
      <c r="P11" s="21">
        <f>SUM(D11:O11)</f>
        <v>981510</v>
      </c>
      <c r="R11" s="21">
        <v>50000</v>
      </c>
      <c r="S11" s="21">
        <v>0</v>
      </c>
      <c r="T11" s="21">
        <v>95000</v>
      </c>
      <c r="U11" s="21">
        <v>35000</v>
      </c>
      <c r="V11" s="21">
        <v>85000</v>
      </c>
      <c r="W11" s="21">
        <v>45000</v>
      </c>
      <c r="X11" s="21">
        <v>85000</v>
      </c>
      <c r="Y11" s="21">
        <v>35000</v>
      </c>
      <c r="Z11" s="21">
        <v>95000</v>
      </c>
      <c r="AA11" s="21">
        <v>55000</v>
      </c>
      <c r="AB11" s="21">
        <v>105000</v>
      </c>
      <c r="AC11" s="21">
        <v>65000</v>
      </c>
      <c r="AD11" s="21">
        <f t="shared" si="4"/>
        <v>750000</v>
      </c>
      <c r="AF11" s="21">
        <v>0</v>
      </c>
      <c r="AG11" s="21">
        <v>13292</v>
      </c>
      <c r="AH11" s="21">
        <v>43294</v>
      </c>
      <c r="AI11" s="21">
        <v>25963</v>
      </c>
      <c r="AJ11" s="21">
        <v>31962</v>
      </c>
      <c r="AK11" s="21">
        <v>1490</v>
      </c>
      <c r="AL11" s="21">
        <v>9248</v>
      </c>
      <c r="AM11" s="21">
        <v>20894</v>
      </c>
      <c r="AN11" s="21"/>
      <c r="AO11" s="21"/>
      <c r="AP11" s="21"/>
      <c r="AQ11" s="21"/>
      <c r="AR11" s="21">
        <f t="shared" si="6"/>
        <v>146143</v>
      </c>
      <c r="AT11" s="21">
        <v>30000</v>
      </c>
      <c r="AU11" s="21">
        <v>30000</v>
      </c>
      <c r="AV11" s="21">
        <v>30000</v>
      </c>
      <c r="AW11" s="21">
        <v>30000</v>
      </c>
      <c r="AX11" s="21">
        <v>40000</v>
      </c>
      <c r="AY11" s="21">
        <v>30000</v>
      </c>
      <c r="AZ11" s="21">
        <v>30000</v>
      </c>
      <c r="BA11" s="21">
        <v>30000</v>
      </c>
      <c r="BB11" s="21">
        <v>30000</v>
      </c>
      <c r="BC11" s="21">
        <v>10000</v>
      </c>
      <c r="BD11" s="21">
        <v>40000</v>
      </c>
      <c r="BE11" s="21">
        <v>10000</v>
      </c>
      <c r="BF11" s="21">
        <f t="shared" si="5"/>
        <v>340000</v>
      </c>
      <c r="BH11" s="21">
        <v>38192</v>
      </c>
      <c r="BI11" s="21"/>
      <c r="BJ11" s="21">
        <v>5532</v>
      </c>
      <c r="BK11" s="21"/>
      <c r="BL11" s="21"/>
      <c r="BM11" s="21"/>
      <c r="BN11" s="21"/>
      <c r="BO11" s="21"/>
      <c r="BP11" s="21"/>
      <c r="BQ11" s="21"/>
      <c r="BR11" s="21"/>
      <c r="BS11" s="21"/>
      <c r="BT11" s="21">
        <f t="shared" si="7"/>
        <v>43724</v>
      </c>
    </row>
    <row r="12" spans="1:72" collapsed="1" x14ac:dyDescent="0.35"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</row>
    <row r="13" spans="1:72" s="6" customFormat="1" x14ac:dyDescent="0.35">
      <c r="A13" s="16" t="s">
        <v>12</v>
      </c>
      <c r="B13" s="16" t="s">
        <v>13</v>
      </c>
      <c r="D13" s="17">
        <f t="shared" ref="D13:P13" si="8">SUM(D14:D17)</f>
        <v>71870705045</v>
      </c>
      <c r="E13" s="17">
        <f t="shared" si="8"/>
        <v>41214346440</v>
      </c>
      <c r="F13" s="17">
        <f t="shared" si="8"/>
        <v>92007933338</v>
      </c>
      <c r="G13" s="17">
        <f t="shared" si="8"/>
        <v>82555109590</v>
      </c>
      <c r="H13" s="17">
        <f t="shared" si="8"/>
        <v>99758591728</v>
      </c>
      <c r="I13" s="17">
        <f t="shared" si="8"/>
        <v>86194886268</v>
      </c>
      <c r="J13" s="17">
        <f t="shared" si="8"/>
        <v>44047603700</v>
      </c>
      <c r="K13" s="17">
        <f t="shared" si="8"/>
        <v>52446322437</v>
      </c>
      <c r="L13" s="17">
        <f t="shared" si="8"/>
        <v>88255608921</v>
      </c>
      <c r="M13" s="17">
        <f t="shared" si="8"/>
        <v>74161357874</v>
      </c>
      <c r="N13" s="17">
        <f t="shared" si="8"/>
        <v>74004880700</v>
      </c>
      <c r="O13" s="17">
        <f t="shared" si="8"/>
        <v>69069258122</v>
      </c>
      <c r="P13" s="17">
        <f t="shared" si="8"/>
        <v>875586604163</v>
      </c>
      <c r="R13" s="17">
        <f t="shared" ref="R13:AD13" si="9">SUM(R14:R17)</f>
        <v>73393500000</v>
      </c>
      <c r="S13" s="17">
        <f t="shared" si="9"/>
        <v>76203500000</v>
      </c>
      <c r="T13" s="17">
        <f t="shared" si="9"/>
        <v>95762500000</v>
      </c>
      <c r="U13" s="17">
        <f t="shared" si="9"/>
        <v>96947500000</v>
      </c>
      <c r="V13" s="17">
        <f t="shared" si="9"/>
        <v>99997500000</v>
      </c>
      <c r="W13" s="17">
        <f t="shared" si="9"/>
        <v>94617500000</v>
      </c>
      <c r="X13" s="17">
        <f t="shared" si="9"/>
        <v>97911500000</v>
      </c>
      <c r="Y13" s="17">
        <f t="shared" si="9"/>
        <v>96961500000</v>
      </c>
      <c r="Z13" s="17">
        <f t="shared" si="9"/>
        <v>98071500000</v>
      </c>
      <c r="AA13" s="17">
        <f t="shared" si="9"/>
        <v>100626500000</v>
      </c>
      <c r="AB13" s="17">
        <f t="shared" si="9"/>
        <v>101576500000</v>
      </c>
      <c r="AC13" s="17">
        <f t="shared" si="9"/>
        <v>100786500000</v>
      </c>
      <c r="AD13" s="17">
        <f t="shared" si="9"/>
        <v>1132856000000</v>
      </c>
      <c r="AF13" s="17">
        <f t="shared" ref="AF13:BF13" si="10">SUM(AF14:AF17)</f>
        <v>29738960416</v>
      </c>
      <c r="AG13" s="17">
        <f t="shared" si="10"/>
        <v>43287397303</v>
      </c>
      <c r="AH13" s="17">
        <f t="shared" si="10"/>
        <v>81632858630</v>
      </c>
      <c r="AI13" s="17">
        <f t="shared" si="10"/>
        <v>131985219020</v>
      </c>
      <c r="AJ13" s="17">
        <f t="shared" si="10"/>
        <v>100548165341</v>
      </c>
      <c r="AK13" s="17">
        <f t="shared" si="10"/>
        <v>93038210406</v>
      </c>
      <c r="AL13" s="17">
        <f t="shared" si="10"/>
        <v>95481966724</v>
      </c>
      <c r="AM13" s="17">
        <f t="shared" si="10"/>
        <v>119693640757</v>
      </c>
      <c r="AN13" s="17">
        <f t="shared" si="10"/>
        <v>57345519034</v>
      </c>
      <c r="AO13" s="17">
        <f t="shared" si="10"/>
        <v>50092857620</v>
      </c>
      <c r="AP13" s="17">
        <f t="shared" si="10"/>
        <v>49299122621</v>
      </c>
      <c r="AQ13" s="17">
        <f t="shared" si="10"/>
        <v>54813546518</v>
      </c>
      <c r="AR13" s="17">
        <f t="shared" si="10"/>
        <v>906957464390</v>
      </c>
      <c r="AT13" s="17">
        <f t="shared" si="10"/>
        <v>79236500000</v>
      </c>
      <c r="AU13" s="17">
        <f t="shared" si="10"/>
        <v>65607500000</v>
      </c>
      <c r="AV13" s="17">
        <f t="shared" si="10"/>
        <v>81136500000</v>
      </c>
      <c r="AW13" s="17">
        <f t="shared" si="10"/>
        <v>81196500000</v>
      </c>
      <c r="AX13" s="17">
        <f t="shared" si="10"/>
        <v>81296500000</v>
      </c>
      <c r="AY13" s="17">
        <f t="shared" si="10"/>
        <v>81196500000</v>
      </c>
      <c r="AZ13" s="17">
        <f t="shared" si="10"/>
        <v>82626500000</v>
      </c>
      <c r="BA13" s="17">
        <f t="shared" si="10"/>
        <v>82686500000</v>
      </c>
      <c r="BB13" s="17">
        <f t="shared" si="10"/>
        <v>82626500000</v>
      </c>
      <c r="BC13" s="17">
        <f t="shared" si="10"/>
        <v>82306500000</v>
      </c>
      <c r="BD13" s="17">
        <f t="shared" si="10"/>
        <v>82786500000</v>
      </c>
      <c r="BE13" s="17">
        <f t="shared" si="10"/>
        <v>82306500000</v>
      </c>
      <c r="BF13" s="17">
        <f t="shared" si="10"/>
        <v>965009000000</v>
      </c>
      <c r="BH13" s="17">
        <f t="shared" ref="BH13:BT13" si="11">SUM(BH14:BH17)</f>
        <v>58217312678</v>
      </c>
      <c r="BI13" s="17">
        <f t="shared" si="11"/>
        <v>34748948404</v>
      </c>
      <c r="BJ13" s="17">
        <f t="shared" si="11"/>
        <v>58377835364</v>
      </c>
      <c r="BK13" s="17">
        <f t="shared" si="11"/>
        <v>0</v>
      </c>
      <c r="BL13" s="17">
        <f t="shared" si="11"/>
        <v>0</v>
      </c>
      <c r="BM13" s="17">
        <f t="shared" si="11"/>
        <v>0</v>
      </c>
      <c r="BN13" s="17">
        <f t="shared" si="11"/>
        <v>0</v>
      </c>
      <c r="BO13" s="17">
        <f t="shared" si="11"/>
        <v>0</v>
      </c>
      <c r="BP13" s="17">
        <f t="shared" si="11"/>
        <v>0</v>
      </c>
      <c r="BQ13" s="17">
        <f t="shared" si="11"/>
        <v>0</v>
      </c>
      <c r="BR13" s="17">
        <f t="shared" si="11"/>
        <v>0</v>
      </c>
      <c r="BS13" s="17">
        <f t="shared" si="11"/>
        <v>0</v>
      </c>
      <c r="BT13" s="17">
        <f t="shared" si="11"/>
        <v>151344096446</v>
      </c>
    </row>
    <row r="14" spans="1:72" hidden="1" outlineLevel="1" x14ac:dyDescent="0.35">
      <c r="A14" s="18" t="s">
        <v>8</v>
      </c>
      <c r="B14" s="18" t="s">
        <v>13</v>
      </c>
      <c r="D14" s="19">
        <v>17459602730</v>
      </c>
      <c r="E14" s="19">
        <v>13307434800</v>
      </c>
      <c r="F14" s="19">
        <v>18081061500</v>
      </c>
      <c r="G14" s="19">
        <v>12650582200</v>
      </c>
      <c r="H14" s="19">
        <v>24340389781</v>
      </c>
      <c r="I14" s="19">
        <v>25048210073</v>
      </c>
      <c r="J14" s="19">
        <v>9714381900</v>
      </c>
      <c r="K14" s="19">
        <v>12284328073</v>
      </c>
      <c r="L14" s="19">
        <v>19265603049</v>
      </c>
      <c r="M14" s="19">
        <v>23420907504</v>
      </c>
      <c r="N14" s="19">
        <v>23194042320</v>
      </c>
      <c r="O14" s="19">
        <v>21164313386</v>
      </c>
      <c r="P14" s="19">
        <f>SUM(D14:O14)</f>
        <v>219930857316</v>
      </c>
      <c r="R14" s="19">
        <v>31620000000</v>
      </c>
      <c r="S14" s="19">
        <v>31620000000</v>
      </c>
      <c r="T14" s="19">
        <v>36155000000</v>
      </c>
      <c r="U14" s="19">
        <v>37190000000</v>
      </c>
      <c r="V14" s="19">
        <v>37190000000</v>
      </c>
      <c r="W14" s="19">
        <v>35120000000</v>
      </c>
      <c r="X14" s="19">
        <v>35120000000</v>
      </c>
      <c r="Y14" s="19">
        <v>35120000000</v>
      </c>
      <c r="Z14" s="19">
        <v>35120000000</v>
      </c>
      <c r="AA14" s="19">
        <v>36155000000</v>
      </c>
      <c r="AB14" s="19">
        <v>36155000000</v>
      </c>
      <c r="AC14" s="19">
        <v>36155000000</v>
      </c>
      <c r="AD14" s="19">
        <f t="shared" ref="AD14:AD17" si="12">SUM(R14:AC14)</f>
        <v>422720000000</v>
      </c>
      <c r="AF14" s="19">
        <v>12247618196</v>
      </c>
      <c r="AG14" s="19">
        <v>21469070653</v>
      </c>
      <c r="AH14" s="19">
        <v>34023811294</v>
      </c>
      <c r="AI14" s="19">
        <v>46430722320</v>
      </c>
      <c r="AJ14" s="19">
        <v>35645176771</v>
      </c>
      <c r="AK14" s="19">
        <v>44304734906</v>
      </c>
      <c r="AL14" s="19">
        <v>52137838278</v>
      </c>
      <c r="AM14" s="19">
        <v>54902261317</v>
      </c>
      <c r="AN14" s="19">
        <v>34935781030</v>
      </c>
      <c r="AO14" s="19">
        <v>27040727900</v>
      </c>
      <c r="AP14" s="19">
        <v>18701581900</v>
      </c>
      <c r="AQ14" s="19">
        <v>23271323120</v>
      </c>
      <c r="AR14" s="19">
        <f t="shared" ref="AR14:AR17" si="13">SUM(AF14:AQ14)</f>
        <v>405110647685</v>
      </c>
      <c r="AT14" s="19">
        <v>35010000000</v>
      </c>
      <c r="AU14" s="19">
        <v>27921000000</v>
      </c>
      <c r="AV14" s="19">
        <v>35010000000</v>
      </c>
      <c r="AW14" s="19">
        <v>35010000000</v>
      </c>
      <c r="AX14" s="19">
        <v>35010000000</v>
      </c>
      <c r="AY14" s="19">
        <v>35010000000</v>
      </c>
      <c r="AZ14" s="19">
        <v>35010000000</v>
      </c>
      <c r="BA14" s="19">
        <v>35010000000</v>
      </c>
      <c r="BB14" s="19">
        <v>35010000000</v>
      </c>
      <c r="BC14" s="19">
        <v>35010000000</v>
      </c>
      <c r="BD14" s="19">
        <v>35010000000</v>
      </c>
      <c r="BE14" s="19">
        <v>35010000000</v>
      </c>
      <c r="BF14" s="19">
        <f t="shared" ref="BF14:BF17" si="14">SUM(AT14:BE14)</f>
        <v>413031000000</v>
      </c>
      <c r="BH14" s="19">
        <v>24014511000</v>
      </c>
      <c r="BI14" s="19">
        <v>16646269562</v>
      </c>
      <c r="BJ14" s="19">
        <v>29905727000</v>
      </c>
      <c r="BK14" s="19"/>
      <c r="BL14" s="19"/>
      <c r="BM14" s="19"/>
      <c r="BN14" s="19"/>
      <c r="BO14" s="19"/>
      <c r="BP14" s="19"/>
      <c r="BQ14" s="19"/>
      <c r="BR14" s="19"/>
      <c r="BS14" s="19"/>
      <c r="BT14" s="19">
        <f t="shared" ref="BT14:BT17" si="15">SUM(BH14:BS14)</f>
        <v>70566507562</v>
      </c>
    </row>
    <row r="15" spans="1:72" hidden="1" outlineLevel="1" x14ac:dyDescent="0.35">
      <c r="A15" s="20" t="s">
        <v>9</v>
      </c>
      <c r="B15" s="20" t="s">
        <v>13</v>
      </c>
      <c r="D15" s="21">
        <v>43406566750</v>
      </c>
      <c r="E15" s="21">
        <v>24285549450</v>
      </c>
      <c r="F15" s="21">
        <v>63716122530</v>
      </c>
      <c r="G15" s="21">
        <v>61318920650</v>
      </c>
      <c r="H15" s="21">
        <v>63364330450</v>
      </c>
      <c r="I15" s="21">
        <v>52862957460</v>
      </c>
      <c r="J15" s="21">
        <v>29556228700</v>
      </c>
      <c r="K15" s="21">
        <v>29070952100</v>
      </c>
      <c r="L15" s="21">
        <v>58443797050</v>
      </c>
      <c r="M15" s="21">
        <v>42218151250</v>
      </c>
      <c r="N15" s="21">
        <v>40032992800</v>
      </c>
      <c r="O15" s="21">
        <v>36733932200</v>
      </c>
      <c r="P15" s="21">
        <f>SUM(D15:O15)</f>
        <v>545010501390</v>
      </c>
      <c r="R15" s="21">
        <v>35667500000</v>
      </c>
      <c r="S15" s="21">
        <v>39427500000</v>
      </c>
      <c r="T15" s="21">
        <v>50077500000</v>
      </c>
      <c r="U15" s="21">
        <v>51327500000</v>
      </c>
      <c r="V15" s="21">
        <v>51327500000</v>
      </c>
      <c r="W15" s="21">
        <v>48827500000</v>
      </c>
      <c r="X15" s="21">
        <v>48827500000</v>
      </c>
      <c r="Y15" s="21">
        <v>48827500000</v>
      </c>
      <c r="Z15" s="21">
        <v>48827500000</v>
      </c>
      <c r="AA15" s="21">
        <v>50077500000</v>
      </c>
      <c r="AB15" s="21">
        <v>50077500000</v>
      </c>
      <c r="AC15" s="21">
        <v>50077500000</v>
      </c>
      <c r="AD15" s="21">
        <f t="shared" si="12"/>
        <v>573370000000</v>
      </c>
      <c r="AF15" s="21">
        <v>11471760100</v>
      </c>
      <c r="AG15" s="21">
        <v>15172044400</v>
      </c>
      <c r="AH15" s="21">
        <v>42473273186</v>
      </c>
      <c r="AI15" s="21">
        <v>80466357500</v>
      </c>
      <c r="AJ15" s="21">
        <v>59778060400</v>
      </c>
      <c r="AK15" s="21">
        <v>46054200400</v>
      </c>
      <c r="AL15" s="21">
        <v>40626538252</v>
      </c>
      <c r="AM15" s="21">
        <v>61907658960</v>
      </c>
      <c r="AN15" s="21">
        <v>20668975680</v>
      </c>
      <c r="AO15" s="21">
        <v>22240677800</v>
      </c>
      <c r="AP15" s="21">
        <v>29609749655</v>
      </c>
      <c r="AQ15" s="21">
        <v>30941619398</v>
      </c>
      <c r="AR15" s="21">
        <f t="shared" si="13"/>
        <v>461410915731</v>
      </c>
      <c r="AT15" s="21">
        <v>39600000000</v>
      </c>
      <c r="AU15" s="21">
        <v>33000000000</v>
      </c>
      <c r="AV15" s="21">
        <v>39600000000</v>
      </c>
      <c r="AW15" s="21">
        <v>39600000000</v>
      </c>
      <c r="AX15" s="21">
        <v>39600000000</v>
      </c>
      <c r="AY15" s="21">
        <v>39600000000</v>
      </c>
      <c r="AZ15" s="21">
        <v>39600000000</v>
      </c>
      <c r="BA15" s="21">
        <v>39600000000</v>
      </c>
      <c r="BB15" s="21">
        <v>39600000000</v>
      </c>
      <c r="BC15" s="21">
        <v>39600000000</v>
      </c>
      <c r="BD15" s="21">
        <v>39600000000</v>
      </c>
      <c r="BE15" s="21">
        <v>39600000000</v>
      </c>
      <c r="BF15" s="21">
        <f t="shared" si="14"/>
        <v>468600000000</v>
      </c>
      <c r="BH15" s="21">
        <v>33128228000</v>
      </c>
      <c r="BI15" s="21">
        <v>17812712000</v>
      </c>
      <c r="BJ15" s="21">
        <v>25613286400</v>
      </c>
      <c r="BK15" s="21"/>
      <c r="BL15" s="21"/>
      <c r="BM15" s="21"/>
      <c r="BN15" s="21"/>
      <c r="BO15" s="21"/>
      <c r="BP15" s="21"/>
      <c r="BQ15" s="21"/>
      <c r="BR15" s="21"/>
      <c r="BS15" s="21"/>
      <c r="BT15" s="21">
        <f t="shared" si="15"/>
        <v>76554226400</v>
      </c>
    </row>
    <row r="16" spans="1:72" hidden="1" outlineLevel="1" x14ac:dyDescent="0.35">
      <c r="A16" s="20" t="s">
        <v>10</v>
      </c>
      <c r="B16" s="20" t="s">
        <v>13</v>
      </c>
      <c r="D16" s="21">
        <v>9625146650</v>
      </c>
      <c r="E16" s="21">
        <v>3159232550</v>
      </c>
      <c r="F16" s="21">
        <v>6446851400</v>
      </c>
      <c r="G16" s="21">
        <v>5668508340</v>
      </c>
      <c r="H16" s="21">
        <v>9446327925</v>
      </c>
      <c r="I16" s="21">
        <v>6369208775</v>
      </c>
      <c r="J16" s="21">
        <v>4280208100</v>
      </c>
      <c r="K16" s="21">
        <v>9809437264</v>
      </c>
      <c r="L16" s="21">
        <v>10461578822</v>
      </c>
      <c r="M16" s="21">
        <v>8225717120</v>
      </c>
      <c r="N16" s="21">
        <v>10595044780</v>
      </c>
      <c r="O16" s="21">
        <v>10841082936</v>
      </c>
      <c r="P16" s="21">
        <f>SUM(D16:O16)</f>
        <v>94928344662</v>
      </c>
      <c r="R16" s="21">
        <v>5156000000</v>
      </c>
      <c r="S16" s="21">
        <v>5156000000</v>
      </c>
      <c r="T16" s="21">
        <v>7860000000</v>
      </c>
      <c r="U16" s="21">
        <v>7870000000</v>
      </c>
      <c r="V16" s="21">
        <v>9970000000</v>
      </c>
      <c r="W16" s="21">
        <v>9950000000</v>
      </c>
      <c r="X16" s="21">
        <v>12454000000</v>
      </c>
      <c r="Y16" s="21">
        <v>12454000000</v>
      </c>
      <c r="Z16" s="21">
        <v>12454000000</v>
      </c>
      <c r="AA16" s="21">
        <v>13514000000</v>
      </c>
      <c r="AB16" s="21">
        <v>13514000000</v>
      </c>
      <c r="AC16" s="21">
        <v>13514000000</v>
      </c>
      <c r="AD16" s="21">
        <f t="shared" si="12"/>
        <v>123866000000</v>
      </c>
      <c r="AF16" s="21">
        <v>6019582120</v>
      </c>
      <c r="AG16" s="21">
        <v>6400380250</v>
      </c>
      <c r="AH16" s="21">
        <v>4313188150</v>
      </c>
      <c r="AI16" s="21">
        <v>4594842200</v>
      </c>
      <c r="AJ16" s="21">
        <v>4517650170</v>
      </c>
      <c r="AK16" s="21">
        <v>2658117100</v>
      </c>
      <c r="AL16" s="21">
        <v>2541878194</v>
      </c>
      <c r="AM16" s="21">
        <v>2506702480</v>
      </c>
      <c r="AN16" s="21">
        <v>1740762324</v>
      </c>
      <c r="AO16" s="21">
        <v>811451920</v>
      </c>
      <c r="AP16" s="21">
        <v>987791066</v>
      </c>
      <c r="AQ16" s="21">
        <v>600604000</v>
      </c>
      <c r="AR16" s="21">
        <f t="shared" si="13"/>
        <v>37692949974</v>
      </c>
      <c r="AT16" s="21">
        <v>4116500000</v>
      </c>
      <c r="AU16" s="21">
        <v>4116500000</v>
      </c>
      <c r="AV16" s="21">
        <v>6016500000</v>
      </c>
      <c r="AW16" s="21">
        <v>6016500000</v>
      </c>
      <c r="AX16" s="21">
        <v>6016500000</v>
      </c>
      <c r="AY16" s="21">
        <v>6016500000</v>
      </c>
      <c r="AZ16" s="21">
        <v>7506500000</v>
      </c>
      <c r="BA16" s="21">
        <v>7506500000</v>
      </c>
      <c r="BB16" s="21">
        <v>7506500000</v>
      </c>
      <c r="BC16" s="21">
        <v>7506500000</v>
      </c>
      <c r="BD16" s="21">
        <v>7506500000</v>
      </c>
      <c r="BE16" s="21">
        <v>7506500000</v>
      </c>
      <c r="BF16" s="21">
        <f t="shared" si="14"/>
        <v>77338000000</v>
      </c>
      <c r="BH16" s="21">
        <v>414869950</v>
      </c>
      <c r="BI16" s="21">
        <v>289966842</v>
      </c>
      <c r="BJ16" s="21">
        <v>2754947600</v>
      </c>
      <c r="BK16" s="21"/>
      <c r="BL16" s="21"/>
      <c r="BM16" s="21"/>
      <c r="BN16" s="21"/>
      <c r="BO16" s="21"/>
      <c r="BP16" s="21"/>
      <c r="BQ16" s="21"/>
      <c r="BR16" s="21"/>
      <c r="BS16" s="21"/>
      <c r="BT16" s="21">
        <f t="shared" si="15"/>
        <v>3459784392</v>
      </c>
    </row>
    <row r="17" spans="1:72" hidden="1" outlineLevel="1" x14ac:dyDescent="0.35">
      <c r="A17" s="20" t="s">
        <v>11</v>
      </c>
      <c r="B17" s="20" t="s">
        <v>13</v>
      </c>
      <c r="D17" s="21">
        <v>1379388915</v>
      </c>
      <c r="E17" s="21">
        <v>462129640</v>
      </c>
      <c r="F17" s="21">
        <v>3763897908</v>
      </c>
      <c r="G17" s="21">
        <v>2917098400</v>
      </c>
      <c r="H17" s="21">
        <v>2607543572</v>
      </c>
      <c r="I17" s="21">
        <v>1914509960</v>
      </c>
      <c r="J17" s="21">
        <v>496785000</v>
      </c>
      <c r="K17" s="21">
        <v>1281605000</v>
      </c>
      <c r="L17" s="21">
        <v>84630000</v>
      </c>
      <c r="M17" s="21">
        <v>296582000</v>
      </c>
      <c r="N17" s="21">
        <v>182800800</v>
      </c>
      <c r="O17" s="21">
        <v>329929600</v>
      </c>
      <c r="P17" s="21">
        <f>SUM(D17:O17)</f>
        <v>15716900795</v>
      </c>
      <c r="R17" s="21">
        <v>950000000</v>
      </c>
      <c r="S17" s="21">
        <v>0</v>
      </c>
      <c r="T17" s="21">
        <v>1670000000</v>
      </c>
      <c r="U17" s="21">
        <v>560000000</v>
      </c>
      <c r="V17" s="21">
        <v>1510000000</v>
      </c>
      <c r="W17" s="21">
        <v>720000000</v>
      </c>
      <c r="X17" s="21">
        <v>1510000000</v>
      </c>
      <c r="Y17" s="21">
        <v>560000000</v>
      </c>
      <c r="Z17" s="21">
        <v>1670000000</v>
      </c>
      <c r="AA17" s="21">
        <v>880000000</v>
      </c>
      <c r="AB17" s="21">
        <v>1830000000</v>
      </c>
      <c r="AC17" s="21">
        <v>1040000000</v>
      </c>
      <c r="AD17" s="21">
        <f t="shared" si="12"/>
        <v>12900000000</v>
      </c>
      <c r="AF17" s="21">
        <v>0</v>
      </c>
      <c r="AG17" s="21">
        <v>245902000</v>
      </c>
      <c r="AH17" s="21">
        <v>822586000</v>
      </c>
      <c r="AI17" s="21">
        <v>493297000</v>
      </c>
      <c r="AJ17" s="21">
        <v>607278000</v>
      </c>
      <c r="AK17" s="21">
        <v>21158000</v>
      </c>
      <c r="AL17" s="21">
        <v>175712000</v>
      </c>
      <c r="AM17" s="21">
        <v>377018000</v>
      </c>
      <c r="AN17" s="21"/>
      <c r="AO17" s="21"/>
      <c r="AP17" s="21"/>
      <c r="AQ17" s="21"/>
      <c r="AR17" s="21">
        <f t="shared" si="13"/>
        <v>2742951000</v>
      </c>
      <c r="AT17" s="21">
        <v>510000000</v>
      </c>
      <c r="AU17" s="21">
        <v>570000000</v>
      </c>
      <c r="AV17" s="21">
        <v>510000000</v>
      </c>
      <c r="AW17" s="21">
        <v>570000000</v>
      </c>
      <c r="AX17" s="21">
        <v>670000000</v>
      </c>
      <c r="AY17" s="21">
        <v>570000000</v>
      </c>
      <c r="AZ17" s="21">
        <v>510000000</v>
      </c>
      <c r="BA17" s="21">
        <v>570000000</v>
      </c>
      <c r="BB17" s="21">
        <v>510000000</v>
      </c>
      <c r="BC17" s="21">
        <v>190000000</v>
      </c>
      <c r="BD17" s="21">
        <v>670000000</v>
      </c>
      <c r="BE17" s="21">
        <v>190000000</v>
      </c>
      <c r="BF17" s="21">
        <f t="shared" si="14"/>
        <v>6040000000</v>
      </c>
      <c r="BH17" s="21">
        <v>659703728</v>
      </c>
      <c r="BI17" s="21"/>
      <c r="BJ17" s="21">
        <v>103874364</v>
      </c>
      <c r="BK17" s="21"/>
      <c r="BL17" s="21"/>
      <c r="BM17" s="21"/>
      <c r="BN17" s="21"/>
      <c r="BO17" s="21"/>
      <c r="BP17" s="21"/>
      <c r="BQ17" s="21"/>
      <c r="BR17" s="21"/>
      <c r="BS17" s="21"/>
      <c r="BT17" s="21">
        <f t="shared" si="15"/>
        <v>763578092</v>
      </c>
    </row>
    <row r="18" spans="1:72" collapsed="1" x14ac:dyDescent="0.35"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</row>
    <row r="19" spans="1:72" s="6" customFormat="1" x14ac:dyDescent="0.35">
      <c r="A19" s="16" t="s">
        <v>14</v>
      </c>
      <c r="B19" s="16" t="s">
        <v>15</v>
      </c>
      <c r="D19" s="17">
        <f>IFERROR(D13/D7,0)</f>
        <v>17509.827198484756</v>
      </c>
      <c r="E19" s="17">
        <f t="shared" ref="E19:P23" si="16">IFERROR(E13/E7,0)</f>
        <v>17297.684119192407</v>
      </c>
      <c r="F19" s="17">
        <f t="shared" si="16"/>
        <v>18245.786770167306</v>
      </c>
      <c r="G19" s="17">
        <f t="shared" si="16"/>
        <v>18814.283170860155</v>
      </c>
      <c r="H19" s="17">
        <f t="shared" si="16"/>
        <v>18712.886627463889</v>
      </c>
      <c r="I19" s="17">
        <f t="shared" si="16"/>
        <v>18585.812745478277</v>
      </c>
      <c r="J19" s="17">
        <f t="shared" si="16"/>
        <v>17299.673182165738</v>
      </c>
      <c r="K19" s="17">
        <f t="shared" si="16"/>
        <v>17643.620711719221</v>
      </c>
      <c r="L19" s="17">
        <f t="shared" si="16"/>
        <v>17905.595825583663</v>
      </c>
      <c r="M19" s="17">
        <f t="shared" si="16"/>
        <v>17318.903048332679</v>
      </c>
      <c r="N19" s="17">
        <f t="shared" si="16"/>
        <v>17683.059663181532</v>
      </c>
      <c r="O19" s="17">
        <f t="shared" si="16"/>
        <v>17554.544979731007</v>
      </c>
      <c r="P19" s="17">
        <f t="shared" si="16"/>
        <v>17965.956950396252</v>
      </c>
      <c r="R19" s="17">
        <f>IFERROR(R13/R7,0)</f>
        <v>17727.898550724636</v>
      </c>
      <c r="S19" s="17">
        <f t="shared" ref="S19:AD19" si="17">IFERROR(S13/S7,0)</f>
        <v>17763.053613053613</v>
      </c>
      <c r="T19" s="17">
        <f t="shared" si="17"/>
        <v>18362.895493767977</v>
      </c>
      <c r="U19" s="17">
        <f t="shared" si="17"/>
        <v>18806.498545101844</v>
      </c>
      <c r="V19" s="17">
        <f t="shared" si="17"/>
        <v>18849.67012252592</v>
      </c>
      <c r="W19" s="17">
        <f t="shared" si="17"/>
        <v>17971.035137701805</v>
      </c>
      <c r="X19" s="17">
        <f t="shared" si="17"/>
        <v>18048.202764976959</v>
      </c>
      <c r="Y19" s="17">
        <f t="shared" si="17"/>
        <v>18039.348837209302</v>
      </c>
      <c r="Z19" s="17">
        <f t="shared" si="17"/>
        <v>18044.434222631095</v>
      </c>
      <c r="AA19" s="17">
        <f t="shared" si="17"/>
        <v>18480.532598714417</v>
      </c>
      <c r="AB19" s="17">
        <f t="shared" si="17"/>
        <v>18485.259326660602</v>
      </c>
      <c r="AC19" s="17">
        <f t="shared" si="17"/>
        <v>18475.985334555455</v>
      </c>
      <c r="AD19" s="17">
        <f t="shared" si="17"/>
        <v>18271.870967741936</v>
      </c>
      <c r="AF19" s="17">
        <f>IFERROR(AF13/AF7,0)</f>
        <v>17236.250025936421</v>
      </c>
      <c r="AG19" s="17">
        <f t="shared" ref="AG19:AR20" si="18">IFERROR(AG13/AG7,0)</f>
        <v>17793.948088681063</v>
      </c>
      <c r="AH19" s="17">
        <f t="shared" si="18"/>
        <v>18545.191262856901</v>
      </c>
      <c r="AI19" s="17">
        <f t="shared" si="18"/>
        <v>19257.524556093529</v>
      </c>
      <c r="AJ19" s="17">
        <f t="shared" si="18"/>
        <v>18981.731018394585</v>
      </c>
      <c r="AK19" s="17">
        <f t="shared" si="18"/>
        <v>19263.091898765786</v>
      </c>
      <c r="AL19" s="17">
        <f t="shared" si="18"/>
        <v>19285.943154209283</v>
      </c>
      <c r="AM19" s="17">
        <f t="shared" si="18"/>
        <v>18796.624938821351</v>
      </c>
      <c r="AN19" s="17">
        <f t="shared" si="18"/>
        <v>15893.087318162225</v>
      </c>
      <c r="AO19" s="17">
        <f t="shared" si="18"/>
        <v>14989.069531167694</v>
      </c>
      <c r="AP19" s="17">
        <f t="shared" si="18"/>
        <v>15048.376177138205</v>
      </c>
      <c r="AQ19" s="17">
        <f t="shared" si="18"/>
        <v>15042.462917829447</v>
      </c>
      <c r="AR19" s="17">
        <f t="shared" si="18"/>
        <v>17878.343657703528</v>
      </c>
      <c r="AT19" s="17">
        <f>IFERROR(AT13/AT7,0)</f>
        <v>15475.87890625</v>
      </c>
      <c r="AU19" s="17">
        <f t="shared" ref="AU19:BF19" si="19">IFERROR(AU13/AU7,0)</f>
        <v>15546.800947867299</v>
      </c>
      <c r="AV19" s="17">
        <f t="shared" si="19"/>
        <v>15543.3908045977</v>
      </c>
      <c r="AW19" s="17">
        <f t="shared" si="19"/>
        <v>15554.885057471265</v>
      </c>
      <c r="AX19" s="17">
        <f t="shared" si="19"/>
        <v>15544.263862332697</v>
      </c>
      <c r="AY19" s="17">
        <f t="shared" si="19"/>
        <v>15554.885057471265</v>
      </c>
      <c r="AZ19" s="17">
        <f t="shared" si="19"/>
        <v>15589.905660377359</v>
      </c>
      <c r="BA19" s="17">
        <f t="shared" si="19"/>
        <v>15601.226415094339</v>
      </c>
      <c r="BB19" s="17">
        <f t="shared" si="19"/>
        <v>15589.905660377359</v>
      </c>
      <c r="BC19" s="17">
        <f t="shared" si="19"/>
        <v>15588.352272727272</v>
      </c>
      <c r="BD19" s="17">
        <f t="shared" si="19"/>
        <v>15590.677966101695</v>
      </c>
      <c r="BE19" s="17">
        <f t="shared" si="19"/>
        <v>15588.352272727272</v>
      </c>
      <c r="BF19" s="17">
        <f t="shared" si="19"/>
        <v>15564.661290322581</v>
      </c>
      <c r="BH19" s="17">
        <f>IFERROR(BH13/BH7,0)</f>
        <v>15153.014688014646</v>
      </c>
      <c r="BI19" s="17">
        <f t="shared" ref="BI19:BT20" si="20">IFERROR(BI13/BI7,0)</f>
        <v>15014.121047878583</v>
      </c>
      <c r="BJ19" s="17">
        <f t="shared" si="20"/>
        <v>14970.018736962997</v>
      </c>
      <c r="BK19" s="17">
        <f t="shared" si="20"/>
        <v>0</v>
      </c>
      <c r="BL19" s="17">
        <f t="shared" si="20"/>
        <v>0</v>
      </c>
      <c r="BM19" s="17">
        <f t="shared" si="20"/>
        <v>0</v>
      </c>
      <c r="BN19" s="17">
        <f t="shared" si="20"/>
        <v>0</v>
      </c>
      <c r="BO19" s="17">
        <f t="shared" si="20"/>
        <v>0</v>
      </c>
      <c r="BP19" s="17">
        <f t="shared" si="20"/>
        <v>0</v>
      </c>
      <c r="BQ19" s="17">
        <f t="shared" si="20"/>
        <v>0</v>
      </c>
      <c r="BR19" s="17">
        <f t="shared" si="20"/>
        <v>0</v>
      </c>
      <c r="BS19" s="17">
        <f t="shared" si="20"/>
        <v>0</v>
      </c>
      <c r="BT19" s="17">
        <f t="shared" si="20"/>
        <v>15050.083604760186</v>
      </c>
    </row>
    <row r="20" spans="1:72" hidden="1" outlineLevel="1" x14ac:dyDescent="0.35">
      <c r="A20" s="18" t="s">
        <v>8</v>
      </c>
      <c r="B20" s="18" t="s">
        <v>15</v>
      </c>
      <c r="D20" s="19">
        <f>IFERROR(D14/D8,0)</f>
        <v>15446.595048866142</v>
      </c>
      <c r="E20" s="19">
        <f t="shared" si="16"/>
        <v>14879.346719291192</v>
      </c>
      <c r="F20" s="19">
        <f t="shared" si="16"/>
        <v>15680.28776425891</v>
      </c>
      <c r="G20" s="19">
        <f t="shared" si="16"/>
        <v>16513.814782476205</v>
      </c>
      <c r="H20" s="19">
        <f t="shared" si="16"/>
        <v>16508.167139762088</v>
      </c>
      <c r="I20" s="19">
        <f t="shared" si="16"/>
        <v>16643.615598349705</v>
      </c>
      <c r="J20" s="19">
        <f t="shared" si="16"/>
        <v>14917.608560263818</v>
      </c>
      <c r="K20" s="19">
        <f t="shared" si="16"/>
        <v>15236.368345367642</v>
      </c>
      <c r="L20" s="19">
        <f t="shared" si="16"/>
        <v>16029.341778866605</v>
      </c>
      <c r="M20" s="19">
        <f t="shared" si="16"/>
        <v>15846.568068115681</v>
      </c>
      <c r="N20" s="19">
        <f t="shared" si="16"/>
        <v>16002.643708639098</v>
      </c>
      <c r="O20" s="19">
        <f t="shared" si="16"/>
        <v>15945.203876649297</v>
      </c>
      <c r="P20" s="19">
        <f t="shared" si="16"/>
        <v>15894.062707237916</v>
      </c>
      <c r="R20" s="19">
        <f t="shared" ref="R20:AD23" si="21">IFERROR(R14/R8,0)</f>
        <v>16468.75</v>
      </c>
      <c r="S20" s="19">
        <f t="shared" si="21"/>
        <v>16468.75</v>
      </c>
      <c r="T20" s="19">
        <f t="shared" si="21"/>
        <v>17054.245283018867</v>
      </c>
      <c r="U20" s="19">
        <f t="shared" si="21"/>
        <v>17542.452830188678</v>
      </c>
      <c r="V20" s="19">
        <f t="shared" si="21"/>
        <v>17542.452830188678</v>
      </c>
      <c r="W20" s="19">
        <f t="shared" si="21"/>
        <v>16566.037735849055</v>
      </c>
      <c r="X20" s="19">
        <f t="shared" si="21"/>
        <v>16566.037735849055</v>
      </c>
      <c r="Y20" s="19">
        <f t="shared" si="21"/>
        <v>16566.037735849055</v>
      </c>
      <c r="Z20" s="19">
        <f t="shared" si="21"/>
        <v>16566.037735849055</v>
      </c>
      <c r="AA20" s="19">
        <f t="shared" si="21"/>
        <v>17054.245283018867</v>
      </c>
      <c r="AB20" s="19">
        <f t="shared" si="21"/>
        <v>17054.245283018867</v>
      </c>
      <c r="AC20" s="19">
        <f t="shared" si="21"/>
        <v>17054.245283018867</v>
      </c>
      <c r="AD20" s="19">
        <f t="shared" si="21"/>
        <v>16881.78913738019</v>
      </c>
      <c r="AF20" s="19">
        <f t="shared" ref="AF20:AR23" si="22">IFERROR(AF14/AF8,0)</f>
        <v>16362.708476061713</v>
      </c>
      <c r="AG20" s="19">
        <f t="shared" si="22"/>
        <v>17072.502456733688</v>
      </c>
      <c r="AH20" s="19">
        <f t="shared" si="22"/>
        <v>17615.461746661207</v>
      </c>
      <c r="AI20" s="19">
        <f t="shared" si="22"/>
        <v>18171.925074753042</v>
      </c>
      <c r="AJ20" s="19">
        <f t="shared" si="22"/>
        <v>18274.395400176258</v>
      </c>
      <c r="AK20" s="19">
        <f t="shared" si="22"/>
        <v>18578.691179251789</v>
      </c>
      <c r="AL20" s="19">
        <f t="shared" si="22"/>
        <v>18788.575123491893</v>
      </c>
      <c r="AM20" s="19">
        <f t="shared" si="22"/>
        <v>18306.945181193612</v>
      </c>
      <c r="AN20" s="19">
        <f t="shared" si="22"/>
        <v>15316.367314919815</v>
      </c>
      <c r="AO20" s="19">
        <f t="shared" si="22"/>
        <v>14241.043941117143</v>
      </c>
      <c r="AP20" s="19">
        <f t="shared" si="22"/>
        <v>14065.579753559998</v>
      </c>
      <c r="AQ20" s="19">
        <f t="shared" si="22"/>
        <v>14022.036978233034</v>
      </c>
      <c r="AR20" s="19">
        <f t="shared" si="18"/>
        <v>17042.391145292375</v>
      </c>
      <c r="AT20" s="19">
        <f t="shared" ref="AT20:BF23" si="23">IFERROR(AT14/AT8,0)</f>
        <v>14289.795918367347</v>
      </c>
      <c r="AU20" s="19">
        <f t="shared" si="23"/>
        <v>14318.461538461539</v>
      </c>
      <c r="AV20" s="19">
        <f t="shared" si="23"/>
        <v>14289.795918367347</v>
      </c>
      <c r="AW20" s="19">
        <f t="shared" si="23"/>
        <v>14289.795918367347</v>
      </c>
      <c r="AX20" s="19">
        <f t="shared" si="23"/>
        <v>14289.795918367347</v>
      </c>
      <c r="AY20" s="19">
        <f t="shared" si="23"/>
        <v>14289.795918367347</v>
      </c>
      <c r="AZ20" s="19">
        <f t="shared" si="23"/>
        <v>14289.795918367347</v>
      </c>
      <c r="BA20" s="19">
        <f t="shared" si="23"/>
        <v>14289.795918367347</v>
      </c>
      <c r="BB20" s="19">
        <f t="shared" si="23"/>
        <v>14289.795918367347</v>
      </c>
      <c r="BC20" s="19">
        <f t="shared" si="23"/>
        <v>14289.795918367347</v>
      </c>
      <c r="BD20" s="19">
        <f t="shared" si="23"/>
        <v>14289.795918367347</v>
      </c>
      <c r="BE20" s="19">
        <f t="shared" si="23"/>
        <v>14289.795918367347</v>
      </c>
      <c r="BF20" s="19">
        <f t="shared" si="23"/>
        <v>14291.730103806229</v>
      </c>
      <c r="BH20" s="19">
        <f t="shared" ref="BH20:BT23" si="24">IFERROR(BH14/BH8,0)</f>
        <v>14185.14809856076</v>
      </c>
      <c r="BI20" s="19">
        <f t="shared" si="24"/>
        <v>14166.049797922182</v>
      </c>
      <c r="BJ20" s="19">
        <f t="shared" si="24"/>
        <v>13961.980879278735</v>
      </c>
      <c r="BK20" s="19">
        <f t="shared" si="24"/>
        <v>0</v>
      </c>
      <c r="BL20" s="19">
        <f t="shared" si="24"/>
        <v>0</v>
      </c>
      <c r="BM20" s="19">
        <f t="shared" si="24"/>
        <v>0</v>
      </c>
      <c r="BN20" s="19">
        <f t="shared" si="24"/>
        <v>0</v>
      </c>
      <c r="BO20" s="19">
        <f t="shared" si="24"/>
        <v>0</v>
      </c>
      <c r="BP20" s="19">
        <f t="shared" si="24"/>
        <v>0</v>
      </c>
      <c r="BQ20" s="19">
        <f t="shared" si="24"/>
        <v>0</v>
      </c>
      <c r="BR20" s="19">
        <f t="shared" si="24"/>
        <v>0</v>
      </c>
      <c r="BS20" s="19">
        <f t="shared" si="24"/>
        <v>0</v>
      </c>
      <c r="BT20" s="19">
        <f t="shared" si="20"/>
        <v>14085.256414693727</v>
      </c>
    </row>
    <row r="21" spans="1:72" hidden="1" outlineLevel="1" x14ac:dyDescent="0.35">
      <c r="A21" s="20" t="s">
        <v>9</v>
      </c>
      <c r="B21" s="20" t="s">
        <v>15</v>
      </c>
      <c r="D21" s="21">
        <f>IFERROR(D15/D9,0)</f>
        <v>18034.985383069125</v>
      </c>
      <c r="E21" s="21">
        <f t="shared" si="16"/>
        <v>18627.930333040069</v>
      </c>
      <c r="F21" s="21">
        <f t="shared" si="16"/>
        <v>19264.360949380811</v>
      </c>
      <c r="G21" s="21">
        <f t="shared" si="16"/>
        <v>19503.299795676121</v>
      </c>
      <c r="H21" s="21">
        <f t="shared" si="16"/>
        <v>19687.620343851115</v>
      </c>
      <c r="I21" s="21">
        <f t="shared" si="16"/>
        <v>19611.348073049852</v>
      </c>
      <c r="J21" s="21">
        <f t="shared" si="16"/>
        <v>17938.741153906849</v>
      </c>
      <c r="K21" s="21">
        <f t="shared" si="16"/>
        <v>17952.789538689558</v>
      </c>
      <c r="L21" s="21">
        <f t="shared" si="16"/>
        <v>18493.339175675941</v>
      </c>
      <c r="M21" s="21">
        <f t="shared" si="16"/>
        <v>18210.948809550511</v>
      </c>
      <c r="N21" s="21">
        <f t="shared" si="16"/>
        <v>18440.438244350935</v>
      </c>
      <c r="O21" s="21">
        <f t="shared" si="16"/>
        <v>18501.38793403473</v>
      </c>
      <c r="P21" s="21">
        <f t="shared" si="16"/>
        <v>18807.80554408225</v>
      </c>
      <c r="R21" s="21">
        <f t="shared" si="21"/>
        <v>18772.36842105263</v>
      </c>
      <c r="S21" s="21">
        <f t="shared" si="21"/>
        <v>18775</v>
      </c>
      <c r="T21" s="21">
        <f t="shared" si="21"/>
        <v>19260.576923076922</v>
      </c>
      <c r="U21" s="21">
        <f t="shared" si="21"/>
        <v>19741.346153846152</v>
      </c>
      <c r="V21" s="21">
        <f t="shared" si="21"/>
        <v>19741.346153846152</v>
      </c>
      <c r="W21" s="21">
        <f t="shared" si="21"/>
        <v>18779.807692307691</v>
      </c>
      <c r="X21" s="21">
        <f t="shared" si="21"/>
        <v>18779.807692307691</v>
      </c>
      <c r="Y21" s="21">
        <f t="shared" si="21"/>
        <v>18779.807692307691</v>
      </c>
      <c r="Z21" s="21">
        <f t="shared" si="21"/>
        <v>18779.807692307691</v>
      </c>
      <c r="AA21" s="21">
        <f t="shared" si="21"/>
        <v>19260.576923076922</v>
      </c>
      <c r="AB21" s="21">
        <f t="shared" si="21"/>
        <v>19260.576923076922</v>
      </c>
      <c r="AC21" s="21">
        <f t="shared" si="21"/>
        <v>19260.576923076922</v>
      </c>
      <c r="AD21" s="21">
        <f t="shared" si="21"/>
        <v>19112.333333333332</v>
      </c>
      <c r="AF21" s="21">
        <f t="shared" si="22"/>
        <v>18238.06337350815</v>
      </c>
      <c r="AG21" s="21">
        <f t="shared" si="22"/>
        <v>18955.246160112143</v>
      </c>
      <c r="AH21" s="21">
        <f t="shared" si="22"/>
        <v>19554.688912880836</v>
      </c>
      <c r="AI21" s="21">
        <f t="shared" si="22"/>
        <v>20197.982193745243</v>
      </c>
      <c r="AJ21" s="21">
        <f t="shared" si="22"/>
        <v>19557.517390658544</v>
      </c>
      <c r="AK21" s="21">
        <f t="shared" si="22"/>
        <v>20117.092377737019</v>
      </c>
      <c r="AL21" s="21">
        <f t="shared" si="22"/>
        <v>20103.618540055035</v>
      </c>
      <c r="AM21" s="21">
        <f t="shared" si="22"/>
        <v>19338.033537185343</v>
      </c>
      <c r="AN21" s="21">
        <f t="shared" si="22"/>
        <v>16915.010487498887</v>
      </c>
      <c r="AO21" s="21">
        <f t="shared" si="22"/>
        <v>16072.710756391671</v>
      </c>
      <c r="AP21" s="21">
        <f t="shared" si="22"/>
        <v>15792.489759595845</v>
      </c>
      <c r="AQ21" s="21">
        <f t="shared" si="22"/>
        <v>16037.394820617599</v>
      </c>
      <c r="AR21" s="21">
        <f t="shared" si="22"/>
        <v>18784.560829515376</v>
      </c>
      <c r="AT21" s="21">
        <f t="shared" si="23"/>
        <v>16500</v>
      </c>
      <c r="AU21" s="21">
        <f t="shared" si="23"/>
        <v>16500</v>
      </c>
      <c r="AV21" s="21">
        <f t="shared" si="23"/>
        <v>16500</v>
      </c>
      <c r="AW21" s="21">
        <f t="shared" si="23"/>
        <v>16500</v>
      </c>
      <c r="AX21" s="21">
        <f t="shared" si="23"/>
        <v>16500</v>
      </c>
      <c r="AY21" s="21">
        <f t="shared" si="23"/>
        <v>16500</v>
      </c>
      <c r="AZ21" s="21">
        <f t="shared" si="23"/>
        <v>16500</v>
      </c>
      <c r="BA21" s="21">
        <f t="shared" si="23"/>
        <v>16500</v>
      </c>
      <c r="BB21" s="21">
        <f t="shared" si="23"/>
        <v>16500</v>
      </c>
      <c r="BC21" s="21">
        <f t="shared" si="23"/>
        <v>16500</v>
      </c>
      <c r="BD21" s="21">
        <f t="shared" si="23"/>
        <v>16500</v>
      </c>
      <c r="BE21" s="21">
        <f t="shared" si="23"/>
        <v>16500</v>
      </c>
      <c r="BF21" s="21">
        <f t="shared" si="23"/>
        <v>16500</v>
      </c>
      <c r="BH21" s="21">
        <f t="shared" si="24"/>
        <v>16004.663002418945</v>
      </c>
      <c r="BI21" s="21">
        <f t="shared" si="24"/>
        <v>16020.585251433629</v>
      </c>
      <c r="BJ21" s="21">
        <f t="shared" si="24"/>
        <v>16171.606908007927</v>
      </c>
      <c r="BK21" s="21">
        <f t="shared" si="24"/>
        <v>0</v>
      </c>
      <c r="BL21" s="21">
        <f t="shared" si="24"/>
        <v>0</v>
      </c>
      <c r="BM21" s="21">
        <f t="shared" si="24"/>
        <v>0</v>
      </c>
      <c r="BN21" s="21">
        <f t="shared" si="24"/>
        <v>0</v>
      </c>
      <c r="BO21" s="21">
        <f t="shared" si="24"/>
        <v>0</v>
      </c>
      <c r="BP21" s="21">
        <f t="shared" si="24"/>
        <v>0</v>
      </c>
      <c r="BQ21" s="21">
        <f t="shared" si="24"/>
        <v>0</v>
      </c>
      <c r="BR21" s="21">
        <f t="shared" si="24"/>
        <v>0</v>
      </c>
      <c r="BS21" s="21">
        <f t="shared" si="24"/>
        <v>0</v>
      </c>
      <c r="BT21" s="21">
        <f t="shared" si="24"/>
        <v>16063.861266261794</v>
      </c>
    </row>
    <row r="22" spans="1:72" hidden="1" outlineLevel="1" x14ac:dyDescent="0.35">
      <c r="A22" s="20" t="s">
        <v>10</v>
      </c>
      <c r="B22" s="20" t="s">
        <v>15</v>
      </c>
      <c r="D22" s="21">
        <f>IFERROR(D16/D10,0)</f>
        <v>20107.93703021263</v>
      </c>
      <c r="E22" s="21">
        <f t="shared" si="16"/>
        <v>20376.098383705481</v>
      </c>
      <c r="F22" s="21">
        <f t="shared" si="16"/>
        <v>19071.437150371112</v>
      </c>
      <c r="G22" s="21">
        <f t="shared" si="16"/>
        <v>19293.896963219628</v>
      </c>
      <c r="H22" s="21">
        <f t="shared" si="16"/>
        <v>19963.118172654056</v>
      </c>
      <c r="I22" s="21">
        <f t="shared" si="16"/>
        <v>19675.96662084305</v>
      </c>
      <c r="J22" s="21">
        <f t="shared" si="16"/>
        <v>19827.895287861102</v>
      </c>
      <c r="K22" s="21">
        <f t="shared" si="16"/>
        <v>20796.805597014925</v>
      </c>
      <c r="L22" s="21">
        <f t="shared" si="16"/>
        <v>18600.280245785343</v>
      </c>
      <c r="M22" s="21">
        <f t="shared" si="16"/>
        <v>17561.496429295788</v>
      </c>
      <c r="N22" s="21">
        <f t="shared" si="16"/>
        <v>19100.32319881739</v>
      </c>
      <c r="O22" s="21">
        <f t="shared" si="16"/>
        <v>17959.546908002962</v>
      </c>
      <c r="P22" s="21">
        <f t="shared" si="16"/>
        <v>19219.462157873233</v>
      </c>
      <c r="R22" s="21">
        <f t="shared" si="21"/>
        <v>19096.296296296296</v>
      </c>
      <c r="S22" s="21">
        <f t="shared" si="21"/>
        <v>19096.296296296296</v>
      </c>
      <c r="T22" s="21">
        <f t="shared" si="21"/>
        <v>19650</v>
      </c>
      <c r="U22" s="21">
        <f t="shared" si="21"/>
        <v>19675</v>
      </c>
      <c r="V22" s="21">
        <f t="shared" si="21"/>
        <v>19940</v>
      </c>
      <c r="W22" s="21">
        <f t="shared" si="21"/>
        <v>19900</v>
      </c>
      <c r="X22" s="21">
        <f t="shared" si="21"/>
        <v>20087.096774193549</v>
      </c>
      <c r="Y22" s="21">
        <f t="shared" si="21"/>
        <v>20087.096774193549</v>
      </c>
      <c r="Z22" s="21">
        <f t="shared" si="21"/>
        <v>20087.096774193549</v>
      </c>
      <c r="AA22" s="21">
        <f t="shared" si="21"/>
        <v>20170.149253731342</v>
      </c>
      <c r="AB22" s="21">
        <f t="shared" si="21"/>
        <v>20170.149253731342</v>
      </c>
      <c r="AC22" s="21">
        <f t="shared" si="21"/>
        <v>20170.149253731342</v>
      </c>
      <c r="AD22" s="21">
        <f t="shared" si="21"/>
        <v>19946.215780998391</v>
      </c>
      <c r="AF22" s="21">
        <f t="shared" si="22"/>
        <v>17304.41241404687</v>
      </c>
      <c r="AG22" s="21">
        <f t="shared" si="22"/>
        <v>17706.336417003713</v>
      </c>
      <c r="AH22" s="21">
        <f t="shared" si="22"/>
        <v>16911.74419014982</v>
      </c>
      <c r="AI22" s="21">
        <f t="shared" si="22"/>
        <v>15911.661102877009</v>
      </c>
      <c r="AJ22" s="21">
        <f t="shared" si="22"/>
        <v>17506.13292981117</v>
      </c>
      <c r="AK22" s="21">
        <f t="shared" si="22"/>
        <v>17219.687753052829</v>
      </c>
      <c r="AL22" s="21">
        <f t="shared" si="22"/>
        <v>17436.709627143853</v>
      </c>
      <c r="AM22" s="21">
        <f t="shared" si="22"/>
        <v>17098.365674248049</v>
      </c>
      <c r="AN22" s="21">
        <f t="shared" si="22"/>
        <v>16526.778974231413</v>
      </c>
      <c r="AO22" s="21">
        <f t="shared" si="22"/>
        <v>13656.944163940165</v>
      </c>
      <c r="AP22" s="21">
        <f t="shared" si="22"/>
        <v>13811.85982191796</v>
      </c>
      <c r="AQ22" s="21">
        <f t="shared" si="22"/>
        <v>10929.213524038287</v>
      </c>
      <c r="AR22" s="21">
        <f t="shared" si="22"/>
        <v>16758.549136230875</v>
      </c>
      <c r="AT22" s="21">
        <f t="shared" si="23"/>
        <v>17152.083333333332</v>
      </c>
      <c r="AU22" s="21">
        <f t="shared" si="23"/>
        <v>17152.083333333332</v>
      </c>
      <c r="AV22" s="21">
        <f t="shared" si="23"/>
        <v>17695.588235294119</v>
      </c>
      <c r="AW22" s="21">
        <f t="shared" si="23"/>
        <v>17695.588235294119</v>
      </c>
      <c r="AX22" s="21">
        <f t="shared" si="23"/>
        <v>17695.588235294119</v>
      </c>
      <c r="AY22" s="21">
        <f t="shared" si="23"/>
        <v>17695.588235294119</v>
      </c>
      <c r="AZ22" s="21">
        <f t="shared" si="23"/>
        <v>17872.619047619046</v>
      </c>
      <c r="BA22" s="21">
        <f t="shared" si="23"/>
        <v>17872.619047619046</v>
      </c>
      <c r="BB22" s="21">
        <f t="shared" si="23"/>
        <v>17872.619047619046</v>
      </c>
      <c r="BC22" s="21">
        <f t="shared" si="23"/>
        <v>17872.619047619046</v>
      </c>
      <c r="BD22" s="21">
        <f t="shared" si="23"/>
        <v>17872.619047619046</v>
      </c>
      <c r="BE22" s="21">
        <f t="shared" si="23"/>
        <v>17872.619047619046</v>
      </c>
      <c r="BF22" s="21">
        <f t="shared" si="23"/>
        <v>17738.073394495412</v>
      </c>
      <c r="BH22" s="21">
        <f t="shared" si="24"/>
        <v>10137.075453257099</v>
      </c>
      <c r="BI22" s="21">
        <f t="shared" si="24"/>
        <v>10555.072547121048</v>
      </c>
      <c r="BJ22" s="21">
        <f t="shared" si="24"/>
        <v>16365.863308284077</v>
      </c>
      <c r="BK22" s="21">
        <f t="shared" si="24"/>
        <v>0</v>
      </c>
      <c r="BL22" s="21">
        <f t="shared" si="24"/>
        <v>0</v>
      </c>
      <c r="BM22" s="21">
        <f t="shared" si="24"/>
        <v>0</v>
      </c>
      <c r="BN22" s="21">
        <f t="shared" si="24"/>
        <v>0</v>
      </c>
      <c r="BO22" s="21">
        <f t="shared" si="24"/>
        <v>0</v>
      </c>
      <c r="BP22" s="21">
        <f t="shared" si="24"/>
        <v>0</v>
      </c>
      <c r="BQ22" s="21">
        <f t="shared" si="24"/>
        <v>0</v>
      </c>
      <c r="BR22" s="21">
        <f t="shared" si="24"/>
        <v>0</v>
      </c>
      <c r="BS22" s="21">
        <f t="shared" si="24"/>
        <v>0</v>
      </c>
      <c r="BT22" s="21">
        <f t="shared" si="24"/>
        <v>14614.723401235486</v>
      </c>
    </row>
    <row r="23" spans="1:72" hidden="1" outlineLevel="1" x14ac:dyDescent="0.35">
      <c r="A23" s="20" t="s">
        <v>11</v>
      </c>
      <c r="B23" s="20" t="s">
        <v>15</v>
      </c>
      <c r="D23" s="21">
        <f>IFERROR(D17/D11,0)</f>
        <v>15533.658952702703</v>
      </c>
      <c r="E23" s="21">
        <f t="shared" si="16"/>
        <v>15648.436949749424</v>
      </c>
      <c r="F23" s="21">
        <f t="shared" si="16"/>
        <v>15420.186522129223</v>
      </c>
      <c r="G23" s="21">
        <f t="shared" si="16"/>
        <v>15853.020232706009</v>
      </c>
      <c r="H23" s="21">
        <f t="shared" si="16"/>
        <v>15813.836933713384</v>
      </c>
      <c r="I23" s="21">
        <f t="shared" si="16"/>
        <v>16873.429752430307</v>
      </c>
      <c r="J23" s="21">
        <f t="shared" si="16"/>
        <v>15790.000635687496</v>
      </c>
      <c r="K23" s="21">
        <f t="shared" si="16"/>
        <v>17018.40466357709</v>
      </c>
      <c r="L23" s="21">
        <f t="shared" si="16"/>
        <v>19500</v>
      </c>
      <c r="M23" s="21">
        <f t="shared" si="16"/>
        <v>17000</v>
      </c>
      <c r="N23" s="21">
        <f t="shared" si="16"/>
        <v>18200</v>
      </c>
      <c r="O23" s="21">
        <f t="shared" si="16"/>
        <v>18200</v>
      </c>
      <c r="P23" s="21">
        <f t="shared" si="16"/>
        <v>16012.980810180232</v>
      </c>
      <c r="R23" s="21">
        <f t="shared" si="21"/>
        <v>19000</v>
      </c>
      <c r="S23" s="21">
        <f t="shared" si="21"/>
        <v>0</v>
      </c>
      <c r="T23" s="21">
        <f t="shared" si="21"/>
        <v>17578.947368421053</v>
      </c>
      <c r="U23" s="21">
        <f t="shared" si="21"/>
        <v>16000</v>
      </c>
      <c r="V23" s="21">
        <f t="shared" si="21"/>
        <v>17764.705882352941</v>
      </c>
      <c r="W23" s="21">
        <f t="shared" si="21"/>
        <v>16000</v>
      </c>
      <c r="X23" s="21">
        <f t="shared" si="21"/>
        <v>17764.705882352941</v>
      </c>
      <c r="Y23" s="21">
        <f t="shared" si="21"/>
        <v>16000</v>
      </c>
      <c r="Z23" s="21">
        <f t="shared" si="21"/>
        <v>17578.947368421053</v>
      </c>
      <c r="AA23" s="21">
        <f t="shared" si="21"/>
        <v>16000</v>
      </c>
      <c r="AB23" s="21">
        <f t="shared" si="21"/>
        <v>17428.571428571428</v>
      </c>
      <c r="AC23" s="21">
        <f t="shared" si="21"/>
        <v>16000</v>
      </c>
      <c r="AD23" s="21">
        <f t="shared" si="21"/>
        <v>17200</v>
      </c>
      <c r="AF23" s="21">
        <f t="shared" si="22"/>
        <v>0</v>
      </c>
      <c r="AG23" s="21">
        <f t="shared" si="22"/>
        <v>18500</v>
      </c>
      <c r="AH23" s="21">
        <f t="shared" si="22"/>
        <v>19000</v>
      </c>
      <c r="AI23" s="21">
        <f t="shared" si="22"/>
        <v>19000</v>
      </c>
      <c r="AJ23" s="21">
        <f t="shared" si="22"/>
        <v>19000</v>
      </c>
      <c r="AK23" s="21">
        <f t="shared" si="22"/>
        <v>14200</v>
      </c>
      <c r="AL23" s="21">
        <f t="shared" si="22"/>
        <v>19000</v>
      </c>
      <c r="AM23" s="21">
        <f t="shared" si="22"/>
        <v>18044.318943237293</v>
      </c>
      <c r="AN23" s="21">
        <f t="shared" si="22"/>
        <v>0</v>
      </c>
      <c r="AO23" s="21">
        <f t="shared" si="22"/>
        <v>0</v>
      </c>
      <c r="AP23" s="21">
        <f t="shared" si="22"/>
        <v>0</v>
      </c>
      <c r="AQ23" s="21">
        <f t="shared" si="22"/>
        <v>0</v>
      </c>
      <c r="AR23" s="21">
        <f t="shared" si="22"/>
        <v>18768.952327514831</v>
      </c>
      <c r="AT23" s="21">
        <f t="shared" si="23"/>
        <v>17000</v>
      </c>
      <c r="AU23" s="21">
        <f t="shared" si="23"/>
        <v>19000</v>
      </c>
      <c r="AV23" s="21">
        <f t="shared" si="23"/>
        <v>17000</v>
      </c>
      <c r="AW23" s="21">
        <f t="shared" si="23"/>
        <v>19000</v>
      </c>
      <c r="AX23" s="21">
        <f t="shared" si="23"/>
        <v>16750</v>
      </c>
      <c r="AY23" s="21">
        <f t="shared" si="23"/>
        <v>19000</v>
      </c>
      <c r="AZ23" s="21">
        <f t="shared" si="23"/>
        <v>17000</v>
      </c>
      <c r="BA23" s="21">
        <f t="shared" si="23"/>
        <v>19000</v>
      </c>
      <c r="BB23" s="21">
        <f t="shared" si="23"/>
        <v>17000</v>
      </c>
      <c r="BC23" s="21">
        <f t="shared" si="23"/>
        <v>19000</v>
      </c>
      <c r="BD23" s="21">
        <f t="shared" si="23"/>
        <v>16750</v>
      </c>
      <c r="BE23" s="21">
        <f t="shared" si="23"/>
        <v>19000</v>
      </c>
      <c r="BF23" s="21">
        <f t="shared" si="23"/>
        <v>17764.705882352941</v>
      </c>
      <c r="BH23" s="21">
        <f t="shared" si="24"/>
        <v>17273.348554671134</v>
      </c>
      <c r="BI23" s="21">
        <f t="shared" si="24"/>
        <v>0</v>
      </c>
      <c r="BJ23" s="21">
        <f t="shared" si="24"/>
        <v>18777</v>
      </c>
      <c r="BK23" s="21">
        <f t="shared" si="24"/>
        <v>0</v>
      </c>
      <c r="BL23" s="21">
        <f t="shared" si="24"/>
        <v>0</v>
      </c>
      <c r="BM23" s="21">
        <f t="shared" si="24"/>
        <v>0</v>
      </c>
      <c r="BN23" s="21">
        <f t="shared" si="24"/>
        <v>0</v>
      </c>
      <c r="BO23" s="21">
        <f t="shared" si="24"/>
        <v>0</v>
      </c>
      <c r="BP23" s="21">
        <f t="shared" si="24"/>
        <v>0</v>
      </c>
      <c r="BQ23" s="21">
        <f t="shared" si="24"/>
        <v>0</v>
      </c>
      <c r="BR23" s="21">
        <f t="shared" si="24"/>
        <v>0</v>
      </c>
      <c r="BS23" s="21">
        <f t="shared" si="24"/>
        <v>0</v>
      </c>
      <c r="BT23" s="21">
        <f t="shared" si="24"/>
        <v>17463.591894611654</v>
      </c>
    </row>
    <row r="24" spans="1:72" collapsed="1" x14ac:dyDescent="0.35"/>
    <row r="25" spans="1:72" s="6" customFormat="1" x14ac:dyDescent="0.35">
      <c r="A25" s="16" t="s">
        <v>16</v>
      </c>
      <c r="B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</row>
    <row r="26" spans="1:72" x14ac:dyDescent="0.35">
      <c r="A26" s="18" t="s">
        <v>8</v>
      </c>
      <c r="D26" s="25">
        <f>1-
(
(IFERROR(D45/(D45+D47)*D51/D45*D52/D46,0)+IFERROR(D47/(D45+D47)*D53/D47,0))
* D54/D48
)</f>
        <v>0.19829489987578175</v>
      </c>
      <c r="E26" s="25">
        <f t="shared" ref="E26:P26" si="25">1-
(
(IFERROR(E45/(E45+E47)*E51/E45*E52/E46,0)+IFERROR(E47/(E45+E47)*E53/E47,0))
* E54/E48
)</f>
        <v>0.18728847346574218</v>
      </c>
      <c r="F26" s="25">
        <f t="shared" si="25"/>
        <v>0.17114601218806613</v>
      </c>
      <c r="G26" s="25">
        <f t="shared" si="25"/>
        <v>0.17463279107274476</v>
      </c>
      <c r="H26" s="25">
        <f t="shared" si="25"/>
        <v>0.16832992397455249</v>
      </c>
      <c r="I26" s="25">
        <f t="shared" si="25"/>
        <v>0.1633659040418024</v>
      </c>
      <c r="J26" s="25">
        <f t="shared" si="25"/>
        <v>0.11379109912778262</v>
      </c>
      <c r="K26" s="25">
        <f t="shared" si="25"/>
        <v>0.16160513706985435</v>
      </c>
      <c r="L26" s="25">
        <f t="shared" si="25"/>
        <v>0.16724865138774891</v>
      </c>
      <c r="M26" s="25">
        <f t="shared" si="25"/>
        <v>0.15627108736213857</v>
      </c>
      <c r="N26" s="25">
        <f t="shared" si="25"/>
        <v>0.16343612010584163</v>
      </c>
      <c r="O26" s="25">
        <f t="shared" si="25"/>
        <v>0.16365700398580174</v>
      </c>
      <c r="P26" s="25">
        <f t="shared" si="25"/>
        <v>0.15968000498207247</v>
      </c>
      <c r="R26" s="25">
        <v>0.1588</v>
      </c>
      <c r="S26" s="25">
        <v>0.1588</v>
      </c>
      <c r="T26" s="25">
        <v>0.1588</v>
      </c>
      <c r="U26" s="25">
        <v>0.1588</v>
      </c>
      <c r="V26" s="25">
        <v>0.1588</v>
      </c>
      <c r="W26" s="25">
        <v>0.1588</v>
      </c>
      <c r="X26" s="25">
        <v>0.1588</v>
      </c>
      <c r="Y26" s="25">
        <v>0.1588</v>
      </c>
      <c r="Z26" s="25">
        <v>0.1588</v>
      </c>
      <c r="AA26" s="25">
        <v>0.1588</v>
      </c>
      <c r="AB26" s="25">
        <v>0.1588</v>
      </c>
      <c r="AC26" s="25">
        <v>0.1588</v>
      </c>
      <c r="AD26" s="25">
        <v>0.1588</v>
      </c>
      <c r="AF26" s="25">
        <f>1-
(
(IFERROR(AF45/(AF45+AF47)*AF51/AF45*AF52/AF46,0)+IFERROR(AF47/(AF45+AF47)*AF53/AF47,0))
* AF54/AF48
)</f>
        <v>0.22931982653955951</v>
      </c>
      <c r="AG26" s="25">
        <f t="shared" ref="AG26:AR26" si="26">1-
(
(IFERROR(AG45/(AG45+AG47)*AG51/AG45*AG52/AG46,0)+IFERROR(AG47/(AG45+AG47)*AG53/AG47,0))
* AG54/AG48
)</f>
        <v>0.2702558593383888</v>
      </c>
      <c r="AH26" s="25">
        <f t="shared" si="26"/>
        <v>0.16891710557624162</v>
      </c>
      <c r="AI26" s="25">
        <f t="shared" si="26"/>
        <v>0.20020100437485211</v>
      </c>
      <c r="AJ26" s="25">
        <f t="shared" si="26"/>
        <v>0.16562806193424584</v>
      </c>
      <c r="AK26" s="25">
        <f t="shared" si="26"/>
        <v>0.20023191598618384</v>
      </c>
      <c r="AL26" s="25">
        <f t="shared" si="26"/>
        <v>0.21196715810293143</v>
      </c>
      <c r="AM26" s="25">
        <f t="shared" si="26"/>
        <v>0.24040734075112868</v>
      </c>
      <c r="AN26" s="25">
        <f t="shared" si="26"/>
        <v>0.2490272699919317</v>
      </c>
      <c r="AO26" s="25">
        <f t="shared" si="26"/>
        <v>0.29735170732185501</v>
      </c>
      <c r="AP26" s="25">
        <f t="shared" si="26"/>
        <v>0.26614422324449893</v>
      </c>
      <c r="AQ26" s="25">
        <f t="shared" si="26"/>
        <v>0.24073096785711634</v>
      </c>
      <c r="AR26" s="25">
        <f t="shared" si="26"/>
        <v>0.23625237995565895</v>
      </c>
      <c r="AT26" s="26">
        <f>1-(1-14.7921694140916%)*(1-6.18473861326699%)*(1-5.94597347519405%)</f>
        <v>0.24815140257195123</v>
      </c>
      <c r="AU26" s="25">
        <f t="shared" ref="AU26:BF26" si="27">1-(1-14.7921694140916%)*(1-6.18473861326699%)*(1-5.94597347519405%)</f>
        <v>0.24815140257195123</v>
      </c>
      <c r="AV26" s="25">
        <f t="shared" si="27"/>
        <v>0.24815140257195123</v>
      </c>
      <c r="AW26" s="25">
        <f t="shared" si="27"/>
        <v>0.24815140257195123</v>
      </c>
      <c r="AX26" s="25">
        <f t="shared" si="27"/>
        <v>0.24815140257195123</v>
      </c>
      <c r="AY26" s="25">
        <f t="shared" si="27"/>
        <v>0.24815140257195123</v>
      </c>
      <c r="AZ26" s="25">
        <f t="shared" si="27"/>
        <v>0.24815140257195123</v>
      </c>
      <c r="BA26" s="25">
        <f t="shared" si="27"/>
        <v>0.24815140257195123</v>
      </c>
      <c r="BB26" s="25">
        <f t="shared" si="27"/>
        <v>0.24815140257195123</v>
      </c>
      <c r="BC26" s="25">
        <f t="shared" si="27"/>
        <v>0.24815140257195123</v>
      </c>
      <c r="BD26" s="25">
        <f t="shared" si="27"/>
        <v>0.24815140257195123</v>
      </c>
      <c r="BE26" s="25">
        <f t="shared" si="27"/>
        <v>0.24815140257195123</v>
      </c>
      <c r="BF26" s="25">
        <f t="shared" si="27"/>
        <v>0.24815140257195123</v>
      </c>
      <c r="BH26" s="25">
        <f>1-
(
(IFERROR(BH45/(BH45+BH47)*BH51/BH45*BH52/BH46,0)+IFERROR(BH47/(BH45+BH47)*BH53/BH47,0))
* BH54/BH48
)</f>
        <v>0.21219852132328509</v>
      </c>
      <c r="BI26" s="25">
        <f>1-
(
(IFERROR(BI45/(BI45+BI47)*BI51/BI45*BI52/BI46,0)+IFERROR(BI47/(BI45+BI47)*BI53/BI47,0))
* BI54/BI48
)</f>
        <v>0.23481682134476067</v>
      </c>
      <c r="BJ26" s="25">
        <f>1-
(
(IFERROR(BJ45/(BJ45+BJ47)*BJ51/BJ45*BJ52/BJ46,0)+IFERROR(BJ47/(BJ45+BJ47)*BJ53/BJ47,0))
* BJ54/BJ48
)</f>
        <v>0.23225795767707536</v>
      </c>
      <c r="BK26" s="25"/>
      <c r="BL26" s="25"/>
      <c r="BM26" s="25"/>
      <c r="BN26" s="25"/>
      <c r="BO26" s="25"/>
      <c r="BP26" s="25"/>
      <c r="BQ26" s="25"/>
      <c r="BR26" s="25"/>
      <c r="BS26" s="25"/>
      <c r="BT26" s="25">
        <f t="shared" ref="BT26" si="28">1-
(
(IFERROR(BT45/(BT45+BT47)*BT51/BT45*BT52/BT46,0)+IFERROR(BT47/(BT45+BT47)*BT53/BT47,0))
* BT54/BT48
)</f>
        <v>0.2269000777305904</v>
      </c>
    </row>
    <row r="27" spans="1:72" x14ac:dyDescent="0.35">
      <c r="A27" s="20" t="s">
        <v>9</v>
      </c>
      <c r="D27" s="26">
        <f>IFERROR(1-D52/D46*D54/D48,0)</f>
        <v>8.0849969341658667E-2</v>
      </c>
      <c r="E27" s="26">
        <f t="shared" ref="E27:P27" si="29">IFERROR(1-E52/E46*E54/E48,0)</f>
        <v>9.0872517625925298E-2</v>
      </c>
      <c r="F27" s="26">
        <f t="shared" si="29"/>
        <v>9.2452538451875843E-2</v>
      </c>
      <c r="G27" s="26">
        <f t="shared" si="29"/>
        <v>8.1457821322036827E-2</v>
      </c>
      <c r="H27" s="26">
        <f t="shared" si="29"/>
        <v>7.960779236979576E-2</v>
      </c>
      <c r="I27" s="26">
        <f t="shared" si="29"/>
        <v>7.4903787812977907E-2</v>
      </c>
      <c r="J27" s="26">
        <f t="shared" si="29"/>
        <v>8.6890718928446686E-2</v>
      </c>
      <c r="K27" s="26">
        <f t="shared" si="29"/>
        <v>0.10114175652421453</v>
      </c>
      <c r="L27" s="26">
        <f t="shared" si="29"/>
        <v>8.095995142207757E-2</v>
      </c>
      <c r="M27" s="26">
        <f t="shared" si="29"/>
        <v>8.7729335494670768E-2</v>
      </c>
      <c r="N27" s="26">
        <f t="shared" si="29"/>
        <v>7.7156010037863876E-2</v>
      </c>
      <c r="O27" s="26">
        <f t="shared" si="29"/>
        <v>0.10760995173513155</v>
      </c>
      <c r="P27" s="26">
        <f t="shared" si="29"/>
        <v>8.5215111235449115E-2</v>
      </c>
      <c r="R27" s="26">
        <v>7.5700000000000003E-2</v>
      </c>
      <c r="S27" s="26">
        <v>7.5700000000000003E-2</v>
      </c>
      <c r="T27" s="26">
        <v>7.5700000000000003E-2</v>
      </c>
      <c r="U27" s="26">
        <v>7.5700000000000003E-2</v>
      </c>
      <c r="V27" s="26">
        <v>7.5700000000000003E-2</v>
      </c>
      <c r="W27" s="26">
        <v>7.5700000000000003E-2</v>
      </c>
      <c r="X27" s="26">
        <v>7.5700000000000003E-2</v>
      </c>
      <c r="Y27" s="26">
        <v>7.5700000000000003E-2</v>
      </c>
      <c r="Z27" s="26">
        <v>7.5700000000000003E-2</v>
      </c>
      <c r="AA27" s="26">
        <v>7.5700000000000003E-2</v>
      </c>
      <c r="AB27" s="26">
        <v>7.5700000000000003E-2</v>
      </c>
      <c r="AC27" s="26">
        <v>7.5700000000000003E-2</v>
      </c>
      <c r="AD27" s="26">
        <v>7.5700000000000003E-2</v>
      </c>
      <c r="AF27" s="26">
        <f>IFERROR(1-AF52/AF46*AF54/AF48,0)</f>
        <v>8.8872722742684429E-2</v>
      </c>
      <c r="AG27" s="26">
        <f t="shared" ref="AG27:AR27" si="30">IFERROR(1-AG52/AG46*AG54/AG48,0)</f>
        <v>0.13238306741668593</v>
      </c>
      <c r="AH27" s="26">
        <f t="shared" si="30"/>
        <v>0.12026380779578849</v>
      </c>
      <c r="AI27" s="26">
        <f t="shared" si="30"/>
        <v>0.11137844864465374</v>
      </c>
      <c r="AJ27" s="26">
        <f t="shared" si="30"/>
        <v>0.11167099275046311</v>
      </c>
      <c r="AK27" s="26">
        <f t="shared" si="30"/>
        <v>0.11928686609810502</v>
      </c>
      <c r="AL27" s="26">
        <f t="shared" si="30"/>
        <v>0.12494587183192807</v>
      </c>
      <c r="AM27" s="26">
        <f t="shared" si="30"/>
        <v>0.13664367701849223</v>
      </c>
      <c r="AN27" s="26">
        <f t="shared" si="30"/>
        <v>0.11909708154601006</v>
      </c>
      <c r="AO27" s="26">
        <f t="shared" si="30"/>
        <v>0.14105204613530098</v>
      </c>
      <c r="AP27" s="26">
        <f t="shared" si="30"/>
        <v>0.10822206428110248</v>
      </c>
      <c r="AQ27" s="26">
        <f t="shared" si="30"/>
        <v>0.12996115026986721</v>
      </c>
      <c r="AR27" s="26">
        <f t="shared" si="30"/>
        <v>0.12269221012043108</v>
      </c>
      <c r="AT27" s="26">
        <f>1-(1-6.18473861326699%)*(1-5.94597347519405%)</f>
        <v>0.1176296917100611</v>
      </c>
      <c r="AU27" s="26">
        <f t="shared" ref="AU27:BF27" si="31">1-(1-6.18473861326699%)*(1-5.94597347519405%)</f>
        <v>0.1176296917100611</v>
      </c>
      <c r="AV27" s="26">
        <f t="shared" si="31"/>
        <v>0.1176296917100611</v>
      </c>
      <c r="AW27" s="26">
        <f t="shared" si="31"/>
        <v>0.1176296917100611</v>
      </c>
      <c r="AX27" s="26">
        <f t="shared" si="31"/>
        <v>0.1176296917100611</v>
      </c>
      <c r="AY27" s="26">
        <f t="shared" si="31"/>
        <v>0.1176296917100611</v>
      </c>
      <c r="AZ27" s="26">
        <f t="shared" si="31"/>
        <v>0.1176296917100611</v>
      </c>
      <c r="BA27" s="26">
        <f t="shared" si="31"/>
        <v>0.1176296917100611</v>
      </c>
      <c r="BB27" s="26">
        <f t="shared" si="31"/>
        <v>0.1176296917100611</v>
      </c>
      <c r="BC27" s="26">
        <f t="shared" si="31"/>
        <v>0.1176296917100611</v>
      </c>
      <c r="BD27" s="26">
        <f t="shared" si="31"/>
        <v>0.1176296917100611</v>
      </c>
      <c r="BE27" s="26">
        <f t="shared" si="31"/>
        <v>0.1176296917100611</v>
      </c>
      <c r="BF27" s="26">
        <f t="shared" si="31"/>
        <v>0.1176296917100611</v>
      </c>
      <c r="BH27" s="26">
        <f>IFERROR(1-BH52/BH46*BH54/BH48,0)</f>
        <v>0.11893244522889579</v>
      </c>
      <c r="BI27" s="26">
        <f>IFERROR(1-BI52/BI46*BI54/BI48,0)</f>
        <v>0.1361554676183081</v>
      </c>
      <c r="BJ27" s="26">
        <f>IFERROR(1-BJ52/BJ46*BJ54/BJ48,0)</f>
        <v>0.13488144758256904</v>
      </c>
      <c r="BK27" s="26"/>
      <c r="BL27" s="26"/>
      <c r="BM27" s="26"/>
      <c r="BN27" s="26"/>
      <c r="BO27" s="26"/>
      <c r="BP27" s="26"/>
      <c r="BQ27" s="26"/>
      <c r="BR27" s="26"/>
      <c r="BS27" s="26"/>
      <c r="BT27" s="26">
        <f t="shared" ref="BT27" si="32">IFERROR(1-BT52/BT46*BT54/BT48,0)</f>
        <v>0.12993578598577404</v>
      </c>
    </row>
    <row r="28" spans="1:72" x14ac:dyDescent="0.35">
      <c r="A28" s="20" t="s">
        <v>10</v>
      </c>
      <c r="D28" s="26">
        <v>0.20313208635959623</v>
      </c>
      <c r="E28" s="26">
        <v>0.25234447298934426</v>
      </c>
      <c r="F28" s="26">
        <v>0.16685422006616801</v>
      </c>
      <c r="G28" s="26">
        <v>0.26617471589000219</v>
      </c>
      <c r="H28" s="26">
        <v>0.20814188571171299</v>
      </c>
      <c r="I28" s="26">
        <v>0.19648853432404922</v>
      </c>
      <c r="J28" s="26">
        <v>0.17982208896169005</v>
      </c>
      <c r="K28" s="26">
        <v>0.14420687250046782</v>
      </c>
      <c r="L28" s="26">
        <v>0.16905920744271674</v>
      </c>
      <c r="M28" s="26">
        <v>0.11430898774952791</v>
      </c>
      <c r="N28" s="26">
        <v>9.5201812882743986E-2</v>
      </c>
      <c r="O28" s="26">
        <v>0.15831375657241631</v>
      </c>
      <c r="P28" s="26">
        <v>0.15831375657241631</v>
      </c>
      <c r="R28" s="26">
        <v>0.14452271993631954</v>
      </c>
      <c r="S28" s="26">
        <v>0.14452271993631954</v>
      </c>
      <c r="T28" s="26">
        <v>0.14452271993631954</v>
      </c>
      <c r="U28" s="26">
        <v>0.14452271993631954</v>
      </c>
      <c r="V28" s="26">
        <v>0.14452271993631954</v>
      </c>
      <c r="W28" s="26">
        <v>0.14452271993631954</v>
      </c>
      <c r="X28" s="26">
        <v>0.14452271993631954</v>
      </c>
      <c r="Y28" s="26">
        <v>0.14452271993631954</v>
      </c>
      <c r="Z28" s="26">
        <v>0.14452271993631954</v>
      </c>
      <c r="AA28" s="26">
        <v>0.14452271993631954</v>
      </c>
      <c r="AB28" s="26">
        <v>0.14452271993631954</v>
      </c>
      <c r="AC28" s="26">
        <v>0.14452271993631954</v>
      </c>
      <c r="AD28" s="26">
        <v>0.14452271993631954</v>
      </c>
      <c r="AF28" s="27">
        <f>0.0783421898109457+10%+N("dự án EPR")</f>
        <v>0.17834218981094571</v>
      </c>
      <c r="AG28" s="27">
        <f>13.0290573074173%+10%+N("dự án EPR")</f>
        <v>0.230290573074173</v>
      </c>
      <c r="AH28" s="27">
        <f>0.0941937345548818+10%+N("dự án EPR")</f>
        <v>0.19419373455488181</v>
      </c>
      <c r="AI28" s="27">
        <f>11.5294041888379%+10%+N("dự án EPR")</f>
        <v>0.215294041888379</v>
      </c>
      <c r="AJ28" s="26">
        <v>8.3891407055670775E-2</v>
      </c>
      <c r="AK28" s="26">
        <v>0.13020131345536567</v>
      </c>
      <c r="AL28" s="26">
        <v>5.9835895307927212E-2</v>
      </c>
      <c r="AM28" s="26">
        <v>4.1688231913196483E-2</v>
      </c>
      <c r="AN28" s="26">
        <v>5.3754927841193512E-2</v>
      </c>
      <c r="AO28" s="26">
        <v>9.6447612796394799E-2</v>
      </c>
      <c r="AP28" s="26">
        <v>0.15687564751542649</v>
      </c>
      <c r="AQ28" s="26">
        <v>0.22218992670761817</v>
      </c>
      <c r="AR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</row>
    <row r="29" spans="1:72" x14ac:dyDescent="0.35">
      <c r="A29" s="20" t="s">
        <v>11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</row>
    <row r="30" spans="1:72" x14ac:dyDescent="0.35"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</row>
    <row r="31" spans="1:72" s="6" customFormat="1" x14ac:dyDescent="0.35">
      <c r="A31" s="16" t="s">
        <v>17</v>
      </c>
      <c r="B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</row>
    <row r="32" spans="1:72" x14ac:dyDescent="0.35">
      <c r="A32" s="18" t="s">
        <v>8</v>
      </c>
      <c r="B32" s="18"/>
      <c r="D32" s="25">
        <f t="shared" ref="D32:O32" si="33">1-
(
(IFERROR(D64/(D64+D66)*D70/D64*D71/D65,0)+IFERROR(D66/(D64+D66)*D72/D66,0))
* D73/D67
)</f>
        <v>0.19829489987578175</v>
      </c>
      <c r="E32" s="25">
        <f t="shared" si="33"/>
        <v>0.19189950492244678</v>
      </c>
      <c r="F32" s="25">
        <f t="shared" si="33"/>
        <v>0.18329805444218827</v>
      </c>
      <c r="G32" s="25">
        <f t="shared" si="33"/>
        <v>0.18181827555353758</v>
      </c>
      <c r="H32" s="25">
        <f t="shared" si="33"/>
        <v>0.17846300294212347</v>
      </c>
      <c r="I32" s="25">
        <f t="shared" si="33"/>
        <v>0.17549608585273879</v>
      </c>
      <c r="J32" s="25">
        <f t="shared" si="33"/>
        <v>0.15856269719514682</v>
      </c>
      <c r="K32" s="25">
        <f t="shared" si="33"/>
        <v>0.15826755923466784</v>
      </c>
      <c r="L32" s="25">
        <f t="shared" si="33"/>
        <v>0.15896897642805319</v>
      </c>
      <c r="M32" s="25">
        <f t="shared" si="33"/>
        <v>0.1584516015173435</v>
      </c>
      <c r="N32" s="25">
        <f t="shared" si="33"/>
        <v>0.15848968847128453</v>
      </c>
      <c r="O32" s="25">
        <f t="shared" si="33"/>
        <v>0.15968000498207247</v>
      </c>
      <c r="P32" s="25"/>
      <c r="R32" s="25">
        <v>0.1588</v>
      </c>
      <c r="S32" s="25">
        <v>0.1588</v>
      </c>
      <c r="T32" s="25">
        <v>0.1588</v>
      </c>
      <c r="U32" s="25">
        <v>0.1588</v>
      </c>
      <c r="V32" s="25">
        <v>0.1588</v>
      </c>
      <c r="W32" s="25">
        <v>0.1588</v>
      </c>
      <c r="X32" s="25">
        <v>0.1588</v>
      </c>
      <c r="Y32" s="25">
        <v>0.1588</v>
      </c>
      <c r="Z32" s="25">
        <v>0.1588</v>
      </c>
      <c r="AA32" s="25">
        <v>0.1588</v>
      </c>
      <c r="AB32" s="25">
        <v>0.1588</v>
      </c>
      <c r="AC32" s="25">
        <v>0.1588</v>
      </c>
      <c r="AD32" s="25">
        <v>0.1588</v>
      </c>
      <c r="AF32" s="25">
        <f>1-
(
(IFERROR(AF64/(AF64+AF66)*AF70/AF64*AF71/AF65,0)+IFERROR(AF66/(AF64+AF66)*AF72/AF66,0))
* AF73/AF67
)</f>
        <v>0.22931982653955951</v>
      </c>
      <c r="AG32" s="25">
        <f t="shared" ref="AG32:AQ32" si="34">1-
(
(IFERROR(AG64/(AG64+AG66)*AG70/AG64*AG71/AG65,0)+IFERROR(AG66/(AG64+AG66)*AG72/AG66,0))
* AG73/AG67
)</f>
        <v>0.25088331996049806</v>
      </c>
      <c r="AH32" s="25">
        <f t="shared" si="34"/>
        <v>0.22664146414307151</v>
      </c>
      <c r="AI32" s="25">
        <f t="shared" si="34"/>
        <v>0.21770694959444037</v>
      </c>
      <c r="AJ32" s="25">
        <f t="shared" si="34"/>
        <v>0.20542665426314544</v>
      </c>
      <c r="AK32" s="25">
        <f t="shared" si="34"/>
        <v>0.20396828894427288</v>
      </c>
      <c r="AL32" s="25">
        <f t="shared" si="34"/>
        <v>0.20528516333209434</v>
      </c>
      <c r="AM32" s="25">
        <f t="shared" si="34"/>
        <v>0.21046830744753231</v>
      </c>
      <c r="AN32" s="25">
        <f t="shared" si="34"/>
        <v>0.2140332109287677</v>
      </c>
      <c r="AO32" s="25">
        <f t="shared" si="34"/>
        <v>0.23371182734608065</v>
      </c>
      <c r="AP32" s="25">
        <f t="shared" si="34"/>
        <v>0.23589931706522116</v>
      </c>
      <c r="AQ32" s="25">
        <f t="shared" si="34"/>
        <v>0.23625237995565895</v>
      </c>
      <c r="AR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H32" s="25">
        <f>1-
(
(IFERROR(BH64/(BH64+BH66)*BH70/BH64*BH71/BH65,0)+IFERROR(BH66/(BH64+BH66)*BH72/BH66,0))
* BH73/BH67
)</f>
        <v>0.21219852132328509</v>
      </c>
      <c r="BI32" s="25">
        <f t="shared" ref="BI32:BR32" si="35">1-
(
(IFERROR(BI64/(BI64+BI66)*BI70/BI64*BI71/BI65,0)+IFERROR(BI66/(BI64+BI66)*BI72/BI66,0))
* BI73/BI67
)</f>
        <v>0.22224753485339832</v>
      </c>
      <c r="BJ32" s="25">
        <f t="shared" si="35"/>
        <v>0.2269000777305904</v>
      </c>
      <c r="BK32" s="25">
        <f t="shared" si="35"/>
        <v>0.2269000777305904</v>
      </c>
      <c r="BL32" s="25">
        <f t="shared" si="35"/>
        <v>0.2269000777305904</v>
      </c>
      <c r="BM32" s="25">
        <f t="shared" si="35"/>
        <v>0.2269000777305904</v>
      </c>
      <c r="BN32" s="25">
        <f t="shared" si="35"/>
        <v>0.2269000777305904</v>
      </c>
      <c r="BO32" s="25">
        <f t="shared" si="35"/>
        <v>0.2269000777305904</v>
      </c>
      <c r="BP32" s="25">
        <f t="shared" si="35"/>
        <v>0.2269000777305904</v>
      </c>
      <c r="BQ32" s="25">
        <f t="shared" si="35"/>
        <v>0.2269000777305904</v>
      </c>
      <c r="BR32" s="25">
        <f t="shared" si="35"/>
        <v>0.2269000777305904</v>
      </c>
      <c r="BS32" s="25"/>
      <c r="BT32" s="25"/>
    </row>
    <row r="33" spans="1:72" x14ac:dyDescent="0.35">
      <c r="A33" s="20" t="s">
        <v>9</v>
      </c>
      <c r="B33" s="20"/>
      <c r="D33" s="26">
        <f t="shared" ref="D33:O33" si="36">IFERROR(1-D71/D65*D73/D67,0)</f>
        <v>8.0849969341658667E-2</v>
      </c>
      <c r="E33" s="26">
        <f t="shared" si="36"/>
        <v>8.476022516712467E-2</v>
      </c>
      <c r="F33" s="26">
        <f t="shared" si="36"/>
        <v>8.7476748842634233E-2</v>
      </c>
      <c r="G33" s="26">
        <f t="shared" si="36"/>
        <v>8.6754627755738944E-2</v>
      </c>
      <c r="H33" s="26">
        <f t="shared" si="36"/>
        <v>8.4902129761201817E-2</v>
      </c>
      <c r="I33" s="26">
        <f t="shared" si="36"/>
        <v>8.2577741973718588E-2</v>
      </c>
      <c r="J33" s="26">
        <f t="shared" si="36"/>
        <v>8.1524953514545917E-2</v>
      </c>
      <c r="K33" s="26">
        <f t="shared" si="36"/>
        <v>8.2977973257823634E-2</v>
      </c>
      <c r="L33" s="26">
        <f t="shared" si="36"/>
        <v>8.2789779495866855E-2</v>
      </c>
      <c r="M33" s="26">
        <f t="shared" si="36"/>
        <v>8.328761650331129E-2</v>
      </c>
      <c r="N33" s="26">
        <f t="shared" si="36"/>
        <v>8.278007868381021E-2</v>
      </c>
      <c r="O33" s="26">
        <f t="shared" si="36"/>
        <v>8.5215111235449115E-2</v>
      </c>
      <c r="P33" s="26"/>
      <c r="R33" s="26">
        <v>7.5700000000000003E-2</v>
      </c>
      <c r="S33" s="26">
        <v>7.5700000000000003E-2</v>
      </c>
      <c r="T33" s="26">
        <v>7.5700000000000003E-2</v>
      </c>
      <c r="U33" s="26">
        <v>7.5700000000000003E-2</v>
      </c>
      <c r="V33" s="26">
        <v>7.5700000000000003E-2</v>
      </c>
      <c r="W33" s="26">
        <v>7.5700000000000003E-2</v>
      </c>
      <c r="X33" s="26">
        <v>7.5700000000000003E-2</v>
      </c>
      <c r="Y33" s="26">
        <v>7.5700000000000003E-2</v>
      </c>
      <c r="Z33" s="26">
        <v>7.5700000000000003E-2</v>
      </c>
      <c r="AA33" s="26">
        <v>7.5700000000000003E-2</v>
      </c>
      <c r="AB33" s="26">
        <v>7.5700000000000003E-2</v>
      </c>
      <c r="AC33" s="26">
        <v>7.5700000000000003E-2</v>
      </c>
      <c r="AD33" s="26">
        <v>7.5700000000000003E-2</v>
      </c>
      <c r="AF33" s="26">
        <f>IFERROR(1-AF71/AF65*AF73/AF67,0)</f>
        <v>8.8872722742684429E-2</v>
      </c>
      <c r="AG33" s="26">
        <f t="shared" ref="AG33:AQ33" si="37">IFERROR(1-AG71/AG65*AG73/AG67,0)</f>
        <v>0.11223436551478672</v>
      </c>
      <c r="AH33" s="26">
        <f t="shared" si="37"/>
        <v>0.11630719690219404</v>
      </c>
      <c r="AI33" s="26">
        <f t="shared" si="37"/>
        <v>0.1143269740255457</v>
      </c>
      <c r="AJ33" s="26">
        <f t="shared" si="37"/>
        <v>0.11373144878313557</v>
      </c>
      <c r="AK33" s="26">
        <f t="shared" si="37"/>
        <v>0.11490082013557468</v>
      </c>
      <c r="AL33" s="26">
        <f t="shared" si="37"/>
        <v>0.11642259516695308</v>
      </c>
      <c r="AM33" s="26">
        <f t="shared" si="37"/>
        <v>0.11932363460063689</v>
      </c>
      <c r="AN33" s="26">
        <f t="shared" si="37"/>
        <v>0.11918039307289841</v>
      </c>
      <c r="AO33" s="26">
        <f t="shared" si="37"/>
        <v>0.12278249697197952</v>
      </c>
      <c r="AP33" s="26">
        <f t="shared" si="37"/>
        <v>0.12202442831007021</v>
      </c>
      <c r="AQ33" s="26">
        <f t="shared" si="37"/>
        <v>0.12269221012043108</v>
      </c>
      <c r="AR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H33" s="26">
        <f>IFERROR(1-BH71/BH65*BH73/BH67,0)</f>
        <v>0.11893244522889579</v>
      </c>
      <c r="BI33" s="26">
        <f>IFERROR(1-BI71/BI65*BI73/BI67,0)</f>
        <v>0.12642533547976098</v>
      </c>
      <c r="BJ33" s="26">
        <f>IFERROR(1-BJ71/BJ65*BJ73/BJ67,0)</f>
        <v>0.12993578598577404</v>
      </c>
      <c r="BK33" s="26"/>
      <c r="BL33" s="26"/>
      <c r="BM33" s="26"/>
      <c r="BN33" s="26"/>
      <c r="BO33" s="26"/>
      <c r="BP33" s="26"/>
      <c r="BQ33" s="26"/>
      <c r="BR33" s="26"/>
      <c r="BS33" s="26"/>
      <c r="BT33" s="26"/>
    </row>
    <row r="34" spans="1:72" x14ac:dyDescent="0.35">
      <c r="A34" s="20" t="s">
        <v>10</v>
      </c>
      <c r="B34" s="20"/>
      <c r="D34" s="26">
        <v>0.20313208635959623</v>
      </c>
      <c r="E34" s="26">
        <v>0.22356849672311419</v>
      </c>
      <c r="F34" s="26">
        <v>0.20166795743273824</v>
      </c>
      <c r="G34" s="26">
        <v>0.21863099313553458</v>
      </c>
      <c r="H34" s="26">
        <v>0.21629600697511087</v>
      </c>
      <c r="I34" s="26">
        <v>0.21343309793389786</v>
      </c>
      <c r="J34" s="26">
        <v>0.2083073858180422</v>
      </c>
      <c r="K34" s="26">
        <v>0.20458360474095205</v>
      </c>
      <c r="L34" s="26">
        <v>0.20144001198963069</v>
      </c>
      <c r="M34" s="26">
        <v>0.18776437600137286</v>
      </c>
      <c r="N34" s="26">
        <v>0.17606794429358785</v>
      </c>
      <c r="O34" s="26">
        <v>0.17423786599796176</v>
      </c>
      <c r="P34" s="26"/>
      <c r="R34" s="26">
        <v>0.14452271993631954</v>
      </c>
      <c r="S34" s="26">
        <v>0.14452271993631954</v>
      </c>
      <c r="T34" s="26">
        <v>0.14452271993631954</v>
      </c>
      <c r="U34" s="26">
        <v>0.14452271993631954</v>
      </c>
      <c r="V34" s="26">
        <v>0.14452271993631954</v>
      </c>
      <c r="W34" s="26">
        <v>0.14452271993631954</v>
      </c>
      <c r="X34" s="26">
        <v>0.14452271993631954</v>
      </c>
      <c r="Y34" s="26">
        <v>0.14452271993631954</v>
      </c>
      <c r="Z34" s="26">
        <v>0.14452271993631954</v>
      </c>
      <c r="AA34" s="26">
        <v>0.14452271993631954</v>
      </c>
      <c r="AB34" s="26">
        <v>0.14452271993631954</v>
      </c>
      <c r="AC34" s="26">
        <v>0.14452271993631954</v>
      </c>
      <c r="AD34" s="26">
        <v>0.14452271993631954</v>
      </c>
      <c r="AF34" s="27">
        <f>0.0783421898109457+10%+N("dự án EPR")</f>
        <v>0.17834218981094571</v>
      </c>
      <c r="AG34" s="27">
        <f>10.1268676824223%+10%+N("dự án EPR")</f>
        <v>0.201268676824223</v>
      </c>
      <c r="AH34" s="27">
        <f>0.0990862861414898+10%+N("dự án EPR")</f>
        <v>0.19908628614148982</v>
      </c>
      <c r="AI34" s="27">
        <f>10.3598468635858%+10%+N("dự án EPR")</f>
        <v>0.20359846863585801</v>
      </c>
      <c r="AJ34" s="26">
        <v>0.10001087873363579</v>
      </c>
      <c r="AK34" s="26">
        <v>0.10546771245462083</v>
      </c>
      <c r="AL34" s="26">
        <v>9.4480127258770308E-2</v>
      </c>
      <c r="AM34" s="26">
        <v>8.7788805195078923E-2</v>
      </c>
      <c r="AN34" s="26">
        <v>8.4963489510798351E-2</v>
      </c>
      <c r="AO34" s="26">
        <v>8.5987164241532188E-2</v>
      </c>
      <c r="AP34" s="26">
        <v>9.1870692500792384E-2</v>
      </c>
      <c r="AQ34" s="26">
        <v>0.10074054604863036</v>
      </c>
      <c r="AR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</row>
    <row r="35" spans="1:72" x14ac:dyDescent="0.35">
      <c r="A35" s="20" t="s">
        <v>11</v>
      </c>
      <c r="B35" s="20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</row>
    <row r="38" spans="1:72" s="29" customFormat="1" x14ac:dyDescent="0.35">
      <c r="A38" s="29" t="s">
        <v>18</v>
      </c>
      <c r="D38" s="30">
        <f t="shared" ref="D38:P38" si="38">(D26*D8+D27*D9)/(D8+D9)</f>
        <v>0.11838063477045613</v>
      </c>
      <c r="E38" s="30">
        <f t="shared" si="38"/>
        <v>0.13010242284900084</v>
      </c>
      <c r="F38" s="30">
        <f t="shared" si="38"/>
        <v>0.11279569649043888</v>
      </c>
      <c r="G38" s="30">
        <f t="shared" si="38"/>
        <v>9.9712566300296443E-2</v>
      </c>
      <c r="H38" s="30">
        <f t="shared" si="38"/>
        <v>0.10748289277187401</v>
      </c>
      <c r="I38" s="30">
        <f t="shared" si="38"/>
        <v>0.10659837045004818</v>
      </c>
      <c r="J38" s="30">
        <f t="shared" si="38"/>
        <v>9.4510964570526157E-2</v>
      </c>
      <c r="K38" s="30">
        <f t="shared" si="38"/>
        <v>0.12123972057817702</v>
      </c>
      <c r="L38" s="30">
        <f t="shared" si="38"/>
        <v>0.10473489225068608</v>
      </c>
      <c r="M38" s="30">
        <f t="shared" si="38"/>
        <v>0.11441434213639302</v>
      </c>
      <c r="N38" s="30">
        <f t="shared" si="38"/>
        <v>0.11169805627221821</v>
      </c>
      <c r="O38" s="30">
        <f t="shared" si="38"/>
        <v>0.13006602007741197</v>
      </c>
      <c r="P38" s="30">
        <f t="shared" si="38"/>
        <v>0.1092811709419776</v>
      </c>
      <c r="R38" s="30">
        <f t="shared" ref="R38:AD38" si="39">(R26*R8+R27*R9)/(R8+R9)</f>
        <v>0.11746753926701571</v>
      </c>
      <c r="S38" s="30">
        <f t="shared" si="39"/>
        <v>0.11538955223880597</v>
      </c>
      <c r="T38" s="30">
        <f t="shared" si="39"/>
        <v>0.11302457627118644</v>
      </c>
      <c r="U38" s="30">
        <f t="shared" si="39"/>
        <v>0.11302457627118644</v>
      </c>
      <c r="V38" s="30">
        <f t="shared" si="39"/>
        <v>0.11302457627118644</v>
      </c>
      <c r="W38" s="30">
        <f t="shared" si="39"/>
        <v>0.11302457627118644</v>
      </c>
      <c r="X38" s="30">
        <f t="shared" si="39"/>
        <v>0.11302457627118644</v>
      </c>
      <c r="Y38" s="30">
        <f t="shared" si="39"/>
        <v>0.11302457627118644</v>
      </c>
      <c r="Z38" s="30">
        <f t="shared" si="39"/>
        <v>0.11302457627118644</v>
      </c>
      <c r="AA38" s="30">
        <f t="shared" si="39"/>
        <v>0.11302457627118644</v>
      </c>
      <c r="AB38" s="30">
        <f t="shared" si="39"/>
        <v>0.11302457627118644</v>
      </c>
      <c r="AC38" s="30">
        <f t="shared" si="39"/>
        <v>0.11302457627118644</v>
      </c>
      <c r="AD38" s="30">
        <f t="shared" si="39"/>
        <v>0.11350566860465117</v>
      </c>
      <c r="AF38" s="30">
        <f>(AF26*AF8+AF27*AF9)/(AF8+AF9)</f>
        <v>0.16518858040226514</v>
      </c>
      <c r="AG38" s="30">
        <f t="shared" ref="AG38:AR38" si="40">(AG26*AG8+AG27*AG9)/(AG8+AG9)</f>
        <v>0.21663162615316789</v>
      </c>
      <c r="AH38" s="30">
        <f t="shared" si="40"/>
        <v>0.14316440723250298</v>
      </c>
      <c r="AI38" s="30">
        <f t="shared" si="40"/>
        <v>0.14608560406202284</v>
      </c>
      <c r="AJ38" s="30">
        <f t="shared" si="40"/>
        <v>0.13269045802505433</v>
      </c>
      <c r="AK38" s="30">
        <f t="shared" si="40"/>
        <v>0.16058546449414121</v>
      </c>
      <c r="AL38" s="30">
        <f t="shared" si="40"/>
        <v>0.17529832732618419</v>
      </c>
      <c r="AM38" s="30">
        <f t="shared" si="40"/>
        <v>0.1868322707022203</v>
      </c>
      <c r="AN38" s="30">
        <f t="shared" si="40"/>
        <v>0.2037028691514492</v>
      </c>
      <c r="AO38" s="30">
        <f t="shared" si="40"/>
        <v>0.23146366680893365</v>
      </c>
      <c r="AP38" s="30">
        <f t="shared" si="40"/>
        <v>0.1737460193219991</v>
      </c>
      <c r="AQ38" s="30">
        <f t="shared" si="40"/>
        <v>0.18118378857031364</v>
      </c>
      <c r="AR38" s="30">
        <f t="shared" si="40"/>
        <v>0.17854126157267686</v>
      </c>
      <c r="AT38" s="30">
        <f t="shared" ref="AT38:BF38" si="41">IFERROR((AT26*AT8+AT27*AT9)/(AT8+AT9),0)</f>
        <v>0.18356333946503653</v>
      </c>
      <c r="AU38" s="30">
        <f t="shared" si="41"/>
        <v>0.18206446036339927</v>
      </c>
      <c r="AV38" s="30">
        <f t="shared" si="41"/>
        <v>0.18356333946503653</v>
      </c>
      <c r="AW38" s="30">
        <f t="shared" si="41"/>
        <v>0.18356333946503653</v>
      </c>
      <c r="AX38" s="30">
        <f t="shared" si="41"/>
        <v>0.18356333946503653</v>
      </c>
      <c r="AY38" s="30">
        <f t="shared" si="41"/>
        <v>0.18356333946503653</v>
      </c>
      <c r="AZ38" s="30">
        <f t="shared" si="41"/>
        <v>0.18356333946503653</v>
      </c>
      <c r="BA38" s="30">
        <f t="shared" si="41"/>
        <v>0.18356333946503653</v>
      </c>
      <c r="BB38" s="30">
        <f t="shared" si="41"/>
        <v>0.18356333946503653</v>
      </c>
      <c r="BC38" s="30">
        <f t="shared" si="41"/>
        <v>0.18356333946503653</v>
      </c>
      <c r="BD38" s="30">
        <f t="shared" si="41"/>
        <v>0.18356333946503653</v>
      </c>
      <c r="BE38" s="30">
        <f t="shared" si="41"/>
        <v>0.18356333946503653</v>
      </c>
      <c r="BF38" s="30">
        <f t="shared" si="41"/>
        <v>0.18346001359328315</v>
      </c>
      <c r="BH38" s="30">
        <f>(BH26*BH8+BH27*BH9)/(BH8+BH9)</f>
        <v>0.160893589119707</v>
      </c>
      <c r="BI38" s="30">
        <f t="shared" ref="BI38:BT38" si="42">(BI26*BI8+BI27*BI9)/(BI8+BI9)</f>
        <v>0.18684979050171074</v>
      </c>
      <c r="BJ38" s="30">
        <f>(BJ26*BJ8+BJ27*BJ9)/(BJ8+BJ9)</f>
        <v>0.19086287403688398</v>
      </c>
      <c r="BK38" s="30" t="e">
        <f t="shared" si="42"/>
        <v>#DIV/0!</v>
      </c>
      <c r="BL38" s="30" t="e">
        <f t="shared" si="42"/>
        <v>#DIV/0!</v>
      </c>
      <c r="BM38" s="30" t="e">
        <f t="shared" si="42"/>
        <v>#DIV/0!</v>
      </c>
      <c r="BN38" s="30" t="e">
        <f t="shared" si="42"/>
        <v>#DIV/0!</v>
      </c>
      <c r="BO38" s="30" t="e">
        <f t="shared" si="42"/>
        <v>#DIV/0!</v>
      </c>
      <c r="BP38" s="30" t="e">
        <f t="shared" si="42"/>
        <v>#DIV/0!</v>
      </c>
      <c r="BQ38" s="30" t="e">
        <f t="shared" si="42"/>
        <v>#DIV/0!</v>
      </c>
      <c r="BR38" s="30" t="e">
        <f t="shared" si="42"/>
        <v>#DIV/0!</v>
      </c>
      <c r="BS38" s="30" t="e">
        <f t="shared" si="42"/>
        <v>#DIV/0!</v>
      </c>
      <c r="BT38" s="30">
        <f t="shared" si="42"/>
        <v>0.1796297283191973</v>
      </c>
    </row>
    <row r="40" spans="1:72" ht="15" thickBot="1" x14ac:dyDescent="0.4"/>
    <row r="41" spans="1:72" s="31" customFormat="1" ht="15" thickTop="1" x14ac:dyDescent="0.35"/>
    <row r="42" spans="1:72" s="32" customFormat="1" ht="17" x14ac:dyDescent="0.4">
      <c r="A42" s="32" t="s">
        <v>19</v>
      </c>
    </row>
    <row r="44" spans="1:72" s="33" customFormat="1" ht="16" x14ac:dyDescent="0.4">
      <c r="A44" s="33" t="s">
        <v>20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</row>
    <row r="45" spans="1:72" x14ac:dyDescent="0.35">
      <c r="A45" s="20" t="s">
        <v>21</v>
      </c>
      <c r="B45" s="20" t="s">
        <v>7</v>
      </c>
      <c r="D45" s="21">
        <v>744074.56034000008</v>
      </c>
      <c r="E45" s="21">
        <v>652258.99988000002</v>
      </c>
      <c r="F45" s="21">
        <v>831327.82000000007</v>
      </c>
      <c r="G45" s="21">
        <v>756387.55143999995</v>
      </c>
      <c r="H45" s="21">
        <v>924212.22832000011</v>
      </c>
      <c r="I45" s="21">
        <v>1150470.4796199999</v>
      </c>
      <c r="J45" s="21">
        <v>742109.31829999993</v>
      </c>
      <c r="K45" s="21">
        <v>604217.73430000001</v>
      </c>
      <c r="L45" s="21">
        <v>594332.89299999992</v>
      </c>
      <c r="M45" s="21">
        <v>599162.02020000003</v>
      </c>
      <c r="N45" s="21">
        <v>714774.20358000009</v>
      </c>
      <c r="O45" s="21">
        <v>392773.50147999998</v>
      </c>
      <c r="P45" s="35">
        <f>SUM(D45:O45)</f>
        <v>8706101.3104600012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F45" s="21">
        <v>798194.19901999994</v>
      </c>
      <c r="AG45" s="21">
        <v>884619.62864000024</v>
      </c>
      <c r="AH45" s="21">
        <v>277433</v>
      </c>
      <c r="AI45" s="21">
        <v>837893.9994600002</v>
      </c>
      <c r="AJ45" s="21">
        <v>629780.1777</v>
      </c>
      <c r="AK45" s="21">
        <v>1062914.6714399999</v>
      </c>
      <c r="AL45" s="21">
        <v>860644.64163999981</v>
      </c>
      <c r="AM45" s="21">
        <v>1023490.9396099998</v>
      </c>
      <c r="AN45" s="21">
        <v>424182.99993999995</v>
      </c>
      <c r="AO45" s="21">
        <v>3146280.1382099995</v>
      </c>
      <c r="AP45" s="21">
        <v>1053120.2399600002</v>
      </c>
      <c r="AQ45" s="21">
        <v>1186232.4019099995</v>
      </c>
      <c r="AR45" s="35">
        <f>SUM(AF45:AQ45)</f>
        <v>12184787.037529998</v>
      </c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7">
        <f>SUM(AT45:BE45)</f>
        <v>0</v>
      </c>
      <c r="BH45" s="21">
        <v>814476.03966999985</v>
      </c>
      <c r="BI45" s="21">
        <v>474879.00051000004</v>
      </c>
      <c r="BJ45" s="21">
        <v>1087877.0003899999</v>
      </c>
      <c r="BK45" s="21"/>
      <c r="BL45" s="21"/>
      <c r="BM45" s="21"/>
      <c r="BN45" s="21"/>
      <c r="BO45" s="21"/>
      <c r="BP45" s="21"/>
      <c r="BQ45" s="21"/>
      <c r="BR45" s="21"/>
      <c r="BS45" s="21"/>
      <c r="BT45" s="35">
        <f>SUM(BH45:BS45)</f>
        <v>2377232.0405700002</v>
      </c>
    </row>
    <row r="46" spans="1:72" x14ac:dyDescent="0.35">
      <c r="A46" s="20" t="s">
        <v>22</v>
      </c>
      <c r="B46" s="20" t="s">
        <v>7</v>
      </c>
      <c r="D46" s="21">
        <v>4446635.9999999991</v>
      </c>
      <c r="E46" s="21">
        <v>2870042.5</v>
      </c>
      <c r="F46" s="21">
        <v>4378484.0000000019</v>
      </c>
      <c r="G46" s="21">
        <v>1687224.9999999998</v>
      </c>
      <c r="H46" s="21">
        <v>4631156.0000000009</v>
      </c>
      <c r="I46" s="21">
        <v>5259288.9400000004</v>
      </c>
      <c r="J46" s="21">
        <v>2476382.29</v>
      </c>
      <c r="K46" s="21">
        <v>2791727.7600000012</v>
      </c>
      <c r="L46" s="21">
        <v>2986259.3999999985</v>
      </c>
      <c r="M46" s="21">
        <v>4049362.44</v>
      </c>
      <c r="N46" s="21">
        <v>4281164.9999999991</v>
      </c>
      <c r="O46" s="21">
        <v>4436479.0000000028</v>
      </c>
      <c r="P46" s="35">
        <f t="shared" ref="P46:P48" si="43">SUM(D46:O46)</f>
        <v>44294208.329999998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F46" s="21">
        <v>2211197.9999999991</v>
      </c>
      <c r="AG46" s="21">
        <v>2648393.0000000009</v>
      </c>
      <c r="AH46" s="21">
        <v>2254747.7699999986</v>
      </c>
      <c r="AI46" s="21">
        <v>4779357.3280000007</v>
      </c>
      <c r="AJ46" s="21">
        <v>3419254.0000000005</v>
      </c>
      <c r="AK46" s="21">
        <v>4082997.0000000023</v>
      </c>
      <c r="AL46" s="21">
        <v>3409739.6720000003</v>
      </c>
      <c r="AM46" s="21">
        <v>3816473.0000000019</v>
      </c>
      <c r="AN46" s="21">
        <v>2504006.9999999977</v>
      </c>
      <c r="AO46" s="21">
        <v>5259589.0000000019</v>
      </c>
      <c r="AP46" s="21">
        <v>3547303.9999999986</v>
      </c>
      <c r="AQ46" s="21">
        <v>3846162.9999999986</v>
      </c>
      <c r="AR46" s="35">
        <f t="shared" ref="AR46:AR48" si="44">SUM(AF46:AQ46)</f>
        <v>41779222.770000003</v>
      </c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7">
        <f t="shared" ref="BF46:BF48" si="45">SUM(AT46:BE46)</f>
        <v>0</v>
      </c>
      <c r="BH46" s="21">
        <v>2316307.0000000009</v>
      </c>
      <c r="BI46" s="21">
        <v>1781070.9999999998</v>
      </c>
      <c r="BJ46" s="21">
        <v>3253076.0000000019</v>
      </c>
      <c r="BK46" s="21"/>
      <c r="BL46" s="21"/>
      <c r="BM46" s="21"/>
      <c r="BN46" s="21"/>
      <c r="BO46" s="21"/>
      <c r="BP46" s="21"/>
      <c r="BQ46" s="21"/>
      <c r="BR46" s="21"/>
      <c r="BS46" s="21"/>
      <c r="BT46" s="35">
        <f t="shared" ref="BT46:BT48" si="46">SUM(BH46:BS46)</f>
        <v>7350454.0000000028</v>
      </c>
    </row>
    <row r="47" spans="1:72" s="39" customFormat="1" x14ac:dyDescent="0.35">
      <c r="A47" s="38" t="s">
        <v>23</v>
      </c>
      <c r="B47" s="38" t="s">
        <v>7</v>
      </c>
      <c r="D47" s="40"/>
      <c r="E47" s="40">
        <v>199345</v>
      </c>
      <c r="F47" s="40">
        <v>226824</v>
      </c>
      <c r="G47" s="40">
        <v>102545</v>
      </c>
      <c r="H47" s="40">
        <v>191956</v>
      </c>
      <c r="I47" s="40"/>
      <c r="J47" s="40">
        <v>750763.31600000011</v>
      </c>
      <c r="K47" s="40">
        <v>254837</v>
      </c>
      <c r="L47" s="40">
        <v>105540</v>
      </c>
      <c r="M47" s="40">
        <v>539007</v>
      </c>
      <c r="N47" s="40">
        <v>1042067.1839999998</v>
      </c>
      <c r="O47" s="40">
        <v>644500</v>
      </c>
      <c r="P47" s="41">
        <f t="shared" si="43"/>
        <v>4057384.5</v>
      </c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F47" s="40">
        <v>666608</v>
      </c>
      <c r="AG47" s="40">
        <v>266980</v>
      </c>
      <c r="AH47" s="40">
        <v>881768.00000000012</v>
      </c>
      <c r="AI47" s="40">
        <v>1030723.328</v>
      </c>
      <c r="AJ47" s="40">
        <v>1131546</v>
      </c>
      <c r="AK47" s="40">
        <v>1646227.4290000002</v>
      </c>
      <c r="AL47" s="40">
        <v>1249905.9999999998</v>
      </c>
      <c r="AM47" s="40">
        <v>1172503.0000000002</v>
      </c>
      <c r="AN47" s="40">
        <v>1066160</v>
      </c>
      <c r="AO47" s="40">
        <v>2124915.0000000005</v>
      </c>
      <c r="AP47" s="40">
        <v>366403</v>
      </c>
      <c r="AQ47" s="40">
        <v>587496.99999999988</v>
      </c>
      <c r="AR47" s="41">
        <f t="shared" si="44"/>
        <v>12191236.756999999</v>
      </c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3">
        <f t="shared" si="45"/>
        <v>0</v>
      </c>
      <c r="BH47" s="40">
        <v>414377.99999999994</v>
      </c>
      <c r="BI47" s="40">
        <v>397272.00000000006</v>
      </c>
      <c r="BJ47" s="40">
        <v>865742</v>
      </c>
      <c r="BK47" s="40"/>
      <c r="BL47" s="40"/>
      <c r="BM47" s="40"/>
      <c r="BN47" s="40"/>
      <c r="BO47" s="40"/>
      <c r="BP47" s="40"/>
      <c r="BQ47" s="40"/>
      <c r="BR47" s="40"/>
      <c r="BS47" s="40"/>
      <c r="BT47" s="41">
        <f t="shared" si="46"/>
        <v>1677392</v>
      </c>
    </row>
    <row r="48" spans="1:72" x14ac:dyDescent="0.35">
      <c r="A48" s="20" t="s">
        <v>24</v>
      </c>
      <c r="B48" s="20" t="s">
        <v>7</v>
      </c>
      <c r="D48" s="21">
        <v>4611991</v>
      </c>
      <c r="E48" s="21">
        <v>3142314.5</v>
      </c>
      <c r="F48" s="21">
        <v>4126162</v>
      </c>
      <c r="G48" s="21">
        <v>1524220</v>
      </c>
      <c r="H48" s="21">
        <v>5037683.5999999996</v>
      </c>
      <c r="I48" s="21">
        <v>4521572.3000000007</v>
      </c>
      <c r="J48" s="21">
        <v>1330392.8789999997</v>
      </c>
      <c r="K48" s="21">
        <v>1996451.628</v>
      </c>
      <c r="L48" s="21">
        <v>3129010.9510000004</v>
      </c>
      <c r="M48" s="21">
        <v>3560891.5</v>
      </c>
      <c r="N48" s="21">
        <v>4542259.7549999999</v>
      </c>
      <c r="O48" s="21">
        <v>3342920.5</v>
      </c>
      <c r="P48" s="35">
        <f t="shared" si="43"/>
        <v>40865870.613000005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F48" s="21">
        <v>2099113</v>
      </c>
      <c r="AG48" s="21">
        <v>2430700</v>
      </c>
      <c r="AH48" s="21">
        <v>3673149</v>
      </c>
      <c r="AI48" s="21">
        <v>4976333.5</v>
      </c>
      <c r="AJ48" s="21">
        <v>3796346.5</v>
      </c>
      <c r="AK48" s="21">
        <v>4306580.25</v>
      </c>
      <c r="AL48" s="21">
        <v>4243220.5</v>
      </c>
      <c r="AM48" s="21">
        <v>4491399.25</v>
      </c>
      <c r="AN48" s="21">
        <v>3576774</v>
      </c>
      <c r="AO48" s="21">
        <v>4369292</v>
      </c>
      <c r="AP48" s="21">
        <v>1825398</v>
      </c>
      <c r="AQ48" s="21">
        <v>3299245</v>
      </c>
      <c r="AR48" s="35">
        <f t="shared" si="44"/>
        <v>43087551</v>
      </c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7">
        <f t="shared" si="45"/>
        <v>0</v>
      </c>
      <c r="BH48" s="21">
        <v>2834032</v>
      </c>
      <c r="BI48" s="21">
        <v>1300350.3</v>
      </c>
      <c r="BJ48" s="21">
        <v>4319312.0000000056</v>
      </c>
      <c r="BK48" s="21"/>
      <c r="BL48" s="21"/>
      <c r="BM48" s="21"/>
      <c r="BN48" s="21"/>
      <c r="BO48" s="21"/>
      <c r="BP48" s="21"/>
      <c r="BQ48" s="21"/>
      <c r="BR48" s="21"/>
      <c r="BS48" s="21"/>
      <c r="BT48" s="35">
        <f t="shared" si="46"/>
        <v>8453694.3000000045</v>
      </c>
    </row>
    <row r="49" spans="1:75" x14ac:dyDescent="0.35"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</row>
    <row r="50" spans="1:75" s="33" customFormat="1" ht="16" x14ac:dyDescent="0.4">
      <c r="A50" s="33" t="s">
        <v>25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</row>
    <row r="51" spans="1:75" x14ac:dyDescent="0.35">
      <c r="A51" s="20" t="s">
        <v>21</v>
      </c>
      <c r="B51" s="20" t="s">
        <v>7</v>
      </c>
      <c r="D51" s="21">
        <v>648999.99999999988</v>
      </c>
      <c r="E51" s="21">
        <v>575195</v>
      </c>
      <c r="F51" s="21">
        <v>738999.99999999988</v>
      </c>
      <c r="G51" s="21">
        <v>665508.65905010852</v>
      </c>
      <c r="H51" s="21">
        <v>832300</v>
      </c>
      <c r="I51" s="21">
        <v>1040457</v>
      </c>
      <c r="J51" s="21">
        <v>714500</v>
      </c>
      <c r="K51" s="21">
        <v>545000</v>
      </c>
      <c r="L51" s="21">
        <v>530200</v>
      </c>
      <c r="M51" s="21">
        <v>503678</v>
      </c>
      <c r="N51" s="21">
        <v>577900</v>
      </c>
      <c r="O51" s="21">
        <v>318300</v>
      </c>
      <c r="P51" s="35">
        <f>SUM(D51:O51)</f>
        <v>7691038.6590501089</v>
      </c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F51" s="21">
        <v>621700</v>
      </c>
      <c r="AG51" s="21">
        <v>717800</v>
      </c>
      <c r="AH51" s="21">
        <v>234000</v>
      </c>
      <c r="AI51" s="21">
        <v>710601</v>
      </c>
      <c r="AJ51" s="21">
        <v>553312.14497390576</v>
      </c>
      <c r="AK51" s="21">
        <v>909700</v>
      </c>
      <c r="AL51" s="21">
        <v>753400</v>
      </c>
      <c r="AM51" s="21">
        <v>892800</v>
      </c>
      <c r="AN51" s="21">
        <v>367000</v>
      </c>
      <c r="AO51" s="21">
        <v>2575247</v>
      </c>
      <c r="AP51" s="21">
        <v>872200</v>
      </c>
      <c r="AQ51" s="21">
        <v>1023230</v>
      </c>
      <c r="AR51" s="35">
        <f>SUM(AF51:AQ51)</f>
        <v>10230990.144973906</v>
      </c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7">
        <f>SUM(AT51:BE51)</f>
        <v>0</v>
      </c>
      <c r="BH51" s="21">
        <v>721100</v>
      </c>
      <c r="BI51" s="21">
        <v>413500</v>
      </c>
      <c r="BJ51" s="21">
        <v>947515</v>
      </c>
      <c r="BK51" s="21"/>
      <c r="BL51" s="21"/>
      <c r="BM51" s="21"/>
      <c r="BN51" s="21"/>
      <c r="BO51" s="21"/>
      <c r="BP51" s="21"/>
      <c r="BQ51" s="21"/>
      <c r="BR51" s="21"/>
      <c r="BS51" s="21"/>
      <c r="BT51" s="35">
        <f>SUM(BH51:BS51)</f>
        <v>2082115</v>
      </c>
    </row>
    <row r="52" spans="1:75" x14ac:dyDescent="0.35">
      <c r="A52" s="20" t="s">
        <v>22</v>
      </c>
      <c r="B52" s="20" t="s">
        <v>7</v>
      </c>
      <c r="D52" s="21">
        <v>4226040</v>
      </c>
      <c r="E52" s="21">
        <v>2694000</v>
      </c>
      <c r="F52" s="21">
        <v>4134000</v>
      </c>
      <c r="G52" s="21">
        <v>1600200</v>
      </c>
      <c r="H52" s="21">
        <v>4408521.2</v>
      </c>
      <c r="I52" s="21">
        <v>5047500</v>
      </c>
      <c r="J52" s="21">
        <v>2429200</v>
      </c>
      <c r="K52" s="21">
        <v>2665090</v>
      </c>
      <c r="L52" s="21">
        <v>2853500</v>
      </c>
      <c r="M52" s="21">
        <v>3882315</v>
      </c>
      <c r="N52" s="21">
        <v>4170602</v>
      </c>
      <c r="O52" s="21">
        <v>4141701.0140883368</v>
      </c>
      <c r="P52" s="35">
        <f t="shared" ref="P52:P54" si="47">SUM(D52:O52)</f>
        <v>42252669.214088343</v>
      </c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F52" s="21">
        <v>2083650</v>
      </c>
      <c r="AG52" s="21">
        <v>2493700</v>
      </c>
      <c r="AH52" s="21">
        <v>2132800</v>
      </c>
      <c r="AI52" s="21">
        <v>4532900</v>
      </c>
      <c r="AJ52" s="21">
        <v>3227200</v>
      </c>
      <c r="AK52" s="21">
        <v>3834170</v>
      </c>
      <c r="AL52" s="21">
        <v>3185318.3947645873</v>
      </c>
      <c r="AM52" s="21">
        <v>3514922.3144189734</v>
      </c>
      <c r="AN52" s="21">
        <v>2336830.3210538775</v>
      </c>
      <c r="AO52" s="21">
        <v>4773026.2866761629</v>
      </c>
      <c r="AP52" s="21">
        <v>3320229.9999999995</v>
      </c>
      <c r="AQ52" s="21">
        <v>3577312.0996441278</v>
      </c>
      <c r="AR52" s="35">
        <f t="shared" ref="AR52:AR54" si="48">SUM(AF52:AQ52)</f>
        <v>39012059.416557722</v>
      </c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7">
        <f t="shared" ref="BF52:BF54" si="49">SUM(AT52:BE52)</f>
        <v>0</v>
      </c>
      <c r="BH52" s="21">
        <v>2156400</v>
      </c>
      <c r="BI52" s="21">
        <v>1625600</v>
      </c>
      <c r="BJ52" s="21">
        <v>2962580</v>
      </c>
      <c r="BK52" s="21"/>
      <c r="BL52" s="21"/>
      <c r="BM52" s="21"/>
      <c r="BN52" s="21"/>
      <c r="BO52" s="21"/>
      <c r="BP52" s="21"/>
      <c r="BQ52" s="21"/>
      <c r="BR52" s="21"/>
      <c r="BS52" s="21"/>
      <c r="BT52" s="35">
        <f t="shared" ref="BT52:BT54" si="50">SUM(BH52:BS52)</f>
        <v>6744580</v>
      </c>
      <c r="BW52" s="2"/>
    </row>
    <row r="53" spans="1:75" s="39" customFormat="1" x14ac:dyDescent="0.35">
      <c r="A53" s="38" t="s">
        <v>23</v>
      </c>
      <c r="B53" s="38" t="s">
        <v>7</v>
      </c>
      <c r="D53" s="40"/>
      <c r="E53" s="40">
        <v>174679</v>
      </c>
      <c r="F53" s="40">
        <v>214702</v>
      </c>
      <c r="G53" s="40">
        <v>100813</v>
      </c>
      <c r="H53" s="40">
        <v>167800</v>
      </c>
      <c r="I53" s="40"/>
      <c r="J53" s="40">
        <v>720400</v>
      </c>
      <c r="K53" s="40">
        <v>244644</v>
      </c>
      <c r="L53" s="40">
        <v>99340</v>
      </c>
      <c r="M53" s="40">
        <v>526330</v>
      </c>
      <c r="N53" s="40">
        <v>988483</v>
      </c>
      <c r="O53" s="40">
        <v>610384</v>
      </c>
      <c r="P53" s="41">
        <f t="shared" si="47"/>
        <v>3847575</v>
      </c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F53" s="40">
        <v>581700</v>
      </c>
      <c r="AG53" s="40">
        <v>236150</v>
      </c>
      <c r="AH53" s="40">
        <v>814520</v>
      </c>
      <c r="AI53" s="40">
        <v>921154</v>
      </c>
      <c r="AJ53" s="40">
        <v>1039188</v>
      </c>
      <c r="AK53" s="40">
        <v>1455961</v>
      </c>
      <c r="AL53" s="40">
        <v>1071753</v>
      </c>
      <c r="AM53" s="40">
        <v>957150</v>
      </c>
      <c r="AN53" s="40">
        <v>843200</v>
      </c>
      <c r="AO53" s="40">
        <v>1576100</v>
      </c>
      <c r="AP53" s="40">
        <v>277000</v>
      </c>
      <c r="AQ53" s="40">
        <v>488000</v>
      </c>
      <c r="AR53" s="41">
        <f t="shared" si="48"/>
        <v>10261876</v>
      </c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1">
        <f t="shared" si="49"/>
        <v>0</v>
      </c>
      <c r="BH53" s="40">
        <v>351600</v>
      </c>
      <c r="BI53" s="40">
        <v>327700</v>
      </c>
      <c r="BJ53" s="40">
        <v>716000</v>
      </c>
      <c r="BK53" s="40"/>
      <c r="BL53" s="40"/>
      <c r="BM53" s="40"/>
      <c r="BN53" s="40"/>
      <c r="BO53" s="40"/>
      <c r="BP53" s="40"/>
      <c r="BQ53" s="40"/>
      <c r="BR53" s="40"/>
      <c r="BS53" s="40"/>
      <c r="BT53" s="41">
        <f t="shared" si="50"/>
        <v>1395300</v>
      </c>
    </row>
    <row r="54" spans="1:75" x14ac:dyDescent="0.35">
      <c r="A54" s="20" t="s">
        <v>24</v>
      </c>
      <c r="B54" s="20" t="s">
        <v>7</v>
      </c>
      <c r="D54" s="21">
        <v>4460390</v>
      </c>
      <c r="E54" s="21">
        <v>3043443</v>
      </c>
      <c r="F54" s="21">
        <v>3966148</v>
      </c>
      <c r="G54" s="21">
        <v>1476201</v>
      </c>
      <c r="H54" s="21">
        <v>4870800</v>
      </c>
      <c r="I54" s="21">
        <v>4358400</v>
      </c>
      <c r="J54" s="21">
        <v>1238389</v>
      </c>
      <c r="K54" s="21">
        <v>1879798</v>
      </c>
      <c r="L54" s="21">
        <v>3009478</v>
      </c>
      <c r="M54" s="21">
        <v>3388272.5</v>
      </c>
      <c r="N54" s="21">
        <v>4302922</v>
      </c>
      <c r="O54" s="21">
        <v>3195512</v>
      </c>
      <c r="P54" s="35">
        <f t="shared" si="47"/>
        <v>39189753.5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F54" s="21">
        <v>2029634</v>
      </c>
      <c r="AG54" s="21">
        <v>2239740</v>
      </c>
      <c r="AH54" s="21">
        <v>3416165</v>
      </c>
      <c r="AI54" s="21">
        <v>4662509</v>
      </c>
      <c r="AJ54" s="21">
        <v>3573100</v>
      </c>
      <c r="AK54" s="21">
        <v>4039008</v>
      </c>
      <c r="AL54" s="21">
        <v>3974650</v>
      </c>
      <c r="AM54" s="21">
        <v>4210350</v>
      </c>
      <c r="AN54" s="21">
        <v>3376198</v>
      </c>
      <c r="AO54" s="21">
        <v>4135575</v>
      </c>
      <c r="AP54" s="21">
        <v>1739180</v>
      </c>
      <c r="AQ54" s="21">
        <v>3086200</v>
      </c>
      <c r="AR54" s="35">
        <f t="shared" si="48"/>
        <v>40482309</v>
      </c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35">
        <f t="shared" si="49"/>
        <v>0</v>
      </c>
      <c r="BH54" s="21">
        <v>2682135.75</v>
      </c>
      <c r="BI54" s="21">
        <v>1230732</v>
      </c>
      <c r="BJ54" s="21">
        <v>4103120.9999999991</v>
      </c>
      <c r="BK54" s="21"/>
      <c r="BL54" s="21"/>
      <c r="BM54" s="21"/>
      <c r="BN54" s="21"/>
      <c r="BO54" s="21"/>
      <c r="BP54" s="21"/>
      <c r="BQ54" s="21"/>
      <c r="BR54" s="21"/>
      <c r="BS54" s="21"/>
      <c r="BT54" s="35">
        <f t="shared" si="50"/>
        <v>8015988.7499999991</v>
      </c>
    </row>
    <row r="55" spans="1:75" x14ac:dyDescent="0.35"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</row>
    <row r="56" spans="1:75" s="33" customFormat="1" ht="16" x14ac:dyDescent="0.4">
      <c r="A56" s="45" t="s">
        <v>26</v>
      </c>
      <c r="B56" s="45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7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7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7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7"/>
    </row>
    <row r="57" spans="1:75" x14ac:dyDescent="0.35">
      <c r="A57" s="48" t="s">
        <v>21</v>
      </c>
      <c r="B57" s="48"/>
      <c r="D57" s="49">
        <f>IFERROR(D51/D45,0)</f>
        <v>0.87222441754149416</v>
      </c>
      <c r="E57" s="49">
        <f t="shared" ref="E57:P58" si="51">IFERROR(E51/E45,0)</f>
        <v>0.88185061471872683</v>
      </c>
      <c r="F57" s="49">
        <f t="shared" si="51"/>
        <v>0.88893933562815186</v>
      </c>
      <c r="G57" s="49">
        <f t="shared" si="51"/>
        <v>0.87985141715133008</v>
      </c>
      <c r="H57" s="49">
        <f t="shared" si="51"/>
        <v>0.90055073336664793</v>
      </c>
      <c r="I57" s="49">
        <f t="shared" si="51"/>
        <v>0.90437522598899078</v>
      </c>
      <c r="J57" s="49">
        <f t="shared" si="51"/>
        <v>0.96279615735961044</v>
      </c>
      <c r="K57" s="49">
        <f t="shared" si="51"/>
        <v>0.90199272391664387</v>
      </c>
      <c r="L57" s="49">
        <f t="shared" si="51"/>
        <v>0.89209264074838956</v>
      </c>
      <c r="M57" s="49">
        <f t="shared" si="51"/>
        <v>0.84063739526058823</v>
      </c>
      <c r="N57" s="49">
        <f t="shared" si="51"/>
        <v>0.80850707412990652</v>
      </c>
      <c r="O57" s="49">
        <f t="shared" si="51"/>
        <v>0.81039071831633691</v>
      </c>
      <c r="P57" s="50">
        <f t="shared" si="51"/>
        <v>0.88340789806910025</v>
      </c>
      <c r="Q57" s="28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28"/>
      <c r="AF57" s="49">
        <f>IFERROR(AF51/AF45,0)</f>
        <v>0.77888313491040839</v>
      </c>
      <c r="AG57" s="49">
        <f t="shared" ref="AG57:AR58" si="52">IFERROR(AG51/AG45,0)</f>
        <v>0.81142219408304783</v>
      </c>
      <c r="AH57" s="49">
        <f t="shared" si="52"/>
        <v>0.84344688627524489</v>
      </c>
      <c r="AI57" s="49">
        <f t="shared" si="52"/>
        <v>0.84807982925998149</v>
      </c>
      <c r="AJ57" s="49">
        <f t="shared" si="52"/>
        <v>0.8785798038208178</v>
      </c>
      <c r="AK57" s="49">
        <f t="shared" si="52"/>
        <v>0.85585421336556577</v>
      </c>
      <c r="AL57" s="52">
        <f t="shared" si="52"/>
        <v>0.87539033365078533</v>
      </c>
      <c r="AM57" s="52">
        <f t="shared" si="52"/>
        <v>0.87230865017740222</v>
      </c>
      <c r="AN57" s="52">
        <f t="shared" si="52"/>
        <v>0.86519261745970866</v>
      </c>
      <c r="AO57" s="52">
        <f t="shared" si="52"/>
        <v>0.81850531004054994</v>
      </c>
      <c r="AP57" s="52">
        <f t="shared" si="52"/>
        <v>0.82820552383755164</v>
      </c>
      <c r="AQ57" s="52">
        <f t="shared" si="52"/>
        <v>0.86258813901260578</v>
      </c>
      <c r="AR57" s="50">
        <f t="shared" si="52"/>
        <v>0.83965276647525633</v>
      </c>
      <c r="AT57" s="49">
        <f>1-14.7921694140916%</f>
        <v>0.85207830585908395</v>
      </c>
      <c r="AU57" s="49">
        <f t="shared" ref="AU57:BF57" si="53">1-14.7921694140916%</f>
        <v>0.85207830585908395</v>
      </c>
      <c r="AV57" s="49">
        <f t="shared" si="53"/>
        <v>0.85207830585908395</v>
      </c>
      <c r="AW57" s="49">
        <f t="shared" si="53"/>
        <v>0.85207830585908395</v>
      </c>
      <c r="AX57" s="49">
        <f t="shared" si="53"/>
        <v>0.85207830585908395</v>
      </c>
      <c r="AY57" s="49">
        <f t="shared" si="53"/>
        <v>0.85207830585908395</v>
      </c>
      <c r="AZ57" s="52">
        <f t="shared" si="53"/>
        <v>0.85207830585908395</v>
      </c>
      <c r="BA57" s="52">
        <f t="shared" si="53"/>
        <v>0.85207830585908395</v>
      </c>
      <c r="BB57" s="52">
        <f t="shared" si="53"/>
        <v>0.85207830585908395</v>
      </c>
      <c r="BC57" s="52">
        <f t="shared" si="53"/>
        <v>0.85207830585908395</v>
      </c>
      <c r="BD57" s="52">
        <f t="shared" si="53"/>
        <v>0.85207830585908395</v>
      </c>
      <c r="BE57" s="52">
        <f t="shared" si="53"/>
        <v>0.85207830585908395</v>
      </c>
      <c r="BF57" s="50">
        <f t="shared" si="53"/>
        <v>0.85207830585908395</v>
      </c>
      <c r="BG57" s="28"/>
      <c r="BH57" s="49">
        <f>IFERROR(BH51/BH45,0)</f>
        <v>0.88535446701681619</v>
      </c>
      <c r="BI57" s="49">
        <f t="shared" ref="BI57:BT58" si="54">IFERROR(BI51/BI45,0)</f>
        <v>0.87074812648257438</v>
      </c>
      <c r="BJ57" s="49">
        <f t="shared" si="54"/>
        <v>0.8709762221834999</v>
      </c>
      <c r="BK57" s="49">
        <f t="shared" si="54"/>
        <v>0</v>
      </c>
      <c r="BL57" s="49">
        <f t="shared" si="54"/>
        <v>0</v>
      </c>
      <c r="BM57" s="49">
        <f t="shared" si="54"/>
        <v>0</v>
      </c>
      <c r="BN57" s="52">
        <f t="shared" si="54"/>
        <v>0</v>
      </c>
      <c r="BO57" s="52">
        <f t="shared" si="54"/>
        <v>0</v>
      </c>
      <c r="BP57" s="52">
        <f t="shared" si="54"/>
        <v>0</v>
      </c>
      <c r="BQ57" s="52">
        <f t="shared" si="54"/>
        <v>0</v>
      </c>
      <c r="BR57" s="52">
        <f t="shared" si="54"/>
        <v>0</v>
      </c>
      <c r="BS57" s="52">
        <f t="shared" si="54"/>
        <v>0</v>
      </c>
      <c r="BT57" s="50">
        <f t="shared" si="54"/>
        <v>0.87585686397730089</v>
      </c>
    </row>
    <row r="58" spans="1:75" x14ac:dyDescent="0.35">
      <c r="A58" s="48" t="s">
        <v>22</v>
      </c>
      <c r="B58" s="48"/>
      <c r="D58" s="49">
        <f t="shared" ref="D58:I58" si="55">IFERROR(D52/D46,0)</f>
        <v>0.9503903625122454</v>
      </c>
      <c r="E58" s="49">
        <f t="shared" si="55"/>
        <v>0.93866205814025405</v>
      </c>
      <c r="F58" s="49">
        <f t="shared" si="55"/>
        <v>0.94416240872411505</v>
      </c>
      <c r="G58" s="49">
        <f t="shared" si="55"/>
        <v>0.94842122419949926</v>
      </c>
      <c r="H58" s="49">
        <f t="shared" si="55"/>
        <v>0.95192673276391448</v>
      </c>
      <c r="I58" s="49">
        <f t="shared" si="55"/>
        <v>0.9597304992336092</v>
      </c>
      <c r="J58" s="49">
        <f t="shared" si="51"/>
        <v>0.98094708955457766</v>
      </c>
      <c r="K58" s="49">
        <f t="shared" si="51"/>
        <v>0.95463821300397822</v>
      </c>
      <c r="L58" s="49">
        <f t="shared" si="51"/>
        <v>0.95554324584126937</v>
      </c>
      <c r="M58" s="49">
        <f t="shared" si="51"/>
        <v>0.95874722441491311</v>
      </c>
      <c r="N58" s="49">
        <f t="shared" si="51"/>
        <v>0.97417455295462818</v>
      </c>
      <c r="O58" s="49">
        <f t="shared" si="51"/>
        <v>0.93355587033959453</v>
      </c>
      <c r="P58" s="50">
        <f t="shared" si="51"/>
        <v>0.95390956983130137</v>
      </c>
      <c r="Q58" s="28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28"/>
      <c r="AF58" s="49">
        <f t="shared" ref="AF58:AK58" si="56">IFERROR(AF52/AF46,0)</f>
        <v>0.94231724160387309</v>
      </c>
      <c r="AG58" s="49">
        <f t="shared" si="56"/>
        <v>0.94158986222966123</v>
      </c>
      <c r="AH58" s="49">
        <f t="shared" si="56"/>
        <v>0.94591511670505002</v>
      </c>
      <c r="AI58" s="49">
        <f t="shared" si="56"/>
        <v>0.94843295633994062</v>
      </c>
      <c r="AJ58" s="49">
        <f t="shared" si="56"/>
        <v>0.94383160771326136</v>
      </c>
      <c r="AK58" s="49">
        <f t="shared" si="56"/>
        <v>0.93905775585923723</v>
      </c>
      <c r="AL58" s="52">
        <f t="shared" si="52"/>
        <v>0.93418228403818948</v>
      </c>
      <c r="AM58" s="52">
        <f t="shared" si="52"/>
        <v>0.92098707744531971</v>
      </c>
      <c r="AN58" s="52">
        <f t="shared" si="52"/>
        <v>0.93323633722025523</v>
      </c>
      <c r="AO58" s="52">
        <f t="shared" si="52"/>
        <v>0.90749035460302341</v>
      </c>
      <c r="AP58" s="52">
        <f t="shared" si="52"/>
        <v>0.93598687904955447</v>
      </c>
      <c r="AQ58" s="52">
        <f t="shared" si="52"/>
        <v>0.93009893227201479</v>
      </c>
      <c r="AR58" s="50">
        <f t="shared" si="52"/>
        <v>0.93376699780472527</v>
      </c>
      <c r="AT58" s="49">
        <f>1-6.18473861326699%</f>
        <v>0.93815261386733007</v>
      </c>
      <c r="AU58" s="49">
        <f t="shared" ref="AU58:BF58" si="57">1-6.18473861326699%</f>
        <v>0.93815261386733007</v>
      </c>
      <c r="AV58" s="49">
        <f t="shared" si="57"/>
        <v>0.93815261386733007</v>
      </c>
      <c r="AW58" s="49">
        <f t="shared" si="57"/>
        <v>0.93815261386733007</v>
      </c>
      <c r="AX58" s="49">
        <f t="shared" si="57"/>
        <v>0.93815261386733007</v>
      </c>
      <c r="AY58" s="49">
        <f t="shared" si="57"/>
        <v>0.93815261386733007</v>
      </c>
      <c r="AZ58" s="52">
        <f t="shared" si="57"/>
        <v>0.93815261386733007</v>
      </c>
      <c r="BA58" s="52">
        <f t="shared" si="57"/>
        <v>0.93815261386733007</v>
      </c>
      <c r="BB58" s="52">
        <f t="shared" si="57"/>
        <v>0.93815261386733007</v>
      </c>
      <c r="BC58" s="52">
        <f t="shared" si="57"/>
        <v>0.93815261386733007</v>
      </c>
      <c r="BD58" s="52">
        <f t="shared" si="57"/>
        <v>0.93815261386733007</v>
      </c>
      <c r="BE58" s="52">
        <f t="shared" si="57"/>
        <v>0.93815261386733007</v>
      </c>
      <c r="BF58" s="50">
        <f t="shared" si="57"/>
        <v>0.93815261386733007</v>
      </c>
      <c r="BG58" s="28"/>
      <c r="BH58" s="49">
        <f t="shared" ref="BH58:BM58" si="58">IFERROR(BH52/BH46,0)</f>
        <v>0.93096467782552106</v>
      </c>
      <c r="BI58" s="49">
        <f t="shared" si="58"/>
        <v>0.91270926313437262</v>
      </c>
      <c r="BJ58" s="49">
        <f>IFERROR(BJ52/BJ46,0)</f>
        <v>0.9107011333273487</v>
      </c>
      <c r="BK58" s="49">
        <f t="shared" si="58"/>
        <v>0</v>
      </c>
      <c r="BL58" s="49">
        <f t="shared" si="58"/>
        <v>0</v>
      </c>
      <c r="BM58" s="49">
        <f t="shared" si="58"/>
        <v>0</v>
      </c>
      <c r="BN58" s="52">
        <f t="shared" si="54"/>
        <v>0</v>
      </c>
      <c r="BO58" s="52">
        <f t="shared" si="54"/>
        <v>0</v>
      </c>
      <c r="BP58" s="52">
        <f t="shared" si="54"/>
        <v>0</v>
      </c>
      <c r="BQ58" s="52">
        <f t="shared" si="54"/>
        <v>0</v>
      </c>
      <c r="BR58" s="52">
        <f t="shared" si="54"/>
        <v>0</v>
      </c>
      <c r="BS58" s="52">
        <f t="shared" si="54"/>
        <v>0</v>
      </c>
      <c r="BT58" s="50">
        <f t="shared" si="54"/>
        <v>0.91757325465882755</v>
      </c>
    </row>
    <row r="59" spans="1:75" s="6" customFormat="1" x14ac:dyDescent="0.35">
      <c r="A59" s="53" t="s">
        <v>27</v>
      </c>
      <c r="B59" s="53"/>
      <c r="D59" s="54">
        <f>D57*D58</f>
        <v>0.82895368037929273</v>
      </c>
      <c r="E59" s="54">
        <f t="shared" ref="E59:P59" si="59">E57*E58</f>
        <v>0.82775971298412832</v>
      </c>
      <c r="F59" s="54">
        <f t="shared" si="59"/>
        <v>0.83930310433629041</v>
      </c>
      <c r="G59" s="54">
        <f t="shared" si="59"/>
        <v>0.8344697581683288</v>
      </c>
      <c r="H59" s="54">
        <f t="shared" si="59"/>
        <v>0.85725831730186031</v>
      </c>
      <c r="I59" s="54">
        <f t="shared" si="59"/>
        <v>0.86795648713292228</v>
      </c>
      <c r="J59" s="54">
        <f t="shared" si="59"/>
        <v>0.94445208839624106</v>
      </c>
      <c r="K59" s="54">
        <f t="shared" si="59"/>
        <v>0.86107672210237562</v>
      </c>
      <c r="L59" s="54">
        <f t="shared" si="59"/>
        <v>0.85243309753182561</v>
      </c>
      <c r="M59" s="54">
        <f t="shared" si="59"/>
        <v>0.80595876944547118</v>
      </c>
      <c r="N59" s="54">
        <f t="shared" si="59"/>
        <v>0.78762701750115616</v>
      </c>
      <c r="O59" s="54">
        <f t="shared" si="59"/>
        <v>0.75654501235293714</v>
      </c>
      <c r="P59" s="54">
        <f t="shared" si="59"/>
        <v>0.84269124803266959</v>
      </c>
      <c r="Q59" s="55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5"/>
      <c r="AF59" s="54">
        <f>AF57*AF58</f>
        <v>0.7339550072205534</v>
      </c>
      <c r="AG59" s="54">
        <f t="shared" ref="AG59:AR59" si="60">AG57*AG58</f>
        <v>0.76402691193674643</v>
      </c>
      <c r="AH59" s="54">
        <f t="shared" si="60"/>
        <v>0.79782915986555936</v>
      </c>
      <c r="AI59" s="54">
        <f t="shared" si="60"/>
        <v>0.80434685967731634</v>
      </c>
      <c r="AJ59" s="54">
        <f t="shared" si="60"/>
        <v>0.82923138874460423</v>
      </c>
      <c r="AK59" s="54">
        <f t="shared" si="60"/>
        <v>0.80369653694574095</v>
      </c>
      <c r="AL59" s="57">
        <f t="shared" si="60"/>
        <v>0.81777414131484338</v>
      </c>
      <c r="AM59" s="57">
        <f t="shared" si="60"/>
        <v>0.80338499435715749</v>
      </c>
      <c r="AN59" s="57">
        <f t="shared" si="60"/>
        <v>0.80742918930810392</v>
      </c>
      <c r="AO59" s="57">
        <f t="shared" si="60"/>
        <v>0.74278567405315632</v>
      </c>
      <c r="AP59" s="57">
        <f t="shared" si="60"/>
        <v>0.77518950346831139</v>
      </c>
      <c r="AQ59" s="57">
        <f t="shared" si="60"/>
        <v>0.80229230708612886</v>
      </c>
      <c r="AR59" s="54">
        <f t="shared" si="60"/>
        <v>0.78404004295003216</v>
      </c>
      <c r="AT59" s="54">
        <f t="shared" ref="AT59:BF59" si="61">AT57*AT58</f>
        <v>0.79937948986134599</v>
      </c>
      <c r="AU59" s="54">
        <f t="shared" si="61"/>
        <v>0.79937948986134599</v>
      </c>
      <c r="AV59" s="54">
        <f t="shared" si="61"/>
        <v>0.79937948986134599</v>
      </c>
      <c r="AW59" s="54">
        <f t="shared" si="61"/>
        <v>0.79937948986134599</v>
      </c>
      <c r="AX59" s="54">
        <f t="shared" si="61"/>
        <v>0.79937948986134599</v>
      </c>
      <c r="AY59" s="54">
        <f t="shared" si="61"/>
        <v>0.79937948986134599</v>
      </c>
      <c r="AZ59" s="57">
        <f t="shared" si="61"/>
        <v>0.79937948986134599</v>
      </c>
      <c r="BA59" s="57">
        <f t="shared" si="61"/>
        <v>0.79937948986134599</v>
      </c>
      <c r="BB59" s="57">
        <f t="shared" si="61"/>
        <v>0.79937948986134599</v>
      </c>
      <c r="BC59" s="57">
        <f t="shared" si="61"/>
        <v>0.79937948986134599</v>
      </c>
      <c r="BD59" s="57">
        <f t="shared" si="61"/>
        <v>0.79937948986134599</v>
      </c>
      <c r="BE59" s="57">
        <f t="shared" si="61"/>
        <v>0.79937948986134599</v>
      </c>
      <c r="BF59" s="54">
        <f t="shared" si="61"/>
        <v>0.79937948986134599</v>
      </c>
      <c r="BG59" s="55"/>
      <c r="BH59" s="54">
        <f>BH57*BH58</f>
        <v>0.82423373614769624</v>
      </c>
      <c r="BI59" s="54">
        <f t="shared" ref="BI59:BT59" si="62">BI57*BI58</f>
        <v>0.79473988089754599</v>
      </c>
      <c r="BJ59" s="54">
        <f>BJ57*BJ58</f>
        <v>0.79319903264368607</v>
      </c>
      <c r="BK59" s="54">
        <f t="shared" si="62"/>
        <v>0</v>
      </c>
      <c r="BL59" s="54">
        <f t="shared" si="62"/>
        <v>0</v>
      </c>
      <c r="BM59" s="54">
        <f t="shared" si="62"/>
        <v>0</v>
      </c>
      <c r="BN59" s="57">
        <f t="shared" si="62"/>
        <v>0</v>
      </c>
      <c r="BO59" s="57">
        <f t="shared" si="62"/>
        <v>0</v>
      </c>
      <c r="BP59" s="57">
        <f t="shared" si="62"/>
        <v>0</v>
      </c>
      <c r="BQ59" s="57">
        <f t="shared" si="62"/>
        <v>0</v>
      </c>
      <c r="BR59" s="57">
        <f t="shared" si="62"/>
        <v>0</v>
      </c>
      <c r="BS59" s="57">
        <f t="shared" si="62"/>
        <v>0</v>
      </c>
      <c r="BT59" s="54">
        <f t="shared" si="62"/>
        <v>0.80366283329492605</v>
      </c>
    </row>
    <row r="60" spans="1:75" s="59" customFormat="1" x14ac:dyDescent="0.35">
      <c r="A60" s="58" t="s">
        <v>23</v>
      </c>
      <c r="B60" s="58"/>
      <c r="D60" s="60">
        <f t="shared" ref="D60:P61" si="63">IFERROR(D53/D47,0)</f>
        <v>0</v>
      </c>
      <c r="E60" s="60">
        <f t="shared" si="63"/>
        <v>0.87626476711229273</v>
      </c>
      <c r="F60" s="60">
        <f t="shared" si="63"/>
        <v>0.94655768349028324</v>
      </c>
      <c r="G60" s="60">
        <f t="shared" si="63"/>
        <v>0.98310985421034669</v>
      </c>
      <c r="H60" s="60">
        <f t="shared" si="63"/>
        <v>0.87415866135989495</v>
      </c>
      <c r="I60" s="60">
        <f t="shared" si="63"/>
        <v>0</v>
      </c>
      <c r="J60" s="60">
        <f t="shared" si="63"/>
        <v>0.95955673998328372</v>
      </c>
      <c r="K60" s="60">
        <f t="shared" si="63"/>
        <v>0.96000188355694027</v>
      </c>
      <c r="L60" s="60">
        <f t="shared" si="63"/>
        <v>0.94125450066325567</v>
      </c>
      <c r="M60" s="60">
        <f t="shared" si="63"/>
        <v>0.97648082492435162</v>
      </c>
      <c r="N60" s="60">
        <f t="shared" si="63"/>
        <v>0.94857895457918984</v>
      </c>
      <c r="O60" s="60">
        <f t="shared" si="63"/>
        <v>0.94706594259115595</v>
      </c>
      <c r="P60" s="60">
        <f t="shared" si="63"/>
        <v>0.94828947071691139</v>
      </c>
      <c r="Q60" s="61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1"/>
      <c r="AF60" s="60">
        <f t="shared" ref="AF60:AR61" si="64">IFERROR(AF53/AF47,0)</f>
        <v>0.87262679115762187</v>
      </c>
      <c r="AG60" s="60">
        <f t="shared" si="64"/>
        <v>0.88452318525732265</v>
      </c>
      <c r="AH60" s="60">
        <f t="shared" si="64"/>
        <v>0.92373504141678975</v>
      </c>
      <c r="AI60" s="60">
        <f t="shared" si="64"/>
        <v>0.89369666425168948</v>
      </c>
      <c r="AJ60" s="60">
        <f t="shared" si="64"/>
        <v>0.91837892582360769</v>
      </c>
      <c r="AK60" s="60">
        <f t="shared" si="64"/>
        <v>0.88442275614641075</v>
      </c>
      <c r="AL60" s="63">
        <f t="shared" si="64"/>
        <v>0.85746688150948969</v>
      </c>
      <c r="AM60" s="63">
        <f t="shared" si="64"/>
        <v>0.8163305339090815</v>
      </c>
      <c r="AN60" s="63">
        <f t="shared" si="64"/>
        <v>0.79087566594132208</v>
      </c>
      <c r="AO60" s="63">
        <f t="shared" si="64"/>
        <v>0.74172378659852256</v>
      </c>
      <c r="AP60" s="63">
        <f t="shared" si="64"/>
        <v>0.7559981768708226</v>
      </c>
      <c r="AQ60" s="63">
        <f t="shared" si="64"/>
        <v>0.83064253945126543</v>
      </c>
      <c r="AR60" s="60">
        <f t="shared" si="64"/>
        <v>0.84174199915425374</v>
      </c>
      <c r="AT60" s="60">
        <f>AT59</f>
        <v>0.79937948986134599</v>
      </c>
      <c r="AU60" s="60">
        <f t="shared" ref="AU60:BF60" si="65">AU59</f>
        <v>0.79937948986134599</v>
      </c>
      <c r="AV60" s="60">
        <f t="shared" si="65"/>
        <v>0.79937948986134599</v>
      </c>
      <c r="AW60" s="60">
        <f t="shared" si="65"/>
        <v>0.79937948986134599</v>
      </c>
      <c r="AX60" s="60">
        <f t="shared" si="65"/>
        <v>0.79937948986134599</v>
      </c>
      <c r="AY60" s="60">
        <f t="shared" si="65"/>
        <v>0.79937948986134599</v>
      </c>
      <c r="AZ60" s="63">
        <f t="shared" si="65"/>
        <v>0.79937948986134599</v>
      </c>
      <c r="BA60" s="63">
        <f t="shared" si="65"/>
        <v>0.79937948986134599</v>
      </c>
      <c r="BB60" s="63">
        <f t="shared" si="65"/>
        <v>0.79937948986134599</v>
      </c>
      <c r="BC60" s="63">
        <f t="shared" si="65"/>
        <v>0.79937948986134599</v>
      </c>
      <c r="BD60" s="63">
        <f t="shared" si="65"/>
        <v>0.79937948986134599</v>
      </c>
      <c r="BE60" s="63">
        <f t="shared" si="65"/>
        <v>0.79937948986134599</v>
      </c>
      <c r="BF60" s="60">
        <f t="shared" si="65"/>
        <v>0.79937948986134599</v>
      </c>
      <c r="BG60" s="61"/>
      <c r="BH60" s="60">
        <f t="shared" ref="BH60:BT61" si="66">IFERROR(BH53/BH47,0)</f>
        <v>0.84850064433922667</v>
      </c>
      <c r="BI60" s="60">
        <f t="shared" si="66"/>
        <v>0.82487565194627344</v>
      </c>
      <c r="BJ60" s="60">
        <f>IFERROR(BJ53/BJ47,0)</f>
        <v>0.82703623019329087</v>
      </c>
      <c r="BK60" s="60">
        <f t="shared" si="66"/>
        <v>0</v>
      </c>
      <c r="BL60" s="60">
        <f t="shared" si="66"/>
        <v>0</v>
      </c>
      <c r="BM60" s="60">
        <f t="shared" si="66"/>
        <v>0</v>
      </c>
      <c r="BN60" s="63">
        <f t="shared" si="66"/>
        <v>0</v>
      </c>
      <c r="BO60" s="63">
        <f t="shared" si="66"/>
        <v>0</v>
      </c>
      <c r="BP60" s="63">
        <f t="shared" si="66"/>
        <v>0</v>
      </c>
      <c r="BQ60" s="63">
        <f t="shared" si="66"/>
        <v>0</v>
      </c>
      <c r="BR60" s="63">
        <f t="shared" si="66"/>
        <v>0</v>
      </c>
      <c r="BS60" s="63">
        <f t="shared" si="66"/>
        <v>0</v>
      </c>
      <c r="BT60" s="60">
        <f t="shared" si="66"/>
        <v>0.83182702671766651</v>
      </c>
    </row>
    <row r="61" spans="1:75" s="6" customFormat="1" x14ac:dyDescent="0.35">
      <c r="A61" s="53" t="s">
        <v>24</v>
      </c>
      <c r="B61" s="53"/>
      <c r="D61" s="54">
        <f t="shared" si="63"/>
        <v>0.96712894712934172</v>
      </c>
      <c r="E61" s="54">
        <f t="shared" si="63"/>
        <v>0.96853545372368044</v>
      </c>
      <c r="F61" s="54">
        <f t="shared" si="63"/>
        <v>0.96121965157936118</v>
      </c>
      <c r="G61" s="54">
        <f t="shared" si="63"/>
        <v>0.96849601763524951</v>
      </c>
      <c r="H61" s="54">
        <f t="shared" si="63"/>
        <v>0.96687294930551027</v>
      </c>
      <c r="I61" s="54">
        <f t="shared" si="63"/>
        <v>0.96391248681349173</v>
      </c>
      <c r="J61" s="57"/>
      <c r="K61" s="57"/>
      <c r="L61" s="57"/>
      <c r="M61" s="57"/>
      <c r="N61" s="57"/>
      <c r="O61" s="57"/>
      <c r="P61" s="54">
        <f t="shared" si="63"/>
        <v>0.95898491607158343</v>
      </c>
      <c r="Q61" s="55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5"/>
      <c r="AF61" s="54">
        <f t="shared" si="64"/>
        <v>0.96690078142529723</v>
      </c>
      <c r="AG61" s="54">
        <f t="shared" si="64"/>
        <v>0.92143826881145352</v>
      </c>
      <c r="AH61" s="54">
        <f t="shared" si="64"/>
        <v>0.93003714251722436</v>
      </c>
      <c r="AI61" s="54">
        <f t="shared" si="64"/>
        <v>0.9369366020183334</v>
      </c>
      <c r="AJ61" s="54">
        <f t="shared" si="64"/>
        <v>0.94119438254648247</v>
      </c>
      <c r="AK61" s="54">
        <f t="shared" si="64"/>
        <v>0.93786897388014534</v>
      </c>
      <c r="AL61" s="57">
        <f t="shared" si="64"/>
        <v>0.93670597603871875</v>
      </c>
      <c r="AM61" s="57">
        <f t="shared" si="64"/>
        <v>0.93742501292887737</v>
      </c>
      <c r="AN61" s="57">
        <f t="shared" si="64"/>
        <v>0.94392265208816661</v>
      </c>
      <c r="AO61" s="57">
        <f t="shared" si="64"/>
        <v>0.94650918272342521</v>
      </c>
      <c r="AP61" s="57">
        <f t="shared" si="64"/>
        <v>0.95276756082783043</v>
      </c>
      <c r="AQ61" s="57">
        <f t="shared" si="64"/>
        <v>0.93542613537339603</v>
      </c>
      <c r="AR61" s="54">
        <f t="shared" si="64"/>
        <v>0.93953608549253587</v>
      </c>
      <c r="AT61" s="54">
        <f>1-5.94597347519405%</f>
        <v>0.94054026524805945</v>
      </c>
      <c r="AU61" s="54">
        <f t="shared" ref="AU61:BF61" si="67">1-5.94597347519405%</f>
        <v>0.94054026524805945</v>
      </c>
      <c r="AV61" s="54">
        <f t="shared" si="67"/>
        <v>0.94054026524805945</v>
      </c>
      <c r="AW61" s="54">
        <f t="shared" si="67"/>
        <v>0.94054026524805945</v>
      </c>
      <c r="AX61" s="54">
        <f t="shared" si="67"/>
        <v>0.94054026524805945</v>
      </c>
      <c r="AY61" s="54">
        <f t="shared" si="67"/>
        <v>0.94054026524805945</v>
      </c>
      <c r="AZ61" s="57">
        <f t="shared" si="67"/>
        <v>0.94054026524805945</v>
      </c>
      <c r="BA61" s="57">
        <f t="shared" si="67"/>
        <v>0.94054026524805945</v>
      </c>
      <c r="BB61" s="57">
        <f t="shared" si="67"/>
        <v>0.94054026524805945</v>
      </c>
      <c r="BC61" s="57">
        <f t="shared" si="67"/>
        <v>0.94054026524805945</v>
      </c>
      <c r="BD61" s="57">
        <f t="shared" si="67"/>
        <v>0.94054026524805945</v>
      </c>
      <c r="BE61" s="57">
        <f t="shared" si="67"/>
        <v>0.94054026524805945</v>
      </c>
      <c r="BF61" s="54">
        <f t="shared" si="67"/>
        <v>0.94054026524805945</v>
      </c>
      <c r="BG61" s="55"/>
      <c r="BH61" s="54">
        <f t="shared" si="66"/>
        <v>0.94640277526859262</v>
      </c>
      <c r="BI61" s="54">
        <f t="shared" si="66"/>
        <v>0.94646188800048725</v>
      </c>
      <c r="BJ61" s="54">
        <f>IFERROR(BJ54/BJ48,0)</f>
        <v>0.94994781576324971</v>
      </c>
      <c r="BK61" s="54">
        <f t="shared" si="66"/>
        <v>0</v>
      </c>
      <c r="BL61" s="54">
        <f t="shared" si="66"/>
        <v>0</v>
      </c>
      <c r="BM61" s="54">
        <f t="shared" si="66"/>
        <v>0</v>
      </c>
      <c r="BN61" s="57">
        <f t="shared" si="66"/>
        <v>0</v>
      </c>
      <c r="BO61" s="57">
        <f t="shared" si="66"/>
        <v>0</v>
      </c>
      <c r="BP61" s="57">
        <f t="shared" si="66"/>
        <v>0</v>
      </c>
      <c r="BQ61" s="57">
        <f t="shared" si="66"/>
        <v>0</v>
      </c>
      <c r="BR61" s="57">
        <f t="shared" si="66"/>
        <v>0</v>
      </c>
      <c r="BS61" s="57">
        <f t="shared" si="66"/>
        <v>0</v>
      </c>
      <c r="BT61" s="54">
        <f t="shared" si="66"/>
        <v>0.9482231632151632</v>
      </c>
    </row>
    <row r="63" spans="1:75" s="64" customFormat="1" ht="16" x14ac:dyDescent="0.4">
      <c r="A63" s="64" t="s">
        <v>28</v>
      </c>
    </row>
    <row r="64" spans="1:75" x14ac:dyDescent="0.35">
      <c r="A64" s="20" t="s">
        <v>21</v>
      </c>
      <c r="B64" s="20" t="s">
        <v>7</v>
      </c>
      <c r="D64" s="21">
        <f>SUM($D45:D45)</f>
        <v>744074.56034000008</v>
      </c>
      <c r="E64" s="21">
        <f>SUM($D45:E45)</f>
        <v>1396333.5602200001</v>
      </c>
      <c r="F64" s="21">
        <f>SUM($D45:F45)</f>
        <v>2227661.3802200002</v>
      </c>
      <c r="G64" s="21">
        <f>SUM($D45:G45)</f>
        <v>2984048.9316600002</v>
      </c>
      <c r="H64" s="21">
        <f>SUM($D45:H45)</f>
        <v>3908261.1599800005</v>
      </c>
      <c r="I64" s="21">
        <f>SUM($D45:I45)</f>
        <v>5058731.6396000003</v>
      </c>
      <c r="J64" s="21">
        <f>SUM($D45:J45)</f>
        <v>5800840.9579000007</v>
      </c>
      <c r="K64" s="21">
        <f>SUM($D45:K45)</f>
        <v>6405058.6922000004</v>
      </c>
      <c r="L64" s="21">
        <f>SUM($D45:L45)</f>
        <v>6999391.5852000006</v>
      </c>
      <c r="M64" s="21">
        <f>SUM($D45:M45)</f>
        <v>7598553.6054000007</v>
      </c>
      <c r="N64" s="21">
        <f>SUM($D45:N45)</f>
        <v>8313327.8089800011</v>
      </c>
      <c r="O64" s="21">
        <f>SUM($D45:O45)</f>
        <v>8706101.3104600012</v>
      </c>
      <c r="P64" s="35">
        <f>O64</f>
        <v>8706101.3104600012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F64" s="21">
        <f>SUM($AF45:AF45)</f>
        <v>798194.19901999994</v>
      </c>
      <c r="AG64" s="21">
        <f>SUM($AF45:AG45)</f>
        <v>1682813.8276600002</v>
      </c>
      <c r="AH64" s="21">
        <f>SUM($AF45:AH45)</f>
        <v>1960246.8276600002</v>
      </c>
      <c r="AI64" s="21">
        <f>SUM($AF45:AI45)</f>
        <v>2798140.8271200005</v>
      </c>
      <c r="AJ64" s="21">
        <f>SUM($AF45:AJ45)</f>
        <v>3427921.0048200004</v>
      </c>
      <c r="AK64" s="21">
        <f>SUM($AF45:AK45)</f>
        <v>4490835.6762600001</v>
      </c>
      <c r="AL64" s="21">
        <f>SUM($AF45:AL45)</f>
        <v>5351480.3179000001</v>
      </c>
      <c r="AM64" s="21">
        <f>SUM($AF45:AM45)</f>
        <v>6374971.2575099999</v>
      </c>
      <c r="AN64" s="21">
        <f>SUM($AF45:AN45)</f>
        <v>6799154.2574499995</v>
      </c>
      <c r="AO64" s="21">
        <f>SUM($AF45:AO45)</f>
        <v>9945434.3956599981</v>
      </c>
      <c r="AP64" s="21">
        <f>SUM($AF45:AP45)</f>
        <v>10998554.635619998</v>
      </c>
      <c r="AQ64" s="35">
        <f>SUM($AF45:AQ45)</f>
        <v>12184787.037529998</v>
      </c>
      <c r="AR64" s="35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35"/>
      <c r="BF64" s="35"/>
      <c r="BH64" s="21">
        <f>SUM($BH45:BH45)</f>
        <v>814476.03966999985</v>
      </c>
      <c r="BI64" s="21">
        <f>SUM($BH45:BI45)</f>
        <v>1289355.04018</v>
      </c>
      <c r="BJ64" s="21">
        <f>SUM($BH45:BJ45)</f>
        <v>2377232.0405700002</v>
      </c>
      <c r="BK64" s="21">
        <f>SUM($BH45:BK45)</f>
        <v>2377232.0405700002</v>
      </c>
      <c r="BL64" s="21">
        <f>SUM($BH45:BL45)</f>
        <v>2377232.0405700002</v>
      </c>
      <c r="BM64" s="21">
        <f>SUM($BH45:BM45)</f>
        <v>2377232.0405700002</v>
      </c>
      <c r="BN64" s="21">
        <f>SUM($BH45:BN45)</f>
        <v>2377232.0405700002</v>
      </c>
      <c r="BO64" s="21">
        <f>SUM($BH45:BO45)</f>
        <v>2377232.0405700002</v>
      </c>
      <c r="BP64" s="21">
        <f>SUM($BH45:BP45)</f>
        <v>2377232.0405700002</v>
      </c>
      <c r="BQ64" s="21">
        <f>SUM($BH45:BQ45)</f>
        <v>2377232.0405700002</v>
      </c>
      <c r="BR64" s="21">
        <f>SUM($BH45:BR45)</f>
        <v>2377232.0405700002</v>
      </c>
      <c r="BS64" s="35">
        <f>SUM($BH45:BS45)</f>
        <v>2377232.0405700002</v>
      </c>
      <c r="BT64" s="35"/>
    </row>
    <row r="65" spans="1:72" x14ac:dyDescent="0.35">
      <c r="A65" s="20" t="s">
        <v>22</v>
      </c>
      <c r="B65" s="20" t="s">
        <v>7</v>
      </c>
      <c r="D65" s="21">
        <f>SUM($D46:D46)</f>
        <v>4446635.9999999991</v>
      </c>
      <c r="E65" s="21">
        <f>SUM($D46:E46)</f>
        <v>7316678.4999999991</v>
      </c>
      <c r="F65" s="21">
        <f>SUM($D46:F46)</f>
        <v>11695162.5</v>
      </c>
      <c r="G65" s="21">
        <f>SUM($D46:G46)</f>
        <v>13382387.5</v>
      </c>
      <c r="H65" s="21">
        <f>SUM($D46:H46)</f>
        <v>18013543.5</v>
      </c>
      <c r="I65" s="21">
        <f>SUM($D46:I46)</f>
        <v>23272832.440000001</v>
      </c>
      <c r="J65" s="21">
        <f>SUM($D46:J46)</f>
        <v>25749214.73</v>
      </c>
      <c r="K65" s="21">
        <f>SUM($D46:K46)</f>
        <v>28540942.490000002</v>
      </c>
      <c r="L65" s="21">
        <f>SUM($D46:L46)</f>
        <v>31527201.890000001</v>
      </c>
      <c r="M65" s="21">
        <f>SUM($D46:M46)</f>
        <v>35576564.329999998</v>
      </c>
      <c r="N65" s="21">
        <f>SUM($D46:N46)</f>
        <v>39857729.329999998</v>
      </c>
      <c r="O65" s="21">
        <f>SUM($D46:O46)</f>
        <v>44294208.329999998</v>
      </c>
      <c r="P65" s="35">
        <f t="shared" ref="P65:P67" si="68">O65</f>
        <v>44294208.329999998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F65" s="21">
        <f>SUM($AF46:AF46)</f>
        <v>2211197.9999999991</v>
      </c>
      <c r="AG65" s="21">
        <f>SUM($AF46:AG46)</f>
        <v>4859591</v>
      </c>
      <c r="AH65" s="21">
        <f>SUM($AF46:AH46)</f>
        <v>7114338.7699999986</v>
      </c>
      <c r="AI65" s="21">
        <f>SUM($AF46:AI46)</f>
        <v>11893696.097999999</v>
      </c>
      <c r="AJ65" s="21">
        <f>SUM($AF46:AJ46)</f>
        <v>15312950.097999999</v>
      </c>
      <c r="AK65" s="21">
        <f>SUM($AF46:AK46)</f>
        <v>19395947.098000001</v>
      </c>
      <c r="AL65" s="21">
        <f>SUM($AF46:AL46)</f>
        <v>22805686.770000003</v>
      </c>
      <c r="AM65" s="21">
        <f>SUM($AF46:AM46)</f>
        <v>26622159.770000003</v>
      </c>
      <c r="AN65" s="21">
        <f>SUM($AF46:AN46)</f>
        <v>29126166.77</v>
      </c>
      <c r="AO65" s="21">
        <f>SUM($AF46:AO46)</f>
        <v>34385755.770000003</v>
      </c>
      <c r="AP65" s="21">
        <f>SUM($AF46:AP46)</f>
        <v>37933059.770000003</v>
      </c>
      <c r="AQ65" s="35">
        <f>SUM($AF46:AQ46)</f>
        <v>41779222.770000003</v>
      </c>
      <c r="AR65" s="35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35"/>
      <c r="BF65" s="35"/>
      <c r="BH65" s="21">
        <f>SUM($BH46:BH46)</f>
        <v>2316307.0000000009</v>
      </c>
      <c r="BI65" s="21">
        <f>SUM($BH46:BI46)</f>
        <v>4097378.0000000009</v>
      </c>
      <c r="BJ65" s="21">
        <f>SUM($BH46:BJ46)</f>
        <v>7350454.0000000028</v>
      </c>
      <c r="BK65" s="21">
        <f>SUM($BH46:BK46)</f>
        <v>7350454.0000000028</v>
      </c>
      <c r="BL65" s="21">
        <f>SUM($BH46:BL46)</f>
        <v>7350454.0000000028</v>
      </c>
      <c r="BM65" s="21">
        <f>SUM($BH46:BM46)</f>
        <v>7350454.0000000028</v>
      </c>
      <c r="BN65" s="21">
        <f>SUM($BH46:BN46)</f>
        <v>7350454.0000000028</v>
      </c>
      <c r="BO65" s="21">
        <f>SUM($BH46:BO46)</f>
        <v>7350454.0000000028</v>
      </c>
      <c r="BP65" s="21">
        <f>SUM($BH46:BP46)</f>
        <v>7350454.0000000028</v>
      </c>
      <c r="BQ65" s="21">
        <f>SUM($BH46:BQ46)</f>
        <v>7350454.0000000028</v>
      </c>
      <c r="BR65" s="21">
        <f>SUM($BH46:BR46)</f>
        <v>7350454.0000000028</v>
      </c>
      <c r="BS65" s="35">
        <f>SUM($BH46:BS46)</f>
        <v>7350454.0000000028</v>
      </c>
      <c r="BT65" s="35"/>
    </row>
    <row r="66" spans="1:72" s="39" customFormat="1" x14ac:dyDescent="0.35">
      <c r="A66" s="38" t="s">
        <v>23</v>
      </c>
      <c r="B66" s="38" t="s">
        <v>7</v>
      </c>
      <c r="D66" s="40">
        <f>SUM($D47:D47)</f>
        <v>0</v>
      </c>
      <c r="E66" s="40">
        <f>SUM($D47:E47)</f>
        <v>199345</v>
      </c>
      <c r="F66" s="40">
        <f>SUM($D47:F47)</f>
        <v>426169</v>
      </c>
      <c r="G66" s="40">
        <f>SUM($D47:G47)</f>
        <v>528714</v>
      </c>
      <c r="H66" s="40">
        <f>SUM($D47:H47)</f>
        <v>720670</v>
      </c>
      <c r="I66" s="40">
        <f>SUM($D47:I47)</f>
        <v>720670</v>
      </c>
      <c r="J66" s="40">
        <f>SUM($D47:J47)</f>
        <v>1471433.3160000001</v>
      </c>
      <c r="K66" s="40">
        <f>SUM($D47:K47)</f>
        <v>1726270.3160000001</v>
      </c>
      <c r="L66" s="40">
        <f>SUM($D47:L47)</f>
        <v>1831810.3160000001</v>
      </c>
      <c r="M66" s="40">
        <f>SUM($D47:M47)</f>
        <v>2370817.3160000001</v>
      </c>
      <c r="N66" s="40">
        <f>SUM($D47:N47)</f>
        <v>3412884.5</v>
      </c>
      <c r="O66" s="40">
        <f>SUM($D47:O47)</f>
        <v>4057384.5</v>
      </c>
      <c r="P66" s="35">
        <f t="shared" si="68"/>
        <v>4057384.5</v>
      </c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F66" s="40">
        <f>SUM($AF47:AF47)</f>
        <v>666608</v>
      </c>
      <c r="AG66" s="40">
        <f>SUM($AF47:AG47)</f>
        <v>933588</v>
      </c>
      <c r="AH66" s="40">
        <f>SUM($AF47:AH47)</f>
        <v>1815356</v>
      </c>
      <c r="AI66" s="40">
        <f>SUM($AF47:AI47)</f>
        <v>2846079.3279999997</v>
      </c>
      <c r="AJ66" s="40">
        <f>SUM($AF47:AJ47)</f>
        <v>3977625.3279999997</v>
      </c>
      <c r="AK66" s="40">
        <f>SUM($AF47:AK47)</f>
        <v>5623852.7570000002</v>
      </c>
      <c r="AL66" s="40">
        <f>SUM($AF47:AL47)</f>
        <v>6873758.7570000002</v>
      </c>
      <c r="AM66" s="40">
        <f>SUM($AF47:AM47)</f>
        <v>8046261.7570000002</v>
      </c>
      <c r="AN66" s="40">
        <f>SUM($AF47:AN47)</f>
        <v>9112421.7569999993</v>
      </c>
      <c r="AO66" s="40">
        <f>SUM($AF47:AO47)</f>
        <v>11237336.756999999</v>
      </c>
      <c r="AP66" s="40">
        <f>SUM($AF47:AP47)</f>
        <v>11603739.756999999</v>
      </c>
      <c r="AQ66" s="41">
        <f>SUM($AF47:AQ47)</f>
        <v>12191236.756999999</v>
      </c>
      <c r="AR66" s="41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1"/>
      <c r="BF66" s="41"/>
      <c r="BH66" s="40">
        <f>SUM($BH47:BH47)</f>
        <v>414377.99999999994</v>
      </c>
      <c r="BI66" s="40">
        <f>SUM($BH47:BI47)</f>
        <v>811650</v>
      </c>
      <c r="BJ66" s="40">
        <f>SUM($BH47:BJ47)</f>
        <v>1677392</v>
      </c>
      <c r="BK66" s="40">
        <f>SUM($BH47:BK47)</f>
        <v>1677392</v>
      </c>
      <c r="BL66" s="40">
        <f>SUM($BH47:BL47)</f>
        <v>1677392</v>
      </c>
      <c r="BM66" s="40">
        <f>SUM($BH47:BM47)</f>
        <v>1677392</v>
      </c>
      <c r="BN66" s="40">
        <f>SUM($BH47:BN47)</f>
        <v>1677392</v>
      </c>
      <c r="BO66" s="40">
        <f>SUM($BH47:BO47)</f>
        <v>1677392</v>
      </c>
      <c r="BP66" s="40">
        <f>SUM($BH47:BP47)</f>
        <v>1677392</v>
      </c>
      <c r="BQ66" s="40">
        <f>SUM($BH47:BQ47)</f>
        <v>1677392</v>
      </c>
      <c r="BR66" s="40">
        <f>SUM($BH47:BR47)</f>
        <v>1677392</v>
      </c>
      <c r="BS66" s="41">
        <f>SUM($BH47:BS47)</f>
        <v>1677392</v>
      </c>
      <c r="BT66" s="41"/>
    </row>
    <row r="67" spans="1:72" x14ac:dyDescent="0.35">
      <c r="A67" s="20" t="s">
        <v>24</v>
      </c>
      <c r="B67" s="20" t="s">
        <v>7</v>
      </c>
      <c r="D67" s="21">
        <f>SUM($D48:D48)</f>
        <v>4611991</v>
      </c>
      <c r="E67" s="21">
        <f>SUM($D48:E48)</f>
        <v>7754305.5</v>
      </c>
      <c r="F67" s="21">
        <f>SUM($D48:F48)</f>
        <v>11880467.5</v>
      </c>
      <c r="G67" s="21">
        <f>SUM($D48:G48)</f>
        <v>13404687.5</v>
      </c>
      <c r="H67" s="21">
        <f>SUM($D48:H48)</f>
        <v>18442371.100000001</v>
      </c>
      <c r="I67" s="21">
        <f>SUM($D48:I48)</f>
        <v>22963943.400000002</v>
      </c>
      <c r="J67" s="21">
        <f>SUM($D48:J48)</f>
        <v>24294336.279000003</v>
      </c>
      <c r="K67" s="21">
        <f>SUM($D48:K48)</f>
        <v>26290787.907000002</v>
      </c>
      <c r="L67" s="21">
        <f>SUM($D48:L48)</f>
        <v>29419798.858000003</v>
      </c>
      <c r="M67" s="21">
        <f>SUM($D48:M48)</f>
        <v>32980690.358000003</v>
      </c>
      <c r="N67" s="21">
        <f>SUM($D48:N48)</f>
        <v>37522950.113000005</v>
      </c>
      <c r="O67" s="21">
        <f>SUM($D48:O48)</f>
        <v>40865870.613000005</v>
      </c>
      <c r="P67" s="35">
        <f t="shared" si="68"/>
        <v>40865870.613000005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F67" s="21">
        <f>SUM($AF48:AF48)</f>
        <v>2099113</v>
      </c>
      <c r="AG67" s="21">
        <f>SUM($AF48:AG48)</f>
        <v>4529813</v>
      </c>
      <c r="AH67" s="21">
        <f>SUM($AF48:AH48)</f>
        <v>8202962</v>
      </c>
      <c r="AI67" s="21">
        <f>SUM($AF48:AI48)</f>
        <v>13179295.5</v>
      </c>
      <c r="AJ67" s="21">
        <f>SUM($AF48:AJ48)</f>
        <v>16975642</v>
      </c>
      <c r="AK67" s="21">
        <f>SUM($AF48:AK48)</f>
        <v>21282222.25</v>
      </c>
      <c r="AL67" s="21">
        <f>SUM($AF48:AL48)</f>
        <v>25525442.75</v>
      </c>
      <c r="AM67" s="21">
        <f>SUM($AF48:AM48)</f>
        <v>30016842</v>
      </c>
      <c r="AN67" s="21">
        <f>SUM($AF48:AN48)</f>
        <v>33593616</v>
      </c>
      <c r="AO67" s="21">
        <f>SUM($AF48:AO48)</f>
        <v>37962908</v>
      </c>
      <c r="AP67" s="21">
        <f>SUM($AF48:AP48)</f>
        <v>39788306</v>
      </c>
      <c r="AQ67" s="35">
        <f>SUM($AF48:AQ48)</f>
        <v>43087551</v>
      </c>
      <c r="AR67" s="35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35"/>
      <c r="BF67" s="35"/>
      <c r="BH67" s="21">
        <f>SUM($BH48:BH48)</f>
        <v>2834032</v>
      </c>
      <c r="BI67" s="21">
        <f>SUM($BH48:BI48)</f>
        <v>4134382.3</v>
      </c>
      <c r="BJ67" s="21">
        <f>SUM($BH48:BJ48)</f>
        <v>8453694.3000000045</v>
      </c>
      <c r="BK67" s="21">
        <f>SUM($BH48:BK48)</f>
        <v>8453694.3000000045</v>
      </c>
      <c r="BL67" s="21">
        <f>SUM($BH48:BL48)</f>
        <v>8453694.3000000045</v>
      </c>
      <c r="BM67" s="21">
        <f>SUM($BH48:BM48)</f>
        <v>8453694.3000000045</v>
      </c>
      <c r="BN67" s="21">
        <f>SUM($BH48:BN48)</f>
        <v>8453694.3000000045</v>
      </c>
      <c r="BO67" s="21">
        <f>SUM($BH48:BO48)</f>
        <v>8453694.3000000045</v>
      </c>
      <c r="BP67" s="21">
        <f>SUM($BH48:BP48)</f>
        <v>8453694.3000000045</v>
      </c>
      <c r="BQ67" s="21">
        <f>SUM($BH48:BQ48)</f>
        <v>8453694.3000000045</v>
      </c>
      <c r="BR67" s="21">
        <f>SUM($BH48:BR48)</f>
        <v>8453694.3000000045</v>
      </c>
      <c r="BS67" s="35">
        <f>SUM($BH48:BS48)</f>
        <v>8453694.3000000045</v>
      </c>
      <c r="BT67" s="35"/>
    </row>
    <row r="68" spans="1:72" x14ac:dyDescent="0.35">
      <c r="AQ68" s="22"/>
      <c r="AR68" s="22"/>
      <c r="BE68" s="22"/>
      <c r="BF68" s="22"/>
      <c r="BS68" s="22"/>
      <c r="BT68" s="22"/>
    </row>
    <row r="69" spans="1:72" s="64" customFormat="1" ht="16" x14ac:dyDescent="0.4">
      <c r="A69" s="64" t="s">
        <v>29</v>
      </c>
      <c r="AQ69" s="65"/>
      <c r="AR69" s="65"/>
      <c r="BE69" s="65"/>
      <c r="BF69" s="65"/>
      <c r="BS69" s="65"/>
      <c r="BT69" s="65"/>
    </row>
    <row r="70" spans="1:72" x14ac:dyDescent="0.35">
      <c r="A70" s="20" t="s">
        <v>21</v>
      </c>
      <c r="B70" s="20" t="s">
        <v>7</v>
      </c>
      <c r="D70" s="21">
        <f>SUM($D51:D51)</f>
        <v>648999.99999999988</v>
      </c>
      <c r="E70" s="21">
        <f>SUM($D51:E51)</f>
        <v>1224195</v>
      </c>
      <c r="F70" s="21">
        <f>SUM($D51:F51)</f>
        <v>1963195</v>
      </c>
      <c r="G70" s="21">
        <f>SUM($D51:G51)</f>
        <v>2628703.6590501084</v>
      </c>
      <c r="H70" s="21">
        <f>SUM($D51:H51)</f>
        <v>3461003.6590501084</v>
      </c>
      <c r="I70" s="21">
        <f>SUM($D51:I51)</f>
        <v>4501460.6590501089</v>
      </c>
      <c r="J70" s="21">
        <f>SUM($D51:J51)</f>
        <v>5215960.6590501089</v>
      </c>
      <c r="K70" s="21">
        <f>SUM($D51:K51)</f>
        <v>5760960.6590501089</v>
      </c>
      <c r="L70" s="21">
        <f>SUM($D51:L51)</f>
        <v>6291160.6590501089</v>
      </c>
      <c r="M70" s="21">
        <f>SUM($D51:M51)</f>
        <v>6794838.6590501089</v>
      </c>
      <c r="N70" s="21">
        <f>SUM($D51:N51)</f>
        <v>7372738.6590501089</v>
      </c>
      <c r="O70" s="21">
        <f>SUM($D51:O51)</f>
        <v>7691038.6590501089</v>
      </c>
      <c r="P70" s="35">
        <f>O70</f>
        <v>7691038.6590501089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F70" s="21">
        <f>SUM($AF51:AF51)</f>
        <v>621700</v>
      </c>
      <c r="AG70" s="21">
        <f>SUM($AF51:AG51)</f>
        <v>1339500</v>
      </c>
      <c r="AH70" s="21">
        <f>SUM($AF51:AH51)</f>
        <v>1573500</v>
      </c>
      <c r="AI70" s="21">
        <f>SUM($AF51:AI51)</f>
        <v>2284101</v>
      </c>
      <c r="AJ70" s="21">
        <f>SUM($AF51:AJ51)</f>
        <v>2837413.1449739058</v>
      </c>
      <c r="AK70" s="21">
        <f>SUM($AF51:AK51)</f>
        <v>3747113.1449739058</v>
      </c>
      <c r="AL70" s="21">
        <f>SUM($AF51:AL51)</f>
        <v>4500513.1449739058</v>
      </c>
      <c r="AM70" s="21">
        <f>SUM($AF51:AM51)</f>
        <v>5393313.1449739058</v>
      </c>
      <c r="AN70" s="21">
        <f>SUM($AF51:AN51)</f>
        <v>5760313.1449739058</v>
      </c>
      <c r="AO70" s="21">
        <f>SUM($AF51:AO51)</f>
        <v>8335560.1449739058</v>
      </c>
      <c r="AP70" s="21">
        <f>SUM($AF51:AP51)</f>
        <v>9207760.1449739058</v>
      </c>
      <c r="AQ70" s="35">
        <f>SUM($AF51:AQ51)</f>
        <v>10230990.144973906</v>
      </c>
      <c r="AR70" s="35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35"/>
      <c r="BF70" s="35"/>
      <c r="BH70" s="21">
        <f>SUM($BH51:BH51)</f>
        <v>721100</v>
      </c>
      <c r="BI70" s="21">
        <f>SUM($BH51:BI51)</f>
        <v>1134600</v>
      </c>
      <c r="BJ70" s="21">
        <f>SUM($BH51:BJ51)</f>
        <v>2082115</v>
      </c>
      <c r="BK70" s="21">
        <f>SUM($BH51:BK51)</f>
        <v>2082115</v>
      </c>
      <c r="BL70" s="21">
        <f>SUM($BH51:BL51)</f>
        <v>2082115</v>
      </c>
      <c r="BM70" s="21">
        <f>SUM($BH51:BM51)</f>
        <v>2082115</v>
      </c>
      <c r="BN70" s="21">
        <f>SUM($BH51:BN51)</f>
        <v>2082115</v>
      </c>
      <c r="BO70" s="21">
        <f>SUM($BH51:BO51)</f>
        <v>2082115</v>
      </c>
      <c r="BP70" s="21">
        <f>SUM($BH51:BP51)</f>
        <v>2082115</v>
      </c>
      <c r="BQ70" s="21">
        <f>SUM($BH51:BQ51)</f>
        <v>2082115</v>
      </c>
      <c r="BR70" s="21">
        <f>SUM($BH51:BR51)</f>
        <v>2082115</v>
      </c>
      <c r="BS70" s="35">
        <f>SUM($BH51:BS51)</f>
        <v>2082115</v>
      </c>
      <c r="BT70" s="35"/>
    </row>
    <row r="71" spans="1:72" x14ac:dyDescent="0.35">
      <c r="A71" s="20" t="s">
        <v>22</v>
      </c>
      <c r="B71" s="20" t="s">
        <v>7</v>
      </c>
      <c r="D71" s="21">
        <f>SUM($D52:D52)</f>
        <v>4226040</v>
      </c>
      <c r="E71" s="21">
        <f>SUM($D52:E52)</f>
        <v>6920040</v>
      </c>
      <c r="F71" s="21">
        <f>SUM($D52:F52)</f>
        <v>11054040</v>
      </c>
      <c r="G71" s="21">
        <f>SUM($D52:G52)</f>
        <v>12654240</v>
      </c>
      <c r="H71" s="21">
        <f>SUM($D52:H52)</f>
        <v>17062761.199999999</v>
      </c>
      <c r="I71" s="21">
        <f>SUM($D52:I52)</f>
        <v>22110261.199999999</v>
      </c>
      <c r="J71" s="21">
        <f>SUM($D52:J52)</f>
        <v>24539461.199999999</v>
      </c>
      <c r="K71" s="21">
        <f>SUM($D52:K52)</f>
        <v>27204551.199999999</v>
      </c>
      <c r="L71" s="21">
        <f>SUM($D52:L52)</f>
        <v>30058051.199999999</v>
      </c>
      <c r="M71" s="21">
        <f>SUM($D52:M52)</f>
        <v>33940366.200000003</v>
      </c>
      <c r="N71" s="21">
        <f>SUM($D52:N52)</f>
        <v>38110968.200000003</v>
      </c>
      <c r="O71" s="21">
        <f>SUM($D52:O52)</f>
        <v>42252669.214088343</v>
      </c>
      <c r="P71" s="35">
        <f t="shared" ref="P71:P73" si="69">O71</f>
        <v>42252669.214088343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F71" s="21">
        <f>SUM($AF52:AF52)</f>
        <v>2083650</v>
      </c>
      <c r="AG71" s="21">
        <f>SUM($AF52:AG52)</f>
        <v>4577350</v>
      </c>
      <c r="AH71" s="21">
        <f>SUM($AF52:AH52)</f>
        <v>6710150</v>
      </c>
      <c r="AI71" s="21">
        <f>SUM($AF52:AI52)</f>
        <v>11243050</v>
      </c>
      <c r="AJ71" s="21">
        <f>SUM($AF52:AJ52)</f>
        <v>14470250</v>
      </c>
      <c r="AK71" s="21">
        <f>SUM($AF52:AK52)</f>
        <v>18304420</v>
      </c>
      <c r="AL71" s="21">
        <f>SUM($AF52:AL52)</f>
        <v>21489738.394764587</v>
      </c>
      <c r="AM71" s="21">
        <f>SUM($AF52:AM52)</f>
        <v>25004660.709183559</v>
      </c>
      <c r="AN71" s="21">
        <f>SUM($AF52:AN52)</f>
        <v>27341491.030237436</v>
      </c>
      <c r="AO71" s="21">
        <f>SUM($AF52:AO52)</f>
        <v>32114517.316913597</v>
      </c>
      <c r="AP71" s="21">
        <f>SUM($AF52:AP52)</f>
        <v>35434747.316913597</v>
      </c>
      <c r="AQ71" s="35">
        <f>SUM($AF52:AQ52)</f>
        <v>39012059.416557722</v>
      </c>
      <c r="AR71" s="35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35"/>
      <c r="BF71" s="35"/>
      <c r="BH71" s="21">
        <f>SUM($BH52:BH52)</f>
        <v>2156400</v>
      </c>
      <c r="BI71" s="21">
        <f>SUM($BH52:BI52)</f>
        <v>3782000</v>
      </c>
      <c r="BJ71" s="21">
        <f>SUM($BH52:BJ52)</f>
        <v>6744580</v>
      </c>
      <c r="BK71" s="21">
        <f>SUM($BH52:BK52)</f>
        <v>6744580</v>
      </c>
      <c r="BL71" s="21">
        <f>SUM($BH52:BL52)</f>
        <v>6744580</v>
      </c>
      <c r="BM71" s="21">
        <f>SUM($BH52:BM52)</f>
        <v>6744580</v>
      </c>
      <c r="BN71" s="21">
        <f>SUM($BH52:BN52)</f>
        <v>6744580</v>
      </c>
      <c r="BO71" s="21">
        <f>SUM($BH52:BO52)</f>
        <v>6744580</v>
      </c>
      <c r="BP71" s="21">
        <f>SUM($BH52:BP52)</f>
        <v>6744580</v>
      </c>
      <c r="BQ71" s="21">
        <f>SUM($BH52:BQ52)</f>
        <v>6744580</v>
      </c>
      <c r="BR71" s="21">
        <f>SUM($BH52:BR52)</f>
        <v>6744580</v>
      </c>
      <c r="BS71" s="35">
        <f>SUM($BH52:BS52)</f>
        <v>6744580</v>
      </c>
      <c r="BT71" s="35"/>
    </row>
    <row r="72" spans="1:72" s="39" customFormat="1" x14ac:dyDescent="0.35">
      <c r="A72" s="38" t="s">
        <v>23</v>
      </c>
      <c r="B72" s="38" t="s">
        <v>7</v>
      </c>
      <c r="D72" s="40">
        <f>SUM($D53:D53)</f>
        <v>0</v>
      </c>
      <c r="E72" s="40">
        <f>SUM($D53:E53)</f>
        <v>174679</v>
      </c>
      <c r="F72" s="40">
        <f>SUM($D53:F53)</f>
        <v>389381</v>
      </c>
      <c r="G72" s="40">
        <f>SUM($D53:G53)</f>
        <v>490194</v>
      </c>
      <c r="H72" s="40">
        <f>SUM($D53:H53)</f>
        <v>657994</v>
      </c>
      <c r="I72" s="40">
        <f>SUM($D53:I53)</f>
        <v>657994</v>
      </c>
      <c r="J72" s="40">
        <f>SUM($D53:J53)</f>
        <v>1378394</v>
      </c>
      <c r="K72" s="40">
        <f>SUM($D53:K53)</f>
        <v>1623038</v>
      </c>
      <c r="L72" s="40">
        <f>SUM($D53:L53)</f>
        <v>1722378</v>
      </c>
      <c r="M72" s="40">
        <f>SUM($D53:M53)</f>
        <v>2248708</v>
      </c>
      <c r="N72" s="40">
        <f>SUM($D53:N53)</f>
        <v>3237191</v>
      </c>
      <c r="O72" s="40">
        <f>SUM($D53:O53)</f>
        <v>3847575</v>
      </c>
      <c r="P72" s="35">
        <f t="shared" si="69"/>
        <v>3847575</v>
      </c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F72" s="40">
        <f>SUM($AF53:AF53)</f>
        <v>581700</v>
      </c>
      <c r="AG72" s="40">
        <f>SUM($AF53:AG53)</f>
        <v>817850</v>
      </c>
      <c r="AH72" s="40">
        <f>SUM($AF53:AH53)</f>
        <v>1632370</v>
      </c>
      <c r="AI72" s="40">
        <f>SUM($AF53:AI53)</f>
        <v>2553524</v>
      </c>
      <c r="AJ72" s="40">
        <f>SUM($AF53:AJ53)</f>
        <v>3592712</v>
      </c>
      <c r="AK72" s="40">
        <f>SUM($AF53:AK53)</f>
        <v>5048673</v>
      </c>
      <c r="AL72" s="40">
        <f>SUM($AF53:AL53)</f>
        <v>6120426</v>
      </c>
      <c r="AM72" s="40">
        <f>SUM($AF53:AM53)</f>
        <v>7077576</v>
      </c>
      <c r="AN72" s="40">
        <f>SUM($AF53:AN53)</f>
        <v>7920776</v>
      </c>
      <c r="AO72" s="40">
        <f>SUM($AF53:AO53)</f>
        <v>9496876</v>
      </c>
      <c r="AP72" s="40">
        <f>SUM($AF53:AP53)</f>
        <v>9773876</v>
      </c>
      <c r="AQ72" s="41">
        <f>SUM($AF53:AQ53)</f>
        <v>10261876</v>
      </c>
      <c r="AR72" s="41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1"/>
      <c r="BF72" s="41"/>
      <c r="BH72" s="40">
        <f>SUM($BH53:BH53)</f>
        <v>351600</v>
      </c>
      <c r="BI72" s="40">
        <f>SUM($BH53:BI53)</f>
        <v>679300</v>
      </c>
      <c r="BJ72" s="40">
        <f>SUM($BH53:BJ53)</f>
        <v>1395300</v>
      </c>
      <c r="BK72" s="40">
        <f>SUM($BH53:BK53)</f>
        <v>1395300</v>
      </c>
      <c r="BL72" s="40">
        <f>SUM($BH53:BL53)</f>
        <v>1395300</v>
      </c>
      <c r="BM72" s="40">
        <f>SUM($BH53:BM53)</f>
        <v>1395300</v>
      </c>
      <c r="BN72" s="40">
        <f>SUM($BH53:BN53)</f>
        <v>1395300</v>
      </c>
      <c r="BO72" s="40">
        <f>SUM($BH53:BO53)</f>
        <v>1395300</v>
      </c>
      <c r="BP72" s="40">
        <f>SUM($BH53:BP53)</f>
        <v>1395300</v>
      </c>
      <c r="BQ72" s="40">
        <f>SUM($BH53:BQ53)</f>
        <v>1395300</v>
      </c>
      <c r="BR72" s="40">
        <f>SUM($BH53:BR53)</f>
        <v>1395300</v>
      </c>
      <c r="BS72" s="41">
        <f>SUM($BH53:BS53)</f>
        <v>1395300</v>
      </c>
      <c r="BT72" s="41"/>
    </row>
    <row r="73" spans="1:72" x14ac:dyDescent="0.35">
      <c r="A73" s="20" t="s">
        <v>24</v>
      </c>
      <c r="B73" s="20" t="s">
        <v>7</v>
      </c>
      <c r="D73" s="21">
        <f>SUM($D54:D54)</f>
        <v>4460390</v>
      </c>
      <c r="E73" s="21">
        <f>SUM($D54:E54)</f>
        <v>7503833</v>
      </c>
      <c r="F73" s="21">
        <f>SUM($D54:F54)</f>
        <v>11469981</v>
      </c>
      <c r="G73" s="21">
        <f>SUM($D54:G54)</f>
        <v>12946182</v>
      </c>
      <c r="H73" s="21">
        <f>SUM($D54:H54)</f>
        <v>17816982</v>
      </c>
      <c r="I73" s="21">
        <f>SUM($D54:I54)</f>
        <v>22175382</v>
      </c>
      <c r="J73" s="21">
        <f>SUM($D54:J54)</f>
        <v>23413771</v>
      </c>
      <c r="K73" s="21">
        <f>SUM($D54:K54)</f>
        <v>25293569</v>
      </c>
      <c r="L73" s="21">
        <f>SUM($D54:L54)</f>
        <v>28303047</v>
      </c>
      <c r="M73" s="21">
        <f>SUM($D54:M54)</f>
        <v>31691319.5</v>
      </c>
      <c r="N73" s="21">
        <f>SUM($D54:N54)</f>
        <v>35994241.5</v>
      </c>
      <c r="O73" s="21">
        <f>SUM($D54:O54)</f>
        <v>39189753.5</v>
      </c>
      <c r="P73" s="35">
        <f t="shared" si="69"/>
        <v>39189753.5</v>
      </c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F73" s="21">
        <f>SUM($AF54:AF54)</f>
        <v>2029634</v>
      </c>
      <c r="AG73" s="21">
        <f>SUM($AF54:AG54)</f>
        <v>4269374</v>
      </c>
      <c r="AH73" s="21">
        <f>SUM($AF54:AH54)</f>
        <v>7685539</v>
      </c>
      <c r="AI73" s="21">
        <f>SUM($AF54:AI54)</f>
        <v>12348048</v>
      </c>
      <c r="AJ73" s="21">
        <f>SUM($AF54:AJ54)</f>
        <v>15921148</v>
      </c>
      <c r="AK73" s="21">
        <f>SUM($AF54:AK54)</f>
        <v>19960156</v>
      </c>
      <c r="AL73" s="21">
        <f>SUM($AF54:AL54)</f>
        <v>23934806</v>
      </c>
      <c r="AM73" s="21">
        <f>SUM($AF54:AM54)</f>
        <v>28145156</v>
      </c>
      <c r="AN73" s="21">
        <f>SUM($AF54:AN54)</f>
        <v>31521354</v>
      </c>
      <c r="AO73" s="21">
        <f>SUM($AF54:AO54)</f>
        <v>35656929</v>
      </c>
      <c r="AP73" s="21">
        <f>SUM($AF54:AP54)</f>
        <v>37396109</v>
      </c>
      <c r="AQ73" s="35">
        <f>SUM($AF54:AQ54)</f>
        <v>40482309</v>
      </c>
      <c r="AR73" s="35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35"/>
      <c r="BF73" s="35"/>
      <c r="BH73" s="21">
        <f>SUM($BH54:BH54)</f>
        <v>2682135.75</v>
      </c>
      <c r="BI73" s="21">
        <f>SUM($BH54:BI54)</f>
        <v>3912867.75</v>
      </c>
      <c r="BJ73" s="21">
        <f>SUM($BH54:BJ54)</f>
        <v>8015988.7499999991</v>
      </c>
      <c r="BK73" s="21">
        <f>SUM($BH54:BK54)</f>
        <v>8015988.7499999991</v>
      </c>
      <c r="BL73" s="21">
        <f>SUM($BH54:BL54)</f>
        <v>8015988.7499999991</v>
      </c>
      <c r="BM73" s="21">
        <f>SUM($BH54:BM54)</f>
        <v>8015988.7499999991</v>
      </c>
      <c r="BN73" s="21">
        <f>SUM($BH54:BN54)</f>
        <v>8015988.7499999991</v>
      </c>
      <c r="BO73" s="21">
        <f>SUM($BH54:BO54)</f>
        <v>8015988.7499999991</v>
      </c>
      <c r="BP73" s="21">
        <f>SUM($BH54:BP54)</f>
        <v>8015988.7499999991</v>
      </c>
      <c r="BQ73" s="21">
        <f>SUM($BH54:BQ54)</f>
        <v>8015988.7499999991</v>
      </c>
      <c r="BR73" s="21">
        <f>SUM($BH54:BR54)</f>
        <v>8015988.7499999991</v>
      </c>
      <c r="BS73" s="35">
        <f>SUM($BH54:BS54)</f>
        <v>8015988.7499999991</v>
      </c>
      <c r="BT73" s="35"/>
    </row>
    <row r="75" spans="1:72" s="64" customFormat="1" ht="16" x14ac:dyDescent="0.4">
      <c r="A75" s="66" t="s">
        <v>30</v>
      </c>
      <c r="B75" s="66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8"/>
      <c r="AR75" s="68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8"/>
      <c r="BF75" s="68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8"/>
      <c r="BT75" s="68"/>
    </row>
    <row r="76" spans="1:72" x14ac:dyDescent="0.35">
      <c r="A76" s="48" t="s">
        <v>21</v>
      </c>
      <c r="B76" s="48"/>
      <c r="D76" s="49">
        <f t="shared" ref="D76:O77" si="70">IFERROR(D70/D64,0)</f>
        <v>0.87222441754149416</v>
      </c>
      <c r="E76" s="49">
        <f t="shared" si="70"/>
        <v>0.87672103204847507</v>
      </c>
      <c r="F76" s="49">
        <f t="shared" si="70"/>
        <v>0.88128070874313857</v>
      </c>
      <c r="G76" s="49">
        <f t="shared" si="70"/>
        <v>0.88091841630350998</v>
      </c>
      <c r="H76" s="49">
        <f t="shared" si="70"/>
        <v>0.88556099947727629</v>
      </c>
      <c r="I76" s="49">
        <f t="shared" si="70"/>
        <v>0.88983978193515012</v>
      </c>
      <c r="J76" s="49">
        <f t="shared" si="70"/>
        <v>0.89917318831964188</v>
      </c>
      <c r="K76" s="49">
        <f t="shared" si="70"/>
        <v>0.89943916767940535</v>
      </c>
      <c r="L76" s="49">
        <f t="shared" si="70"/>
        <v>0.89881535880241015</v>
      </c>
      <c r="M76" s="49">
        <f t="shared" si="70"/>
        <v>0.89422790335008984</v>
      </c>
      <c r="N76" s="49">
        <f t="shared" si="70"/>
        <v>0.88685768544891563</v>
      </c>
      <c r="O76" s="49">
        <f t="shared" si="70"/>
        <v>0.88340789806910025</v>
      </c>
      <c r="P76" s="50">
        <f>O76</f>
        <v>0.88340789806910025</v>
      </c>
      <c r="Q76" s="28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28"/>
      <c r="AF76" s="69">
        <f>IFERROR(AF70/AF64,0)</f>
        <v>0.77888313491040839</v>
      </c>
      <c r="AG76" s="69">
        <f t="shared" ref="AG76:AQ77" si="71">IFERROR(AG70/AG64,0)</f>
        <v>0.7959882299414025</v>
      </c>
      <c r="AH76" s="69">
        <f t="shared" si="71"/>
        <v>0.80270503581343866</v>
      </c>
      <c r="AI76" s="69">
        <f t="shared" si="71"/>
        <v>0.81629236736841493</v>
      </c>
      <c r="AJ76" s="69">
        <f t="shared" si="71"/>
        <v>0.82773586117772802</v>
      </c>
      <c r="AK76" s="69">
        <f t="shared" si="71"/>
        <v>0.83439106106294414</v>
      </c>
      <c r="AL76" s="69">
        <f t="shared" si="71"/>
        <v>0.84098471406505582</v>
      </c>
      <c r="AM76" s="69">
        <f t="shared" si="71"/>
        <v>0.8460137194532984</v>
      </c>
      <c r="AN76" s="69">
        <f t="shared" si="71"/>
        <v>0.84721024510691012</v>
      </c>
      <c r="AO76" s="69">
        <f t="shared" si="71"/>
        <v>0.83812931777131716</v>
      </c>
      <c r="AP76" s="69">
        <f t="shared" si="71"/>
        <v>0.83717910671222084</v>
      </c>
      <c r="AQ76" s="70">
        <f t="shared" si="71"/>
        <v>0.83965276647525633</v>
      </c>
      <c r="AR76" s="70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70"/>
      <c r="BF76" s="70"/>
      <c r="BG76" s="28"/>
      <c r="BH76" s="69">
        <f>IFERROR(BH70/BH64,0)</f>
        <v>0.88535446701681619</v>
      </c>
      <c r="BI76" s="69">
        <f t="shared" ref="BI76:BS77" si="72">IFERROR(BI70/BI64,0)</f>
        <v>0.87997484373396839</v>
      </c>
      <c r="BJ76" s="69">
        <f t="shared" si="72"/>
        <v>0.87585686397730089</v>
      </c>
      <c r="BK76" s="69">
        <f t="shared" si="72"/>
        <v>0.87585686397730089</v>
      </c>
      <c r="BL76" s="69">
        <f t="shared" si="72"/>
        <v>0.87585686397730089</v>
      </c>
      <c r="BM76" s="69">
        <f t="shared" si="72"/>
        <v>0.87585686397730089</v>
      </c>
      <c r="BN76" s="69">
        <f t="shared" si="72"/>
        <v>0.87585686397730089</v>
      </c>
      <c r="BO76" s="69">
        <f t="shared" si="72"/>
        <v>0.87585686397730089</v>
      </c>
      <c r="BP76" s="69">
        <f t="shared" si="72"/>
        <v>0.87585686397730089</v>
      </c>
      <c r="BQ76" s="69">
        <f t="shared" si="72"/>
        <v>0.87585686397730089</v>
      </c>
      <c r="BR76" s="69">
        <f t="shared" si="72"/>
        <v>0.87585686397730089</v>
      </c>
      <c r="BS76" s="70">
        <f t="shared" si="72"/>
        <v>0.87585686397730089</v>
      </c>
      <c r="BT76" s="70"/>
    </row>
    <row r="77" spans="1:72" x14ac:dyDescent="0.35">
      <c r="A77" s="48" t="s">
        <v>22</v>
      </c>
      <c r="B77" s="48"/>
      <c r="D77" s="49">
        <f t="shared" si="70"/>
        <v>0.9503903625122454</v>
      </c>
      <c r="E77" s="49">
        <f t="shared" si="70"/>
        <v>0.94578981432626852</v>
      </c>
      <c r="F77" s="49">
        <f t="shared" si="70"/>
        <v>0.9451805393896836</v>
      </c>
      <c r="G77" s="49">
        <f t="shared" si="70"/>
        <v>0.94558911853359495</v>
      </c>
      <c r="H77" s="49">
        <f t="shared" si="70"/>
        <v>0.94721847481035581</v>
      </c>
      <c r="I77" s="49">
        <f t="shared" si="70"/>
        <v>0.95004599276872537</v>
      </c>
      <c r="J77" s="49">
        <f t="shared" si="70"/>
        <v>0.95301784762427977</v>
      </c>
      <c r="K77" s="49">
        <f t="shared" si="70"/>
        <v>0.95317634340673085</v>
      </c>
      <c r="L77" s="49">
        <f t="shared" si="70"/>
        <v>0.95340053661831636</v>
      </c>
      <c r="M77" s="49">
        <f t="shared" si="70"/>
        <v>0.95400910231738512</v>
      </c>
      <c r="N77" s="49">
        <f t="shared" si="70"/>
        <v>0.95617509679144597</v>
      </c>
      <c r="O77" s="49">
        <f t="shared" si="70"/>
        <v>0.95390956983130137</v>
      </c>
      <c r="P77" s="50">
        <f t="shared" ref="P77:P80" si="73">O77</f>
        <v>0.95390956983130137</v>
      </c>
      <c r="Q77" s="28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28"/>
      <c r="AF77" s="69">
        <f t="shared" ref="AF77:AK77" si="74">IFERROR(AF71/AF65,0)</f>
        <v>0.94231724160387309</v>
      </c>
      <c r="AG77" s="69">
        <f t="shared" si="74"/>
        <v>0.94192083243219438</v>
      </c>
      <c r="AH77" s="69">
        <f t="shared" si="74"/>
        <v>0.94318674116217283</v>
      </c>
      <c r="AI77" s="69">
        <f t="shared" si="74"/>
        <v>0.94529487783789856</v>
      </c>
      <c r="AJ77" s="69">
        <f t="shared" si="74"/>
        <v>0.94496814182721967</v>
      </c>
      <c r="AK77" s="69">
        <f t="shared" si="74"/>
        <v>0.94372395983114676</v>
      </c>
      <c r="AL77" s="69">
        <f t="shared" si="71"/>
        <v>0.94229735817618543</v>
      </c>
      <c r="AM77" s="69">
        <f t="shared" si="71"/>
        <v>0.93924238022794937</v>
      </c>
      <c r="AN77" s="69">
        <f t="shared" si="71"/>
        <v>0.93872603443303837</v>
      </c>
      <c r="AO77" s="69">
        <f t="shared" si="71"/>
        <v>0.93394827590010521</v>
      </c>
      <c r="AP77" s="69">
        <f t="shared" si="71"/>
        <v>0.93413891554663786</v>
      </c>
      <c r="AQ77" s="70">
        <f t="shared" si="71"/>
        <v>0.93376699780472527</v>
      </c>
      <c r="AR77" s="70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70"/>
      <c r="BF77" s="70"/>
      <c r="BG77" s="28"/>
      <c r="BH77" s="69">
        <f t="shared" ref="BH77:BO77" si="75">IFERROR(BH71/BH65,0)</f>
        <v>0.93096467782552106</v>
      </c>
      <c r="BI77" s="69">
        <f t="shared" si="75"/>
        <v>0.9230293128922934</v>
      </c>
      <c r="BJ77" s="69">
        <f t="shared" si="75"/>
        <v>0.91757325465882755</v>
      </c>
      <c r="BK77" s="69">
        <f t="shared" si="75"/>
        <v>0.91757325465882755</v>
      </c>
      <c r="BL77" s="69">
        <f t="shared" si="75"/>
        <v>0.91757325465882755</v>
      </c>
      <c r="BM77" s="69">
        <f t="shared" si="75"/>
        <v>0.91757325465882755</v>
      </c>
      <c r="BN77" s="69">
        <f t="shared" si="75"/>
        <v>0.91757325465882755</v>
      </c>
      <c r="BO77" s="69">
        <f t="shared" si="75"/>
        <v>0.91757325465882755</v>
      </c>
      <c r="BP77" s="69">
        <f t="shared" si="72"/>
        <v>0.91757325465882755</v>
      </c>
      <c r="BQ77" s="69">
        <f t="shared" si="72"/>
        <v>0.91757325465882755</v>
      </c>
      <c r="BR77" s="69">
        <f t="shared" si="72"/>
        <v>0.91757325465882755</v>
      </c>
      <c r="BS77" s="70">
        <f t="shared" si="72"/>
        <v>0.91757325465882755</v>
      </c>
      <c r="BT77" s="70"/>
    </row>
    <row r="78" spans="1:72" s="6" customFormat="1" x14ac:dyDescent="0.35">
      <c r="A78" s="53" t="s">
        <v>31</v>
      </c>
      <c r="B78" s="53"/>
      <c r="D78" s="54">
        <f t="shared" ref="D78:O78" si="76">D76*D77</f>
        <v>0.82895368037929273</v>
      </c>
      <c r="E78" s="54">
        <f t="shared" si="76"/>
        <v>0.82919382211706172</v>
      </c>
      <c r="F78" s="54">
        <f t="shared" si="76"/>
        <v>0.83296937564356233</v>
      </c>
      <c r="G78" s="54">
        <f t="shared" si="76"/>
        <v>0.83298686877244643</v>
      </c>
      <c r="H78" s="54">
        <f t="shared" si="76"/>
        <v>0.83881973927639997</v>
      </c>
      <c r="I78" s="54">
        <f t="shared" si="76"/>
        <v>0.84538871903368584</v>
      </c>
      <c r="J78" s="54">
        <f t="shared" si="76"/>
        <v>0.85692809657384628</v>
      </c>
      <c r="K78" s="54">
        <f t="shared" si="76"/>
        <v>0.85732413696544907</v>
      </c>
      <c r="L78" s="54">
        <f t="shared" si="76"/>
        <v>0.85693104540300236</v>
      </c>
      <c r="M78" s="54">
        <f t="shared" si="76"/>
        <v>0.85310155934217657</v>
      </c>
      <c r="N78" s="54">
        <f t="shared" si="76"/>
        <v>0.84799123322435466</v>
      </c>
      <c r="O78" s="54">
        <f t="shared" si="76"/>
        <v>0.84269124803266959</v>
      </c>
      <c r="P78" s="54">
        <f t="shared" si="73"/>
        <v>0.84269124803266959</v>
      </c>
      <c r="Q78" s="55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5"/>
      <c r="AF78" s="71">
        <f>AF76*AF77</f>
        <v>0.7339550072205534</v>
      </c>
      <c r="AG78" s="71">
        <f t="shared" ref="AG78:AN78" si="77">AG76*AG77</f>
        <v>0.74975789615263477</v>
      </c>
      <c r="AH78" s="71">
        <f t="shared" si="77"/>
        <v>0.75710074684334239</v>
      </c>
      <c r="AI78" s="71">
        <f t="shared" si="77"/>
        <v>0.77163699369153482</v>
      </c>
      <c r="AJ78" s="71">
        <f t="shared" si="77"/>
        <v>0.78218401866087106</v>
      </c>
      <c r="AK78" s="71">
        <f t="shared" si="77"/>
        <v>0.78743483619403387</v>
      </c>
      <c r="AL78" s="71">
        <f t="shared" si="77"/>
        <v>0.79245767433005676</v>
      </c>
      <c r="AM78" s="71">
        <f t="shared" si="77"/>
        <v>0.79461193956481657</v>
      </c>
      <c r="AN78" s="71">
        <f t="shared" si="77"/>
        <v>0.79529831372025217</v>
      </c>
      <c r="AO78" s="71">
        <f>AO76*AO77</f>
        <v>0.78276943131385313</v>
      </c>
      <c r="AP78" s="71">
        <f>AP76*AP77</f>
        <v>0.78204158286245695</v>
      </c>
      <c r="AQ78" s="71">
        <f>AQ76*AQ77</f>
        <v>0.78404004295003216</v>
      </c>
      <c r="AR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55"/>
      <c r="BH78" s="71">
        <f>BH76*BH77</f>
        <v>0.82423373614769624</v>
      </c>
      <c r="BI78" s="71">
        <f t="shared" ref="BI78:BP78" si="78">BI76*BI77</f>
        <v>0.81224257537426814</v>
      </c>
      <c r="BJ78" s="71">
        <f t="shared" si="78"/>
        <v>0.80366283329492605</v>
      </c>
      <c r="BK78" s="71">
        <f t="shared" si="78"/>
        <v>0.80366283329492605</v>
      </c>
      <c r="BL78" s="71">
        <f t="shared" si="78"/>
        <v>0.80366283329492605</v>
      </c>
      <c r="BM78" s="71">
        <f t="shared" si="78"/>
        <v>0.80366283329492605</v>
      </c>
      <c r="BN78" s="71">
        <f t="shared" si="78"/>
        <v>0.80366283329492605</v>
      </c>
      <c r="BO78" s="71">
        <f t="shared" si="78"/>
        <v>0.80366283329492605</v>
      </c>
      <c r="BP78" s="71">
        <f t="shared" si="78"/>
        <v>0.80366283329492605</v>
      </c>
      <c r="BQ78" s="71">
        <f>BQ76*BQ77</f>
        <v>0.80366283329492605</v>
      </c>
      <c r="BR78" s="71">
        <f>BR76*BR77</f>
        <v>0.80366283329492605</v>
      </c>
      <c r="BS78" s="71">
        <f>BS76*BS77</f>
        <v>0.80366283329492605</v>
      </c>
      <c r="BT78" s="71"/>
    </row>
    <row r="79" spans="1:72" s="59" customFormat="1" x14ac:dyDescent="0.35">
      <c r="A79" s="58" t="s">
        <v>23</v>
      </c>
      <c r="B79" s="58"/>
      <c r="D79" s="60">
        <f t="shared" ref="D79:O80" si="79">IFERROR(D72/D66,0)</f>
        <v>0</v>
      </c>
      <c r="E79" s="60">
        <f t="shared" si="79"/>
        <v>0.87626476711229273</v>
      </c>
      <c r="F79" s="60">
        <f t="shared" si="79"/>
        <v>0.91367743782396182</v>
      </c>
      <c r="G79" s="60">
        <f t="shared" si="79"/>
        <v>0.9271439757600517</v>
      </c>
      <c r="H79" s="60">
        <f t="shared" si="79"/>
        <v>0.9130309295516672</v>
      </c>
      <c r="I79" s="60">
        <f t="shared" si="79"/>
        <v>0.9130309295516672</v>
      </c>
      <c r="J79" s="60">
        <f t="shared" si="79"/>
        <v>0.93676960077747751</v>
      </c>
      <c r="K79" s="60">
        <f t="shared" si="79"/>
        <v>0.94019921732813938</v>
      </c>
      <c r="L79" s="60">
        <f t="shared" si="79"/>
        <v>0.94026001762073264</v>
      </c>
      <c r="M79" s="60">
        <f t="shared" si="79"/>
        <v>0.94849484387687</v>
      </c>
      <c r="N79" s="60">
        <f t="shared" si="79"/>
        <v>0.94852052567263845</v>
      </c>
      <c r="O79" s="60">
        <f t="shared" si="79"/>
        <v>0.94828947071691139</v>
      </c>
      <c r="P79" s="60">
        <f t="shared" si="73"/>
        <v>0.94828947071691139</v>
      </c>
      <c r="Q79" s="61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1"/>
      <c r="AF79" s="72">
        <f t="shared" ref="AF79:AQ80" si="80">IFERROR(AF72/AF66,0)</f>
        <v>0.87262679115762187</v>
      </c>
      <c r="AG79" s="72">
        <f t="shared" si="80"/>
        <v>0.87602882642021962</v>
      </c>
      <c r="AH79" s="72">
        <f t="shared" si="80"/>
        <v>0.89920103825365383</v>
      </c>
      <c r="AI79" s="72">
        <f t="shared" si="80"/>
        <v>0.89720759884595891</v>
      </c>
      <c r="AJ79" s="72">
        <f t="shared" si="80"/>
        <v>0.90323037082189461</v>
      </c>
      <c r="AK79" s="72">
        <f t="shared" si="80"/>
        <v>0.89772496154276538</v>
      </c>
      <c r="AL79" s="72">
        <f t="shared" si="80"/>
        <v>0.89040453940388409</v>
      </c>
      <c r="AM79" s="72">
        <f t="shared" si="80"/>
        <v>0.87961045933445137</v>
      </c>
      <c r="AN79" s="72">
        <f t="shared" si="80"/>
        <v>0.86922842370804465</v>
      </c>
      <c r="AO79" s="72">
        <f t="shared" si="80"/>
        <v>0.84511803867443724</v>
      </c>
      <c r="AP79" s="72">
        <f t="shared" si="80"/>
        <v>0.84230396447006428</v>
      </c>
      <c r="AQ79" s="72">
        <f t="shared" si="80"/>
        <v>0.84174199915425374</v>
      </c>
      <c r="AR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61"/>
      <c r="BH79" s="72">
        <f t="shared" ref="BH79:BS80" si="81">IFERROR(BH72/BH66,0)</f>
        <v>0.84850064433922667</v>
      </c>
      <c r="BI79" s="72">
        <f t="shared" si="81"/>
        <v>0.83693710343128191</v>
      </c>
      <c r="BJ79" s="72">
        <f t="shared" si="81"/>
        <v>0.83182702671766651</v>
      </c>
      <c r="BK79" s="72">
        <f t="shared" si="81"/>
        <v>0.83182702671766651</v>
      </c>
      <c r="BL79" s="72">
        <f t="shared" si="81"/>
        <v>0.83182702671766651</v>
      </c>
      <c r="BM79" s="72">
        <f t="shared" si="81"/>
        <v>0.83182702671766651</v>
      </c>
      <c r="BN79" s="72">
        <f t="shared" si="81"/>
        <v>0.83182702671766651</v>
      </c>
      <c r="BO79" s="72">
        <f t="shared" si="81"/>
        <v>0.83182702671766651</v>
      </c>
      <c r="BP79" s="72">
        <f t="shared" si="81"/>
        <v>0.83182702671766651</v>
      </c>
      <c r="BQ79" s="72">
        <f t="shared" si="81"/>
        <v>0.83182702671766651</v>
      </c>
      <c r="BR79" s="72">
        <f t="shared" si="81"/>
        <v>0.83182702671766651</v>
      </c>
      <c r="BS79" s="72">
        <f t="shared" si="81"/>
        <v>0.83182702671766651</v>
      </c>
      <c r="BT79" s="72"/>
    </row>
    <row r="80" spans="1:72" s="6" customFormat="1" x14ac:dyDescent="0.35">
      <c r="A80" s="53" t="s">
        <v>24</v>
      </c>
      <c r="B80" s="53"/>
      <c r="D80" s="54">
        <f t="shared" si="79"/>
        <v>0.96712894712934172</v>
      </c>
      <c r="E80" s="54">
        <f t="shared" si="79"/>
        <v>0.96769891255896479</v>
      </c>
      <c r="F80" s="54">
        <f t="shared" si="79"/>
        <v>0.9654486239703951</v>
      </c>
      <c r="G80" s="54">
        <f t="shared" si="79"/>
        <v>0.96579513696234998</v>
      </c>
      <c r="H80" s="54">
        <f t="shared" si="79"/>
        <v>0.96608955016635567</v>
      </c>
      <c r="I80" s="54">
        <f t="shared" si="79"/>
        <v>0.96566088906141434</v>
      </c>
      <c r="J80" s="54">
        <f t="shared" si="79"/>
        <v>0.96375429775535126</v>
      </c>
      <c r="K80" s="54">
        <f t="shared" si="79"/>
        <v>0.96206964543902129</v>
      </c>
      <c r="L80" s="54">
        <f t="shared" si="79"/>
        <v>0.96204080580597418</v>
      </c>
      <c r="M80" s="54">
        <f t="shared" si="79"/>
        <v>0.96090527990760377</v>
      </c>
      <c r="N80" s="54">
        <f t="shared" si="79"/>
        <v>0.95925937037476228</v>
      </c>
      <c r="O80" s="54">
        <f t="shared" si="79"/>
        <v>0.95898491607158343</v>
      </c>
      <c r="P80" s="54">
        <f t="shared" si="73"/>
        <v>0.95898491607158343</v>
      </c>
      <c r="Q80" s="55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5"/>
      <c r="AF80" s="71">
        <f t="shared" si="80"/>
        <v>0.96690078142529723</v>
      </c>
      <c r="AG80" s="71">
        <f t="shared" si="80"/>
        <v>0.94250557362963994</v>
      </c>
      <c r="AH80" s="71">
        <f t="shared" si="80"/>
        <v>0.936922418999381</v>
      </c>
      <c r="AI80" s="71">
        <f t="shared" si="80"/>
        <v>0.93692777432602525</v>
      </c>
      <c r="AJ80" s="71">
        <f t="shared" si="80"/>
        <v>0.93788193695413702</v>
      </c>
      <c r="AK80" s="71">
        <f t="shared" si="80"/>
        <v>0.93787931380145229</v>
      </c>
      <c r="AL80" s="71">
        <f t="shared" si="80"/>
        <v>0.93768426406629124</v>
      </c>
      <c r="AM80" s="71">
        <f t="shared" si="80"/>
        <v>0.93764547249840602</v>
      </c>
      <c r="AN80" s="71">
        <f t="shared" si="80"/>
        <v>0.93831381533920011</v>
      </c>
      <c r="AO80" s="71">
        <f t="shared" si="80"/>
        <v>0.93925705059264686</v>
      </c>
      <c r="AP80" s="71">
        <f t="shared" si="80"/>
        <v>0.9398768824186684</v>
      </c>
      <c r="AQ80" s="71">
        <f t="shared" si="80"/>
        <v>0.93953608549253587</v>
      </c>
      <c r="AR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55"/>
      <c r="BH80" s="71">
        <f t="shared" si="81"/>
        <v>0.94640277526859262</v>
      </c>
      <c r="BI80" s="71">
        <f t="shared" si="81"/>
        <v>0.94642136746763839</v>
      </c>
      <c r="BJ80" s="71">
        <f t="shared" si="81"/>
        <v>0.9482231632151632</v>
      </c>
      <c r="BK80" s="71">
        <f t="shared" si="81"/>
        <v>0.9482231632151632</v>
      </c>
      <c r="BL80" s="71">
        <f t="shared" si="81"/>
        <v>0.9482231632151632</v>
      </c>
      <c r="BM80" s="71">
        <f t="shared" si="81"/>
        <v>0.9482231632151632</v>
      </c>
      <c r="BN80" s="71">
        <f t="shared" si="81"/>
        <v>0.9482231632151632</v>
      </c>
      <c r="BO80" s="71">
        <f t="shared" si="81"/>
        <v>0.9482231632151632</v>
      </c>
      <c r="BP80" s="71">
        <f t="shared" si="81"/>
        <v>0.9482231632151632</v>
      </c>
      <c r="BQ80" s="71">
        <f t="shared" si="81"/>
        <v>0.9482231632151632</v>
      </c>
      <c r="BR80" s="71">
        <f t="shared" si="81"/>
        <v>0.9482231632151632</v>
      </c>
      <c r="BS80" s="71">
        <f t="shared" si="81"/>
        <v>0.9482231632151632</v>
      </c>
      <c r="BT80" s="71"/>
    </row>
    <row r="82" spans="32:61" x14ac:dyDescent="0.35">
      <c r="AF82" s="28"/>
      <c r="AG82" s="73"/>
      <c r="AT82" s="28"/>
      <c r="AU82" s="73"/>
      <c r="BH82" s="28"/>
      <c r="BI82" s="73"/>
    </row>
    <row r="84" spans="32:61" x14ac:dyDescent="0.35">
      <c r="AG84" s="73"/>
      <c r="BI84" s="73"/>
    </row>
    <row r="86" spans="32:61" x14ac:dyDescent="0.35">
      <c r="AF86" s="49">
        <v>0.78689273695849948</v>
      </c>
      <c r="AG86" s="49">
        <v>0.81660506942949607</v>
      </c>
      <c r="AH86" s="49">
        <v>0.88369265704959121</v>
      </c>
      <c r="AI86" s="49">
        <v>0.85663491414806558</v>
      </c>
      <c r="AJ86" s="49">
        <v>0.88961990808587621</v>
      </c>
      <c r="AK86" s="49">
        <v>0.86486530385657545</v>
      </c>
      <c r="AL86" s="52">
        <v>0.88188528718938708</v>
      </c>
      <c r="AM86" s="52">
        <v>0.87987044909780909</v>
      </c>
      <c r="AN86" s="52">
        <v>0.87374399311094164</v>
      </c>
      <c r="AO86" s="52">
        <v>0.82346873528828179</v>
      </c>
      <c r="AP86" s="52">
        <v>0.82696266485896186</v>
      </c>
      <c r="AQ86" s="52">
        <v>0.87304091325662669</v>
      </c>
    </row>
    <row r="87" spans="32:61" x14ac:dyDescent="0.35">
      <c r="AF87" s="49">
        <v>0.91245428977034193</v>
      </c>
      <c r="AG87" s="49">
        <v>0.92479161708444135</v>
      </c>
      <c r="AH87" s="49">
        <v>0.92904637698332548</v>
      </c>
      <c r="AI87" s="49">
        <v>0.93990804952892248</v>
      </c>
      <c r="AJ87" s="49">
        <v>0.93543566717537241</v>
      </c>
      <c r="AK87" s="49">
        <v>0.93004716233678186</v>
      </c>
      <c r="AL87" s="52">
        <v>0.92583711275107339</v>
      </c>
      <c r="AM87" s="52">
        <v>0.91849869320466426</v>
      </c>
      <c r="AN87" s="52">
        <v>0.90514339408793032</v>
      </c>
      <c r="AO87" s="52">
        <v>0.86917570487638773</v>
      </c>
      <c r="AP87" s="52">
        <v>0.89943052445467364</v>
      </c>
      <c r="AQ87" s="52">
        <v>0.90126561486175583</v>
      </c>
    </row>
    <row r="88" spans="32:61" x14ac:dyDescent="0.35">
      <c r="AF88" s="54">
        <v>0.71800365342690808</v>
      </c>
      <c r="AG88" s="54">
        <v>0.75518952267705619</v>
      </c>
      <c r="AH88" s="54">
        <v>0.82099146139869106</v>
      </c>
      <c r="AI88" s="54">
        <v>0.80515805131528428</v>
      </c>
      <c r="AJ88" s="54">
        <v>0.8321821922528051</v>
      </c>
      <c r="AK88" s="54">
        <v>0.80436552165534658</v>
      </c>
      <c r="AL88" s="57">
        <v>0.81648212806907328</v>
      </c>
      <c r="AM88" s="57">
        <v>0.80815985768573873</v>
      </c>
      <c r="AN88" s="57">
        <v>0.79086360348837892</v>
      </c>
      <c r="AO88" s="57">
        <v>0.71573901843785992</v>
      </c>
      <c r="AP88" s="57">
        <v>0.74379546335853053</v>
      </c>
      <c r="AQ88" s="57">
        <v>0.78684175548570245</v>
      </c>
    </row>
    <row r="89" spans="32:61" x14ac:dyDescent="0.35">
      <c r="AF89" s="60">
        <v>0.87262679115762187</v>
      </c>
      <c r="AG89" s="60">
        <v>0.88452318525732265</v>
      </c>
      <c r="AH89" s="60">
        <v>0.92373504141678986</v>
      </c>
      <c r="AI89" s="60">
        <v>0.89369666425168948</v>
      </c>
      <c r="AJ89" s="60">
        <v>0.91837892582360769</v>
      </c>
      <c r="AK89" s="60">
        <v>0.88442275614641097</v>
      </c>
      <c r="AL89" s="63">
        <v>0.85746688150948946</v>
      </c>
      <c r="AM89" s="63">
        <v>0.81633053390908172</v>
      </c>
      <c r="AN89" s="63">
        <v>0.79087566594132208</v>
      </c>
      <c r="AO89" s="63">
        <v>0.74172378659852278</v>
      </c>
      <c r="AP89" s="63">
        <v>0.7559981768708226</v>
      </c>
      <c r="AQ89" s="63">
        <v>0.83064253945126532</v>
      </c>
    </row>
    <row r="90" spans="32:61" x14ac:dyDescent="0.35">
      <c r="AF90" s="54">
        <v>0.96690078142529723</v>
      </c>
      <c r="AG90" s="54">
        <v>0.92143826881145352</v>
      </c>
      <c r="AH90" s="54">
        <v>0.93003714251722436</v>
      </c>
      <c r="AI90" s="54">
        <v>0.9369366020183334</v>
      </c>
      <c r="AJ90" s="54">
        <v>0.94119438254648247</v>
      </c>
      <c r="AK90" s="54">
        <v>0.93786897388014534</v>
      </c>
      <c r="AL90" s="57">
        <v>0.93670597603871875</v>
      </c>
      <c r="AM90" s="57">
        <v>0.93742501292887737</v>
      </c>
      <c r="AN90" s="57">
        <v>0.94392265208816661</v>
      </c>
      <c r="AO90" s="57">
        <v>0.94650918272342521</v>
      </c>
      <c r="AP90" s="57">
        <v>0.95276756082783043</v>
      </c>
      <c r="AQ90" s="57">
        <v>0.93542613537339603</v>
      </c>
    </row>
    <row r="92" spans="32:61" x14ac:dyDescent="0.35">
      <c r="AF92" s="49">
        <v>0.77888313491040839</v>
      </c>
      <c r="AG92" s="49">
        <v>0.81142219408304783</v>
      </c>
      <c r="AH92" s="49">
        <v>0.84344688627524489</v>
      </c>
      <c r="AI92" s="49">
        <v>0.84807982925998149</v>
      </c>
      <c r="AJ92" s="49">
        <v>0.8785798038208178</v>
      </c>
      <c r="AK92" s="49">
        <v>0.85585421336556577</v>
      </c>
      <c r="AL92" s="52">
        <v>0.87539033365078533</v>
      </c>
      <c r="AM92" s="52">
        <v>0.87230865017740222</v>
      </c>
      <c r="AN92" s="52">
        <v>0.86519261745970866</v>
      </c>
      <c r="AO92" s="52">
        <v>0.81850531004054994</v>
      </c>
      <c r="AP92" s="52">
        <v>0.82820552383755164</v>
      </c>
      <c r="AQ92" s="52">
        <v>0.86258813901260578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Tác động-GM-Data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2026-04-13T10:28:09Z</dcterms:created>
  <dcterms:modified xsi:type="dcterms:W3CDTF">2026-05-22T14:31:15Z</dcterms:modified>
</cp:coreProperties>
</file>