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ata\COO\KPI 2026\"/>
    </mc:Choice>
  </mc:AlternateContent>
  <xr:revisionPtr revIDLastSave="0" documentId="13_ncr:1_{5386F843-50F0-488D-A140-8F973975C6B5}" xr6:coauthVersionLast="47" xr6:coauthVersionMax="47" xr10:uidLastSave="{00000000-0000-0000-0000-000000000000}"/>
  <bookViews>
    <workbookView xWindow="-110" yWindow="-110" windowWidth="19420" windowHeight="10300" xr2:uid="{B7188AFC-6BA6-4A28-B024-E54C7E38BF52}"/>
  </bookViews>
  <sheets>
    <sheet name="Chi so DTR" sheetId="1" r:id="rId1"/>
    <sheet name="Email VP.TGD" sheetId="2" state="hidden" r:id="rId2"/>
    <sheet name="Chi so DTR (2)" sheetId="4" state="hidden" r:id="rId3"/>
    <sheet name="Sheet1" sheetId="3" r:id="rId4"/>
  </sheets>
  <definedNames>
    <definedName name="_xlnm._FilterDatabase" localSheetId="0" hidden="1">'Chi so DTR'!$A$4:$T$36</definedName>
    <definedName name="_xlnm._FilterDatabase" localSheetId="2" hidden="1">'Chi so DTR (2)'!$A$4:$T$6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" i="1" l="1"/>
  <c r="P10" i="1"/>
  <c r="P9" i="1"/>
  <c r="P8" i="1"/>
  <c r="O8" i="1"/>
  <c r="Q34" i="1" l="1"/>
  <c r="R34" i="1"/>
  <c r="S34" i="1"/>
  <c r="P34" i="1"/>
  <c r="P22" i="1"/>
  <c r="Q22" i="1"/>
  <c r="R22" i="1"/>
  <c r="S22" i="1"/>
  <c r="O22" i="1"/>
  <c r="N22" i="1"/>
  <c r="P21" i="1"/>
  <c r="Q21" i="1"/>
  <c r="R21" i="1"/>
  <c r="S21" i="1"/>
  <c r="O21" i="1"/>
  <c r="P16" i="1"/>
  <c r="Q16" i="1"/>
  <c r="R16" i="1"/>
  <c r="S16" i="1"/>
  <c r="P11" i="1"/>
  <c r="Q11" i="1"/>
  <c r="R11" i="1"/>
  <c r="S11" i="1"/>
  <c r="Q9" i="1"/>
  <c r="R9" i="1"/>
  <c r="S9" i="1"/>
  <c r="S10" i="1" s="1"/>
  <c r="Q10" i="1"/>
  <c r="R10" i="1"/>
  <c r="Q8" i="1"/>
  <c r="R8" i="1"/>
  <c r="S8" i="1"/>
  <c r="N8" i="1"/>
  <c r="O6" i="1"/>
  <c r="N32" i="1"/>
  <c r="K32" i="1"/>
  <c r="L32" i="1"/>
  <c r="M32" i="1"/>
  <c r="J19" i="1" l="1"/>
  <c r="K19" i="1"/>
  <c r="L19" i="1"/>
  <c r="I19" i="1"/>
  <c r="G7" i="3"/>
  <c r="F7" i="3"/>
  <c r="M19" i="1" s="1"/>
  <c r="N17" i="1"/>
  <c r="J8" i="1"/>
  <c r="K22" i="1" l="1"/>
  <c r="L22" i="1"/>
  <c r="M22" i="1"/>
  <c r="J22" i="1"/>
  <c r="G5" i="3" l="1"/>
  <c r="G4" i="3" l="1"/>
  <c r="G3" i="3"/>
  <c r="G6" i="3" l="1"/>
  <c r="N19" i="1"/>
  <c r="J17" i="1"/>
  <c r="I17" i="1"/>
  <c r="M18" i="1"/>
  <c r="N6" i="1"/>
  <c r="K17" i="1" l="1"/>
  <c r="L17" i="1"/>
  <c r="M17" i="1"/>
  <c r="C6" i="3"/>
  <c r="D6" i="3"/>
  <c r="E6" i="3"/>
  <c r="F6" i="3"/>
  <c r="B6" i="3"/>
  <c r="I11" i="1"/>
  <c r="J11" i="1"/>
  <c r="K11" i="1"/>
  <c r="L11" i="1"/>
  <c r="M11" i="1"/>
  <c r="N11" i="1"/>
  <c r="J18" i="1"/>
  <c r="K18" i="1"/>
  <c r="L18" i="1"/>
  <c r="I18" i="1"/>
  <c r="J9" i="1" l="1"/>
  <c r="K9" i="1"/>
  <c r="L9" i="1"/>
  <c r="M9" i="1"/>
  <c r="N9" i="1"/>
  <c r="I9" i="1"/>
  <c r="M8" i="1"/>
  <c r="K8" i="1"/>
  <c r="L8" i="1"/>
  <c r="J6" i="1"/>
  <c r="K6" i="1"/>
  <c r="L6" i="1"/>
  <c r="M6" i="1"/>
  <c r="I6" i="1"/>
  <c r="P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tc={511D4909-41E5-494A-918A-C1A874A10360}</author>
    <author>tc={40C1ABA1-A672-479F-A641-75F6AB7F89B1}</author>
    <author>tc={912A3585-6667-44D7-971A-6C0BB8337EBB}</author>
    <author>tc={BB440EB4-68ED-4128-87B3-F512C75CF254}</author>
    <author>tc={54623A44-8181-43F0-8565-A88A23FD83E1}</author>
    <author>tc={EBDFC4F8-5519-46B4-BEED-B9BA2D28D8EF}</author>
    <author>tc={DF3AC90E-F730-4F07-8B28-0128AEE3F47E}</author>
  </authors>
  <commentList>
    <comment ref="K25" authorId="0" shapeId="0" xr:uid="{511D4909-41E5-494A-918A-C1A874A1036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POSCO</t>
      </text>
    </comment>
    <comment ref="L25" authorId="1" shapeId="0" xr:uid="{40C1ABA1-A672-479F-A641-75F6AB7F89B1}">
      <text>
        <t>[Threaded comment]
Your version of Excel allows you to read this threaded comment; however, any edits to it will get removed if the file is opened in a newer version of Excel. Learn more: https://go.microsoft.com/fwlink/?linkid=870924
Comment:
    VPET USA, Thái Châu</t>
      </text>
    </comment>
    <comment ref="M25" authorId="2" shapeId="0" xr:uid="{912A3585-6667-44D7-971A-6C0BB8337EBB}">
      <text>
        <t>[Threaded comment]
Your version of Excel allows you to read this threaded comment; however, any edits to it will get removed if the file is opened in a newer version of Excel. Learn more: https://go.microsoft.com/fwlink/?linkid=870924
Comment:
    NH International, Pentaplast, Minh Hưng TG, Pragmatrade</t>
      </text>
    </comment>
    <comment ref="N25" authorId="3" shapeId="0" xr:uid="{BB440EB4-68ED-4128-87B3-F512C75CF254}">
      <text>
        <t>[Threaded comment]
Your version of Excel allows you to read this threaded comment; however, any edits to it will get removed if the file is opened in a newer version of Excel. Learn more: https://go.microsoft.com/fwlink/?linkid=870924
Comment:
    CS Fibers, Niagara Mexico, Ngọc Hoàng Gia, Pakpot, BTS Bình Thuận</t>
      </text>
    </comment>
    <comment ref="L26" authorId="4" shapeId="0" xr:uid="{54623A44-8181-43F0-8565-A88A23FD83E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POSCO, Tân Tường Khang</t>
      </text>
    </comment>
    <comment ref="M26" authorId="5" shapeId="0" xr:uid="{EBDFC4F8-5519-46B4-BEED-B9BA2D28D8EF}">
      <text>
        <t>[Threaded comment]
Your version of Excel allows you to read this threaded comment; however, any edits to it will get removed if the file is opened in a newer version of Excel. Learn more: https://go.microsoft.com/fwlink/?linkid=870924
Comment:
    VPET USA, POSCO, Thái Châu</t>
      </text>
    </comment>
    <comment ref="N26" authorId="6" shapeId="0" xr:uid="{DF3AC90E-F730-4F07-8B28-0128AEE3F47E}">
      <text>
        <t>[Threaded comment]
Your version of Excel allows you to read this threaded comment; however, any edits to it will get removed if the file is opened in a newer version of Excel. Learn more: https://go.microsoft.com/fwlink/?linkid=870924
Comment:
    NH International, VPET USA, POSCO International, Minh Hưng TG, Thái Châu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tc={00E35E9C-FA1E-40FC-BF5A-8E76EC1EBE8F}</author>
    <author>tc={4BBB9C34-C52B-44B9-B78D-8CFE579AD38C}</author>
  </authors>
  <commentList>
    <comment ref="L6" authorId="0" shapeId="0" xr:uid="{00E35E9C-FA1E-40FC-BF5A-8E76EC1EBE8F}">
      <text>
        <t>[Threaded comment]
Your version of Excel allows you to read this threaded comment; however, any edits to it will get removed if the file is opened in a newer version of Excel. Learn more: https://go.microsoft.com/fwlink/?linkid=870924
Comment:
    T10 - 12.2023</t>
      </text>
    </comment>
    <comment ref="N6" authorId="1" shapeId="0" xr:uid="{4BBB9C34-C52B-44B9-B78D-8CFE579AD38C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2025 - YTD (30.10)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Diễm, Nguyễn Thị Thanh</author>
  </authors>
  <commentList>
    <comment ref="C10" authorId="0" shapeId="0" xr:uid="{16EBD43F-75A1-41CB-A9DB-8B288BC01B45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Lấy giá T12.2021</t>
        </r>
      </text>
    </comment>
    <comment ref="A11" authorId="0" shapeId="0" xr:uid="{AAB857A7-B376-45FB-B563-C3B2EB5296E7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Lấy theo file a Quốc</t>
        </r>
      </text>
    </comment>
  </commentList>
</comments>
</file>

<file path=xl/sharedStrings.xml><?xml version="1.0" encoding="utf-8"?>
<sst xmlns="http://schemas.openxmlformats.org/spreadsheetml/2006/main" count="206" uniqueCount="116">
  <si>
    <t>THỐNG KÊ CÁC CHỈ SỐ QUAN TRỌNG - CHUẨN BỊ CHO VIỆC THIẾT LẬP KPIs 2026</t>
  </si>
  <si>
    <t>Nhóm</t>
  </si>
  <si>
    <t>Stt</t>
  </si>
  <si>
    <t>Tên các chỉ tiêu</t>
  </si>
  <si>
    <t>ĐVT</t>
  </si>
  <si>
    <t>Định nghĩa</t>
  </si>
  <si>
    <t>Phòng ban lập mục tiêu</t>
  </si>
  <si>
    <t>Thời gian gửi số liệu (phòng ban nhận)</t>
  </si>
  <si>
    <t>Kết quả</t>
  </si>
  <si>
    <t>Kế hoạch</t>
  </si>
  <si>
    <t>9-10-2025
(Các Phòng ban liên quan)</t>
  </si>
  <si>
    <t>13-10-2025
(P.TCKT)</t>
  </si>
  <si>
    <t>I</t>
  </si>
  <si>
    <t>Lợi nhuận sau thuế (LNST)</t>
  </si>
  <si>
    <t>Tỷ VNĐ</t>
  </si>
  <si>
    <t>= DTT – Tổng Chi phí – Thuế thu nhập doanh nghiệp</t>
  </si>
  <si>
    <t>P.TCKT</t>
  </si>
  <si>
    <t>Tỷ lệ LNST/ DTT</t>
  </si>
  <si>
    <t>%</t>
  </si>
  <si>
    <t>= LNST/ DTT</t>
  </si>
  <si>
    <t>II</t>
  </si>
  <si>
    <t>Doanh Thu Thuần (DTT)</t>
  </si>
  <si>
    <t>= Tổng doanh thu - chiết khấu thương mại - giảm giá hàng bán - hoàn trả hàng hóa</t>
  </si>
  <si>
    <t>Tăng trưởng DTT</t>
  </si>
  <si>
    <t>=[DTT năm (n) - DTT năm (n-1)] / DTT năm (n-1)</t>
  </si>
  <si>
    <t>Doanh thu thuần - xuất khẩu</t>
  </si>
  <si>
    <r>
      <t xml:space="preserve">= (Tổng doanh thu - chiết khấu thương mại - giảm giá hàng bán - hoàn trả hàng hóa) - </t>
    </r>
    <r>
      <rPr>
        <b/>
        <sz val="12"/>
        <color rgb="FF0033CC"/>
        <rFont val="Times New Roman"/>
        <family val="1"/>
      </rPr>
      <t>Xuất khẩu</t>
    </r>
  </si>
  <si>
    <t>Doanh thu thuần - nội địa</t>
  </si>
  <si>
    <r>
      <t xml:space="preserve">= (Tổng doanh thu - chiết khấu thương mại - giảm giá hàng bán - hoàn trả hàng hóa) - </t>
    </r>
    <r>
      <rPr>
        <b/>
        <sz val="12"/>
        <color rgb="FF0033CC"/>
        <rFont val="Times New Roman"/>
        <family val="1"/>
      </rPr>
      <t>Nội địa</t>
    </r>
  </si>
  <si>
    <t>DTT/ người</t>
  </si>
  <si>
    <t>Triệu VNĐ</t>
  </si>
  <si>
    <t>= DTT/Số lao động toàn công ty</t>
  </si>
  <si>
    <t>Công suất máy</t>
  </si>
  <si>
    <t>Tấn/năm</t>
  </si>
  <si>
    <t>= Công suất tấn/h x 24h x 365 ngày</t>
  </si>
  <si>
    <t>P.Kỹ thuật</t>
  </si>
  <si>
    <t>x</t>
  </si>
  <si>
    <r>
      <rPr>
        <b/>
        <sz val="12"/>
        <color rgb="FF0033CC"/>
        <rFont val="Times New Roman"/>
        <family val="1"/>
      </rPr>
      <t xml:space="preserve">Hiệu suất máy </t>
    </r>
    <r>
      <rPr>
        <sz val="12"/>
        <color rgb="FF0033CC"/>
        <rFont val="Times New Roman"/>
        <family val="1"/>
      </rPr>
      <t xml:space="preserve">(HSM) </t>
    </r>
  </si>
  <si>
    <t>Số máy có HSM &gt;70%</t>
  </si>
  <si>
    <t>Số máy</t>
  </si>
  <si>
    <t>= Tổng số giờ máy hoạt động/(365 ngày x 24h)</t>
  </si>
  <si>
    <t>Số máy có HSM &lt; 20%</t>
  </si>
  <si>
    <t>= Số máy có HSM &lt;20%</t>
  </si>
  <si>
    <t>III</t>
  </si>
  <si>
    <t>Cải tiến tiết kiệm (CTTK)</t>
  </si>
  <si>
    <t>= Giá trị tiết kiệm từ các sáng kiến giúp giảm chi phí và nguồn lực được ghi nhận sau khi áp dụng hiệu quả ít nhất 3 tháng và tính theo lợi ích thực tế trong năm, tối đa 12 tháng.</t>
  </si>
  <si>
    <t>Ban cải tiến</t>
  </si>
  <si>
    <t>Tỷ lệ CTTK/ DTT</t>
  </si>
  <si>
    <t>= CTTK/ DTT</t>
  </si>
  <si>
    <t>IV</t>
  </si>
  <si>
    <t>Chi phí nhân sự/ DTT</t>
  </si>
  <si>
    <t>= Tổng chi phí lương, thưởng, bảo hiểm, tiền ăn / DTT</t>
  </si>
  <si>
    <t>P.HCNS</t>
  </si>
  <si>
    <t>V</t>
  </si>
  <si>
    <t>Chi phí marketing/ DTT</t>
  </si>
  <si>
    <t>= Tổng chi phí cho hoạt động marketing / DTT</t>
  </si>
  <si>
    <t>P.MKT</t>
  </si>
  <si>
    <t>VI</t>
  </si>
  <si>
    <t>Sản lượng bán sản phẩm</t>
  </si>
  <si>
    <t>Tấn</t>
  </si>
  <si>
    <t>= Tổng sản lượng bán</t>
  </si>
  <si>
    <t>P.Kinh doanh</t>
  </si>
  <si>
    <t>Giá bán sản phẩm IV 0.78</t>
  </si>
  <si>
    <t>VNĐ/ Tấn</t>
  </si>
  <si>
    <t>= Giá bán thực tế trung binh rPET IV 0.78</t>
  </si>
  <si>
    <t>P. Kế Toán</t>
  </si>
  <si>
    <t>Lấy giá WSS01G</t>
  </si>
  <si>
    <t>Tỷ lệ giá bán rPET/ giá nguyên liệu nguyên sinh PET</t>
  </si>
  <si>
    <t>= Giá bán thực tế trung binh rPET IV 0.78 / Giá trung bình PET nguyên sinh</t>
  </si>
  <si>
    <t>Số khách hàng có doanh thu &gt; 20% tổng doanh thu</t>
  </si>
  <si>
    <t>Số khách hàng</t>
  </si>
  <si>
    <t>= Số khách hàng có DTT chiếm tỷ trọng &gt;20% tổng DTT</t>
  </si>
  <si>
    <t>Số lượng khách hàng mới phát triển</t>
  </si>
  <si>
    <t>= (Số lượng khách hàng có đơn hàng đầu tiên phát sinh trong kỳ) + (Số khách hàng có đơn hàng cuối ≥ 24 tháng có đơn hàng phát sinh trong kỳ)</t>
  </si>
  <si>
    <t>Số lượng khách hàng tạm ngưng</t>
  </si>
  <si>
    <t xml:space="preserve">= Số lượng khách hàng có đơn hàng cuối cách hiện tại từ 12-24 tháng </t>
  </si>
  <si>
    <t>Số lượng khách hàng bỏ đi</t>
  </si>
  <si>
    <t>= Số khách hàng có đơn hàng cuối ≥ 24 tháng</t>
  </si>
  <si>
    <t>VII</t>
  </si>
  <si>
    <t>Sản lượng mua nguyên liệu nhựa tái chế (NLNTC)</t>
  </si>
  <si>
    <t>= Tổng sản lượng mua NL NTC</t>
  </si>
  <si>
    <t>P.Cung ứng</t>
  </si>
  <si>
    <t>Giá mua chai NL NTC (B0)</t>
  </si>
  <si>
    <t>= Giá mua thực tế trung bình của chai B0</t>
  </si>
  <si>
    <t>Giá mua vẩy NL NTC (A5)</t>
  </si>
  <si>
    <t>= Giá mua thực tế trung bình của vẫy A5</t>
  </si>
  <si>
    <t>VIII</t>
  </si>
  <si>
    <t>Sản lượng sản xuất</t>
  </si>
  <si>
    <t>= Tổng sản lượng sản xuất</t>
  </si>
  <si>
    <t>P.Sản xuất</t>
  </si>
  <si>
    <t>Tỷ lệ hàng chậm luân chuyển</t>
  </si>
  <si>
    <t>= Khối lượng thành phẩm chậm luân chuyển/ Tổng Khối lượng thành phẩm</t>
  </si>
  <si>
    <t>Tỷ lệ thành phẩm rPET A1 &amp; A2, từ vẩy ra hạt</t>
  </si>
  <si>
    <t>= (Khối lượng thành phẩm/ Tổng khối lượng thành phẩm &amp; phó phẩm ở cả các công đoạn sản xuất từ vẩy ra hạt)</t>
  </si>
  <si>
    <t>Lấy từ PMS anh Vũ</t>
  </si>
  <si>
    <t>Vòng quay hàng tồn kho</t>
  </si>
  <si>
    <t>Số vòng</t>
  </si>
  <si>
    <t>= Tổng tồn kho thành phẩm /bình quân bán (không tính hàng ký gửi)</t>
  </si>
  <si>
    <t>IX</t>
  </si>
  <si>
    <t>Số khiếu nại khách hàng</t>
  </si>
  <si>
    <t>Số khiếu nại</t>
  </si>
  <si>
    <t>= Số khiếu nại khách hàng được ghi nhận lỗi từ DTR</t>
  </si>
  <si>
    <t>P.Chất lượng</t>
  </si>
  <si>
    <t>X</t>
  </si>
  <si>
    <t xml:space="preserve">Tổng số nhân sự </t>
  </si>
  <si>
    <t>Số nhân sự</t>
  </si>
  <si>
    <t>= Tổng số nhân sự trung bình 12 tháng của năm</t>
  </si>
  <si>
    <t>Tỷ lệ nghỉ việc</t>
  </si>
  <si>
    <t>= (Tổng số nhân viên đã nghỉ trong kỳ/Tổng số nhân viên bình quân trong kỳ)x100</t>
  </si>
  <si>
    <t>Chỉ tiêu</t>
  </si>
  <si>
    <t>Doanh thu thuần</t>
  </si>
  <si>
    <t>Lợi nhuận sau thuế TNDN</t>
  </si>
  <si>
    <t>CP lương</t>
  </si>
  <si>
    <t>CP MKT</t>
  </si>
  <si>
    <t>Giá resin</t>
  </si>
  <si>
    <t>Tỷ giá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</si>
</sst>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(* #,##0_);_(* \(#,##0\);_(* &quot;-&quot;??_);_(@_)"/>
    <numFmt numFmtId="166" formatCode="0.0%"/>
    <numFmt numFmtId="167" formatCode="0.0"/>
  </numFmts>
  <fonts count="13" x14ac:knownFonts="1">
    <font>
      <sz val="11"/>
      <color theme="1"/>
      <name val="Aptos Narrow"/>
      <family val="2"/>
      <scheme val="minor"/>
    </font>
    <font>
      <b/>
      <sz val="12"/>
      <color rgb="FF0033CC"/>
      <name val="Times New Roman"/>
      <family val="1"/>
    </font>
    <font>
      <sz val="12"/>
      <color rgb="FF0033CC"/>
      <name val="Times New Roman"/>
      <family val="1"/>
    </font>
    <font>
      <b/>
      <sz val="12"/>
      <color theme="0"/>
      <name val="Times New Roman"/>
      <family val="1"/>
    </font>
    <font>
      <b/>
      <sz val="16"/>
      <color rgb="FFC00000"/>
      <name val="Times New Roman"/>
      <family val="1"/>
    </font>
    <font>
      <sz val="8"/>
      <name val="Aptos Narrow"/>
      <family val="2"/>
      <scheme val="minor"/>
    </font>
    <font>
      <sz val="12"/>
      <color rgb="FF0000CC"/>
      <name val="Times New Roman"/>
      <family val="1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rgb="FF0000FF"/>
      <name val="Times New Roman"/>
      <family val="1"/>
    </font>
    <font>
      <sz val="12"/>
      <color rgb="FFFF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0000CC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7" tint="-0.249977111117893"/>
      </left>
      <right style="thin">
        <color theme="7" tint="-0.249977111117893"/>
      </right>
      <top style="thin">
        <color theme="7" tint="-0.249977111117893"/>
      </top>
      <bottom style="thin">
        <color theme="7" tint="-0.249977111117893"/>
      </bottom>
      <diagonal/>
    </border>
    <border>
      <left style="thin">
        <color theme="7" tint="-0.249977111117893"/>
      </left>
      <right style="thin">
        <color theme="7" tint="-0.249977111117893"/>
      </right>
      <top style="thin">
        <color theme="7" tint="-0.249977111117893"/>
      </top>
      <bottom/>
      <diagonal/>
    </border>
    <border>
      <left style="thin">
        <color theme="7" tint="-0.249977111117893"/>
      </left>
      <right style="thin">
        <color theme="7" tint="-0.249977111117893"/>
      </right>
      <top/>
      <bottom style="thin">
        <color theme="7" tint="-0.249977111117893"/>
      </bottom>
      <diagonal/>
    </border>
    <border>
      <left style="thin">
        <color theme="7" tint="-0.249977111117893"/>
      </left>
      <right style="thin">
        <color theme="7" tint="-0.249977111117893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7" tint="-0.249977111117893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 diagonalUp="1" diagonalDown="1">
      <left style="thin">
        <color theme="7" tint="-0.249977111117893"/>
      </left>
      <right/>
      <top style="thin">
        <color theme="7" tint="-0.249977111117893"/>
      </top>
      <bottom/>
      <diagonal style="thin">
        <color theme="7" tint="-0.249977111117893"/>
      </diagonal>
    </border>
    <border diagonalUp="1" diagonalDown="1">
      <left/>
      <right style="thin">
        <color theme="7" tint="-0.249977111117893"/>
      </right>
      <top style="thin">
        <color theme="7" tint="-0.249977111117893"/>
      </top>
      <bottom/>
      <diagonal style="thin">
        <color theme="7" tint="-0.249977111117893"/>
      </diagonal>
    </border>
    <border diagonalUp="1" diagonalDown="1">
      <left style="thin">
        <color theme="7" tint="-0.249977111117893"/>
      </left>
      <right/>
      <top/>
      <bottom/>
      <diagonal style="thin">
        <color theme="7" tint="-0.249977111117893"/>
      </diagonal>
    </border>
    <border diagonalUp="1" diagonalDown="1">
      <left/>
      <right style="thin">
        <color theme="7" tint="-0.249977111117893"/>
      </right>
      <top/>
      <bottom/>
      <diagonal style="thin">
        <color theme="7" tint="-0.249977111117893"/>
      </diagonal>
    </border>
    <border diagonalUp="1" diagonalDown="1">
      <left style="thin">
        <color theme="7" tint="-0.249977111117893"/>
      </left>
      <right/>
      <top/>
      <bottom style="thin">
        <color theme="7" tint="-0.249977111117893"/>
      </bottom>
      <diagonal style="thin">
        <color theme="7" tint="-0.249977111117893"/>
      </diagonal>
    </border>
    <border diagonalUp="1" diagonalDown="1">
      <left/>
      <right style="thin">
        <color theme="7" tint="-0.249977111117893"/>
      </right>
      <top/>
      <bottom style="thin">
        <color theme="7" tint="-0.249977111117893"/>
      </bottom>
      <diagonal style="thin">
        <color theme="7" tint="-0.249977111117893"/>
      </diagonal>
    </border>
    <border>
      <left style="thin">
        <color theme="7" tint="-0.249977111117893"/>
      </left>
      <right/>
      <top/>
      <bottom style="thin">
        <color theme="7" tint="-0.249977111117893"/>
      </bottom>
      <diagonal/>
    </border>
    <border>
      <left/>
      <right style="thin">
        <color theme="7" tint="-0.249977111117893"/>
      </right>
      <top/>
      <bottom style="thin">
        <color theme="7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82">
    <xf numFmtId="0" fontId="0" fillId="0" borderId="0" xfId="0"/>
    <xf numFmtId="0" fontId="1" fillId="0" borderId="3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4" fillId="0" borderId="0" xfId="0" applyFont="1" applyAlignment="1">
      <alignment horizontal="left" vertical="center"/>
    </xf>
    <xf numFmtId="0" fontId="1" fillId="0" borderId="3" xfId="0" applyFont="1" applyBorder="1" applyAlignment="1">
      <alignment horizontal="left" vertical="center" wrapText="1"/>
    </xf>
    <xf numFmtId="0" fontId="2" fillId="0" borderId="3" xfId="0" quotePrefix="1" applyFont="1" applyBorder="1" applyAlignment="1">
      <alignment vertical="center" wrapText="1"/>
    </xf>
    <xf numFmtId="0" fontId="2" fillId="0" borderId="3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14" fontId="3" fillId="2" borderId="8" xfId="0" applyNumberFormat="1" applyFont="1" applyFill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 wrapText="1"/>
    </xf>
    <xf numFmtId="0" fontId="2" fillId="0" borderId="10" xfId="0" quotePrefix="1" applyFont="1" applyBorder="1" applyAlignment="1">
      <alignment horizontal="center" vertical="center" wrapText="1"/>
    </xf>
    <xf numFmtId="0" fontId="2" fillId="0" borderId="11" xfId="0" quotePrefix="1" applyFont="1" applyBorder="1" applyAlignment="1">
      <alignment horizontal="center" vertical="center" wrapText="1"/>
    </xf>
    <xf numFmtId="0" fontId="2" fillId="0" borderId="12" xfId="0" quotePrefix="1" applyFont="1" applyBorder="1" applyAlignment="1">
      <alignment horizontal="center" vertical="center" wrapText="1"/>
    </xf>
    <xf numFmtId="0" fontId="2" fillId="0" borderId="13" xfId="0" quotePrefix="1" applyFont="1" applyBorder="1" applyAlignment="1">
      <alignment horizontal="center" vertical="center" wrapText="1"/>
    </xf>
    <xf numFmtId="0" fontId="2" fillId="0" borderId="14" xfId="0" quotePrefix="1" applyFont="1" applyBorder="1" applyAlignment="1">
      <alignment horizontal="center" vertical="center" wrapText="1"/>
    </xf>
    <xf numFmtId="0" fontId="2" fillId="0" borderId="15" xfId="0" quotePrefix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6" xfId="0" quotePrefix="1" applyFont="1" applyBorder="1" applyAlignment="1">
      <alignment horizontal="center" vertical="center" wrapText="1"/>
    </xf>
    <xf numFmtId="0" fontId="2" fillId="0" borderId="17" xfId="0" quotePrefix="1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wrapText="1"/>
    </xf>
    <xf numFmtId="0" fontId="1" fillId="0" borderId="3" xfId="0" applyFont="1" applyBorder="1" applyAlignment="1">
      <alignment horizontal="center" vertical="top" wrapText="1"/>
    </xf>
    <xf numFmtId="0" fontId="1" fillId="0" borderId="0" xfId="0" applyFont="1" applyAlignment="1">
      <alignment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3" xfId="0" quotePrefix="1" applyFont="1" applyFill="1" applyBorder="1" applyAlignment="1">
      <alignment vertical="center" wrapText="1"/>
    </xf>
    <xf numFmtId="0" fontId="1" fillId="4" borderId="3" xfId="0" applyFont="1" applyFill="1" applyBorder="1" applyAlignment="1">
      <alignment wrapText="1"/>
    </xf>
    <xf numFmtId="0" fontId="2" fillId="4" borderId="3" xfId="0" applyFont="1" applyFill="1" applyBorder="1" applyAlignment="1">
      <alignment horizontal="left" wrapText="1"/>
    </xf>
    <xf numFmtId="0" fontId="2" fillId="4" borderId="3" xfId="0" quotePrefix="1" applyFont="1" applyFill="1" applyBorder="1" applyAlignment="1">
      <alignment wrapText="1"/>
    </xf>
    <xf numFmtId="165" fontId="2" fillId="0" borderId="3" xfId="1" applyNumberFormat="1" applyFont="1" applyBorder="1" applyAlignment="1">
      <alignment wrapText="1"/>
    </xf>
    <xf numFmtId="164" fontId="2" fillId="0" borderId="3" xfId="2" applyFont="1" applyBorder="1" applyAlignment="1">
      <alignment wrapText="1"/>
    </xf>
    <xf numFmtId="9" fontId="2" fillId="0" borderId="3" xfId="3" applyFont="1" applyBorder="1" applyAlignment="1">
      <alignment wrapText="1"/>
    </xf>
    <xf numFmtId="164" fontId="2" fillId="0" borderId="3" xfId="0" applyNumberFormat="1" applyFont="1" applyBorder="1" applyAlignment="1">
      <alignment wrapText="1"/>
    </xf>
    <xf numFmtId="0" fontId="8" fillId="0" borderId="18" xfId="0" applyFont="1" applyBorder="1" applyAlignment="1">
      <alignment vertical="center" wrapText="1"/>
    </xf>
    <xf numFmtId="0" fontId="0" fillId="0" borderId="18" xfId="0" applyBorder="1" applyAlignment="1">
      <alignment vertical="center" wrapText="1"/>
    </xf>
    <xf numFmtId="3" fontId="0" fillId="0" borderId="18" xfId="0" applyNumberFormat="1" applyBorder="1" applyAlignment="1">
      <alignment vertical="center" wrapText="1"/>
    </xf>
    <xf numFmtId="0" fontId="0" fillId="0" borderId="18" xfId="0" applyBorder="1"/>
    <xf numFmtId="164" fontId="0" fillId="0" borderId="18" xfId="2" applyFont="1" applyBorder="1"/>
    <xf numFmtId="9" fontId="0" fillId="0" borderId="18" xfId="3" applyFont="1" applyBorder="1"/>
    <xf numFmtId="164" fontId="0" fillId="0" borderId="0" xfId="2" applyFont="1"/>
    <xf numFmtId="166" fontId="2" fillId="0" borderId="3" xfId="3" applyNumberFormat="1" applyFont="1" applyBorder="1" applyAlignment="1">
      <alignment wrapText="1"/>
    </xf>
    <xf numFmtId="164" fontId="0" fillId="0" borderId="0" xfId="2" applyFont="1" applyBorder="1"/>
    <xf numFmtId="0" fontId="1" fillId="0" borderId="6" xfId="0" applyFont="1" applyBorder="1" applyAlignment="1">
      <alignment horizontal="center" vertical="top" wrapText="1"/>
    </xf>
    <xf numFmtId="167" fontId="2" fillId="0" borderId="3" xfId="0" applyNumberFormat="1" applyFont="1" applyBorder="1" applyAlignment="1">
      <alignment wrapText="1"/>
    </xf>
    <xf numFmtId="10" fontId="2" fillId="0" borderId="3" xfId="3" applyNumberFormat="1" applyFont="1" applyFill="1" applyBorder="1" applyAlignment="1">
      <alignment wrapText="1"/>
    </xf>
    <xf numFmtId="164" fontId="2" fillId="0" borderId="3" xfId="2" applyFont="1" applyFill="1" applyBorder="1" applyAlignment="1">
      <alignment wrapText="1"/>
    </xf>
    <xf numFmtId="164" fontId="2" fillId="0" borderId="3" xfId="2" applyFont="1" applyFill="1" applyBorder="1" applyAlignment="1">
      <alignment horizontal="right" wrapText="1"/>
    </xf>
    <xf numFmtId="166" fontId="2" fillId="0" borderId="3" xfId="3" applyNumberFormat="1" applyFont="1" applyFill="1" applyBorder="1" applyAlignment="1">
      <alignment wrapText="1"/>
    </xf>
    <xf numFmtId="9" fontId="2" fillId="0" borderId="3" xfId="0" applyNumberFormat="1" applyFont="1" applyBorder="1" applyAlignment="1">
      <alignment wrapText="1"/>
    </xf>
    <xf numFmtId="0" fontId="2" fillId="0" borderId="0" xfId="0" applyFont="1"/>
    <xf numFmtId="9" fontId="2" fillId="0" borderId="0" xfId="3" applyFont="1" applyAlignment="1">
      <alignment wrapText="1"/>
    </xf>
    <xf numFmtId="9" fontId="2" fillId="0" borderId="0" xfId="0" applyNumberFormat="1" applyFont="1" applyAlignment="1">
      <alignment wrapText="1"/>
    </xf>
    <xf numFmtId="0" fontId="11" fillId="6" borderId="2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wrapText="1"/>
    </xf>
    <xf numFmtId="0" fontId="2" fillId="7" borderId="3" xfId="0" applyFont="1" applyFill="1" applyBorder="1" applyAlignment="1">
      <alignment horizontal="left" vertical="center" wrapText="1"/>
    </xf>
    <xf numFmtId="0" fontId="1" fillId="7" borderId="3" xfId="0" applyFont="1" applyFill="1" applyBorder="1" applyAlignment="1">
      <alignment vertical="center" wrapText="1"/>
    </xf>
    <xf numFmtId="0" fontId="6" fillId="7" borderId="3" xfId="0" applyFont="1" applyFill="1" applyBorder="1" applyAlignment="1">
      <alignment vertical="center" wrapText="1"/>
    </xf>
    <xf numFmtId="0" fontId="6" fillId="7" borderId="3" xfId="0" applyFont="1" applyFill="1" applyBorder="1" applyAlignment="1">
      <alignment horizontal="left" vertical="center" wrapText="1"/>
    </xf>
    <xf numFmtId="0" fontId="2" fillId="7" borderId="3" xfId="0" applyFont="1" applyFill="1" applyBorder="1" applyAlignment="1">
      <alignment vertical="center" wrapText="1"/>
    </xf>
    <xf numFmtId="0" fontId="2" fillId="7" borderId="3" xfId="0" applyFont="1" applyFill="1" applyBorder="1" applyAlignment="1">
      <alignment horizontal="left" wrapText="1"/>
    </xf>
    <xf numFmtId="0" fontId="2" fillId="0" borderId="3" xfId="0" quotePrefix="1" applyFont="1" applyBorder="1" applyAlignment="1">
      <alignment vertical="top" wrapText="1"/>
    </xf>
    <xf numFmtId="0" fontId="6" fillId="0" borderId="3" xfId="0" quotePrefix="1" applyFont="1" applyBorder="1" applyAlignment="1">
      <alignment vertical="center" wrapText="1"/>
    </xf>
    <xf numFmtId="0" fontId="2" fillId="0" borderId="3" xfId="0" quotePrefix="1" applyFont="1" applyBorder="1" applyAlignment="1">
      <alignment wrapText="1"/>
    </xf>
    <xf numFmtId="9" fontId="2" fillId="0" borderId="3" xfId="3" applyFont="1" applyFill="1" applyBorder="1" applyAlignment="1">
      <alignment wrapText="1"/>
    </xf>
    <xf numFmtId="165" fontId="2" fillId="0" borderId="3" xfId="1" applyNumberFormat="1" applyFont="1" applyFill="1" applyBorder="1" applyAlignment="1">
      <alignment wrapText="1"/>
    </xf>
    <xf numFmtId="164" fontId="2" fillId="8" borderId="3" xfId="2" applyFont="1" applyFill="1" applyBorder="1" applyAlignment="1">
      <alignment wrapText="1"/>
    </xf>
    <xf numFmtId="165" fontId="2" fillId="8" borderId="3" xfId="1" applyNumberFormat="1" applyFont="1" applyFill="1" applyBorder="1" applyAlignment="1">
      <alignment wrapText="1"/>
    </xf>
    <xf numFmtId="0" fontId="2" fillId="8" borderId="3" xfId="0" applyFont="1" applyFill="1" applyBorder="1" applyAlignment="1">
      <alignment wrapText="1"/>
    </xf>
    <xf numFmtId="164" fontId="12" fillId="8" borderId="3" xfId="0" applyNumberFormat="1" applyFont="1" applyFill="1" applyBorder="1" applyAlignment="1">
      <alignment wrapText="1"/>
    </xf>
    <xf numFmtId="0" fontId="1" fillId="0" borderId="4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</cellXfs>
  <cellStyles count="4">
    <cellStyle name="Comma" xfId="1" builtinId="3"/>
    <cellStyle name="Comma [0]" xfId="2" builtinId="6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0000CC"/>
      <color rgb="FF0033CC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12</xdr:col>
      <xdr:colOff>311149</xdr:colOff>
      <xdr:row>25</xdr:row>
      <xdr:rowOff>62185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EC8A93-BB7C-2449-0900-1905F15E3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7626349" cy="466593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Vy, Nguyễn Ngọc Thụy (Chloe)" id="{33CEDD2E-8BA4-40BF-B622-67DB19A23E91}" userId="S::VyNNT@duytanrecycling.com::605aa531-5280-4562-b5f9-0c58f6b046b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25" dT="2025-10-30T03:55:06.60" personId="{33CEDD2E-8BA4-40BF-B622-67DB19A23E91}" id="{511D4909-41E5-494A-918A-C1A874A10360}">
    <text>POSCO</text>
  </threadedComment>
  <threadedComment ref="L25" dT="2025-10-30T04:43:22.04" personId="{33CEDD2E-8BA4-40BF-B622-67DB19A23E91}" id="{40C1ABA1-A672-479F-A641-75F6AB7F89B1}">
    <text>VPET USA, Thái Châu</text>
  </threadedComment>
  <threadedComment ref="M25" dT="2025-10-30T04:39:45.70" personId="{33CEDD2E-8BA4-40BF-B622-67DB19A23E91}" id="{912A3585-6667-44D7-971A-6C0BB8337EBB}">
    <text>NH International, Pentaplast, Minh Hưng TG, Pragmatrade</text>
  </threadedComment>
  <threadedComment ref="N25" dT="2025-10-30T04:13:04.02" personId="{33CEDD2E-8BA4-40BF-B622-67DB19A23E91}" id="{BB440EB4-68ED-4128-87B3-F512C75CF254}">
    <text>CS Fibers, Niagara Mexico, Ngọc Hoàng Gia, Pakpot, BTS Bình Thuận</text>
  </threadedComment>
  <threadedComment ref="L26" dT="2025-10-30T04:35:24.65" personId="{33CEDD2E-8BA4-40BF-B622-67DB19A23E91}" id="{54623A44-8181-43F0-8565-A88A23FD83E1}">
    <text>POSCO, Tân Tường Khang</text>
  </threadedComment>
  <threadedComment ref="M26" dT="2025-10-30T04:34:02.40" personId="{33CEDD2E-8BA4-40BF-B622-67DB19A23E91}" id="{EBDFC4F8-5519-46B4-BEED-B9BA2D28D8EF}">
    <text>VPET USA, POSCO, Thái Châu</text>
  </threadedComment>
  <threadedComment ref="N26" dT="2025-10-30T03:50:57.41" personId="{33CEDD2E-8BA4-40BF-B622-67DB19A23E91}" id="{DF3AC90E-F730-4F07-8B28-0128AEE3F47E}">
    <text>NH International, VPET USA, POSCO International, Minh Hưng TG, Thái Châu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L6" dT="2025-10-29T08:42:57.00" personId="{33CEDD2E-8BA4-40BF-B622-67DB19A23E91}" id="{00E35E9C-FA1E-40FC-BF5A-8E76EC1EBE8F}">
    <text>T10 - 12.2023</text>
  </threadedComment>
  <threadedComment ref="N6" dT="2025-10-30T02:28:36.07" personId="{33CEDD2E-8BA4-40BF-B622-67DB19A23E91}" id="{4BBB9C34-C52B-44B9-B78D-8CFE579AD38C}">
    <text>2025 - YTD (30.10)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E15B6-36DA-4A5F-B769-5C868913F581}">
  <sheetPr>
    <pageSetUpPr fitToPage="1"/>
  </sheetPr>
  <dimension ref="A1:U45"/>
  <sheetViews>
    <sheetView tabSelected="1" zoomScale="115" zoomScaleNormal="115" workbookViewId="0">
      <pane xSplit="4" ySplit="4" topLeftCell="L21" activePane="bottomRight" state="frozen"/>
      <selection pane="topRight" activeCell="E1" sqref="E1"/>
      <selection pane="bottomLeft" activeCell="A5" sqref="A5"/>
      <selection pane="bottomRight" activeCell="O25" sqref="O25"/>
    </sheetView>
  </sheetViews>
  <sheetFormatPr defaultColWidth="8.7265625" defaultRowHeight="15.5" x14ac:dyDescent="0.35"/>
  <cols>
    <col min="1" max="1" width="7" style="19" customWidth="1"/>
    <col min="2" max="2" width="6.453125" style="19" customWidth="1"/>
    <col min="3" max="3" width="29.81640625" style="20" customWidth="1"/>
    <col min="4" max="4" width="11.7265625" style="21" customWidth="1"/>
    <col min="5" max="5" width="77.453125" style="20" customWidth="1"/>
    <col min="6" max="6" width="14.1796875" style="20" customWidth="1"/>
    <col min="7" max="7" width="14.81640625" style="22" hidden="1" customWidth="1"/>
    <col min="8" max="8" width="14" style="22" hidden="1" customWidth="1"/>
    <col min="9" max="10" width="13.453125" style="20" bestFit="1" customWidth="1"/>
    <col min="11" max="11" width="12.81640625" style="20" bestFit="1" customWidth="1"/>
    <col min="12" max="12" width="12.7265625" style="20" bestFit="1" customWidth="1"/>
    <col min="13" max="13" width="15.54296875" style="20" bestFit="1" customWidth="1"/>
    <col min="14" max="14" width="12.26953125" style="20" customWidth="1"/>
    <col min="15" max="19" width="12.453125" style="20" customWidth="1"/>
    <col min="20" max="20" width="9.81640625" style="20" hidden="1" customWidth="1"/>
    <col min="21" max="21" width="6.1796875" style="20" customWidth="1"/>
    <col min="22" max="16384" width="8.7265625" style="20"/>
  </cols>
  <sheetData>
    <row r="1" spans="1:19" ht="20" x14ac:dyDescent="0.35">
      <c r="A1" s="3" t="s">
        <v>0</v>
      </c>
    </row>
    <row r="2" spans="1:19" hidden="1" x14ac:dyDescent="0.35"/>
    <row r="3" spans="1:19" ht="21.65" customHeight="1" x14ac:dyDescent="0.35">
      <c r="A3" s="77" t="s">
        <v>1</v>
      </c>
      <c r="B3" s="77" t="s">
        <v>2</v>
      </c>
      <c r="C3" s="77" t="s">
        <v>3</v>
      </c>
      <c r="D3" s="77" t="s">
        <v>4</v>
      </c>
      <c r="E3" s="77" t="s">
        <v>5</v>
      </c>
      <c r="F3" s="78" t="s">
        <v>6</v>
      </c>
      <c r="G3" s="80" t="s">
        <v>7</v>
      </c>
      <c r="H3" s="80"/>
      <c r="I3" s="77" t="s">
        <v>8</v>
      </c>
      <c r="J3" s="77"/>
      <c r="K3" s="77"/>
      <c r="L3" s="77"/>
      <c r="M3" s="77"/>
      <c r="N3" s="77"/>
      <c r="O3" s="77" t="s">
        <v>9</v>
      </c>
      <c r="P3" s="77"/>
      <c r="Q3" s="77"/>
      <c r="R3" s="77"/>
      <c r="S3" s="77"/>
    </row>
    <row r="4" spans="1:19" ht="27" customHeight="1" x14ac:dyDescent="0.35">
      <c r="A4" s="78"/>
      <c r="B4" s="78"/>
      <c r="C4" s="78"/>
      <c r="D4" s="78"/>
      <c r="E4" s="78"/>
      <c r="F4" s="79"/>
      <c r="G4" s="8" t="s">
        <v>10</v>
      </c>
      <c r="H4" s="8" t="s">
        <v>11</v>
      </c>
      <c r="I4" s="55">
        <v>2020</v>
      </c>
      <c r="J4" s="55">
        <v>2021</v>
      </c>
      <c r="K4" s="55">
        <v>2022</v>
      </c>
      <c r="L4" s="55">
        <v>2023</v>
      </c>
      <c r="M4" s="55">
        <v>2024</v>
      </c>
      <c r="N4" s="55">
        <v>2025</v>
      </c>
      <c r="O4" s="56">
        <v>2026</v>
      </c>
      <c r="P4" s="56">
        <v>2027</v>
      </c>
      <c r="Q4" s="56">
        <v>2028</v>
      </c>
      <c r="R4" s="56">
        <v>2029</v>
      </c>
      <c r="S4" s="56">
        <v>2030</v>
      </c>
    </row>
    <row r="5" spans="1:19" x14ac:dyDescent="0.35">
      <c r="A5" s="74" t="s">
        <v>12</v>
      </c>
      <c r="B5" s="16">
        <v>1</v>
      </c>
      <c r="C5" s="1" t="s">
        <v>13</v>
      </c>
      <c r="D5" s="6" t="s">
        <v>14</v>
      </c>
      <c r="E5" s="5" t="s">
        <v>15</v>
      </c>
      <c r="F5" s="5" t="s">
        <v>16</v>
      </c>
      <c r="G5" s="10"/>
      <c r="H5" s="11"/>
      <c r="I5" s="33">
        <v>7.0114340149999999</v>
      </c>
      <c r="J5" s="33">
        <v>17.533907779</v>
      </c>
      <c r="K5" s="33">
        <v>62.102782857999998</v>
      </c>
      <c r="L5" s="33">
        <v>102.594186556</v>
      </c>
      <c r="M5" s="33">
        <v>53.517346658999998</v>
      </c>
      <c r="N5" s="33">
        <v>35.845894426636598</v>
      </c>
      <c r="O5" s="70">
        <v>20</v>
      </c>
      <c r="P5" s="33">
        <v>60.925746591988698</v>
      </c>
      <c r="Q5" s="33">
        <v>119.429360741311</v>
      </c>
      <c r="R5" s="33">
        <v>193.93292825546101</v>
      </c>
      <c r="S5" s="33">
        <v>208.61327710680001</v>
      </c>
    </row>
    <row r="6" spans="1:19" x14ac:dyDescent="0.35">
      <c r="A6" s="76"/>
      <c r="B6" s="16">
        <v>2</v>
      </c>
      <c r="C6" s="2" t="s">
        <v>17</v>
      </c>
      <c r="D6" s="6" t="s">
        <v>18</v>
      </c>
      <c r="E6" s="5" t="s">
        <v>19</v>
      </c>
      <c r="F6" s="5" t="s">
        <v>16</v>
      </c>
      <c r="G6" s="12"/>
      <c r="H6" s="13"/>
      <c r="I6" s="34">
        <f>I5/I7</f>
        <v>0.51127871106277822</v>
      </c>
      <c r="J6" s="43">
        <f t="shared" ref="J6:N6" si="0">J5/J7</f>
        <v>0.28984576294850561</v>
      </c>
      <c r="K6" s="43">
        <f t="shared" si="0"/>
        <v>0.18822900568373704</v>
      </c>
      <c r="L6" s="43">
        <f t="shared" si="0"/>
        <v>0.14965909665031613</v>
      </c>
      <c r="M6" s="43">
        <f t="shared" si="0"/>
        <v>4.4919110437374919E-2</v>
      </c>
      <c r="N6" s="43">
        <f t="shared" si="0"/>
        <v>2.3031847614425293E-2</v>
      </c>
      <c r="O6" s="43">
        <f>O5/O7</f>
        <v>1.1737089201877934E-2</v>
      </c>
      <c r="P6" s="43">
        <v>3.0273275490994858E-2</v>
      </c>
      <c r="Q6" s="43">
        <v>4.9616724269953685E-2</v>
      </c>
      <c r="R6" s="43">
        <v>6.7117857847889886E-2</v>
      </c>
      <c r="S6" s="43">
        <v>6.859455773573106E-2</v>
      </c>
    </row>
    <row r="7" spans="1:19" x14ac:dyDescent="0.35">
      <c r="A7" s="74" t="s">
        <v>20</v>
      </c>
      <c r="B7" s="16">
        <v>3</v>
      </c>
      <c r="C7" s="4" t="s">
        <v>21</v>
      </c>
      <c r="D7" s="6" t="s">
        <v>14</v>
      </c>
      <c r="E7" s="5" t="s">
        <v>22</v>
      </c>
      <c r="F7" s="5" t="s">
        <v>16</v>
      </c>
      <c r="G7" s="12"/>
      <c r="H7" s="13"/>
      <c r="I7" s="33">
        <v>13.713526229999999</v>
      </c>
      <c r="J7" s="33">
        <v>60.493924771000003</v>
      </c>
      <c r="K7" s="33">
        <v>329.932056074</v>
      </c>
      <c r="L7" s="33">
        <v>685.51921568600005</v>
      </c>
      <c r="M7" s="33">
        <v>1191.4159950610001</v>
      </c>
      <c r="N7" s="33">
        <v>1556.3620872598001</v>
      </c>
      <c r="O7" s="70">
        <v>1704</v>
      </c>
      <c r="P7" s="33">
        <v>2012.5257542782799</v>
      </c>
      <c r="Q7" s="33">
        <v>2407.0384028482499</v>
      </c>
      <c r="R7" s="33">
        <v>2889.43858570359</v>
      </c>
      <c r="S7" s="33">
        <v>3041.2511428458802</v>
      </c>
    </row>
    <row r="8" spans="1:19" x14ac:dyDescent="0.35">
      <c r="A8" s="75"/>
      <c r="B8" s="16">
        <v>4</v>
      </c>
      <c r="C8" s="6" t="s">
        <v>23</v>
      </c>
      <c r="D8" s="6" t="s">
        <v>18</v>
      </c>
      <c r="E8" s="5" t="s">
        <v>24</v>
      </c>
      <c r="F8" s="5" t="s">
        <v>16</v>
      </c>
      <c r="G8" s="12"/>
      <c r="H8" s="13"/>
      <c r="I8" s="24"/>
      <c r="J8" s="34">
        <f>(J7-I7)/I7</f>
        <v>3.4112596393086863</v>
      </c>
      <c r="K8" s="34">
        <f t="shared" ref="K8:L8" si="1">(K7-J7)/J7</f>
        <v>4.4539700858054605</v>
      </c>
      <c r="L8" s="34">
        <f t="shared" si="1"/>
        <v>1.0777587477957762</v>
      </c>
      <c r="M8" s="34">
        <f>(M7-L7)/L7</f>
        <v>0.73797607390005604</v>
      </c>
      <c r="N8" s="34">
        <f>(N7-M7)/M7</f>
        <v>0.30631290305961928</v>
      </c>
      <c r="O8" s="34">
        <f>(O7-N7)/N7</f>
        <v>9.4860902837936481E-2</v>
      </c>
      <c r="P8" s="34">
        <f>(P7-O7)/O7</f>
        <v>0.18105971495204221</v>
      </c>
      <c r="Q8" s="34">
        <f t="shared" ref="Q8:S8" si="2">(Q7-P7)/P7</f>
        <v>0.19602862111518557</v>
      </c>
      <c r="R8" s="34">
        <f t="shared" si="2"/>
        <v>0.2004123333821827</v>
      </c>
      <c r="S8" s="34">
        <f t="shared" si="2"/>
        <v>5.2540503159828611E-2</v>
      </c>
    </row>
    <row r="9" spans="1:19" ht="30.5" x14ac:dyDescent="0.35">
      <c r="A9" s="75"/>
      <c r="B9" s="16">
        <v>5</v>
      </c>
      <c r="C9" s="6" t="s">
        <v>25</v>
      </c>
      <c r="D9" s="6" t="s">
        <v>14</v>
      </c>
      <c r="E9" s="5" t="s">
        <v>26</v>
      </c>
      <c r="F9" s="5" t="s">
        <v>16</v>
      </c>
      <c r="G9" s="12"/>
      <c r="H9" s="13"/>
      <c r="I9" s="33">
        <f>I7-I10</f>
        <v>0</v>
      </c>
      <c r="J9" s="33">
        <f t="shared" ref="J9:N9" si="3">J7-J10</f>
        <v>7.7740614800000003</v>
      </c>
      <c r="K9" s="33">
        <f t="shared" si="3"/>
        <v>148.324451866</v>
      </c>
      <c r="L9" s="33">
        <f t="shared" si="3"/>
        <v>339.62781210000003</v>
      </c>
      <c r="M9" s="33">
        <f t="shared" si="3"/>
        <v>623.50621639500014</v>
      </c>
      <c r="N9" s="33">
        <f t="shared" si="3"/>
        <v>881.99963484900013</v>
      </c>
      <c r="O9" s="33">
        <v>966</v>
      </c>
      <c r="P9" s="32">
        <f t="shared" ref="P9:S9" si="4">P7*60%</f>
        <v>1207.515452566968</v>
      </c>
      <c r="Q9" s="32">
        <f t="shared" si="4"/>
        <v>1444.2230417089499</v>
      </c>
      <c r="R9" s="32">
        <f t="shared" si="4"/>
        <v>1733.663151422154</v>
      </c>
      <c r="S9" s="32">
        <f t="shared" si="4"/>
        <v>1824.750685707528</v>
      </c>
    </row>
    <row r="10" spans="1:19" ht="30.5" x14ac:dyDescent="0.35">
      <c r="A10" s="75"/>
      <c r="B10" s="16">
        <v>6</v>
      </c>
      <c r="C10" s="6" t="s">
        <v>27</v>
      </c>
      <c r="D10" s="6" t="s">
        <v>14</v>
      </c>
      <c r="E10" s="5" t="s">
        <v>28</v>
      </c>
      <c r="F10" s="5" t="s">
        <v>16</v>
      </c>
      <c r="G10" s="12"/>
      <c r="H10" s="13"/>
      <c r="I10" s="33">
        <v>13.713526229999999</v>
      </c>
      <c r="J10" s="33">
        <v>52.719863291000003</v>
      </c>
      <c r="K10" s="33">
        <v>181.607604208</v>
      </c>
      <c r="L10" s="33">
        <v>345.89140358600002</v>
      </c>
      <c r="M10" s="33">
        <v>567.90977866599997</v>
      </c>
      <c r="N10" s="33">
        <v>674.36245241079996</v>
      </c>
      <c r="O10" s="33">
        <f>30+721</f>
        <v>751</v>
      </c>
      <c r="P10" s="33">
        <f t="shared" ref="P10:S10" si="5">P7-P9</f>
        <v>805.01030171131197</v>
      </c>
      <c r="Q10" s="33">
        <f t="shared" si="5"/>
        <v>962.81536113929997</v>
      </c>
      <c r="R10" s="33">
        <f t="shared" si="5"/>
        <v>1155.775434281436</v>
      </c>
      <c r="S10" s="33">
        <f t="shared" si="5"/>
        <v>1216.5004571383522</v>
      </c>
    </row>
    <row r="11" spans="1:19" x14ac:dyDescent="0.35">
      <c r="A11" s="76"/>
      <c r="B11" s="16">
        <v>7</v>
      </c>
      <c r="C11" s="2" t="s">
        <v>29</v>
      </c>
      <c r="D11" s="6" t="s">
        <v>30</v>
      </c>
      <c r="E11" s="5" t="s">
        <v>31</v>
      </c>
      <c r="F11" s="5" t="s">
        <v>16</v>
      </c>
      <c r="G11" s="14"/>
      <c r="H11" s="15"/>
      <c r="I11" s="35">
        <f>I7*10^3/I35</f>
        <v>507.90837888888888</v>
      </c>
      <c r="J11" s="35">
        <f t="shared" ref="J11:N11" si="6">J7*10^3/J35</f>
        <v>687.43096330681828</v>
      </c>
      <c r="K11" s="35">
        <f t="shared" si="6"/>
        <v>1403.9661960595745</v>
      </c>
      <c r="L11" s="35">
        <f t="shared" si="6"/>
        <v>1671.9980870390245</v>
      </c>
      <c r="M11" s="35">
        <f t="shared" si="6"/>
        <v>2190.1029320974267</v>
      </c>
      <c r="N11" s="35">
        <f t="shared" si="6"/>
        <v>2343.9188061141567</v>
      </c>
      <c r="O11" s="73">
        <v>2530</v>
      </c>
      <c r="P11" s="35">
        <f t="shared" ref="P11:S11" si="7">P7/P35*1000</f>
        <v>3012.763105207006</v>
      </c>
      <c r="Q11" s="35">
        <f t="shared" si="7"/>
        <v>3414.2388692882978</v>
      </c>
      <c r="R11" s="35">
        <f t="shared" si="7"/>
        <v>3868.0570089740158</v>
      </c>
      <c r="S11" s="35">
        <f t="shared" si="7"/>
        <v>3954.8129295785179</v>
      </c>
    </row>
    <row r="12" spans="1:19" x14ac:dyDescent="0.35">
      <c r="A12" s="74" t="s">
        <v>20</v>
      </c>
      <c r="B12" s="16">
        <v>8</v>
      </c>
      <c r="C12" s="1" t="s">
        <v>32</v>
      </c>
      <c r="D12" s="6" t="s">
        <v>33</v>
      </c>
      <c r="E12" s="5" t="s">
        <v>34</v>
      </c>
      <c r="F12" s="5" t="s">
        <v>35</v>
      </c>
      <c r="G12" s="17" t="s">
        <v>36</v>
      </c>
      <c r="H12" s="18"/>
      <c r="I12" s="24"/>
      <c r="J12" s="24"/>
      <c r="K12" s="33">
        <v>14016.000000000002</v>
      </c>
      <c r="L12" s="33">
        <v>42924.000000000007</v>
      </c>
      <c r="M12" s="32">
        <v>76032</v>
      </c>
      <c r="N12" s="32">
        <v>76032</v>
      </c>
      <c r="O12" s="32">
        <v>80352</v>
      </c>
      <c r="P12" s="32">
        <v>89172</v>
      </c>
      <c r="Q12" s="32">
        <v>89172</v>
      </c>
      <c r="R12" s="32">
        <v>102312</v>
      </c>
      <c r="S12" s="32">
        <v>102312</v>
      </c>
    </row>
    <row r="13" spans="1:19" x14ac:dyDescent="0.35">
      <c r="A13" s="75"/>
      <c r="B13" s="16">
        <v>9</v>
      </c>
      <c r="C13" s="2" t="s">
        <v>37</v>
      </c>
      <c r="D13" s="6" t="s">
        <v>18</v>
      </c>
      <c r="F13" s="5" t="s">
        <v>35</v>
      </c>
      <c r="G13" s="9"/>
      <c r="H13" s="9" t="s">
        <v>36</v>
      </c>
      <c r="I13" s="24"/>
      <c r="J13" s="24"/>
      <c r="K13" s="34">
        <v>0.81</v>
      </c>
      <c r="L13" s="34">
        <v>0.56000000000000005</v>
      </c>
      <c r="M13" s="34">
        <v>0.66</v>
      </c>
      <c r="N13" s="34">
        <v>0.65</v>
      </c>
      <c r="O13" s="68">
        <v>0.7</v>
      </c>
      <c r="P13" s="34">
        <v>0.6392141030816848</v>
      </c>
      <c r="Q13" s="34">
        <v>0.7737854932041448</v>
      </c>
      <c r="R13" s="34">
        <v>0.8307920869497224</v>
      </c>
      <c r="S13" s="34">
        <v>0.8796622097114708</v>
      </c>
    </row>
    <row r="14" spans="1:19" x14ac:dyDescent="0.35">
      <c r="A14" s="75"/>
      <c r="B14" s="16">
        <v>10</v>
      </c>
      <c r="C14" s="2" t="s">
        <v>38</v>
      </c>
      <c r="D14" s="6" t="s">
        <v>39</v>
      </c>
      <c r="E14" s="5" t="s">
        <v>40</v>
      </c>
      <c r="F14" s="5" t="s">
        <v>35</v>
      </c>
      <c r="G14" s="9"/>
      <c r="H14" s="9" t="s">
        <v>36</v>
      </c>
      <c r="I14" s="24"/>
      <c r="J14" s="24"/>
      <c r="K14" s="24">
        <v>1</v>
      </c>
      <c r="L14" s="24">
        <v>1</v>
      </c>
      <c r="M14" s="24">
        <v>2</v>
      </c>
      <c r="N14" s="24">
        <v>3</v>
      </c>
      <c r="O14" s="24">
        <v>3</v>
      </c>
      <c r="P14" s="24">
        <v>3</v>
      </c>
      <c r="Q14" s="24">
        <v>4</v>
      </c>
      <c r="R14" s="24">
        <v>5</v>
      </c>
      <c r="S14" s="24">
        <v>5</v>
      </c>
    </row>
    <row r="15" spans="1:19" x14ac:dyDescent="0.35">
      <c r="A15" s="76"/>
      <c r="B15" s="16">
        <v>11</v>
      </c>
      <c r="C15" s="2" t="s">
        <v>41</v>
      </c>
      <c r="D15" s="6" t="s">
        <v>39</v>
      </c>
      <c r="E15" s="5" t="s">
        <v>42</v>
      </c>
      <c r="F15" s="5" t="s">
        <v>35</v>
      </c>
      <c r="G15" s="9"/>
      <c r="H15" s="9" t="s">
        <v>36</v>
      </c>
      <c r="I15" s="24"/>
      <c r="J15" s="24"/>
      <c r="K15" s="24">
        <v>0</v>
      </c>
      <c r="L15" s="24">
        <v>0</v>
      </c>
      <c r="M15" s="24">
        <v>3</v>
      </c>
      <c r="N15" s="24">
        <v>3</v>
      </c>
      <c r="O15" s="24">
        <v>3</v>
      </c>
      <c r="P15" s="24">
        <v>3</v>
      </c>
      <c r="Q15" s="24">
        <v>3</v>
      </c>
      <c r="R15" s="24">
        <v>3</v>
      </c>
      <c r="S15" s="24">
        <v>3</v>
      </c>
    </row>
    <row r="16" spans="1:19" ht="46.5" x14ac:dyDescent="0.35">
      <c r="A16" s="74" t="s">
        <v>43</v>
      </c>
      <c r="B16" s="16">
        <v>12</v>
      </c>
      <c r="C16" s="1" t="s">
        <v>44</v>
      </c>
      <c r="D16" s="6" t="s">
        <v>14</v>
      </c>
      <c r="E16" s="65" t="s">
        <v>45</v>
      </c>
      <c r="F16" s="5" t="s">
        <v>46</v>
      </c>
      <c r="G16" s="9"/>
      <c r="H16" s="9" t="s">
        <v>36</v>
      </c>
      <c r="I16" s="24"/>
      <c r="J16" s="24"/>
      <c r="K16" s="32"/>
      <c r="L16" s="32">
        <v>8.9</v>
      </c>
      <c r="M16" s="32">
        <v>35.6</v>
      </c>
      <c r="N16" s="32">
        <v>50</v>
      </c>
      <c r="O16" s="69">
        <v>50</v>
      </c>
      <c r="P16" s="32">
        <f t="shared" ref="P16:S16" si="8">P17*P7</f>
        <v>50.313143856956998</v>
      </c>
      <c r="Q16" s="32">
        <f t="shared" si="8"/>
        <v>60.175960071206248</v>
      </c>
      <c r="R16" s="32">
        <f t="shared" si="8"/>
        <v>72.235964642589749</v>
      </c>
      <c r="S16" s="32">
        <f t="shared" si="8"/>
        <v>76.031278571147013</v>
      </c>
    </row>
    <row r="17" spans="1:21" x14ac:dyDescent="0.35">
      <c r="A17" s="76"/>
      <c r="B17" s="16">
        <v>13</v>
      </c>
      <c r="C17" s="2" t="s">
        <v>47</v>
      </c>
      <c r="D17" s="6" t="s">
        <v>18</v>
      </c>
      <c r="E17" s="5" t="s">
        <v>48</v>
      </c>
      <c r="F17" s="5" t="s">
        <v>16</v>
      </c>
      <c r="G17" s="14"/>
      <c r="H17" s="15"/>
      <c r="I17" s="43">
        <f>IFERROR(I16/I7,0)</f>
        <v>0</v>
      </c>
      <c r="J17" s="43">
        <f>IFERROR(J16/J7,0)</f>
        <v>0</v>
      </c>
      <c r="K17" s="43">
        <f t="shared" ref="K17:M17" si="9">IFERROR(K16/K7,0)</f>
        <v>0</v>
      </c>
      <c r="L17" s="43">
        <f t="shared" si="9"/>
        <v>1.2982859993346441E-2</v>
      </c>
      <c r="M17" s="43">
        <f t="shared" si="9"/>
        <v>2.9880411332044686E-2</v>
      </c>
      <c r="N17" s="43">
        <f>IFERROR(N16/N7,0)</f>
        <v>3.2126200200643676E-2</v>
      </c>
      <c r="O17" s="43">
        <v>2.5000000000000001E-2</v>
      </c>
      <c r="P17" s="43">
        <v>2.5000000000000001E-2</v>
      </c>
      <c r="Q17" s="43">
        <v>2.5000000000000001E-2</v>
      </c>
      <c r="R17" s="43">
        <v>2.5000000000000001E-2</v>
      </c>
      <c r="S17" s="43">
        <v>2.5000000000000001E-2</v>
      </c>
    </row>
    <row r="18" spans="1:21" x14ac:dyDescent="0.35">
      <c r="A18" s="25" t="s">
        <v>49</v>
      </c>
      <c r="B18" s="16">
        <v>14</v>
      </c>
      <c r="C18" s="1" t="s">
        <v>50</v>
      </c>
      <c r="D18" s="6" t="s">
        <v>18</v>
      </c>
      <c r="E18" s="5" t="s">
        <v>51</v>
      </c>
      <c r="F18" s="5" t="s">
        <v>52</v>
      </c>
      <c r="G18" s="9"/>
      <c r="H18" s="9" t="s">
        <v>36</v>
      </c>
      <c r="I18" s="34">
        <f>Sheet1!B5/Sheet1!B3</f>
        <v>0.36192335003832199</v>
      </c>
      <c r="J18" s="34">
        <f>Sheet1!C5/Sheet1!C3</f>
        <v>0.22074954849683909</v>
      </c>
      <c r="K18" s="34">
        <f>Sheet1!D5/Sheet1!D3</f>
        <v>0.14162097454549868</v>
      </c>
      <c r="L18" s="34">
        <f>Sheet1!E5/Sheet1!E3</f>
        <v>0.13252335293634179</v>
      </c>
      <c r="M18" s="34">
        <f>Sheet1!F5/Sheet1!F3</f>
        <v>0.1061499842626545</v>
      </c>
      <c r="N18" s="34">
        <v>0.13</v>
      </c>
      <c r="O18" s="34">
        <v>0.11700000000000001</v>
      </c>
      <c r="P18" s="34">
        <v>0.105</v>
      </c>
      <c r="Q18" s="34">
        <v>0.105</v>
      </c>
      <c r="R18" s="34">
        <v>0.105</v>
      </c>
      <c r="S18" s="34">
        <v>0.105</v>
      </c>
    </row>
    <row r="19" spans="1:21" x14ac:dyDescent="0.35">
      <c r="A19" s="25" t="s">
        <v>53</v>
      </c>
      <c r="B19" s="57">
        <v>15</v>
      </c>
      <c r="C19" s="58" t="s">
        <v>54</v>
      </c>
      <c r="D19" s="59" t="s">
        <v>18</v>
      </c>
      <c r="E19" s="5" t="s">
        <v>55</v>
      </c>
      <c r="F19" s="5" t="s">
        <v>56</v>
      </c>
      <c r="G19" s="9"/>
      <c r="H19" s="9" t="s">
        <v>36</v>
      </c>
      <c r="I19" s="47">
        <f>Sheet1!B7/Sheet1!B3</f>
        <v>2.582486765696003E-4</v>
      </c>
      <c r="J19" s="47">
        <f>Sheet1!C7/Sheet1!C3</f>
        <v>1.8652008516083392E-4</v>
      </c>
      <c r="K19" s="47">
        <f>Sheet1!D7/Sheet1!D3</f>
        <v>4.2956134570995572E-3</v>
      </c>
      <c r="L19" s="47">
        <f>Sheet1!E7/Sheet1!E3</f>
        <v>5.1750816590165078E-4</v>
      </c>
      <c r="M19" s="47">
        <f>Sheet1!F7/Sheet1!F3</f>
        <v>3.7523013830035993E-3</v>
      </c>
      <c r="N19" s="47">
        <f>Sheet1!G7/Sheet1!G3</f>
        <v>3.6509027966648839E-3</v>
      </c>
      <c r="O19" s="47">
        <v>4.0000000000000001E-3</v>
      </c>
      <c r="P19" s="47">
        <v>4.0000000000000001E-3</v>
      </c>
      <c r="Q19" s="47">
        <v>4.0000000000000001E-3</v>
      </c>
      <c r="R19" s="47">
        <v>4.0000000000000001E-3</v>
      </c>
      <c r="S19" s="47">
        <v>4.0000000000000001E-3</v>
      </c>
    </row>
    <row r="20" spans="1:21" x14ac:dyDescent="0.35">
      <c r="A20" s="74" t="s">
        <v>57</v>
      </c>
      <c r="B20" s="57">
        <v>16</v>
      </c>
      <c r="C20" s="60" t="s">
        <v>58</v>
      </c>
      <c r="D20" s="59" t="s">
        <v>59</v>
      </c>
      <c r="E20" s="5" t="s">
        <v>60</v>
      </c>
      <c r="F20" s="5" t="s">
        <v>61</v>
      </c>
      <c r="G20" s="9" t="s">
        <v>36</v>
      </c>
      <c r="H20" s="9"/>
      <c r="I20" s="32">
        <v>330</v>
      </c>
      <c r="J20" s="32">
        <v>2110</v>
      </c>
      <c r="K20" s="32">
        <v>9290</v>
      </c>
      <c r="L20" s="32">
        <v>21483</v>
      </c>
      <c r="M20" s="32">
        <v>36159</v>
      </c>
      <c r="N20" s="32">
        <v>45000</v>
      </c>
      <c r="O20" s="71">
        <v>55000</v>
      </c>
      <c r="P20" s="32">
        <f>O20*1.2</f>
        <v>66000</v>
      </c>
      <c r="Q20" s="32">
        <v>79000</v>
      </c>
      <c r="R20" s="32">
        <v>95000</v>
      </c>
      <c r="S20" s="32">
        <v>100000</v>
      </c>
    </row>
    <row r="21" spans="1:21" ht="22.5" customHeight="1" x14ac:dyDescent="0.35">
      <c r="A21" s="75"/>
      <c r="B21" s="57">
        <v>17</v>
      </c>
      <c r="C21" s="61" t="s">
        <v>62</v>
      </c>
      <c r="D21" s="62" t="s">
        <v>63</v>
      </c>
      <c r="E21" s="66" t="s">
        <v>64</v>
      </c>
      <c r="F21" s="5" t="s">
        <v>65</v>
      </c>
      <c r="G21" s="9"/>
      <c r="H21" s="9" t="s">
        <v>36</v>
      </c>
      <c r="I21" s="24">
        <v>0</v>
      </c>
      <c r="J21" s="33">
        <v>26125015.272968899</v>
      </c>
      <c r="K21" s="33">
        <v>33210218.704265557</v>
      </c>
      <c r="L21" s="33">
        <v>32800281.907523967</v>
      </c>
      <c r="M21" s="33">
        <v>30581654.095161747</v>
      </c>
      <c r="N21" s="33">
        <v>31175252.538594414</v>
      </c>
      <c r="O21" s="32">
        <f>1150*26500</f>
        <v>30475000</v>
      </c>
      <c r="P21" s="32">
        <f t="shared" ref="P21:S21" si="10">1150*26500</f>
        <v>30475000</v>
      </c>
      <c r="Q21" s="32">
        <f t="shared" si="10"/>
        <v>30475000</v>
      </c>
      <c r="R21" s="32">
        <f t="shared" si="10"/>
        <v>30475000</v>
      </c>
      <c r="S21" s="32">
        <f t="shared" si="10"/>
        <v>30475000</v>
      </c>
      <c r="T21" s="20" t="s">
        <v>66</v>
      </c>
    </row>
    <row r="22" spans="1:21" ht="31" x14ac:dyDescent="0.35">
      <c r="A22" s="75"/>
      <c r="B22" s="57">
        <v>18</v>
      </c>
      <c r="C22" s="63" t="s">
        <v>67</v>
      </c>
      <c r="D22" s="59" t="s">
        <v>18</v>
      </c>
      <c r="E22" s="66" t="s">
        <v>68</v>
      </c>
      <c r="F22" s="5" t="s">
        <v>65</v>
      </c>
      <c r="G22" s="9"/>
      <c r="H22" s="9" t="s">
        <v>36</v>
      </c>
      <c r="I22" s="24"/>
      <c r="J22" s="34">
        <f>J21/(Sheet1!C10*Sheet1!C11)</f>
        <v>0.98887409503287982</v>
      </c>
      <c r="K22" s="34">
        <f>K21/(Sheet1!D10*Sheet1!D11)</f>
        <v>1.1948957779355531</v>
      </c>
      <c r="L22" s="34">
        <f>L21/(Sheet1!E10*Sheet1!E11)</f>
        <v>1.435083145838151</v>
      </c>
      <c r="M22" s="34">
        <f>M21/(Sheet1!F10*Sheet1!F11)</f>
        <v>1.3300747870065135</v>
      </c>
      <c r="N22" s="34">
        <f>N21/(Sheet1!G10*Sheet1!G11)</f>
        <v>1.4929675471277986</v>
      </c>
      <c r="O22" s="34">
        <f>O21/(800*26500)</f>
        <v>1.4375</v>
      </c>
      <c r="P22" s="34">
        <f t="shared" ref="P22:S22" si="11">P21/(800*26500)</f>
        <v>1.4375</v>
      </c>
      <c r="Q22" s="34">
        <f t="shared" si="11"/>
        <v>1.4375</v>
      </c>
      <c r="R22" s="34">
        <f t="shared" si="11"/>
        <v>1.4375</v>
      </c>
      <c r="S22" s="34">
        <f t="shared" si="11"/>
        <v>1.4375</v>
      </c>
      <c r="T22" s="20" t="s">
        <v>66</v>
      </c>
    </row>
    <row r="23" spans="1:21" ht="31" x14ac:dyDescent="0.35">
      <c r="A23" s="75"/>
      <c r="B23" s="57">
        <v>19</v>
      </c>
      <c r="C23" s="63" t="s">
        <v>69</v>
      </c>
      <c r="D23" s="59" t="s">
        <v>70</v>
      </c>
      <c r="E23" s="5" t="s">
        <v>71</v>
      </c>
      <c r="F23" s="5" t="s">
        <v>61</v>
      </c>
      <c r="G23" s="9"/>
      <c r="H23" s="9" t="s">
        <v>36</v>
      </c>
      <c r="I23" s="20">
        <v>1</v>
      </c>
      <c r="J23" s="24">
        <v>2</v>
      </c>
      <c r="K23" s="24">
        <v>2</v>
      </c>
      <c r="L23" s="24">
        <v>1</v>
      </c>
      <c r="M23" s="24">
        <v>1</v>
      </c>
      <c r="N23" s="24">
        <v>2</v>
      </c>
      <c r="O23" s="24">
        <v>3</v>
      </c>
      <c r="P23" s="24">
        <v>3</v>
      </c>
      <c r="Q23" s="24">
        <v>3</v>
      </c>
      <c r="R23" s="24">
        <v>3</v>
      </c>
      <c r="S23" s="24">
        <v>3</v>
      </c>
    </row>
    <row r="24" spans="1:21" ht="31" x14ac:dyDescent="0.35">
      <c r="A24" s="75"/>
      <c r="B24" s="57">
        <v>20</v>
      </c>
      <c r="C24" s="63" t="s">
        <v>72</v>
      </c>
      <c r="D24" s="59" t="s">
        <v>70</v>
      </c>
      <c r="E24" s="66" t="s">
        <v>73</v>
      </c>
      <c r="F24" s="5" t="s">
        <v>61</v>
      </c>
      <c r="G24" s="9"/>
      <c r="H24" s="9" t="s">
        <v>36</v>
      </c>
      <c r="I24" s="24">
        <v>0</v>
      </c>
      <c r="J24" s="24">
        <v>0</v>
      </c>
      <c r="K24" s="24">
        <v>0</v>
      </c>
      <c r="L24" s="24">
        <v>15</v>
      </c>
      <c r="M24" s="24">
        <v>20</v>
      </c>
      <c r="N24" s="24">
        <v>25</v>
      </c>
      <c r="O24" s="24">
        <v>20</v>
      </c>
      <c r="P24" s="24">
        <v>20</v>
      </c>
      <c r="Q24" s="24">
        <v>20</v>
      </c>
      <c r="R24" s="24">
        <v>20</v>
      </c>
      <c r="S24" s="24">
        <v>20</v>
      </c>
    </row>
    <row r="25" spans="1:21" ht="31" x14ac:dyDescent="0.35">
      <c r="A25" s="75"/>
      <c r="B25" s="57">
        <v>21</v>
      </c>
      <c r="C25" s="63" t="s">
        <v>74</v>
      </c>
      <c r="D25" s="59" t="s">
        <v>70</v>
      </c>
      <c r="E25" s="66" t="s">
        <v>75</v>
      </c>
      <c r="F25" s="5" t="s">
        <v>61</v>
      </c>
      <c r="G25" s="9"/>
      <c r="H25" s="9" t="s">
        <v>36</v>
      </c>
      <c r="I25" s="24">
        <v>0</v>
      </c>
      <c r="J25" s="24">
        <v>0</v>
      </c>
      <c r="K25" s="24">
        <v>1</v>
      </c>
      <c r="L25" s="24">
        <v>2</v>
      </c>
      <c r="M25" s="24">
        <v>4</v>
      </c>
      <c r="N25" s="24">
        <v>5</v>
      </c>
      <c r="O25" s="24">
        <v>5</v>
      </c>
      <c r="P25" s="24">
        <v>5</v>
      </c>
      <c r="Q25" s="24">
        <v>5</v>
      </c>
      <c r="R25" s="24">
        <v>5</v>
      </c>
      <c r="S25" s="24">
        <v>5</v>
      </c>
    </row>
    <row r="26" spans="1:21" ht="31" x14ac:dyDescent="0.35">
      <c r="A26" s="76"/>
      <c r="B26" s="57">
        <v>22</v>
      </c>
      <c r="C26" s="63" t="s">
        <v>76</v>
      </c>
      <c r="D26" s="59" t="s">
        <v>70</v>
      </c>
      <c r="E26" s="66" t="s">
        <v>77</v>
      </c>
      <c r="F26" s="5" t="s">
        <v>61</v>
      </c>
      <c r="G26" s="9"/>
      <c r="H26" s="9" t="s">
        <v>36</v>
      </c>
      <c r="I26" s="24">
        <v>0</v>
      </c>
      <c r="J26" s="24">
        <v>0</v>
      </c>
      <c r="K26" s="24">
        <v>0</v>
      </c>
      <c r="L26" s="24">
        <v>2</v>
      </c>
      <c r="M26" s="24">
        <v>3</v>
      </c>
      <c r="N26" s="24">
        <v>5</v>
      </c>
      <c r="O26" s="24">
        <v>5</v>
      </c>
      <c r="P26" s="24">
        <v>5</v>
      </c>
      <c r="Q26" s="24">
        <v>5</v>
      </c>
      <c r="R26" s="24">
        <v>5</v>
      </c>
      <c r="S26" s="24">
        <v>5</v>
      </c>
    </row>
    <row r="27" spans="1:21" s="26" customFormat="1" ht="30" x14ac:dyDescent="0.35">
      <c r="A27" s="74" t="s">
        <v>78</v>
      </c>
      <c r="B27" s="57">
        <v>23</v>
      </c>
      <c r="C27" s="60" t="s">
        <v>79</v>
      </c>
      <c r="D27" s="59" t="s">
        <v>59</v>
      </c>
      <c r="E27" s="5" t="s">
        <v>80</v>
      </c>
      <c r="F27" s="5" t="s">
        <v>81</v>
      </c>
      <c r="G27" s="9"/>
      <c r="H27" s="9" t="s">
        <v>36</v>
      </c>
      <c r="I27" s="32">
        <v>1277.9179999999999</v>
      </c>
      <c r="J27" s="32">
        <v>4811</v>
      </c>
      <c r="K27" s="32">
        <v>17160</v>
      </c>
      <c r="L27" s="32">
        <v>30842</v>
      </c>
      <c r="M27" s="32">
        <v>48741</v>
      </c>
      <c r="N27" s="32">
        <v>50000</v>
      </c>
      <c r="O27" s="69">
        <v>57500</v>
      </c>
      <c r="P27" s="32">
        <v>72000</v>
      </c>
      <c r="Q27" s="32">
        <v>85000</v>
      </c>
      <c r="R27" s="32">
        <v>103000</v>
      </c>
      <c r="S27" s="32">
        <v>108000</v>
      </c>
    </row>
    <row r="28" spans="1:21" x14ac:dyDescent="0.35">
      <c r="A28" s="75"/>
      <c r="B28" s="57">
        <v>24</v>
      </c>
      <c r="C28" s="63" t="s">
        <v>82</v>
      </c>
      <c r="D28" s="62" t="s">
        <v>63</v>
      </c>
      <c r="E28" s="5" t="s">
        <v>83</v>
      </c>
      <c r="F28" s="5" t="s">
        <v>81</v>
      </c>
      <c r="G28" s="9"/>
      <c r="H28" s="9" t="s">
        <v>36</v>
      </c>
      <c r="I28" s="24"/>
      <c r="J28" s="24"/>
      <c r="K28" s="24"/>
      <c r="L28" s="49">
        <v>9833000</v>
      </c>
      <c r="M28" s="49">
        <v>11778000</v>
      </c>
      <c r="N28" s="49">
        <v>12310000</v>
      </c>
      <c r="O28" s="49">
        <v>11000000</v>
      </c>
      <c r="P28" s="49">
        <v>11000000</v>
      </c>
      <c r="Q28" s="49">
        <v>11000000</v>
      </c>
      <c r="R28" s="49">
        <v>11000000</v>
      </c>
      <c r="S28" s="49">
        <v>11000000</v>
      </c>
    </row>
    <row r="29" spans="1:21" x14ac:dyDescent="0.35">
      <c r="A29" s="75"/>
      <c r="B29" s="57">
        <v>25</v>
      </c>
      <c r="C29" s="63" t="s">
        <v>84</v>
      </c>
      <c r="D29" s="62" t="s">
        <v>63</v>
      </c>
      <c r="E29" s="5" t="s">
        <v>85</v>
      </c>
      <c r="F29" s="5" t="s">
        <v>81</v>
      </c>
      <c r="G29" s="9"/>
      <c r="H29" s="9" t="s">
        <v>36</v>
      </c>
      <c r="I29" s="48"/>
      <c r="J29" s="48"/>
      <c r="K29" s="49">
        <v>18552808</v>
      </c>
      <c r="L29" s="49">
        <v>17151457</v>
      </c>
      <c r="M29" s="49">
        <v>18974414</v>
      </c>
      <c r="N29" s="49">
        <v>19342396</v>
      </c>
      <c r="O29" s="49">
        <v>17500000</v>
      </c>
      <c r="P29" s="49">
        <v>17500000</v>
      </c>
      <c r="Q29" s="49">
        <v>17500000</v>
      </c>
      <c r="R29" s="49">
        <v>17500000</v>
      </c>
      <c r="S29" s="49">
        <v>17500000</v>
      </c>
    </row>
    <row r="30" spans="1:21" x14ac:dyDescent="0.35">
      <c r="A30" s="74" t="s">
        <v>86</v>
      </c>
      <c r="B30" s="57">
        <v>26</v>
      </c>
      <c r="C30" s="60" t="s">
        <v>87</v>
      </c>
      <c r="D30" s="59" t="s">
        <v>59</v>
      </c>
      <c r="E30" s="5" t="s">
        <v>88</v>
      </c>
      <c r="F30" s="5" t="s">
        <v>89</v>
      </c>
      <c r="G30" s="9" t="s">
        <v>36</v>
      </c>
      <c r="H30" s="9"/>
      <c r="I30" s="33">
        <v>556</v>
      </c>
      <c r="J30" s="33">
        <v>3486</v>
      </c>
      <c r="K30" s="33">
        <v>12260</v>
      </c>
      <c r="L30" s="33">
        <v>23759</v>
      </c>
      <c r="M30" s="33">
        <v>44049</v>
      </c>
      <c r="N30" s="33">
        <v>45000</v>
      </c>
      <c r="O30" s="48">
        <v>50000</v>
      </c>
      <c r="P30" s="33">
        <v>57000</v>
      </c>
      <c r="Q30" s="33">
        <v>69000</v>
      </c>
      <c r="R30" s="33">
        <v>85000</v>
      </c>
      <c r="S30" s="33">
        <v>90000</v>
      </c>
    </row>
    <row r="31" spans="1:21" x14ac:dyDescent="0.35">
      <c r="A31" s="75"/>
      <c r="B31" s="57">
        <v>27</v>
      </c>
      <c r="C31" s="63" t="s">
        <v>90</v>
      </c>
      <c r="D31" s="59" t="s">
        <v>18</v>
      </c>
      <c r="E31" s="5" t="s">
        <v>91</v>
      </c>
      <c r="F31" s="5" t="s">
        <v>16</v>
      </c>
      <c r="G31" s="14"/>
      <c r="H31" s="15"/>
      <c r="I31" s="24"/>
      <c r="J31" s="24"/>
      <c r="K31" s="24"/>
      <c r="L31" s="24"/>
      <c r="M31" s="24"/>
      <c r="N31" s="51">
        <v>0.51</v>
      </c>
      <c r="O31" s="51">
        <v>0.4</v>
      </c>
      <c r="P31" s="51">
        <v>0.3</v>
      </c>
      <c r="Q31" s="51">
        <v>0.2</v>
      </c>
      <c r="R31" s="51">
        <v>0.2</v>
      </c>
      <c r="S31" s="51">
        <v>0.2</v>
      </c>
    </row>
    <row r="32" spans="1:21" ht="32.15" customHeight="1" x14ac:dyDescent="0.35">
      <c r="A32" s="75"/>
      <c r="B32" s="57">
        <v>28</v>
      </c>
      <c r="C32" s="63" t="s">
        <v>92</v>
      </c>
      <c r="D32" s="59" t="s">
        <v>18</v>
      </c>
      <c r="E32" s="5" t="s">
        <v>93</v>
      </c>
      <c r="F32" s="5" t="s">
        <v>89</v>
      </c>
      <c r="G32" s="9"/>
      <c r="H32" s="9" t="s">
        <v>36</v>
      </c>
      <c r="I32" s="48"/>
      <c r="J32" s="48"/>
      <c r="K32" s="50">
        <f>(100-35)/100</f>
        <v>0.65</v>
      </c>
      <c r="L32" s="50">
        <f>(100-20)/100</f>
        <v>0.8</v>
      </c>
      <c r="M32" s="50">
        <f>(100-11.4)/100</f>
        <v>0.8859999999999999</v>
      </c>
      <c r="N32" s="50">
        <f>(100-6.84)/100</f>
        <v>0.93159999999999998</v>
      </c>
      <c r="O32" s="50">
        <v>0.9</v>
      </c>
      <c r="P32" s="50">
        <v>0.9</v>
      </c>
      <c r="Q32" s="50">
        <v>0.9</v>
      </c>
      <c r="R32" s="50">
        <v>0.9</v>
      </c>
      <c r="S32" s="50">
        <v>0.9</v>
      </c>
      <c r="T32" s="20" t="s">
        <v>94</v>
      </c>
      <c r="U32" s="52"/>
    </row>
    <row r="33" spans="1:19" x14ac:dyDescent="0.35">
      <c r="A33" s="76"/>
      <c r="B33" s="57">
        <v>29</v>
      </c>
      <c r="C33" s="59" t="s">
        <v>95</v>
      </c>
      <c r="D33" s="59" t="s">
        <v>96</v>
      </c>
      <c r="E33" s="5" t="s">
        <v>97</v>
      </c>
      <c r="F33" s="5" t="s">
        <v>16</v>
      </c>
      <c r="G33" s="14"/>
      <c r="H33" s="15"/>
      <c r="I33" s="46">
        <v>3.1091066142986112</v>
      </c>
      <c r="J33" s="46">
        <v>3.3379600786528161</v>
      </c>
      <c r="K33" s="46">
        <v>3.9380633322265219</v>
      </c>
      <c r="L33" s="46">
        <v>4.5853998224875401</v>
      </c>
      <c r="M33" s="46">
        <v>3.397340639790392</v>
      </c>
      <c r="N33" s="46">
        <v>4.7320411614392768</v>
      </c>
      <c r="O33" s="46">
        <v>2.5</v>
      </c>
      <c r="P33" s="46">
        <v>2</v>
      </c>
      <c r="Q33" s="46">
        <v>2</v>
      </c>
      <c r="R33" s="46">
        <v>1.5</v>
      </c>
      <c r="S33" s="46">
        <v>1.5</v>
      </c>
    </row>
    <row r="34" spans="1:19" x14ac:dyDescent="0.35">
      <c r="A34" s="25" t="s">
        <v>98</v>
      </c>
      <c r="B34" s="57">
        <v>30</v>
      </c>
      <c r="C34" s="58" t="s">
        <v>99</v>
      </c>
      <c r="D34" s="64" t="s">
        <v>100</v>
      </c>
      <c r="E34" s="67" t="s">
        <v>101</v>
      </c>
      <c r="F34" s="5" t="s">
        <v>102</v>
      </c>
      <c r="G34" s="9"/>
      <c r="H34" s="9" t="s">
        <v>36</v>
      </c>
      <c r="I34" s="24"/>
      <c r="J34" s="24"/>
      <c r="K34" s="24">
        <v>10</v>
      </c>
      <c r="L34" s="24">
        <v>25</v>
      </c>
      <c r="M34" s="24">
        <v>46</v>
      </c>
      <c r="N34" s="24">
        <v>45</v>
      </c>
      <c r="O34" s="24">
        <v>36</v>
      </c>
      <c r="P34" s="32">
        <f>$M$34/$N$7*O7</f>
        <v>50.363601530545075</v>
      </c>
      <c r="Q34" s="32">
        <f t="shared" ref="Q34:S34" si="12">$M$34/$N$7*P7</f>
        <v>59.482420867623809</v>
      </c>
      <c r="R34" s="32">
        <f t="shared" si="12"/>
        <v>71.14267781089724</v>
      </c>
      <c r="S34" s="32">
        <f t="shared" si="12"/>
        <v>85.400547874035993</v>
      </c>
    </row>
    <row r="35" spans="1:19" x14ac:dyDescent="0.35">
      <c r="A35" s="74" t="s">
        <v>103</v>
      </c>
      <c r="B35" s="16">
        <v>31</v>
      </c>
      <c r="C35" s="1" t="s">
        <v>104</v>
      </c>
      <c r="D35" s="6" t="s">
        <v>105</v>
      </c>
      <c r="E35" s="5" t="s">
        <v>106</v>
      </c>
      <c r="F35" s="5" t="s">
        <v>52</v>
      </c>
      <c r="G35" s="9"/>
      <c r="H35" s="9" t="s">
        <v>36</v>
      </c>
      <c r="I35" s="24">
        <v>27</v>
      </c>
      <c r="J35" s="24">
        <v>88</v>
      </c>
      <c r="K35" s="24">
        <v>235</v>
      </c>
      <c r="L35" s="24">
        <v>410</v>
      </c>
      <c r="M35" s="24">
        <v>544</v>
      </c>
      <c r="N35" s="24">
        <v>664</v>
      </c>
      <c r="O35" s="72">
        <v>674</v>
      </c>
      <c r="P35" s="24">
        <v>668</v>
      </c>
      <c r="Q35" s="24">
        <v>705</v>
      </c>
      <c r="R35" s="24">
        <v>747</v>
      </c>
      <c r="S35" s="24">
        <v>769</v>
      </c>
    </row>
    <row r="36" spans="1:19" x14ac:dyDescent="0.35">
      <c r="A36" s="76"/>
      <c r="B36" s="16">
        <v>32</v>
      </c>
      <c r="C36" s="2" t="s">
        <v>107</v>
      </c>
      <c r="D36" s="6" t="s">
        <v>18</v>
      </c>
      <c r="E36" s="5" t="s">
        <v>108</v>
      </c>
      <c r="F36" s="5" t="s">
        <v>52</v>
      </c>
      <c r="G36" s="9"/>
      <c r="H36" s="9" t="s">
        <v>36</v>
      </c>
      <c r="I36" s="34">
        <v>8.1000000000000003E-2</v>
      </c>
      <c r="J36" s="34">
        <v>4.7E-2</v>
      </c>
      <c r="K36" s="34">
        <v>5.2999999999999999E-2</v>
      </c>
      <c r="L36" s="34">
        <v>3.3000000000000002E-2</v>
      </c>
      <c r="M36" s="34">
        <v>5.2999999999999999E-2</v>
      </c>
      <c r="N36" s="34">
        <v>4.7E-2</v>
      </c>
      <c r="O36" s="34">
        <v>4.2000000000000003E-2</v>
      </c>
      <c r="P36" s="34">
        <v>0.04</v>
      </c>
      <c r="Q36" s="34">
        <v>3.5000000000000003E-2</v>
      </c>
      <c r="R36" s="34">
        <v>0.03</v>
      </c>
      <c r="S36" s="34">
        <v>0.03</v>
      </c>
    </row>
    <row r="45" spans="1:19" x14ac:dyDescent="0.35">
      <c r="J45" s="53"/>
      <c r="K45" s="54"/>
    </row>
  </sheetData>
  <mergeCells count="17">
    <mergeCell ref="E3:E4"/>
    <mergeCell ref="I3:N3"/>
    <mergeCell ref="O3:S3"/>
    <mergeCell ref="A3:A4"/>
    <mergeCell ref="B3:B4"/>
    <mergeCell ref="C3:C4"/>
    <mergeCell ref="D3:D4"/>
    <mergeCell ref="F3:F4"/>
    <mergeCell ref="G3:H3"/>
    <mergeCell ref="A20:A26"/>
    <mergeCell ref="A30:A33"/>
    <mergeCell ref="A35:A36"/>
    <mergeCell ref="A5:A6"/>
    <mergeCell ref="A7:A11"/>
    <mergeCell ref="A16:A17"/>
    <mergeCell ref="A12:A15"/>
    <mergeCell ref="A27:A29"/>
  </mergeCells>
  <phoneticPr fontId="5" type="noConversion"/>
  <pageMargins left="0.17" right="0.17" top="0.31" bottom="0.28999999999999998" header="0.3" footer="0.3"/>
  <pageSetup scale="47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D0224-665C-4178-A0EF-D49C15EDF0AB}">
  <dimension ref="A1"/>
  <sheetViews>
    <sheetView topLeftCell="A26" workbookViewId="0">
      <selection activeCell="C28" sqref="C28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B28D2-FE3A-426B-A76A-D1B7E74FD5FA}">
  <sheetPr>
    <pageSetUpPr fitToPage="1"/>
  </sheetPr>
  <dimension ref="A1:T6"/>
  <sheetViews>
    <sheetView topLeftCell="J1" zoomScale="85" zoomScaleNormal="85" workbookViewId="0">
      <selection activeCell="C3" sqref="C3:C4"/>
    </sheetView>
  </sheetViews>
  <sheetFormatPr defaultColWidth="8.7265625" defaultRowHeight="15.5" x14ac:dyDescent="0.35"/>
  <cols>
    <col min="1" max="1" width="7" style="19" customWidth="1"/>
    <col min="2" max="2" width="6.453125" style="19" customWidth="1"/>
    <col min="3" max="3" width="29.81640625" style="20" customWidth="1"/>
    <col min="4" max="4" width="11.7265625" style="21" customWidth="1"/>
    <col min="5" max="5" width="51.54296875" style="20" customWidth="1"/>
    <col min="6" max="6" width="14.1796875" style="20" customWidth="1"/>
    <col min="7" max="7" width="14.81640625" style="22" customWidth="1"/>
    <col min="8" max="8" width="14" style="22" customWidth="1"/>
    <col min="9" max="9" width="30.1796875" style="20" bestFit="1" customWidth="1"/>
    <col min="10" max="10" width="29.54296875" style="20" bestFit="1" customWidth="1"/>
    <col min="11" max="19" width="30.1796875" style="20" bestFit="1" customWidth="1"/>
    <col min="20" max="20" width="9.81640625" style="20" hidden="1" customWidth="1"/>
    <col min="21" max="16384" width="8.7265625" style="20"/>
  </cols>
  <sheetData>
    <row r="1" spans="1:19" ht="20" x14ac:dyDescent="0.35">
      <c r="A1" s="3" t="s">
        <v>0</v>
      </c>
    </row>
    <row r="3" spans="1:19" ht="32.5" customHeight="1" x14ac:dyDescent="0.35">
      <c r="A3" s="77" t="s">
        <v>1</v>
      </c>
      <c r="B3" s="77" t="s">
        <v>2</v>
      </c>
      <c r="C3" s="77" t="s">
        <v>3</v>
      </c>
      <c r="D3" s="77" t="s">
        <v>4</v>
      </c>
      <c r="E3" s="77" t="s">
        <v>5</v>
      </c>
      <c r="F3" s="78" t="s">
        <v>6</v>
      </c>
      <c r="G3" s="80" t="s">
        <v>7</v>
      </c>
      <c r="H3" s="80"/>
      <c r="I3" s="77" t="s">
        <v>8</v>
      </c>
      <c r="J3" s="77"/>
      <c r="K3" s="77"/>
      <c r="L3" s="77"/>
      <c r="M3" s="77"/>
      <c r="N3" s="77"/>
      <c r="O3" s="81" t="s">
        <v>9</v>
      </c>
      <c r="P3" s="81"/>
      <c r="Q3" s="81"/>
      <c r="R3" s="81"/>
      <c r="S3" s="81"/>
    </row>
    <row r="4" spans="1:19" ht="45" x14ac:dyDescent="0.35">
      <c r="A4" s="78"/>
      <c r="B4" s="78"/>
      <c r="C4" s="78"/>
      <c r="D4" s="78"/>
      <c r="E4" s="78"/>
      <c r="F4" s="79"/>
      <c r="G4" s="8" t="s">
        <v>10</v>
      </c>
      <c r="H4" s="8" t="s">
        <v>11</v>
      </c>
      <c r="I4" s="7">
        <v>2020</v>
      </c>
      <c r="J4" s="7">
        <v>2021</v>
      </c>
      <c r="K4" s="7">
        <v>2022</v>
      </c>
      <c r="L4" s="7">
        <v>2023</v>
      </c>
      <c r="M4" s="7">
        <v>2024</v>
      </c>
      <c r="N4" s="23">
        <v>2025</v>
      </c>
      <c r="O4" s="7">
        <v>2026</v>
      </c>
      <c r="P4" s="7">
        <v>2027</v>
      </c>
      <c r="Q4" s="7">
        <v>2028</v>
      </c>
      <c r="R4" s="7">
        <v>2029</v>
      </c>
      <c r="S4" s="7">
        <v>2030</v>
      </c>
    </row>
    <row r="5" spans="1:19" ht="56.15" customHeight="1" x14ac:dyDescent="0.35">
      <c r="A5" s="45"/>
      <c r="B5" s="16">
        <v>28</v>
      </c>
      <c r="C5" s="2" t="s">
        <v>92</v>
      </c>
      <c r="D5" s="6" t="s">
        <v>18</v>
      </c>
      <c r="E5" s="5" t="s">
        <v>93</v>
      </c>
      <c r="F5" s="5" t="s">
        <v>89</v>
      </c>
      <c r="G5" s="9"/>
      <c r="H5" s="9" t="s">
        <v>36</v>
      </c>
      <c r="I5" s="34">
        <v>0.98</v>
      </c>
      <c r="J5" s="34">
        <v>0.98</v>
      </c>
      <c r="K5" s="34">
        <v>0.98</v>
      </c>
      <c r="L5" s="34">
        <v>0.98</v>
      </c>
      <c r="M5" s="34">
        <v>0.98</v>
      </c>
      <c r="N5" s="34">
        <v>0.98</v>
      </c>
      <c r="O5" s="34">
        <v>0.98</v>
      </c>
      <c r="P5" s="24"/>
      <c r="Q5" s="24"/>
      <c r="R5" s="24"/>
      <c r="S5" s="24"/>
    </row>
    <row r="6" spans="1:19" x14ac:dyDescent="0.35">
      <c r="A6" s="25" t="s">
        <v>98</v>
      </c>
      <c r="B6" s="27">
        <v>30</v>
      </c>
      <c r="C6" s="29" t="s">
        <v>99</v>
      </c>
      <c r="D6" s="30" t="s">
        <v>100</v>
      </c>
      <c r="E6" s="31" t="s">
        <v>101</v>
      </c>
      <c r="F6" s="28" t="s">
        <v>61</v>
      </c>
      <c r="G6" s="9"/>
      <c r="H6" s="9" t="s">
        <v>36</v>
      </c>
      <c r="I6" s="24"/>
      <c r="J6" s="24"/>
      <c r="K6" s="24"/>
      <c r="L6" s="24">
        <v>16</v>
      </c>
      <c r="M6" s="24">
        <v>49</v>
      </c>
      <c r="N6" s="24">
        <v>73</v>
      </c>
      <c r="O6" s="24">
        <v>80</v>
      </c>
      <c r="P6" s="24">
        <v>85</v>
      </c>
      <c r="Q6" s="24">
        <v>90</v>
      </c>
      <c r="R6" s="24">
        <v>95</v>
      </c>
      <c r="S6" s="24">
        <v>100</v>
      </c>
    </row>
  </sheetData>
  <autoFilter ref="A4:T6" xr:uid="{20BE15B6-36DA-4A5F-B769-5C868913F581}"/>
  <mergeCells count="9">
    <mergeCell ref="G3:H3"/>
    <mergeCell ref="I3:N3"/>
    <mergeCell ref="O3:S3"/>
    <mergeCell ref="A3:A4"/>
    <mergeCell ref="B3:B4"/>
    <mergeCell ref="C3:C4"/>
    <mergeCell ref="D3:D4"/>
    <mergeCell ref="E3:E4"/>
    <mergeCell ref="F3:F4"/>
  </mergeCells>
  <pageMargins left="0.17" right="0.17" top="0.31" bottom="0.28999999999999998" header="0.3" footer="0.3"/>
  <pageSetup scale="47" fitToHeight="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321BC-AE4D-4A86-8E44-5EA85BCA0795}">
  <dimension ref="A2:G11"/>
  <sheetViews>
    <sheetView workbookViewId="0">
      <selection activeCell="F11" sqref="F11"/>
    </sheetView>
  </sheetViews>
  <sheetFormatPr defaultRowHeight="14.5" x14ac:dyDescent="0.35"/>
  <cols>
    <col min="1" max="1" width="20.1796875" bestFit="1" customWidth="1"/>
    <col min="2" max="4" width="15.81640625" bestFit="1" customWidth="1"/>
    <col min="5" max="5" width="14.54296875" bestFit="1" customWidth="1"/>
    <col min="6" max="7" width="16" customWidth="1"/>
  </cols>
  <sheetData>
    <row r="2" spans="1:7" x14ac:dyDescent="0.35">
      <c r="A2" s="36" t="s">
        <v>109</v>
      </c>
      <c r="B2" s="36">
        <v>2020</v>
      </c>
      <c r="C2" s="36">
        <v>2021</v>
      </c>
      <c r="D2" s="36">
        <v>2022</v>
      </c>
      <c r="E2" s="36">
        <v>2023</v>
      </c>
      <c r="F2" s="36">
        <v>2024</v>
      </c>
      <c r="G2" s="36">
        <v>2025</v>
      </c>
    </row>
    <row r="3" spans="1:7" x14ac:dyDescent="0.35">
      <c r="A3" s="37" t="s">
        <v>110</v>
      </c>
      <c r="B3" s="38">
        <v>13713526230</v>
      </c>
      <c r="C3" s="38">
        <v>60493924771</v>
      </c>
      <c r="D3" s="38">
        <v>329932056074</v>
      </c>
      <c r="E3" s="38">
        <v>685519215686</v>
      </c>
      <c r="F3" s="38">
        <v>1191415995061</v>
      </c>
      <c r="G3" s="38">
        <f>1556362.0872598*10^6</f>
        <v>1556362087259.8</v>
      </c>
    </row>
    <row r="4" spans="1:7" ht="29" x14ac:dyDescent="0.35">
      <c r="A4" s="37" t="s">
        <v>111</v>
      </c>
      <c r="B4" s="38">
        <v>7011434015</v>
      </c>
      <c r="C4" s="38">
        <v>17533907779</v>
      </c>
      <c r="D4" s="38">
        <v>62102782858</v>
      </c>
      <c r="E4" s="38">
        <v>102594186556</v>
      </c>
      <c r="F4" s="38">
        <v>53517346659</v>
      </c>
      <c r="G4" s="38">
        <f>35845.8944266366*10^6</f>
        <v>35845894426.636604</v>
      </c>
    </row>
    <row r="5" spans="1:7" x14ac:dyDescent="0.35">
      <c r="A5" s="39" t="s">
        <v>112</v>
      </c>
      <c r="B5" s="40">
        <v>4963245354</v>
      </c>
      <c r="C5" s="40">
        <v>13354006580</v>
      </c>
      <c r="D5" s="40">
        <v>46725299315</v>
      </c>
      <c r="E5" s="40">
        <v>90847304965</v>
      </c>
      <c r="F5" s="40">
        <v>126468789126</v>
      </c>
      <c r="G5" s="40">
        <f>(124175.024498*10^6)+46267955238.936</f>
        <v>170442979736.936</v>
      </c>
    </row>
    <row r="6" spans="1:7" x14ac:dyDescent="0.35">
      <c r="A6" s="39" t="s">
        <v>50</v>
      </c>
      <c r="B6" s="41">
        <f t="shared" ref="B6:G6" si="0">B5/B3</f>
        <v>0.36192335003832199</v>
      </c>
      <c r="C6" s="41">
        <f t="shared" si="0"/>
        <v>0.22074954849683909</v>
      </c>
      <c r="D6" s="41">
        <f t="shared" si="0"/>
        <v>0.14162097454549868</v>
      </c>
      <c r="E6" s="41">
        <f t="shared" si="0"/>
        <v>0.13252335293634179</v>
      </c>
      <c r="F6" s="41">
        <f t="shared" si="0"/>
        <v>0.1061499842626545</v>
      </c>
      <c r="G6" s="41">
        <f t="shared" si="0"/>
        <v>0.10951370579646119</v>
      </c>
    </row>
    <row r="7" spans="1:7" x14ac:dyDescent="0.35">
      <c r="A7" t="s">
        <v>113</v>
      </c>
      <c r="B7" s="44">
        <v>3541500</v>
      </c>
      <c r="C7" s="44">
        <v>11283332</v>
      </c>
      <c r="D7" s="44">
        <v>1417260580</v>
      </c>
      <c r="E7" s="44">
        <v>354761792</v>
      </c>
      <c r="F7" s="44">
        <f>4470.551886*10^6</f>
        <v>4470551886</v>
      </c>
      <c r="G7" s="44">
        <f>4092.496391*10^6+1589630306</f>
        <v>5682126697</v>
      </c>
    </row>
    <row r="9" spans="1:7" x14ac:dyDescent="0.35">
      <c r="B9" s="36">
        <v>2020</v>
      </c>
      <c r="C9" s="36">
        <v>2021</v>
      </c>
      <c r="D9" s="36">
        <v>2022</v>
      </c>
      <c r="E9" s="36">
        <v>2023</v>
      </c>
      <c r="F9" s="36">
        <v>2024</v>
      </c>
      <c r="G9" s="36">
        <v>2025</v>
      </c>
    </row>
    <row r="10" spans="1:7" x14ac:dyDescent="0.35">
      <c r="A10" t="s">
        <v>114</v>
      </c>
      <c r="B10" s="42"/>
      <c r="C10" s="42">
        <v>1150</v>
      </c>
      <c r="D10" s="42">
        <v>1183</v>
      </c>
      <c r="E10" s="42">
        <v>955</v>
      </c>
      <c r="F10" s="42">
        <v>912</v>
      </c>
      <c r="G10" s="42">
        <v>797</v>
      </c>
    </row>
    <row r="11" spans="1:7" x14ac:dyDescent="0.35">
      <c r="A11" t="s">
        <v>115</v>
      </c>
      <c r="B11" s="42">
        <v>23318</v>
      </c>
      <c r="C11" s="42">
        <v>22973</v>
      </c>
      <c r="D11" s="42">
        <v>23494</v>
      </c>
      <c r="E11" s="42">
        <v>23933</v>
      </c>
      <c r="F11" s="42">
        <v>25211</v>
      </c>
      <c r="G11" s="42">
        <v>26200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0127FA9FD6004AB87C3B980CB5D696" ma:contentTypeVersion="15" ma:contentTypeDescription="Create a new document." ma:contentTypeScope="" ma:versionID="67370114cc40b2c673714a5ba7d53aa4">
  <xsd:schema xmlns:xsd="http://www.w3.org/2001/XMLSchema" xmlns:xs="http://www.w3.org/2001/XMLSchema" xmlns:p="http://schemas.microsoft.com/office/2006/metadata/properties" xmlns:ns2="c4b5fce3-9bbc-4429-8073-3ae7a9bcc677" xmlns:ns3="1401b2ec-7936-4f98-86ff-5ef737f58b9c" targetNamespace="http://schemas.microsoft.com/office/2006/metadata/properties" ma:root="true" ma:fieldsID="8a0007aad7c46a4014362bce42ad9a10" ns2:_="" ns3:_="">
    <xsd:import namespace="c4b5fce3-9bbc-4429-8073-3ae7a9bcc677"/>
    <xsd:import namespace="1401b2ec-7936-4f98-86ff-5ef737f58b9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SearchProperties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b5fce3-9bbc-4429-8073-3ae7a9bcc67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01b2ec-7936-4f98-86ff-5ef737f58b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eac797d-9452-442f-b5f7-665479590d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401b2ec-7936-4f98-86ff-5ef737f58b9c">
      <Terms xmlns="http://schemas.microsoft.com/office/infopath/2007/PartnerControls"/>
    </lcf76f155ced4ddcb4097134ff3c332f>
    <SharedWithUsers xmlns="c4b5fce3-9bbc-4429-8073-3ae7a9bcc677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40751F-AC10-442B-B4DA-7129DFB74D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b5fce3-9bbc-4429-8073-3ae7a9bcc677"/>
    <ds:schemaRef ds:uri="1401b2ec-7936-4f98-86ff-5ef737f58b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3C95CF1-54BA-4467-BC71-55F5C8692A14}">
  <ds:schemaRefs>
    <ds:schemaRef ds:uri="http://schemas.microsoft.com/office/2006/metadata/properties"/>
    <ds:schemaRef ds:uri="http://schemas.microsoft.com/office/infopath/2007/PartnerControls"/>
    <ds:schemaRef ds:uri="1401b2ec-7936-4f98-86ff-5ef737f58b9c"/>
    <ds:schemaRef ds:uri="c4b5fce3-9bbc-4429-8073-3ae7a9bcc677"/>
  </ds:schemaRefs>
</ds:datastoreItem>
</file>

<file path=customXml/itemProps3.xml><?xml version="1.0" encoding="utf-8"?>
<ds:datastoreItem xmlns:ds="http://schemas.openxmlformats.org/officeDocument/2006/customXml" ds:itemID="{58C43413-00E3-4242-BDF8-B51A63670B5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Chi so DTR</vt:lpstr>
      <vt:lpstr>Email VP.TGD</vt:lpstr>
      <vt:lpstr>Chi so DTR (2)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Chi, Hoàng Thị</dc:creator>
  <cp:keywords/>
  <dc:description/>
  <cp:lastModifiedBy>Cư, Lê Hoành</cp:lastModifiedBy>
  <cp:revision/>
  <dcterms:created xsi:type="dcterms:W3CDTF">2025-10-01T02:54:58Z</dcterms:created>
  <dcterms:modified xsi:type="dcterms:W3CDTF">2025-12-16T01:53:33Z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0x0101004E0127FA9FD6004AB87C3B980CB5D696</vt:lpwstr>
  </property>
  <property fmtid="{D5CDD505-2E9C-101B-9397-08002B2CF9AE}" pid="3" name="MediaServiceImageTags">
    <vt:lpwstr/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