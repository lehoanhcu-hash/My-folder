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uuhongnhung_duytanrecycling_com/Documents/01. HE THONG THU MUA/00. DA SUPPLY CHAIN/05. TC2. Cai tien VH/TC2-03. Phan tich chi phi/"/>
    </mc:Choice>
  </mc:AlternateContent>
  <xr:revisionPtr revIDLastSave="173" documentId="8_{404EFA8F-FE53-4093-B5A4-74E4C20B5379}" xr6:coauthVersionLast="47" xr6:coauthVersionMax="47" xr10:uidLastSave="{4354ED03-29F4-4FE8-BE00-B9B1615FD8F9}"/>
  <bookViews>
    <workbookView xWindow="-108" yWindow="-108" windowWidth="23256" windowHeight="12456" xr2:uid="{47AB7C5B-1013-4A13-8856-A96A2F6E4AC3}"/>
  </bookViews>
  <sheets>
    <sheet name="Sơ đồ" sheetId="1" r:id="rId1"/>
    <sheet name="1.Vựa-&gt;ĐạiLý" sheetId="3" r:id="rId2"/>
    <sheet name="2.ĐạiLý-&gt;Chai" sheetId="4" r:id="rId3"/>
    <sheet name="3.Chai-&gt;Vảy (mua hết)" sheetId="5" r:id="rId4"/>
    <sheet name="Công ty xử lý" sheetId="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" i="1" l="1"/>
  <c r="G9" i="1"/>
  <c r="I9" i="1"/>
  <c r="K14" i="1"/>
  <c r="C49" i="5"/>
  <c r="I48" i="5"/>
  <c r="H48" i="5"/>
  <c r="G48" i="5"/>
  <c r="I47" i="5"/>
  <c r="H47" i="5"/>
  <c r="G47" i="5"/>
  <c r="I46" i="5"/>
  <c r="H46" i="5"/>
  <c r="G46" i="5"/>
  <c r="I45" i="5"/>
  <c r="H45" i="5"/>
  <c r="G45" i="5"/>
  <c r="I44" i="5"/>
  <c r="H44" i="5"/>
  <c r="G44" i="5"/>
  <c r="I43" i="5"/>
  <c r="H43" i="5"/>
  <c r="G43" i="5"/>
  <c r="I42" i="5"/>
  <c r="H42" i="5"/>
  <c r="G42" i="5"/>
  <c r="G49" i="5" s="1"/>
  <c r="D37" i="5"/>
  <c r="D36" i="5"/>
  <c r="D35" i="5"/>
  <c r="D34" i="5"/>
  <c r="D33" i="5"/>
  <c r="D32" i="5"/>
  <c r="D31" i="5"/>
  <c r="D22" i="5"/>
  <c r="E21" i="5"/>
  <c r="D21" i="5"/>
  <c r="C21" i="5"/>
  <c r="D17" i="5"/>
  <c r="D16" i="5"/>
  <c r="H15" i="5"/>
  <c r="G15" i="5"/>
  <c r="F15" i="5"/>
  <c r="H14" i="5"/>
  <c r="G14" i="5"/>
  <c r="F14" i="5"/>
  <c r="H13" i="5"/>
  <c r="G13" i="5"/>
  <c r="F13" i="5"/>
  <c r="H12" i="5"/>
  <c r="C12" i="5"/>
  <c r="G12" i="5" s="1"/>
  <c r="H11" i="5"/>
  <c r="E11" i="5"/>
  <c r="C11" i="5"/>
  <c r="C17" i="5" s="1"/>
  <c r="H10" i="5"/>
  <c r="G10" i="5"/>
  <c r="F10" i="5"/>
  <c r="H9" i="5"/>
  <c r="G9" i="5"/>
  <c r="F9" i="5"/>
  <c r="H8" i="5"/>
  <c r="G8" i="5"/>
  <c r="F8" i="5"/>
  <c r="H7" i="5"/>
  <c r="F7" i="5"/>
  <c r="E7" i="5"/>
  <c r="E17" i="5" s="1"/>
  <c r="H6" i="5"/>
  <c r="G6" i="5"/>
  <c r="F6" i="5"/>
  <c r="E6" i="5"/>
  <c r="D6" i="5"/>
  <c r="C6" i="5"/>
  <c r="C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H49" i="4" s="1"/>
  <c r="G42" i="4"/>
  <c r="G49" i="4" s="1"/>
  <c r="H15" i="4"/>
  <c r="G15" i="4"/>
  <c r="F15" i="4"/>
  <c r="H14" i="4"/>
  <c r="G14" i="4"/>
  <c r="F14" i="4"/>
  <c r="H13" i="4"/>
  <c r="G13" i="4"/>
  <c r="F13" i="4"/>
  <c r="H12" i="4"/>
  <c r="G12" i="4"/>
  <c r="F12" i="4"/>
  <c r="H10" i="4"/>
  <c r="G10" i="4"/>
  <c r="F10" i="4"/>
  <c r="H9" i="4"/>
  <c r="G9" i="4"/>
  <c r="F9" i="4"/>
  <c r="H8" i="4"/>
  <c r="G8" i="4"/>
  <c r="F8" i="4"/>
  <c r="H7" i="4"/>
  <c r="G7" i="4"/>
  <c r="F7" i="4"/>
  <c r="E6" i="4"/>
  <c r="D6" i="4"/>
  <c r="D11" i="4" s="1"/>
  <c r="C6" i="4"/>
  <c r="C49" i="3"/>
  <c r="I48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G49" i="3" s="1"/>
  <c r="I43" i="3"/>
  <c r="H43" i="3"/>
  <c r="G43" i="3"/>
  <c r="I42" i="3"/>
  <c r="H42" i="3"/>
  <c r="G42" i="3"/>
  <c r="E37" i="3"/>
  <c r="H37" i="3" s="1"/>
  <c r="D37" i="3"/>
  <c r="G37" i="3" s="1"/>
  <c r="E36" i="3"/>
  <c r="H36" i="3" s="1"/>
  <c r="D36" i="3"/>
  <c r="G36" i="3" s="1"/>
  <c r="C36" i="3"/>
  <c r="F36" i="3" s="1"/>
  <c r="I36" i="3" s="1"/>
  <c r="E35" i="3"/>
  <c r="H35" i="3" s="1"/>
  <c r="D35" i="3"/>
  <c r="G35" i="3" s="1"/>
  <c r="E34" i="3"/>
  <c r="H34" i="3" s="1"/>
  <c r="D34" i="3"/>
  <c r="G34" i="3" s="1"/>
  <c r="C34" i="3"/>
  <c r="F34" i="3" s="1"/>
  <c r="E33" i="3"/>
  <c r="H33" i="3" s="1"/>
  <c r="D33" i="3"/>
  <c r="G33" i="3" s="1"/>
  <c r="E32" i="3"/>
  <c r="H32" i="3" s="1"/>
  <c r="D32" i="3"/>
  <c r="G32" i="3" s="1"/>
  <c r="C32" i="3"/>
  <c r="F32" i="3" s="1"/>
  <c r="I32" i="3" s="1"/>
  <c r="E31" i="3"/>
  <c r="H31" i="3" s="1"/>
  <c r="D31" i="3"/>
  <c r="G31" i="3" s="1"/>
  <c r="D23" i="3"/>
  <c r="D24" i="3" s="1"/>
  <c r="C23" i="3"/>
  <c r="C24" i="3" s="1"/>
  <c r="E22" i="3"/>
  <c r="D22" i="3"/>
  <c r="D26" i="3" s="1"/>
  <c r="C22" i="3"/>
  <c r="C26" i="3" s="1"/>
  <c r="E17" i="3"/>
  <c r="D17" i="3"/>
  <c r="H17" i="3" s="1"/>
  <c r="C17" i="3"/>
  <c r="C37" i="3" s="1"/>
  <c r="F37" i="3" s="1"/>
  <c r="E16" i="3"/>
  <c r="D16" i="3"/>
  <c r="C16" i="3"/>
  <c r="H15" i="3"/>
  <c r="G15" i="3"/>
  <c r="F15" i="3"/>
  <c r="H14" i="3"/>
  <c r="G14" i="3"/>
  <c r="F14" i="3"/>
  <c r="H13" i="3"/>
  <c r="G13" i="3"/>
  <c r="G17" i="3" s="1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F17" i="3" s="1"/>
  <c r="M18" i="1"/>
  <c r="O14" i="1"/>
  <c r="M14" i="1"/>
  <c r="D6" i="2"/>
  <c r="E6" i="2"/>
  <c r="C6" i="2"/>
  <c r="H49" i="5" l="1"/>
  <c r="I49" i="5"/>
  <c r="I49" i="4"/>
  <c r="H49" i="3"/>
  <c r="I49" i="3"/>
  <c r="I34" i="3"/>
  <c r="D26" i="5"/>
  <c r="C36" i="5"/>
  <c r="F36" i="5" s="1"/>
  <c r="C34" i="5"/>
  <c r="F34" i="5" s="1"/>
  <c r="I34" i="5" s="1"/>
  <c r="C32" i="5"/>
  <c r="F32" i="5" s="1"/>
  <c r="I32" i="5" s="1"/>
  <c r="C22" i="5"/>
  <c r="C37" i="5"/>
  <c r="C35" i="5"/>
  <c r="F35" i="5" s="1"/>
  <c r="I35" i="5" s="1"/>
  <c r="C33" i="5"/>
  <c r="F33" i="5" s="1"/>
  <c r="C31" i="5"/>
  <c r="F31" i="5" s="1"/>
  <c r="H17" i="5"/>
  <c r="E36" i="5"/>
  <c r="H36" i="5" s="1"/>
  <c r="E34" i="5"/>
  <c r="E32" i="5"/>
  <c r="E22" i="5"/>
  <c r="E37" i="5"/>
  <c r="E35" i="5"/>
  <c r="E33" i="5"/>
  <c r="H33" i="5" s="1"/>
  <c r="E31" i="5"/>
  <c r="H31" i="5" s="1"/>
  <c r="D24" i="5"/>
  <c r="F37" i="5"/>
  <c r="I37" i="5" s="1"/>
  <c r="F11" i="5"/>
  <c r="F17" i="5" s="1"/>
  <c r="G31" i="5"/>
  <c r="G33" i="5"/>
  <c r="G35" i="5"/>
  <c r="G37" i="5"/>
  <c r="G7" i="5"/>
  <c r="G17" i="5" s="1"/>
  <c r="G11" i="5"/>
  <c r="H35" i="5"/>
  <c r="H37" i="5"/>
  <c r="C16" i="5"/>
  <c r="C23" i="5"/>
  <c r="F12" i="5"/>
  <c r="E16" i="5"/>
  <c r="D23" i="5"/>
  <c r="D25" i="5" s="1"/>
  <c r="G32" i="5"/>
  <c r="G34" i="5"/>
  <c r="G36" i="5"/>
  <c r="H32" i="5"/>
  <c r="H34" i="5"/>
  <c r="C17" i="4"/>
  <c r="D16" i="4"/>
  <c r="H11" i="4"/>
  <c r="E17" i="4"/>
  <c r="D17" i="4"/>
  <c r="F6" i="4"/>
  <c r="G6" i="4"/>
  <c r="C11" i="4"/>
  <c r="H6" i="4"/>
  <c r="E11" i="4"/>
  <c r="E16" i="4" s="1"/>
  <c r="I37" i="3"/>
  <c r="H24" i="3"/>
  <c r="F24" i="3"/>
  <c r="F26" i="3"/>
  <c r="C25" i="3"/>
  <c r="D25" i="3"/>
  <c r="E23" i="3"/>
  <c r="F23" i="3"/>
  <c r="G23" i="3"/>
  <c r="C31" i="3"/>
  <c r="F31" i="3" s="1"/>
  <c r="I31" i="3" s="1"/>
  <c r="C33" i="3"/>
  <c r="F33" i="3" s="1"/>
  <c r="I33" i="3" s="1"/>
  <c r="C35" i="3"/>
  <c r="F35" i="3" s="1"/>
  <c r="I35" i="3" s="1"/>
  <c r="I33" i="5" l="1"/>
  <c r="I31" i="5"/>
  <c r="I36" i="5"/>
  <c r="F23" i="5"/>
  <c r="C25" i="5"/>
  <c r="C26" i="5"/>
  <c r="C24" i="5"/>
  <c r="E23" i="5"/>
  <c r="E26" i="5" s="1"/>
  <c r="E36" i="4"/>
  <c r="H36" i="4" s="1"/>
  <c r="E34" i="4"/>
  <c r="H34" i="4" s="1"/>
  <c r="E32" i="4"/>
  <c r="H32" i="4" s="1"/>
  <c r="E22" i="4"/>
  <c r="E37" i="4"/>
  <c r="H37" i="4" s="1"/>
  <c r="E35" i="4"/>
  <c r="H35" i="4" s="1"/>
  <c r="E33" i="4"/>
  <c r="H33" i="4" s="1"/>
  <c r="E31" i="4"/>
  <c r="H31" i="4" s="1"/>
  <c r="C37" i="4"/>
  <c r="F37" i="4" s="1"/>
  <c r="C35" i="4"/>
  <c r="F35" i="4" s="1"/>
  <c r="C33" i="4"/>
  <c r="F33" i="4" s="1"/>
  <c r="C31" i="4"/>
  <c r="F31" i="4" s="1"/>
  <c r="C36" i="4"/>
  <c r="F36" i="4" s="1"/>
  <c r="C32" i="4"/>
  <c r="F32" i="4" s="1"/>
  <c r="C22" i="4"/>
  <c r="C34" i="4"/>
  <c r="F34" i="4" s="1"/>
  <c r="C16" i="4"/>
  <c r="G11" i="4"/>
  <c r="G17" i="4" s="1"/>
  <c r="F11" i="4"/>
  <c r="F17" i="4"/>
  <c r="D36" i="4"/>
  <c r="G36" i="4" s="1"/>
  <c r="D34" i="4"/>
  <c r="G34" i="4" s="1"/>
  <c r="D32" i="4"/>
  <c r="G32" i="4" s="1"/>
  <c r="D22" i="4"/>
  <c r="H17" i="4"/>
  <c r="D37" i="4"/>
  <c r="G37" i="4" s="1"/>
  <c r="D35" i="4"/>
  <c r="G35" i="4" s="1"/>
  <c r="D33" i="4"/>
  <c r="G33" i="4" s="1"/>
  <c r="D31" i="4"/>
  <c r="G31" i="4" s="1"/>
  <c r="E24" i="3"/>
  <c r="G24" i="3" s="1"/>
  <c r="E25" i="3"/>
  <c r="F25" i="3"/>
  <c r="G25" i="3"/>
  <c r="E26" i="3"/>
  <c r="G26" i="3" s="1"/>
  <c r="I34" i="4" l="1"/>
  <c r="G26" i="5"/>
  <c r="F26" i="5"/>
  <c r="E25" i="5"/>
  <c r="E24" i="5"/>
  <c r="H24" i="5"/>
  <c r="G24" i="5"/>
  <c r="F24" i="5"/>
  <c r="G25" i="5"/>
  <c r="F25" i="5"/>
  <c r="G23" i="5"/>
  <c r="I31" i="4"/>
  <c r="D23" i="4"/>
  <c r="I35" i="4"/>
  <c r="C23" i="4"/>
  <c r="C26" i="4" s="1"/>
  <c r="I32" i="4"/>
  <c r="I36" i="4"/>
  <c r="I33" i="4"/>
  <c r="I37" i="4"/>
  <c r="E23" i="4"/>
  <c r="E26" i="4" s="1"/>
  <c r="G26" i="4" l="1"/>
  <c r="D25" i="4"/>
  <c r="D24" i="4"/>
  <c r="D26" i="4"/>
  <c r="F26" i="4" s="1"/>
  <c r="E24" i="4"/>
  <c r="E25" i="4"/>
  <c r="C24" i="4"/>
  <c r="G23" i="4"/>
  <c r="F23" i="4"/>
  <c r="C25" i="4"/>
  <c r="G25" i="4" l="1"/>
  <c r="F25" i="4"/>
  <c r="H24" i="4"/>
  <c r="G24" i="4"/>
  <c r="F24" i="4"/>
  <c r="E7" i="2" l="1"/>
  <c r="D7" i="2"/>
  <c r="D15" i="2"/>
  <c r="D13" i="2"/>
  <c r="C15" i="2"/>
  <c r="C13" i="2"/>
  <c r="C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tc={68ACF480-7159-4667-995B-1AF9961BC76B}</author>
  </authors>
  <commentList>
    <comment ref="E7" authorId="0" shapeId="0" xr:uid="{68ACF480-7159-4667-995B-1AF9961BC76B}">
      <text>
        <t>[Threaded comment]
Your version of Excel allows you to read this threaded comment; however, any edits to it will get removed if the file is opened in a newer version of Excel. Learn more: https://go.microsoft.com/fwlink/?linkid=870924
Comment:
    Giả thuyết: Tận dụng 2 chiều, tốn 50% xăng dầu + chi phí tài xế (200K)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Tuyền, Phạm Thụy Thanh</author>
  </authors>
  <commentList>
    <comment ref="C12" authorId="0" shapeId="0" xr:uid="{331FB84B-D6D1-426A-8C0C-D8F455FBEE67}">
      <text>
        <r>
          <rPr>
            <b/>
            <sz val="9"/>
            <color indexed="81"/>
            <rFont val="Tahoma"/>
            <family val="2"/>
          </rPr>
          <t>Tuyền, Phạm Thụy Thanh:</t>
        </r>
        <r>
          <rPr>
            <sz val="9"/>
            <color indexed="81"/>
            <rFont val="Tahoma"/>
            <family val="2"/>
          </rPr>
          <t xml:space="preserve">
Lương
Sửa chữa
CCDC
Bảo hiểm
Điện</t>
        </r>
      </text>
    </comment>
    <comment ref="C15" authorId="0" shapeId="0" xr:uid="{0E881B61-6CC0-4FA3-8D96-563C9C284F6A}">
      <text>
        <r>
          <rPr>
            <b/>
            <sz val="9"/>
            <color indexed="81"/>
            <rFont val="Tahoma"/>
            <family val="2"/>
          </rPr>
          <t>Tuyền, Phạm Thụy Thanh:</t>
        </r>
        <r>
          <rPr>
            <sz val="9"/>
            <color indexed="81"/>
            <rFont val="Tahoma"/>
            <family val="2"/>
          </rPr>
          <t xml:space="preserve">
Khấu hao
</t>
        </r>
      </text>
    </comment>
  </commentList>
</comments>
</file>

<file path=xl/sharedStrings.xml><?xml version="1.0" encoding="utf-8"?>
<sst xmlns="http://schemas.openxmlformats.org/spreadsheetml/2006/main" count="268" uniqueCount="124">
  <si>
    <t>BẢNG PHÂN TÍCH CHI PHÍ CHUỖI CUNG ỨNG</t>
  </si>
  <si>
    <t>CẤP THU MUA</t>
  </si>
  <si>
    <t>2b</t>
  </si>
  <si>
    <t>THỊ TRƯỜNG</t>
  </si>
  <si>
    <t>PHÂN TÍCH VÀO GIAI ĐOẠN 2</t>
  </si>
  <si>
    <t>Đối tượng</t>
  </si>
  <si>
    <t>NGƯỜI TIÊU DÙNG</t>
  </si>
  <si>
    <t>NGƯỜI THU GOM VE CHAI</t>
  </si>
  <si>
    <t>VỰA (OUTLET)</t>
  </si>
  <si>
    <t>ĐẠI LÝ (LÁI)</t>
  </si>
  <si>
    <t>TRẠM XỬ LÝ CHAI</t>
  </si>
  <si>
    <t>NHÀ SẢN XUẤT VẢY</t>
  </si>
  <si>
    <t>Chức năng</t>
  </si>
  <si>
    <t>Phát sinh phế liệu nhựa</t>
  </si>
  <si>
    <t>Nhặt, thu mua, tích trữ và bán đi</t>
  </si>
  <si>
    <t>Các cửa hàng thu mua phế liệu</t>
  </si>
  <si>
    <t xml:space="preserve">Thu gom và Vận chuyển phế liệu từ các vựa </t>
  </si>
  <si>
    <t>Sản xuất 
Chai (tách nhãn, phân loại, EK)</t>
  </si>
  <si>
    <t>Chi phí</t>
  </si>
  <si>
    <t>CÔNG TY</t>
  </si>
  <si>
    <t>ĐỒNG HÀNH</t>
  </si>
  <si>
    <t>TRẠM NỘI BỘ
(CHAI)</t>
  </si>
  <si>
    <t>DTR 
(VẢY THÔ)</t>
  </si>
  <si>
    <t>DTR
(VẢY LẠNH/NÓNG)</t>
  </si>
  <si>
    <t>Sản xuất 
Chai (thu mua Chai B0, ép kiện)</t>
  </si>
  <si>
    <t>Sản xuất 
Chai (mua chai, tách nhãn, phân loại, ép kiện)</t>
  </si>
  <si>
    <t>DTR xử lý ra vảy thô</t>
  </si>
  <si>
    <t>TRẠM NỘI BỘ
(VẢY THÔ)</t>
  </si>
  <si>
    <t>`</t>
  </si>
  <si>
    <t>Mua chai, phân loại, tách nhãn và sản xuất ra vảy thô</t>
  </si>
  <si>
    <t xml:space="preserve">Chi Phí Lương_Sản xuất trực tiếp </t>
  </si>
  <si>
    <t>Chi Phí Lương_Sản xuất gián tiếp</t>
  </si>
  <si>
    <t xml:space="preserve">Chi Phí Sản xuất chung -Điện </t>
  </si>
  <si>
    <t xml:space="preserve">Chi Phí Sản xuất chung </t>
  </si>
  <si>
    <t xml:space="preserve">Chi phí Khấu hao TSCD </t>
  </si>
  <si>
    <t xml:space="preserve">    Thuê xe giao hàng </t>
  </si>
  <si>
    <t xml:space="preserve">Chi phí quản lý chung </t>
  </si>
  <si>
    <t>Tổng chi phí nhé</t>
  </si>
  <si>
    <t>Chi phí sản xuất</t>
  </si>
  <si>
    <t xml:space="preserve">Chi phí bán hàng </t>
  </si>
  <si>
    <t>Chi phí quản lý</t>
  </si>
  <si>
    <t>Lợi nhuận sau thuế</t>
  </si>
  <si>
    <t>DTR
(Đến Vảy thô)</t>
  </si>
  <si>
    <t>NỘI DUNG</t>
  </si>
  <si>
    <t>TRẠM VẢY</t>
  </si>
  <si>
    <t>TRẠM CHAI</t>
  </si>
  <si>
    <t>STT</t>
  </si>
  <si>
    <t>PHÂN TÍCH TÀI CHÍNH - CHẶNG: Vựa → Đại lý</t>
  </si>
  <si>
    <t>So sánh Nội bộ vs Bên ngoài vs OEM | Vựa phế liệu → Đại lý thu mua</t>
  </si>
  <si>
    <t>I. CƠ CẤU CHI PHÍ THEO KÊNH THU MUA</t>
  </si>
  <si>
    <t>Hạng mục chi phí</t>
  </si>
  <si>
    <t>Nội bộ (VNĐ/kg)</t>
  </si>
  <si>
    <t>Bên ngoài (VNĐ/kg)</t>
  </si>
  <si>
    <t>OEM (VNĐ/kg)</t>
  </si>
  <si>
    <t>Δ NB vs BN</t>
  </si>
  <si>
    <t>Δ NB vs OEM</t>
  </si>
  <si>
    <t>% Chênh lệch NB-BN</t>
  </si>
  <si>
    <t>Ghi chú</t>
  </si>
  <si>
    <t>Giá thu mua nguyên liệu</t>
  </si>
  <si>
    <t>Chi phí vận chuyển</t>
  </si>
  <si>
    <t>Thời điểm bình thường, không ảnh hưởng xăng dầu (22000 đ/l), R~30km</t>
  </si>
  <si>
    <t>Chi phí phân loại &amp; xử lý</t>
  </si>
  <si>
    <t>Chi phí ép kiện/đóng gói</t>
  </si>
  <si>
    <t>Chi phí kiểm định chất lượng</t>
  </si>
  <si>
    <t>Chi phí hao hụt &amp; tạp chất</t>
  </si>
  <si>
    <t>Chi phí quản lý &amp; overhead</t>
  </si>
  <si>
    <t>Chi phí tài chính (lãi vay)</t>
  </si>
  <si>
    <t>Chi phí bảo hiểm &amp; rủi ro</t>
  </si>
  <si>
    <t>Chi phí cơ hội vốn</t>
  </si>
  <si>
    <t>TỔNG CHI PHÍ VẬN HÀNH / kg</t>
  </si>
  <si>
    <t>TỔNG CHI PHÍ / kg</t>
  </si>
  <si>
    <t>II. PHÂN TÍCH BIÊN LỢI NHUẬN</t>
  </si>
  <si>
    <t>Chỉ tiêu</t>
  </si>
  <si>
    <t>Nội bộ</t>
  </si>
  <si>
    <t>Bên ngoài</t>
  </si>
  <si>
    <t>OEM</t>
  </si>
  <si>
    <t>Đánh giá</t>
  </si>
  <si>
    <t>Giá bán ra (VNĐ/kg)</t>
  </si>
  <si>
    <t>Giá nội bộ và OEM là cố định, trong khi giá đại lý bên ngoài biến động theo nhu cầu</t>
  </si>
  <si>
    <t>Định hướng loại bỏ nhóm đại lý (lái) để giảm biến động thị trường</t>
  </si>
  <si>
    <t>Tổng chi phí (VNĐ/kg)</t>
  </si>
  <si>
    <t>Lợi nhuận gộp (VNĐ/kg)</t>
  </si>
  <si>
    <t>Biên lợi nhuận gộp (%)</t>
  </si>
  <si>
    <t>Điểm hòa vốn (kg/tháng)</t>
  </si>
  <si>
    <t>ROI (%)</t>
  </si>
  <si>
    <t>III. PHÂN TÍCH THEO SẢN LƯỢNG (Scenario Analysis)</t>
  </si>
  <si>
    <t>Sản lượng (tấn/tháng)</t>
  </si>
  <si>
    <t>NB - CP/kg</t>
  </si>
  <si>
    <t>BN - CP/kg</t>
  </si>
  <si>
    <t>OEM - CP/kg</t>
  </si>
  <si>
    <t>NB - LN gộp</t>
  </si>
  <si>
    <t>BN - LN gộp</t>
  </si>
  <si>
    <t>OEM - LN gộp</t>
  </si>
  <si>
    <t>Kênh tối ưu</t>
  </si>
  <si>
    <t>IV. MA TRẬN RỦI RO &amp; ĐÁNH GIÁ TỔNG HỢP</t>
  </si>
  <si>
    <t>Tiêu chí đánh giá</t>
  </si>
  <si>
    <t>Trọng số</t>
  </si>
  <si>
    <t>NB (1-10)</t>
  </si>
  <si>
    <t>BN (1-10)</t>
  </si>
  <si>
    <t>OEM (1-10)</t>
  </si>
  <si>
    <t>NB Weighted</t>
  </si>
  <si>
    <t>BN Weighted</t>
  </si>
  <si>
    <t>OEM Weighted</t>
  </si>
  <si>
    <t>Chi phí đơn vị</t>
  </si>
  <si>
    <t>Độ tin cậy nguồn cung</t>
  </si>
  <si>
    <t>Chất lượng nguyên liệu</t>
  </si>
  <si>
    <t>Linh hoạt sản lượng</t>
  </si>
  <si>
    <t>Rủi ro pháp lý &amp; tuân thủ</t>
  </si>
  <si>
    <t>Khả năng mở rộng</t>
  </si>
  <si>
    <t>Lead time giao hàng</t>
  </si>
  <si>
    <t>TỔNG ĐIỂM</t>
  </si>
  <si>
    <t>PHÂN TÍCH TÀI CHÍNH - CHẶNG: Đại lý → Nhà xử lý Chai</t>
  </si>
  <si>
    <t>So sánh Nội bộ vs Bên ngoài vs OEM | Đại lý thu mua → NCỨng đồng hành</t>
  </si>
  <si>
    <t>=&gt; không loại bỏ được cấp đại lý, cần nâng cấp NCU đồng hành</t>
  </si>
  <si>
    <t>Bên ngoài tự vận hành và tự chịu chi phí, lấy công làm lời, giá bán là trung bình các loại chai (tuyển, loại 2, lá, lơ,…)</t>
  </si>
  <si>
    <t>PHÂN TÍCH TÀI CHÍNH - CHẶNG: Nhà xử lý chai → Nhà băm vảy (theo thị trường)</t>
  </si>
  <si>
    <t>So sánh Nội bộ vs Bên ngoài vs OEM | NC Ứng đồng hành → Nhà băm vảy</t>
  </si>
  <si>
    <t>Giá chai trung bình (mua hết tất cả các loại)</t>
  </si>
  <si>
    <t>R~200km</t>
  </si>
  <si>
    <t>Chi phí phân loại &amp; xử lý (phân loại, tách nhãn, ép kiện)</t>
  </si>
  <si>
    <t>Chi phí ép kiện/đóng gói (bao bì)</t>
  </si>
  <si>
    <t>Bao đựng xoay vòng 5 lần</t>
  </si>
  <si>
    <t>Giá trung bình các loại hàng, đã bao gồm hao hụt</t>
  </si>
  <si>
    <t>OEM yêu cầu có lợi nhuận cố định 500đ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</si>
</sst>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\ [$₫-42A]"/>
    <numFmt numFmtId="166" formatCode="0.0%"/>
  </numFmts>
  <fonts count="24" x14ac:knownFonts="1">
    <font>
      <sz val="12"/>
      <color theme="1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rgb="FFC00000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CC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59999389629810485"/>
        <bgColor rgb="FFD6E4F0"/>
      </patternFill>
    </fill>
    <fill>
      <patternFill patternType="solid">
        <fgColor rgb="FFE2EFDA"/>
        <bgColor rgb="FFD6E4F0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4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 textRotation="180"/>
    </xf>
    <xf numFmtId="0" fontId="0" fillId="2" borderId="0" xfId="0" applyFill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4" fontId="9" fillId="0" borderId="4" xfId="1" applyNumberFormat="1" applyFont="1" applyBorder="1" applyAlignment="1">
      <alignment vertical="center"/>
    </xf>
    <xf numFmtId="0" fontId="9" fillId="4" borderId="4" xfId="0" applyFont="1" applyFill="1" applyBorder="1" applyAlignment="1">
      <alignment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vertical="center"/>
    </xf>
    <xf numFmtId="164" fontId="13" fillId="2" borderId="4" xfId="1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horizontal="center" vertical="center"/>
    </xf>
    <xf numFmtId="164" fontId="9" fillId="2" borderId="4" xfId="1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164" fontId="10" fillId="2" borderId="4" xfId="1" applyNumberFormat="1" applyFont="1" applyFill="1" applyBorder="1" applyAlignment="1">
      <alignment vertical="center"/>
    </xf>
    <xf numFmtId="0" fontId="15" fillId="5" borderId="5" xfId="2" applyFont="1" applyFill="1" applyBorder="1" applyAlignment="1">
      <alignment horizontal="center" vertical="center" wrapText="1"/>
    </xf>
    <xf numFmtId="0" fontId="14" fillId="0" borderId="0" xfId="2"/>
    <xf numFmtId="0" fontId="15" fillId="6" borderId="5" xfId="2" applyFont="1" applyFill="1" applyBorder="1" applyAlignment="1">
      <alignment horizontal="center" vertical="center" wrapText="1"/>
    </xf>
    <xf numFmtId="0" fontId="16" fillId="7" borderId="5" xfId="2" applyFont="1" applyFill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left" vertical="center" wrapText="1"/>
    </xf>
    <xf numFmtId="3" fontId="18" fillId="8" borderId="5" xfId="2" applyNumberFormat="1" applyFont="1" applyFill="1" applyBorder="1" applyAlignment="1">
      <alignment horizontal="right" vertical="center"/>
    </xf>
    <xf numFmtId="3" fontId="19" fillId="8" borderId="5" xfId="2" applyNumberFormat="1" applyFont="1" applyFill="1" applyBorder="1" applyAlignment="1">
      <alignment horizontal="right" vertical="center"/>
    </xf>
    <xf numFmtId="3" fontId="17" fillId="0" borderId="5" xfId="2" applyNumberFormat="1" applyFont="1" applyBorder="1" applyAlignment="1">
      <alignment horizontal="right" vertical="center"/>
    </xf>
    <xf numFmtId="166" fontId="17" fillId="0" borderId="5" xfId="2" applyNumberFormat="1" applyFont="1" applyBorder="1" applyAlignment="1">
      <alignment horizontal="right" vertical="center"/>
    </xf>
    <xf numFmtId="0" fontId="16" fillId="9" borderId="5" xfId="2" applyFont="1" applyFill="1" applyBorder="1" applyAlignment="1">
      <alignment horizontal="center" vertical="center" wrapText="1"/>
    </xf>
    <xf numFmtId="0" fontId="16" fillId="9" borderId="5" xfId="2" applyFont="1" applyFill="1" applyBorder="1" applyAlignment="1">
      <alignment horizontal="left" vertical="center" wrapText="1"/>
    </xf>
    <xf numFmtId="3" fontId="20" fillId="10" borderId="5" xfId="2" applyNumberFormat="1" applyFont="1" applyFill="1" applyBorder="1" applyAlignment="1">
      <alignment horizontal="right" vertical="center"/>
    </xf>
    <xf numFmtId="3" fontId="20" fillId="9" borderId="5" xfId="2" applyNumberFormat="1" applyFont="1" applyFill="1" applyBorder="1" applyAlignment="1">
      <alignment horizontal="right" vertical="center"/>
    </xf>
    <xf numFmtId="166" fontId="20" fillId="9" borderId="5" xfId="2" applyNumberFormat="1" applyFont="1" applyFill="1" applyBorder="1" applyAlignment="1">
      <alignment horizontal="right" vertical="center"/>
    </xf>
    <xf numFmtId="0" fontId="20" fillId="9" borderId="5" xfId="2" applyFont="1" applyFill="1" applyBorder="1" applyAlignment="1">
      <alignment horizontal="left" vertical="center" wrapText="1"/>
    </xf>
    <xf numFmtId="0" fontId="16" fillId="11" borderId="5" xfId="2" applyFont="1" applyFill="1" applyBorder="1" applyAlignment="1">
      <alignment horizontal="center" vertical="center" wrapText="1"/>
    </xf>
    <xf numFmtId="0" fontId="16" fillId="11" borderId="5" xfId="2" applyFont="1" applyFill="1" applyBorder="1" applyAlignment="1">
      <alignment horizontal="left" vertical="center" wrapText="1"/>
    </xf>
    <xf numFmtId="3" fontId="16" fillId="11" borderId="5" xfId="2" applyNumberFormat="1" applyFont="1" applyFill="1" applyBorder="1" applyAlignment="1">
      <alignment horizontal="right" vertical="center"/>
    </xf>
    <xf numFmtId="166" fontId="16" fillId="11" borderId="5" xfId="2" applyNumberFormat="1" applyFont="1" applyFill="1" applyBorder="1" applyAlignment="1">
      <alignment horizontal="right" vertical="center"/>
    </xf>
    <xf numFmtId="0" fontId="14" fillId="0" borderId="0" xfId="2" applyAlignment="1">
      <alignment vertical="top" wrapText="1"/>
    </xf>
    <xf numFmtId="3" fontId="21" fillId="0" borderId="5" xfId="2" applyNumberFormat="1" applyFont="1" applyBorder="1" applyAlignment="1">
      <alignment horizontal="right" vertical="center"/>
    </xf>
    <xf numFmtId="0" fontId="16" fillId="0" borderId="5" xfId="2" applyFont="1" applyBorder="1" applyAlignment="1">
      <alignment horizontal="center" vertical="center" wrapText="1"/>
    </xf>
    <xf numFmtId="3" fontId="18" fillId="8" borderId="5" xfId="2" applyNumberFormat="1" applyFont="1" applyFill="1" applyBorder="1" applyAlignment="1">
      <alignment horizontal="center" vertical="center" wrapText="1"/>
    </xf>
    <xf numFmtId="166" fontId="18" fillId="8" borderId="5" xfId="2" applyNumberFormat="1" applyFont="1" applyFill="1" applyBorder="1" applyAlignment="1">
      <alignment horizontal="right" vertical="center"/>
    </xf>
    <xf numFmtId="0" fontId="18" fillId="8" borderId="5" xfId="2" applyFont="1" applyFill="1" applyBorder="1" applyAlignment="1">
      <alignment horizontal="center" vertical="center" wrapText="1"/>
    </xf>
    <xf numFmtId="2" fontId="17" fillId="0" borderId="5" xfId="2" applyNumberFormat="1" applyFont="1" applyBorder="1" applyAlignment="1">
      <alignment horizontal="right" vertical="center"/>
    </xf>
    <xf numFmtId="0" fontId="16" fillId="12" borderId="5" xfId="2" applyFont="1" applyFill="1" applyBorder="1" applyAlignment="1">
      <alignment horizontal="center" vertical="center" wrapText="1"/>
    </xf>
    <xf numFmtId="0" fontId="16" fillId="12" borderId="5" xfId="2" applyFont="1" applyFill="1" applyBorder="1" applyAlignment="1">
      <alignment horizontal="left" vertical="center" wrapText="1"/>
    </xf>
    <xf numFmtId="166" fontId="16" fillId="12" borderId="5" xfId="2" applyNumberFormat="1" applyFont="1" applyFill="1" applyBorder="1" applyAlignment="1">
      <alignment horizontal="right" vertical="center"/>
    </xf>
    <xf numFmtId="2" fontId="16" fillId="12" borderId="5" xfId="2" applyNumberFormat="1" applyFont="1" applyFill="1" applyBorder="1" applyAlignment="1">
      <alignment horizontal="right" vertical="center"/>
    </xf>
    <xf numFmtId="0" fontId="14" fillId="0" borderId="0" xfId="2" quotePrefix="1"/>
    <xf numFmtId="9" fontId="17" fillId="0" borderId="5" xfId="2" applyNumberFormat="1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" xfId="2" xr:uid="{B7DDF152-5FDC-4907-9785-A715C921B8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3</xdr:row>
      <xdr:rowOff>174173</xdr:rowOff>
    </xdr:from>
    <xdr:to>
      <xdr:col>17</xdr:col>
      <xdr:colOff>20410</xdr:colOff>
      <xdr:row>3</xdr:row>
      <xdr:rowOff>205468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FDEE941-A142-4020-849C-BF956BD736AB}"/>
            </a:ext>
          </a:extLst>
        </xdr:cNvPr>
        <xdr:cNvCxnSpPr>
          <a:endCxn id="9" idx="1"/>
        </xdr:cNvCxnSpPr>
      </xdr:nvCxnSpPr>
      <xdr:spPr>
        <a:xfrm>
          <a:off x="2598420" y="974273"/>
          <a:ext cx="15062290" cy="31295"/>
        </a:xfrm>
        <a:prstGeom prst="straightConnector1">
          <a:avLst/>
        </a:prstGeom>
        <a:ln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10886</xdr:colOff>
      <xdr:row>3</xdr:row>
      <xdr:rowOff>10886</xdr:rowOff>
    </xdr:from>
    <xdr:to>
      <xdr:col>7</xdr:col>
      <xdr:colOff>0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674901B-85B5-49F3-BA61-E938CE5515E9}"/>
            </a:ext>
          </a:extLst>
        </xdr:cNvPr>
        <xdr:cNvSpPr/>
      </xdr:nvSpPr>
      <xdr:spPr>
        <a:xfrm>
          <a:off x="6266906" y="810986"/>
          <a:ext cx="972094" cy="392974"/>
        </a:xfrm>
        <a:prstGeom prst="rect">
          <a:avLst/>
        </a:prstGeom>
        <a:solidFill>
          <a:schemeClr val="bg1"/>
        </a:solid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en-US" sz="2500" b="1">
              <a:solidFill>
                <a:srgbClr val="C00000"/>
              </a:solidFill>
            </a:rPr>
            <a:t>4</a:t>
          </a:r>
        </a:p>
      </xdr:txBody>
    </xdr:sp>
    <xdr:clientData/>
  </xdr:twoCellAnchor>
  <xdr:twoCellAnchor>
    <xdr:from>
      <xdr:col>8</xdr:col>
      <xdr:colOff>10886</xdr:colOff>
      <xdr:row>3</xdr:row>
      <xdr:rowOff>10886</xdr:rowOff>
    </xdr:from>
    <xdr:to>
      <xdr:col>9</xdr:col>
      <xdr:colOff>0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76098A4-B6B6-4E51-95B2-46C531A153C0}"/>
            </a:ext>
          </a:extLst>
        </xdr:cNvPr>
        <xdr:cNvSpPr/>
      </xdr:nvSpPr>
      <xdr:spPr>
        <a:xfrm>
          <a:off x="8232866" y="810986"/>
          <a:ext cx="972094" cy="392974"/>
        </a:xfrm>
        <a:prstGeom prst="rect">
          <a:avLst/>
        </a:prstGeom>
        <a:solidFill>
          <a:schemeClr val="bg1"/>
        </a:solid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en-US" sz="2500" b="1">
              <a:solidFill>
                <a:srgbClr val="C00000"/>
              </a:solidFill>
            </a:rPr>
            <a:t>3</a:t>
          </a:r>
        </a:p>
      </xdr:txBody>
    </xdr:sp>
    <xdr:clientData/>
  </xdr:twoCellAnchor>
  <xdr:twoCellAnchor>
    <xdr:from>
      <xdr:col>10</xdr:col>
      <xdr:colOff>10885</xdr:colOff>
      <xdr:row>3</xdr:row>
      <xdr:rowOff>10886</xdr:rowOff>
    </xdr:from>
    <xdr:to>
      <xdr:col>11</xdr:col>
      <xdr:colOff>0</xdr:colOff>
      <xdr:row>4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7F15638-9D5E-45E2-9745-2B0CDE5C0841}"/>
            </a:ext>
          </a:extLst>
        </xdr:cNvPr>
        <xdr:cNvSpPr/>
      </xdr:nvSpPr>
      <xdr:spPr>
        <a:xfrm>
          <a:off x="10198825" y="810986"/>
          <a:ext cx="972095" cy="392974"/>
        </a:xfrm>
        <a:prstGeom prst="rect">
          <a:avLst/>
        </a:prstGeom>
        <a:solidFill>
          <a:schemeClr val="bg1"/>
        </a:solid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en-US" sz="2500" b="1">
              <a:solidFill>
                <a:srgbClr val="C00000"/>
              </a:solidFill>
            </a:rPr>
            <a:t>2</a:t>
          </a:r>
        </a:p>
        <a:p>
          <a:pPr algn="ctr"/>
          <a:endParaRPr lang="en-US" sz="2500" b="1">
            <a:solidFill>
              <a:srgbClr val="C00000"/>
            </a:solidFill>
          </a:endParaRPr>
        </a:p>
        <a:p>
          <a:pPr algn="ctr"/>
          <a:endParaRPr lang="en-US" sz="2500" b="1">
            <a:solidFill>
              <a:srgbClr val="C00000"/>
            </a:solidFill>
          </a:endParaRPr>
        </a:p>
      </xdr:txBody>
    </xdr:sp>
    <xdr:clientData/>
  </xdr:twoCellAnchor>
  <xdr:twoCellAnchor>
    <xdr:from>
      <xdr:col>12</xdr:col>
      <xdr:colOff>10884</xdr:colOff>
      <xdr:row>3</xdr:row>
      <xdr:rowOff>10886</xdr:rowOff>
    </xdr:from>
    <xdr:to>
      <xdr:col>16</xdr:col>
      <xdr:colOff>740228</xdr:colOff>
      <xdr:row>4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010536C-2552-4642-94FE-CFDE5AB925B5}"/>
            </a:ext>
          </a:extLst>
        </xdr:cNvPr>
        <xdr:cNvSpPr/>
      </xdr:nvSpPr>
      <xdr:spPr>
        <a:xfrm>
          <a:off x="12164784" y="810986"/>
          <a:ext cx="4661264" cy="392974"/>
        </a:xfrm>
        <a:prstGeom prst="rect">
          <a:avLst/>
        </a:prstGeom>
        <a:solidFill>
          <a:schemeClr val="bg1"/>
        </a:solid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en-US" sz="2500" b="1">
              <a:solidFill>
                <a:srgbClr val="C00000"/>
              </a:solidFill>
            </a:rPr>
            <a:t>1</a:t>
          </a:r>
        </a:p>
      </xdr:txBody>
    </xdr:sp>
    <xdr:clientData/>
  </xdr:twoCellAnchor>
  <xdr:twoCellAnchor>
    <xdr:from>
      <xdr:col>2</xdr:col>
      <xdr:colOff>48986</xdr:colOff>
      <xdr:row>3</xdr:row>
      <xdr:rowOff>10886</xdr:rowOff>
    </xdr:from>
    <xdr:to>
      <xdr:col>2</xdr:col>
      <xdr:colOff>1019175</xdr:colOff>
      <xdr:row>4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DFDDEAB-BB33-471B-A5A5-98F3BBEAFD18}"/>
            </a:ext>
          </a:extLst>
        </xdr:cNvPr>
        <xdr:cNvSpPr/>
      </xdr:nvSpPr>
      <xdr:spPr>
        <a:xfrm>
          <a:off x="2213066" y="810986"/>
          <a:ext cx="970189" cy="392974"/>
        </a:xfrm>
        <a:prstGeom prst="rect">
          <a:avLst/>
        </a:prstGeom>
        <a:solidFill>
          <a:schemeClr val="bg1"/>
        </a:solid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en-US" sz="2500" b="1">
              <a:solidFill>
                <a:srgbClr val="C00000"/>
              </a:solidFill>
            </a:rPr>
            <a:t>6</a:t>
          </a:r>
        </a:p>
      </xdr:txBody>
    </xdr:sp>
    <xdr:clientData/>
  </xdr:twoCellAnchor>
  <xdr:twoCellAnchor>
    <xdr:from>
      <xdr:col>4</xdr:col>
      <xdr:colOff>58511</xdr:colOff>
      <xdr:row>3</xdr:row>
      <xdr:rowOff>10886</xdr:rowOff>
    </xdr:from>
    <xdr:to>
      <xdr:col>4</xdr:col>
      <xdr:colOff>1028700</xdr:colOff>
      <xdr:row>4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8823C2E-FD8B-484E-AFDD-61EE5DF1190D}"/>
            </a:ext>
          </a:extLst>
        </xdr:cNvPr>
        <xdr:cNvSpPr/>
      </xdr:nvSpPr>
      <xdr:spPr>
        <a:xfrm>
          <a:off x="4295231" y="810986"/>
          <a:ext cx="970189" cy="392974"/>
        </a:xfrm>
        <a:prstGeom prst="rect">
          <a:avLst/>
        </a:prstGeom>
        <a:solidFill>
          <a:schemeClr val="bg1"/>
        </a:solid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en-US" sz="2500" b="1">
              <a:solidFill>
                <a:srgbClr val="C00000"/>
              </a:solidFill>
            </a:rPr>
            <a:t>5</a:t>
          </a:r>
        </a:p>
      </xdr:txBody>
    </xdr:sp>
    <xdr:clientData/>
  </xdr:twoCellAnchor>
  <xdr:twoCellAnchor>
    <xdr:from>
      <xdr:col>17</xdr:col>
      <xdr:colOff>20410</xdr:colOff>
      <xdr:row>3</xdr:row>
      <xdr:rowOff>10886</xdr:rowOff>
    </xdr:from>
    <xdr:to>
      <xdr:col>18</xdr:col>
      <xdr:colOff>9525</xdr:colOff>
      <xdr:row>4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93EA490-73AE-48E2-BBF5-40652E342122}"/>
            </a:ext>
          </a:extLst>
        </xdr:cNvPr>
        <xdr:cNvSpPr/>
      </xdr:nvSpPr>
      <xdr:spPr>
        <a:xfrm>
          <a:off x="17660710" y="810986"/>
          <a:ext cx="972095" cy="392974"/>
        </a:xfrm>
        <a:prstGeom prst="rect">
          <a:avLst/>
        </a:prstGeom>
        <a:solidFill>
          <a:schemeClr val="bg1"/>
        </a:solid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en-US" sz="2500" b="1">
              <a:solidFill>
                <a:srgbClr val="C00000"/>
              </a:solidFill>
            </a:rPr>
            <a:t>0</a:t>
          </a:r>
        </a:p>
      </xdr:txBody>
    </xdr:sp>
    <xdr:clientData/>
  </xdr:twoCellAnchor>
  <xdr:twoCellAnchor>
    <xdr:from>
      <xdr:col>6</xdr:col>
      <xdr:colOff>457200</xdr:colOff>
      <xdr:row>9</xdr:row>
      <xdr:rowOff>0</xdr:rowOff>
    </xdr:from>
    <xdr:to>
      <xdr:col>9</xdr:col>
      <xdr:colOff>895350</xdr:colOff>
      <xdr:row>11</xdr:row>
      <xdr:rowOff>200025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903A306A-54D5-4E02-90D4-DC76F20D834D}"/>
            </a:ext>
          </a:extLst>
        </xdr:cNvPr>
        <xdr:cNvCxnSpPr/>
      </xdr:nvCxnSpPr>
      <xdr:spPr>
        <a:xfrm>
          <a:off x="6713220" y="3322320"/>
          <a:ext cx="3387090" cy="893445"/>
        </a:xfrm>
        <a:prstGeom prst="bentConnector3">
          <a:avLst>
            <a:gd name="adj1" fmla="val 36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511628</xdr:colOff>
      <xdr:row>9</xdr:row>
      <xdr:rowOff>0</xdr:rowOff>
    </xdr:from>
    <xdr:to>
      <xdr:col>9</xdr:col>
      <xdr:colOff>885825</xdr:colOff>
      <xdr:row>11</xdr:row>
      <xdr:rowOff>200025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B30F5512-B9F6-427B-940B-F29D414E144F}"/>
            </a:ext>
          </a:extLst>
        </xdr:cNvPr>
        <xdr:cNvCxnSpPr/>
      </xdr:nvCxnSpPr>
      <xdr:spPr>
        <a:xfrm>
          <a:off x="8733608" y="3322320"/>
          <a:ext cx="1357177" cy="893445"/>
        </a:xfrm>
        <a:prstGeom prst="bentConnector3">
          <a:avLst>
            <a:gd name="adj1" fmla="val 95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11</xdr:row>
      <xdr:rowOff>200025</xdr:rowOff>
    </xdr:from>
    <xdr:to>
      <xdr:col>11</xdr:col>
      <xdr:colOff>962025</xdr:colOff>
      <xdr:row>11</xdr:row>
      <xdr:rowOff>200025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D3E704D-F856-4C85-B312-1F97EBBBFD9E}"/>
            </a:ext>
          </a:extLst>
        </xdr:cNvPr>
        <xdr:cNvCxnSpPr/>
      </xdr:nvCxnSpPr>
      <xdr:spPr>
        <a:xfrm>
          <a:off x="11209020" y="4215765"/>
          <a:ext cx="9239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11</xdr:row>
      <xdr:rowOff>200025</xdr:rowOff>
    </xdr:from>
    <xdr:to>
      <xdr:col>13</xdr:col>
      <xdr:colOff>962025</xdr:colOff>
      <xdr:row>11</xdr:row>
      <xdr:rowOff>200025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BD5E1E1-7815-44F9-B3AB-1351467B12CF}"/>
            </a:ext>
          </a:extLst>
        </xdr:cNvPr>
        <xdr:cNvCxnSpPr/>
      </xdr:nvCxnSpPr>
      <xdr:spPr>
        <a:xfrm>
          <a:off x="13174980" y="4215765"/>
          <a:ext cx="9239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9</xdr:row>
      <xdr:rowOff>10886</xdr:rowOff>
    </xdr:from>
    <xdr:to>
      <xdr:col>11</xdr:col>
      <xdr:colOff>895350</xdr:colOff>
      <xdr:row>15</xdr:row>
      <xdr:rowOff>180975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0D987EAF-2DE5-4CD8-A266-5FBE7B8D6F49}"/>
            </a:ext>
          </a:extLst>
        </xdr:cNvPr>
        <xdr:cNvCxnSpPr/>
      </xdr:nvCxnSpPr>
      <xdr:spPr>
        <a:xfrm>
          <a:off x="6713220" y="3333206"/>
          <a:ext cx="5353050" cy="2684689"/>
        </a:xfrm>
        <a:prstGeom prst="bentConnector3">
          <a:avLst>
            <a:gd name="adj1" fmla="val 2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6</xdr:row>
      <xdr:rowOff>219075</xdr:rowOff>
    </xdr:from>
    <xdr:to>
      <xdr:col>3</xdr:col>
      <xdr:colOff>981075</xdr:colOff>
      <xdr:row>6</xdr:row>
      <xdr:rowOff>219075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C927734-8683-4E61-911D-E91598764407}"/>
            </a:ext>
          </a:extLst>
        </xdr:cNvPr>
        <xdr:cNvCxnSpPr/>
      </xdr:nvCxnSpPr>
      <xdr:spPr>
        <a:xfrm>
          <a:off x="3257550" y="2146935"/>
          <a:ext cx="9239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6</xdr:row>
      <xdr:rowOff>219075</xdr:rowOff>
    </xdr:from>
    <xdr:to>
      <xdr:col>5</xdr:col>
      <xdr:colOff>962025</xdr:colOff>
      <xdr:row>6</xdr:row>
      <xdr:rowOff>219075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A22512F-0602-42CD-A882-331277FF7805}"/>
            </a:ext>
          </a:extLst>
        </xdr:cNvPr>
        <xdr:cNvCxnSpPr/>
      </xdr:nvCxnSpPr>
      <xdr:spPr>
        <a:xfrm>
          <a:off x="5311140" y="2146935"/>
          <a:ext cx="9239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6</xdr:row>
      <xdr:rowOff>219075</xdr:rowOff>
    </xdr:from>
    <xdr:to>
      <xdr:col>7</xdr:col>
      <xdr:colOff>962025</xdr:colOff>
      <xdr:row>6</xdr:row>
      <xdr:rowOff>219075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AA4A349-C0F0-478E-9EE4-354701558039}"/>
            </a:ext>
          </a:extLst>
        </xdr:cNvPr>
        <xdr:cNvCxnSpPr/>
      </xdr:nvCxnSpPr>
      <xdr:spPr>
        <a:xfrm>
          <a:off x="7277100" y="2146935"/>
          <a:ext cx="9239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</xdr:row>
      <xdr:rowOff>219075</xdr:rowOff>
    </xdr:from>
    <xdr:to>
      <xdr:col>9</xdr:col>
      <xdr:colOff>942975</xdr:colOff>
      <xdr:row>6</xdr:row>
      <xdr:rowOff>219075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C704CE4-4386-42CF-83D3-40F06B3C9B84}"/>
            </a:ext>
          </a:extLst>
        </xdr:cNvPr>
        <xdr:cNvCxnSpPr/>
      </xdr:nvCxnSpPr>
      <xdr:spPr>
        <a:xfrm>
          <a:off x="9224010" y="2146935"/>
          <a:ext cx="9239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6</xdr:row>
      <xdr:rowOff>219075</xdr:rowOff>
    </xdr:from>
    <xdr:to>
      <xdr:col>15</xdr:col>
      <xdr:colOff>947057</xdr:colOff>
      <xdr:row>6</xdr:row>
      <xdr:rowOff>219075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9C1A0AC-5C12-428B-88E9-5E97B5A8CD21}"/>
            </a:ext>
          </a:extLst>
        </xdr:cNvPr>
        <xdr:cNvCxnSpPr/>
      </xdr:nvCxnSpPr>
      <xdr:spPr>
        <a:xfrm>
          <a:off x="11209020" y="2146935"/>
          <a:ext cx="484087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15</xdr:row>
      <xdr:rowOff>190500</xdr:rowOff>
    </xdr:from>
    <xdr:to>
      <xdr:col>15</xdr:col>
      <xdr:colOff>962025</xdr:colOff>
      <xdr:row>15</xdr:row>
      <xdr:rowOff>190500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6D46FB4-7A27-4284-A5EA-C6F591D5B42F}"/>
            </a:ext>
          </a:extLst>
        </xdr:cNvPr>
        <xdr:cNvCxnSpPr/>
      </xdr:nvCxnSpPr>
      <xdr:spPr>
        <a:xfrm>
          <a:off x="13174980" y="6027420"/>
          <a:ext cx="288988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11</xdr:row>
      <xdr:rowOff>200025</xdr:rowOff>
    </xdr:from>
    <xdr:to>
      <xdr:col>15</xdr:col>
      <xdr:colOff>971550</xdr:colOff>
      <xdr:row>11</xdr:row>
      <xdr:rowOff>200025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739798B0-93EE-460E-8E24-E07C96A96E43}"/>
            </a:ext>
          </a:extLst>
        </xdr:cNvPr>
        <xdr:cNvCxnSpPr/>
      </xdr:nvCxnSpPr>
      <xdr:spPr>
        <a:xfrm>
          <a:off x="15150465" y="4215765"/>
          <a:ext cx="9239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489857</xdr:colOff>
      <xdr:row>14</xdr:row>
      <xdr:rowOff>10885</xdr:rowOff>
    </xdr:from>
    <xdr:to>
      <xdr:col>11</xdr:col>
      <xdr:colOff>904875</xdr:colOff>
      <xdr:row>15</xdr:row>
      <xdr:rowOff>180975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9B28CD2E-2D95-4ABA-9040-EB42C8BA6963}"/>
            </a:ext>
          </a:extLst>
        </xdr:cNvPr>
        <xdr:cNvCxnSpPr/>
      </xdr:nvCxnSpPr>
      <xdr:spPr>
        <a:xfrm>
          <a:off x="10677797" y="5642065"/>
          <a:ext cx="1397998" cy="375830"/>
        </a:xfrm>
        <a:prstGeom prst="bentConnector3">
          <a:avLst>
            <a:gd name="adj1" fmla="val 82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uuhongnhung_duytanrecycling_com/Documents/01.%20HE%20THONG%20THU%20MUA/00.%20DA%20SUPPLY%20CHAIN/05.%20TC2.%20Cai%20tien%20VH/TC2-03.%20Phan%20tich%20chi%20phi/Phan%20tich%20chi%20phi.%202026.06.04.xlsx" TargetMode="External"/><Relationship Id="rId1" Type="http://schemas.openxmlformats.org/officeDocument/2006/relationships/externalLinkPath" Target="Phan%20tich%20chi%20phi.%202026.06.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SƠ ĐỒ TỔNG"/>
      <sheetName val="Chuỗi giá trị tổng quan"/>
      <sheetName val="1.Vựa-&gt;ĐạiLý"/>
      <sheetName val="2.ĐạiLý-&gt;Chai"/>
      <sheetName val="3.Chai-&gt;Vảy (mua hết)"/>
      <sheetName val="3.Chai-&gt;Vảy (tuyển xô)"/>
      <sheetName val="3.Chai-&gt;Vảy (tuyển)"/>
      <sheetName val="Chuỗi giá trị chi tiết"/>
      <sheetName val="4.Vảy tuyển xô-&gt;NhàMáy"/>
      <sheetName val="4.Vảy tuyển-&gt;NhàMáy"/>
      <sheetName val="3.Chai-&gt;Trạm NB"/>
    </sheetNames>
    <sheetDataSet>
      <sheetData sheetId="0"/>
      <sheetData sheetId="1"/>
      <sheetData sheetId="2"/>
      <sheetData sheetId="3"/>
      <sheetData sheetId="4">
        <row r="21">
          <cell r="C21">
            <v>7000</v>
          </cell>
          <cell r="D21">
            <v>7000</v>
          </cell>
          <cell r="E21">
            <v>7000</v>
          </cell>
        </row>
      </sheetData>
      <sheetData sheetId="5">
        <row r="21">
          <cell r="C21">
            <v>11000</v>
          </cell>
          <cell r="D21">
            <v>11000</v>
          </cell>
          <cell r="E21">
            <v>11000</v>
          </cell>
        </row>
      </sheetData>
      <sheetData sheetId="6"/>
      <sheetData sheetId="7"/>
      <sheetData sheetId="8"/>
      <sheetData sheetId="9">
        <row r="24">
          <cell r="M24">
            <v>10956</v>
          </cell>
        </row>
      </sheetData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oàng, Trần Minh" id="{1751793C-EBCD-4086-98A4-1F38BACE70E1}" userId="S::tranminhhoang@duytanrecycling.com::c184dfb0-fdd7-4fb6-a869-18c4bb824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4-23T06:57:56.39" personId="{1751793C-EBCD-4086-98A4-1F38BACE70E1}" id="{68ACF480-7159-4667-995B-1AF9961BC76B}">
    <text>Giả thuyết: Tận dụng 2 chiều, tốn 50% xăng dầu + chi phí tài xế (200K)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43DF-CF93-48FA-AB60-649798133849}">
  <sheetPr>
    <tabColor theme="5"/>
  </sheetPr>
  <dimension ref="A1:R21"/>
  <sheetViews>
    <sheetView tabSelected="1" topLeftCell="A5" zoomScale="70" zoomScaleNormal="70" workbookViewId="0">
      <selection activeCell="G17" sqref="G17"/>
    </sheetView>
  </sheetViews>
  <sheetFormatPr defaultRowHeight="15.6" x14ac:dyDescent="0.3"/>
  <cols>
    <col min="1" max="1" width="19.59765625" style="2" bestFit="1" customWidth="1"/>
    <col min="2" max="2" width="8.796875" style="2"/>
    <col min="3" max="5" width="13.59765625" style="3" customWidth="1"/>
    <col min="6" max="16" width="12.8984375" style="2" customWidth="1"/>
    <col min="17" max="17" width="20.3984375" style="2" customWidth="1"/>
    <col min="18" max="18" width="12.8984375" style="2" customWidth="1"/>
    <col min="19" max="16384" width="8.796875" style="2"/>
  </cols>
  <sheetData>
    <row r="1" spans="1:18" ht="31.8" customHeight="1" x14ac:dyDescent="0.3">
      <c r="A1" s="1" t="s">
        <v>0</v>
      </c>
      <c r="F1" s="4"/>
    </row>
    <row r="2" spans="1:18" x14ac:dyDescent="0.3">
      <c r="F2" s="5"/>
    </row>
    <row r="3" spans="1:18" x14ac:dyDescent="0.3">
      <c r="F3" s="6"/>
    </row>
    <row r="4" spans="1:18" ht="31.8" customHeight="1" x14ac:dyDescent="0.3">
      <c r="A4" s="7" t="s">
        <v>1</v>
      </c>
      <c r="B4" s="8"/>
      <c r="C4" s="9"/>
      <c r="D4" s="9"/>
      <c r="E4" s="9"/>
      <c r="F4" s="10"/>
      <c r="G4" s="10">
        <v>4</v>
      </c>
      <c r="H4" s="10"/>
      <c r="I4" s="10">
        <v>3</v>
      </c>
      <c r="J4" s="10"/>
      <c r="K4" s="10" t="s">
        <v>2</v>
      </c>
      <c r="L4" s="10"/>
      <c r="M4" s="10">
        <v>1</v>
      </c>
      <c r="N4" s="10"/>
      <c r="O4" s="10"/>
      <c r="P4" s="10"/>
      <c r="Q4" s="11"/>
      <c r="R4" s="11"/>
    </row>
    <row r="5" spans="1:18" ht="25.8" x14ac:dyDescent="0.3">
      <c r="A5" s="12"/>
      <c r="B5" s="11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1"/>
    </row>
    <row r="6" spans="1:18" ht="31.2" customHeight="1" thickBot="1" x14ac:dyDescent="0.35">
      <c r="A6" s="13" t="s">
        <v>3</v>
      </c>
      <c r="B6" s="14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5"/>
      <c r="R6" s="28" t="s">
        <v>4</v>
      </c>
    </row>
    <row r="7" spans="1:18" ht="31.8" thickBot="1" x14ac:dyDescent="0.35">
      <c r="A7" s="26" t="s">
        <v>5</v>
      </c>
      <c r="B7" s="11"/>
      <c r="C7" s="16" t="s">
        <v>6</v>
      </c>
      <c r="D7" s="11"/>
      <c r="E7" s="16" t="s">
        <v>7</v>
      </c>
      <c r="F7" s="11"/>
      <c r="G7" s="16" t="s">
        <v>8</v>
      </c>
      <c r="H7" s="17"/>
      <c r="I7" s="16" t="s">
        <v>9</v>
      </c>
      <c r="J7" s="17"/>
      <c r="K7" s="16" t="s">
        <v>10</v>
      </c>
      <c r="L7" s="17"/>
      <c r="M7" s="10"/>
      <c r="N7" s="10"/>
      <c r="O7" s="10"/>
      <c r="P7" s="10"/>
      <c r="Q7" s="18" t="s">
        <v>11</v>
      </c>
      <c r="R7" s="28"/>
    </row>
    <row r="8" spans="1:18" ht="62.4" x14ac:dyDescent="0.3">
      <c r="A8" s="26" t="s">
        <v>12</v>
      </c>
      <c r="B8" s="11"/>
      <c r="C8" s="19" t="s">
        <v>13</v>
      </c>
      <c r="D8" s="9"/>
      <c r="E8" s="19" t="s">
        <v>14</v>
      </c>
      <c r="F8" s="11"/>
      <c r="G8" s="19" t="s">
        <v>15</v>
      </c>
      <c r="H8" s="20"/>
      <c r="I8" s="19" t="s">
        <v>16</v>
      </c>
      <c r="J8" s="20"/>
      <c r="K8" s="19" t="s">
        <v>17</v>
      </c>
      <c r="L8" s="20"/>
      <c r="M8" s="29"/>
      <c r="N8" s="29"/>
      <c r="O8" s="29"/>
      <c r="P8" s="20"/>
      <c r="Q8" s="15"/>
      <c r="R8" s="28"/>
    </row>
    <row r="9" spans="1:18" x14ac:dyDescent="0.3">
      <c r="A9" s="27" t="s">
        <v>18</v>
      </c>
      <c r="B9" s="21"/>
      <c r="C9" s="33">
        <v>0</v>
      </c>
      <c r="D9" s="22"/>
      <c r="E9" s="33">
        <v>0</v>
      </c>
      <c r="F9" s="23"/>
      <c r="G9" s="33">
        <f>'1.Vựa-&gt;ĐạiLý'!D16</f>
        <v>690</v>
      </c>
      <c r="H9" s="23"/>
      <c r="I9" s="33">
        <f>'2.ĐạiLý-&gt;Chai'!D16</f>
        <v>1710</v>
      </c>
      <c r="J9" s="23"/>
      <c r="K9" s="33">
        <f>'3.Chai-&gt;Vảy (mua hết)'!E16</f>
        <v>4466</v>
      </c>
      <c r="L9" s="24"/>
      <c r="M9" s="24"/>
      <c r="N9" s="24"/>
      <c r="O9" s="24"/>
      <c r="P9" s="24"/>
      <c r="Q9" s="15"/>
      <c r="R9" s="28"/>
    </row>
    <row r="10" spans="1:18" x14ac:dyDescent="0.3">
      <c r="A10" s="12"/>
      <c r="B10" s="11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5"/>
      <c r="R10" s="28"/>
    </row>
    <row r="11" spans="1:18" ht="39" customHeight="1" thickBot="1" x14ac:dyDescent="0.35">
      <c r="A11" s="13" t="s">
        <v>19</v>
      </c>
      <c r="B11" s="14"/>
      <c r="C11" s="9"/>
      <c r="D11" s="9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5"/>
      <c r="R11" s="28"/>
    </row>
    <row r="12" spans="1:18" ht="33.6" customHeight="1" thickBot="1" x14ac:dyDescent="0.35">
      <c r="A12" s="26" t="s">
        <v>5</v>
      </c>
      <c r="B12" s="11"/>
      <c r="C12" s="11"/>
      <c r="D12" s="11"/>
      <c r="E12" s="11"/>
      <c r="F12" s="11"/>
      <c r="G12" s="17"/>
      <c r="H12" s="17"/>
      <c r="I12" s="17"/>
      <c r="J12" s="17"/>
      <c r="K12" s="16" t="s">
        <v>20</v>
      </c>
      <c r="L12" s="17"/>
      <c r="M12" s="16" t="s">
        <v>21</v>
      </c>
      <c r="N12" s="17"/>
      <c r="O12" s="16" t="s">
        <v>22</v>
      </c>
      <c r="P12" s="17"/>
      <c r="Q12" s="18" t="s">
        <v>23</v>
      </c>
      <c r="R12" s="28"/>
    </row>
    <row r="13" spans="1:18" ht="78" x14ac:dyDescent="0.3">
      <c r="A13" s="26" t="s">
        <v>12</v>
      </c>
      <c r="B13" s="11"/>
      <c r="C13" s="9"/>
      <c r="D13" s="9"/>
      <c r="E13" s="9"/>
      <c r="F13" s="11"/>
      <c r="G13" s="20"/>
      <c r="H13" s="20"/>
      <c r="I13" s="20"/>
      <c r="J13" s="20"/>
      <c r="K13" s="19" t="s">
        <v>24</v>
      </c>
      <c r="L13" s="20"/>
      <c r="M13" s="19" t="s">
        <v>25</v>
      </c>
      <c r="N13" s="20"/>
      <c r="O13" s="19" t="s">
        <v>26</v>
      </c>
      <c r="P13" s="20"/>
      <c r="Q13" s="15"/>
      <c r="R13" s="28"/>
    </row>
    <row r="14" spans="1:18" x14ac:dyDescent="0.3">
      <c r="A14" s="27" t="s">
        <v>18</v>
      </c>
      <c r="B14" s="21"/>
      <c r="C14" s="22"/>
      <c r="D14" s="22"/>
      <c r="E14" s="22"/>
      <c r="F14" s="23"/>
      <c r="G14" s="23"/>
      <c r="H14" s="23"/>
      <c r="I14" s="23"/>
      <c r="J14" s="23"/>
      <c r="K14" s="33">
        <f>'2.ĐạiLý-&gt;Chai'!E16</f>
        <v>1915</v>
      </c>
      <c r="L14" s="24"/>
      <c r="M14" s="33">
        <f>'Công ty xử lý'!D6</f>
        <v>2983</v>
      </c>
      <c r="N14" s="24"/>
      <c r="O14" s="33">
        <f>'Công ty xử lý'!E6</f>
        <v>2316</v>
      </c>
      <c r="P14" s="24"/>
      <c r="Q14" s="15"/>
      <c r="R14" s="28"/>
    </row>
    <row r="15" spans="1:18" ht="16.2" thickBot="1" x14ac:dyDescent="0.35">
      <c r="A15" s="12"/>
      <c r="B15" s="11"/>
      <c r="C15" s="9"/>
      <c r="D15" s="9"/>
      <c r="E15" s="9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5"/>
      <c r="R15" s="28"/>
    </row>
    <row r="16" spans="1:18" ht="34.200000000000003" customHeight="1" thickBot="1" x14ac:dyDescent="0.35">
      <c r="A16" s="26" t="s">
        <v>5</v>
      </c>
      <c r="B16" s="11"/>
      <c r="C16" s="9"/>
      <c r="D16" s="9"/>
      <c r="E16" s="9"/>
      <c r="F16" s="11"/>
      <c r="G16" s="11"/>
      <c r="H16" s="11"/>
      <c r="I16" s="11"/>
      <c r="J16" s="11"/>
      <c r="K16" s="11"/>
      <c r="L16" s="17"/>
      <c r="M16" s="16" t="s">
        <v>27</v>
      </c>
      <c r="N16" s="17"/>
      <c r="O16" s="17"/>
      <c r="P16" s="17"/>
      <c r="Q16" s="18" t="s">
        <v>23</v>
      </c>
      <c r="R16" s="28"/>
    </row>
    <row r="17" spans="1:18" ht="62.4" x14ac:dyDescent="0.3">
      <c r="A17" s="26" t="s">
        <v>12</v>
      </c>
      <c r="B17" s="11"/>
      <c r="C17" s="9"/>
      <c r="D17" s="9"/>
      <c r="E17" s="9" t="s">
        <v>28</v>
      </c>
      <c r="F17" s="11"/>
      <c r="G17" s="11"/>
      <c r="H17" s="11"/>
      <c r="I17" s="11"/>
      <c r="J17" s="11"/>
      <c r="K17" s="11"/>
      <c r="L17" s="20"/>
      <c r="M17" s="19" t="s">
        <v>29</v>
      </c>
      <c r="N17" s="20"/>
      <c r="O17" s="20"/>
      <c r="P17" s="20"/>
      <c r="Q17" s="15"/>
      <c r="R17" s="28"/>
    </row>
    <row r="18" spans="1:18" x14ac:dyDescent="0.3">
      <c r="A18" s="27" t="s">
        <v>18</v>
      </c>
      <c r="B18" s="21"/>
      <c r="C18" s="22"/>
      <c r="D18" s="22"/>
      <c r="E18" s="22"/>
      <c r="F18" s="23"/>
      <c r="G18" s="23"/>
      <c r="H18" s="23"/>
      <c r="I18" s="23"/>
      <c r="J18" s="23"/>
      <c r="K18" s="24"/>
      <c r="L18" s="24"/>
      <c r="M18" s="33">
        <f>'Công ty xử lý'!C6</f>
        <v>1378</v>
      </c>
      <c r="N18" s="24"/>
      <c r="O18" s="24"/>
      <c r="P18" s="24"/>
      <c r="Q18" s="15"/>
      <c r="R18" s="28"/>
    </row>
    <row r="19" spans="1:18" x14ac:dyDescent="0.3">
      <c r="A19" s="11"/>
      <c r="B19" s="11"/>
      <c r="C19" s="9"/>
      <c r="D19" s="9"/>
      <c r="E19" s="9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8" x14ac:dyDescent="0.3">
      <c r="A20" s="11"/>
      <c r="B20" s="11"/>
      <c r="C20" s="9"/>
      <c r="D20" s="9"/>
      <c r="E20" s="9"/>
      <c r="F20" s="11"/>
      <c r="G20" s="11"/>
      <c r="H20" s="11"/>
      <c r="I20" s="11"/>
      <c r="J20" s="11"/>
      <c r="K20" s="25"/>
      <c r="L20" s="25"/>
      <c r="M20" s="25"/>
      <c r="N20" s="25"/>
      <c r="O20" s="25"/>
      <c r="P20" s="25"/>
    </row>
    <row r="21" spans="1:18" x14ac:dyDescent="0.3">
      <c r="A21" s="11"/>
      <c r="B21" s="11"/>
      <c r="C21" s="9"/>
      <c r="D21" s="9"/>
      <c r="E21" s="9"/>
      <c r="F21" s="11"/>
      <c r="G21" s="11"/>
      <c r="H21" s="11"/>
      <c r="I21" s="11"/>
      <c r="J21" s="11"/>
      <c r="K21" s="25"/>
      <c r="L21" s="25"/>
      <c r="M21" s="25"/>
      <c r="N21" s="25"/>
      <c r="O21" s="25"/>
      <c r="P21" s="25"/>
    </row>
  </sheetData>
  <mergeCells count="2">
    <mergeCell ref="R6:R18"/>
    <mergeCell ref="M8:O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1638-15C3-445D-961E-CE457C1BB631}">
  <dimension ref="A1:J49"/>
  <sheetViews>
    <sheetView zoomScale="80" zoomScaleNormal="80" workbookViewId="0">
      <pane ySplit="3" topLeftCell="A4" activePane="bottomLeft" state="frozen"/>
      <selection activeCell="C33" sqref="C33"/>
      <selection pane="bottomLeft" activeCell="E3" sqref="E1:E1048576"/>
    </sheetView>
  </sheetViews>
  <sheetFormatPr defaultColWidth="7.8984375" defaultRowHeight="14.4" x14ac:dyDescent="0.3"/>
  <cols>
    <col min="1" max="1" width="4.59765625" style="44" customWidth="1"/>
    <col min="2" max="2" width="32.09765625" style="44" customWidth="1"/>
    <col min="3" max="3" width="16.5" style="44" hidden="1" customWidth="1"/>
    <col min="4" max="4" width="16.5" style="44" customWidth="1"/>
    <col min="5" max="5" width="16.5" style="44" hidden="1" customWidth="1"/>
    <col min="6" max="8" width="16.5" style="44" customWidth="1"/>
    <col min="9" max="9" width="20.19921875" style="44" customWidth="1"/>
    <col min="10" max="10" width="26.59765625" style="44" customWidth="1"/>
    <col min="11" max="16384" width="7.8984375" style="44"/>
  </cols>
  <sheetData>
    <row r="1" spans="1:9" ht="15" customHeight="1" x14ac:dyDescent="0.3">
      <c r="A1" s="43" t="s">
        <v>47</v>
      </c>
      <c r="B1" s="43"/>
      <c r="C1" s="43"/>
      <c r="D1" s="43"/>
      <c r="E1" s="43"/>
      <c r="F1" s="43"/>
      <c r="G1" s="43"/>
      <c r="H1" s="43"/>
      <c r="I1" s="43"/>
    </row>
    <row r="2" spans="1:9" ht="15" customHeight="1" x14ac:dyDescent="0.3">
      <c r="A2" s="45" t="s">
        <v>48</v>
      </c>
      <c r="B2" s="45"/>
      <c r="C2" s="45"/>
      <c r="D2" s="45"/>
      <c r="E2" s="45"/>
      <c r="F2" s="45"/>
      <c r="G2" s="45"/>
      <c r="H2" s="45"/>
      <c r="I2" s="45"/>
    </row>
    <row r="4" spans="1:9" ht="15" customHeight="1" x14ac:dyDescent="0.3">
      <c r="A4" s="45" t="s">
        <v>49</v>
      </c>
      <c r="B4" s="45"/>
      <c r="C4" s="45"/>
      <c r="D4" s="45"/>
      <c r="E4" s="45"/>
      <c r="F4" s="45"/>
      <c r="G4" s="45"/>
      <c r="H4" s="45"/>
      <c r="I4" s="45"/>
    </row>
    <row r="5" spans="1:9" ht="27.6" x14ac:dyDescent="0.3">
      <c r="A5" s="46" t="s">
        <v>46</v>
      </c>
      <c r="B5" s="46" t="s">
        <v>50</v>
      </c>
      <c r="C5" s="46" t="s">
        <v>51</v>
      </c>
      <c r="D5" s="46" t="s">
        <v>52</v>
      </c>
      <c r="E5" s="46" t="s">
        <v>53</v>
      </c>
      <c r="F5" s="46" t="s">
        <v>54</v>
      </c>
      <c r="G5" s="46" t="s">
        <v>55</v>
      </c>
      <c r="H5" s="46" t="s">
        <v>56</v>
      </c>
      <c r="I5" s="46" t="s">
        <v>57</v>
      </c>
    </row>
    <row r="6" spans="1:9" x14ac:dyDescent="0.3">
      <c r="A6" s="47">
        <v>1</v>
      </c>
      <c r="B6" s="48" t="s">
        <v>58</v>
      </c>
      <c r="C6" s="49">
        <v>5000</v>
      </c>
      <c r="D6" s="50">
        <v>5000</v>
      </c>
      <c r="E6" s="50">
        <v>5000</v>
      </c>
      <c r="F6" s="51">
        <f t="shared" ref="F6:F15" si="0">C6-D6</f>
        <v>0</v>
      </c>
      <c r="G6" s="51">
        <f t="shared" ref="G6:G15" si="1">C6-E6</f>
        <v>0</v>
      </c>
      <c r="H6" s="52">
        <f t="shared" ref="H6:H17" si="2">IF(D6=0,0,(C6-D6)/D6)</f>
        <v>0</v>
      </c>
      <c r="I6" s="48"/>
    </row>
    <row r="7" spans="1:9" ht="55.2" x14ac:dyDescent="0.3">
      <c r="A7" s="47">
        <v>2</v>
      </c>
      <c r="B7" s="48" t="s">
        <v>59</v>
      </c>
      <c r="C7" s="49">
        <v>1700</v>
      </c>
      <c r="D7" s="50">
        <v>690</v>
      </c>
      <c r="E7" s="50">
        <v>420</v>
      </c>
      <c r="F7" s="51">
        <f t="shared" si="0"/>
        <v>1010</v>
      </c>
      <c r="G7" s="51">
        <f t="shared" si="1"/>
        <v>1280</v>
      </c>
      <c r="H7" s="52">
        <f t="shared" si="2"/>
        <v>1.463768115942029</v>
      </c>
      <c r="I7" s="48" t="s">
        <v>60</v>
      </c>
    </row>
    <row r="8" spans="1:9" x14ac:dyDescent="0.3">
      <c r="A8" s="47">
        <v>3</v>
      </c>
      <c r="B8" s="48" t="s">
        <v>61</v>
      </c>
      <c r="C8" s="49"/>
      <c r="D8" s="50"/>
      <c r="E8" s="50"/>
      <c r="F8" s="51">
        <f t="shared" si="0"/>
        <v>0</v>
      </c>
      <c r="G8" s="51">
        <f t="shared" si="1"/>
        <v>0</v>
      </c>
      <c r="H8" s="52">
        <f t="shared" si="2"/>
        <v>0</v>
      </c>
      <c r="I8" s="48"/>
    </row>
    <row r="9" spans="1:9" x14ac:dyDescent="0.3">
      <c r="A9" s="47">
        <v>4</v>
      </c>
      <c r="B9" s="48" t="s">
        <v>62</v>
      </c>
      <c r="C9" s="49"/>
      <c r="D9" s="50"/>
      <c r="E9" s="50"/>
      <c r="F9" s="51">
        <f t="shared" si="0"/>
        <v>0</v>
      </c>
      <c r="G9" s="51">
        <f t="shared" si="1"/>
        <v>0</v>
      </c>
      <c r="H9" s="52">
        <f t="shared" si="2"/>
        <v>0</v>
      </c>
      <c r="I9" s="48"/>
    </row>
    <row r="10" spans="1:9" x14ac:dyDescent="0.3">
      <c r="A10" s="47">
        <v>5</v>
      </c>
      <c r="B10" s="48" t="s">
        <v>63</v>
      </c>
      <c r="C10" s="49"/>
      <c r="D10" s="50"/>
      <c r="E10" s="50"/>
      <c r="F10" s="51">
        <f t="shared" si="0"/>
        <v>0</v>
      </c>
      <c r="G10" s="51">
        <f t="shared" si="1"/>
        <v>0</v>
      </c>
      <c r="H10" s="52">
        <f t="shared" si="2"/>
        <v>0</v>
      </c>
      <c r="I10" s="48"/>
    </row>
    <row r="11" spans="1:9" x14ac:dyDescent="0.3">
      <c r="A11" s="47">
        <v>6</v>
      </c>
      <c r="B11" s="48" t="s">
        <v>64</v>
      </c>
      <c r="C11" s="49"/>
      <c r="D11" s="50"/>
      <c r="E11" s="50"/>
      <c r="F11" s="51">
        <f t="shared" si="0"/>
        <v>0</v>
      </c>
      <c r="G11" s="51">
        <f t="shared" si="1"/>
        <v>0</v>
      </c>
      <c r="H11" s="52">
        <f t="shared" si="2"/>
        <v>0</v>
      </c>
      <c r="I11" s="48"/>
    </row>
    <row r="12" spans="1:9" x14ac:dyDescent="0.3">
      <c r="A12" s="47">
        <v>7</v>
      </c>
      <c r="B12" s="48" t="s">
        <v>65</v>
      </c>
      <c r="C12" s="49"/>
      <c r="D12" s="50"/>
      <c r="E12" s="50"/>
      <c r="F12" s="51">
        <f t="shared" si="0"/>
        <v>0</v>
      </c>
      <c r="G12" s="51">
        <f t="shared" si="1"/>
        <v>0</v>
      </c>
      <c r="H12" s="52">
        <f t="shared" si="2"/>
        <v>0</v>
      </c>
      <c r="I12" s="48"/>
    </row>
    <row r="13" spans="1:9" x14ac:dyDescent="0.3">
      <c r="A13" s="47">
        <v>8</v>
      </c>
      <c r="B13" s="48" t="s">
        <v>66</v>
      </c>
      <c r="C13" s="49"/>
      <c r="D13" s="50"/>
      <c r="E13" s="50"/>
      <c r="F13" s="51">
        <f t="shared" si="0"/>
        <v>0</v>
      </c>
      <c r="G13" s="51">
        <f t="shared" si="1"/>
        <v>0</v>
      </c>
      <c r="H13" s="52">
        <f t="shared" si="2"/>
        <v>0</v>
      </c>
      <c r="I13" s="48"/>
    </row>
    <row r="14" spans="1:9" x14ac:dyDescent="0.3">
      <c r="A14" s="47">
        <v>9</v>
      </c>
      <c r="B14" s="48" t="s">
        <v>67</v>
      </c>
      <c r="C14" s="49"/>
      <c r="D14" s="50"/>
      <c r="E14" s="50"/>
      <c r="F14" s="51">
        <f t="shared" si="0"/>
        <v>0</v>
      </c>
      <c r="G14" s="51">
        <f t="shared" si="1"/>
        <v>0</v>
      </c>
      <c r="H14" s="52">
        <f t="shared" si="2"/>
        <v>0</v>
      </c>
      <c r="I14" s="48"/>
    </row>
    <row r="15" spans="1:9" x14ac:dyDescent="0.3">
      <c r="A15" s="47">
        <v>10</v>
      </c>
      <c r="B15" s="48" t="s">
        <v>68</v>
      </c>
      <c r="C15" s="49"/>
      <c r="D15" s="50"/>
      <c r="E15" s="50"/>
      <c r="F15" s="51">
        <f t="shared" si="0"/>
        <v>0</v>
      </c>
      <c r="G15" s="51">
        <f t="shared" si="1"/>
        <v>0</v>
      </c>
      <c r="H15" s="52">
        <f t="shared" si="2"/>
        <v>0</v>
      </c>
      <c r="I15" s="48"/>
    </row>
    <row r="16" spans="1:9" x14ac:dyDescent="0.3">
      <c r="A16" s="53"/>
      <c r="B16" s="54" t="s">
        <v>69</v>
      </c>
      <c r="C16" s="55">
        <f>SUM(C7:C15)</f>
        <v>1700</v>
      </c>
      <c r="D16" s="55">
        <f t="shared" ref="D16:E16" si="3">SUM(D7:D15)</f>
        <v>690</v>
      </c>
      <c r="E16" s="55">
        <f t="shared" si="3"/>
        <v>420</v>
      </c>
      <c r="F16" s="56"/>
      <c r="G16" s="56"/>
      <c r="H16" s="57"/>
      <c r="I16" s="58"/>
    </row>
    <row r="17" spans="1:10" x14ac:dyDescent="0.3">
      <c r="A17" s="59"/>
      <c r="B17" s="60" t="s">
        <v>70</v>
      </c>
      <c r="C17" s="61">
        <f>SUM(C6:C15)</f>
        <v>6700</v>
      </c>
      <c r="D17" s="61">
        <f>SUM(D6:D15)</f>
        <v>5690</v>
      </c>
      <c r="E17" s="61">
        <f>SUM(E6:E15)</f>
        <v>5420</v>
      </c>
      <c r="F17" s="61">
        <f>SUM(F6:F15)</f>
        <v>1010</v>
      </c>
      <c r="G17" s="61">
        <f>SUM(G6:G15)</f>
        <v>1280</v>
      </c>
      <c r="H17" s="62">
        <f t="shared" si="2"/>
        <v>0.17750439367311072</v>
      </c>
      <c r="I17" s="60"/>
    </row>
    <row r="19" spans="1:10" ht="15" hidden="1" customHeight="1" x14ac:dyDescent="0.3">
      <c r="A19" s="45" t="s">
        <v>71</v>
      </c>
      <c r="B19" s="45"/>
      <c r="C19" s="45"/>
      <c r="D19" s="45"/>
      <c r="E19" s="45"/>
      <c r="F19" s="45"/>
      <c r="G19" s="45"/>
      <c r="H19" s="45"/>
      <c r="I19" s="45"/>
    </row>
    <row r="20" spans="1:10" hidden="1" x14ac:dyDescent="0.3">
      <c r="A20" s="46" t="s">
        <v>46</v>
      </c>
      <c r="B20" s="46" t="s">
        <v>72</v>
      </c>
      <c r="C20" s="46" t="s">
        <v>73</v>
      </c>
      <c r="D20" s="46" t="s">
        <v>74</v>
      </c>
      <c r="E20" s="46" t="s">
        <v>75</v>
      </c>
      <c r="F20" s="46" t="s">
        <v>54</v>
      </c>
      <c r="G20" s="46" t="s">
        <v>55</v>
      </c>
      <c r="H20" s="46" t="s">
        <v>76</v>
      </c>
      <c r="I20" s="46" t="s">
        <v>57</v>
      </c>
    </row>
    <row r="21" spans="1:10" ht="55.2" hidden="1" x14ac:dyDescent="0.3">
      <c r="A21" s="47">
        <v>1</v>
      </c>
      <c r="B21" s="48" t="s">
        <v>77</v>
      </c>
      <c r="C21" s="49">
        <v>7000</v>
      </c>
      <c r="D21" s="50">
        <v>7000</v>
      </c>
      <c r="E21" s="50">
        <v>7000</v>
      </c>
      <c r="I21" s="48" t="s">
        <v>78</v>
      </c>
      <c r="J21" s="63" t="s">
        <v>79</v>
      </c>
    </row>
    <row r="22" spans="1:10" hidden="1" x14ac:dyDescent="0.3">
      <c r="A22" s="47">
        <v>2</v>
      </c>
      <c r="B22" s="48" t="s">
        <v>80</v>
      </c>
      <c r="C22" s="64">
        <f>C17</f>
        <v>6700</v>
      </c>
      <c r="D22" s="64">
        <f>D17</f>
        <v>5690</v>
      </c>
      <c r="E22" s="64">
        <f>E17</f>
        <v>5420</v>
      </c>
      <c r="I22" s="48"/>
    </row>
    <row r="23" spans="1:10" hidden="1" x14ac:dyDescent="0.3">
      <c r="A23" s="47">
        <v>3</v>
      </c>
      <c r="B23" s="48" t="s">
        <v>81</v>
      </c>
      <c r="C23" s="51">
        <f>C21-C22</f>
        <v>300</v>
      </c>
      <c r="D23" s="51">
        <f>D21-D22</f>
        <v>1310</v>
      </c>
      <c r="E23" s="51">
        <f>E21-E22</f>
        <v>1580</v>
      </c>
      <c r="F23" s="51">
        <f>C23-D23</f>
        <v>-1010</v>
      </c>
      <c r="G23" s="51">
        <f>C23-E23</f>
        <v>-1280</v>
      </c>
      <c r="I23" s="48"/>
    </row>
    <row r="24" spans="1:10" hidden="1" x14ac:dyDescent="0.3">
      <c r="A24" s="47">
        <v>4</v>
      </c>
      <c r="B24" s="48" t="s">
        <v>82</v>
      </c>
      <c r="C24" s="52">
        <f>IF(C21=0,0,C23/C21)</f>
        <v>4.2857142857142858E-2</v>
      </c>
      <c r="D24" s="52">
        <f>IF(D21=0,0,D23/D21)</f>
        <v>0.18714285714285714</v>
      </c>
      <c r="E24" s="52">
        <f>IF(E21=0,0,E23/E21)</f>
        <v>0.2257142857142857</v>
      </c>
      <c r="F24" s="52">
        <f>C24-D24</f>
        <v>-0.14428571428571429</v>
      </c>
      <c r="G24" s="52">
        <f>C24-E24</f>
        <v>-0.18285714285714283</v>
      </c>
      <c r="H24" s="65" t="str">
        <f>IF(C24&gt;D24,"NB tốt hơn",IF(C24&lt;D24,"BN tốt hơn","Ngang nhau"))</f>
        <v>BN tốt hơn</v>
      </c>
      <c r="I24" s="48"/>
    </row>
    <row r="25" spans="1:10" hidden="1" x14ac:dyDescent="0.3">
      <c r="A25" s="47">
        <v>5</v>
      </c>
      <c r="B25" s="48" t="s">
        <v>83</v>
      </c>
      <c r="C25" s="51">
        <f>IF(C23=0,0,50000000/C23)</f>
        <v>166666.66666666666</v>
      </c>
      <c r="D25" s="51">
        <f>IF(D23=0,0,50000000/D23)</f>
        <v>38167.938931297707</v>
      </c>
      <c r="E25" s="51">
        <f>IF(E23=0,0,50000000/E23)</f>
        <v>31645.569620253165</v>
      </c>
      <c r="F25" s="52">
        <f>C25-D25</f>
        <v>128498.72773536894</v>
      </c>
      <c r="G25" s="52">
        <f>C25-E25</f>
        <v>135021.09704641349</v>
      </c>
      <c r="I25" s="48"/>
    </row>
    <row r="26" spans="1:10" hidden="1" x14ac:dyDescent="0.3">
      <c r="A26" s="47">
        <v>6</v>
      </c>
      <c r="B26" s="48" t="s">
        <v>84</v>
      </c>
      <c r="C26" s="52">
        <f>IF(C22=0,0,C23/C22)</f>
        <v>4.4776119402985072E-2</v>
      </c>
      <c r="D26" s="52">
        <f>IF(D22=0,0,D23/D22)</f>
        <v>0.23022847100175747</v>
      </c>
      <c r="E26" s="52">
        <f>IF(E22=0,0,E23/E22)</f>
        <v>0.29151291512915128</v>
      </c>
      <c r="F26" s="52">
        <f>C26-D26</f>
        <v>-0.18545235159877241</v>
      </c>
      <c r="G26" s="52">
        <f>C26-E26</f>
        <v>-0.24673679572616622</v>
      </c>
      <c r="I26" s="48"/>
    </row>
    <row r="27" spans="1:10" hidden="1" x14ac:dyDescent="0.3"/>
    <row r="28" spans="1:10" hidden="1" x14ac:dyDescent="0.3"/>
    <row r="29" spans="1:10" ht="15" hidden="1" customHeight="1" x14ac:dyDescent="0.3">
      <c r="A29" s="45" t="s">
        <v>85</v>
      </c>
      <c r="B29" s="45"/>
      <c r="C29" s="45"/>
      <c r="D29" s="45"/>
      <c r="E29" s="45"/>
      <c r="F29" s="45"/>
      <c r="G29" s="45"/>
      <c r="H29" s="45"/>
      <c r="I29" s="45"/>
    </row>
    <row r="30" spans="1:10" hidden="1" x14ac:dyDescent="0.3">
      <c r="A30" s="46" t="s">
        <v>46</v>
      </c>
      <c r="B30" s="46" t="s">
        <v>86</v>
      </c>
      <c r="C30" s="46" t="s">
        <v>87</v>
      </c>
      <c r="D30" s="46" t="s">
        <v>88</v>
      </c>
      <c r="E30" s="46" t="s">
        <v>89</v>
      </c>
      <c r="F30" s="46" t="s">
        <v>90</v>
      </c>
      <c r="G30" s="46" t="s">
        <v>91</v>
      </c>
      <c r="H30" s="46" t="s">
        <v>92</v>
      </c>
      <c r="I30" s="46" t="s">
        <v>93</v>
      </c>
    </row>
    <row r="31" spans="1:10" hidden="1" x14ac:dyDescent="0.3">
      <c r="A31" s="47">
        <v>1</v>
      </c>
      <c r="B31" s="66">
        <v>5</v>
      </c>
      <c r="C31" s="51">
        <f>C17*(1-LN(B31/5)*0.02)</f>
        <v>6700</v>
      </c>
      <c r="D31" s="51">
        <f>D17*(1-LN(B31/5)*0.02)</f>
        <v>5690</v>
      </c>
      <c r="E31" s="51">
        <f>E17*(1-LN(B31/5)*0.02)</f>
        <v>5420</v>
      </c>
      <c r="F31" s="51">
        <f>(C21-C31)*B31*1000</f>
        <v>1500000</v>
      </c>
      <c r="G31" s="51">
        <f>(D21-D31)*B31*1000</f>
        <v>6550000</v>
      </c>
      <c r="H31" s="51">
        <f>(E21-E31)*B31*1000</f>
        <v>7900000</v>
      </c>
      <c r="I31" s="65" t="str">
        <f t="shared" ref="I31:I37" si="4">IF(AND(F31&gt;=G31,F31&gt;=H31),"Nội bộ",IF(AND(G31&gt;=F31,G31&gt;=H31),"Bên ngoài","OEM"))</f>
        <v>OEM</v>
      </c>
    </row>
    <row r="32" spans="1:10" hidden="1" x14ac:dyDescent="0.3">
      <c r="A32" s="47">
        <v>2</v>
      </c>
      <c r="B32" s="66">
        <v>10</v>
      </c>
      <c r="C32" s="51">
        <f>C17*(1-LN(B32/5)*0.02)</f>
        <v>6607.1182778049679</v>
      </c>
      <c r="D32" s="51">
        <f>D17*(1-LN(B32/5)*0.02)</f>
        <v>5611.1198508522784</v>
      </c>
      <c r="E32" s="51">
        <f>E17*(1-LN(B32/5)*0.02)</f>
        <v>5344.8628456273018</v>
      </c>
      <c r="F32" s="51">
        <f>(C21-C32)*B32*1000</f>
        <v>3928817.2219503215</v>
      </c>
      <c r="G32" s="51">
        <f>(D21-D32)*B32*1000</f>
        <v>13888801.491477216</v>
      </c>
      <c r="H32" s="51">
        <f>(E21-E32)*B32*1000</f>
        <v>16551371.543726983</v>
      </c>
      <c r="I32" s="65" t="str">
        <f t="shared" si="4"/>
        <v>OEM</v>
      </c>
    </row>
    <row r="33" spans="1:9" hidden="1" x14ac:dyDescent="0.3">
      <c r="A33" s="47">
        <v>3</v>
      </c>
      <c r="B33" s="66">
        <v>20</v>
      </c>
      <c r="C33" s="51">
        <f>C17*(1-LN(B33/5)*0.02)</f>
        <v>6514.2365556099348</v>
      </c>
      <c r="D33" s="51">
        <f>D17*(1-LN(B33/5)*0.02)</f>
        <v>5532.2397017045569</v>
      </c>
      <c r="E33" s="51">
        <f>E17*(1-LN(B33/5)*0.02)</f>
        <v>5269.7256912546045</v>
      </c>
      <c r="F33" s="51">
        <f>(C21-C33)*B33*1000</f>
        <v>9715268.8878013026</v>
      </c>
      <c r="G33" s="51">
        <f>(D21-D33)*B33*1000</f>
        <v>29355205.965908863</v>
      </c>
      <c r="H33" s="51">
        <f>(E21-E33)*B33*1000</f>
        <v>34605486.174907915</v>
      </c>
      <c r="I33" s="65" t="str">
        <f t="shared" si="4"/>
        <v>OEM</v>
      </c>
    </row>
    <row r="34" spans="1:9" hidden="1" x14ac:dyDescent="0.3">
      <c r="A34" s="47">
        <v>4</v>
      </c>
      <c r="B34" s="66">
        <v>50</v>
      </c>
      <c r="C34" s="51">
        <f>C17*(1-LN(B34/5)*0.02)</f>
        <v>6391.453597538798</v>
      </c>
      <c r="D34" s="51">
        <f>D17*(1-LN(B34/5)*0.02)</f>
        <v>5427.965816417277</v>
      </c>
      <c r="E34" s="51">
        <f>E17*(1-LN(B34/5)*0.02)</f>
        <v>5170.3997759194453</v>
      </c>
      <c r="F34" s="51">
        <f>(C21-C34)*B34*1000</f>
        <v>30427320.123060096</v>
      </c>
      <c r="G34" s="51">
        <f>(D21-D34)*B34*1000</f>
        <v>78601709.179136142</v>
      </c>
      <c r="H34" s="51">
        <f>(E21-E34)*B34*1000</f>
        <v>91480011.204027727</v>
      </c>
      <c r="I34" s="65" t="str">
        <f t="shared" si="4"/>
        <v>OEM</v>
      </c>
    </row>
    <row r="35" spans="1:9" hidden="1" x14ac:dyDescent="0.3">
      <c r="A35" s="47">
        <v>5</v>
      </c>
      <c r="B35" s="66">
        <v>100</v>
      </c>
      <c r="C35" s="51">
        <f>C17*(1-LN(B35/5)*0.02)</f>
        <v>6298.571875343765</v>
      </c>
      <c r="D35" s="51">
        <f>D17*(1-LN(B35/5)*0.02)</f>
        <v>5349.0856672695554</v>
      </c>
      <c r="E35" s="51">
        <f>E17*(1-LN(B35/5)*0.02)</f>
        <v>5095.2626215467471</v>
      </c>
      <c r="F35" s="51">
        <f>(C21-C35)*B35*1000</f>
        <v>70142812.465623498</v>
      </c>
      <c r="G35" s="51">
        <f>(D21-D35)*B35*1000</f>
        <v>165091433.27304447</v>
      </c>
      <c r="H35" s="51">
        <f>(E21-E35)*B35*1000</f>
        <v>190473737.84532529</v>
      </c>
      <c r="I35" s="65" t="str">
        <f t="shared" si="4"/>
        <v>OEM</v>
      </c>
    </row>
    <row r="36" spans="1:9" hidden="1" x14ac:dyDescent="0.3">
      <c r="A36" s="47">
        <v>6</v>
      </c>
      <c r="B36" s="66">
        <v>200</v>
      </c>
      <c r="C36" s="51">
        <f>C17*(1-LN(B36/5)*0.02)</f>
        <v>6205.6901531487329</v>
      </c>
      <c r="D36" s="51">
        <f>D17*(1-LN(B36/5)*0.02)</f>
        <v>5270.2055181218338</v>
      </c>
      <c r="E36" s="51">
        <f>E17*(1-LN(B36/5)*0.02)</f>
        <v>5020.1254671740489</v>
      </c>
      <c r="F36" s="51">
        <f>(C21-C36)*B36*1000</f>
        <v>158861969.37025344</v>
      </c>
      <c r="G36" s="51">
        <f>(D21-D36)*B36*1000</f>
        <v>345958896.37563324</v>
      </c>
      <c r="H36" s="51">
        <f>(E21-E36)*B36*1000</f>
        <v>395974906.56519026</v>
      </c>
      <c r="I36" s="65" t="str">
        <f t="shared" si="4"/>
        <v>OEM</v>
      </c>
    </row>
    <row r="37" spans="1:9" hidden="1" x14ac:dyDescent="0.3">
      <c r="A37" s="47">
        <v>7</v>
      </c>
      <c r="B37" s="66">
        <v>500</v>
      </c>
      <c r="C37" s="51">
        <f>C17*(1-LN(B37/5)*0.02)</f>
        <v>6082.9071950775951</v>
      </c>
      <c r="D37" s="51">
        <f>D17*(1-LN(B37/5)*0.02)</f>
        <v>5165.9316328345549</v>
      </c>
      <c r="E37" s="51">
        <f>E17*(1-LN(B37/5)*0.02)</f>
        <v>4920.7995518388907</v>
      </c>
      <c r="F37" s="51">
        <f>(C21-C37)*B37*1000</f>
        <v>458546402.46120238</v>
      </c>
      <c r="G37" s="51">
        <f>(D21-D37)*B37*1000</f>
        <v>917034183.58272254</v>
      </c>
      <c r="H37" s="51">
        <f>(E21-E37)*B37*1000</f>
        <v>1039600224.0805547</v>
      </c>
      <c r="I37" s="65" t="str">
        <f t="shared" si="4"/>
        <v>OEM</v>
      </c>
    </row>
    <row r="38" spans="1:9" hidden="1" x14ac:dyDescent="0.3"/>
    <row r="39" spans="1:9" hidden="1" x14ac:dyDescent="0.3"/>
    <row r="40" spans="1:9" ht="15" hidden="1" customHeight="1" x14ac:dyDescent="0.3">
      <c r="A40" s="45" t="s">
        <v>94</v>
      </c>
      <c r="B40" s="45"/>
      <c r="C40" s="45"/>
      <c r="D40" s="45"/>
      <c r="E40" s="45"/>
      <c r="F40" s="45"/>
      <c r="G40" s="45"/>
      <c r="H40" s="45"/>
      <c r="I40" s="45"/>
    </row>
    <row r="41" spans="1:9" hidden="1" x14ac:dyDescent="0.3">
      <c r="A41" s="46" t="s">
        <v>46</v>
      </c>
      <c r="B41" s="46" t="s">
        <v>95</v>
      </c>
      <c r="C41" s="46" t="s">
        <v>96</v>
      </c>
      <c r="D41" s="46" t="s">
        <v>97</v>
      </c>
      <c r="E41" s="46" t="s">
        <v>98</v>
      </c>
      <c r="F41" s="46" t="s">
        <v>99</v>
      </c>
      <c r="G41" s="46" t="s">
        <v>100</v>
      </c>
      <c r="H41" s="46" t="s">
        <v>101</v>
      </c>
      <c r="I41" s="46" t="s">
        <v>102</v>
      </c>
    </row>
    <row r="42" spans="1:9" hidden="1" x14ac:dyDescent="0.3">
      <c r="A42" s="47">
        <v>1</v>
      </c>
      <c r="B42" s="48" t="s">
        <v>103</v>
      </c>
      <c r="C42" s="67">
        <v>0.25</v>
      </c>
      <c r="D42" s="68">
        <v>8</v>
      </c>
      <c r="E42" s="68">
        <v>6</v>
      </c>
      <c r="F42" s="68">
        <v>5</v>
      </c>
      <c r="G42" s="69">
        <f>C42*D42</f>
        <v>2</v>
      </c>
      <c r="H42" s="69">
        <f t="shared" ref="H42:H48" si="5">C42*E42</f>
        <v>1.5</v>
      </c>
      <c r="I42" s="69">
        <f t="shared" ref="I42:I48" si="6">C42*F42</f>
        <v>1.25</v>
      </c>
    </row>
    <row r="43" spans="1:9" hidden="1" x14ac:dyDescent="0.3">
      <c r="A43" s="47">
        <v>2</v>
      </c>
      <c r="B43" s="48" t="s">
        <v>104</v>
      </c>
      <c r="C43" s="67">
        <v>0.2</v>
      </c>
      <c r="D43" s="68">
        <v>9</v>
      </c>
      <c r="E43" s="68">
        <v>6</v>
      </c>
      <c r="F43" s="68">
        <v>7</v>
      </c>
      <c r="G43" s="69">
        <f t="shared" ref="G43:G48" si="7">C43*D43</f>
        <v>1.8</v>
      </c>
      <c r="H43" s="69">
        <f t="shared" si="5"/>
        <v>1.2000000000000002</v>
      </c>
      <c r="I43" s="69">
        <f t="shared" si="6"/>
        <v>1.4000000000000001</v>
      </c>
    </row>
    <row r="44" spans="1:9" hidden="1" x14ac:dyDescent="0.3">
      <c r="A44" s="47">
        <v>3</v>
      </c>
      <c r="B44" s="48" t="s">
        <v>105</v>
      </c>
      <c r="C44" s="67">
        <v>0.15</v>
      </c>
      <c r="D44" s="68">
        <v>7</v>
      </c>
      <c r="E44" s="68">
        <v>6</v>
      </c>
      <c r="F44" s="68">
        <v>9</v>
      </c>
      <c r="G44" s="69">
        <f t="shared" si="7"/>
        <v>1.05</v>
      </c>
      <c r="H44" s="69">
        <f t="shared" si="5"/>
        <v>0.89999999999999991</v>
      </c>
      <c r="I44" s="69">
        <f t="shared" si="6"/>
        <v>1.3499999999999999</v>
      </c>
    </row>
    <row r="45" spans="1:9" hidden="1" x14ac:dyDescent="0.3">
      <c r="A45" s="47">
        <v>4</v>
      </c>
      <c r="B45" s="48" t="s">
        <v>106</v>
      </c>
      <c r="C45" s="67">
        <v>0.15</v>
      </c>
      <c r="D45" s="68">
        <v>8</v>
      </c>
      <c r="E45" s="68">
        <v>7</v>
      </c>
      <c r="F45" s="68">
        <v>6</v>
      </c>
      <c r="G45" s="69">
        <f t="shared" si="7"/>
        <v>1.2</v>
      </c>
      <c r="H45" s="69">
        <f t="shared" si="5"/>
        <v>1.05</v>
      </c>
      <c r="I45" s="69">
        <f t="shared" si="6"/>
        <v>0.89999999999999991</v>
      </c>
    </row>
    <row r="46" spans="1:9" hidden="1" x14ac:dyDescent="0.3">
      <c r="A46" s="47">
        <v>5</v>
      </c>
      <c r="B46" s="48" t="s">
        <v>107</v>
      </c>
      <c r="C46" s="67">
        <v>0.1</v>
      </c>
      <c r="D46" s="68">
        <v>7</v>
      </c>
      <c r="E46" s="68">
        <v>5</v>
      </c>
      <c r="F46" s="68">
        <v>9</v>
      </c>
      <c r="G46" s="69">
        <f t="shared" si="7"/>
        <v>0.70000000000000007</v>
      </c>
      <c r="H46" s="69">
        <f t="shared" si="5"/>
        <v>0.5</v>
      </c>
      <c r="I46" s="69">
        <f t="shared" si="6"/>
        <v>0.9</v>
      </c>
    </row>
    <row r="47" spans="1:9" hidden="1" x14ac:dyDescent="0.3">
      <c r="A47" s="47">
        <v>6</v>
      </c>
      <c r="B47" s="48" t="s">
        <v>108</v>
      </c>
      <c r="C47" s="67">
        <v>0.1</v>
      </c>
      <c r="D47" s="68">
        <v>6</v>
      </c>
      <c r="E47" s="68">
        <v>7</v>
      </c>
      <c r="F47" s="68">
        <v>8</v>
      </c>
      <c r="G47" s="69">
        <f t="shared" si="7"/>
        <v>0.60000000000000009</v>
      </c>
      <c r="H47" s="69">
        <f t="shared" si="5"/>
        <v>0.70000000000000007</v>
      </c>
      <c r="I47" s="69">
        <f t="shared" si="6"/>
        <v>0.8</v>
      </c>
    </row>
    <row r="48" spans="1:9" hidden="1" x14ac:dyDescent="0.3">
      <c r="A48" s="47">
        <v>7</v>
      </c>
      <c r="B48" s="48" t="s">
        <v>109</v>
      </c>
      <c r="C48" s="67">
        <v>0.05</v>
      </c>
      <c r="D48" s="68">
        <v>8</v>
      </c>
      <c r="E48" s="68">
        <v>5</v>
      </c>
      <c r="F48" s="68">
        <v>7</v>
      </c>
      <c r="G48" s="69">
        <f t="shared" si="7"/>
        <v>0.4</v>
      </c>
      <c r="H48" s="69">
        <f t="shared" si="5"/>
        <v>0.25</v>
      </c>
      <c r="I48" s="69">
        <f t="shared" si="6"/>
        <v>0.35000000000000003</v>
      </c>
    </row>
    <row r="49" spans="1:9" hidden="1" x14ac:dyDescent="0.3">
      <c r="A49" s="70"/>
      <c r="B49" s="71" t="s">
        <v>110</v>
      </c>
      <c r="C49" s="72">
        <f>SUM(C42:C48)</f>
        <v>1</v>
      </c>
      <c r="D49" s="70"/>
      <c r="E49" s="70"/>
      <c r="F49" s="70"/>
      <c r="G49" s="73">
        <f>SUM(G42:G48)</f>
        <v>7.75</v>
      </c>
      <c r="H49" s="73">
        <f>SUM(H42:H48)</f>
        <v>6.1000000000000005</v>
      </c>
      <c r="I49" s="73">
        <f>SUM(I42:I48)</f>
        <v>6.95</v>
      </c>
    </row>
  </sheetData>
  <mergeCells count="6">
    <mergeCell ref="A1:I1"/>
    <mergeCell ref="A2:I2"/>
    <mergeCell ref="A4:I4"/>
    <mergeCell ref="A19:I19"/>
    <mergeCell ref="A29:I29"/>
    <mergeCell ref="A40:I4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DB97-2173-4DA2-AABC-2B2EC7665466}">
  <dimension ref="A1:J50"/>
  <sheetViews>
    <sheetView zoomScale="85" zoomScaleNormal="85" workbookViewId="0">
      <pane ySplit="3" topLeftCell="A4" activePane="bottomLeft" state="frozen"/>
      <selection activeCell="C33" sqref="C33"/>
      <selection pane="bottomLeft" activeCell="C3" sqref="C1:C1048576"/>
    </sheetView>
  </sheetViews>
  <sheetFormatPr defaultColWidth="7.8984375" defaultRowHeight="14.4" x14ac:dyDescent="0.3"/>
  <cols>
    <col min="1" max="1" width="4.59765625" style="44" customWidth="1"/>
    <col min="2" max="2" width="32.09765625" style="44" customWidth="1"/>
    <col min="3" max="3" width="16.5" style="44" hidden="1" customWidth="1"/>
    <col min="4" max="8" width="16.5" style="44" customWidth="1"/>
    <col min="9" max="9" width="20.19921875" style="44" customWidth="1"/>
    <col min="10" max="16384" width="7.8984375" style="44"/>
  </cols>
  <sheetData>
    <row r="1" spans="1:10" ht="15" customHeight="1" x14ac:dyDescent="0.3">
      <c r="A1" s="43" t="s">
        <v>111</v>
      </c>
      <c r="B1" s="43"/>
      <c r="C1" s="43"/>
      <c r="D1" s="43"/>
      <c r="E1" s="43"/>
      <c r="F1" s="43"/>
      <c r="G1" s="43"/>
      <c r="H1" s="43"/>
      <c r="I1" s="43"/>
    </row>
    <row r="2" spans="1:10" ht="15" customHeight="1" x14ac:dyDescent="0.3">
      <c r="A2" s="45" t="s">
        <v>112</v>
      </c>
      <c r="B2" s="45"/>
      <c r="C2" s="45"/>
      <c r="D2" s="45"/>
      <c r="E2" s="45"/>
      <c r="F2" s="45"/>
      <c r="G2" s="45"/>
      <c r="H2" s="45"/>
      <c r="I2" s="45"/>
      <c r="J2" s="74" t="s">
        <v>113</v>
      </c>
    </row>
    <row r="4" spans="1:10" ht="15" customHeight="1" x14ac:dyDescent="0.3">
      <c r="A4" s="45" t="s">
        <v>49</v>
      </c>
      <c r="B4" s="45"/>
      <c r="C4" s="45"/>
      <c r="D4" s="45"/>
      <c r="E4" s="45"/>
      <c r="F4" s="45"/>
      <c r="G4" s="45"/>
      <c r="H4" s="45"/>
      <c r="I4" s="45"/>
    </row>
    <row r="5" spans="1:10" ht="27.6" x14ac:dyDescent="0.3">
      <c r="A5" s="46" t="s">
        <v>46</v>
      </c>
      <c r="B5" s="46" t="s">
        <v>50</v>
      </c>
      <c r="C5" s="46" t="s">
        <v>51</v>
      </c>
      <c r="D5" s="46" t="s">
        <v>52</v>
      </c>
      <c r="E5" s="46" t="s">
        <v>53</v>
      </c>
      <c r="F5" s="46" t="s">
        <v>54</v>
      </c>
      <c r="G5" s="46" t="s">
        <v>55</v>
      </c>
      <c r="H5" s="46" t="s">
        <v>56</v>
      </c>
      <c r="I5" s="46" t="s">
        <v>57</v>
      </c>
    </row>
    <row r="6" spans="1:10" x14ac:dyDescent="0.3">
      <c r="A6" s="47">
        <v>1</v>
      </c>
      <c r="B6" s="48" t="s">
        <v>58</v>
      </c>
      <c r="C6" s="49">
        <f>'[1]1.Vựa-&gt;ĐạiLý'!C21</f>
        <v>7000</v>
      </c>
      <c r="D6" s="50">
        <f>'[1]1.Vựa-&gt;ĐạiLý'!D21</f>
        <v>7000</v>
      </c>
      <c r="E6" s="50">
        <f>'[1]1.Vựa-&gt;ĐạiLý'!E21</f>
        <v>7000</v>
      </c>
      <c r="F6" s="51">
        <f t="shared" ref="F6:F15" si="0">C6-D6</f>
        <v>0</v>
      </c>
      <c r="G6" s="51">
        <f t="shared" ref="G6:G15" si="1">C6-E6</f>
        <v>0</v>
      </c>
      <c r="H6" s="52">
        <f t="shared" ref="H6:H17" si="2">IF(D6=0,0,(C6-D6)/D6)</f>
        <v>0</v>
      </c>
      <c r="I6" s="48"/>
    </row>
    <row r="7" spans="1:10" x14ac:dyDescent="0.3">
      <c r="A7" s="47">
        <v>2</v>
      </c>
      <c r="B7" s="48" t="s">
        <v>59</v>
      </c>
      <c r="C7" s="49">
        <v>0</v>
      </c>
      <c r="D7" s="50">
        <v>0</v>
      </c>
      <c r="E7" s="50">
        <v>0</v>
      </c>
      <c r="F7" s="51">
        <f t="shared" si="0"/>
        <v>0</v>
      </c>
      <c r="G7" s="51">
        <f t="shared" si="1"/>
        <v>0</v>
      </c>
      <c r="H7" s="52">
        <f t="shared" si="2"/>
        <v>0</v>
      </c>
      <c r="I7" s="48"/>
    </row>
    <row r="8" spans="1:10" x14ac:dyDescent="0.3">
      <c r="A8" s="47">
        <v>3</v>
      </c>
      <c r="B8" s="48" t="s">
        <v>61</v>
      </c>
      <c r="C8" s="49">
        <v>3180</v>
      </c>
      <c r="D8" s="50">
        <v>1360</v>
      </c>
      <c r="E8" s="50">
        <v>1565</v>
      </c>
      <c r="F8" s="51">
        <f t="shared" si="0"/>
        <v>1820</v>
      </c>
      <c r="G8" s="51">
        <f t="shared" si="1"/>
        <v>1615</v>
      </c>
      <c r="H8" s="52">
        <f t="shared" si="2"/>
        <v>1.338235294117647</v>
      </c>
      <c r="I8" s="48"/>
    </row>
    <row r="9" spans="1:10" x14ac:dyDescent="0.3">
      <c r="A9" s="47">
        <v>4</v>
      </c>
      <c r="B9" s="48" t="s">
        <v>62</v>
      </c>
      <c r="C9" s="49"/>
      <c r="D9" s="50"/>
      <c r="E9" s="50"/>
      <c r="F9" s="51">
        <f t="shared" si="0"/>
        <v>0</v>
      </c>
      <c r="G9" s="51">
        <f t="shared" si="1"/>
        <v>0</v>
      </c>
      <c r="H9" s="52">
        <f t="shared" si="2"/>
        <v>0</v>
      </c>
      <c r="I9" s="48"/>
    </row>
    <row r="10" spans="1:10" x14ac:dyDescent="0.3">
      <c r="A10" s="47">
        <v>5</v>
      </c>
      <c r="B10" s="48" t="s">
        <v>63</v>
      </c>
      <c r="C10" s="49"/>
      <c r="D10" s="50"/>
      <c r="E10" s="50"/>
      <c r="F10" s="51">
        <f t="shared" si="0"/>
        <v>0</v>
      </c>
      <c r="G10" s="51">
        <f t="shared" si="1"/>
        <v>0</v>
      </c>
      <c r="H10" s="52">
        <f t="shared" si="2"/>
        <v>0</v>
      </c>
      <c r="I10" s="48"/>
    </row>
    <row r="11" spans="1:10" x14ac:dyDescent="0.3">
      <c r="A11" s="47">
        <v>6</v>
      </c>
      <c r="B11" s="48" t="s">
        <v>64</v>
      </c>
      <c r="C11" s="49">
        <f>I11*C6</f>
        <v>350</v>
      </c>
      <c r="D11" s="50">
        <f>I11*D6</f>
        <v>350</v>
      </c>
      <c r="E11" s="50">
        <f>I11*E6</f>
        <v>350</v>
      </c>
      <c r="F11" s="51">
        <f t="shared" si="0"/>
        <v>0</v>
      </c>
      <c r="G11" s="51">
        <f t="shared" si="1"/>
        <v>0</v>
      </c>
      <c r="H11" s="52">
        <f t="shared" si="2"/>
        <v>0</v>
      </c>
      <c r="I11" s="75">
        <v>0.05</v>
      </c>
    </row>
    <row r="12" spans="1:10" x14ac:dyDescent="0.3">
      <c r="A12" s="47">
        <v>7</v>
      </c>
      <c r="B12" s="48" t="s">
        <v>65</v>
      </c>
      <c r="C12" s="49"/>
      <c r="D12" s="50"/>
      <c r="E12" s="50"/>
      <c r="F12" s="51">
        <f t="shared" si="0"/>
        <v>0</v>
      </c>
      <c r="G12" s="51">
        <f t="shared" si="1"/>
        <v>0</v>
      </c>
      <c r="H12" s="52">
        <f t="shared" si="2"/>
        <v>0</v>
      </c>
      <c r="I12" s="48"/>
    </row>
    <row r="13" spans="1:10" x14ac:dyDescent="0.3">
      <c r="A13" s="47">
        <v>8</v>
      </c>
      <c r="B13" s="48" t="s">
        <v>66</v>
      </c>
      <c r="C13" s="49"/>
      <c r="D13" s="50"/>
      <c r="E13" s="50"/>
      <c r="F13" s="51">
        <f t="shared" si="0"/>
        <v>0</v>
      </c>
      <c r="G13" s="51">
        <f t="shared" si="1"/>
        <v>0</v>
      </c>
      <c r="H13" s="52">
        <f t="shared" si="2"/>
        <v>0</v>
      </c>
      <c r="I13" s="48"/>
    </row>
    <row r="14" spans="1:10" x14ac:dyDescent="0.3">
      <c r="A14" s="47">
        <v>9</v>
      </c>
      <c r="B14" s="48" t="s">
        <v>67</v>
      </c>
      <c r="C14" s="49"/>
      <c r="D14" s="50"/>
      <c r="E14" s="50"/>
      <c r="F14" s="51">
        <f t="shared" si="0"/>
        <v>0</v>
      </c>
      <c r="G14" s="51">
        <f t="shared" si="1"/>
        <v>0</v>
      </c>
      <c r="H14" s="52">
        <f t="shared" si="2"/>
        <v>0</v>
      </c>
      <c r="I14" s="48"/>
    </row>
    <row r="15" spans="1:10" ht="27.6" x14ac:dyDescent="0.3">
      <c r="A15" s="47">
        <v>10</v>
      </c>
      <c r="B15" s="48" t="s">
        <v>68</v>
      </c>
      <c r="C15" s="49"/>
      <c r="D15" s="50"/>
      <c r="E15" s="50"/>
      <c r="F15" s="51">
        <f t="shared" si="0"/>
        <v>0</v>
      </c>
      <c r="G15" s="51">
        <f t="shared" si="1"/>
        <v>0</v>
      </c>
      <c r="H15" s="52">
        <f t="shared" si="2"/>
        <v>0</v>
      </c>
      <c r="I15" s="48" t="s">
        <v>123</v>
      </c>
    </row>
    <row r="16" spans="1:10" x14ac:dyDescent="0.3">
      <c r="A16" s="53"/>
      <c r="B16" s="54" t="s">
        <v>69</v>
      </c>
      <c r="C16" s="55">
        <f>SUM(C7:C15)</f>
        <v>3530</v>
      </c>
      <c r="D16" s="55">
        <f t="shared" ref="D16:E16" si="3">SUM(D7:D15)</f>
        <v>1710</v>
      </c>
      <c r="E16" s="55">
        <f t="shared" si="3"/>
        <v>1915</v>
      </c>
      <c r="F16" s="56"/>
      <c r="G16" s="56"/>
      <c r="H16" s="57"/>
      <c r="I16" s="58"/>
    </row>
    <row r="17" spans="1:9" x14ac:dyDescent="0.3">
      <c r="A17" s="59"/>
      <c r="B17" s="60" t="s">
        <v>70</v>
      </c>
      <c r="C17" s="61">
        <f>SUM(C6:C15)</f>
        <v>10530</v>
      </c>
      <c r="D17" s="61">
        <f>SUM(D6:D15)</f>
        <v>8710</v>
      </c>
      <c r="E17" s="61">
        <f>SUM(E6:E15)</f>
        <v>8915</v>
      </c>
      <c r="F17" s="61">
        <f>SUM(F6:F15)</f>
        <v>1820</v>
      </c>
      <c r="G17" s="61">
        <f>SUM(G6:G15)</f>
        <v>1615</v>
      </c>
      <c r="H17" s="62">
        <f t="shared" si="2"/>
        <v>0.20895522388059701</v>
      </c>
      <c r="I17" s="60"/>
    </row>
    <row r="19" spans="1:9" ht="15" hidden="1" customHeight="1" x14ac:dyDescent="0.3">
      <c r="A19" s="45" t="s">
        <v>71</v>
      </c>
      <c r="B19" s="45"/>
      <c r="C19" s="45"/>
      <c r="D19" s="45"/>
      <c r="E19" s="45"/>
      <c r="F19" s="45"/>
      <c r="G19" s="45"/>
      <c r="H19" s="45"/>
      <c r="I19" s="45"/>
    </row>
    <row r="20" spans="1:9" hidden="1" x14ac:dyDescent="0.3">
      <c r="A20" s="46" t="s">
        <v>46</v>
      </c>
      <c r="B20" s="46" t="s">
        <v>72</v>
      </c>
      <c r="C20" s="46" t="s">
        <v>73</v>
      </c>
      <c r="D20" s="46" t="s">
        <v>74</v>
      </c>
      <c r="E20" s="46" t="s">
        <v>75</v>
      </c>
      <c r="F20" s="46" t="s">
        <v>54</v>
      </c>
      <c r="G20" s="46" t="s">
        <v>55</v>
      </c>
      <c r="H20" s="46" t="s">
        <v>76</v>
      </c>
      <c r="I20" s="46" t="s">
        <v>57</v>
      </c>
    </row>
    <row r="21" spans="1:9" ht="69" hidden="1" x14ac:dyDescent="0.3">
      <c r="A21" s="47">
        <v>1</v>
      </c>
      <c r="B21" s="48" t="s">
        <v>77</v>
      </c>
      <c r="C21" s="49">
        <v>11000</v>
      </c>
      <c r="D21" s="50">
        <v>11000</v>
      </c>
      <c r="E21" s="50">
        <v>11000</v>
      </c>
      <c r="I21" s="48" t="s">
        <v>114</v>
      </c>
    </row>
    <row r="22" spans="1:9" hidden="1" x14ac:dyDescent="0.3">
      <c r="A22" s="47">
        <v>2</v>
      </c>
      <c r="B22" s="48" t="s">
        <v>80</v>
      </c>
      <c r="C22" s="64">
        <f>C17</f>
        <v>10530</v>
      </c>
      <c r="D22" s="64">
        <f>D17</f>
        <v>8710</v>
      </c>
      <c r="E22" s="64">
        <f>E17</f>
        <v>8915</v>
      </c>
      <c r="I22" s="48"/>
    </row>
    <row r="23" spans="1:9" hidden="1" x14ac:dyDescent="0.3">
      <c r="A23" s="47">
        <v>3</v>
      </c>
      <c r="B23" s="48" t="s">
        <v>81</v>
      </c>
      <c r="C23" s="51">
        <f>C21-C22</f>
        <v>470</v>
      </c>
      <c r="D23" s="51">
        <f>D21-D22</f>
        <v>2290</v>
      </c>
      <c r="E23" s="51">
        <f>E21-E22</f>
        <v>2085</v>
      </c>
      <c r="F23" s="51">
        <f>C23-D23</f>
        <v>-1820</v>
      </c>
      <c r="G23" s="51">
        <f>C23-E23</f>
        <v>-1615</v>
      </c>
      <c r="I23" s="48"/>
    </row>
    <row r="24" spans="1:9" hidden="1" x14ac:dyDescent="0.3">
      <c r="A24" s="47">
        <v>4</v>
      </c>
      <c r="B24" s="48" t="s">
        <v>82</v>
      </c>
      <c r="C24" s="52">
        <f>IF(C21=0,0,C23/C21)</f>
        <v>4.2727272727272725E-2</v>
      </c>
      <c r="D24" s="52">
        <f>IF(D21=0,0,D23/D21)</f>
        <v>0.20818181818181819</v>
      </c>
      <c r="E24" s="52">
        <f>IF(E21=0,0,E23/E21)</f>
        <v>0.18954545454545454</v>
      </c>
      <c r="F24" s="52">
        <f>C24-D24</f>
        <v>-0.16545454545454547</v>
      </c>
      <c r="G24" s="52">
        <f>C24-E24</f>
        <v>-0.14681818181818182</v>
      </c>
      <c r="H24" s="65" t="str">
        <f>IF(C24&gt;D24,"NB tốt hơn",IF(C24&lt;D24,"BN tốt hơn","Ngang nhau"))</f>
        <v>BN tốt hơn</v>
      </c>
      <c r="I24" s="48"/>
    </row>
    <row r="25" spans="1:9" hidden="1" x14ac:dyDescent="0.3">
      <c r="A25" s="47">
        <v>5</v>
      </c>
      <c r="B25" s="48" t="s">
        <v>83</v>
      </c>
      <c r="C25" s="51">
        <f>IF(C23=0,0,50000000/C23)</f>
        <v>106382.97872340426</v>
      </c>
      <c r="D25" s="51">
        <f>IF(D23=0,0,50000000/D23)</f>
        <v>21834.061135371179</v>
      </c>
      <c r="E25" s="51">
        <f>IF(E23=0,0,50000000/E23)</f>
        <v>23980.815347721822</v>
      </c>
      <c r="F25" s="52">
        <f>C25-D25</f>
        <v>84548.917588033073</v>
      </c>
      <c r="G25" s="52">
        <f>C25-E25</f>
        <v>82402.16337568243</v>
      </c>
      <c r="I25" s="48"/>
    </row>
    <row r="26" spans="1:9" hidden="1" x14ac:dyDescent="0.3">
      <c r="A26" s="47">
        <v>6</v>
      </c>
      <c r="B26" s="48" t="s">
        <v>84</v>
      </c>
      <c r="C26" s="52">
        <f>IF(C22=0,0,C23/C22)</f>
        <v>4.4634377967711303E-2</v>
      </c>
      <c r="D26" s="52">
        <f>IF(D22=0,0,D23/D22)</f>
        <v>0.26291618828932262</v>
      </c>
      <c r="E26" s="52">
        <f>IF(E22=0,0,E23/E22)</f>
        <v>0.23387549074593381</v>
      </c>
      <c r="F26" s="52">
        <f>C26-D26</f>
        <v>-0.21828181032161131</v>
      </c>
      <c r="G26" s="52">
        <f>C26-E26</f>
        <v>-0.1892411127782225</v>
      </c>
      <c r="I26" s="48"/>
    </row>
    <row r="27" spans="1:9" hidden="1" x14ac:dyDescent="0.3"/>
    <row r="28" spans="1:9" hidden="1" x14ac:dyDescent="0.3"/>
    <row r="29" spans="1:9" ht="15" hidden="1" customHeight="1" x14ac:dyDescent="0.3">
      <c r="A29" s="45" t="s">
        <v>85</v>
      </c>
      <c r="B29" s="45"/>
      <c r="C29" s="45"/>
      <c r="D29" s="45"/>
      <c r="E29" s="45"/>
      <c r="F29" s="45"/>
      <c r="G29" s="45"/>
      <c r="H29" s="45"/>
      <c r="I29" s="45"/>
    </row>
    <row r="30" spans="1:9" hidden="1" x14ac:dyDescent="0.3">
      <c r="A30" s="46" t="s">
        <v>46</v>
      </c>
      <c r="B30" s="46" t="s">
        <v>86</v>
      </c>
      <c r="C30" s="46" t="s">
        <v>87</v>
      </c>
      <c r="D30" s="46" t="s">
        <v>88</v>
      </c>
      <c r="E30" s="46" t="s">
        <v>89</v>
      </c>
      <c r="F30" s="46" t="s">
        <v>90</v>
      </c>
      <c r="G30" s="46" t="s">
        <v>91</v>
      </c>
      <c r="H30" s="46" t="s">
        <v>92</v>
      </c>
      <c r="I30" s="46" t="s">
        <v>93</v>
      </c>
    </row>
    <row r="31" spans="1:9" hidden="1" x14ac:dyDescent="0.3">
      <c r="A31" s="47">
        <v>1</v>
      </c>
      <c r="B31" s="66">
        <v>5</v>
      </c>
      <c r="C31" s="51">
        <f>C17*(1-LN(B31/5)*0.02)</f>
        <v>10530</v>
      </c>
      <c r="D31" s="51">
        <f>D17*(1-LN(B31/5)*0.02)</f>
        <v>8710</v>
      </c>
      <c r="E31" s="51">
        <f>E17*(1-LN(B31/5)*0.02)</f>
        <v>8915</v>
      </c>
      <c r="F31" s="51">
        <f>(C21-C31)*B31*1000</f>
        <v>2350000</v>
      </c>
      <c r="G31" s="51">
        <f>(D21-D31)*B31*1000</f>
        <v>11450000</v>
      </c>
      <c r="H31" s="51">
        <f>(E21-E31)*B31*1000</f>
        <v>10425000</v>
      </c>
      <c r="I31" s="65" t="str">
        <f t="shared" ref="I31:I37" si="4">IF(AND(F31&gt;=G31,F31&gt;=H31),"Nội bộ",IF(AND(G31&gt;=F31,G31&gt;=H31),"Bên ngoài","OEM"))</f>
        <v>Bên ngoài</v>
      </c>
    </row>
    <row r="32" spans="1:9" hidden="1" x14ac:dyDescent="0.3">
      <c r="A32" s="47">
        <v>2</v>
      </c>
      <c r="B32" s="66">
        <v>10</v>
      </c>
      <c r="C32" s="51">
        <f>C17*(1-LN(B32/5)*0.02)</f>
        <v>10384.023203774075</v>
      </c>
      <c r="D32" s="51">
        <f>D17*(1-LN(B32/5)*0.02)</f>
        <v>8589.2537611464577</v>
      </c>
      <c r="E32" s="51">
        <f>E17*(1-LN(B32/5)*0.02)</f>
        <v>8791.4118577061618</v>
      </c>
      <c r="F32" s="51">
        <f>(C21-C32)*B32*1000</f>
        <v>6159767.9622592479</v>
      </c>
      <c r="G32" s="51">
        <f>(D21-D32)*B32*1000</f>
        <v>24107462.388535421</v>
      </c>
      <c r="H32" s="51">
        <f>(E21-E32)*B32*1000</f>
        <v>22085881.422938384</v>
      </c>
      <c r="I32" s="65" t="str">
        <f t="shared" si="4"/>
        <v>Bên ngoài</v>
      </c>
    </row>
    <row r="33" spans="1:9" hidden="1" x14ac:dyDescent="0.3">
      <c r="A33" s="47">
        <v>3</v>
      </c>
      <c r="B33" s="66">
        <v>20</v>
      </c>
      <c r="C33" s="51">
        <f>C17*(1-LN(B33/5)*0.02)</f>
        <v>10238.046407548152</v>
      </c>
      <c r="D33" s="51">
        <f>D17*(1-LN(B33/5)*0.02)</f>
        <v>8468.5075222929154</v>
      </c>
      <c r="E33" s="51">
        <f>E17*(1-LN(B33/5)*0.02)</f>
        <v>8667.8237154123235</v>
      </c>
      <c r="F33" s="51">
        <f>(C21-C33)*B33*1000</f>
        <v>15239071.849036954</v>
      </c>
      <c r="G33" s="51">
        <f>(D21-D33)*B33*1000</f>
        <v>50629849.554141693</v>
      </c>
      <c r="H33" s="51">
        <f>(E21-E33)*B33*1000</f>
        <v>46643525.691753529</v>
      </c>
      <c r="I33" s="65" t="str">
        <f t="shared" si="4"/>
        <v>Bên ngoài</v>
      </c>
    </row>
    <row r="34" spans="1:9" hidden="1" x14ac:dyDescent="0.3">
      <c r="A34" s="47">
        <v>4</v>
      </c>
      <c r="B34" s="66">
        <v>50</v>
      </c>
      <c r="C34" s="51">
        <f>C17*(1-LN(B34/5)*0.02)</f>
        <v>10045.075579415454</v>
      </c>
      <c r="D34" s="51">
        <f>D17*(1-LN(B34/5)*0.02)</f>
        <v>8308.8896768004361</v>
      </c>
      <c r="E34" s="51">
        <f>E17*(1-LN(B34/5)*0.02)</f>
        <v>8504.4490779191619</v>
      </c>
      <c r="F34" s="51">
        <f>(C21-C34)*B34*1000</f>
        <v>47746221.029227309</v>
      </c>
      <c r="G34" s="51">
        <f>(D21-D34)*B34*1000</f>
        <v>134555516.15997821</v>
      </c>
      <c r="H34" s="51">
        <f>(E21-E34)*B34*1000</f>
        <v>124777546.1040419</v>
      </c>
      <c r="I34" s="65" t="str">
        <f t="shared" si="4"/>
        <v>Bên ngoài</v>
      </c>
    </row>
    <row r="35" spans="1:9" hidden="1" x14ac:dyDescent="0.3">
      <c r="A35" s="47">
        <v>5</v>
      </c>
      <c r="B35" s="66">
        <v>100</v>
      </c>
      <c r="C35" s="51">
        <f>C17*(1-LN(B35/5)*0.02)</f>
        <v>9899.0987831895291</v>
      </c>
      <c r="D35" s="51">
        <f>D17*(1-LN(B35/5)*0.02)</f>
        <v>8188.1434379468947</v>
      </c>
      <c r="E35" s="51">
        <f>E17*(1-LN(B35/5)*0.02)</f>
        <v>8380.8609356253237</v>
      </c>
      <c r="F35" s="51">
        <f>(C21-C35)*B35*1000</f>
        <v>110090121.6810471</v>
      </c>
      <c r="G35" s="51">
        <f>(D21-D35)*B35*1000</f>
        <v>281185656.20531052</v>
      </c>
      <c r="H35" s="51">
        <f>(E21-E35)*B35*1000</f>
        <v>261913906.43746763</v>
      </c>
      <c r="I35" s="65" t="str">
        <f t="shared" si="4"/>
        <v>Bên ngoài</v>
      </c>
    </row>
    <row r="36" spans="1:9" hidden="1" x14ac:dyDescent="0.3">
      <c r="A36" s="47">
        <v>6</v>
      </c>
      <c r="B36" s="66">
        <v>200</v>
      </c>
      <c r="C36" s="51">
        <f>C17*(1-LN(B36/5)*0.02)</f>
        <v>9753.1219869636043</v>
      </c>
      <c r="D36" s="51">
        <f>D17*(1-LN(B36/5)*0.02)</f>
        <v>8067.3971990933524</v>
      </c>
      <c r="E36" s="51">
        <f>E17*(1-LN(B36/5)*0.02)</f>
        <v>8257.2727933314854</v>
      </c>
      <c r="F36" s="51">
        <f>(C21-C36)*B36*1000</f>
        <v>249375602.60727915</v>
      </c>
      <c r="G36" s="51">
        <f>(D21-D36)*B36*1000</f>
        <v>586520560.18132949</v>
      </c>
      <c r="H36" s="51">
        <f>(E21-E36)*B36*1000</f>
        <v>548545441.33370292</v>
      </c>
      <c r="I36" s="65" t="str">
        <f t="shared" si="4"/>
        <v>Bên ngoài</v>
      </c>
    </row>
    <row r="37" spans="1:9" hidden="1" x14ac:dyDescent="0.3">
      <c r="A37" s="47">
        <v>7</v>
      </c>
      <c r="B37" s="66">
        <v>500</v>
      </c>
      <c r="C37" s="51">
        <f>C17*(1-LN(B37/5)*0.02)</f>
        <v>9560.1511588309077</v>
      </c>
      <c r="D37" s="51">
        <f>D17*(1-LN(B37/5)*0.02)</f>
        <v>7907.7793536008739</v>
      </c>
      <c r="E37" s="51">
        <f>E17*(1-LN(B37/5)*0.02)</f>
        <v>8093.898155838323</v>
      </c>
      <c r="F37" s="51">
        <f>(C21-C37)*B37*1000</f>
        <v>719924420.58454621</v>
      </c>
      <c r="G37" s="51">
        <f>(D21-D37)*B37*1000</f>
        <v>1546110323.199563</v>
      </c>
      <c r="H37" s="51">
        <f>(E21-E37)*B37*1000</f>
        <v>1453050922.0808387</v>
      </c>
      <c r="I37" s="65" t="str">
        <f t="shared" si="4"/>
        <v>Bên ngoài</v>
      </c>
    </row>
    <row r="38" spans="1:9" hidden="1" x14ac:dyDescent="0.3"/>
    <row r="39" spans="1:9" hidden="1" x14ac:dyDescent="0.3"/>
    <row r="40" spans="1:9" ht="15" hidden="1" customHeight="1" x14ac:dyDescent="0.3">
      <c r="A40" s="45" t="s">
        <v>94</v>
      </c>
      <c r="B40" s="45"/>
      <c r="C40" s="45"/>
      <c r="D40" s="45"/>
      <c r="E40" s="45"/>
      <c r="F40" s="45"/>
      <c r="G40" s="45"/>
      <c r="H40" s="45"/>
      <c r="I40" s="45"/>
    </row>
    <row r="41" spans="1:9" hidden="1" x14ac:dyDescent="0.3">
      <c r="A41" s="46" t="s">
        <v>46</v>
      </c>
      <c r="B41" s="46" t="s">
        <v>95</v>
      </c>
      <c r="C41" s="46" t="s">
        <v>96</v>
      </c>
      <c r="D41" s="46" t="s">
        <v>97</v>
      </c>
      <c r="E41" s="46" t="s">
        <v>98</v>
      </c>
      <c r="F41" s="46" t="s">
        <v>99</v>
      </c>
      <c r="G41" s="46" t="s">
        <v>100</v>
      </c>
      <c r="H41" s="46" t="s">
        <v>101</v>
      </c>
      <c r="I41" s="46" t="s">
        <v>102</v>
      </c>
    </row>
    <row r="42" spans="1:9" hidden="1" x14ac:dyDescent="0.3">
      <c r="A42" s="47">
        <v>1</v>
      </c>
      <c r="B42" s="48" t="s">
        <v>103</v>
      </c>
      <c r="C42" s="67">
        <v>0.25</v>
      </c>
      <c r="D42" s="68">
        <v>8</v>
      </c>
      <c r="E42" s="68">
        <v>6</v>
      </c>
      <c r="F42" s="68">
        <v>5</v>
      </c>
      <c r="G42" s="69">
        <f t="shared" ref="G42:G48" si="5">C42*D42</f>
        <v>2</v>
      </c>
      <c r="H42" s="69">
        <f t="shared" ref="H42:H48" si="6">C42*E42</f>
        <v>1.5</v>
      </c>
      <c r="I42" s="69">
        <f t="shared" ref="I42:I48" si="7">C42*F42</f>
        <v>1.25</v>
      </c>
    </row>
    <row r="43" spans="1:9" hidden="1" x14ac:dyDescent="0.3">
      <c r="A43" s="47">
        <v>2</v>
      </c>
      <c r="B43" s="48" t="s">
        <v>104</v>
      </c>
      <c r="C43" s="67">
        <v>0.2</v>
      </c>
      <c r="D43" s="68">
        <v>9</v>
      </c>
      <c r="E43" s="68">
        <v>6</v>
      </c>
      <c r="F43" s="68">
        <v>7</v>
      </c>
      <c r="G43" s="69">
        <f t="shared" si="5"/>
        <v>1.8</v>
      </c>
      <c r="H43" s="69">
        <f t="shared" si="6"/>
        <v>1.2000000000000002</v>
      </c>
      <c r="I43" s="69">
        <f t="shared" si="7"/>
        <v>1.4000000000000001</v>
      </c>
    </row>
    <row r="44" spans="1:9" hidden="1" x14ac:dyDescent="0.3">
      <c r="A44" s="47">
        <v>3</v>
      </c>
      <c r="B44" s="48" t="s">
        <v>105</v>
      </c>
      <c r="C44" s="67">
        <v>0.15</v>
      </c>
      <c r="D44" s="68">
        <v>7</v>
      </c>
      <c r="E44" s="68">
        <v>6</v>
      </c>
      <c r="F44" s="68">
        <v>9</v>
      </c>
      <c r="G44" s="69">
        <f t="shared" si="5"/>
        <v>1.05</v>
      </c>
      <c r="H44" s="69">
        <f t="shared" si="6"/>
        <v>0.89999999999999991</v>
      </c>
      <c r="I44" s="69">
        <f t="shared" si="7"/>
        <v>1.3499999999999999</v>
      </c>
    </row>
    <row r="45" spans="1:9" hidden="1" x14ac:dyDescent="0.3">
      <c r="A45" s="47">
        <v>4</v>
      </c>
      <c r="B45" s="48" t="s">
        <v>106</v>
      </c>
      <c r="C45" s="67">
        <v>0.15</v>
      </c>
      <c r="D45" s="68">
        <v>8</v>
      </c>
      <c r="E45" s="68">
        <v>7</v>
      </c>
      <c r="F45" s="68">
        <v>6</v>
      </c>
      <c r="G45" s="69">
        <f t="shared" si="5"/>
        <v>1.2</v>
      </c>
      <c r="H45" s="69">
        <f t="shared" si="6"/>
        <v>1.05</v>
      </c>
      <c r="I45" s="69">
        <f t="shared" si="7"/>
        <v>0.89999999999999991</v>
      </c>
    </row>
    <row r="46" spans="1:9" hidden="1" x14ac:dyDescent="0.3">
      <c r="A46" s="47">
        <v>5</v>
      </c>
      <c r="B46" s="48" t="s">
        <v>107</v>
      </c>
      <c r="C46" s="67">
        <v>0.1</v>
      </c>
      <c r="D46" s="68">
        <v>7</v>
      </c>
      <c r="E46" s="68">
        <v>5</v>
      </c>
      <c r="F46" s="68">
        <v>9</v>
      </c>
      <c r="G46" s="69">
        <f t="shared" si="5"/>
        <v>0.70000000000000007</v>
      </c>
      <c r="H46" s="69">
        <f t="shared" si="6"/>
        <v>0.5</v>
      </c>
      <c r="I46" s="69">
        <f t="shared" si="7"/>
        <v>0.9</v>
      </c>
    </row>
    <row r="47" spans="1:9" hidden="1" x14ac:dyDescent="0.3">
      <c r="A47" s="47">
        <v>6</v>
      </c>
      <c r="B47" s="48" t="s">
        <v>108</v>
      </c>
      <c r="C47" s="67">
        <v>0.1</v>
      </c>
      <c r="D47" s="68">
        <v>6</v>
      </c>
      <c r="E47" s="68">
        <v>7</v>
      </c>
      <c r="F47" s="68">
        <v>8</v>
      </c>
      <c r="G47" s="69">
        <f t="shared" si="5"/>
        <v>0.60000000000000009</v>
      </c>
      <c r="H47" s="69">
        <f t="shared" si="6"/>
        <v>0.70000000000000007</v>
      </c>
      <c r="I47" s="69">
        <f t="shared" si="7"/>
        <v>0.8</v>
      </c>
    </row>
    <row r="48" spans="1:9" hidden="1" x14ac:dyDescent="0.3">
      <c r="A48" s="47">
        <v>7</v>
      </c>
      <c r="B48" s="48" t="s">
        <v>109</v>
      </c>
      <c r="C48" s="67">
        <v>0.05</v>
      </c>
      <c r="D48" s="68">
        <v>8</v>
      </c>
      <c r="E48" s="68">
        <v>5</v>
      </c>
      <c r="F48" s="68">
        <v>7</v>
      </c>
      <c r="G48" s="69">
        <f t="shared" si="5"/>
        <v>0.4</v>
      </c>
      <c r="H48" s="69">
        <f t="shared" si="6"/>
        <v>0.25</v>
      </c>
      <c r="I48" s="69">
        <f t="shared" si="7"/>
        <v>0.35000000000000003</v>
      </c>
    </row>
    <row r="49" spans="1:9" hidden="1" x14ac:dyDescent="0.3">
      <c r="A49" s="70"/>
      <c r="B49" s="71" t="s">
        <v>110</v>
      </c>
      <c r="C49" s="72">
        <f>SUM(C42:C48)</f>
        <v>1</v>
      </c>
      <c r="D49" s="70"/>
      <c r="E49" s="70"/>
      <c r="F49" s="70"/>
      <c r="G49" s="73">
        <f>SUM(G42:G48)</f>
        <v>7.75</v>
      </c>
      <c r="H49" s="73">
        <f>SUM(H42:H48)</f>
        <v>6.1000000000000005</v>
      </c>
      <c r="I49" s="73">
        <f>SUM(I42:I48)</f>
        <v>6.95</v>
      </c>
    </row>
    <row r="50" spans="1:9" hidden="1" x14ac:dyDescent="0.3"/>
  </sheetData>
  <mergeCells count="6">
    <mergeCell ref="A1:I1"/>
    <mergeCell ref="A2:I2"/>
    <mergeCell ref="A4:I4"/>
    <mergeCell ref="A19:I19"/>
    <mergeCell ref="A29:I29"/>
    <mergeCell ref="A40:I4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3F3C-0DE4-44ED-915A-54F96D460345}">
  <dimension ref="A1:J50"/>
  <sheetViews>
    <sheetView zoomScale="80" zoomScaleNormal="80" workbookViewId="0">
      <pane ySplit="3" topLeftCell="A4" activePane="bottomLeft" state="frozen"/>
      <selection activeCell="C33" sqref="C33"/>
      <selection pane="bottomLeft" activeCell="B68" sqref="B68"/>
    </sheetView>
  </sheetViews>
  <sheetFormatPr defaultColWidth="7.8984375" defaultRowHeight="14.4" x14ac:dyDescent="0.3"/>
  <cols>
    <col min="1" max="1" width="4.59765625" style="44" customWidth="1"/>
    <col min="2" max="2" width="32.09765625" style="44" customWidth="1"/>
    <col min="3" max="3" width="16.5" style="44" hidden="1" customWidth="1"/>
    <col min="4" max="8" width="16.5" style="44" customWidth="1"/>
    <col min="9" max="9" width="20.19921875" style="44" customWidth="1"/>
    <col min="10" max="16384" width="7.8984375" style="44"/>
  </cols>
  <sheetData>
    <row r="1" spans="1:10" ht="15" customHeight="1" x14ac:dyDescent="0.3">
      <c r="A1" s="43" t="s">
        <v>115</v>
      </c>
      <c r="B1" s="43"/>
      <c r="C1" s="43"/>
      <c r="D1" s="43"/>
      <c r="E1" s="43"/>
      <c r="F1" s="43"/>
      <c r="G1" s="43"/>
      <c r="H1" s="43"/>
      <c r="I1" s="43"/>
    </row>
    <row r="2" spans="1:10" ht="15" customHeight="1" x14ac:dyDescent="0.3">
      <c r="A2" s="45" t="s">
        <v>116</v>
      </c>
      <c r="B2" s="45"/>
      <c r="C2" s="45"/>
      <c r="D2" s="45"/>
      <c r="E2" s="45"/>
      <c r="F2" s="45"/>
      <c r="G2" s="45"/>
      <c r="H2" s="45"/>
      <c r="I2" s="45"/>
      <c r="J2" s="74"/>
    </row>
    <row r="4" spans="1:10" ht="15" customHeight="1" x14ac:dyDescent="0.3">
      <c r="A4" s="45" t="s">
        <v>49</v>
      </c>
      <c r="B4" s="45"/>
      <c r="C4" s="45"/>
      <c r="D4" s="45"/>
      <c r="E4" s="45"/>
      <c r="F4" s="45"/>
      <c r="G4" s="45"/>
      <c r="H4" s="45"/>
      <c r="I4" s="45"/>
    </row>
    <row r="5" spans="1:10" ht="27.6" x14ac:dyDescent="0.3">
      <c r="A5" s="46" t="s">
        <v>46</v>
      </c>
      <c r="B5" s="46" t="s">
        <v>50</v>
      </c>
      <c r="C5" s="46" t="s">
        <v>51</v>
      </c>
      <c r="D5" s="46" t="s">
        <v>52</v>
      </c>
      <c r="E5" s="46" t="s">
        <v>53</v>
      </c>
      <c r="F5" s="46" t="s">
        <v>54</v>
      </c>
      <c r="G5" s="46" t="s">
        <v>55</v>
      </c>
      <c r="H5" s="46" t="s">
        <v>56</v>
      </c>
      <c r="I5" s="46" t="s">
        <v>57</v>
      </c>
    </row>
    <row r="6" spans="1:10" ht="41.4" x14ac:dyDescent="0.3">
      <c r="A6" s="47">
        <v>1</v>
      </c>
      <c r="B6" s="48" t="s">
        <v>58</v>
      </c>
      <c r="C6" s="49">
        <f>'[1]2.ĐạiLý-&gt;Chai'!C21</f>
        <v>11000</v>
      </c>
      <c r="D6" s="50">
        <f>'[1]2.ĐạiLý-&gt;Chai'!D21</f>
        <v>11000</v>
      </c>
      <c r="E6" s="50">
        <f>'[1]2.ĐạiLý-&gt;Chai'!E21</f>
        <v>11000</v>
      </c>
      <c r="F6" s="51">
        <f t="shared" ref="F6:F15" si="0">C6-D6</f>
        <v>0</v>
      </c>
      <c r="G6" s="51">
        <f t="shared" ref="G6:G15" si="1">C6-E6</f>
        <v>0</v>
      </c>
      <c r="H6" s="52">
        <f t="shared" ref="H6:H17" si="2">IF(D6=0,0,(C6-D6)/D6)</f>
        <v>0</v>
      </c>
      <c r="I6" s="48" t="s">
        <v>117</v>
      </c>
    </row>
    <row r="7" spans="1:10" x14ac:dyDescent="0.3">
      <c r="A7" s="47">
        <v>2</v>
      </c>
      <c r="B7" s="48" t="s">
        <v>59</v>
      </c>
      <c r="C7" s="49">
        <v>440</v>
      </c>
      <c r="D7" s="50">
        <v>400</v>
      </c>
      <c r="E7" s="50">
        <f>D7</f>
        <v>400</v>
      </c>
      <c r="F7" s="51">
        <f t="shared" si="0"/>
        <v>40</v>
      </c>
      <c r="G7" s="51">
        <f t="shared" si="1"/>
        <v>40</v>
      </c>
      <c r="H7" s="52">
        <f t="shared" si="2"/>
        <v>0.1</v>
      </c>
      <c r="I7" s="48" t="s">
        <v>118</v>
      </c>
    </row>
    <row r="8" spans="1:10" ht="27.6" x14ac:dyDescent="0.3">
      <c r="A8" s="47">
        <v>3</v>
      </c>
      <c r="B8" s="48" t="s">
        <v>119</v>
      </c>
      <c r="C8" s="49">
        <v>1400</v>
      </c>
      <c r="D8" s="50"/>
      <c r="E8" s="50">
        <v>2900</v>
      </c>
      <c r="F8" s="51">
        <f t="shared" si="0"/>
        <v>1400</v>
      </c>
      <c r="G8" s="51">
        <f t="shared" si="1"/>
        <v>-1500</v>
      </c>
      <c r="H8" s="52">
        <f t="shared" si="2"/>
        <v>0</v>
      </c>
      <c r="I8" s="48"/>
    </row>
    <row r="9" spans="1:10" ht="27.6" x14ac:dyDescent="0.3">
      <c r="A9" s="47">
        <v>4</v>
      </c>
      <c r="B9" s="48" t="s">
        <v>120</v>
      </c>
      <c r="C9" s="49">
        <v>42</v>
      </c>
      <c r="D9" s="50"/>
      <c r="E9" s="50">
        <v>66</v>
      </c>
      <c r="F9" s="51">
        <f t="shared" si="0"/>
        <v>42</v>
      </c>
      <c r="G9" s="51">
        <f t="shared" si="1"/>
        <v>-24</v>
      </c>
      <c r="H9" s="52">
        <f t="shared" si="2"/>
        <v>0</v>
      </c>
      <c r="I9" s="48" t="s">
        <v>121</v>
      </c>
    </row>
    <row r="10" spans="1:10" x14ac:dyDescent="0.3">
      <c r="A10" s="47">
        <v>5</v>
      </c>
      <c r="B10" s="48" t="s">
        <v>63</v>
      </c>
      <c r="C10" s="49"/>
      <c r="D10" s="50"/>
      <c r="E10" s="50"/>
      <c r="F10" s="51">
        <f t="shared" si="0"/>
        <v>0</v>
      </c>
      <c r="G10" s="51">
        <f t="shared" si="1"/>
        <v>0</v>
      </c>
      <c r="H10" s="52">
        <f t="shared" si="2"/>
        <v>0</v>
      </c>
      <c r="I10" s="48"/>
    </row>
    <row r="11" spans="1:10" x14ac:dyDescent="0.3">
      <c r="A11" s="47">
        <v>6</v>
      </c>
      <c r="B11" s="48" t="s">
        <v>64</v>
      </c>
      <c r="C11" s="49">
        <f>I11*C6</f>
        <v>1100</v>
      </c>
      <c r="D11" s="50"/>
      <c r="E11" s="50">
        <f>+I11*E6</f>
        <v>1100</v>
      </c>
      <c r="F11" s="51">
        <f t="shared" si="0"/>
        <v>1100</v>
      </c>
      <c r="G11" s="51">
        <f t="shared" si="1"/>
        <v>0</v>
      </c>
      <c r="H11" s="52">
        <f t="shared" si="2"/>
        <v>0</v>
      </c>
      <c r="I11" s="75">
        <v>0.1</v>
      </c>
    </row>
    <row r="12" spans="1:10" x14ac:dyDescent="0.3">
      <c r="A12" s="47">
        <v>7</v>
      </c>
      <c r="B12" s="48" t="s">
        <v>65</v>
      </c>
      <c r="C12" s="49">
        <f>2610-C9-C15</f>
        <v>1875</v>
      </c>
      <c r="D12" s="50"/>
      <c r="E12" s="50"/>
      <c r="F12" s="51">
        <f t="shared" si="0"/>
        <v>1875</v>
      </c>
      <c r="G12" s="51">
        <f t="shared" si="1"/>
        <v>1875</v>
      </c>
      <c r="H12" s="52">
        <f t="shared" si="2"/>
        <v>0</v>
      </c>
      <c r="I12" s="48"/>
    </row>
    <row r="13" spans="1:10" x14ac:dyDescent="0.3">
      <c r="A13" s="47">
        <v>8</v>
      </c>
      <c r="B13" s="48" t="s">
        <v>66</v>
      </c>
      <c r="C13" s="49"/>
      <c r="D13" s="50"/>
      <c r="E13" s="50"/>
      <c r="F13" s="51">
        <f t="shared" si="0"/>
        <v>0</v>
      </c>
      <c r="G13" s="51">
        <f t="shared" si="1"/>
        <v>0</v>
      </c>
      <c r="H13" s="52">
        <f t="shared" si="2"/>
        <v>0</v>
      </c>
      <c r="I13" s="48"/>
    </row>
    <row r="14" spans="1:10" x14ac:dyDescent="0.3">
      <c r="A14" s="47">
        <v>9</v>
      </c>
      <c r="B14" s="48" t="s">
        <v>67</v>
      </c>
      <c r="C14" s="49"/>
      <c r="D14" s="50"/>
      <c r="E14" s="50"/>
      <c r="F14" s="51">
        <f t="shared" si="0"/>
        <v>0</v>
      </c>
      <c r="G14" s="51">
        <f t="shared" si="1"/>
        <v>0</v>
      </c>
      <c r="H14" s="52">
        <f t="shared" si="2"/>
        <v>0</v>
      </c>
      <c r="I14" s="48"/>
    </row>
    <row r="15" spans="1:10" x14ac:dyDescent="0.3">
      <c r="A15" s="47">
        <v>10</v>
      </c>
      <c r="B15" s="48" t="s">
        <v>68</v>
      </c>
      <c r="C15" s="49">
        <v>693</v>
      </c>
      <c r="D15" s="50"/>
      <c r="E15" s="50"/>
      <c r="F15" s="51">
        <f t="shared" si="0"/>
        <v>693</v>
      </c>
      <c r="G15" s="51">
        <f t="shared" si="1"/>
        <v>693</v>
      </c>
      <c r="H15" s="52">
        <f t="shared" si="2"/>
        <v>0</v>
      </c>
      <c r="I15" s="48"/>
    </row>
    <row r="16" spans="1:10" x14ac:dyDescent="0.3">
      <c r="A16" s="53"/>
      <c r="B16" s="54" t="s">
        <v>69</v>
      </c>
      <c r="C16" s="55">
        <f>SUM(C7:C15)</f>
        <v>5550</v>
      </c>
      <c r="D16" s="55">
        <f t="shared" ref="D16:E16" si="3">SUM(D7:D15)</f>
        <v>400</v>
      </c>
      <c r="E16" s="55">
        <f t="shared" si="3"/>
        <v>4466</v>
      </c>
      <c r="F16" s="56"/>
      <c r="G16" s="56"/>
      <c r="H16" s="57"/>
      <c r="I16" s="58"/>
    </row>
    <row r="17" spans="1:9" x14ac:dyDescent="0.3">
      <c r="A17" s="59"/>
      <c r="B17" s="60" t="s">
        <v>70</v>
      </c>
      <c r="C17" s="61">
        <f>SUM(C6:C15)</f>
        <v>16550</v>
      </c>
      <c r="D17" s="61">
        <f>SUM(D6:D15)</f>
        <v>11400</v>
      </c>
      <c r="E17" s="61">
        <f>SUM(E6:E15)</f>
        <v>15466</v>
      </c>
      <c r="F17" s="61">
        <f>SUM(F6:F15)</f>
        <v>5150</v>
      </c>
      <c r="G17" s="61">
        <f>SUM(G6:G15)</f>
        <v>1084</v>
      </c>
      <c r="H17" s="62">
        <f t="shared" si="2"/>
        <v>0.4517543859649123</v>
      </c>
      <c r="I17" s="60"/>
    </row>
    <row r="19" spans="1:9" ht="15" hidden="1" customHeight="1" x14ac:dyDescent="0.3">
      <c r="A19" s="45" t="s">
        <v>71</v>
      </c>
      <c r="B19" s="45"/>
      <c r="C19" s="45"/>
      <c r="D19" s="45"/>
      <c r="E19" s="45"/>
      <c r="F19" s="45"/>
      <c r="G19" s="45"/>
      <c r="H19" s="45"/>
      <c r="I19" s="45"/>
    </row>
    <row r="20" spans="1:9" hidden="1" x14ac:dyDescent="0.3">
      <c r="A20" s="46" t="s">
        <v>46</v>
      </c>
      <c r="B20" s="46" t="s">
        <v>72</v>
      </c>
      <c r="C20" s="46" t="s">
        <v>73</v>
      </c>
      <c r="D20" s="46" t="s">
        <v>74</v>
      </c>
      <c r="E20" s="46" t="s">
        <v>75</v>
      </c>
      <c r="F20" s="46" t="s">
        <v>54</v>
      </c>
      <c r="G20" s="46" t="s">
        <v>55</v>
      </c>
      <c r="H20" s="46" t="s">
        <v>76</v>
      </c>
      <c r="I20" s="46" t="s">
        <v>57</v>
      </c>
    </row>
    <row r="21" spans="1:9" ht="41.4" hidden="1" x14ac:dyDescent="0.3">
      <c r="A21" s="47">
        <v>1</v>
      </c>
      <c r="B21" s="48" t="s">
        <v>77</v>
      </c>
      <c r="C21" s="49">
        <f>'[1]Chuỗi giá trị chi tiết'!M24</f>
        <v>10956</v>
      </c>
      <c r="D21" s="50">
        <f>'[1]Chuỗi giá trị chi tiết'!M24</f>
        <v>10956</v>
      </c>
      <c r="E21" s="50">
        <f>'[1]Chuỗi giá trị chi tiết'!M24</f>
        <v>10956</v>
      </c>
      <c r="I21" s="48" t="s">
        <v>122</v>
      </c>
    </row>
    <row r="22" spans="1:9" hidden="1" x14ac:dyDescent="0.3">
      <c r="A22" s="47">
        <v>2</v>
      </c>
      <c r="B22" s="48" t="s">
        <v>80</v>
      </c>
      <c r="C22" s="64">
        <f>C17</f>
        <v>16550</v>
      </c>
      <c r="D22" s="64">
        <f>D17</f>
        <v>11400</v>
      </c>
      <c r="E22" s="64">
        <f>E17</f>
        <v>15466</v>
      </c>
      <c r="I22" s="48"/>
    </row>
    <row r="23" spans="1:9" hidden="1" x14ac:dyDescent="0.3">
      <c r="A23" s="47">
        <v>3</v>
      </c>
      <c r="B23" s="48" t="s">
        <v>81</v>
      </c>
      <c r="C23" s="51">
        <f>C21-C22</f>
        <v>-5594</v>
      </c>
      <c r="D23" s="51">
        <f>D21-D22</f>
        <v>-444</v>
      </c>
      <c r="E23" s="51">
        <f>E21-E22</f>
        <v>-4510</v>
      </c>
      <c r="F23" s="51">
        <f>C23-D23</f>
        <v>-5150</v>
      </c>
      <c r="G23" s="51">
        <f>C23-E23</f>
        <v>-1084</v>
      </c>
      <c r="I23" s="48"/>
    </row>
    <row r="24" spans="1:9" hidden="1" x14ac:dyDescent="0.3">
      <c r="A24" s="47">
        <v>4</v>
      </c>
      <c r="B24" s="48" t="s">
        <v>82</v>
      </c>
      <c r="C24" s="52">
        <f>IF(C21=0,0,C23/C21)</f>
        <v>-0.51058780576852869</v>
      </c>
      <c r="D24" s="52">
        <f>IF(D21=0,0,D23/D21)</f>
        <v>-4.0525739320920046E-2</v>
      </c>
      <c r="E24" s="52">
        <f>IF(E21=0,0,E23/E21)</f>
        <v>-0.41164658634538154</v>
      </c>
      <c r="F24" s="52">
        <f>C24-D24</f>
        <v>-0.47006206644760862</v>
      </c>
      <c r="G24" s="52">
        <f>C24-E24</f>
        <v>-9.8941219423147153E-2</v>
      </c>
      <c r="H24" s="65" t="str">
        <f>IF(C24&gt;D24,"NB tốt hơn",IF(C24&lt;D24,"BN tốt hơn","Ngang nhau"))</f>
        <v>BN tốt hơn</v>
      </c>
      <c r="I24" s="48"/>
    </row>
    <row r="25" spans="1:9" hidden="1" x14ac:dyDescent="0.3">
      <c r="A25" s="47">
        <v>5</v>
      </c>
      <c r="B25" s="48" t="s">
        <v>83</v>
      </c>
      <c r="C25" s="51">
        <f>IF(C23=0,0,50000000/C23)</f>
        <v>-8938.1480157311398</v>
      </c>
      <c r="D25" s="51">
        <f>IF(D23=0,0,50000000/D23)</f>
        <v>-112612.61261261262</v>
      </c>
      <c r="E25" s="51">
        <f>IF(E23=0,0,50000000/E23)</f>
        <v>-11086.474501108647</v>
      </c>
      <c r="F25" s="52">
        <f>C25-D25</f>
        <v>103674.46459688147</v>
      </c>
      <c r="G25" s="52">
        <f>C25-E25</f>
        <v>2148.3264853775072</v>
      </c>
      <c r="I25" s="48"/>
    </row>
    <row r="26" spans="1:9" hidden="1" x14ac:dyDescent="0.3">
      <c r="A26" s="47">
        <v>6</v>
      </c>
      <c r="B26" s="48" t="s">
        <v>84</v>
      </c>
      <c r="C26" s="52">
        <f>IF(C22=0,0,C23/C22)</f>
        <v>-0.33800604229607251</v>
      </c>
      <c r="D26" s="52">
        <f>IF(D22=0,0,D23/D22)</f>
        <v>-3.8947368421052633E-2</v>
      </c>
      <c r="E26" s="52">
        <f>IF(E22=0,0,E23/E22)</f>
        <v>-0.29160739687055476</v>
      </c>
      <c r="F26" s="52">
        <f>C26-D26</f>
        <v>-0.29905867387501989</v>
      </c>
      <c r="G26" s="52">
        <f>C26-E26</f>
        <v>-4.6398645425517748E-2</v>
      </c>
      <c r="I26" s="48"/>
    </row>
    <row r="27" spans="1:9" hidden="1" x14ac:dyDescent="0.3"/>
    <row r="28" spans="1:9" hidden="1" x14ac:dyDescent="0.3"/>
    <row r="29" spans="1:9" ht="15" hidden="1" customHeight="1" x14ac:dyDescent="0.3">
      <c r="A29" s="45" t="s">
        <v>85</v>
      </c>
      <c r="B29" s="45"/>
      <c r="C29" s="45"/>
      <c r="D29" s="45"/>
      <c r="E29" s="45"/>
      <c r="F29" s="45"/>
      <c r="G29" s="45"/>
      <c r="H29" s="45"/>
      <c r="I29" s="45"/>
    </row>
    <row r="30" spans="1:9" hidden="1" x14ac:dyDescent="0.3">
      <c r="A30" s="46" t="s">
        <v>46</v>
      </c>
      <c r="B30" s="46" t="s">
        <v>86</v>
      </c>
      <c r="C30" s="46" t="s">
        <v>87</v>
      </c>
      <c r="D30" s="46" t="s">
        <v>88</v>
      </c>
      <c r="E30" s="46" t="s">
        <v>89</v>
      </c>
      <c r="F30" s="46" t="s">
        <v>90</v>
      </c>
      <c r="G30" s="46" t="s">
        <v>91</v>
      </c>
      <c r="H30" s="46" t="s">
        <v>92</v>
      </c>
      <c r="I30" s="46" t="s">
        <v>93</v>
      </c>
    </row>
    <row r="31" spans="1:9" hidden="1" x14ac:dyDescent="0.3">
      <c r="A31" s="47">
        <v>1</v>
      </c>
      <c r="B31" s="66">
        <v>5</v>
      </c>
      <c r="C31" s="51">
        <f>C17*(1-LN(B31/5)*0.02)</f>
        <v>16550</v>
      </c>
      <c r="D31" s="51">
        <f>D17*(1-LN(B31/5)*0.02)</f>
        <v>11400</v>
      </c>
      <c r="E31" s="51">
        <f>E17*(1-LN(B31/5)*0.02)</f>
        <v>15466</v>
      </c>
      <c r="F31" s="51">
        <f>(C21-C31)*B31*1000</f>
        <v>-27970000</v>
      </c>
      <c r="G31" s="51">
        <f>(D21-D31)*B31*1000</f>
        <v>-2220000</v>
      </c>
      <c r="H31" s="51">
        <f>(E21-E31)*B31*1000</f>
        <v>-22550000</v>
      </c>
      <c r="I31" s="65" t="str">
        <f t="shared" ref="I31:I37" si="4">IF(AND(F31&gt;=G31,F31&gt;=H31),"Nội bộ",IF(AND(G31&gt;=F31,G31&gt;=H31),"Bên ngoài","OEM"))</f>
        <v>Bên ngoài</v>
      </c>
    </row>
    <row r="32" spans="1:9" hidden="1" x14ac:dyDescent="0.3">
      <c r="A32" s="47">
        <v>2</v>
      </c>
      <c r="B32" s="66">
        <v>10</v>
      </c>
      <c r="C32" s="51">
        <f>C17*(1-LN(B32/5)*0.02)</f>
        <v>16320.568283234659</v>
      </c>
      <c r="D32" s="51">
        <f>D17*(1-LN(B32/5)*0.02)</f>
        <v>11241.962442832333</v>
      </c>
      <c r="E32" s="51">
        <f>E17*(1-LN(B32/5)*0.02)</f>
        <v>15251.595714109199</v>
      </c>
      <c r="F32" s="51">
        <f>(C21-C32)*B32*1000</f>
        <v>-53645682.832346588</v>
      </c>
      <c r="G32" s="51">
        <f>(D21-D32)*B32*1000</f>
        <v>-2859624.4283233318</v>
      </c>
      <c r="H32" s="51">
        <f>(E21-E32)*B32*1000</f>
        <v>-42955957.141091987</v>
      </c>
      <c r="I32" s="65" t="str">
        <f t="shared" si="4"/>
        <v>Bên ngoài</v>
      </c>
    </row>
    <row r="33" spans="1:9" hidden="1" x14ac:dyDescent="0.3">
      <c r="A33" s="47">
        <v>3</v>
      </c>
      <c r="B33" s="66">
        <v>20</v>
      </c>
      <c r="C33" s="51">
        <f>C17*(1-LN(B33/5)*0.02)</f>
        <v>16091.136566469317</v>
      </c>
      <c r="D33" s="51">
        <f>D17*(1-LN(B33/5)*0.02)</f>
        <v>11083.924885664665</v>
      </c>
      <c r="E33" s="51">
        <f>E17*(1-LN(B33/5)*0.02)</f>
        <v>15037.191428218395</v>
      </c>
      <c r="F33" s="51">
        <f>(C21-C33)*B33*1000</f>
        <v>-102702731.32938632</v>
      </c>
      <c r="G33" s="51">
        <f>(D21-D33)*B33*1000</f>
        <v>-2558497.7132932907</v>
      </c>
      <c r="H33" s="51">
        <f>(E21-E33)*B33*1000</f>
        <v>-81623828.56436789</v>
      </c>
      <c r="I33" s="65" t="str">
        <f t="shared" si="4"/>
        <v>Bên ngoài</v>
      </c>
    </row>
    <row r="34" spans="1:9" hidden="1" x14ac:dyDescent="0.3">
      <c r="A34" s="47">
        <v>4</v>
      </c>
      <c r="B34" s="66">
        <v>50</v>
      </c>
      <c r="C34" s="51">
        <f>C17*(1-LN(B34/5)*0.02)</f>
        <v>15787.844334218971</v>
      </c>
      <c r="D34" s="51">
        <f>D17*(1-LN(B34/5)*0.02)</f>
        <v>10875.010598797357</v>
      </c>
      <c r="E34" s="51">
        <f>E17*(1-LN(B34/5)*0.02)</f>
        <v>14753.764379035081</v>
      </c>
      <c r="F34" s="51">
        <f>(C21-C34)*B34*1000</f>
        <v>-241592216.71094856</v>
      </c>
      <c r="G34" s="51">
        <f>(D21-D34)*B34*1000</f>
        <v>4049470.060132171</v>
      </c>
      <c r="H34" s="51">
        <f>(E21-E34)*B34*1000</f>
        <v>-189888218.95175406</v>
      </c>
      <c r="I34" s="65" t="str">
        <f t="shared" si="4"/>
        <v>Bên ngoài</v>
      </c>
    </row>
    <row r="35" spans="1:9" hidden="1" x14ac:dyDescent="0.3">
      <c r="A35" s="47">
        <v>5</v>
      </c>
      <c r="B35" s="66">
        <v>100</v>
      </c>
      <c r="C35" s="51">
        <f>C17*(1-LN(B35/5)*0.02)</f>
        <v>15558.412617453629</v>
      </c>
      <c r="D35" s="51">
        <f>D17*(1-LN(B35/5)*0.02)</f>
        <v>10716.97304162969</v>
      </c>
      <c r="E35" s="51">
        <f>E17*(1-LN(B35/5)*0.02)</f>
        <v>14539.36009314428</v>
      </c>
      <c r="F35" s="51">
        <f>(C21-C35)*B35*1000</f>
        <v>-460241261.74536288</v>
      </c>
      <c r="G35" s="51">
        <f>(D21-D35)*B35*1000</f>
        <v>23902695.837031025</v>
      </c>
      <c r="H35" s="51">
        <f>(E21-E35)*B35*1000</f>
        <v>-358336009.31442797</v>
      </c>
      <c r="I35" s="65" t="str">
        <f t="shared" si="4"/>
        <v>Bên ngoài</v>
      </c>
    </row>
    <row r="36" spans="1:9" hidden="1" x14ac:dyDescent="0.3">
      <c r="A36" s="47">
        <v>6</v>
      </c>
      <c r="B36" s="66">
        <v>200</v>
      </c>
      <c r="C36" s="51">
        <f>C17*(1-LN(B36/5)*0.02)</f>
        <v>15328.980900688288</v>
      </c>
      <c r="D36" s="51">
        <f>D17*(1-LN(B36/5)*0.02)</f>
        <v>10558.935484462023</v>
      </c>
      <c r="E36" s="51">
        <f>E17*(1-LN(B36/5)*0.02)</f>
        <v>14324.955807253478</v>
      </c>
      <c r="F36" s="51">
        <f>(C21-C36)*B36*1000</f>
        <v>-874596180.13765752</v>
      </c>
      <c r="G36" s="51">
        <f>(D21-D36)*B36*1000</f>
        <v>79412903.107595414</v>
      </c>
      <c r="H36" s="51">
        <f>(E21-E36)*B36*1000</f>
        <v>-673791161.45069575</v>
      </c>
      <c r="I36" s="65" t="str">
        <f t="shared" si="4"/>
        <v>Bên ngoài</v>
      </c>
    </row>
    <row r="37" spans="1:9" hidden="1" x14ac:dyDescent="0.3">
      <c r="A37" s="47">
        <v>7</v>
      </c>
      <c r="B37" s="66">
        <v>500</v>
      </c>
      <c r="C37" s="51">
        <f>C17*(1-LN(B37/5)*0.02)</f>
        <v>15025.688668437941</v>
      </c>
      <c r="D37" s="51">
        <f>D17*(1-LN(B37/5)*0.02)</f>
        <v>10350.021197594715</v>
      </c>
      <c r="E37" s="51">
        <f>E17*(1-LN(B37/5)*0.02)</f>
        <v>14041.528758070162</v>
      </c>
      <c r="F37" s="51">
        <f>(C21-C37)*B37*1000</f>
        <v>-2034844334.2189703</v>
      </c>
      <c r="G37" s="51">
        <f>(D21-D37)*B37*1000</f>
        <v>302989401.20264256</v>
      </c>
      <c r="H37" s="51">
        <f>(E21-E37)*B37*1000</f>
        <v>-1542764379.0350811</v>
      </c>
      <c r="I37" s="65" t="str">
        <f t="shared" si="4"/>
        <v>Bên ngoài</v>
      </c>
    </row>
    <row r="38" spans="1:9" hidden="1" x14ac:dyDescent="0.3"/>
    <row r="39" spans="1:9" hidden="1" x14ac:dyDescent="0.3"/>
    <row r="40" spans="1:9" ht="15" hidden="1" customHeight="1" x14ac:dyDescent="0.3">
      <c r="A40" s="45" t="s">
        <v>94</v>
      </c>
      <c r="B40" s="45"/>
      <c r="C40" s="45"/>
      <c r="D40" s="45"/>
      <c r="E40" s="45"/>
      <c r="F40" s="45"/>
      <c r="G40" s="45"/>
      <c r="H40" s="45"/>
      <c r="I40" s="45"/>
    </row>
    <row r="41" spans="1:9" hidden="1" x14ac:dyDescent="0.3">
      <c r="A41" s="46" t="s">
        <v>46</v>
      </c>
      <c r="B41" s="46" t="s">
        <v>95</v>
      </c>
      <c r="C41" s="46" t="s">
        <v>96</v>
      </c>
      <c r="D41" s="46" t="s">
        <v>97</v>
      </c>
      <c r="E41" s="46" t="s">
        <v>98</v>
      </c>
      <c r="F41" s="46" t="s">
        <v>99</v>
      </c>
      <c r="G41" s="46" t="s">
        <v>100</v>
      </c>
      <c r="H41" s="46" t="s">
        <v>101</v>
      </c>
      <c r="I41" s="46" t="s">
        <v>102</v>
      </c>
    </row>
    <row r="42" spans="1:9" hidden="1" x14ac:dyDescent="0.3">
      <c r="A42" s="47">
        <v>1</v>
      </c>
      <c r="B42" s="48" t="s">
        <v>103</v>
      </c>
      <c r="C42" s="67">
        <v>0.25</v>
      </c>
      <c r="D42" s="68">
        <v>8</v>
      </c>
      <c r="E42" s="68">
        <v>6</v>
      </c>
      <c r="F42" s="68">
        <v>5</v>
      </c>
      <c r="G42" s="69">
        <f t="shared" ref="G42:G48" si="5">C42*D42</f>
        <v>2</v>
      </c>
      <c r="H42" s="69">
        <f t="shared" ref="H42:H48" si="6">C42*E42</f>
        <v>1.5</v>
      </c>
      <c r="I42" s="69">
        <f t="shared" ref="I42:I48" si="7">C42*F42</f>
        <v>1.25</v>
      </c>
    </row>
    <row r="43" spans="1:9" hidden="1" x14ac:dyDescent="0.3">
      <c r="A43" s="47">
        <v>2</v>
      </c>
      <c r="B43" s="48" t="s">
        <v>104</v>
      </c>
      <c r="C43" s="67">
        <v>0.2</v>
      </c>
      <c r="D43" s="68">
        <v>9</v>
      </c>
      <c r="E43" s="68">
        <v>6</v>
      </c>
      <c r="F43" s="68">
        <v>7</v>
      </c>
      <c r="G43" s="69">
        <f t="shared" si="5"/>
        <v>1.8</v>
      </c>
      <c r="H43" s="69">
        <f t="shared" si="6"/>
        <v>1.2000000000000002</v>
      </c>
      <c r="I43" s="69">
        <f t="shared" si="7"/>
        <v>1.4000000000000001</v>
      </c>
    </row>
    <row r="44" spans="1:9" hidden="1" x14ac:dyDescent="0.3">
      <c r="A44" s="47">
        <v>3</v>
      </c>
      <c r="B44" s="48" t="s">
        <v>105</v>
      </c>
      <c r="C44" s="67">
        <v>0.15</v>
      </c>
      <c r="D44" s="68">
        <v>7</v>
      </c>
      <c r="E44" s="68">
        <v>6</v>
      </c>
      <c r="F44" s="68">
        <v>9</v>
      </c>
      <c r="G44" s="69">
        <f t="shared" si="5"/>
        <v>1.05</v>
      </c>
      <c r="H44" s="69">
        <f t="shared" si="6"/>
        <v>0.89999999999999991</v>
      </c>
      <c r="I44" s="69">
        <f t="shared" si="7"/>
        <v>1.3499999999999999</v>
      </c>
    </row>
    <row r="45" spans="1:9" hidden="1" x14ac:dyDescent="0.3">
      <c r="A45" s="47">
        <v>4</v>
      </c>
      <c r="B45" s="48" t="s">
        <v>106</v>
      </c>
      <c r="C45" s="67">
        <v>0.15</v>
      </c>
      <c r="D45" s="68">
        <v>8</v>
      </c>
      <c r="E45" s="68">
        <v>7</v>
      </c>
      <c r="F45" s="68">
        <v>6</v>
      </c>
      <c r="G45" s="69">
        <f t="shared" si="5"/>
        <v>1.2</v>
      </c>
      <c r="H45" s="69">
        <f t="shared" si="6"/>
        <v>1.05</v>
      </c>
      <c r="I45" s="69">
        <f t="shared" si="7"/>
        <v>0.89999999999999991</v>
      </c>
    </row>
    <row r="46" spans="1:9" hidden="1" x14ac:dyDescent="0.3">
      <c r="A46" s="47">
        <v>5</v>
      </c>
      <c r="B46" s="48" t="s">
        <v>107</v>
      </c>
      <c r="C46" s="67">
        <v>0.1</v>
      </c>
      <c r="D46" s="68">
        <v>7</v>
      </c>
      <c r="E46" s="68">
        <v>5</v>
      </c>
      <c r="F46" s="68">
        <v>9</v>
      </c>
      <c r="G46" s="69">
        <f t="shared" si="5"/>
        <v>0.70000000000000007</v>
      </c>
      <c r="H46" s="69">
        <f t="shared" si="6"/>
        <v>0.5</v>
      </c>
      <c r="I46" s="69">
        <f t="shared" si="7"/>
        <v>0.9</v>
      </c>
    </row>
    <row r="47" spans="1:9" hidden="1" x14ac:dyDescent="0.3">
      <c r="A47" s="47">
        <v>6</v>
      </c>
      <c r="B47" s="48" t="s">
        <v>108</v>
      </c>
      <c r="C47" s="67">
        <v>0.1</v>
      </c>
      <c r="D47" s="68">
        <v>6</v>
      </c>
      <c r="E47" s="68">
        <v>7</v>
      </c>
      <c r="F47" s="68">
        <v>8</v>
      </c>
      <c r="G47" s="69">
        <f t="shared" si="5"/>
        <v>0.60000000000000009</v>
      </c>
      <c r="H47" s="69">
        <f t="shared" si="6"/>
        <v>0.70000000000000007</v>
      </c>
      <c r="I47" s="69">
        <f t="shared" si="7"/>
        <v>0.8</v>
      </c>
    </row>
    <row r="48" spans="1:9" hidden="1" x14ac:dyDescent="0.3">
      <c r="A48" s="47">
        <v>7</v>
      </c>
      <c r="B48" s="48" t="s">
        <v>109</v>
      </c>
      <c r="C48" s="67">
        <v>0.05</v>
      </c>
      <c r="D48" s="68">
        <v>8</v>
      </c>
      <c r="E48" s="68">
        <v>5</v>
      </c>
      <c r="F48" s="68">
        <v>7</v>
      </c>
      <c r="G48" s="69">
        <f t="shared" si="5"/>
        <v>0.4</v>
      </c>
      <c r="H48" s="69">
        <f t="shared" si="6"/>
        <v>0.25</v>
      </c>
      <c r="I48" s="69">
        <f t="shared" si="7"/>
        <v>0.35000000000000003</v>
      </c>
    </row>
    <row r="49" spans="1:9" hidden="1" x14ac:dyDescent="0.3">
      <c r="A49" s="70"/>
      <c r="B49" s="71" t="s">
        <v>110</v>
      </c>
      <c r="C49" s="72">
        <f>SUM(C42:C48)</f>
        <v>1</v>
      </c>
      <c r="D49" s="70"/>
      <c r="E49" s="70"/>
      <c r="F49" s="70"/>
      <c r="G49" s="73">
        <f>SUM(G42:G48)</f>
        <v>7.75</v>
      </c>
      <c r="H49" s="73">
        <f>SUM(H42:H48)</f>
        <v>6.1000000000000005</v>
      </c>
      <c r="I49" s="73">
        <f>SUM(I42:I48)</f>
        <v>6.95</v>
      </c>
    </row>
    <row r="50" spans="1:9" hidden="1" x14ac:dyDescent="0.3"/>
  </sheetData>
  <mergeCells count="6">
    <mergeCell ref="A1:I1"/>
    <mergeCell ref="A2:I2"/>
    <mergeCell ref="A4:I4"/>
    <mergeCell ref="A19:I19"/>
    <mergeCell ref="A29:I29"/>
    <mergeCell ref="A40:I4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6BEE-6B70-456D-ACF7-3C5AC884100B}">
  <dimension ref="A5:E17"/>
  <sheetViews>
    <sheetView topLeftCell="A2" workbookViewId="0">
      <selection activeCell="J11" sqref="J11"/>
    </sheetView>
  </sheetViews>
  <sheetFormatPr defaultRowHeight="15.6" x14ac:dyDescent="0.3"/>
  <cols>
    <col min="1" max="1" width="8.796875" style="2"/>
    <col min="2" max="2" width="28.09765625" style="2" bestFit="1" customWidth="1"/>
    <col min="3" max="3" width="9.3984375" style="2" bestFit="1" customWidth="1"/>
    <col min="4" max="4" width="9.8984375" style="2" bestFit="1" customWidth="1"/>
    <col min="5" max="5" width="13.09765625" style="2" customWidth="1"/>
    <col min="6" max="16384" width="8.796875" style="2"/>
  </cols>
  <sheetData>
    <row r="5" spans="1:5" ht="31.2" x14ac:dyDescent="0.3">
      <c r="A5" s="38" t="s">
        <v>46</v>
      </c>
      <c r="B5" s="34" t="s">
        <v>43</v>
      </c>
      <c r="C5" s="35" t="s">
        <v>44</v>
      </c>
      <c r="D5" s="35" t="s">
        <v>45</v>
      </c>
      <c r="E5" s="35" t="s">
        <v>42</v>
      </c>
    </row>
    <row r="6" spans="1:5" x14ac:dyDescent="0.3">
      <c r="A6" s="36"/>
      <c r="B6" s="36" t="s">
        <v>37</v>
      </c>
      <c r="C6" s="37">
        <f>SUM(C7,C13,C15)</f>
        <v>1378</v>
      </c>
      <c r="D6" s="37">
        <f t="shared" ref="D6:E6" si="0">SUM(D7,D13,D15)</f>
        <v>2983</v>
      </c>
      <c r="E6" s="37">
        <f t="shared" si="0"/>
        <v>2316</v>
      </c>
    </row>
    <row r="7" spans="1:5" x14ac:dyDescent="0.3">
      <c r="A7" s="38">
        <v>1</v>
      </c>
      <c r="B7" s="34" t="s">
        <v>38</v>
      </c>
      <c r="C7" s="39">
        <f>SUM(C8:C12)</f>
        <v>890</v>
      </c>
      <c r="D7" s="39">
        <f>SUM(D8:D12)</f>
        <v>2487</v>
      </c>
      <c r="E7" s="39">
        <f>SUM(E8:E12)</f>
        <v>2316</v>
      </c>
    </row>
    <row r="8" spans="1:5" x14ac:dyDescent="0.3">
      <c r="A8" s="40"/>
      <c r="B8" s="41" t="s">
        <v>30</v>
      </c>
      <c r="C8" s="42">
        <v>53</v>
      </c>
      <c r="D8" s="42">
        <v>586</v>
      </c>
      <c r="E8" s="42">
        <v>708</v>
      </c>
    </row>
    <row r="9" spans="1:5" x14ac:dyDescent="0.3">
      <c r="A9" s="40"/>
      <c r="B9" s="41" t="s">
        <v>31</v>
      </c>
      <c r="C9" s="42">
        <v>34</v>
      </c>
      <c r="D9" s="42">
        <v>464</v>
      </c>
      <c r="E9" s="42">
        <v>320</v>
      </c>
    </row>
    <row r="10" spans="1:5" x14ac:dyDescent="0.3">
      <c r="A10" s="40"/>
      <c r="B10" s="41" t="s">
        <v>32</v>
      </c>
      <c r="C10" s="42">
        <v>253</v>
      </c>
      <c r="D10" s="42">
        <v>74</v>
      </c>
      <c r="E10" s="42">
        <v>174</v>
      </c>
    </row>
    <row r="11" spans="1:5" x14ac:dyDescent="0.3">
      <c r="A11" s="40"/>
      <c r="B11" s="41" t="s">
        <v>33</v>
      </c>
      <c r="C11" s="42">
        <v>216</v>
      </c>
      <c r="D11" s="42">
        <v>670</v>
      </c>
      <c r="E11" s="42">
        <v>971</v>
      </c>
    </row>
    <row r="12" spans="1:5" x14ac:dyDescent="0.3">
      <c r="A12" s="40"/>
      <c r="B12" s="41" t="s">
        <v>34</v>
      </c>
      <c r="C12" s="42">
        <v>334</v>
      </c>
      <c r="D12" s="42">
        <v>693</v>
      </c>
      <c r="E12" s="42">
        <v>143</v>
      </c>
    </row>
    <row r="13" spans="1:5" x14ac:dyDescent="0.3">
      <c r="A13" s="38">
        <v>2</v>
      </c>
      <c r="B13" s="34" t="s">
        <v>39</v>
      </c>
      <c r="C13" s="39">
        <f>SUM(C14)</f>
        <v>338</v>
      </c>
      <c r="D13" s="39">
        <f>SUM(D14)</f>
        <v>373</v>
      </c>
      <c r="E13" s="39"/>
    </row>
    <row r="14" spans="1:5" x14ac:dyDescent="0.3">
      <c r="A14" s="40"/>
      <c r="B14" s="41" t="s">
        <v>35</v>
      </c>
      <c r="C14" s="42">
        <v>338</v>
      </c>
      <c r="D14" s="42">
        <v>373</v>
      </c>
      <c r="E14" s="42"/>
    </row>
    <row r="15" spans="1:5" x14ac:dyDescent="0.3">
      <c r="A15" s="38">
        <v>3</v>
      </c>
      <c r="B15" s="34" t="s">
        <v>40</v>
      </c>
      <c r="C15" s="39">
        <f>SUM(C16)</f>
        <v>150</v>
      </c>
      <c r="D15" s="39">
        <f>SUM(D16)</f>
        <v>123</v>
      </c>
      <c r="E15" s="39"/>
    </row>
    <row r="16" spans="1:5" x14ac:dyDescent="0.3">
      <c r="A16" s="40"/>
      <c r="B16" s="41" t="s">
        <v>36</v>
      </c>
      <c r="C16" s="42">
        <v>150</v>
      </c>
      <c r="D16" s="42">
        <v>123</v>
      </c>
      <c r="E16" s="42"/>
    </row>
    <row r="17" spans="1:5" ht="31.2" hidden="1" customHeight="1" x14ac:dyDescent="0.3">
      <c r="A17" s="30">
        <v>4</v>
      </c>
      <c r="B17" s="32" t="s">
        <v>41</v>
      </c>
      <c r="C17" s="31">
        <v>122</v>
      </c>
      <c r="D17" s="31">
        <v>1017</v>
      </c>
      <c r="E17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Sơ đồ</vt:lpstr>
      <vt:lpstr>1.Vựa-&gt;ĐạiLý</vt:lpstr>
      <vt:lpstr>2.ĐạiLý-&gt;Chai</vt:lpstr>
      <vt:lpstr>3.Chai-&gt;Vảy (mua hết)</vt:lpstr>
      <vt:lpstr>Công ty xử lý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Tuyền, Phạm Thụy Thanh</dc:creator>
  <cp:lastModifiedBy>Tuyền, Phạm Thụy Thanh</cp:lastModifiedBy>
  <dcterms:created xsi:type="dcterms:W3CDTF">2026-07-08T14:40:46Z</dcterms:created>
  <dcterms:modified xsi:type="dcterms:W3CDTF">2026-07-15T11:14:12Z</dcterms:modified>
</cp:coreProperties>
</file>