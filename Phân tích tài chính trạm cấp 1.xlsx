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hoangpd_duytangroup_com/Documents/Hoang - DTG/Báo cáo quản trị/Dự án thành lập trạm/Dự án thành lập trạm HCM/Dự án trạm HCM - GĐ2/"/>
    </mc:Choice>
  </mc:AlternateContent>
  <xr:revisionPtr revIDLastSave="11116" documentId="11_F25DC773A252ABDACC104876719D7BCE5ADE58F6" xr6:coauthVersionLast="47" xr6:coauthVersionMax="47" xr10:uidLastSave="{A541A69E-2B1A-41A9-9666-50765CFBA580}"/>
  <bookViews>
    <workbookView xWindow="-110" yWindow="-110" windowWidth="19420" windowHeight="10300" tabRatio="859" firstSheet="4" activeTab="10" xr2:uid="{00000000-000D-0000-FFFF-FFFF00000000}"/>
  </bookViews>
  <sheets>
    <sheet name="QTSX" sheetId="1" r:id="rId1"/>
    <sheet name="CĐSX" sheetId="2" r:id="rId2"/>
    <sheet name="CAP.Chính" sheetId="22" r:id="rId3"/>
    <sheet name="CAP.Phụ" sheetId="5" r:id="rId4"/>
    <sheet name="C.Suất" sheetId="23" r:id="rId5"/>
    <sheet name="Đ.Biên" sheetId="3" r:id="rId6"/>
    <sheet name="DMSX" sheetId="14" r:id="rId7"/>
    <sheet name="DMSX C.tiết" sheetId="16" state="hidden" r:id="rId8"/>
    <sheet name="DMQL" sheetId="13" r:id="rId9"/>
    <sheet name="G.Định" sheetId="19" r:id="rId10"/>
    <sheet name="B.đồ" sheetId="25" r:id="rId11"/>
    <sheet name="KQKD" sheetId="11" r:id="rId12"/>
    <sheet name="HV" sheetId="12" r:id="rId13"/>
    <sheet name="CP 1kg" sheetId="24" r:id="rId14"/>
    <sheet name="Chỉ số TC" sheetId="26" r:id="rId15"/>
    <sheet name="QL rủi ro" sheetId="27" r:id="rId16"/>
    <sheet name="S.Lượng" sheetId="17" r:id="rId17"/>
    <sheet name="D.Thu" sheetId="7" r:id="rId18"/>
    <sheet name="CPSX-Chai" sheetId="8" r:id="rId19"/>
    <sheet name="CPSX-Vảy" sheetId="20" r:id="rId20"/>
    <sheet name="CPQL" sheetId="10" r:id="rId21"/>
    <sheet name="CPBH" sheetId="9" r:id="rId22"/>
    <sheet name="CP.NS" sheetId="18" r:id="rId23"/>
    <sheet name="K.Hao, L.v" sheetId="21" r:id="rId24"/>
  </sheets>
  <externalReferences>
    <externalReference r:id="rId25"/>
  </externalReferences>
  <definedNames>
    <definedName name="_xlnm.Print_Titles" localSheetId="13">'CP 1kg'!$2:$4</definedName>
    <definedName name="_xlnm.Print_Titles" localSheetId="22">'CP.NS'!$2:$2</definedName>
    <definedName name="_xlnm.Print_Titles" localSheetId="5">Đ.Biên!$3:$3</definedName>
    <definedName name="_xlnm.Print_Titles" localSheetId="8">DMQL!$2:$3</definedName>
    <definedName name="_xlnm.Print_Titles" localSheetId="11">KQKD!$2:$3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3" l="1"/>
  <c r="L36" i="13"/>
  <c r="J36" i="13"/>
  <c r="H36" i="13"/>
  <c r="N35" i="13"/>
  <c r="L35" i="13"/>
  <c r="H35" i="13"/>
  <c r="N33" i="13"/>
  <c r="L33" i="13"/>
  <c r="J33" i="13"/>
  <c r="H33" i="13"/>
  <c r="N32" i="13"/>
  <c r="L32" i="13"/>
  <c r="H32" i="13"/>
  <c r="N31" i="13"/>
  <c r="L31" i="13"/>
  <c r="H31" i="13"/>
  <c r="M18" i="13"/>
  <c r="K18" i="13"/>
  <c r="I18" i="13"/>
  <c r="G18" i="13"/>
  <c r="H4" i="3"/>
  <c r="G4" i="3"/>
  <c r="F4" i="3"/>
  <c r="E4" i="3"/>
  <c r="H6" i="14"/>
  <c r="M15" i="22"/>
  <c r="K15" i="22"/>
  <c r="I15" i="22"/>
  <c r="G15" i="22"/>
  <c r="K32" i="22"/>
  <c r="G32" i="22"/>
  <c r="M11" i="22"/>
  <c r="K11" i="22"/>
  <c r="I11" i="22"/>
  <c r="G11" i="22"/>
  <c r="M10" i="22"/>
  <c r="M9" i="22" s="1"/>
  <c r="K10" i="22"/>
  <c r="K9" i="22" s="1"/>
  <c r="I10" i="22"/>
  <c r="I9" i="22" s="1"/>
  <c r="G10" i="22"/>
  <c r="G9" i="22" s="1"/>
  <c r="M50" i="22"/>
  <c r="K50" i="22"/>
  <c r="I50" i="22"/>
  <c r="G50" i="22"/>
  <c r="M49" i="22"/>
  <c r="K49" i="22"/>
  <c r="I49" i="22"/>
  <c r="G49" i="22"/>
  <c r="M48" i="22"/>
  <c r="K48" i="22"/>
  <c r="I48" i="22"/>
  <c r="G48" i="22"/>
  <c r="M47" i="22"/>
  <c r="K47" i="22"/>
  <c r="I47" i="22"/>
  <c r="G47" i="22"/>
  <c r="M46" i="22"/>
  <c r="K46" i="22"/>
  <c r="I46" i="22"/>
  <c r="G46" i="22"/>
  <c r="M45" i="22"/>
  <c r="K45" i="22"/>
  <c r="I45" i="22"/>
  <c r="G45" i="22"/>
  <c r="M44" i="22"/>
  <c r="K44" i="22"/>
  <c r="I44" i="22"/>
  <c r="G44" i="22"/>
  <c r="M42" i="22"/>
  <c r="K42" i="22"/>
  <c r="I42" i="22"/>
  <c r="G42" i="22"/>
  <c r="M41" i="22"/>
  <c r="K41" i="22"/>
  <c r="I41" i="22"/>
  <c r="G41" i="22"/>
  <c r="M40" i="22"/>
  <c r="K40" i="22"/>
  <c r="I40" i="22"/>
  <c r="G40" i="22"/>
  <c r="M37" i="22"/>
  <c r="M32" i="22" s="1"/>
  <c r="K37" i="22"/>
  <c r="I37" i="22"/>
  <c r="I32" i="22" s="1"/>
  <c r="G37" i="22"/>
  <c r="M36" i="22"/>
  <c r="K36" i="22"/>
  <c r="I36" i="22"/>
  <c r="G36" i="22"/>
  <c r="M35" i="22"/>
  <c r="K35" i="22"/>
  <c r="I35" i="22"/>
  <c r="G35" i="22"/>
  <c r="M34" i="22"/>
  <c r="K34" i="22"/>
  <c r="I34" i="22"/>
  <c r="G34" i="22"/>
  <c r="M33" i="22"/>
  <c r="K33" i="22"/>
  <c r="I33" i="22"/>
  <c r="G33" i="22"/>
  <c r="M31" i="22"/>
  <c r="K31" i="22"/>
  <c r="I31" i="22"/>
  <c r="G31" i="22"/>
  <c r="M30" i="22"/>
  <c r="K30" i="22"/>
  <c r="I30" i="22"/>
  <c r="G30" i="22"/>
  <c r="M29" i="22"/>
  <c r="K29" i="22"/>
  <c r="I29" i="22"/>
  <c r="G29" i="22"/>
  <c r="M28" i="22"/>
  <c r="K28" i="22"/>
  <c r="I28" i="22"/>
  <c r="G28" i="22"/>
  <c r="M27" i="22"/>
  <c r="K27" i="22"/>
  <c r="I27" i="22"/>
  <c r="G27" i="22"/>
  <c r="M26" i="22"/>
  <c r="K26" i="22"/>
  <c r="I26" i="22"/>
  <c r="G26" i="22"/>
  <c r="M38" i="22"/>
  <c r="K38" i="22"/>
  <c r="I38" i="22"/>
  <c r="G38" i="22"/>
  <c r="M24" i="22"/>
  <c r="K24" i="22"/>
  <c r="I24" i="22"/>
  <c r="G24" i="22"/>
  <c r="M23" i="22"/>
  <c r="K23" i="22"/>
  <c r="I23" i="22"/>
  <c r="G23" i="22"/>
  <c r="M22" i="22"/>
  <c r="K22" i="22"/>
  <c r="I22" i="22"/>
  <c r="G22" i="22"/>
  <c r="M21" i="22"/>
  <c r="K21" i="22"/>
  <c r="I21" i="22"/>
  <c r="G21" i="22"/>
  <c r="M20" i="22"/>
  <c r="K20" i="22"/>
  <c r="I20" i="22"/>
  <c r="G20" i="22"/>
  <c r="M19" i="22"/>
  <c r="K19" i="22"/>
  <c r="I19" i="22"/>
  <c r="G19" i="22"/>
  <c r="M18" i="22"/>
  <c r="K18" i="22"/>
  <c r="I18" i="22"/>
  <c r="G18" i="22"/>
  <c r="M17" i="22"/>
  <c r="K17" i="22"/>
  <c r="I17" i="22"/>
  <c r="G17" i="22"/>
  <c r="M16" i="22"/>
  <c r="K16" i="22"/>
  <c r="I16" i="22"/>
  <c r="G16" i="22"/>
  <c r="M14" i="22"/>
  <c r="K14" i="22"/>
  <c r="I14" i="22"/>
  <c r="G14" i="22"/>
  <c r="M13" i="22"/>
  <c r="K13" i="22"/>
  <c r="I13" i="22"/>
  <c r="G13" i="22"/>
  <c r="M8" i="22"/>
  <c r="K8" i="22"/>
  <c r="I8" i="22"/>
  <c r="G8" i="22"/>
  <c r="M7" i="22"/>
  <c r="K7" i="22"/>
  <c r="I7" i="22"/>
  <c r="G7" i="22"/>
  <c r="M39" i="22" l="1"/>
  <c r="I25" i="22"/>
  <c r="M12" i="22"/>
  <c r="K6" i="22"/>
  <c r="G12" i="22"/>
  <c r="G43" i="22"/>
  <c r="K43" i="22"/>
  <c r="I43" i="22"/>
  <c r="G25" i="22"/>
  <c r="K25" i="22"/>
  <c r="M43" i="22"/>
  <c r="G39" i="22"/>
  <c r="I39" i="22"/>
  <c r="I12" i="22"/>
  <c r="K39" i="22"/>
  <c r="M6" i="22"/>
  <c r="K12" i="22"/>
  <c r="G6" i="22"/>
  <c r="I6" i="22"/>
  <c r="M25" i="22"/>
  <c r="M5" i="22" l="1"/>
  <c r="M51" i="22" s="1"/>
  <c r="I5" i="22"/>
  <c r="I51" i="22" s="1"/>
  <c r="K5" i="22"/>
  <c r="K51" i="22" s="1"/>
  <c r="G5" i="22"/>
  <c r="G51" i="22" s="1"/>
  <c r="G5" i="25" l="1"/>
  <c r="D7" i="17"/>
  <c r="M17" i="5"/>
  <c r="M16" i="5"/>
  <c r="M14" i="5" s="1"/>
  <c r="M15" i="5"/>
  <c r="M13" i="5"/>
  <c r="M12" i="5"/>
  <c r="M11" i="5"/>
  <c r="M9" i="5" s="1"/>
  <c r="M10" i="5"/>
  <c r="G17" i="5"/>
  <c r="G16" i="5"/>
  <c r="G14" i="5" s="1"/>
  <c r="G15" i="5"/>
  <c r="G13" i="5"/>
  <c r="G12" i="5"/>
  <c r="G11" i="5"/>
  <c r="G9" i="5" s="1"/>
  <c r="F5" i="25" s="1"/>
  <c r="G10" i="5"/>
  <c r="E27" i="14"/>
  <c r="C4" i="25"/>
  <c r="D4" i="25"/>
  <c r="M50" i="13"/>
  <c r="M49" i="13"/>
  <c r="M48" i="13"/>
  <c r="K50" i="13"/>
  <c r="K49" i="13"/>
  <c r="K48" i="13"/>
  <c r="G50" i="13"/>
  <c r="G49" i="13"/>
  <c r="G48" i="13"/>
  <c r="H40" i="3"/>
  <c r="F40" i="3"/>
  <c r="F37" i="3"/>
  <c r="F33" i="3"/>
  <c r="E39" i="3"/>
  <c r="E35" i="3"/>
  <c r="E34" i="3" s="1"/>
  <c r="E31" i="3"/>
  <c r="E28" i="3"/>
  <c r="E25" i="3"/>
  <c r="E23" i="3"/>
  <c r="E21" i="3"/>
  <c r="E19" i="3"/>
  <c r="E17" i="3"/>
  <c r="E13" i="3"/>
  <c r="E8" i="3"/>
  <c r="E5" i="3"/>
  <c r="O11" i="19"/>
  <c r="M18" i="5" l="1"/>
  <c r="G18" i="5"/>
  <c r="E42" i="3"/>
  <c r="E5" i="25"/>
  <c r="D5" i="25" l="1"/>
  <c r="F7" i="17"/>
  <c r="H4" i="26" s="1"/>
  <c r="E7" i="17"/>
  <c r="G4" i="26" s="1"/>
  <c r="C7" i="17"/>
  <c r="E4" i="25"/>
  <c r="F4" i="25"/>
  <c r="G4" i="25"/>
  <c r="C4" i="17" l="1"/>
  <c r="E4" i="26"/>
  <c r="D4" i="17"/>
  <c r="F4" i="26"/>
  <c r="D16" i="25"/>
  <c r="D17" i="25" s="1"/>
  <c r="E16" i="25"/>
  <c r="E17" i="25" s="1"/>
  <c r="F16" i="25"/>
  <c r="F17" i="25" s="1"/>
  <c r="C16" i="25"/>
  <c r="C17" i="25" s="1"/>
  <c r="I25" i="24" l="1"/>
  <c r="J25" i="24"/>
  <c r="K25" i="24"/>
  <c r="L25" i="24"/>
  <c r="I26" i="24"/>
  <c r="J26" i="24"/>
  <c r="K26" i="24"/>
  <c r="L26" i="24"/>
  <c r="I27" i="24"/>
  <c r="J27" i="24"/>
  <c r="K27" i="24"/>
  <c r="L27" i="24"/>
  <c r="I28" i="24"/>
  <c r="J28" i="24"/>
  <c r="K28" i="24"/>
  <c r="L28" i="24"/>
  <c r="I30" i="24"/>
  <c r="J30" i="24"/>
  <c r="K30" i="24"/>
  <c r="L30" i="24"/>
  <c r="I31" i="24"/>
  <c r="J31" i="24"/>
  <c r="K31" i="24"/>
  <c r="L31" i="24"/>
  <c r="I32" i="24"/>
  <c r="J32" i="24"/>
  <c r="K32" i="24"/>
  <c r="L32" i="24"/>
  <c r="I33" i="24"/>
  <c r="J33" i="24"/>
  <c r="K33" i="24"/>
  <c r="L33" i="24"/>
  <c r="G46" i="11"/>
  <c r="F46" i="11"/>
  <c r="E46" i="11"/>
  <c r="D46" i="11"/>
  <c r="G45" i="11"/>
  <c r="F45" i="11"/>
  <c r="E45" i="11"/>
  <c r="D45" i="11"/>
  <c r="G44" i="11"/>
  <c r="F44" i="11"/>
  <c r="E44" i="11"/>
  <c r="D44" i="11"/>
  <c r="G43" i="11"/>
  <c r="F43" i="11"/>
  <c r="E43" i="11"/>
  <c r="D43" i="11"/>
  <c r="G41" i="11"/>
  <c r="F41" i="11"/>
  <c r="E41" i="11"/>
  <c r="D41" i="11"/>
  <c r="G40" i="11"/>
  <c r="F40" i="11"/>
  <c r="E40" i="11"/>
  <c r="D40" i="11"/>
  <c r="G39" i="11"/>
  <c r="F39" i="11"/>
  <c r="E39" i="11"/>
  <c r="D39" i="11"/>
  <c r="F19" i="10"/>
  <c r="H51" i="24" s="1"/>
  <c r="E19" i="10"/>
  <c r="F65" i="11" s="1"/>
  <c r="D19" i="10"/>
  <c r="F51" i="24" s="1"/>
  <c r="C19" i="10"/>
  <c r="E51" i="24" s="1"/>
  <c r="F18" i="10"/>
  <c r="H50" i="24" s="1"/>
  <c r="E18" i="10"/>
  <c r="G50" i="24" s="1"/>
  <c r="D18" i="10"/>
  <c r="F50" i="24" s="1"/>
  <c r="C18" i="10"/>
  <c r="E50" i="24" s="1"/>
  <c r="F17" i="10"/>
  <c r="H49" i="24" s="1"/>
  <c r="E17" i="10"/>
  <c r="F63" i="11" s="1"/>
  <c r="D17" i="10"/>
  <c r="E63" i="11" s="1"/>
  <c r="C17" i="10"/>
  <c r="D63" i="11" s="1"/>
  <c r="F16" i="10"/>
  <c r="H48" i="24" s="1"/>
  <c r="E16" i="10"/>
  <c r="G48" i="24" s="1"/>
  <c r="D16" i="10"/>
  <c r="F48" i="24" s="1"/>
  <c r="C16" i="10"/>
  <c r="E48" i="24" s="1"/>
  <c r="F15" i="10"/>
  <c r="H47" i="24" s="1"/>
  <c r="E15" i="10"/>
  <c r="G47" i="24" s="1"/>
  <c r="D15" i="10"/>
  <c r="F47" i="24" s="1"/>
  <c r="C15" i="10"/>
  <c r="E47" i="24" s="1"/>
  <c r="F14" i="10"/>
  <c r="H46" i="24" s="1"/>
  <c r="E14" i="10"/>
  <c r="F60" i="11" s="1"/>
  <c r="D14" i="10"/>
  <c r="E60" i="11" s="1"/>
  <c r="C14" i="10"/>
  <c r="D60" i="11" s="1"/>
  <c r="F13" i="10"/>
  <c r="H45" i="24" s="1"/>
  <c r="E13" i="10"/>
  <c r="F59" i="11" s="1"/>
  <c r="D13" i="10"/>
  <c r="F45" i="24" s="1"/>
  <c r="C13" i="10"/>
  <c r="D59" i="11" s="1"/>
  <c r="F12" i="10"/>
  <c r="H44" i="24" s="1"/>
  <c r="E12" i="10"/>
  <c r="G44" i="24" s="1"/>
  <c r="D12" i="10"/>
  <c r="E58" i="11" s="1"/>
  <c r="C12" i="10"/>
  <c r="E44" i="24" s="1"/>
  <c r="F11" i="10"/>
  <c r="H43" i="24" s="1"/>
  <c r="E11" i="10"/>
  <c r="G43" i="24" s="1"/>
  <c r="D11" i="10"/>
  <c r="E57" i="11" s="1"/>
  <c r="C11" i="10"/>
  <c r="D57" i="11" s="1"/>
  <c r="F10" i="10"/>
  <c r="H42" i="24" s="1"/>
  <c r="E10" i="10"/>
  <c r="G42" i="24" s="1"/>
  <c r="D10" i="10"/>
  <c r="F42" i="24" s="1"/>
  <c r="C10" i="10"/>
  <c r="E42" i="24" s="1"/>
  <c r="F9" i="10"/>
  <c r="H41" i="24" s="1"/>
  <c r="E9" i="10"/>
  <c r="F55" i="11" s="1"/>
  <c r="D9" i="10"/>
  <c r="E55" i="11" s="1"/>
  <c r="C9" i="10"/>
  <c r="E41" i="24" s="1"/>
  <c r="F8" i="10"/>
  <c r="H40" i="24" s="1"/>
  <c r="E8" i="10"/>
  <c r="F54" i="11" s="1"/>
  <c r="D8" i="10"/>
  <c r="E54" i="11" s="1"/>
  <c r="C8" i="10"/>
  <c r="D54" i="11" s="1"/>
  <c r="F7" i="10"/>
  <c r="H39" i="24" s="1"/>
  <c r="E7" i="10"/>
  <c r="F53" i="11" s="1"/>
  <c r="D7" i="10"/>
  <c r="F39" i="24" s="1"/>
  <c r="C7" i="10"/>
  <c r="E39" i="24" s="1"/>
  <c r="F5" i="10"/>
  <c r="G51" i="11" s="1"/>
  <c r="E5" i="10"/>
  <c r="F51" i="11" s="1"/>
  <c r="D5" i="10"/>
  <c r="E51" i="11" s="1"/>
  <c r="C5" i="10"/>
  <c r="E37" i="24" s="1"/>
  <c r="F4" i="10"/>
  <c r="H36" i="24" s="1"/>
  <c r="E4" i="10"/>
  <c r="G36" i="24" s="1"/>
  <c r="D4" i="10"/>
  <c r="F36" i="24" s="1"/>
  <c r="C4" i="10"/>
  <c r="E36" i="24" s="1"/>
  <c r="F3" i="10"/>
  <c r="G49" i="11" s="1"/>
  <c r="E3" i="10"/>
  <c r="G35" i="24" s="1"/>
  <c r="D3" i="10"/>
  <c r="E49" i="11" s="1"/>
  <c r="C3" i="10"/>
  <c r="D49" i="11" s="1"/>
  <c r="C43" i="18"/>
  <c r="F60" i="18"/>
  <c r="H71" i="24" s="1"/>
  <c r="E60" i="18"/>
  <c r="G71" i="24" s="1"/>
  <c r="D60" i="18"/>
  <c r="F71" i="24" s="1"/>
  <c r="C60" i="18"/>
  <c r="E71" i="24" s="1"/>
  <c r="F59" i="18"/>
  <c r="H70" i="24" s="1"/>
  <c r="E59" i="18"/>
  <c r="K70" i="24" s="1"/>
  <c r="D59" i="18"/>
  <c r="F70" i="24" s="1"/>
  <c r="C59" i="18"/>
  <c r="E70" i="24" s="1"/>
  <c r="F58" i="18"/>
  <c r="L69" i="24" s="1"/>
  <c r="E58" i="18"/>
  <c r="G69" i="24" s="1"/>
  <c r="D58" i="18"/>
  <c r="F69" i="24" s="1"/>
  <c r="C58" i="18"/>
  <c r="E69" i="24" s="1"/>
  <c r="F53" i="18"/>
  <c r="H64" i="24" s="1"/>
  <c r="E53" i="18"/>
  <c r="G64" i="24" s="1"/>
  <c r="D53" i="18"/>
  <c r="F64" i="24" s="1"/>
  <c r="C53" i="18"/>
  <c r="E64" i="24" s="1"/>
  <c r="C9" i="21"/>
  <c r="F11" i="21"/>
  <c r="E11" i="21"/>
  <c r="D11" i="21"/>
  <c r="C11" i="21"/>
  <c r="F10" i="21"/>
  <c r="E10" i="21"/>
  <c r="D10" i="21"/>
  <c r="C10" i="21"/>
  <c r="F9" i="21"/>
  <c r="E9" i="21"/>
  <c r="D9" i="21"/>
  <c r="K45" i="19"/>
  <c r="K44" i="19"/>
  <c r="K42" i="19"/>
  <c r="K41" i="19"/>
  <c r="E61" i="3"/>
  <c r="H39" i="3"/>
  <c r="G39" i="3"/>
  <c r="G35" i="3"/>
  <c r="F35" i="3"/>
  <c r="H53" i="3"/>
  <c r="H51" i="3"/>
  <c r="F48" i="3"/>
  <c r="H48" i="3"/>
  <c r="H35" i="3"/>
  <c r="H31" i="3"/>
  <c r="H28" i="3"/>
  <c r="F25" i="3"/>
  <c r="G25" i="3"/>
  <c r="H25" i="3"/>
  <c r="G23" i="3"/>
  <c r="G21" i="3"/>
  <c r="G19" i="3"/>
  <c r="G17" i="3"/>
  <c r="G13" i="3"/>
  <c r="G5" i="3"/>
  <c r="G8" i="3"/>
  <c r="E43" i="18" s="1"/>
  <c r="E49" i="18" s="1"/>
  <c r="I10" i="24"/>
  <c r="J10" i="24"/>
  <c r="K10" i="24"/>
  <c r="L10" i="24"/>
  <c r="J23" i="24"/>
  <c r="K23" i="24"/>
  <c r="L23" i="24"/>
  <c r="I23" i="24"/>
  <c r="F26" i="24"/>
  <c r="G26" i="24"/>
  <c r="H26" i="24"/>
  <c r="F27" i="24"/>
  <c r="G27" i="24"/>
  <c r="H27" i="24"/>
  <c r="F28" i="24"/>
  <c r="G28" i="24"/>
  <c r="H28" i="24"/>
  <c r="F30" i="24"/>
  <c r="G30" i="24"/>
  <c r="H30" i="24"/>
  <c r="F31" i="24"/>
  <c r="G31" i="24"/>
  <c r="H31" i="24"/>
  <c r="F32" i="24"/>
  <c r="G32" i="24"/>
  <c r="H32" i="24"/>
  <c r="F33" i="24"/>
  <c r="G33" i="24"/>
  <c r="H33" i="24"/>
  <c r="E26" i="24"/>
  <c r="E27" i="24"/>
  <c r="E28" i="24"/>
  <c r="E30" i="24"/>
  <c r="E31" i="24"/>
  <c r="E32" i="24"/>
  <c r="E33" i="24"/>
  <c r="J12" i="24"/>
  <c r="K12" i="24"/>
  <c r="L12" i="24"/>
  <c r="J18" i="24"/>
  <c r="K18" i="24"/>
  <c r="L18" i="24"/>
  <c r="I12" i="24"/>
  <c r="I18" i="24"/>
  <c r="F14" i="24"/>
  <c r="G14" i="24"/>
  <c r="H14" i="24"/>
  <c r="F16" i="24"/>
  <c r="G16" i="24"/>
  <c r="H16" i="24"/>
  <c r="F17" i="24"/>
  <c r="G17" i="24"/>
  <c r="H17" i="24"/>
  <c r="E14" i="24"/>
  <c r="E16" i="24"/>
  <c r="E17" i="24"/>
  <c r="I50" i="13"/>
  <c r="I48" i="13"/>
  <c r="I49" i="13"/>
  <c r="G61" i="3" l="1"/>
  <c r="H34" i="3"/>
  <c r="H59" i="3"/>
  <c r="E48" i="18"/>
  <c r="C13" i="25"/>
  <c r="C18" i="25" s="1"/>
  <c r="E53" i="11"/>
  <c r="F58" i="11"/>
  <c r="F37" i="24"/>
  <c r="H37" i="24"/>
  <c r="G58" i="11"/>
  <c r="E65" i="11"/>
  <c r="E59" i="11"/>
  <c r="G55" i="11"/>
  <c r="G70" i="24"/>
  <c r="G46" i="24"/>
  <c r="P27" i="24"/>
  <c r="I64" i="24"/>
  <c r="I70" i="24"/>
  <c r="F41" i="24"/>
  <c r="J64" i="24"/>
  <c r="J70" i="24"/>
  <c r="G41" i="24"/>
  <c r="K64" i="24"/>
  <c r="J69" i="24"/>
  <c r="G37" i="24"/>
  <c r="K69" i="24"/>
  <c r="L64" i="24"/>
  <c r="L70" i="24"/>
  <c r="F64" i="11"/>
  <c r="I71" i="24"/>
  <c r="I69" i="24"/>
  <c r="G61" i="11"/>
  <c r="E35" i="24"/>
  <c r="J71" i="24"/>
  <c r="F61" i="11"/>
  <c r="F35" i="24"/>
  <c r="K71" i="24"/>
  <c r="L71" i="24"/>
  <c r="E43" i="24"/>
  <c r="F43" i="24"/>
  <c r="E49" i="24"/>
  <c r="F49" i="24"/>
  <c r="G49" i="24"/>
  <c r="E40" i="24"/>
  <c r="F44" i="24"/>
  <c r="F40" i="24"/>
  <c r="G40" i="24"/>
  <c r="E46" i="24"/>
  <c r="G64" i="11"/>
  <c r="F46" i="24"/>
  <c r="G56" i="11"/>
  <c r="F62" i="11"/>
  <c r="E62" i="11"/>
  <c r="D62" i="11"/>
  <c r="D56" i="11"/>
  <c r="H35" i="24"/>
  <c r="P35" i="24" s="1"/>
  <c r="D65" i="11"/>
  <c r="D53" i="11"/>
  <c r="E56" i="11"/>
  <c r="D50" i="11"/>
  <c r="E45" i="24"/>
  <c r="G62" i="11"/>
  <c r="G50" i="11"/>
  <c r="E50" i="11"/>
  <c r="F56" i="11"/>
  <c r="F50" i="11"/>
  <c r="G65" i="11"/>
  <c r="G59" i="11"/>
  <c r="G53" i="11"/>
  <c r="G39" i="24"/>
  <c r="G45" i="24"/>
  <c r="G51" i="24"/>
  <c r="D64" i="11"/>
  <c r="D61" i="11"/>
  <c r="D58" i="11"/>
  <c r="D55" i="11"/>
  <c r="G63" i="11"/>
  <c r="G60" i="11"/>
  <c r="G57" i="11"/>
  <c r="G54" i="11"/>
  <c r="D51" i="11"/>
  <c r="E64" i="11"/>
  <c r="F57" i="11"/>
  <c r="E61" i="11"/>
  <c r="F49" i="11"/>
  <c r="E47" i="18"/>
  <c r="E50" i="18"/>
  <c r="E46" i="18"/>
  <c r="E45" i="18"/>
  <c r="C46" i="18"/>
  <c r="C50" i="18"/>
  <c r="C47" i="18"/>
  <c r="C48" i="18"/>
  <c r="C45" i="18"/>
  <c r="C49" i="18"/>
  <c r="H69" i="24"/>
  <c r="N45" i="24"/>
  <c r="M31" i="24"/>
  <c r="M32" i="24"/>
  <c r="O27" i="24"/>
  <c r="P39" i="24"/>
  <c r="P43" i="24"/>
  <c r="P46" i="24"/>
  <c r="M39" i="24"/>
  <c r="M37" i="24"/>
  <c r="O31" i="24"/>
  <c r="M28" i="24"/>
  <c r="N33" i="24"/>
  <c r="O33" i="24"/>
  <c r="P33" i="24"/>
  <c r="N28" i="24"/>
  <c r="N27" i="24"/>
  <c r="N26" i="24"/>
  <c r="M27" i="24"/>
  <c r="O28" i="24"/>
  <c r="O32" i="24"/>
  <c r="P32" i="24"/>
  <c r="N32" i="24"/>
  <c r="O26" i="24"/>
  <c r="M33" i="24"/>
  <c r="N31" i="24"/>
  <c r="M26" i="24"/>
  <c r="P28" i="24"/>
  <c r="P26" i="24"/>
  <c r="P31" i="24"/>
  <c r="P45" i="24" l="1"/>
  <c r="N37" i="24"/>
  <c r="N41" i="24"/>
  <c r="P42" i="24"/>
  <c r="M43" i="24"/>
  <c r="M41" i="24"/>
  <c r="M40" i="24"/>
  <c r="N48" i="24"/>
  <c r="N42" i="24"/>
  <c r="M46" i="24"/>
  <c r="N46" i="24"/>
  <c r="M48" i="24"/>
  <c r="P49" i="24"/>
  <c r="P51" i="24"/>
  <c r="M44" i="24"/>
  <c r="P47" i="24"/>
  <c r="N40" i="24"/>
  <c r="N36" i="24"/>
  <c r="M45" i="24"/>
  <c r="M36" i="24"/>
  <c r="M47" i="24"/>
  <c r="M50" i="24"/>
  <c r="N44" i="24"/>
  <c r="N35" i="24"/>
  <c r="N47" i="24"/>
  <c r="P41" i="24"/>
  <c r="N50" i="24"/>
  <c r="M42" i="24"/>
  <c r="P44" i="24"/>
  <c r="N43" i="24"/>
  <c r="N49" i="24"/>
  <c r="P48" i="24"/>
  <c r="P40" i="24"/>
  <c r="P36" i="24"/>
  <c r="P37" i="24"/>
  <c r="O45" i="24"/>
  <c r="N51" i="24"/>
  <c r="M49" i="24"/>
  <c r="P50" i="24"/>
  <c r="N39" i="24"/>
  <c r="M51" i="24"/>
  <c r="D85" i="19"/>
  <c r="E85" i="19"/>
  <c r="D86" i="19"/>
  <c r="M23" i="5"/>
  <c r="M25" i="5" s="1"/>
  <c r="K23" i="5"/>
  <c r="K25" i="5" s="1"/>
  <c r="E22" i="21" s="1"/>
  <c r="K17" i="5"/>
  <c r="K16" i="5"/>
  <c r="K15" i="5"/>
  <c r="K13" i="5"/>
  <c r="K12" i="5"/>
  <c r="K11" i="5"/>
  <c r="K10" i="5"/>
  <c r="G23" i="5"/>
  <c r="G25" i="5" s="1"/>
  <c r="I23" i="5"/>
  <c r="I25" i="5" s="1"/>
  <c r="I17" i="5"/>
  <c r="I16" i="5"/>
  <c r="I15" i="5"/>
  <c r="I14" i="5" s="1"/>
  <c r="I11" i="5"/>
  <c r="I12" i="5"/>
  <c r="I13" i="5"/>
  <c r="I10" i="5"/>
  <c r="G5" i="12" l="1"/>
  <c r="K5" i="12" s="1"/>
  <c r="F13" i="25"/>
  <c r="F18" i="25" s="1"/>
  <c r="E5" i="12"/>
  <c r="I5" i="12" s="1"/>
  <c r="D13" i="25"/>
  <c r="D18" i="25" s="1"/>
  <c r="F5" i="12"/>
  <c r="J5" i="12" s="1"/>
  <c r="E13" i="25"/>
  <c r="E18" i="25" s="1"/>
  <c r="D87" i="19"/>
  <c r="K14" i="5"/>
  <c r="E7" i="21" s="1"/>
  <c r="F7" i="21"/>
  <c r="F19" i="21" s="1"/>
  <c r="I9" i="5"/>
  <c r="D6" i="21" s="1"/>
  <c r="D30" i="21" s="1"/>
  <c r="C7" i="21"/>
  <c r="C31" i="21" s="1"/>
  <c r="K9" i="5"/>
  <c r="E6" i="21" s="1"/>
  <c r="O40" i="24"/>
  <c r="C22" i="21"/>
  <c r="C34" i="21"/>
  <c r="D22" i="21"/>
  <c r="D34" i="21"/>
  <c r="F22" i="21"/>
  <c r="F34" i="21"/>
  <c r="E34" i="21"/>
  <c r="E31" i="21"/>
  <c r="E19" i="21"/>
  <c r="D7" i="21"/>
  <c r="I18" i="5"/>
  <c r="D5" i="12"/>
  <c r="H5" i="12" s="1"/>
  <c r="M62" i="22"/>
  <c r="I62" i="22"/>
  <c r="O17" i="23"/>
  <c r="L16" i="23"/>
  <c r="M16" i="23" s="1"/>
  <c r="I16" i="23"/>
  <c r="J16" i="23" s="1"/>
  <c r="O15" i="23"/>
  <c r="N15" i="23"/>
  <c r="O8" i="23"/>
  <c r="I7" i="23"/>
  <c r="N6" i="23"/>
  <c r="O6" i="23" s="1"/>
  <c r="K18" i="5" l="1"/>
  <c r="F31" i="21"/>
  <c r="D18" i="21"/>
  <c r="I56" i="22"/>
  <c r="C19" i="21"/>
  <c r="E30" i="21"/>
  <c r="E18" i="21"/>
  <c r="F6" i="21"/>
  <c r="C6" i="21"/>
  <c r="D19" i="21"/>
  <c r="D31" i="21"/>
  <c r="G62" i="22"/>
  <c r="K62" i="22"/>
  <c r="M56" i="22"/>
  <c r="O16" i="23"/>
  <c r="N16" i="23"/>
  <c r="J7" i="23"/>
  <c r="N7" i="23" s="1"/>
  <c r="F5" i="21" l="1"/>
  <c r="F29" i="21" s="1"/>
  <c r="F23" i="21"/>
  <c r="F35" i="21"/>
  <c r="F21" i="21"/>
  <c r="F33" i="21"/>
  <c r="F8" i="21"/>
  <c r="M64" i="22"/>
  <c r="K56" i="22"/>
  <c r="G56" i="22"/>
  <c r="G64" i="22" s="1"/>
  <c r="D23" i="21"/>
  <c r="D35" i="21"/>
  <c r="I64" i="22"/>
  <c r="C30" i="21"/>
  <c r="C18" i="21"/>
  <c r="F30" i="21"/>
  <c r="F18" i="21"/>
  <c r="C5" i="21"/>
  <c r="C29" i="21" s="1"/>
  <c r="D5" i="21"/>
  <c r="E5" i="21"/>
  <c r="O7" i="23"/>
  <c r="F32" i="21" l="1"/>
  <c r="L72" i="24" s="1"/>
  <c r="F20" i="21"/>
  <c r="L73" i="24" s="1"/>
  <c r="K64" i="22"/>
  <c r="E23" i="21"/>
  <c r="E35" i="21"/>
  <c r="F28" i="21"/>
  <c r="F17" i="21"/>
  <c r="F16" i="21" s="1"/>
  <c r="H73" i="24" s="1"/>
  <c r="E29" i="21"/>
  <c r="E28" i="21" s="1"/>
  <c r="E17" i="21"/>
  <c r="E16" i="21" s="1"/>
  <c r="E4" i="21"/>
  <c r="F7" i="25" s="1"/>
  <c r="D17" i="21"/>
  <c r="D16" i="21" s="1"/>
  <c r="D29" i="21"/>
  <c r="D28" i="21" s="1"/>
  <c r="D4" i="21"/>
  <c r="C28" i="21"/>
  <c r="E72" i="24" s="1"/>
  <c r="C17" i="21"/>
  <c r="C16" i="21" s="1"/>
  <c r="C23" i="21"/>
  <c r="C35" i="21"/>
  <c r="F4" i="21"/>
  <c r="C21" i="21"/>
  <c r="C33" i="21"/>
  <c r="C8" i="21"/>
  <c r="E33" i="21"/>
  <c r="E21" i="21"/>
  <c r="E8" i="21"/>
  <c r="C4" i="21"/>
  <c r="C16" i="8" s="1"/>
  <c r="E23" i="24" s="1"/>
  <c r="M23" i="24" s="1"/>
  <c r="D21" i="21"/>
  <c r="D20" i="21" s="1"/>
  <c r="J73" i="24" s="1"/>
  <c r="D33" i="21"/>
  <c r="D32" i="21" s="1"/>
  <c r="J72" i="24" s="1"/>
  <c r="D8" i="21"/>
  <c r="K62" i="11"/>
  <c r="I62" i="11"/>
  <c r="F16" i="8" l="1"/>
  <c r="H23" i="24" s="1"/>
  <c r="P23" i="24" s="1"/>
  <c r="G7" i="25"/>
  <c r="E7" i="25"/>
  <c r="G36" i="11"/>
  <c r="D36" i="11"/>
  <c r="H36" i="11" s="1"/>
  <c r="C32" i="21"/>
  <c r="I72" i="24" s="1"/>
  <c r="M72" i="24" s="1"/>
  <c r="E20" i="21"/>
  <c r="K73" i="24" s="1"/>
  <c r="C20" i="21"/>
  <c r="I73" i="24" s="1"/>
  <c r="P73" i="24"/>
  <c r="F24" i="21"/>
  <c r="G95" i="11" s="1"/>
  <c r="K95" i="11" s="1"/>
  <c r="H27" i="26" s="1"/>
  <c r="F36" i="21"/>
  <c r="G92" i="11" s="1"/>
  <c r="H72" i="24"/>
  <c r="P72" i="24" s="1"/>
  <c r="E73" i="24"/>
  <c r="E12" i="21"/>
  <c r="L13" i="13" s="1"/>
  <c r="E16" i="8"/>
  <c r="D36" i="21"/>
  <c r="E92" i="11" s="1"/>
  <c r="I92" i="11" s="1"/>
  <c r="D58" i="25" s="1"/>
  <c r="F72" i="24"/>
  <c r="N72" i="24" s="1"/>
  <c r="G73" i="24"/>
  <c r="G72" i="24"/>
  <c r="C12" i="21"/>
  <c r="E32" i="21"/>
  <c r="K72" i="24" s="1"/>
  <c r="F12" i="21"/>
  <c r="N13" i="13" s="1"/>
  <c r="D24" i="21"/>
  <c r="E95" i="11" s="1"/>
  <c r="I95" i="11" s="1"/>
  <c r="F27" i="26" s="1"/>
  <c r="F73" i="24"/>
  <c r="N73" i="24" s="1"/>
  <c r="D12" i="21"/>
  <c r="D16" i="8"/>
  <c r="J62" i="11"/>
  <c r="I63" i="11"/>
  <c r="K63" i="11"/>
  <c r="J63" i="11"/>
  <c r="H62" i="11"/>
  <c r="H63" i="11"/>
  <c r="E12" i="26" l="1"/>
  <c r="H13" i="13"/>
  <c r="C6" i="10" s="1"/>
  <c r="D52" i="11" s="1"/>
  <c r="D7" i="25"/>
  <c r="C5" i="25"/>
  <c r="C7" i="25" s="1"/>
  <c r="H12" i="26"/>
  <c r="G12" i="26"/>
  <c r="F12" i="26"/>
  <c r="D60" i="25"/>
  <c r="M51" i="12"/>
  <c r="N51" i="12"/>
  <c r="W51" i="12"/>
  <c r="U51" i="12"/>
  <c r="L51" i="12"/>
  <c r="O51" i="12"/>
  <c r="T51" i="12"/>
  <c r="P51" i="12"/>
  <c r="S51" i="12"/>
  <c r="V51" i="12"/>
  <c r="Q51" i="12"/>
  <c r="R51" i="12"/>
  <c r="S73" i="12"/>
  <c r="T73" i="12"/>
  <c r="U73" i="12"/>
  <c r="Q73" i="12"/>
  <c r="N73" i="12"/>
  <c r="O73" i="12"/>
  <c r="L73" i="12"/>
  <c r="R73" i="12"/>
  <c r="V73" i="12"/>
  <c r="M73" i="12"/>
  <c r="P73" i="12"/>
  <c r="W73" i="12"/>
  <c r="K92" i="11"/>
  <c r="F58" i="25" s="1"/>
  <c r="H73" i="12"/>
  <c r="H27" i="12" s="1"/>
  <c r="F60" i="25"/>
  <c r="C71" i="12"/>
  <c r="C28" i="12" s="1"/>
  <c r="G23" i="24"/>
  <c r="O23" i="24" s="1"/>
  <c r="F36" i="11"/>
  <c r="F23" i="24"/>
  <c r="N23" i="24" s="1"/>
  <c r="E36" i="11"/>
  <c r="C38" i="12"/>
  <c r="C41" i="12" s="1"/>
  <c r="C42" i="12" s="1"/>
  <c r="C43" i="12" s="1"/>
  <c r="C36" i="21"/>
  <c r="D92" i="11" s="1"/>
  <c r="M73" i="24"/>
  <c r="C24" i="21"/>
  <c r="D95" i="11" s="1"/>
  <c r="E73" i="12"/>
  <c r="E27" i="12" s="1"/>
  <c r="K73" i="12"/>
  <c r="K27" i="12" s="1"/>
  <c r="E24" i="21"/>
  <c r="F95" i="11" s="1"/>
  <c r="J95" i="11" s="1"/>
  <c r="G27" i="26" s="1"/>
  <c r="O73" i="24"/>
  <c r="F73" i="12"/>
  <c r="F27" i="12" s="1"/>
  <c r="D73" i="12"/>
  <c r="D27" i="12" s="1"/>
  <c r="J73" i="12"/>
  <c r="J27" i="12" s="1"/>
  <c r="G73" i="12"/>
  <c r="G27" i="12" s="1"/>
  <c r="I73" i="12"/>
  <c r="I27" i="12" s="1"/>
  <c r="F6" i="10"/>
  <c r="C49" i="12"/>
  <c r="C52" i="12" s="1"/>
  <c r="J13" i="13"/>
  <c r="D6" i="10" s="1"/>
  <c r="J51" i="12"/>
  <c r="J19" i="12" s="1"/>
  <c r="D51" i="12"/>
  <c r="D19" i="12" s="1"/>
  <c r="E51" i="12"/>
  <c r="E19" i="12" s="1"/>
  <c r="H51" i="12"/>
  <c r="H19" i="12" s="1"/>
  <c r="G51" i="12"/>
  <c r="G19" i="12" s="1"/>
  <c r="I51" i="12"/>
  <c r="I19" i="12" s="1"/>
  <c r="F51" i="12"/>
  <c r="F19" i="12" s="1"/>
  <c r="K51" i="12"/>
  <c r="K19" i="12" s="1"/>
  <c r="E36" i="21"/>
  <c r="F92" i="11" s="1"/>
  <c r="J92" i="11" s="1"/>
  <c r="E58" i="25" s="1"/>
  <c r="E6" i="10"/>
  <c r="C60" i="12"/>
  <c r="O72" i="24"/>
  <c r="I34" i="24"/>
  <c r="O37" i="24"/>
  <c r="O35" i="24"/>
  <c r="M35" i="24"/>
  <c r="O48" i="24"/>
  <c r="O42" i="24"/>
  <c r="O44" i="24"/>
  <c r="O50" i="24"/>
  <c r="O46" i="24"/>
  <c r="O49" i="24"/>
  <c r="O39" i="24"/>
  <c r="O43" i="24"/>
  <c r="O41" i="24"/>
  <c r="O36" i="24"/>
  <c r="O47" i="24"/>
  <c r="O51" i="24"/>
  <c r="K57" i="19"/>
  <c r="K50" i="19" s="1"/>
  <c r="K58" i="19" s="1"/>
  <c r="H57" i="19"/>
  <c r="H50" i="19" s="1"/>
  <c r="H58" i="19" s="1"/>
  <c r="L57" i="19"/>
  <c r="J57" i="19"/>
  <c r="L54" i="19"/>
  <c r="J54" i="19"/>
  <c r="L53" i="19"/>
  <c r="L52" i="19"/>
  <c r="J52" i="19"/>
  <c r="L51" i="19"/>
  <c r="J51" i="19"/>
  <c r="I51" i="19"/>
  <c r="G51" i="19"/>
  <c r="F51" i="19"/>
  <c r="D51" i="19"/>
  <c r="I57" i="19"/>
  <c r="G57" i="19"/>
  <c r="I54" i="19"/>
  <c r="G54" i="19"/>
  <c r="I53" i="19"/>
  <c r="I52" i="19"/>
  <c r="G52" i="19"/>
  <c r="F54" i="19"/>
  <c r="D54" i="19"/>
  <c r="F53" i="19"/>
  <c r="F52" i="19"/>
  <c r="D52" i="19"/>
  <c r="E57" i="19"/>
  <c r="E50" i="19" s="1"/>
  <c r="F57" i="19"/>
  <c r="D57" i="19"/>
  <c r="O33" i="19"/>
  <c r="C53" i="12" l="1"/>
  <c r="C54" i="12" s="1"/>
  <c r="C74" i="12"/>
  <c r="L62" i="12"/>
  <c r="M62" i="12"/>
  <c r="N62" i="12"/>
  <c r="O62" i="12"/>
  <c r="W62" i="12"/>
  <c r="P62" i="12"/>
  <c r="T62" i="12"/>
  <c r="U62" i="12"/>
  <c r="V62" i="12"/>
  <c r="Q62" i="12"/>
  <c r="R62" i="12"/>
  <c r="S62" i="12"/>
  <c r="F62" i="12"/>
  <c r="F23" i="12" s="1"/>
  <c r="E60" i="25"/>
  <c r="E38" i="24"/>
  <c r="E34" i="24" s="1"/>
  <c r="M34" i="24" s="1"/>
  <c r="C16" i="12"/>
  <c r="H95" i="11"/>
  <c r="E27" i="26" s="1"/>
  <c r="H92" i="11"/>
  <c r="C58" i="25" s="1"/>
  <c r="H38" i="24"/>
  <c r="H34" i="24" s="1"/>
  <c r="G52" i="11"/>
  <c r="G38" i="24"/>
  <c r="F52" i="11"/>
  <c r="E52" i="11"/>
  <c r="F38" i="24"/>
  <c r="I62" i="12"/>
  <c r="I23" i="12" s="1"/>
  <c r="K62" i="12"/>
  <c r="K23" i="12" s="1"/>
  <c r="J62" i="12"/>
  <c r="J23" i="12" s="1"/>
  <c r="G62" i="12"/>
  <c r="G23" i="12" s="1"/>
  <c r="E62" i="12"/>
  <c r="E23" i="12" s="1"/>
  <c r="D62" i="12"/>
  <c r="D23" i="12" s="1"/>
  <c r="H62" i="12"/>
  <c r="H23" i="12" s="1"/>
  <c r="C63" i="12"/>
  <c r="C24" i="12"/>
  <c r="K34" i="24"/>
  <c r="J34" i="24"/>
  <c r="C20" i="12"/>
  <c r="C6" i="18"/>
  <c r="L50" i="19"/>
  <c r="L58" i="19" s="1"/>
  <c r="I50" i="19"/>
  <c r="I58" i="19" s="1"/>
  <c r="E58" i="19"/>
  <c r="J50" i="19"/>
  <c r="J58" i="19" s="1"/>
  <c r="G50" i="19"/>
  <c r="G58" i="19" s="1"/>
  <c r="F50" i="19"/>
  <c r="F58" i="19" s="1"/>
  <c r="D50" i="19"/>
  <c r="D58" i="19" s="1"/>
  <c r="M38" i="24" l="1"/>
  <c r="C64" i="12"/>
  <c r="C65" i="12" s="1"/>
  <c r="M40" i="12"/>
  <c r="Q40" i="12"/>
  <c r="R40" i="12"/>
  <c r="V40" i="12"/>
  <c r="O40" i="12"/>
  <c r="W40" i="12"/>
  <c r="S40" i="12"/>
  <c r="L40" i="12"/>
  <c r="N40" i="12"/>
  <c r="P40" i="12"/>
  <c r="T40" i="12"/>
  <c r="U40" i="12"/>
  <c r="C75" i="12"/>
  <c r="C76" i="12" s="1"/>
  <c r="J40" i="12"/>
  <c r="J15" i="12" s="1"/>
  <c r="C60" i="25"/>
  <c r="I40" i="12"/>
  <c r="I15" i="12" s="1"/>
  <c r="E40" i="12"/>
  <c r="E15" i="12" s="1"/>
  <c r="F40" i="12"/>
  <c r="F15" i="12" s="1"/>
  <c r="K40" i="12"/>
  <c r="K15" i="12" s="1"/>
  <c r="G40" i="12"/>
  <c r="G15" i="12" s="1"/>
  <c r="H40" i="12"/>
  <c r="H15" i="12" s="1"/>
  <c r="D40" i="12"/>
  <c r="D15" i="12" s="1"/>
  <c r="L34" i="24"/>
  <c r="P34" i="24" s="1"/>
  <c r="F34" i="24"/>
  <c r="N34" i="24" s="1"/>
  <c r="N38" i="24"/>
  <c r="O38" i="24"/>
  <c r="G34" i="24"/>
  <c r="O34" i="24" s="1"/>
  <c r="E43" i="19"/>
  <c r="K43" i="19" s="1"/>
  <c r="E40" i="19"/>
  <c r="K40" i="19" s="1"/>
  <c r="P38" i="24" l="1"/>
  <c r="S31" i="19"/>
  <c r="S32" i="19"/>
  <c r="S30" i="19"/>
  <c r="Q31" i="19"/>
  <c r="Q32" i="19"/>
  <c r="Q30" i="19"/>
  <c r="D90" i="11"/>
  <c r="H90" i="11" s="1"/>
  <c r="E90" i="11"/>
  <c r="I90" i="11" s="1"/>
  <c r="F90" i="11"/>
  <c r="J90" i="11" s="1"/>
  <c r="G90" i="11"/>
  <c r="K90" i="11" s="1"/>
  <c r="D91" i="11"/>
  <c r="H91" i="11" s="1"/>
  <c r="E91" i="11"/>
  <c r="I91" i="11" s="1"/>
  <c r="F91" i="11"/>
  <c r="J91" i="11" s="1"/>
  <c r="G91" i="11"/>
  <c r="K91" i="11" s="1"/>
  <c r="D84" i="11"/>
  <c r="H84" i="11" s="1"/>
  <c r="E84" i="11"/>
  <c r="I84" i="11" s="1"/>
  <c r="F84" i="11"/>
  <c r="J84" i="11" s="1"/>
  <c r="G84" i="11"/>
  <c r="K84" i="11" s="1"/>
  <c r="D89" i="11"/>
  <c r="H89" i="11" s="1"/>
  <c r="E89" i="11"/>
  <c r="I89" i="11" s="1"/>
  <c r="F89" i="11"/>
  <c r="J89" i="11" s="1"/>
  <c r="G89" i="11"/>
  <c r="K89" i="11" s="1"/>
  <c r="C9" i="18"/>
  <c r="E53" i="3"/>
  <c r="E59" i="3" s="1"/>
  <c r="E51" i="3"/>
  <c r="E46" i="3"/>
  <c r="E60" i="3" s="1"/>
  <c r="F51" i="3"/>
  <c r="F53" i="3"/>
  <c r="D62" i="19"/>
  <c r="M50" i="19"/>
  <c r="K46" i="11"/>
  <c r="J46" i="11"/>
  <c r="I46" i="11"/>
  <c r="H46" i="11"/>
  <c r="K45" i="11"/>
  <c r="J45" i="11"/>
  <c r="I45" i="11"/>
  <c r="H45" i="11"/>
  <c r="K44" i="11"/>
  <c r="J44" i="11"/>
  <c r="I44" i="11"/>
  <c r="H44" i="11"/>
  <c r="K41" i="11"/>
  <c r="J41" i="11"/>
  <c r="I41" i="11"/>
  <c r="H41" i="11"/>
  <c r="K40" i="11"/>
  <c r="J40" i="11"/>
  <c r="I40" i="11"/>
  <c r="H40" i="11"/>
  <c r="K39" i="11"/>
  <c r="J39" i="11"/>
  <c r="I39" i="11"/>
  <c r="H39" i="11"/>
  <c r="K36" i="11"/>
  <c r="J36" i="11"/>
  <c r="I36" i="11"/>
  <c r="O56" i="19"/>
  <c r="O55" i="19"/>
  <c r="O54" i="19"/>
  <c r="O53" i="19"/>
  <c r="O52" i="19"/>
  <c r="O51" i="19"/>
  <c r="O50" i="19"/>
  <c r="N54" i="19"/>
  <c r="N53" i="19"/>
  <c r="N52" i="19"/>
  <c r="N51" i="19"/>
  <c r="N50" i="19"/>
  <c r="M54" i="19"/>
  <c r="M51" i="19"/>
  <c r="E44" i="18" l="1"/>
  <c r="C44" i="18"/>
  <c r="C42" i="18" s="1"/>
  <c r="D69" i="19"/>
  <c r="C34" i="18"/>
  <c r="C10" i="18"/>
  <c r="C13" i="18"/>
  <c r="C12" i="18"/>
  <c r="C11" i="18"/>
  <c r="C7" i="18"/>
  <c r="D70" i="11"/>
  <c r="H70" i="11" s="1"/>
  <c r="C8" i="18"/>
  <c r="J50" i="11"/>
  <c r="K50" i="11"/>
  <c r="J52" i="11"/>
  <c r="K52" i="11"/>
  <c r="J57" i="11"/>
  <c r="K57" i="11"/>
  <c r="K49" i="11"/>
  <c r="J49" i="11"/>
  <c r="H50" i="11"/>
  <c r="I50" i="11"/>
  <c r="H51" i="11"/>
  <c r="I59" i="11"/>
  <c r="H57" i="11"/>
  <c r="I57" i="11"/>
  <c r="I49" i="11"/>
  <c r="O25" i="19"/>
  <c r="N25" i="19" s="1"/>
  <c r="Q25" i="19"/>
  <c r="J25" i="19"/>
  <c r="I25" i="19" s="1"/>
  <c r="L25" i="19"/>
  <c r="M25" i="19" s="1"/>
  <c r="F25" i="19"/>
  <c r="G25" i="19"/>
  <c r="H25" i="19"/>
  <c r="E25" i="19"/>
  <c r="F31" i="19"/>
  <c r="E31" i="19" s="1"/>
  <c r="D31" i="19" s="1"/>
  <c r="F32" i="19"/>
  <c r="E32" i="19" s="1"/>
  <c r="D32" i="19" s="1"/>
  <c r="F30" i="19"/>
  <c r="E30" i="19" s="1"/>
  <c r="D30" i="19" s="1"/>
  <c r="H31" i="19"/>
  <c r="I31" i="19" s="1"/>
  <c r="J31" i="19" s="1"/>
  <c r="K31" i="19" s="1"/>
  <c r="L31" i="19" s="1"/>
  <c r="H32" i="19"/>
  <c r="I32" i="19" s="1"/>
  <c r="J32" i="19" s="1"/>
  <c r="K32" i="19" s="1"/>
  <c r="L32" i="19" s="1"/>
  <c r="H30" i="19"/>
  <c r="I30" i="19" s="1"/>
  <c r="J30" i="19" s="1"/>
  <c r="K30" i="19" s="1"/>
  <c r="L30" i="19" s="1"/>
  <c r="P51" i="19"/>
  <c r="R51" i="19"/>
  <c r="P52" i="19"/>
  <c r="R52" i="19"/>
  <c r="P53" i="19"/>
  <c r="R53" i="19"/>
  <c r="P54" i="19"/>
  <c r="R54" i="19"/>
  <c r="P55" i="19"/>
  <c r="R55" i="19"/>
  <c r="P56" i="19"/>
  <c r="R56" i="19"/>
  <c r="P50" i="19"/>
  <c r="R50" i="19"/>
  <c r="D5" i="17"/>
  <c r="E4" i="17"/>
  <c r="F4" i="17"/>
  <c r="C5" i="17"/>
  <c r="H40" i="19"/>
  <c r="H41" i="19"/>
  <c r="H42" i="19"/>
  <c r="H43" i="19"/>
  <c r="H44" i="19"/>
  <c r="H45" i="19"/>
  <c r="H39" i="19"/>
  <c r="J40" i="19"/>
  <c r="J41" i="19"/>
  <c r="J42" i="19"/>
  <c r="J43" i="19"/>
  <c r="J44" i="19"/>
  <c r="J45" i="19"/>
  <c r="J39" i="19"/>
  <c r="F44" i="19"/>
  <c r="F45" i="19"/>
  <c r="D44" i="19"/>
  <c r="D45" i="19"/>
  <c r="F43" i="19"/>
  <c r="F42" i="19"/>
  <c r="F41" i="19"/>
  <c r="F40" i="19"/>
  <c r="E39" i="19"/>
  <c r="N33" i="19"/>
  <c r="P33" i="19"/>
  <c r="M33" i="19"/>
  <c r="G51" i="3"/>
  <c r="G53" i="3"/>
  <c r="G59" i="3" s="1"/>
  <c r="F46" i="3"/>
  <c r="G46" i="3"/>
  <c r="H46" i="3"/>
  <c r="H60" i="3" l="1"/>
  <c r="H55" i="3"/>
  <c r="E22" i="20"/>
  <c r="C22" i="20"/>
  <c r="F22" i="20"/>
  <c r="D22" i="20"/>
  <c r="C5" i="18"/>
  <c r="I54" i="24"/>
  <c r="C24" i="18"/>
  <c r="D39" i="19"/>
  <c r="K39" i="19"/>
  <c r="R25" i="19"/>
  <c r="S25" i="19" s="1"/>
  <c r="C22" i="8"/>
  <c r="F55" i="3"/>
  <c r="D24" i="18"/>
  <c r="E24" i="18"/>
  <c r="F24" i="18"/>
  <c r="C38" i="18"/>
  <c r="I58" i="24" s="1"/>
  <c r="C36" i="18"/>
  <c r="I56" i="24" s="1"/>
  <c r="C35" i="18"/>
  <c r="I55" i="24" s="1"/>
  <c r="C39" i="18"/>
  <c r="I59" i="24" s="1"/>
  <c r="C41" i="18"/>
  <c r="I61" i="24" s="1"/>
  <c r="C37" i="18"/>
  <c r="I57" i="24" s="1"/>
  <c r="C40" i="18"/>
  <c r="I60" i="24" s="1"/>
  <c r="E34" i="18"/>
  <c r="K54" i="24" s="1"/>
  <c r="D34" i="18"/>
  <c r="J54" i="24" s="1"/>
  <c r="F34" i="18"/>
  <c r="L54" i="24" s="1"/>
  <c r="K51" i="11"/>
  <c r="H54" i="11"/>
  <c r="I51" i="11"/>
  <c r="I54" i="11"/>
  <c r="I61" i="11"/>
  <c r="I65" i="11"/>
  <c r="H61" i="11"/>
  <c r="H65" i="11"/>
  <c r="I60" i="11"/>
  <c r="I64" i="11"/>
  <c r="H60" i="11"/>
  <c r="H64" i="11"/>
  <c r="I56" i="11"/>
  <c r="H56" i="11"/>
  <c r="I55" i="11"/>
  <c r="H55" i="11"/>
  <c r="J51" i="11"/>
  <c r="K60" i="11"/>
  <c r="K64" i="11"/>
  <c r="J60" i="11"/>
  <c r="J64" i="11"/>
  <c r="J61" i="11"/>
  <c r="J65" i="11"/>
  <c r="K55" i="11"/>
  <c r="J54" i="11"/>
  <c r="K56" i="11"/>
  <c r="J56" i="11"/>
  <c r="J55" i="11"/>
  <c r="K54" i="11"/>
  <c r="K61" i="11"/>
  <c r="K65" i="11"/>
  <c r="H49" i="11"/>
  <c r="F22" i="8"/>
  <c r="E22" i="8"/>
  <c r="D22" i="8"/>
  <c r="D72" i="11"/>
  <c r="H72" i="11" s="1"/>
  <c r="D74" i="11"/>
  <c r="H74" i="11" s="1"/>
  <c r="D6" i="17"/>
  <c r="F6" i="17"/>
  <c r="E6" i="17"/>
  <c r="F5" i="17"/>
  <c r="E5" i="17"/>
  <c r="C6" i="17"/>
  <c r="C11" i="17" s="1"/>
  <c r="D40" i="19"/>
  <c r="D43" i="19"/>
  <c r="D42" i="19"/>
  <c r="D41" i="19"/>
  <c r="F39" i="19"/>
  <c r="F68" i="25" l="1"/>
  <c r="H5" i="26" s="1"/>
  <c r="D68" i="25"/>
  <c r="F5" i="26" s="1"/>
  <c r="E68" i="25"/>
  <c r="G5" i="26" s="1"/>
  <c r="C68" i="25"/>
  <c r="E5" i="26" s="1"/>
  <c r="E42" i="11"/>
  <c r="I42" i="11" s="1"/>
  <c r="J29" i="24"/>
  <c r="G42" i="11"/>
  <c r="K42" i="11" s="1"/>
  <c r="L29" i="24"/>
  <c r="D42" i="11"/>
  <c r="H42" i="11" s="1"/>
  <c r="I29" i="24"/>
  <c r="C47" i="17"/>
  <c r="C22" i="17"/>
  <c r="F42" i="11"/>
  <c r="J42" i="11" s="1"/>
  <c r="K29" i="24"/>
  <c r="C33" i="18"/>
  <c r="C23" i="18" s="1"/>
  <c r="M30" i="24"/>
  <c r="N30" i="24"/>
  <c r="P30" i="24"/>
  <c r="O30" i="24"/>
  <c r="F29" i="24"/>
  <c r="E29" i="24"/>
  <c r="G29" i="24"/>
  <c r="H29" i="24"/>
  <c r="D39" i="18"/>
  <c r="J59" i="24" s="1"/>
  <c r="F37" i="18"/>
  <c r="L57" i="24" s="1"/>
  <c r="E35" i="18"/>
  <c r="K55" i="24" s="1"/>
  <c r="D38" i="18"/>
  <c r="J58" i="24" s="1"/>
  <c r="F38" i="18"/>
  <c r="L58" i="24" s="1"/>
  <c r="F36" i="18"/>
  <c r="L56" i="24" s="1"/>
  <c r="F41" i="18"/>
  <c r="L61" i="24" s="1"/>
  <c r="E36" i="18"/>
  <c r="K56" i="24" s="1"/>
  <c r="D40" i="18"/>
  <c r="J60" i="24" s="1"/>
  <c r="D37" i="18"/>
  <c r="J57" i="24" s="1"/>
  <c r="F40" i="18"/>
  <c r="L60" i="24" s="1"/>
  <c r="I43" i="11"/>
  <c r="D18" i="8"/>
  <c r="E38" i="11" s="1"/>
  <c r="J43" i="11"/>
  <c r="E18" i="8"/>
  <c r="F38" i="11" s="1"/>
  <c r="H43" i="11"/>
  <c r="C18" i="8"/>
  <c r="D38" i="11" s="1"/>
  <c r="K43" i="11"/>
  <c r="F18" i="8"/>
  <c r="G38" i="11" s="1"/>
  <c r="J58" i="11"/>
  <c r="E39" i="18"/>
  <c r="K59" i="24" s="1"/>
  <c r="E38" i="18"/>
  <c r="K58" i="24" s="1"/>
  <c r="F35" i="18"/>
  <c r="L55" i="24" s="1"/>
  <c r="F39" i="18"/>
  <c r="L59" i="24" s="1"/>
  <c r="D36" i="18"/>
  <c r="J56" i="24" s="1"/>
  <c r="D35" i="18"/>
  <c r="J55" i="24" s="1"/>
  <c r="E41" i="18"/>
  <c r="K61" i="24" s="1"/>
  <c r="E40" i="18"/>
  <c r="K60" i="24" s="1"/>
  <c r="D41" i="18"/>
  <c r="J61" i="24" s="1"/>
  <c r="E37" i="18"/>
  <c r="K57" i="24" s="1"/>
  <c r="F15" i="17"/>
  <c r="E13" i="17"/>
  <c r="E12" i="17"/>
  <c r="E15" i="17"/>
  <c r="F16" i="17"/>
  <c r="F11" i="17"/>
  <c r="D16" i="17"/>
  <c r="D12" i="17"/>
  <c r="D17" i="17"/>
  <c r="D13" i="17"/>
  <c r="D14" i="17"/>
  <c r="D15" i="17"/>
  <c r="D11" i="17"/>
  <c r="E17" i="17"/>
  <c r="E16" i="17"/>
  <c r="F14" i="17"/>
  <c r="F13" i="17"/>
  <c r="E11" i="17"/>
  <c r="F17" i="17"/>
  <c r="C17" i="17"/>
  <c r="C16" i="17"/>
  <c r="C15" i="17"/>
  <c r="C14" i="17"/>
  <c r="C13" i="17"/>
  <c r="C12" i="17"/>
  <c r="E14" i="17"/>
  <c r="F12" i="17"/>
  <c r="D4" i="8"/>
  <c r="E4" i="8"/>
  <c r="F4" i="8"/>
  <c r="C4" i="8"/>
  <c r="C23" i="17" l="1"/>
  <c r="C16" i="7" s="1"/>
  <c r="C48" i="17"/>
  <c r="D22" i="17"/>
  <c r="D47" i="17"/>
  <c r="F26" i="17"/>
  <c r="F19" i="7" s="1"/>
  <c r="F51" i="17"/>
  <c r="C24" i="17"/>
  <c r="C17" i="7" s="1"/>
  <c r="C49" i="17"/>
  <c r="D26" i="17"/>
  <c r="D19" i="7" s="1"/>
  <c r="D51" i="17"/>
  <c r="E22" i="17"/>
  <c r="E15" i="7" s="1"/>
  <c r="E47" i="17"/>
  <c r="F22" i="17"/>
  <c r="F15" i="7" s="1"/>
  <c r="F47" i="17"/>
  <c r="D28" i="17"/>
  <c r="D21" i="7" s="1"/>
  <c r="D53" i="17"/>
  <c r="C28" i="17"/>
  <c r="C21" i="7" s="1"/>
  <c r="C53" i="17"/>
  <c r="F24" i="17"/>
  <c r="F17" i="7" s="1"/>
  <c r="F49" i="17"/>
  <c r="F27" i="17"/>
  <c r="F20" i="7" s="1"/>
  <c r="F52" i="17"/>
  <c r="D25" i="17"/>
  <c r="D18" i="7" s="1"/>
  <c r="D50" i="17"/>
  <c r="C26" i="17"/>
  <c r="C19" i="7" s="1"/>
  <c r="C51" i="17"/>
  <c r="D24" i="17"/>
  <c r="D17" i="7" s="1"/>
  <c r="D49" i="17"/>
  <c r="C27" i="17"/>
  <c r="C20" i="7" s="1"/>
  <c r="C52" i="17"/>
  <c r="D23" i="17"/>
  <c r="D16" i="7" s="1"/>
  <c r="D48" i="17"/>
  <c r="D27" i="17"/>
  <c r="D20" i="7" s="1"/>
  <c r="D52" i="17"/>
  <c r="E26" i="17"/>
  <c r="E19" i="7" s="1"/>
  <c r="E51" i="17"/>
  <c r="E23" i="17"/>
  <c r="E16" i="7" s="1"/>
  <c r="E48" i="17"/>
  <c r="C25" i="17"/>
  <c r="C18" i="7" s="1"/>
  <c r="C50" i="17"/>
  <c r="F28" i="17"/>
  <c r="F21" i="7" s="1"/>
  <c r="F53" i="17"/>
  <c r="C88" i="25"/>
  <c r="F25" i="17"/>
  <c r="F18" i="7" s="1"/>
  <c r="F50" i="17"/>
  <c r="F23" i="17"/>
  <c r="F16" i="7" s="1"/>
  <c r="F48" i="17"/>
  <c r="E27" i="17"/>
  <c r="E20" i="7" s="1"/>
  <c r="E52" i="17"/>
  <c r="E25" i="17"/>
  <c r="E18" i="7" s="1"/>
  <c r="E50" i="17"/>
  <c r="E28" i="17"/>
  <c r="E21" i="7" s="1"/>
  <c r="E53" i="17"/>
  <c r="E24" i="17"/>
  <c r="E17" i="7" s="1"/>
  <c r="E49" i="17"/>
  <c r="G16" i="11"/>
  <c r="K16" i="11" s="1"/>
  <c r="H10" i="24"/>
  <c r="F16" i="11"/>
  <c r="J16" i="11" s="1"/>
  <c r="G10" i="24"/>
  <c r="D16" i="11"/>
  <c r="E10" i="24"/>
  <c r="E16" i="11"/>
  <c r="I16" i="11" s="1"/>
  <c r="F10" i="24"/>
  <c r="E33" i="18"/>
  <c r="E23" i="18" s="1"/>
  <c r="F33" i="18"/>
  <c r="F23" i="18" s="1"/>
  <c r="D33" i="18"/>
  <c r="D23" i="18" s="1"/>
  <c r="P29" i="24"/>
  <c r="N29" i="24"/>
  <c r="M29" i="24"/>
  <c r="O29" i="24"/>
  <c r="I38" i="11"/>
  <c r="F25" i="24"/>
  <c r="J38" i="11"/>
  <c r="G25" i="24"/>
  <c r="K38" i="11"/>
  <c r="H25" i="24"/>
  <c r="H38" i="11"/>
  <c r="E25" i="24"/>
  <c r="D34" i="17"/>
  <c r="D5" i="7" s="1"/>
  <c r="D33" i="17"/>
  <c r="D4" i="7" s="1"/>
  <c r="C35" i="17"/>
  <c r="C6" i="7" s="1"/>
  <c r="C34" i="17"/>
  <c r="C5" i="7" s="1"/>
  <c r="E39" i="17"/>
  <c r="F34" i="17"/>
  <c r="F5" i="7" s="1"/>
  <c r="E35" i="17"/>
  <c r="E6" i="7" s="1"/>
  <c r="D36" i="17"/>
  <c r="D7" i="7" s="1"/>
  <c r="F37" i="17"/>
  <c r="F8" i="7" s="1"/>
  <c r="E38" i="17"/>
  <c r="E9" i="7" s="1"/>
  <c r="C15" i="7"/>
  <c r="C33" i="17"/>
  <c r="C4" i="7" s="1"/>
  <c r="F39" i="17"/>
  <c r="F38" i="17"/>
  <c r="F9" i="7" s="1"/>
  <c r="D39" i="17"/>
  <c r="F33" i="17"/>
  <c r="F4" i="7" s="1"/>
  <c r="E34" i="17"/>
  <c r="E5" i="7" s="1"/>
  <c r="D37" i="17"/>
  <c r="D8" i="7" s="1"/>
  <c r="F36" i="17"/>
  <c r="F7" i="7" s="1"/>
  <c r="E36" i="17"/>
  <c r="E7" i="7" s="1"/>
  <c r="D35" i="17"/>
  <c r="D6" i="7" s="1"/>
  <c r="C39" i="17"/>
  <c r="E37" i="17"/>
  <c r="E8" i="7" s="1"/>
  <c r="C37" i="17"/>
  <c r="C8" i="7" s="1"/>
  <c r="C36" i="17"/>
  <c r="C7" i="7" s="1"/>
  <c r="F35" i="17"/>
  <c r="F6" i="7" s="1"/>
  <c r="D38" i="17"/>
  <c r="D9" i="7" s="1"/>
  <c r="C38" i="17"/>
  <c r="C9" i="7" s="1"/>
  <c r="E33" i="17"/>
  <c r="E4" i="7" s="1"/>
  <c r="C18" i="17"/>
  <c r="E5" i="24" s="1"/>
  <c r="Q29" i="24" s="1"/>
  <c r="D18" i="17"/>
  <c r="F5" i="24" s="1"/>
  <c r="R29" i="24" s="1"/>
  <c r="F18" i="17"/>
  <c r="H5" i="24" s="1"/>
  <c r="E18" i="17"/>
  <c r="G5" i="24" s="1"/>
  <c r="S29" i="24" s="1"/>
  <c r="C54" i="17" l="1"/>
  <c r="C19" i="25" s="1"/>
  <c r="E54" i="17"/>
  <c r="E19" i="25" s="1"/>
  <c r="D10" i="7"/>
  <c r="D11" i="7" s="1"/>
  <c r="F10" i="7"/>
  <c r="F11" i="7" s="1"/>
  <c r="D54" i="17"/>
  <c r="D19" i="25" s="1"/>
  <c r="E10" i="7"/>
  <c r="E11" i="7" s="1"/>
  <c r="F54" i="17"/>
  <c r="F19" i="25" s="1"/>
  <c r="C10" i="7"/>
  <c r="C11" i="7" s="1"/>
  <c r="H16" i="11"/>
  <c r="N10" i="24"/>
  <c r="R10" i="24"/>
  <c r="Q10" i="24"/>
  <c r="M10" i="24"/>
  <c r="S10" i="24"/>
  <c r="O10" i="24"/>
  <c r="T43" i="24"/>
  <c r="T41" i="24"/>
  <c r="T32" i="24"/>
  <c r="T36" i="24"/>
  <c r="T46" i="24"/>
  <c r="T27" i="24"/>
  <c r="T39" i="24"/>
  <c r="T72" i="24"/>
  <c r="T49" i="24"/>
  <c r="T35" i="24"/>
  <c r="T14" i="24"/>
  <c r="T30" i="24"/>
  <c r="T33" i="24"/>
  <c r="T31" i="24"/>
  <c r="T44" i="24"/>
  <c r="T37" i="24"/>
  <c r="T28" i="24"/>
  <c r="T73" i="24"/>
  <c r="T23" i="24"/>
  <c r="T17" i="24"/>
  <c r="T16" i="24"/>
  <c r="T38" i="24"/>
  <c r="T26" i="24"/>
  <c r="T51" i="24"/>
  <c r="T48" i="24"/>
  <c r="T47" i="24"/>
  <c r="T50" i="24"/>
  <c r="T42" i="24"/>
  <c r="T40" i="24"/>
  <c r="T45" i="24"/>
  <c r="T34" i="24"/>
  <c r="R23" i="24"/>
  <c r="R43" i="24"/>
  <c r="R38" i="24"/>
  <c r="R17" i="24"/>
  <c r="R48" i="24"/>
  <c r="R27" i="24"/>
  <c r="R35" i="24"/>
  <c r="R33" i="24"/>
  <c r="R72" i="24"/>
  <c r="R36" i="24"/>
  <c r="R73" i="24"/>
  <c r="R26" i="24"/>
  <c r="R30" i="24"/>
  <c r="R32" i="24"/>
  <c r="R51" i="24"/>
  <c r="R50" i="24"/>
  <c r="R16" i="24"/>
  <c r="R40" i="24"/>
  <c r="R28" i="24"/>
  <c r="R39" i="24"/>
  <c r="R31" i="24"/>
  <c r="R46" i="24"/>
  <c r="R14" i="24"/>
  <c r="R42" i="24"/>
  <c r="R44" i="24"/>
  <c r="R47" i="24"/>
  <c r="R37" i="24"/>
  <c r="R49" i="24"/>
  <c r="R45" i="24"/>
  <c r="R41" i="24"/>
  <c r="R34" i="24"/>
  <c r="Q72" i="24"/>
  <c r="Q39" i="24"/>
  <c r="Q16" i="24"/>
  <c r="Q38" i="24"/>
  <c r="Q73" i="24"/>
  <c r="Q47" i="24"/>
  <c r="Q40" i="24"/>
  <c r="Q28" i="24"/>
  <c r="Q27" i="24"/>
  <c r="Q32" i="24"/>
  <c r="Q33" i="24"/>
  <c r="Q30" i="24"/>
  <c r="Q51" i="24"/>
  <c r="Q37" i="24"/>
  <c r="Q50" i="24"/>
  <c r="Q23" i="24"/>
  <c r="Q17" i="24"/>
  <c r="Q26" i="24"/>
  <c r="Q31" i="24"/>
  <c r="Q49" i="24"/>
  <c r="Q44" i="24"/>
  <c r="Q14" i="24"/>
  <c r="Q36" i="24"/>
  <c r="Q48" i="24"/>
  <c r="Q43" i="24"/>
  <c r="Q41" i="24"/>
  <c r="Q46" i="24"/>
  <c r="Q42" i="24"/>
  <c r="Q45" i="24"/>
  <c r="Q35" i="24"/>
  <c r="Q34" i="24"/>
  <c r="T29" i="24"/>
  <c r="P10" i="24"/>
  <c r="T10" i="24"/>
  <c r="S14" i="24"/>
  <c r="S33" i="24"/>
  <c r="S17" i="24"/>
  <c r="S28" i="24"/>
  <c r="S16" i="24"/>
  <c r="S26" i="24"/>
  <c r="S27" i="24"/>
  <c r="S72" i="24"/>
  <c r="S32" i="24"/>
  <c r="S30" i="24"/>
  <c r="S31" i="24"/>
  <c r="S23" i="24"/>
  <c r="S73" i="24"/>
  <c r="S45" i="24"/>
  <c r="S40" i="24"/>
  <c r="S43" i="24"/>
  <c r="S48" i="24"/>
  <c r="S49" i="24"/>
  <c r="S47" i="24"/>
  <c r="S37" i="24"/>
  <c r="S42" i="24"/>
  <c r="S51" i="24"/>
  <c r="S39" i="24"/>
  <c r="S36" i="24"/>
  <c r="S35" i="24"/>
  <c r="S44" i="24"/>
  <c r="S46" i="24"/>
  <c r="S50" i="24"/>
  <c r="S41" i="24"/>
  <c r="S38" i="24"/>
  <c r="S34" i="24"/>
  <c r="P25" i="24"/>
  <c r="T25" i="24"/>
  <c r="Q25" i="24"/>
  <c r="M25" i="24"/>
  <c r="R25" i="24"/>
  <c r="N25" i="24"/>
  <c r="O25" i="24"/>
  <c r="S25" i="24"/>
  <c r="D14" i="8"/>
  <c r="C14" i="8"/>
  <c r="E14" i="8"/>
  <c r="F14" i="8"/>
  <c r="D29" i="17"/>
  <c r="D15" i="7"/>
  <c r="D22" i="7" s="1"/>
  <c r="C22" i="7"/>
  <c r="F22" i="7"/>
  <c r="E22" i="7"/>
  <c r="F29" i="17"/>
  <c r="E29" i="17"/>
  <c r="C29" i="17"/>
  <c r="C40" i="17"/>
  <c r="C14" i="25" s="1"/>
  <c r="E40" i="17"/>
  <c r="E14" i="25" s="1"/>
  <c r="D40" i="17"/>
  <c r="D14" i="25" s="1"/>
  <c r="F40" i="17"/>
  <c r="F14" i="25" s="1"/>
  <c r="L5" i="24" l="1"/>
  <c r="X36" i="24" s="1"/>
  <c r="F15" i="25"/>
  <c r="J5" i="24"/>
  <c r="V27" i="24" s="1"/>
  <c r="D15" i="25"/>
  <c r="K5" i="24"/>
  <c r="W45" i="24" s="1"/>
  <c r="E15" i="25"/>
  <c r="I5" i="24"/>
  <c r="U49" i="24" s="1"/>
  <c r="C15" i="25"/>
  <c r="H20" i="24"/>
  <c r="G20" i="24"/>
  <c r="E20" i="24"/>
  <c r="F20" i="24"/>
  <c r="C42" i="17"/>
  <c r="E42" i="17"/>
  <c r="F42" i="17"/>
  <c r="D42" i="17"/>
  <c r="D24" i="7"/>
  <c r="E5" i="11" s="1"/>
  <c r="I5" i="11" s="1"/>
  <c r="C14" i="20"/>
  <c r="E14" i="20"/>
  <c r="F14" i="20"/>
  <c r="D14" i="20"/>
  <c r="E24" i="7"/>
  <c r="F5" i="11" s="1"/>
  <c r="J5" i="11" s="1"/>
  <c r="F24" i="7"/>
  <c r="G5" i="11" s="1"/>
  <c r="K5" i="11" s="1"/>
  <c r="C24" i="7"/>
  <c r="D5" i="11" s="1"/>
  <c r="H5" i="11" s="1"/>
  <c r="V23" i="24" l="1"/>
  <c r="E24" i="25"/>
  <c r="G8" i="26"/>
  <c r="D24" i="25"/>
  <c r="F8" i="26"/>
  <c r="F24" i="25"/>
  <c r="H8" i="26"/>
  <c r="C24" i="25"/>
  <c r="E8" i="26"/>
  <c r="V31" i="24"/>
  <c r="X38" i="24"/>
  <c r="X43" i="24"/>
  <c r="X47" i="24"/>
  <c r="X39" i="24"/>
  <c r="X45" i="24"/>
  <c r="X48" i="24"/>
  <c r="X44" i="24"/>
  <c r="X29" i="24"/>
  <c r="X37" i="24"/>
  <c r="X25" i="24"/>
  <c r="X32" i="24"/>
  <c r="X31" i="24"/>
  <c r="V26" i="24"/>
  <c r="X10" i="24"/>
  <c r="X12" i="24"/>
  <c r="V38" i="24"/>
  <c r="X26" i="24"/>
  <c r="X46" i="24"/>
  <c r="X42" i="24"/>
  <c r="X40" i="24"/>
  <c r="X51" i="24"/>
  <c r="V10" i="24"/>
  <c r="X34" i="24"/>
  <c r="X72" i="24"/>
  <c r="D4" i="11"/>
  <c r="M5" i="24" s="1"/>
  <c r="Y33" i="24" s="1"/>
  <c r="G4" i="11"/>
  <c r="P5" i="24" s="1"/>
  <c r="AB10" i="24" s="1"/>
  <c r="F72" i="25" s="1"/>
  <c r="F4" i="11"/>
  <c r="O5" i="24" s="1"/>
  <c r="AA32" i="24" s="1"/>
  <c r="V44" i="24"/>
  <c r="V42" i="24"/>
  <c r="V29" i="24"/>
  <c r="V51" i="24"/>
  <c r="X49" i="24"/>
  <c r="X18" i="24"/>
  <c r="W48" i="24"/>
  <c r="V36" i="24"/>
  <c r="V72" i="24"/>
  <c r="X28" i="24"/>
  <c r="X27" i="24"/>
  <c r="W51" i="24"/>
  <c r="V37" i="24"/>
  <c r="V12" i="24"/>
  <c r="X35" i="24"/>
  <c r="X30" i="24"/>
  <c r="W72" i="24"/>
  <c r="V28" i="24"/>
  <c r="X50" i="24"/>
  <c r="X41" i="24"/>
  <c r="X33" i="24"/>
  <c r="W12" i="24"/>
  <c r="E4" i="11"/>
  <c r="N5" i="24" s="1"/>
  <c r="Z72" i="24" s="1"/>
  <c r="V50" i="24"/>
  <c r="X23" i="24"/>
  <c r="X73" i="24"/>
  <c r="W50" i="24"/>
  <c r="U42" i="24"/>
  <c r="U51" i="24"/>
  <c r="W25" i="24"/>
  <c r="W32" i="24"/>
  <c r="U45" i="24"/>
  <c r="U46" i="24"/>
  <c r="U73" i="24"/>
  <c r="U12" i="24"/>
  <c r="W49" i="24"/>
  <c r="U10" i="24"/>
  <c r="U32" i="24"/>
  <c r="W40" i="24"/>
  <c r="U37" i="24"/>
  <c r="W34" i="24"/>
  <c r="U40" i="24"/>
  <c r="V43" i="24"/>
  <c r="W47" i="24"/>
  <c r="U43" i="24"/>
  <c r="V30" i="24"/>
  <c r="W23" i="24"/>
  <c r="U50" i="24"/>
  <c r="U18" i="24"/>
  <c r="U30" i="24"/>
  <c r="V46" i="24"/>
  <c r="V40" i="24"/>
  <c r="W31" i="24"/>
  <c r="U35" i="24"/>
  <c r="V33" i="24"/>
  <c r="V49" i="24"/>
  <c r="W35" i="24"/>
  <c r="U23" i="24"/>
  <c r="U36" i="24"/>
  <c r="U39" i="24"/>
  <c r="V41" i="24"/>
  <c r="V39" i="24"/>
  <c r="W33" i="24"/>
  <c r="U48" i="24"/>
  <c r="U26" i="24"/>
  <c r="U33" i="24"/>
  <c r="U28" i="24"/>
  <c r="U41" i="24"/>
  <c r="U31" i="24"/>
  <c r="U44" i="24"/>
  <c r="U47" i="24"/>
  <c r="U25" i="24"/>
  <c r="U29" i="24"/>
  <c r="U72" i="24"/>
  <c r="U34" i="24"/>
  <c r="W28" i="24"/>
  <c r="V25" i="24"/>
  <c r="V47" i="24"/>
  <c r="V45" i="24"/>
  <c r="W41" i="24"/>
  <c r="W27" i="24"/>
  <c r="W18" i="24"/>
  <c r="V32" i="24"/>
  <c r="V18" i="24"/>
  <c r="V48" i="24"/>
  <c r="W73" i="24"/>
  <c r="W30" i="24"/>
  <c r="W44" i="24"/>
  <c r="W10" i="24"/>
  <c r="W36" i="24"/>
  <c r="W29" i="24"/>
  <c r="W26" i="24"/>
  <c r="W39" i="24"/>
  <c r="V73" i="24"/>
  <c r="V35" i="24"/>
  <c r="W37" i="24"/>
  <c r="W38" i="24"/>
  <c r="W42" i="24"/>
  <c r="U38" i="24"/>
  <c r="U27" i="24"/>
  <c r="V34" i="24"/>
  <c r="W46" i="24"/>
  <c r="W43" i="24"/>
  <c r="J20" i="24"/>
  <c r="V20" i="24" s="1"/>
  <c r="E27" i="11"/>
  <c r="I27" i="11" s="1"/>
  <c r="L20" i="24"/>
  <c r="X20" i="24" s="1"/>
  <c r="G27" i="11"/>
  <c r="K27" i="11" s="1"/>
  <c r="K20" i="24"/>
  <c r="W20" i="24" s="1"/>
  <c r="F27" i="11"/>
  <c r="J27" i="11" s="1"/>
  <c r="I20" i="24"/>
  <c r="U20" i="24" s="1"/>
  <c r="D27" i="11"/>
  <c r="H27" i="11" s="1"/>
  <c r="R20" i="24"/>
  <c r="Q20" i="24"/>
  <c r="S20" i="24"/>
  <c r="T20" i="24"/>
  <c r="H93" i="11"/>
  <c r="H96" i="11"/>
  <c r="H17" i="11"/>
  <c r="K93" i="11"/>
  <c r="K96" i="11"/>
  <c r="K17" i="11"/>
  <c r="J93" i="11"/>
  <c r="J96" i="11"/>
  <c r="J17" i="11"/>
  <c r="I96" i="11"/>
  <c r="I93" i="11"/>
  <c r="I17" i="11"/>
  <c r="D17" i="11"/>
  <c r="D93" i="11"/>
  <c r="G93" i="11"/>
  <c r="G17" i="11"/>
  <c r="F93" i="11"/>
  <c r="F17" i="11"/>
  <c r="E93" i="11"/>
  <c r="E17" i="11"/>
  <c r="E28" i="26" l="1"/>
  <c r="AA34" i="24"/>
  <c r="AA30" i="24"/>
  <c r="AA42" i="24"/>
  <c r="H28" i="26"/>
  <c r="Z44" i="24"/>
  <c r="F28" i="26"/>
  <c r="G28" i="26"/>
  <c r="Y29" i="24"/>
  <c r="Z73" i="24"/>
  <c r="AB35" i="24"/>
  <c r="AA25" i="24"/>
  <c r="Y45" i="24"/>
  <c r="Y40" i="24"/>
  <c r="Y27" i="24"/>
  <c r="AA37" i="24"/>
  <c r="AA43" i="24"/>
  <c r="AA47" i="24"/>
  <c r="AA38" i="24"/>
  <c r="AA40" i="24"/>
  <c r="AA45" i="24"/>
  <c r="AA27" i="24"/>
  <c r="AA10" i="24"/>
  <c r="E72" i="25" s="1"/>
  <c r="AA72" i="24"/>
  <c r="E6" i="11"/>
  <c r="D67" i="25" s="1"/>
  <c r="D69" i="25" s="1"/>
  <c r="Y34" i="24"/>
  <c r="Z42" i="24"/>
  <c r="AB40" i="24"/>
  <c r="Y35" i="24"/>
  <c r="Y41" i="24"/>
  <c r="Z38" i="24"/>
  <c r="AB36" i="24"/>
  <c r="Y42" i="24"/>
  <c r="Y72" i="24"/>
  <c r="Z35" i="24"/>
  <c r="Y30" i="24"/>
  <c r="Y39" i="24"/>
  <c r="Z36" i="24"/>
  <c r="Y28" i="24"/>
  <c r="AB50" i="24"/>
  <c r="Y46" i="24"/>
  <c r="Y37" i="24"/>
  <c r="Z28" i="24"/>
  <c r="AB43" i="24"/>
  <c r="Y36" i="24"/>
  <c r="Y43" i="24"/>
  <c r="Z45" i="24"/>
  <c r="D7" i="12"/>
  <c r="H7" i="12" s="1"/>
  <c r="Y48" i="24"/>
  <c r="Y32" i="24"/>
  <c r="D6" i="11"/>
  <c r="C67" i="25" s="1"/>
  <c r="C87" i="25" s="1"/>
  <c r="C89" i="25" s="1"/>
  <c r="C90" i="25" s="1"/>
  <c r="AB32" i="24"/>
  <c r="Y51" i="24"/>
  <c r="Y31" i="24"/>
  <c r="H4" i="11"/>
  <c r="Y25" i="24"/>
  <c r="Y44" i="24"/>
  <c r="Y73" i="24"/>
  <c r="Y10" i="24"/>
  <c r="C72" i="25" s="1"/>
  <c r="Y47" i="24"/>
  <c r="Z40" i="24"/>
  <c r="AB41" i="24"/>
  <c r="AA36" i="24"/>
  <c r="Z49" i="24"/>
  <c r="J4" i="11"/>
  <c r="AA49" i="24"/>
  <c r="I4" i="11"/>
  <c r="AB42" i="24"/>
  <c r="AA46" i="24"/>
  <c r="Z39" i="24"/>
  <c r="F6" i="11"/>
  <c r="E67" i="25" s="1"/>
  <c r="E70" i="25" s="1"/>
  <c r="E71" i="25" s="1"/>
  <c r="AA39" i="24"/>
  <c r="AA28" i="24"/>
  <c r="AB31" i="24"/>
  <c r="AA35" i="24"/>
  <c r="AA26" i="24"/>
  <c r="Z26" i="24"/>
  <c r="G6" i="11"/>
  <c r="F67" i="25" s="1"/>
  <c r="F73" i="25" s="1"/>
  <c r="AB28" i="24"/>
  <c r="AA51" i="24"/>
  <c r="AA33" i="24"/>
  <c r="Y50" i="24"/>
  <c r="Y26" i="24"/>
  <c r="Z10" i="24"/>
  <c r="D72" i="25" s="1"/>
  <c r="Z31" i="24"/>
  <c r="Z25" i="24"/>
  <c r="AB26" i="24"/>
  <c r="AA41" i="24"/>
  <c r="AA73" i="24"/>
  <c r="Y49" i="24"/>
  <c r="Y23" i="24"/>
  <c r="Z29" i="24"/>
  <c r="Z23" i="24"/>
  <c r="AB34" i="24"/>
  <c r="AB72" i="24"/>
  <c r="AA44" i="24"/>
  <c r="AA23" i="24"/>
  <c r="Y38" i="24"/>
  <c r="Z34" i="24"/>
  <c r="Z41" i="24"/>
  <c r="Z48" i="24"/>
  <c r="E7" i="12"/>
  <c r="I7" i="12" s="1"/>
  <c r="AA29" i="24"/>
  <c r="AA50" i="24"/>
  <c r="AA31" i="24"/>
  <c r="Z30" i="24"/>
  <c r="Z27" i="24"/>
  <c r="Z47" i="24"/>
  <c r="Z32" i="24"/>
  <c r="Z43" i="24"/>
  <c r="Z50" i="24"/>
  <c r="F7" i="12"/>
  <c r="J7" i="12" s="1"/>
  <c r="AB48" i="24"/>
  <c r="AB27" i="24"/>
  <c r="AA48" i="24"/>
  <c r="Z51" i="24"/>
  <c r="Z33" i="24"/>
  <c r="Z37" i="24"/>
  <c r="AB51" i="24"/>
  <c r="AB33" i="24"/>
  <c r="AB47" i="24"/>
  <c r="AB73" i="24"/>
  <c r="AB25" i="24"/>
  <c r="AB44" i="24"/>
  <c r="AB39" i="24"/>
  <c r="G7" i="12"/>
  <c r="K7" i="12" s="1"/>
  <c r="AB29" i="24"/>
  <c r="AB37" i="24"/>
  <c r="AB46" i="24"/>
  <c r="K4" i="11"/>
  <c r="H6" i="26" s="1"/>
  <c r="AB30" i="24"/>
  <c r="AB49" i="24"/>
  <c r="AB45" i="24"/>
  <c r="Z46" i="24"/>
  <c r="AB38" i="24"/>
  <c r="AB23" i="24"/>
  <c r="P20" i="24"/>
  <c r="AB20" i="24" s="1"/>
  <c r="N20" i="24"/>
  <c r="Z20" i="24" s="1"/>
  <c r="O20" i="24"/>
  <c r="AA20" i="24" s="1"/>
  <c r="M20" i="24"/>
  <c r="Y20" i="24" s="1"/>
  <c r="D5" i="16"/>
  <c r="D4" i="16"/>
  <c r="D6" i="16"/>
  <c r="C7" i="16"/>
  <c r="C8" i="16" s="1"/>
  <c r="C9" i="16" s="1"/>
  <c r="G10" i="14"/>
  <c r="F10" i="14"/>
  <c r="H10" i="14" s="1"/>
  <c r="F21" i="14"/>
  <c r="H21" i="14" s="1"/>
  <c r="D81" i="25" l="1"/>
  <c r="F6" i="26"/>
  <c r="C81" i="25"/>
  <c r="E6" i="26"/>
  <c r="E81" i="25"/>
  <c r="G6" i="26"/>
  <c r="I6" i="11"/>
  <c r="F7" i="26" s="1"/>
  <c r="D70" i="25"/>
  <c r="D71" i="25" s="1"/>
  <c r="H6" i="11"/>
  <c r="E7" i="26" s="1"/>
  <c r="C69" i="25"/>
  <c r="J6" i="11"/>
  <c r="G7" i="26" s="1"/>
  <c r="D73" i="25"/>
  <c r="C73" i="25"/>
  <c r="C70" i="25"/>
  <c r="C71" i="25" s="1"/>
  <c r="E69" i="25"/>
  <c r="E73" i="25"/>
  <c r="F69" i="25"/>
  <c r="F70" i="25"/>
  <c r="F71" i="25" s="1"/>
  <c r="K6" i="11"/>
  <c r="H7" i="26" s="1"/>
  <c r="F81" i="25"/>
  <c r="E96" i="11"/>
  <c r="G96" i="11"/>
  <c r="F96" i="11"/>
  <c r="D96" i="11"/>
  <c r="H52" i="11"/>
  <c r="H59" i="11"/>
  <c r="J53" i="11"/>
  <c r="K59" i="11"/>
  <c r="J59" i="11"/>
  <c r="C9" i="20"/>
  <c r="E9" i="20"/>
  <c r="D9" i="20"/>
  <c r="F9" i="20"/>
  <c r="E9" i="8"/>
  <c r="D9" i="8"/>
  <c r="C9" i="8"/>
  <c r="F9" i="8"/>
  <c r="D6" i="14"/>
  <c r="D8" i="16"/>
  <c r="D7" i="16"/>
  <c r="I15" i="24" l="1"/>
  <c r="U15" i="24" s="1"/>
  <c r="D22" i="11"/>
  <c r="J15" i="24"/>
  <c r="V15" i="24" s="1"/>
  <c r="E22" i="11"/>
  <c r="I22" i="11" s="1"/>
  <c r="K15" i="24"/>
  <c r="W15" i="24" s="1"/>
  <c r="F22" i="11"/>
  <c r="J22" i="11" s="1"/>
  <c r="L15" i="24"/>
  <c r="X15" i="24" s="1"/>
  <c r="G22" i="11"/>
  <c r="K22" i="11" s="1"/>
  <c r="H15" i="24"/>
  <c r="E15" i="24"/>
  <c r="G15" i="24"/>
  <c r="F15" i="24"/>
  <c r="J47" i="11"/>
  <c r="G16" i="26" s="1"/>
  <c r="G17" i="26" s="1"/>
  <c r="I53" i="11"/>
  <c r="I52" i="11"/>
  <c r="F20" i="10"/>
  <c r="E20" i="10"/>
  <c r="F47" i="11"/>
  <c r="F48" i="11" s="1"/>
  <c r="K58" i="11"/>
  <c r="K53" i="11"/>
  <c r="C20" i="10"/>
  <c r="H53" i="11"/>
  <c r="D20" i="10"/>
  <c r="H58" i="11"/>
  <c r="D9" i="16"/>
  <c r="J48" i="11" l="1"/>
  <c r="E54" i="25"/>
  <c r="H22" i="11"/>
  <c r="R15" i="24"/>
  <c r="N15" i="24"/>
  <c r="Z15" i="24" s="1"/>
  <c r="S15" i="24"/>
  <c r="O15" i="24"/>
  <c r="AA15" i="24" s="1"/>
  <c r="P15" i="24"/>
  <c r="AB15" i="24" s="1"/>
  <c r="T15" i="24"/>
  <c r="Q15" i="24"/>
  <c r="M15" i="24"/>
  <c r="Y15" i="24" s="1"/>
  <c r="H47" i="11"/>
  <c r="E16" i="26" s="1"/>
  <c r="E17" i="26" s="1"/>
  <c r="E47" i="11"/>
  <c r="E48" i="11" s="1"/>
  <c r="I58" i="11"/>
  <c r="I47" i="11" s="1"/>
  <c r="F16" i="26" s="1"/>
  <c r="F17" i="26" s="1"/>
  <c r="K47" i="11"/>
  <c r="H16" i="26" s="1"/>
  <c r="H17" i="26" s="1"/>
  <c r="G47" i="11"/>
  <c r="G48" i="11" s="1"/>
  <c r="D47" i="11"/>
  <c r="C17" i="16"/>
  <c r="C18" i="16" s="1"/>
  <c r="I26" i="16"/>
  <c r="H27" i="16"/>
  <c r="G27" i="16"/>
  <c r="I27" i="16" s="1"/>
  <c r="H26" i="16"/>
  <c r="H25" i="16"/>
  <c r="H24" i="16"/>
  <c r="G24" i="16"/>
  <c r="I24" i="16" s="1"/>
  <c r="H23" i="16"/>
  <c r="G23" i="16"/>
  <c r="G25" i="16" s="1"/>
  <c r="I25" i="16" s="1"/>
  <c r="G13" i="14"/>
  <c r="F13" i="14"/>
  <c r="G25" i="14"/>
  <c r="F25" i="14"/>
  <c r="D22" i="14"/>
  <c r="F22" i="14" s="1"/>
  <c r="H22" i="14" s="1"/>
  <c r="F20" i="14"/>
  <c r="H20" i="14" s="1"/>
  <c r="D23" i="14"/>
  <c r="H48" i="11" l="1"/>
  <c r="C54" i="25"/>
  <c r="K48" i="11"/>
  <c r="F54" i="25"/>
  <c r="I48" i="11"/>
  <c r="D54" i="25"/>
  <c r="D48" i="11"/>
  <c r="F10" i="20"/>
  <c r="C10" i="20"/>
  <c r="E10" i="20"/>
  <c r="D10" i="20"/>
  <c r="C8" i="20"/>
  <c r="D8" i="20"/>
  <c r="F8" i="20"/>
  <c r="E8" i="20"/>
  <c r="H25" i="14"/>
  <c r="C19" i="16"/>
  <c r="D15" i="14" s="1"/>
  <c r="I23" i="16"/>
  <c r="I28" i="16" s="1"/>
  <c r="H28" i="16"/>
  <c r="H13" i="14"/>
  <c r="J16" i="24" l="1"/>
  <c r="V16" i="24" s="1"/>
  <c r="E23" i="11"/>
  <c r="I23" i="11" s="1"/>
  <c r="L14" i="24"/>
  <c r="X14" i="24" s="1"/>
  <c r="G21" i="11"/>
  <c r="K21" i="11" s="1"/>
  <c r="J14" i="24"/>
  <c r="V14" i="24" s="1"/>
  <c r="E21" i="11"/>
  <c r="I21" i="11" s="1"/>
  <c r="I14" i="24"/>
  <c r="U14" i="24" s="1"/>
  <c r="D21" i="11"/>
  <c r="L16" i="24"/>
  <c r="X16" i="24" s="1"/>
  <c r="G23" i="11"/>
  <c r="K23" i="11" s="1"/>
  <c r="K16" i="24"/>
  <c r="W16" i="24" s="1"/>
  <c r="F23" i="11"/>
  <c r="J23" i="11" s="1"/>
  <c r="K14" i="24"/>
  <c r="W14" i="24" s="1"/>
  <c r="F21" i="11"/>
  <c r="J21" i="11" s="1"/>
  <c r="I16" i="24"/>
  <c r="U16" i="24" s="1"/>
  <c r="D23" i="11"/>
  <c r="E17" i="20"/>
  <c r="C17" i="20"/>
  <c r="F17" i="20"/>
  <c r="D17" i="20"/>
  <c r="E17" i="8"/>
  <c r="G24" i="24" s="1"/>
  <c r="D17" i="8"/>
  <c r="F24" i="24" s="1"/>
  <c r="C17" i="8"/>
  <c r="E24" i="24" s="1"/>
  <c r="F17" i="8"/>
  <c r="H24" i="24" s="1"/>
  <c r="E17" i="14"/>
  <c r="F17" i="14" s="1"/>
  <c r="G17" i="14"/>
  <c r="F23" i="14"/>
  <c r="H23" i="14" s="1"/>
  <c r="G11" i="14"/>
  <c r="F11" i="14"/>
  <c r="F15" i="14"/>
  <c r="H15" i="14" s="1"/>
  <c r="F18" i="14"/>
  <c r="H18" i="14" s="1"/>
  <c r="F7" i="14"/>
  <c r="H7" i="14" s="1"/>
  <c r="F6" i="14"/>
  <c r="F8" i="14"/>
  <c r="H8" i="14" s="1"/>
  <c r="F27" i="14"/>
  <c r="H27" i="14" s="1"/>
  <c r="N16" i="24" l="1"/>
  <c r="Z16" i="24" s="1"/>
  <c r="P14" i="24"/>
  <c r="AB14" i="24" s="1"/>
  <c r="P16" i="24"/>
  <c r="AB16" i="24" s="1"/>
  <c r="F37" i="11"/>
  <c r="K24" i="24"/>
  <c r="W24" i="24" s="1"/>
  <c r="O16" i="24"/>
  <c r="AA16" i="24" s="1"/>
  <c r="O14" i="24"/>
  <c r="AA14" i="24" s="1"/>
  <c r="M14" i="24"/>
  <c r="Y14" i="24" s="1"/>
  <c r="D37" i="11"/>
  <c r="I24" i="24"/>
  <c r="E37" i="11"/>
  <c r="J24" i="24"/>
  <c r="G37" i="11"/>
  <c r="L24" i="24"/>
  <c r="X24" i="24" s="1"/>
  <c r="N14" i="24"/>
  <c r="Z14" i="24" s="1"/>
  <c r="H21" i="11"/>
  <c r="M16" i="24"/>
  <c r="Y16" i="24" s="1"/>
  <c r="H23" i="11"/>
  <c r="T24" i="24"/>
  <c r="H22" i="24"/>
  <c r="S24" i="24"/>
  <c r="G22" i="24"/>
  <c r="R24" i="24"/>
  <c r="F22" i="24"/>
  <c r="Q24" i="24"/>
  <c r="E22" i="24"/>
  <c r="D15" i="20"/>
  <c r="F15" i="20"/>
  <c r="C15" i="20"/>
  <c r="E15" i="20"/>
  <c r="F4" i="9"/>
  <c r="L8" i="24" s="1"/>
  <c r="X8" i="24" s="1"/>
  <c r="E4" i="9"/>
  <c r="K8" i="24" s="1"/>
  <c r="W8" i="24" s="1"/>
  <c r="D4" i="9"/>
  <c r="J8" i="24" s="1"/>
  <c r="V8" i="24" s="1"/>
  <c r="C4" i="9"/>
  <c r="I8" i="24" s="1"/>
  <c r="U8" i="24" s="1"/>
  <c r="D15" i="8"/>
  <c r="E3" i="9"/>
  <c r="G8" i="24" s="1"/>
  <c r="F3" i="9"/>
  <c r="H8" i="24" s="1"/>
  <c r="C3" i="9"/>
  <c r="E8" i="24" s="1"/>
  <c r="D3" i="9"/>
  <c r="F8" i="24" s="1"/>
  <c r="C15" i="8"/>
  <c r="F15" i="8"/>
  <c r="E15" i="8"/>
  <c r="E7" i="8"/>
  <c r="D7" i="8"/>
  <c r="C7" i="8"/>
  <c r="F7" i="8"/>
  <c r="D13" i="8"/>
  <c r="C13" i="8"/>
  <c r="F13" i="8"/>
  <c r="E13" i="8"/>
  <c r="F5" i="8"/>
  <c r="E5" i="8"/>
  <c r="D5" i="8"/>
  <c r="C5" i="8"/>
  <c r="D6" i="8"/>
  <c r="E19" i="11" s="1"/>
  <c r="F6" i="8"/>
  <c r="G19" i="11" s="1"/>
  <c r="E6" i="8"/>
  <c r="F19" i="11" s="1"/>
  <c r="C6" i="8"/>
  <c r="D19" i="11" s="1"/>
  <c r="D7" i="20"/>
  <c r="F7" i="20"/>
  <c r="C7" i="20"/>
  <c r="E7" i="20"/>
  <c r="D11" i="20"/>
  <c r="C11" i="20"/>
  <c r="F11" i="20"/>
  <c r="E11" i="20"/>
  <c r="H17" i="14"/>
  <c r="H11" i="14"/>
  <c r="K13" i="24" l="1"/>
  <c r="W13" i="24" s="1"/>
  <c r="F20" i="11"/>
  <c r="J20" i="11" s="1"/>
  <c r="L13" i="24"/>
  <c r="X13" i="24" s="1"/>
  <c r="G20" i="11"/>
  <c r="K20" i="11" s="1"/>
  <c r="J13" i="24"/>
  <c r="V13" i="24" s="1"/>
  <c r="E20" i="11"/>
  <c r="I20" i="11" s="1"/>
  <c r="K17" i="24"/>
  <c r="W17" i="24" s="1"/>
  <c r="F24" i="11"/>
  <c r="J24" i="11" s="1"/>
  <c r="L17" i="24"/>
  <c r="X17" i="24" s="1"/>
  <c r="G24" i="11"/>
  <c r="K24" i="11" s="1"/>
  <c r="I17" i="24"/>
  <c r="U17" i="24" s="1"/>
  <c r="D24" i="11"/>
  <c r="J17" i="24"/>
  <c r="V17" i="24" s="1"/>
  <c r="E24" i="11"/>
  <c r="I24" i="11" s="1"/>
  <c r="I13" i="24"/>
  <c r="U13" i="24" s="1"/>
  <c r="D20" i="11"/>
  <c r="N24" i="24"/>
  <c r="Z24" i="24" s="1"/>
  <c r="V24" i="24"/>
  <c r="M24" i="24"/>
  <c r="Y24" i="24" s="1"/>
  <c r="U24" i="24"/>
  <c r="Q22" i="24"/>
  <c r="S22" i="24"/>
  <c r="I7" i="24"/>
  <c r="U7" i="24" s="1"/>
  <c r="R22" i="24"/>
  <c r="K22" i="24"/>
  <c r="W22" i="24" s="1"/>
  <c r="I22" i="24"/>
  <c r="T8" i="24"/>
  <c r="H7" i="24"/>
  <c r="P8" i="24"/>
  <c r="AB8" i="24" s="1"/>
  <c r="T22" i="24"/>
  <c r="J7" i="24"/>
  <c r="V7" i="24" s="1"/>
  <c r="K7" i="24"/>
  <c r="W7" i="24" s="1"/>
  <c r="L7" i="24"/>
  <c r="X7" i="24" s="1"/>
  <c r="F7" i="24"/>
  <c r="R8" i="24"/>
  <c r="N8" i="24"/>
  <c r="Z8" i="24" s="1"/>
  <c r="O24" i="24"/>
  <c r="AA24" i="24" s="1"/>
  <c r="S8" i="24"/>
  <c r="G7" i="24"/>
  <c r="O8" i="24"/>
  <c r="AA8" i="24" s="1"/>
  <c r="J22" i="24"/>
  <c r="V22" i="24" s="1"/>
  <c r="Q8" i="24"/>
  <c r="E7" i="24"/>
  <c r="M8" i="24"/>
  <c r="Y8" i="24" s="1"/>
  <c r="L22" i="24"/>
  <c r="P24" i="24"/>
  <c r="AB24" i="24" s="1"/>
  <c r="H11" i="24"/>
  <c r="H19" i="24"/>
  <c r="E19" i="24"/>
  <c r="E11" i="24"/>
  <c r="F11" i="24"/>
  <c r="G11" i="24"/>
  <c r="G19" i="24"/>
  <c r="J19" i="11"/>
  <c r="G12" i="24"/>
  <c r="K19" i="11"/>
  <c r="H12" i="24"/>
  <c r="F19" i="24"/>
  <c r="E12" i="24"/>
  <c r="H13" i="24"/>
  <c r="E13" i="24"/>
  <c r="F13" i="24"/>
  <c r="I19" i="11"/>
  <c r="F12" i="24"/>
  <c r="G13" i="24"/>
  <c r="D34" i="11"/>
  <c r="H37" i="11"/>
  <c r="H34" i="11" s="1"/>
  <c r="E34" i="11"/>
  <c r="I37" i="11"/>
  <c r="I34" i="11" s="1"/>
  <c r="F34" i="11"/>
  <c r="J37" i="11"/>
  <c r="J34" i="11" s="1"/>
  <c r="G34" i="11"/>
  <c r="K37" i="11"/>
  <c r="K34" i="11" s="1"/>
  <c r="C5" i="9"/>
  <c r="D10" i="11" s="1"/>
  <c r="D5" i="9"/>
  <c r="E10" i="11" s="1"/>
  <c r="I10" i="11" s="1"/>
  <c r="D45" i="25" s="1"/>
  <c r="E5" i="9"/>
  <c r="F10" i="11" s="1"/>
  <c r="J10" i="11" s="1"/>
  <c r="E45" i="25" s="1"/>
  <c r="F5" i="9"/>
  <c r="G10" i="11" s="1"/>
  <c r="K10" i="11" s="1"/>
  <c r="F45" i="25" s="1"/>
  <c r="E12" i="8"/>
  <c r="D12" i="8"/>
  <c r="F12" i="8"/>
  <c r="C12" i="8"/>
  <c r="E13" i="20"/>
  <c r="D5" i="20"/>
  <c r="E5" i="20"/>
  <c r="C13" i="20"/>
  <c r="D13" i="20"/>
  <c r="C5" i="20"/>
  <c r="F13" i="20"/>
  <c r="F5" i="20"/>
  <c r="B43" i="13"/>
  <c r="B42" i="13"/>
  <c r="B41" i="13"/>
  <c r="B40" i="13"/>
  <c r="B39" i="13"/>
  <c r="B38" i="13"/>
  <c r="B37" i="13"/>
  <c r="B36" i="13"/>
  <c r="B35" i="13"/>
  <c r="B34" i="13"/>
  <c r="B33" i="13"/>
  <c r="B32" i="13"/>
  <c r="B30" i="13"/>
  <c r="B29" i="13"/>
  <c r="B28" i="13"/>
  <c r="B27" i="13"/>
  <c r="B26" i="13"/>
  <c r="B25" i="13"/>
  <c r="B24" i="13"/>
  <c r="B20" i="13"/>
  <c r="B19" i="13"/>
  <c r="B10" i="13"/>
  <c r="B9" i="13"/>
  <c r="B8" i="13"/>
  <c r="B7" i="13"/>
  <c r="N17" i="24" l="1"/>
  <c r="Z17" i="24" s="1"/>
  <c r="C52" i="25"/>
  <c r="J35" i="11"/>
  <c r="E52" i="25"/>
  <c r="I35" i="11"/>
  <c r="D52" i="25"/>
  <c r="K35" i="11"/>
  <c r="F52" i="25"/>
  <c r="E18" i="24"/>
  <c r="E9" i="24" s="1"/>
  <c r="E6" i="24" s="1"/>
  <c r="D25" i="11"/>
  <c r="H18" i="24"/>
  <c r="P18" i="24" s="1"/>
  <c r="AB18" i="24" s="1"/>
  <c r="G25" i="11"/>
  <c r="F18" i="24"/>
  <c r="F9" i="24" s="1"/>
  <c r="E25" i="11"/>
  <c r="G18" i="24"/>
  <c r="S18" i="24" s="1"/>
  <c r="F25" i="11"/>
  <c r="H10" i="11"/>
  <c r="L19" i="24"/>
  <c r="X19" i="24" s="1"/>
  <c r="G26" i="11"/>
  <c r="K26" i="11" s="1"/>
  <c r="H24" i="11"/>
  <c r="I19" i="24"/>
  <c r="U19" i="24" s="1"/>
  <c r="D26" i="11"/>
  <c r="M17" i="24"/>
  <c r="Y17" i="24" s="1"/>
  <c r="I11" i="24"/>
  <c r="U11" i="24" s="1"/>
  <c r="D18" i="11"/>
  <c r="J19" i="24"/>
  <c r="V19" i="24" s="1"/>
  <c r="E26" i="11"/>
  <c r="I26" i="11" s="1"/>
  <c r="K11" i="24"/>
  <c r="W11" i="24" s="1"/>
  <c r="F18" i="11"/>
  <c r="J18" i="11" s="1"/>
  <c r="P17" i="24"/>
  <c r="AB17" i="24" s="1"/>
  <c r="K19" i="24"/>
  <c r="W19" i="24" s="1"/>
  <c r="F26" i="11"/>
  <c r="J26" i="11" s="1"/>
  <c r="L11" i="24"/>
  <c r="X11" i="24" s="1"/>
  <c r="G18" i="11"/>
  <c r="K18" i="11" s="1"/>
  <c r="J11" i="24"/>
  <c r="V11" i="24" s="1"/>
  <c r="E18" i="11"/>
  <c r="I18" i="11" s="1"/>
  <c r="O17" i="24"/>
  <c r="AA17" i="24" s="1"/>
  <c r="H20" i="11"/>
  <c r="H19" i="11"/>
  <c r="P22" i="24"/>
  <c r="AB22" i="24" s="1"/>
  <c r="X22" i="24"/>
  <c r="M22" i="24"/>
  <c r="Y22" i="24" s="1"/>
  <c r="U22" i="24"/>
  <c r="R11" i="24"/>
  <c r="S13" i="24"/>
  <c r="O13" i="24"/>
  <c r="AA13" i="24" s="1"/>
  <c r="M7" i="24"/>
  <c r="Y7" i="24" s="1"/>
  <c r="Q7" i="24"/>
  <c r="P12" i="24"/>
  <c r="AB12" i="24" s="1"/>
  <c r="T12" i="24"/>
  <c r="Q13" i="24"/>
  <c r="M13" i="24"/>
  <c r="Y13" i="24" s="1"/>
  <c r="S19" i="24"/>
  <c r="T11" i="24"/>
  <c r="Q12" i="24"/>
  <c r="M12" i="24"/>
  <c r="Y12" i="24" s="1"/>
  <c r="Q11" i="24"/>
  <c r="Q19" i="24"/>
  <c r="S12" i="24"/>
  <c r="O12" i="24"/>
  <c r="AA12" i="24" s="1"/>
  <c r="S7" i="24"/>
  <c r="O7" i="24"/>
  <c r="AA7" i="24" s="1"/>
  <c r="R19" i="24"/>
  <c r="R13" i="24"/>
  <c r="N13" i="24"/>
  <c r="Z13" i="24" s="1"/>
  <c r="T13" i="24"/>
  <c r="P13" i="24"/>
  <c r="AB13" i="24" s="1"/>
  <c r="S11" i="24"/>
  <c r="T7" i="24"/>
  <c r="P7" i="24"/>
  <c r="AB7" i="24" s="1"/>
  <c r="R7" i="24"/>
  <c r="N7" i="24"/>
  <c r="Z7" i="24" s="1"/>
  <c r="N12" i="24"/>
  <c r="Z12" i="24" s="1"/>
  <c r="R12" i="24"/>
  <c r="O22" i="24"/>
  <c r="AA22" i="24" s="1"/>
  <c r="T19" i="24"/>
  <c r="N22" i="24"/>
  <c r="Z22" i="24" s="1"/>
  <c r="K11" i="11"/>
  <c r="K12" i="11"/>
  <c r="F35" i="11"/>
  <c r="G35" i="11"/>
  <c r="I11" i="11"/>
  <c r="I12" i="11"/>
  <c r="H35" i="11"/>
  <c r="J12" i="11"/>
  <c r="J11" i="11"/>
  <c r="E35" i="11"/>
  <c r="D35" i="11"/>
  <c r="G12" i="11"/>
  <c r="G11" i="11"/>
  <c r="F11" i="11"/>
  <c r="F12" i="11"/>
  <c r="E12" i="11"/>
  <c r="E11" i="11"/>
  <c r="D12" i="11"/>
  <c r="D11" i="11"/>
  <c r="F3" i="8"/>
  <c r="F27" i="8" s="1"/>
  <c r="D3" i="8"/>
  <c r="D27" i="8" s="1"/>
  <c r="C3" i="8"/>
  <c r="C27" i="8" s="1"/>
  <c r="E3" i="8"/>
  <c r="E27" i="8" s="1"/>
  <c r="E3" i="20"/>
  <c r="E27" i="20" s="1"/>
  <c r="F3" i="20"/>
  <c r="F27" i="20" s="1"/>
  <c r="D3" i="20"/>
  <c r="D27" i="20" s="1"/>
  <c r="C3" i="20"/>
  <c r="C27" i="20" s="1"/>
  <c r="Q18" i="24" l="1"/>
  <c r="H9" i="24"/>
  <c r="T9" i="24" s="1"/>
  <c r="T18" i="24"/>
  <c r="H11" i="11"/>
  <c r="C45" i="25"/>
  <c r="N18" i="24"/>
  <c r="Z18" i="24" s="1"/>
  <c r="M18" i="24"/>
  <c r="Y18" i="24" s="1"/>
  <c r="R18" i="24"/>
  <c r="G9" i="24"/>
  <c r="G6" i="24" s="1"/>
  <c r="H12" i="11"/>
  <c r="O18" i="24"/>
  <c r="AA18" i="24" s="1"/>
  <c r="P19" i="24"/>
  <c r="AB19" i="24" s="1"/>
  <c r="P11" i="24"/>
  <c r="AB11" i="24" s="1"/>
  <c r="M19" i="24"/>
  <c r="Y19" i="24" s="1"/>
  <c r="O19" i="24"/>
  <c r="AA19" i="24" s="1"/>
  <c r="N11" i="24"/>
  <c r="Z11" i="24" s="1"/>
  <c r="H26" i="11"/>
  <c r="M11" i="24"/>
  <c r="Y11" i="24" s="1"/>
  <c r="N19" i="24"/>
  <c r="Z19" i="24" s="1"/>
  <c r="J9" i="24"/>
  <c r="V9" i="24" s="1"/>
  <c r="L9" i="24"/>
  <c r="X9" i="24" s="1"/>
  <c r="I9" i="24"/>
  <c r="U9" i="24" s="1"/>
  <c r="H18" i="11"/>
  <c r="O11" i="24"/>
  <c r="AA11" i="24" s="1"/>
  <c r="K9" i="24"/>
  <c r="W9" i="24" s="1"/>
  <c r="Q9" i="24"/>
  <c r="Q6" i="24"/>
  <c r="R9" i="24"/>
  <c r="F6" i="24"/>
  <c r="G13" i="11"/>
  <c r="G14" i="11" s="1"/>
  <c r="K25" i="11"/>
  <c r="K13" i="11" s="1"/>
  <c r="H25" i="11"/>
  <c r="D13" i="11"/>
  <c r="F13" i="11"/>
  <c r="F15" i="11" s="1"/>
  <c r="J25" i="11"/>
  <c r="J13" i="11" s="1"/>
  <c r="E13" i="11"/>
  <c r="E7" i="11" s="1"/>
  <c r="I25" i="11"/>
  <c r="I13" i="11" s="1"/>
  <c r="B6" i="13"/>
  <c r="E47" i="25" l="1"/>
  <c r="G22" i="26"/>
  <c r="F47" i="25"/>
  <c r="H22" i="26"/>
  <c r="D47" i="25"/>
  <c r="F22" i="26"/>
  <c r="H6" i="24"/>
  <c r="T6" i="24" s="1"/>
  <c r="S9" i="24"/>
  <c r="N9" i="24"/>
  <c r="Z9" i="24" s="1"/>
  <c r="D74" i="25" s="1"/>
  <c r="I6" i="24"/>
  <c r="U6" i="24" s="1"/>
  <c r="J6" i="24"/>
  <c r="V6" i="24" s="1"/>
  <c r="M9" i="24"/>
  <c r="Y9" i="24" s="1"/>
  <c r="C74" i="25" s="1"/>
  <c r="K6" i="24"/>
  <c r="W6" i="24" s="1"/>
  <c r="L6" i="24"/>
  <c r="X6" i="24" s="1"/>
  <c r="H13" i="11"/>
  <c r="E22" i="26" s="1"/>
  <c r="E24" i="26" s="1"/>
  <c r="P9" i="24"/>
  <c r="AB9" i="24" s="1"/>
  <c r="F74" i="25" s="1"/>
  <c r="O9" i="24"/>
  <c r="AA9" i="24" s="1"/>
  <c r="E74" i="25" s="1"/>
  <c r="D7" i="11"/>
  <c r="D8" i="11" s="1"/>
  <c r="S6" i="24"/>
  <c r="R6" i="24"/>
  <c r="F14" i="11"/>
  <c r="F7" i="11"/>
  <c r="F28" i="11" s="1"/>
  <c r="D15" i="11"/>
  <c r="G15" i="11"/>
  <c r="G7" i="11"/>
  <c r="G28" i="11" s="1"/>
  <c r="E14" i="11"/>
  <c r="J15" i="11"/>
  <c r="J14" i="11"/>
  <c r="J7" i="11"/>
  <c r="E37" i="25" s="1"/>
  <c r="I14" i="11"/>
  <c r="I15" i="11"/>
  <c r="I7" i="11"/>
  <c r="D37" i="25" s="1"/>
  <c r="K15" i="11"/>
  <c r="K14" i="11"/>
  <c r="K7" i="11"/>
  <c r="F37" i="25" s="1"/>
  <c r="E15" i="11"/>
  <c r="D14" i="11"/>
  <c r="E28" i="11"/>
  <c r="E8" i="11"/>
  <c r="E9" i="11"/>
  <c r="B11" i="13"/>
  <c r="B13" i="13" s="1"/>
  <c r="B14" i="13" s="1"/>
  <c r="F24" i="26" l="1"/>
  <c r="F23" i="26"/>
  <c r="H24" i="26"/>
  <c r="H23" i="26"/>
  <c r="G24" i="26"/>
  <c r="G23" i="26"/>
  <c r="E23" i="26"/>
  <c r="M6" i="24"/>
  <c r="Y6" i="24" s="1"/>
  <c r="E75" i="25"/>
  <c r="C75" i="25"/>
  <c r="F75" i="25"/>
  <c r="D75" i="25"/>
  <c r="H15" i="11"/>
  <c r="C47" i="25"/>
  <c r="F49" i="25"/>
  <c r="D49" i="25"/>
  <c r="E49" i="25"/>
  <c r="N6" i="24"/>
  <c r="Z6" i="24" s="1"/>
  <c r="P6" i="24"/>
  <c r="AB6" i="24" s="1"/>
  <c r="O6" i="24"/>
  <c r="AA6" i="24" s="1"/>
  <c r="H7" i="11"/>
  <c r="H14" i="11"/>
  <c r="D28" i="11"/>
  <c r="D29" i="11" s="1"/>
  <c r="D9" i="11"/>
  <c r="F8" i="11"/>
  <c r="F9" i="11"/>
  <c r="G9" i="11"/>
  <c r="G8" i="11"/>
  <c r="I9" i="11"/>
  <c r="I8" i="11"/>
  <c r="I28" i="11"/>
  <c r="J9" i="11"/>
  <c r="J8" i="11"/>
  <c r="J28" i="11"/>
  <c r="K9" i="11"/>
  <c r="K8" i="11"/>
  <c r="K28" i="11"/>
  <c r="E30" i="11"/>
  <c r="E29" i="11"/>
  <c r="F29" i="11"/>
  <c r="F30" i="11"/>
  <c r="G30" i="11"/>
  <c r="G29" i="11"/>
  <c r="F6" i="18"/>
  <c r="E6" i="18"/>
  <c r="D6" i="18"/>
  <c r="G31" i="3"/>
  <c r="F31" i="3"/>
  <c r="G28" i="3"/>
  <c r="F28" i="3"/>
  <c r="H17" i="3"/>
  <c r="F17" i="3"/>
  <c r="H23" i="3"/>
  <c r="F23" i="3"/>
  <c r="H21" i="3"/>
  <c r="F21" i="3"/>
  <c r="H19" i="3"/>
  <c r="F19" i="3"/>
  <c r="H13" i="3"/>
  <c r="F13" i="3"/>
  <c r="H8" i="3"/>
  <c r="F8" i="3"/>
  <c r="H5" i="3"/>
  <c r="F5" i="3"/>
  <c r="F61" i="3" l="1"/>
  <c r="D43" i="18"/>
  <c r="H61" i="3"/>
  <c r="F43" i="18"/>
  <c r="H42" i="3"/>
  <c r="G60" i="3"/>
  <c r="F60" i="3"/>
  <c r="F25" i="25"/>
  <c r="H9" i="26"/>
  <c r="E25" i="25"/>
  <c r="G9" i="26"/>
  <c r="D25" i="25"/>
  <c r="F9" i="26"/>
  <c r="F46" i="25"/>
  <c r="F48" i="25"/>
  <c r="E46" i="25"/>
  <c r="E48" i="25"/>
  <c r="D46" i="25"/>
  <c r="D48" i="25"/>
  <c r="H8" i="11"/>
  <c r="C37" i="25"/>
  <c r="H28" i="11"/>
  <c r="E9" i="26" s="1"/>
  <c r="H9" i="11"/>
  <c r="D30" i="11"/>
  <c r="C15" i="18"/>
  <c r="J30" i="11"/>
  <c r="J29" i="11"/>
  <c r="E26" i="25" s="1"/>
  <c r="K30" i="11"/>
  <c r="K29" i="11"/>
  <c r="F26" i="25" s="1"/>
  <c r="I30" i="11"/>
  <c r="I29" i="11"/>
  <c r="D26" i="25" s="1"/>
  <c r="F39" i="3"/>
  <c r="F59" i="3" s="1"/>
  <c r="E57" i="3"/>
  <c r="F48" i="18" l="1"/>
  <c r="F49" i="18"/>
  <c r="F50" i="18"/>
  <c r="F46" i="18"/>
  <c r="F45" i="18"/>
  <c r="F47" i="18"/>
  <c r="F44" i="18"/>
  <c r="D49" i="18"/>
  <c r="D50" i="18"/>
  <c r="D48" i="18"/>
  <c r="D45" i="18"/>
  <c r="D46" i="18"/>
  <c r="D47" i="18"/>
  <c r="D44" i="18"/>
  <c r="E20" i="26"/>
  <c r="E21" i="26"/>
  <c r="F10" i="26"/>
  <c r="F11" i="26"/>
  <c r="G10" i="26"/>
  <c r="G11" i="26"/>
  <c r="E10" i="26"/>
  <c r="E11" i="26"/>
  <c r="H10" i="26"/>
  <c r="H11" i="26"/>
  <c r="H30" i="11"/>
  <c r="C25" i="25"/>
  <c r="C49" i="25"/>
  <c r="E54" i="24"/>
  <c r="H29" i="11"/>
  <c r="C26" i="25" s="1"/>
  <c r="C22" i="18"/>
  <c r="E61" i="24" s="1"/>
  <c r="U54" i="24"/>
  <c r="V54" i="24"/>
  <c r="X54" i="24"/>
  <c r="W54" i="24"/>
  <c r="F34" i="3"/>
  <c r="D71" i="11"/>
  <c r="H71" i="11" s="1"/>
  <c r="C19" i="18"/>
  <c r="E58" i="24" s="1"/>
  <c r="C17" i="18"/>
  <c r="E56" i="24" s="1"/>
  <c r="C18" i="18"/>
  <c r="E57" i="24" s="1"/>
  <c r="C21" i="18"/>
  <c r="E60" i="24" s="1"/>
  <c r="F9" i="18"/>
  <c r="F11" i="18"/>
  <c r="F13" i="18"/>
  <c r="F8" i="18"/>
  <c r="F10" i="18"/>
  <c r="G70" i="11"/>
  <c r="K70" i="11" s="1"/>
  <c r="F12" i="18"/>
  <c r="F7" i="18"/>
  <c r="C20" i="18"/>
  <c r="E59" i="24" s="1"/>
  <c r="E8" i="18"/>
  <c r="E7" i="18"/>
  <c r="E9" i="18"/>
  <c r="E11" i="18"/>
  <c r="E13" i="18"/>
  <c r="E12" i="18"/>
  <c r="F70" i="11"/>
  <c r="J70" i="11" s="1"/>
  <c r="E10" i="18"/>
  <c r="G34" i="3"/>
  <c r="E15" i="18" s="1"/>
  <c r="G54" i="24" s="1"/>
  <c r="C16" i="18"/>
  <c r="E55" i="24" s="1"/>
  <c r="D9" i="18"/>
  <c r="E70" i="11"/>
  <c r="I70" i="11" s="1"/>
  <c r="D7" i="18"/>
  <c r="D11" i="18"/>
  <c r="D8" i="18"/>
  <c r="D13" i="18"/>
  <c r="D10" i="18"/>
  <c r="D12" i="18"/>
  <c r="B31" i="13"/>
  <c r="C46" i="25" l="1"/>
  <c r="C48" i="25"/>
  <c r="C14" i="18"/>
  <c r="C4" i="18" s="1"/>
  <c r="D80" i="11"/>
  <c r="H80" i="11" s="1"/>
  <c r="U61" i="24"/>
  <c r="Q60" i="24"/>
  <c r="Q61" i="24"/>
  <c r="Q57" i="24"/>
  <c r="X57" i="24"/>
  <c r="V57" i="24"/>
  <c r="W56" i="24"/>
  <c r="X59" i="24"/>
  <c r="W59" i="24"/>
  <c r="X56" i="24"/>
  <c r="W60" i="24"/>
  <c r="U64" i="24"/>
  <c r="U55" i="24"/>
  <c r="D42" i="18"/>
  <c r="V55" i="24"/>
  <c r="V56" i="24"/>
  <c r="U56" i="24"/>
  <c r="Q56" i="24"/>
  <c r="Q54" i="24"/>
  <c r="M54" i="24"/>
  <c r="Y54" i="24" s="1"/>
  <c r="F42" i="18"/>
  <c r="X55" i="24"/>
  <c r="F15" i="18"/>
  <c r="H54" i="24" s="1"/>
  <c r="W57" i="24"/>
  <c r="E42" i="18"/>
  <c r="W55" i="24"/>
  <c r="X61" i="24"/>
  <c r="V58" i="24"/>
  <c r="U59" i="24"/>
  <c r="F42" i="3"/>
  <c r="D15" i="18"/>
  <c r="F54" i="24" s="1"/>
  <c r="X58" i="24"/>
  <c r="V59" i="24"/>
  <c r="U58" i="24"/>
  <c r="O54" i="24"/>
  <c r="AA54" i="24" s="1"/>
  <c r="S54" i="24"/>
  <c r="V61" i="24"/>
  <c r="U70" i="24"/>
  <c r="W61" i="24"/>
  <c r="V60" i="24"/>
  <c r="U69" i="24"/>
  <c r="U60" i="24"/>
  <c r="W58" i="24"/>
  <c r="X60" i="24"/>
  <c r="U57" i="24"/>
  <c r="Q58" i="24"/>
  <c r="Q59" i="24"/>
  <c r="F74" i="11"/>
  <c r="J74" i="11" s="1"/>
  <c r="D73" i="11"/>
  <c r="H73" i="11" s="1"/>
  <c r="F72" i="11"/>
  <c r="J72" i="11" s="1"/>
  <c r="D76" i="11"/>
  <c r="H76" i="11" s="1"/>
  <c r="E72" i="11"/>
  <c r="I72" i="11" s="1"/>
  <c r="D75" i="11"/>
  <c r="H75" i="11" s="1"/>
  <c r="G74" i="11"/>
  <c r="K74" i="11" s="1"/>
  <c r="D78" i="11"/>
  <c r="H78" i="11" s="1"/>
  <c r="D77" i="11"/>
  <c r="H77" i="11" s="1"/>
  <c r="G72" i="11"/>
  <c r="K72" i="11" s="1"/>
  <c r="E74" i="11"/>
  <c r="I74" i="11" s="1"/>
  <c r="D79" i="11"/>
  <c r="H79" i="11" s="1"/>
  <c r="F5" i="18"/>
  <c r="E5" i="18"/>
  <c r="D5" i="18"/>
  <c r="G42" i="3"/>
  <c r="J66" i="24" l="1"/>
  <c r="J65" i="24"/>
  <c r="J67" i="24"/>
  <c r="I67" i="24"/>
  <c r="U67" i="24" s="1"/>
  <c r="I63" i="24"/>
  <c r="U63" i="24" s="1"/>
  <c r="I65" i="24"/>
  <c r="U65" i="24" s="1"/>
  <c r="J63" i="24"/>
  <c r="I66" i="24"/>
  <c r="U66" i="24" s="1"/>
  <c r="I68" i="24"/>
  <c r="U68" i="24" s="1"/>
  <c r="J68" i="24"/>
  <c r="Q55" i="24"/>
  <c r="E53" i="24"/>
  <c r="M57" i="24"/>
  <c r="Y57" i="24" s="1"/>
  <c r="M59" i="24"/>
  <c r="Y59" i="24" s="1"/>
  <c r="F19" i="18"/>
  <c r="M56" i="24"/>
  <c r="Y56" i="24" s="1"/>
  <c r="M60" i="24"/>
  <c r="Y60" i="24" s="1"/>
  <c r="L53" i="24"/>
  <c r="X53" i="24" s="1"/>
  <c r="D19" i="18"/>
  <c r="C3" i="18"/>
  <c r="D17" i="18"/>
  <c r="E71" i="11"/>
  <c r="I71" i="11" s="1"/>
  <c r="M61" i="24"/>
  <c r="Y61" i="24" s="1"/>
  <c r="D21" i="18"/>
  <c r="D16" i="18"/>
  <c r="M55" i="24"/>
  <c r="Y55" i="24" s="1"/>
  <c r="H57" i="3"/>
  <c r="N54" i="24"/>
  <c r="Z54" i="24" s="1"/>
  <c r="R54" i="24"/>
  <c r="D18" i="18"/>
  <c r="T54" i="24"/>
  <c r="P54" i="24"/>
  <c r="AB54" i="24" s="1"/>
  <c r="G57" i="3"/>
  <c r="M58" i="24"/>
  <c r="Y58" i="24" s="1"/>
  <c r="M69" i="24"/>
  <c r="Y69" i="24" s="1"/>
  <c r="Q69" i="24"/>
  <c r="Q64" i="24"/>
  <c r="M64" i="24"/>
  <c r="Y64" i="24" s="1"/>
  <c r="F57" i="3"/>
  <c r="D20" i="18"/>
  <c r="I53" i="24"/>
  <c r="D22" i="18"/>
  <c r="Q70" i="24"/>
  <c r="M70" i="24"/>
  <c r="Y70" i="24" s="1"/>
  <c r="K53" i="24"/>
  <c r="W53" i="24" s="1"/>
  <c r="J53" i="24"/>
  <c r="V53" i="24" s="1"/>
  <c r="H68" i="11"/>
  <c r="H69" i="11" s="1"/>
  <c r="D68" i="11"/>
  <c r="G71" i="11"/>
  <c r="K71" i="11" s="1"/>
  <c r="F18" i="18"/>
  <c r="H57" i="24" s="1"/>
  <c r="F21" i="18"/>
  <c r="H60" i="24" s="1"/>
  <c r="F22" i="18"/>
  <c r="H61" i="24" s="1"/>
  <c r="F20" i="18"/>
  <c r="H59" i="24" s="1"/>
  <c r="F17" i="18"/>
  <c r="H56" i="24" s="1"/>
  <c r="F16" i="18"/>
  <c r="H55" i="24" s="1"/>
  <c r="E20" i="18"/>
  <c r="G59" i="24" s="1"/>
  <c r="E19" i="18"/>
  <c r="G58" i="24" s="1"/>
  <c r="E16" i="18"/>
  <c r="G55" i="24" s="1"/>
  <c r="E17" i="18"/>
  <c r="G56" i="24" s="1"/>
  <c r="F71" i="11"/>
  <c r="J71" i="11" s="1"/>
  <c r="E21" i="18"/>
  <c r="G60" i="24" s="1"/>
  <c r="E18" i="18"/>
  <c r="G57" i="24" s="1"/>
  <c r="E22" i="18"/>
  <c r="G61" i="24" s="1"/>
  <c r="F20" i="26" l="1"/>
  <c r="F21" i="26"/>
  <c r="H20" i="26"/>
  <c r="H21" i="26"/>
  <c r="G20" i="26"/>
  <c r="G21" i="26"/>
  <c r="E76" i="11"/>
  <c r="I76" i="11" s="1"/>
  <c r="F57" i="24"/>
  <c r="N57" i="24" s="1"/>
  <c r="Z57" i="24" s="1"/>
  <c r="E77" i="11"/>
  <c r="I77" i="11" s="1"/>
  <c r="F58" i="24"/>
  <c r="N58" i="24" s="1"/>
  <c r="Z58" i="24" s="1"/>
  <c r="G77" i="11"/>
  <c r="K77" i="11" s="1"/>
  <c r="H58" i="24"/>
  <c r="P58" i="24" s="1"/>
  <c r="AB58" i="24" s="1"/>
  <c r="E78" i="11"/>
  <c r="I78" i="11" s="1"/>
  <c r="F59" i="24"/>
  <c r="N59" i="24" s="1"/>
  <c r="Z59" i="24" s="1"/>
  <c r="E73" i="11"/>
  <c r="I73" i="11" s="1"/>
  <c r="F55" i="24"/>
  <c r="E75" i="11"/>
  <c r="I75" i="11" s="1"/>
  <c r="F56" i="24"/>
  <c r="N56" i="24" s="1"/>
  <c r="Z56" i="24" s="1"/>
  <c r="E80" i="11"/>
  <c r="I80" i="11" s="1"/>
  <c r="F61" i="24"/>
  <c r="E79" i="11"/>
  <c r="I79" i="11" s="1"/>
  <c r="F60" i="24"/>
  <c r="R60" i="24" s="1"/>
  <c r="D69" i="11"/>
  <c r="D14" i="18"/>
  <c r="D4" i="18" s="1"/>
  <c r="D3" i="18" s="1"/>
  <c r="G53" i="24"/>
  <c r="E14" i="18"/>
  <c r="E4" i="18" s="1"/>
  <c r="E3" i="18" s="1"/>
  <c r="F14" i="18"/>
  <c r="F4" i="18" s="1"/>
  <c r="F3" i="18" s="1"/>
  <c r="U53" i="24"/>
  <c r="M53" i="24"/>
  <c r="Y53" i="24" s="1"/>
  <c r="Q53" i="24"/>
  <c r="W69" i="24"/>
  <c r="W70" i="24"/>
  <c r="W64" i="24"/>
  <c r="J32" i="13"/>
  <c r="J31" i="13"/>
  <c r="J35" i="13"/>
  <c r="V63" i="24"/>
  <c r="V65" i="24"/>
  <c r="V68" i="24"/>
  <c r="V64" i="24"/>
  <c r="V70" i="24"/>
  <c r="V66" i="24"/>
  <c r="V67" i="24"/>
  <c r="V69" i="24"/>
  <c r="X70" i="24"/>
  <c r="X69" i="24"/>
  <c r="X64" i="24"/>
  <c r="R64" i="24"/>
  <c r="P59" i="24"/>
  <c r="AB59" i="24" s="1"/>
  <c r="T59" i="24"/>
  <c r="P61" i="24"/>
  <c r="AB61" i="24" s="1"/>
  <c r="T61" i="24"/>
  <c r="S61" i="24"/>
  <c r="O61" i="24"/>
  <c r="AA61" i="24" s="1"/>
  <c r="T60" i="24"/>
  <c r="P60" i="24"/>
  <c r="AB60" i="24" s="1"/>
  <c r="U71" i="24"/>
  <c r="S58" i="24"/>
  <c r="O58" i="24"/>
  <c r="AA58" i="24" s="1"/>
  <c r="P57" i="24"/>
  <c r="AB57" i="24" s="1"/>
  <c r="T57" i="24"/>
  <c r="S60" i="24"/>
  <c r="O60" i="24"/>
  <c r="AA60" i="24" s="1"/>
  <c r="P56" i="24"/>
  <c r="AB56" i="24" s="1"/>
  <c r="T56" i="24"/>
  <c r="V71" i="24"/>
  <c r="S59" i="24"/>
  <c r="O59" i="24"/>
  <c r="AA59" i="24" s="1"/>
  <c r="T55" i="24"/>
  <c r="P55" i="24"/>
  <c r="AB55" i="24" s="1"/>
  <c r="S57" i="24"/>
  <c r="O57" i="24"/>
  <c r="AA57" i="24" s="1"/>
  <c r="S56" i="24"/>
  <c r="O56" i="24"/>
  <c r="AA56" i="24" s="1"/>
  <c r="O55" i="24"/>
  <c r="AA55" i="24" s="1"/>
  <c r="S55" i="24"/>
  <c r="F73" i="11"/>
  <c r="J73" i="11" s="1"/>
  <c r="F78" i="11"/>
  <c r="J78" i="11" s="1"/>
  <c r="G80" i="11"/>
  <c r="K80" i="11" s="1"/>
  <c r="G79" i="11"/>
  <c r="K79" i="11" s="1"/>
  <c r="F75" i="11"/>
  <c r="J75" i="11" s="1"/>
  <c r="F77" i="11"/>
  <c r="J77" i="11" s="1"/>
  <c r="G73" i="11"/>
  <c r="K73" i="11" s="1"/>
  <c r="G75" i="11"/>
  <c r="K75" i="11" s="1"/>
  <c r="G78" i="11"/>
  <c r="K78" i="11" s="1"/>
  <c r="F80" i="11"/>
  <c r="J80" i="11" s="1"/>
  <c r="F76" i="11"/>
  <c r="J76" i="11" s="1"/>
  <c r="F79" i="11"/>
  <c r="J79" i="11" s="1"/>
  <c r="G76" i="11"/>
  <c r="K76" i="11" s="1"/>
  <c r="C56" i="18" l="1"/>
  <c r="D56" i="18"/>
  <c r="D57" i="18"/>
  <c r="C57" i="18"/>
  <c r="C52" i="18"/>
  <c r="D52" i="18"/>
  <c r="D54" i="18"/>
  <c r="C54" i="18"/>
  <c r="C55" i="18"/>
  <c r="D55" i="18"/>
  <c r="E54" i="18"/>
  <c r="F54" i="18"/>
  <c r="F52" i="18"/>
  <c r="E52" i="18"/>
  <c r="F55" i="18"/>
  <c r="E55" i="18"/>
  <c r="F86" i="11" s="1"/>
  <c r="J86" i="11" s="1"/>
  <c r="F57" i="18"/>
  <c r="G88" i="11" s="1"/>
  <c r="K88" i="11" s="1"/>
  <c r="E57" i="18"/>
  <c r="F56" i="18"/>
  <c r="E56" i="18"/>
  <c r="F87" i="11" s="1"/>
  <c r="J87" i="11" s="1"/>
  <c r="I68" i="11"/>
  <c r="I69" i="11" s="1"/>
  <c r="E68" i="11"/>
  <c r="H53" i="24"/>
  <c r="P53" i="24" s="1"/>
  <c r="AB53" i="24" s="1"/>
  <c r="T58" i="24"/>
  <c r="R56" i="24"/>
  <c r="N60" i="24"/>
  <c r="Z60" i="24" s="1"/>
  <c r="R57" i="24"/>
  <c r="R58" i="24"/>
  <c r="R59" i="24"/>
  <c r="F53" i="24"/>
  <c r="N53" i="24" s="1"/>
  <c r="Z53" i="24" s="1"/>
  <c r="R55" i="24"/>
  <c r="N55" i="24"/>
  <c r="Z55" i="24" s="1"/>
  <c r="S70" i="24"/>
  <c r="O70" i="24"/>
  <c r="AA70" i="24" s="1"/>
  <c r="N61" i="24"/>
  <c r="Z61" i="24" s="1"/>
  <c r="R61" i="24"/>
  <c r="N64" i="24"/>
  <c r="Z64" i="24" s="1"/>
  <c r="P69" i="24"/>
  <c r="AB69" i="24" s="1"/>
  <c r="T69" i="24"/>
  <c r="R70" i="24"/>
  <c r="N70" i="24"/>
  <c r="Z70" i="24" s="1"/>
  <c r="S64" i="24"/>
  <c r="O64" i="24"/>
  <c r="AA64" i="24" s="1"/>
  <c r="T70" i="24"/>
  <c r="P70" i="24"/>
  <c r="AB70" i="24" s="1"/>
  <c r="T64" i="24"/>
  <c r="P64" i="24"/>
  <c r="AB64" i="24" s="1"/>
  <c r="R69" i="24"/>
  <c r="N69" i="24"/>
  <c r="Z69" i="24" s="1"/>
  <c r="S69" i="24"/>
  <c r="O69" i="24"/>
  <c r="AA69" i="24" s="1"/>
  <c r="O53" i="24"/>
  <c r="AA53" i="24" s="1"/>
  <c r="S53" i="24"/>
  <c r="J62" i="24"/>
  <c r="V62" i="24" s="1"/>
  <c r="R71" i="24"/>
  <c r="N71" i="24"/>
  <c r="Z71" i="24" s="1"/>
  <c r="I62" i="24"/>
  <c r="U62" i="24" s="1"/>
  <c r="Q71" i="24"/>
  <c r="M71" i="24"/>
  <c r="Y71" i="24" s="1"/>
  <c r="K68" i="11"/>
  <c r="K69" i="11" s="1"/>
  <c r="G68" i="11"/>
  <c r="J68" i="11"/>
  <c r="J69" i="11" s="1"/>
  <c r="F68" i="11"/>
  <c r="F69" i="11" s="1"/>
  <c r="D86" i="11" l="1"/>
  <c r="H86" i="11" s="1"/>
  <c r="E66" i="24"/>
  <c r="D83" i="11"/>
  <c r="E63" i="24"/>
  <c r="C51" i="18"/>
  <c r="C61" i="18" s="1"/>
  <c r="E85" i="11"/>
  <c r="I85" i="11" s="1"/>
  <c r="F65" i="24"/>
  <c r="E65" i="24"/>
  <c r="D85" i="11"/>
  <c r="H85" i="11" s="1"/>
  <c r="E83" i="11"/>
  <c r="D51" i="18"/>
  <c r="D61" i="18" s="1"/>
  <c r="F63" i="24"/>
  <c r="D88" i="11"/>
  <c r="H88" i="11" s="1"/>
  <c r="E68" i="24"/>
  <c r="E87" i="11"/>
  <c r="I87" i="11" s="1"/>
  <c r="F67" i="24"/>
  <c r="E86" i="11"/>
  <c r="I86" i="11" s="1"/>
  <c r="F66" i="24"/>
  <c r="E88" i="11"/>
  <c r="I88" i="11" s="1"/>
  <c r="F68" i="24"/>
  <c r="D87" i="11"/>
  <c r="H87" i="11" s="1"/>
  <c r="E67" i="24"/>
  <c r="E69" i="11"/>
  <c r="G67" i="24"/>
  <c r="K67" i="24"/>
  <c r="W67" i="24" s="1"/>
  <c r="G68" i="24"/>
  <c r="K68" i="24"/>
  <c r="W68" i="24" s="1"/>
  <c r="F88" i="11"/>
  <c r="J88" i="11" s="1"/>
  <c r="H66" i="24"/>
  <c r="L66" i="24"/>
  <c r="X66" i="24" s="1"/>
  <c r="G63" i="24"/>
  <c r="K63" i="24"/>
  <c r="W63" i="24" s="1"/>
  <c r="G66" i="24"/>
  <c r="K66" i="24"/>
  <c r="W66" i="24" s="1"/>
  <c r="H63" i="24"/>
  <c r="L63" i="24"/>
  <c r="X63" i="24" s="1"/>
  <c r="H67" i="24"/>
  <c r="L67" i="24"/>
  <c r="X67" i="24" s="1"/>
  <c r="G87" i="11"/>
  <c r="K87" i="11" s="1"/>
  <c r="G86" i="11"/>
  <c r="K86" i="11" s="1"/>
  <c r="H65" i="24"/>
  <c r="L65" i="24"/>
  <c r="X65" i="24" s="1"/>
  <c r="G85" i="11"/>
  <c r="K85" i="11" s="1"/>
  <c r="L68" i="24"/>
  <c r="X68" i="24" s="1"/>
  <c r="H68" i="24"/>
  <c r="G65" i="24"/>
  <c r="K65" i="24"/>
  <c r="W65" i="24" s="1"/>
  <c r="F85" i="11"/>
  <c r="J85" i="11" s="1"/>
  <c r="T53" i="24"/>
  <c r="R53" i="24"/>
  <c r="F51" i="18"/>
  <c r="G83" i="11"/>
  <c r="E51" i="18"/>
  <c r="F83" i="11"/>
  <c r="J52" i="24"/>
  <c r="V52" i="24" s="1"/>
  <c r="I52" i="24"/>
  <c r="U52" i="24" s="1"/>
  <c r="G69" i="11"/>
  <c r="R66" i="24" l="1"/>
  <c r="N66" i="24"/>
  <c r="Z66" i="24" s="1"/>
  <c r="Q67" i="24"/>
  <c r="M67" i="24"/>
  <c r="Y67" i="24" s="1"/>
  <c r="H83" i="11"/>
  <c r="H81" i="11" s="1"/>
  <c r="D81" i="11"/>
  <c r="R63" i="24"/>
  <c r="N63" i="24"/>
  <c r="Z63" i="24" s="1"/>
  <c r="F62" i="24"/>
  <c r="I83" i="11"/>
  <c r="I81" i="11" s="1"/>
  <c r="E81" i="11"/>
  <c r="Q68" i="24"/>
  <c r="M68" i="24"/>
  <c r="Y68" i="24" s="1"/>
  <c r="Q66" i="24"/>
  <c r="M66" i="24"/>
  <c r="Y66" i="24" s="1"/>
  <c r="R68" i="24"/>
  <c r="N68" i="24"/>
  <c r="Z68" i="24" s="1"/>
  <c r="Q65" i="24"/>
  <c r="M65" i="24"/>
  <c r="Y65" i="24" s="1"/>
  <c r="N65" i="24"/>
  <c r="Z65" i="24" s="1"/>
  <c r="R65" i="24"/>
  <c r="R67" i="24"/>
  <c r="N67" i="24"/>
  <c r="Z67" i="24" s="1"/>
  <c r="Q63" i="24"/>
  <c r="E62" i="24"/>
  <c r="M63" i="24"/>
  <c r="Y63" i="24" s="1"/>
  <c r="O67" i="24"/>
  <c r="AA67" i="24" s="1"/>
  <c r="S67" i="24"/>
  <c r="H62" i="24"/>
  <c r="T63" i="24"/>
  <c r="P63" i="24"/>
  <c r="AB63" i="24" s="1"/>
  <c r="O65" i="24"/>
  <c r="AA65" i="24" s="1"/>
  <c r="S65" i="24"/>
  <c r="P68" i="24"/>
  <c r="AB68" i="24" s="1"/>
  <c r="T68" i="24"/>
  <c r="S66" i="24"/>
  <c r="O66" i="24"/>
  <c r="AA66" i="24" s="1"/>
  <c r="G62" i="24"/>
  <c r="S63" i="24"/>
  <c r="O63" i="24"/>
  <c r="AA63" i="24" s="1"/>
  <c r="S68" i="24"/>
  <c r="O68" i="24"/>
  <c r="AA68" i="24" s="1"/>
  <c r="T67" i="24"/>
  <c r="P67" i="24"/>
  <c r="AB67" i="24" s="1"/>
  <c r="T65" i="24"/>
  <c r="P65" i="24"/>
  <c r="AB65" i="24" s="1"/>
  <c r="T66" i="24"/>
  <c r="P66" i="24"/>
  <c r="AB66" i="24" s="1"/>
  <c r="G81" i="11"/>
  <c r="K83" i="11"/>
  <c r="K81" i="11" s="1"/>
  <c r="J83" i="11"/>
  <c r="J81" i="11" s="1"/>
  <c r="F81" i="11"/>
  <c r="W71" i="24"/>
  <c r="E61" i="18"/>
  <c r="X71" i="24"/>
  <c r="F61" i="18"/>
  <c r="I21" i="24"/>
  <c r="U21" i="24" s="1"/>
  <c r="J21" i="24"/>
  <c r="D82" i="11" l="1"/>
  <c r="D66" i="11"/>
  <c r="E82" i="11"/>
  <c r="E66" i="11"/>
  <c r="I82" i="11"/>
  <c r="I66" i="11"/>
  <c r="H82" i="11"/>
  <c r="H66" i="11"/>
  <c r="R62" i="24"/>
  <c r="N62" i="24"/>
  <c r="Z62" i="24" s="1"/>
  <c r="F52" i="24"/>
  <c r="Q62" i="24"/>
  <c r="E52" i="24"/>
  <c r="M62" i="24"/>
  <c r="Y62" i="24" s="1"/>
  <c r="V21" i="24"/>
  <c r="T71" i="24"/>
  <c r="P71" i="24"/>
  <c r="AB71" i="24" s="1"/>
  <c r="L62" i="24"/>
  <c r="X62" i="24" s="1"/>
  <c r="K62" i="24"/>
  <c r="W62" i="24" s="1"/>
  <c r="O71" i="24"/>
  <c r="AA71" i="24" s="1"/>
  <c r="S71" i="24"/>
  <c r="F82" i="11"/>
  <c r="F66" i="11"/>
  <c r="J82" i="11"/>
  <c r="J66" i="11"/>
  <c r="K82" i="11"/>
  <c r="K66" i="11"/>
  <c r="G82" i="11"/>
  <c r="G66" i="11"/>
  <c r="I74" i="24"/>
  <c r="U74" i="24" s="1"/>
  <c r="J74" i="24"/>
  <c r="V74" i="24" s="1"/>
  <c r="I31" i="11" l="1"/>
  <c r="F18" i="26"/>
  <c r="F19" i="26" s="1"/>
  <c r="I67" i="11"/>
  <c r="D56" i="25"/>
  <c r="F21" i="24"/>
  <c r="N52" i="24"/>
  <c r="Z52" i="24" s="1"/>
  <c r="R52" i="24"/>
  <c r="E18" i="26"/>
  <c r="E19" i="26" s="1"/>
  <c r="C56" i="25"/>
  <c r="H31" i="11"/>
  <c r="H67" i="11"/>
  <c r="E31" i="11"/>
  <c r="E67" i="11"/>
  <c r="D31" i="11"/>
  <c r="D67" i="11"/>
  <c r="Q52" i="24"/>
  <c r="E21" i="24"/>
  <c r="M52" i="24"/>
  <c r="Y52" i="24" s="1"/>
  <c r="F56" i="25"/>
  <c r="H18" i="26"/>
  <c r="H19" i="26" s="1"/>
  <c r="E56" i="25"/>
  <c r="G18" i="26"/>
  <c r="G19" i="26" s="1"/>
  <c r="K52" i="24"/>
  <c r="W52" i="24" s="1"/>
  <c r="O62" i="24"/>
  <c r="AA62" i="24" s="1"/>
  <c r="S62" i="24"/>
  <c r="G52" i="24"/>
  <c r="G31" i="11"/>
  <c r="G67" i="11"/>
  <c r="L52" i="24"/>
  <c r="X52" i="24" s="1"/>
  <c r="K31" i="11"/>
  <c r="F39" i="25" s="1"/>
  <c r="K67" i="11"/>
  <c r="T62" i="24"/>
  <c r="P62" i="24"/>
  <c r="AB62" i="24" s="1"/>
  <c r="H52" i="24"/>
  <c r="F31" i="11"/>
  <c r="F67" i="11"/>
  <c r="J31" i="11"/>
  <c r="E39" i="25" s="1"/>
  <c r="J67" i="11"/>
  <c r="J75" i="24"/>
  <c r="V75" i="24" s="1"/>
  <c r="I75" i="24"/>
  <c r="U75" i="24" s="1"/>
  <c r="E97" i="11" l="1"/>
  <c r="E100" i="11"/>
  <c r="E33" i="11"/>
  <c r="E32" i="11"/>
  <c r="H32" i="11"/>
  <c r="H100" i="11"/>
  <c r="C39" i="25"/>
  <c r="H33" i="11"/>
  <c r="H97" i="11"/>
  <c r="D100" i="11"/>
  <c r="D32" i="11"/>
  <c r="D33" i="11"/>
  <c r="D97" i="11"/>
  <c r="Q21" i="24"/>
  <c r="M21" i="24"/>
  <c r="Y21" i="24" s="1"/>
  <c r="C76" i="25" s="1"/>
  <c r="E74" i="24"/>
  <c r="R21" i="24"/>
  <c r="F74" i="24"/>
  <c r="N21" i="24"/>
  <c r="Z21" i="24" s="1"/>
  <c r="D76" i="25" s="1"/>
  <c r="D39" i="25"/>
  <c r="I33" i="11"/>
  <c r="I97" i="11"/>
  <c r="I32" i="11"/>
  <c r="I100" i="11"/>
  <c r="F62" i="25"/>
  <c r="F41" i="25"/>
  <c r="F40" i="25" s="1"/>
  <c r="E62" i="25"/>
  <c r="E41" i="25"/>
  <c r="E40" i="25" s="1"/>
  <c r="G32" i="11"/>
  <c r="G33" i="11"/>
  <c r="G97" i="11"/>
  <c r="G100" i="11"/>
  <c r="K100" i="11"/>
  <c r="K97" i="11"/>
  <c r="K33" i="11"/>
  <c r="K32" i="11"/>
  <c r="L21" i="24"/>
  <c r="X21" i="24" s="1"/>
  <c r="J33" i="11"/>
  <c r="J32" i="11"/>
  <c r="J97" i="11"/>
  <c r="J100" i="11"/>
  <c r="F33" i="11"/>
  <c r="F32" i="11"/>
  <c r="F100" i="11"/>
  <c r="F97" i="11"/>
  <c r="S52" i="24"/>
  <c r="G21" i="24"/>
  <c r="O52" i="24"/>
  <c r="AA52" i="24" s="1"/>
  <c r="H21" i="24"/>
  <c r="T52" i="24"/>
  <c r="P52" i="24"/>
  <c r="AB52" i="24" s="1"/>
  <c r="K21" i="24"/>
  <c r="W21" i="24" s="1"/>
  <c r="D41" i="25" l="1"/>
  <c r="D40" i="25" s="1"/>
  <c r="D62" i="25"/>
  <c r="H102" i="11"/>
  <c r="H103" i="11" s="1"/>
  <c r="H101" i="11"/>
  <c r="M74" i="24"/>
  <c r="Q74" i="24"/>
  <c r="E75" i="24"/>
  <c r="D98" i="11"/>
  <c r="D99" i="11"/>
  <c r="E102" i="11"/>
  <c r="E8" i="12" s="1"/>
  <c r="E101" i="11"/>
  <c r="I99" i="11"/>
  <c r="I98" i="11"/>
  <c r="H99" i="11"/>
  <c r="H98" i="11"/>
  <c r="C62" i="25"/>
  <c r="C41" i="25"/>
  <c r="R74" i="24"/>
  <c r="F75" i="24"/>
  <c r="N74" i="24"/>
  <c r="D102" i="11"/>
  <c r="D8" i="12" s="1"/>
  <c r="D101" i="11"/>
  <c r="D78" i="25"/>
  <c r="D79" i="25" s="1"/>
  <c r="D80" i="25" s="1"/>
  <c r="D77" i="25"/>
  <c r="C77" i="25"/>
  <c r="C78" i="25"/>
  <c r="C79" i="25" s="1"/>
  <c r="C80" i="25" s="1"/>
  <c r="I101" i="11"/>
  <c r="I102" i="11"/>
  <c r="I103" i="11" s="1"/>
  <c r="E99" i="11"/>
  <c r="E98" i="11"/>
  <c r="E38" i="25"/>
  <c r="E42" i="25"/>
  <c r="E61" i="25"/>
  <c r="E57" i="25"/>
  <c r="E55" i="25"/>
  <c r="E59" i="25"/>
  <c r="E53" i="25"/>
  <c r="F38" i="25"/>
  <c r="F42" i="25"/>
  <c r="F61" i="25"/>
  <c r="F57" i="25"/>
  <c r="F59" i="25"/>
  <c r="F55" i="25"/>
  <c r="F53" i="25"/>
  <c r="L74" i="24"/>
  <c r="X74" i="24" s="1"/>
  <c r="K98" i="11"/>
  <c r="K99" i="11"/>
  <c r="H74" i="24"/>
  <c r="T21" i="24"/>
  <c r="P21" i="24"/>
  <c r="AB21" i="24" s="1"/>
  <c r="F76" i="25" s="1"/>
  <c r="G74" i="24"/>
  <c r="S21" i="24"/>
  <c r="O21" i="24"/>
  <c r="AA21" i="24" s="1"/>
  <c r="E76" i="25" s="1"/>
  <c r="F98" i="11"/>
  <c r="F99" i="11"/>
  <c r="F102" i="11"/>
  <c r="F8" i="12" s="1"/>
  <c r="F101" i="11"/>
  <c r="K102" i="11"/>
  <c r="K103" i="11" s="1"/>
  <c r="H29" i="26" s="1"/>
  <c r="H30" i="26" s="1"/>
  <c r="K101" i="11"/>
  <c r="G102" i="11"/>
  <c r="G8" i="12" s="1"/>
  <c r="G101" i="11"/>
  <c r="G98" i="11"/>
  <c r="G99" i="11"/>
  <c r="K74" i="24"/>
  <c r="W74" i="24" s="1"/>
  <c r="J101" i="11"/>
  <c r="J102" i="11"/>
  <c r="J103" i="11" s="1"/>
  <c r="G29" i="26" s="1"/>
  <c r="G30" i="26" s="1"/>
  <c r="J99" i="11"/>
  <c r="J98" i="11"/>
  <c r="C40" i="25" l="1"/>
  <c r="C38" i="25"/>
  <c r="C42" i="25"/>
  <c r="C61" i="25"/>
  <c r="C55" i="25"/>
  <c r="C53" i="25"/>
  <c r="C59" i="25"/>
  <c r="C57" i="25"/>
  <c r="M76" i="24"/>
  <c r="Y74" i="24"/>
  <c r="I8" i="12"/>
  <c r="E9" i="12"/>
  <c r="I9" i="12" s="1"/>
  <c r="E6" i="12"/>
  <c r="I6" i="12" s="1"/>
  <c r="M75" i="24"/>
  <c r="Y75" i="24" s="1"/>
  <c r="C82" i="25" s="1"/>
  <c r="C83" i="25" s="1"/>
  <c r="Q75" i="24"/>
  <c r="F29" i="26"/>
  <c r="F30" i="26" s="1"/>
  <c r="V50" i="12"/>
  <c r="V52" i="12" s="1"/>
  <c r="V53" i="12" s="1"/>
  <c r="D50" i="12"/>
  <c r="E50" i="12"/>
  <c r="I50" i="12"/>
  <c r="O50" i="12"/>
  <c r="O52" i="12" s="1"/>
  <c r="O53" i="12" s="1"/>
  <c r="D27" i="25"/>
  <c r="T50" i="12"/>
  <c r="T52" i="12" s="1"/>
  <c r="T53" i="12" s="1"/>
  <c r="N50" i="12"/>
  <c r="N52" i="12" s="1"/>
  <c r="N53" i="12" s="1"/>
  <c r="M50" i="12"/>
  <c r="M52" i="12" s="1"/>
  <c r="M53" i="12" s="1"/>
  <c r="H50" i="12"/>
  <c r="P50" i="12"/>
  <c r="P52" i="12" s="1"/>
  <c r="P53" i="12" s="1"/>
  <c r="G50" i="12"/>
  <c r="S50" i="12"/>
  <c r="S52" i="12" s="1"/>
  <c r="S53" i="12" s="1"/>
  <c r="I104" i="11"/>
  <c r="D28" i="25" s="1"/>
  <c r="J50" i="12"/>
  <c r="L50" i="12"/>
  <c r="L52" i="12" s="1"/>
  <c r="L53" i="12" s="1"/>
  <c r="Q50" i="12"/>
  <c r="Q52" i="12" s="1"/>
  <c r="Q53" i="12" s="1"/>
  <c r="F50" i="12"/>
  <c r="K50" i="12"/>
  <c r="U50" i="12"/>
  <c r="U52" i="12" s="1"/>
  <c r="U53" i="12" s="1"/>
  <c r="R50" i="12"/>
  <c r="R52" i="12" s="1"/>
  <c r="R53" i="12" s="1"/>
  <c r="I105" i="11"/>
  <c r="W50" i="12"/>
  <c r="W52" i="12" s="1"/>
  <c r="W53" i="12" s="1"/>
  <c r="G39" i="12"/>
  <c r="J39" i="12"/>
  <c r="P39" i="12"/>
  <c r="P41" i="12" s="1"/>
  <c r="P42" i="12" s="1"/>
  <c r="D39" i="12"/>
  <c r="E29" i="26"/>
  <c r="E30" i="26" s="1"/>
  <c r="T39" i="12"/>
  <c r="T41" i="12" s="1"/>
  <c r="T42" i="12" s="1"/>
  <c r="U39" i="12"/>
  <c r="U41" i="12" s="1"/>
  <c r="U42" i="12" s="1"/>
  <c r="V39" i="12"/>
  <c r="V41" i="12" s="1"/>
  <c r="V42" i="12" s="1"/>
  <c r="H39" i="12"/>
  <c r="W39" i="12"/>
  <c r="W41" i="12" s="1"/>
  <c r="W42" i="12" s="1"/>
  <c r="F39" i="12"/>
  <c r="Q39" i="12"/>
  <c r="Q41" i="12" s="1"/>
  <c r="Q42" i="12" s="1"/>
  <c r="E39" i="12"/>
  <c r="H104" i="11"/>
  <c r="C28" i="25" s="1"/>
  <c r="L39" i="12"/>
  <c r="L41" i="12" s="1"/>
  <c r="L42" i="12" s="1"/>
  <c r="N39" i="12"/>
  <c r="N41" i="12" s="1"/>
  <c r="N42" i="12" s="1"/>
  <c r="R39" i="12"/>
  <c r="R41" i="12" s="1"/>
  <c r="R42" i="12" s="1"/>
  <c r="C27" i="25"/>
  <c r="S39" i="12"/>
  <c r="S41" i="12" s="1"/>
  <c r="S42" i="12" s="1"/>
  <c r="M39" i="12"/>
  <c r="M41" i="12" s="1"/>
  <c r="M42" i="12" s="1"/>
  <c r="H105" i="11"/>
  <c r="I39" i="12"/>
  <c r="K39" i="12"/>
  <c r="O39" i="12"/>
  <c r="O41" i="12" s="1"/>
  <c r="O42" i="12" s="1"/>
  <c r="H8" i="12"/>
  <c r="D9" i="12"/>
  <c r="H9" i="12" s="1"/>
  <c r="D6" i="12"/>
  <c r="H6" i="12" s="1"/>
  <c r="N76" i="24"/>
  <c r="Z74" i="24"/>
  <c r="R75" i="24"/>
  <c r="N75" i="24"/>
  <c r="Z75" i="24" s="1"/>
  <c r="D82" i="25" s="1"/>
  <c r="D83" i="25" s="1"/>
  <c r="D59" i="25"/>
  <c r="D55" i="25"/>
  <c r="D61" i="25"/>
  <c r="D53" i="25"/>
  <c r="D57" i="25"/>
  <c r="D103" i="11"/>
  <c r="E103" i="11"/>
  <c r="D38" i="25"/>
  <c r="D42" i="25"/>
  <c r="T72" i="12"/>
  <c r="T74" i="12" s="1"/>
  <c r="T75" i="12" s="1"/>
  <c r="U72" i="12"/>
  <c r="U74" i="12" s="1"/>
  <c r="U75" i="12" s="1"/>
  <c r="V72" i="12"/>
  <c r="V74" i="12" s="1"/>
  <c r="V75" i="12" s="1"/>
  <c r="O72" i="12"/>
  <c r="O74" i="12" s="1"/>
  <c r="O75" i="12" s="1"/>
  <c r="R72" i="12"/>
  <c r="R74" i="12" s="1"/>
  <c r="R75" i="12" s="1"/>
  <c r="W72" i="12"/>
  <c r="W74" i="12" s="1"/>
  <c r="W75" i="12" s="1"/>
  <c r="Q72" i="12"/>
  <c r="Q74" i="12" s="1"/>
  <c r="Q75" i="12" s="1"/>
  <c r="S72" i="12"/>
  <c r="S74" i="12" s="1"/>
  <c r="S75" i="12" s="1"/>
  <c r="M72" i="12"/>
  <c r="M74" i="12" s="1"/>
  <c r="M75" i="12" s="1"/>
  <c r="N72" i="12"/>
  <c r="N74" i="12" s="1"/>
  <c r="N75" i="12" s="1"/>
  <c r="P72" i="12"/>
  <c r="P74" i="12" s="1"/>
  <c r="P75" i="12" s="1"/>
  <c r="L72" i="12"/>
  <c r="L74" i="12" s="1"/>
  <c r="L75" i="12" s="1"/>
  <c r="N61" i="12"/>
  <c r="N63" i="12" s="1"/>
  <c r="N64" i="12" s="1"/>
  <c r="O61" i="12"/>
  <c r="O63" i="12" s="1"/>
  <c r="O64" i="12" s="1"/>
  <c r="W61" i="12"/>
  <c r="W63" i="12" s="1"/>
  <c r="W64" i="12" s="1"/>
  <c r="L61" i="12"/>
  <c r="L63" i="12" s="1"/>
  <c r="L64" i="12" s="1"/>
  <c r="P61" i="12"/>
  <c r="P63" i="12" s="1"/>
  <c r="P64" i="12" s="1"/>
  <c r="U61" i="12"/>
  <c r="U63" i="12" s="1"/>
  <c r="U64" i="12" s="1"/>
  <c r="V61" i="12"/>
  <c r="V63" i="12" s="1"/>
  <c r="V64" i="12" s="1"/>
  <c r="M61" i="12"/>
  <c r="M63" i="12" s="1"/>
  <c r="M64" i="12" s="1"/>
  <c r="T61" i="12"/>
  <c r="T63" i="12" s="1"/>
  <c r="T64" i="12" s="1"/>
  <c r="Q61" i="12"/>
  <c r="Q63" i="12" s="1"/>
  <c r="Q64" i="12" s="1"/>
  <c r="R61" i="12"/>
  <c r="R63" i="12" s="1"/>
  <c r="R64" i="12" s="1"/>
  <c r="S61" i="12"/>
  <c r="S63" i="12" s="1"/>
  <c r="S64" i="12" s="1"/>
  <c r="J72" i="12"/>
  <c r="I72" i="12"/>
  <c r="H72" i="12"/>
  <c r="G72" i="12"/>
  <c r="F72" i="12"/>
  <c r="E72" i="12"/>
  <c r="D72" i="12"/>
  <c r="K72" i="12"/>
  <c r="E27" i="25"/>
  <c r="F61" i="12"/>
  <c r="G61" i="12"/>
  <c r="H61" i="12"/>
  <c r="I61" i="12"/>
  <c r="J61" i="12"/>
  <c r="K61" i="12"/>
  <c r="E61" i="12"/>
  <c r="F27" i="25"/>
  <c r="F77" i="25"/>
  <c r="F78" i="25"/>
  <c r="F79" i="25" s="1"/>
  <c r="F80" i="25" s="1"/>
  <c r="E77" i="25"/>
  <c r="E78" i="25"/>
  <c r="E79" i="25" s="1"/>
  <c r="E80" i="25" s="1"/>
  <c r="G103" i="11"/>
  <c r="G105" i="11" s="1"/>
  <c r="G106" i="11" s="1"/>
  <c r="F103" i="11"/>
  <c r="F105" i="11" s="1"/>
  <c r="F106" i="11" s="1"/>
  <c r="K105" i="11"/>
  <c r="H25" i="26" s="1"/>
  <c r="H26" i="26" s="1"/>
  <c r="K104" i="11"/>
  <c r="F28" i="25" s="1"/>
  <c r="J8" i="12"/>
  <c r="F6" i="12"/>
  <c r="J6" i="12" s="1"/>
  <c r="F9" i="12"/>
  <c r="J9" i="12" s="1"/>
  <c r="O74" i="24"/>
  <c r="O76" i="24" s="1"/>
  <c r="G75" i="24"/>
  <c r="S74" i="24"/>
  <c r="K8" i="12"/>
  <c r="G9" i="12"/>
  <c r="K9" i="12" s="1"/>
  <c r="G6" i="12"/>
  <c r="K6" i="12" s="1"/>
  <c r="H75" i="24"/>
  <c r="P74" i="24"/>
  <c r="P76" i="24" s="1"/>
  <c r="T74" i="24"/>
  <c r="D61" i="12"/>
  <c r="J105" i="11"/>
  <c r="G25" i="26" s="1"/>
  <c r="G26" i="26" s="1"/>
  <c r="J104" i="11"/>
  <c r="E28" i="25" s="1"/>
  <c r="L75" i="24"/>
  <c r="K75" i="24"/>
  <c r="W75" i="24" s="1"/>
  <c r="F52" i="12" l="1"/>
  <c r="F18" i="12"/>
  <c r="I18" i="12"/>
  <c r="I52" i="12"/>
  <c r="E52" i="12"/>
  <c r="E18" i="12"/>
  <c r="D52" i="12"/>
  <c r="D18" i="12"/>
  <c r="H41" i="12"/>
  <c r="H14" i="12"/>
  <c r="G52" i="12"/>
  <c r="G18" i="12"/>
  <c r="E25" i="26"/>
  <c r="E26" i="26" s="1"/>
  <c r="H106" i="11"/>
  <c r="C30" i="25" s="1"/>
  <c r="C29" i="25"/>
  <c r="K52" i="12"/>
  <c r="K18" i="12"/>
  <c r="J52" i="12"/>
  <c r="J18" i="12"/>
  <c r="D41" i="12"/>
  <c r="D14" i="12"/>
  <c r="E104" i="11"/>
  <c r="E105" i="11"/>
  <c r="E106" i="11" s="1"/>
  <c r="J41" i="12"/>
  <c r="J14" i="12"/>
  <c r="D105" i="11"/>
  <c r="D106" i="11" s="1"/>
  <c r="D104" i="11"/>
  <c r="E14" i="12"/>
  <c r="E41" i="12"/>
  <c r="G14" i="12"/>
  <c r="G41" i="12"/>
  <c r="K41" i="12"/>
  <c r="K14" i="12"/>
  <c r="F14" i="12"/>
  <c r="F41" i="12"/>
  <c r="F25" i="26"/>
  <c r="F26" i="26" s="1"/>
  <c r="I106" i="11"/>
  <c r="D30" i="25" s="1"/>
  <c r="D29" i="25"/>
  <c r="H52" i="12"/>
  <c r="H18" i="12"/>
  <c r="I41" i="12"/>
  <c r="I14" i="12"/>
  <c r="J106" i="11"/>
  <c r="E30" i="25" s="1"/>
  <c r="E29" i="25"/>
  <c r="K106" i="11"/>
  <c r="F30" i="25" s="1"/>
  <c r="F29" i="25"/>
  <c r="X75" i="24"/>
  <c r="AB74" i="24"/>
  <c r="AC66" i="24" s="1"/>
  <c r="AA74" i="24"/>
  <c r="I63" i="12"/>
  <c r="I22" i="12"/>
  <c r="E74" i="12"/>
  <c r="E26" i="12"/>
  <c r="E63" i="12"/>
  <c r="E22" i="12"/>
  <c r="H74" i="12"/>
  <c r="H26" i="12"/>
  <c r="G63" i="12"/>
  <c r="G22" i="12"/>
  <c r="F74" i="12"/>
  <c r="F26" i="12"/>
  <c r="J63" i="12"/>
  <c r="J22" i="12"/>
  <c r="K63" i="12"/>
  <c r="K22" i="12"/>
  <c r="J74" i="12"/>
  <c r="J26" i="12"/>
  <c r="K74" i="12"/>
  <c r="K26" i="12"/>
  <c r="D63" i="12"/>
  <c r="D22" i="12"/>
  <c r="F63" i="12"/>
  <c r="F22" i="12"/>
  <c r="D74" i="12"/>
  <c r="D26" i="12"/>
  <c r="H63" i="12"/>
  <c r="H22" i="12"/>
  <c r="G74" i="12"/>
  <c r="G26" i="12"/>
  <c r="I74" i="12"/>
  <c r="I26" i="12"/>
  <c r="G104" i="11"/>
  <c r="F104" i="11"/>
  <c r="P75" i="24"/>
  <c r="AB75" i="24" s="1"/>
  <c r="F82" i="25" s="1"/>
  <c r="F83" i="25" s="1"/>
  <c r="T75" i="24"/>
  <c r="S75" i="24"/>
  <c r="O75" i="24"/>
  <c r="AA75" i="24" s="1"/>
  <c r="E82" i="25" s="1"/>
  <c r="E83" i="25" s="1"/>
  <c r="D20" i="12" l="1"/>
  <c r="D53" i="12"/>
  <c r="D54" i="12" s="1"/>
  <c r="C56" i="12"/>
  <c r="D33" i="12" s="1"/>
  <c r="J20" i="12"/>
  <c r="J53" i="12"/>
  <c r="J42" i="12"/>
  <c r="J16" i="12"/>
  <c r="F42" i="12"/>
  <c r="F16" i="12"/>
  <c r="G53" i="12"/>
  <c r="G20" i="12"/>
  <c r="K42" i="12"/>
  <c r="K16" i="12"/>
  <c r="G42" i="12"/>
  <c r="G16" i="12"/>
  <c r="E42" i="12"/>
  <c r="E16" i="12"/>
  <c r="E53" i="12"/>
  <c r="E20" i="12"/>
  <c r="C55" i="12"/>
  <c r="D32" i="12" s="1"/>
  <c r="I20" i="12"/>
  <c r="I53" i="12"/>
  <c r="H53" i="12"/>
  <c r="H20" i="12"/>
  <c r="K53" i="12"/>
  <c r="K20" i="12"/>
  <c r="H42" i="12"/>
  <c r="H16" i="12"/>
  <c r="C45" i="12"/>
  <c r="C33" i="12" s="1"/>
  <c r="C44" i="12"/>
  <c r="C32" i="12" s="1"/>
  <c r="D42" i="12"/>
  <c r="D43" i="12" s="1"/>
  <c r="D16" i="12"/>
  <c r="I42" i="12"/>
  <c r="I16" i="12"/>
  <c r="F53" i="12"/>
  <c r="F20" i="12"/>
  <c r="C77" i="12"/>
  <c r="F32" i="12" s="1"/>
  <c r="C78" i="12"/>
  <c r="F33" i="12" s="1"/>
  <c r="D24" i="12"/>
  <c r="C66" i="12"/>
  <c r="E32" i="12" s="1"/>
  <c r="C67" i="12"/>
  <c r="E33" i="12" s="1"/>
  <c r="D28" i="12"/>
  <c r="AC44" i="24"/>
  <c r="AC72" i="24"/>
  <c r="AC45" i="24"/>
  <c r="AC17" i="24"/>
  <c r="AC25" i="24"/>
  <c r="AC39" i="24"/>
  <c r="AC63" i="24"/>
  <c r="AC28" i="24"/>
  <c r="AC74" i="24"/>
  <c r="AC33" i="24"/>
  <c r="AC32" i="24"/>
  <c r="AC70" i="24"/>
  <c r="AC20" i="24"/>
  <c r="AC41" i="24"/>
  <c r="AC56" i="24"/>
  <c r="AC43" i="24"/>
  <c r="AC34" i="24"/>
  <c r="AC49" i="24"/>
  <c r="AC59" i="24"/>
  <c r="AC48" i="24"/>
  <c r="AC8" i="24"/>
  <c r="AC24" i="24"/>
  <c r="AC26" i="24"/>
  <c r="AC22" i="24"/>
  <c r="AC19" i="24"/>
  <c r="AC51" i="24"/>
  <c r="AC71" i="24"/>
  <c r="AC73" i="24"/>
  <c r="AC7" i="24"/>
  <c r="AC13" i="24"/>
  <c r="AC64" i="24"/>
  <c r="AC31" i="24"/>
  <c r="AC40" i="24"/>
  <c r="AC50" i="24"/>
  <c r="AC57" i="24"/>
  <c r="AC37" i="24"/>
  <c r="AC58" i="24"/>
  <c r="AC36" i="24"/>
  <c r="AC69" i="24"/>
  <c r="AC16" i="24"/>
  <c r="AC52" i="24"/>
  <c r="AC46" i="24"/>
  <c r="AC11" i="24"/>
  <c r="AC6" i="24"/>
  <c r="AC47" i="24"/>
  <c r="AC29" i="24"/>
  <c r="AC55" i="24"/>
  <c r="AC10" i="24"/>
  <c r="AC14" i="24"/>
  <c r="AC53" i="24"/>
  <c r="AC12" i="24"/>
  <c r="AC68" i="24"/>
  <c r="AC9" i="24"/>
  <c r="AC61" i="24"/>
  <c r="AC60" i="24"/>
  <c r="AC27" i="24"/>
  <c r="AC67" i="24"/>
  <c r="AC18" i="24"/>
  <c r="AC42" i="24"/>
  <c r="AC30" i="24"/>
  <c r="AC15" i="24"/>
  <c r="AC23" i="24"/>
  <c r="AC35" i="24"/>
  <c r="AC21" i="24"/>
  <c r="AC75" i="24"/>
  <c r="AC62" i="24"/>
  <c r="AC54" i="24"/>
  <c r="AC65" i="24"/>
  <c r="AC38" i="24"/>
  <c r="D64" i="12"/>
  <c r="D65" i="12" s="1"/>
  <c r="D75" i="12"/>
  <c r="D76" i="12" s="1"/>
  <c r="F64" i="12"/>
  <c r="F24" i="12"/>
  <c r="K75" i="12"/>
  <c r="K28" i="12"/>
  <c r="F75" i="12"/>
  <c r="F28" i="12"/>
  <c r="G64" i="12"/>
  <c r="G24" i="12"/>
  <c r="H75" i="12"/>
  <c r="H28" i="12"/>
  <c r="G75" i="12"/>
  <c r="G28" i="12"/>
  <c r="J75" i="12"/>
  <c r="J28" i="12"/>
  <c r="E64" i="12"/>
  <c r="E24" i="12"/>
  <c r="H64" i="12"/>
  <c r="H24" i="12"/>
  <c r="K64" i="12"/>
  <c r="K24" i="12"/>
  <c r="E75" i="12"/>
  <c r="E28" i="12"/>
  <c r="I75" i="12"/>
  <c r="I28" i="12"/>
  <c r="J64" i="12"/>
  <c r="J24" i="12"/>
  <c r="I64" i="12"/>
  <c r="I24" i="12"/>
  <c r="E43" i="12" l="1"/>
  <c r="F43" i="12" s="1"/>
  <c r="G43" i="12" s="1"/>
  <c r="H43" i="12" s="1"/>
  <c r="I43" i="12" s="1"/>
  <c r="J43" i="12" s="1"/>
  <c r="K43" i="12" s="1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C46" i="12" s="1" a="1"/>
  <c r="C46" i="12" s="1"/>
  <c r="C34" i="12" s="1"/>
  <c r="C102" i="25"/>
  <c r="E13" i="26"/>
  <c r="D102" i="25"/>
  <c r="F13" i="26"/>
  <c r="D103" i="25"/>
  <c r="F14" i="26"/>
  <c r="C103" i="25"/>
  <c r="E14" i="26"/>
  <c r="E54" i="12"/>
  <c r="F54" i="12" s="1"/>
  <c r="G54" i="12" s="1"/>
  <c r="H54" i="12" s="1"/>
  <c r="I54" i="12" s="1"/>
  <c r="J54" i="12" s="1"/>
  <c r="K54" i="12" s="1"/>
  <c r="L54" i="12" s="1"/>
  <c r="M54" i="12" s="1"/>
  <c r="N54" i="12" s="1"/>
  <c r="O54" i="12" s="1"/>
  <c r="P54" i="12" s="1"/>
  <c r="Q54" i="12" s="1"/>
  <c r="R54" i="12" s="1"/>
  <c r="E103" i="25"/>
  <c r="G14" i="26"/>
  <c r="E102" i="25"/>
  <c r="G13" i="26"/>
  <c r="F103" i="25"/>
  <c r="H14" i="26"/>
  <c r="F102" i="25"/>
  <c r="H13" i="26"/>
  <c r="E76" i="12"/>
  <c r="F76" i="12" s="1"/>
  <c r="G76" i="12" s="1"/>
  <c r="E65" i="12"/>
  <c r="F65" i="12" s="1"/>
  <c r="G65" i="12" s="1"/>
  <c r="H65" i="12" s="1"/>
  <c r="I65" i="12" s="1"/>
  <c r="J65" i="12" s="1"/>
  <c r="K65" i="12" s="1"/>
  <c r="L65" i="12" s="1"/>
  <c r="M65" i="12" s="1"/>
  <c r="N65" i="12" s="1"/>
  <c r="O65" i="12" s="1"/>
  <c r="P65" i="12" s="1"/>
  <c r="Q65" i="12" s="1"/>
  <c r="R65" i="12" s="1"/>
  <c r="S65" i="12" s="1"/>
  <c r="T65" i="12" s="1"/>
  <c r="U65" i="12" s="1"/>
  <c r="V65" i="12" s="1"/>
  <c r="W65" i="12" s="1"/>
  <c r="C104" i="25" l="1"/>
  <c r="C105" i="25" s="1"/>
  <c r="E15" i="26"/>
  <c r="S54" i="12"/>
  <c r="T54" i="12" s="1"/>
  <c r="U54" i="12" s="1"/>
  <c r="V54" i="12" s="1"/>
  <c r="W54" i="12" s="1"/>
  <c r="C57" i="12" s="1" a="1"/>
  <c r="C57" i="12" s="1"/>
  <c r="D34" i="12" s="1"/>
  <c r="C68" i="12" a="1"/>
  <c r="C68" i="12" s="1"/>
  <c r="E34" i="12" s="1"/>
  <c r="E104" i="25" l="1"/>
  <c r="E105" i="25" s="1"/>
  <c r="G15" i="26"/>
  <c r="D104" i="25"/>
  <c r="D105" i="25" s="1"/>
  <c r="F15" i="26"/>
  <c r="H76" i="12"/>
  <c r="I76" i="12" l="1"/>
  <c r="J76" i="12" s="1"/>
  <c r="K76" i="12" s="1"/>
  <c r="L76" i="12" s="1"/>
  <c r="M76" i="12" s="1"/>
  <c r="N76" i="12" s="1"/>
  <c r="O76" i="12" s="1"/>
  <c r="P76" i="12" s="1"/>
  <c r="Q76" i="12" s="1"/>
  <c r="R76" i="12" s="1"/>
  <c r="S76" i="12" s="1"/>
  <c r="T76" i="12" s="1"/>
  <c r="U76" i="12" s="1"/>
  <c r="V76" i="12" s="1"/>
  <c r="W76" i="12" s="1"/>
  <c r="C79" i="12" l="1" a="1"/>
  <c r="C79" i="12" s="1"/>
  <c r="F34" i="12" s="1"/>
  <c r="F104" i="25" l="1"/>
  <c r="F105" i="25" s="1"/>
  <c r="H15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<sst xmlns="http://schemas.openxmlformats.org/spreadsheetml/2006/main" count="1813" uniqueCount="832">
  <si>
    <t>Thu mua</t>
  </si>
  <si>
    <t>Vận chuyển NL về NM</t>
  </si>
  <si>
    <t>Nhập hàng và tồn kho NL</t>
  </si>
  <si>
    <t>Băm vảy</t>
  </si>
  <si>
    <t>Tồn kho TP</t>
  </si>
  <si>
    <t>Xuất NL, phá kiện</t>
  </si>
  <si>
    <t>Phân loại chai trước tách nhãn</t>
  </si>
  <si>
    <t>Tách nhãn</t>
  </si>
  <si>
    <t>Phân loại chai sau tách nhãn</t>
  </si>
  <si>
    <t>Ép kiện</t>
  </si>
  <si>
    <t>Rửa vảy</t>
  </si>
  <si>
    <t>Xuất bán, vận chyển</t>
  </si>
  <si>
    <t>STT</t>
  </si>
  <si>
    <t>Công đoạn SX</t>
  </si>
  <si>
    <t>ĐVT: Người</t>
  </si>
  <si>
    <t>Phòng ban</t>
  </si>
  <si>
    <t>Tài khoản</t>
  </si>
  <si>
    <t>Ban giám đốc</t>
  </si>
  <si>
    <t>Giám đốc Trạm</t>
  </si>
  <si>
    <t xml:space="preserve">Người đại diện pháp luật </t>
  </si>
  <si>
    <t>Phòng Hành chánh nhân sự</t>
  </si>
  <si>
    <t>Trưởng phòng nhân sự</t>
  </si>
  <si>
    <t>Nhân viên hành chính</t>
  </si>
  <si>
    <t>Nhân viên nhân sự</t>
  </si>
  <si>
    <t>Nhân viên tạp vụ</t>
  </si>
  <si>
    <t>Phòng Kế toán</t>
  </si>
  <si>
    <t>Kế toán trưởng</t>
  </si>
  <si>
    <t>Kế toán tổng hợp</t>
  </si>
  <si>
    <t>Kế toán viên</t>
  </si>
  <si>
    <t>Phòng Mua hàng (Bao gồm NVL + Vật tư)</t>
  </si>
  <si>
    <t>Nhân viên mua hàng (ngoại trừ mua chai)</t>
  </si>
  <si>
    <t>Phòng Quản Trị Hệ Thống</t>
  </si>
  <si>
    <t>Phòng 5S &amp; an toàn</t>
  </si>
  <si>
    <t xml:space="preserve">Nhân viên 5S &amp; an toàn </t>
  </si>
  <si>
    <t>Phòng Cung ứng</t>
  </si>
  <si>
    <t>Nhân viên mua hàng/ nhận hàng</t>
  </si>
  <si>
    <t>Phòng Kiểm soát chất lượng</t>
  </si>
  <si>
    <t>Kiểm soát chất lượng NVL nhập - 1 ca hành chánh</t>
  </si>
  <si>
    <t>Phòng Kỹ thuật</t>
  </si>
  <si>
    <t>Phòng Sản xuất</t>
  </si>
  <si>
    <t>Bộ phận quản lý sản xuất</t>
  </si>
  <si>
    <t>627</t>
  </si>
  <si>
    <t>Quản lý sản xuất</t>
  </si>
  <si>
    <t>Công nhân trực tiếp sản xuất</t>
  </si>
  <si>
    <t>622</t>
  </si>
  <si>
    <t>Phòng Kho vận (NVL+TP)</t>
  </si>
  <si>
    <t>Trong đó:</t>
  </si>
  <si>
    <t>Nhân viên sản xuất trực tiếp:</t>
  </si>
  <si>
    <t>Nhân viên sản xuất gián tiếp:</t>
  </si>
  <si>
    <t>Nhân viên quản lý</t>
  </si>
  <si>
    <t>642</t>
  </si>
  <si>
    <t>Ghi chú</t>
  </si>
  <si>
    <t>Kiêm người ĐDPL</t>
  </si>
  <si>
    <t>ĐVT</t>
  </si>
  <si>
    <t>Đơn giá</t>
  </si>
  <si>
    <t>Tên MMTB sử dụng điện</t>
  </si>
  <si>
    <t>Số điện sử dụng kwh/ giờ</t>
  </si>
  <si>
    <t>Số điện sử dụng kwh/ 1 kg TP</t>
  </si>
  <si>
    <t>Máy nén khí phân loại 80%</t>
  </si>
  <si>
    <t>Bộ</t>
  </si>
  <si>
    <t>Tách nhãn BRT</t>
  </si>
  <si>
    <t>Hệ thống máy Sort + TB phụ</t>
  </si>
  <si>
    <t xml:space="preserve">2 Chuyền phân loại chai </t>
  </si>
  <si>
    <t>Định mức thiết kế HT AI</t>
  </si>
  <si>
    <t>Nội dung</t>
  </si>
  <si>
    <t>Đơn vị tính</t>
  </si>
  <si>
    <t xml:space="preserve">Số lượng </t>
  </si>
  <si>
    <t xml:space="preserve">Đơn giá </t>
  </si>
  <si>
    <t>Sản lượng SX / 1 lưỡi dao (Tấn/1 lưỡi dao)</t>
  </si>
  <si>
    <t xml:space="preserve">Tổng CP </t>
  </si>
  <si>
    <t>Đồng/kg</t>
  </si>
  <si>
    <t>Máy nén khí phân loại 20%</t>
  </si>
  <si>
    <t>Dao băm động - chiều dài 60cm</t>
  </si>
  <si>
    <t xml:space="preserve">Cái </t>
  </si>
  <si>
    <t>Hệ thống băm thô</t>
  </si>
  <si>
    <t>Dao băm tĩnh - chiều dài 120cm</t>
  </si>
  <si>
    <t>Thiết bị phụ trợ: Bơm nước, HT li tâm</t>
  </si>
  <si>
    <t>Bu long M20x110</t>
  </si>
  <si>
    <t xml:space="preserve">Con </t>
  </si>
  <si>
    <t>Máy phá kiện</t>
  </si>
  <si>
    <t>Bu long M20x70</t>
  </si>
  <si>
    <t>m3/h</t>
  </si>
  <si>
    <t>Định mức thiết kế</t>
  </si>
  <si>
    <t>Đá mài dao</t>
  </si>
  <si>
    <t>Viên</t>
  </si>
  <si>
    <t>Tổng cộng</t>
  </si>
  <si>
    <t>Chi phí dây đai</t>
  </si>
  <si>
    <t>Chi phí điện sản xuất</t>
  </si>
  <si>
    <t>Chi phí điện quản lý</t>
  </si>
  <si>
    <t>Chi phí nước sinh hoạt</t>
  </si>
  <si>
    <t>Chi phí xăng, dầu xe nâng</t>
  </si>
  <si>
    <t>Chi phí xử lý nước thải</t>
  </si>
  <si>
    <t>Chi phí xử lý bùn thải</t>
  </si>
  <si>
    <t>Chi phí công cụ dụng cụ phục vụ quản lý</t>
  </si>
  <si>
    <t>Chi phí bản quyền (licences)</t>
  </si>
  <si>
    <t>Chi phí công tác</t>
  </si>
  <si>
    <t>Chi phí dịch vụ bảo vệ</t>
  </si>
  <si>
    <t>Chi phí in ấn, vật tư, VPP</t>
  </si>
  <si>
    <t>Chi phí thuê máy photo, máy in</t>
  </si>
  <si>
    <t>Chi phí mực in, mực photo</t>
  </si>
  <si>
    <t>Chi phí công chứng, sao y, thuế khác</t>
  </si>
  <si>
    <t>Chi phí vật dụng quản lý khác</t>
  </si>
  <si>
    <t>Thuế, phí, lệ phí, bồi thường, nộp phạt, khếu nại khách hàng</t>
  </si>
  <si>
    <t>Thuế, phí, lệ phí</t>
  </si>
  <si>
    <t>Thuế môn bài</t>
  </si>
  <si>
    <t>Thuế, phí, lệ phí khác</t>
  </si>
  <si>
    <t>Chi phí bảo hiểm tài sản</t>
  </si>
  <si>
    <t>Chi phí ủng hộ, hỗ trợ, tài trợ</t>
  </si>
  <si>
    <t>Chi phí tiếp khách</t>
  </si>
  <si>
    <t>Chi phí quà tặng khách</t>
  </si>
  <si>
    <t>Chi phí bồi dưỡng</t>
  </si>
  <si>
    <t>Chi phí internet, điện thoại, bưu phẩm</t>
  </si>
  <si>
    <t>Chi phí internet</t>
  </si>
  <si>
    <t>Chi phí điện thoại bàn</t>
  </si>
  <si>
    <t>Chi phí bưu phẩm</t>
  </si>
  <si>
    <t>Chi phí hành chánh văn phòng</t>
  </si>
  <si>
    <t>Chi phí nước uống</t>
  </si>
  <si>
    <t>Chi phí cà phê, bánh phòng họp</t>
  </si>
  <si>
    <t>Chi phí trang trí văn phòng</t>
  </si>
  <si>
    <t>Chi phí 5S, an toàn lao động, PCCC</t>
  </si>
  <si>
    <t>Chi phí rác thải sinh hoạt, rác y tế</t>
  </si>
  <si>
    <t>Chi phí kiểm soát côn trùng</t>
  </si>
  <si>
    <t>Chi phí vật tư quản lý</t>
  </si>
  <si>
    <t>Chi phí hành chánh văn phòng khác</t>
  </si>
  <si>
    <t>Chi phí khác</t>
  </si>
  <si>
    <t>Chi phí lương chính - Trực tiếp</t>
  </si>
  <si>
    <t>Chi phí lương chính - Gián tiếp</t>
  </si>
  <si>
    <t>Chi phí lương T13, Phép năm - Trực tiếp</t>
  </si>
  <si>
    <t>Chi phí lương T13, Phép năm - Gián tiếp</t>
  </si>
  <si>
    <t>Chi phí lương ngoài giờ</t>
  </si>
  <si>
    <t>Chi phí lương ngoài giờ - Trực tiếp</t>
  </si>
  <si>
    <t>Chi phí lương ngoài giờ - Gián tiếp</t>
  </si>
  <si>
    <t>Chi phí lương Ca đêm</t>
  </si>
  <si>
    <t>Chi phí phụ cấp theo bảng lương</t>
  </si>
  <si>
    <t>Chi phí khen thưởng theo bảng lương</t>
  </si>
  <si>
    <t>Chi phí bảo hiểm theo lương (BHXH, BHYT, KPCĐ, BHTN)</t>
  </si>
  <si>
    <t>Chi phí thuế TNCN</t>
  </si>
  <si>
    <t>Phúc lợi nhân viên</t>
  </si>
  <si>
    <t>Chi phí y tế, khám sức khỏe, bảo hiểm sức khỏe</t>
  </si>
  <si>
    <t>Chi phí khen thưởng ngoài lương</t>
  </si>
  <si>
    <t>Chi phí suất ăn, tiền ăn giữa ca</t>
  </si>
  <si>
    <t>Chi phí đồng phục, đồ bảo hộ lao động</t>
  </si>
  <si>
    <t>Chi phí đồ bảo hộ lao động</t>
  </si>
  <si>
    <t>Chi phí tiệc tất niên, tổng kết</t>
  </si>
  <si>
    <t>Chi phí teambuilding</t>
  </si>
  <si>
    <t>Chi phí thuê xe đưa rước nhân viên</t>
  </si>
  <si>
    <t>Chi phí tuyển dụng</t>
  </si>
  <si>
    <t>Chi phí đào tạo</t>
  </si>
  <si>
    <t>Chi phí phúc lợi nhân viên khác</t>
  </si>
  <si>
    <t>Chi phí phụ cấp điện thoại di động</t>
  </si>
  <si>
    <t>Chi phí gởi xe du lịch, xe gắn máy</t>
  </si>
  <si>
    <t>Chi phí hiếu hỷ, phúc lợi khác</t>
  </si>
  <si>
    <t>Chi phí tài chính</t>
  </si>
  <si>
    <t>Chi phí lãi vay</t>
  </si>
  <si>
    <t>Chi phí ngân hàng</t>
  </si>
  <si>
    <t>Km</t>
  </si>
  <si>
    <t>Tổng chi phí</t>
  </si>
  <si>
    <t>Khoản mục phí</t>
  </si>
  <si>
    <t>Chi phí vận chuyển chai</t>
  </si>
  <si>
    <t>Chi phí vận chuyển vảy</t>
  </si>
  <si>
    <t>Xe trọng tải 10 tấn, chở được 8 tấn chai</t>
  </si>
  <si>
    <t>Mục phí cấp 1</t>
  </si>
  <si>
    <t>Mục phí cấp 2</t>
  </si>
  <si>
    <t>CÔNG ĐOẠN BĂM VẢY</t>
  </si>
  <si>
    <t>Chi phí dao băm vảy</t>
  </si>
  <si>
    <t>Chi phí dao tách nhãn</t>
  </si>
  <si>
    <t>Kw/h</t>
  </si>
  <si>
    <t>Cuộn/kiện chai</t>
  </si>
  <si>
    <t>Định mức thành phẩm (kg)</t>
  </si>
  <si>
    <t>1 kiện chai = 230 kg</t>
  </si>
  <si>
    <t>Bao</t>
  </si>
  <si>
    <t>1 bao jumbo vảy = 450 kg</t>
  </si>
  <si>
    <t>Công suất 1 chuyền/h = 2.700 kg</t>
  </si>
  <si>
    <t>Công suất băm/h = 1.650 kg; Máy chính: 255kwh/giờ - Máy phụ: 90kwh/giờ</t>
  </si>
  <si>
    <t>Thuê xử lý nhãn chai, tỷ lệ hao huạt nhãn 5%</t>
  </si>
  <si>
    <t>đồng/kg bùn thải</t>
  </si>
  <si>
    <t>Hao hụt bùn đất 3%</t>
  </si>
  <si>
    <t>Hóa chất XLNT</t>
  </si>
  <si>
    <t>Sửa chữa xe nâng</t>
  </si>
  <si>
    <t>đồng/tháng/chiếc</t>
  </si>
  <si>
    <t>Chi phí hóa chất (rửa vảy)</t>
  </si>
  <si>
    <t>1 bộ băm được 1,5 tấn</t>
  </si>
  <si>
    <t>Sản lượng SX / 1 bộ dao (kg/1 bộ dao)</t>
  </si>
  <si>
    <t>1 bộ băm được 700 tấn</t>
  </si>
  <si>
    <t>Hệ thống rửa lạnh</t>
  </si>
  <si>
    <t>Thực tế tiêu hao 62%</t>
  </si>
  <si>
    <t>I</t>
  </si>
  <si>
    <t>II</t>
  </si>
  <si>
    <t>III</t>
  </si>
  <si>
    <t>ĐỊNH MỨC VẬN CHUYỂN</t>
  </si>
  <si>
    <t>% giá trị MMTB</t>
  </si>
  <si>
    <t>Chi phí sửa chữa, bảo trì MMTB sản xuất</t>
  </si>
  <si>
    <t>Chi phí sửa chữa, bảo trì xe nâng</t>
  </si>
  <si>
    <t>Chi phí xử lý rác thải CN (nhãn)</t>
  </si>
  <si>
    <t>Chi phí bao jumbo đựng vảy</t>
  </si>
  <si>
    <t>Chi phí thuê xưởng</t>
  </si>
  <si>
    <t>Chi phí nước sản xuất (băm, rửa vảy)</t>
  </si>
  <si>
    <t>Vật tư khác phục vụ sản xuất</t>
  </si>
  <si>
    <t>Lít/h</t>
  </si>
  <si>
    <t>CĐ băm sử dụng 1 xe nâng</t>
  </si>
  <si>
    <t>CĐ băm sử dụng 2 xe nâng</t>
  </si>
  <si>
    <t>Đồng/kg nhãn</t>
  </si>
  <si>
    <t>Đồng/tháng/chiếc</t>
  </si>
  <si>
    <t>Số lượng tiêu hao</t>
  </si>
  <si>
    <t>Chi phí điện, nước quản lý</t>
  </si>
  <si>
    <t>Mục phí cấp 3</t>
  </si>
  <si>
    <t>Chi phí đồng phục</t>
  </si>
  <si>
    <t>ĐVT: Đồng</t>
  </si>
  <si>
    <t>TRẠM HCM</t>
  </si>
  <si>
    <t>ĐÁNH GIÁ HIỆU QUẢ ĐẦU TƯ</t>
  </si>
  <si>
    <t>KẾ HOẠCH ĐẦU TƯ VÀ KHẤU HAO</t>
  </si>
  <si>
    <t>Nhà cung cấp</t>
  </si>
  <si>
    <t>Đơn giá ( chưa bao gồm VAT)</t>
  </si>
  <si>
    <t>Số lượng</t>
  </si>
  <si>
    <t>Tổng giá trị
(VND)</t>
  </si>
  <si>
    <t>Băng tải nam châm tách kim loại tự động</t>
  </si>
  <si>
    <t>Plenma/HTL</t>
  </si>
  <si>
    <t xml:space="preserve">Máy sort chai tự động 3 tấn/giờ </t>
  </si>
  <si>
    <t>Databeyond</t>
  </si>
  <si>
    <t>Lập trình và vận hành máy sort chai</t>
  </si>
  <si>
    <t>Máy ép kiện ngang</t>
  </si>
  <si>
    <t>HTL</t>
  </si>
  <si>
    <t>Máy tách nhãn</t>
  </si>
  <si>
    <t>Phòng cách âm cho máy tách nhãn</t>
  </si>
  <si>
    <t>Lê Quốc</t>
  </si>
  <si>
    <t>Lắp đặt đường hơi khí nén cho hệ thống máy sort chai</t>
  </si>
  <si>
    <t>Khang Thành</t>
  </si>
  <si>
    <t>Hệ thống máy nén khí</t>
  </si>
  <si>
    <t>Phục Hưng</t>
  </si>
  <si>
    <t>Chi phí đi điện nguồn (điện nguồn chuyền máy + tủ điện nguồn)</t>
  </si>
  <si>
    <t>Thịnh Phát</t>
  </si>
  <si>
    <t>Quạt thổi chai</t>
  </si>
  <si>
    <t>Máy sàn cát đá tromel</t>
  </si>
  <si>
    <t xml:space="preserve">Chi phí khác </t>
  </si>
  <si>
    <t>Sàn thao tác chai đầu vào</t>
  </si>
  <si>
    <t>Băng tải cấp chai máy sort</t>
  </si>
  <si>
    <t>Khung sàn thao tác máy sort</t>
  </si>
  <si>
    <t>Băng tải phân loại bì tạp</t>
  </si>
  <si>
    <t xml:space="preserve">Băng tải quay đầu </t>
  </si>
  <si>
    <t>Băng tải đứng cấp chai máy line 2 máy sort</t>
  </si>
  <si>
    <t>Băng tải cấp chai máy tách nhãn</t>
  </si>
  <si>
    <t>Cylon máy tách nhãn</t>
  </si>
  <si>
    <t>Khung sàn máy sort chai sau tách nhãn</t>
  </si>
  <si>
    <t>Băng tải phân loại chai tách nhãn</t>
  </si>
  <si>
    <t>Băng tải cấp chai máy ép kiện</t>
  </si>
  <si>
    <t>Băng tải con lăn</t>
  </si>
  <si>
    <t>Lồng chứa chai B1</t>
  </si>
  <si>
    <t>Lồng chứa chai B6</t>
  </si>
  <si>
    <t>Lồng chứa chai B2.2</t>
  </si>
  <si>
    <t>Lồng chứa chai B4, B5</t>
  </si>
  <si>
    <t>Tủ điện điều khiển</t>
  </si>
  <si>
    <t>Chi phí lắp đặt</t>
  </si>
  <si>
    <t>Xe nâng 2,5 tấn</t>
  </si>
  <si>
    <t>BYD</t>
  </si>
  <si>
    <t>Xe nâng tay 1,5 tấn</t>
  </si>
  <si>
    <t>Trạm cân 40 tấn</t>
  </si>
  <si>
    <t>MK-Cell</t>
  </si>
  <si>
    <t>Nhà chứa máy nén khí</t>
  </si>
  <si>
    <t>Thành Công</t>
  </si>
  <si>
    <t>Hồ sơ pháp lý ban đầu</t>
  </si>
  <si>
    <t>Chi phí văn phòng, cải tạo cơ sở hạ tầng</t>
  </si>
  <si>
    <t>Chi phí cho công tác huấn luyện &amp; đào tạo</t>
  </si>
  <si>
    <t>TỔNG</t>
  </si>
  <si>
    <t xml:space="preserve"> MÁY MÓC THIẾT BỊ CHÍNH</t>
  </si>
  <si>
    <t>THIẾT BỊ PHỤC VỤ SẢN XUẤT</t>
  </si>
  <si>
    <t>THIẾT BỊ PHỤC VỤ QUẢN LÝ</t>
  </si>
  <si>
    <t>CHUYỀN PHÂN LOẠI CHAI</t>
  </si>
  <si>
    <t>Hạng mục đầu tư</t>
  </si>
  <si>
    <t>Loại chai nguyên liệu</t>
  </si>
  <si>
    <t>Chai B0 - Xá tròn</t>
  </si>
  <si>
    <t>Chai B0 - Ép kiện</t>
  </si>
  <si>
    <t>Chai B1.4 (xô tuyển -&gt; ép kiện)</t>
  </si>
  <si>
    <t>Tổng:</t>
  </si>
  <si>
    <t>Tổng</t>
  </si>
  <si>
    <t>Chai PET B1</t>
  </si>
  <si>
    <t>Chai PET B2.2</t>
  </si>
  <si>
    <t>Chai PET B4</t>
  </si>
  <si>
    <t>Chai PET B5</t>
  </si>
  <si>
    <t>Chai PET B6.2</t>
  </si>
  <si>
    <t>Cổ Chai PET</t>
  </si>
  <si>
    <t>Nắp HD ép các màu</t>
  </si>
  <si>
    <t xml:space="preserve"> HỆ THỐNG XỬ LÝ NƯỚC THẢI</t>
  </si>
  <si>
    <t>CHỈ TIÊU</t>
  </si>
  <si>
    <t>SẢN LƯỢNG BÁN (Tấn)</t>
  </si>
  <si>
    <t>DOANH THU THUẦN</t>
  </si>
  <si>
    <t>Giá bán / Tấn (Triệu đồng/Tấn)</t>
  </si>
  <si>
    <t>BIẾN PHÍ</t>
  </si>
  <si>
    <t>Biến phí / Doanh thu (%)</t>
  </si>
  <si>
    <t>Biến phí / Tấn (Triệu đồng/Tấn)</t>
  </si>
  <si>
    <t>Biến phí bán hàng</t>
  </si>
  <si>
    <t>Biến phí sản xuất</t>
  </si>
  <si>
    <t>Biến phí sản xuất/ Doanh thu (%)</t>
  </si>
  <si>
    <t>Biến phí sản xuất/ Tấn (Triệu đồng/Tấn)</t>
  </si>
  <si>
    <t>Lãi nguyên liệu / Doanh thu (%)</t>
  </si>
  <si>
    <t>LÃI BIẾN PHÍ</t>
  </si>
  <si>
    <t>Tỷ lệ Lãi biến phí (%)</t>
  </si>
  <si>
    <t>Lãi biến phí / Tấn (Triệu đồng/Tấn)</t>
  </si>
  <si>
    <t>ĐỊNH PHÍ</t>
  </si>
  <si>
    <t>Định phí / Doanh thu (%)</t>
  </si>
  <si>
    <t>Định phí / Tấn (Triệu đồng/Tấn)</t>
  </si>
  <si>
    <t>(%) Doanh thu tài chính / Doanh thu</t>
  </si>
  <si>
    <t>Chi phí khấu hao</t>
  </si>
  <si>
    <t>Tổng Chi phí Khấu hao / Doanh thu (%)</t>
  </si>
  <si>
    <t>TỔNG GIÁ VỐN (BIẾN PHÍ + ĐỊNH PHÍ)</t>
  </si>
  <si>
    <t>LỢI NHUẬN TRƯỚC THUẾ</t>
  </si>
  <si>
    <t>Tỷ lệ Lợi nhuận trước thuế (%)</t>
  </si>
  <si>
    <t>Thuế TNDN</t>
  </si>
  <si>
    <t>LỢI NHUẬN SAU THUẾ</t>
  </si>
  <si>
    <t>Tỷ lệ LNST (%)</t>
  </si>
  <si>
    <t>EBITDA</t>
  </si>
  <si>
    <t>Tỷ lệ EBITDA (%)</t>
  </si>
  <si>
    <t>Chi phí nhựa tái chế</t>
  </si>
  <si>
    <t>Chi phí vật tư kỹ thuật phục vụ sản xuất khác</t>
  </si>
  <si>
    <t>Chi phí nước sản xuất</t>
  </si>
  <si>
    <t>Chi phí xử lý rác thải CN</t>
  </si>
  <si>
    <t>Chi phí sửa chữa, bảo trì máy móc thiết bị sản xuất</t>
  </si>
  <si>
    <t>Chi phí sửa chữa, bảo trì phương tiện vận tải</t>
  </si>
  <si>
    <t>Chi phí đăng kiểm xe cơ giới</t>
  </si>
  <si>
    <t>Chi phí kiểm định, hiệu chuẩn máy móc thiết bị</t>
  </si>
  <si>
    <t>Chi phí công cụ dụng cụ phục vụ sản xuất</t>
  </si>
  <si>
    <t>Chi phí thuê kho, bãi</t>
  </si>
  <si>
    <t>Chi phí thuê máy móc thiết bị</t>
  </si>
  <si>
    <t>Chi phí thuê phương tiện vận tải</t>
  </si>
  <si>
    <t>Chi phí sửa chữa, bảo trì công trình xây dựng (nhà xưởng,  ... )</t>
  </si>
  <si>
    <t>Chi phí dao tách nhãn, băm vảy</t>
  </si>
  <si>
    <t>Chi phí bao jumbo</t>
  </si>
  <si>
    <t>CHI PHÍ LƯƠNG</t>
  </si>
  <si>
    <t>Chi phí VPP</t>
  </si>
  <si>
    <t>Chi phí nguyên liệu (chai B0)</t>
  </si>
  <si>
    <t>Định phí sản xuất</t>
  </si>
  <si>
    <t>Định phí quản lý</t>
  </si>
  <si>
    <t>Chi phí nhân sự</t>
  </si>
  <si>
    <t>Chi phí lương</t>
  </si>
  <si>
    <t>Chi phí phúc lợi</t>
  </si>
  <si>
    <t>CHI PHÍ NHÂN SỰ</t>
  </si>
  <si>
    <t>CHI PHÍ PHÚC LỢI</t>
  </si>
  <si>
    <t>Định phí sản xuất / Doanh thu (%)</t>
  </si>
  <si>
    <t>Định phí quản lý / Doanh thu (%)</t>
  </si>
  <si>
    <t>(%) Chi phí nhân sự / Doanh thu</t>
  </si>
  <si>
    <t>(%) Chi phí lương / Doanh thu</t>
  </si>
  <si>
    <t>(%) Chi phí phúc lợi / Doanh thu</t>
  </si>
  <si>
    <t>5.3.1</t>
  </si>
  <si>
    <t>5.3.2</t>
  </si>
  <si>
    <t>Lương lao động trực tiếp</t>
  </si>
  <si>
    <t>Lương gián tiếp</t>
  </si>
  <si>
    <t>CHI PHÍ SẢN XUẤT</t>
  </si>
  <si>
    <t>CHI PHÍ QUẢN LÝ</t>
  </si>
  <si>
    <t>Kiểm soát chất lượng vảy - 1 ca hành chánh</t>
  </si>
  <si>
    <t>Nhân viên xử lý nước thải, bùn thải - 1 ca</t>
  </si>
  <si>
    <t>Nhân viên chuyền băm vảy (1 chuyền x 1ca)</t>
  </si>
  <si>
    <t>Kiểm soát chất lượng</t>
  </si>
  <si>
    <t>Kỹ thuật</t>
  </si>
  <si>
    <t>Sản xuất</t>
  </si>
  <si>
    <t>Kho vận</t>
  </si>
  <si>
    <t>Nhân viên kho vảy</t>
  </si>
  <si>
    <t>I - ĐỊNH BIÊN PHÂN LOẠI CHAI</t>
  </si>
  <si>
    <t>TỔNG NHÂN SỰ BĂM VẢY</t>
  </si>
  <si>
    <t>TỔNG NHÂN SỰ PHÂN LOẠI CHAI</t>
  </si>
  <si>
    <t>Nhân viên xuống/lên hàng (1 nhập NVL, 1 xuất TP)</t>
  </si>
  <si>
    <t>Thủ kho (phiếu nhập, xuất, quản lý kho)</t>
  </si>
  <si>
    <t>Nhân viên QTHT (ISO, 3Q,…)</t>
  </si>
  <si>
    <t>Tổ trưởng kỹ thuật</t>
  </si>
  <si>
    <t>II - ĐỊNH BIÊN CHUYỀN BĂM VẢY</t>
  </si>
  <si>
    <t>Chai B1</t>
  </si>
  <si>
    <t>Chai B2.2</t>
  </si>
  <si>
    <t>Chai B4</t>
  </si>
  <si>
    <t>Chai B5</t>
  </si>
  <si>
    <t>Chai B6.2</t>
  </si>
  <si>
    <t>Cổ Chai</t>
  </si>
  <si>
    <t>Nắp chai</t>
  </si>
  <si>
    <t>Vảy B1</t>
  </si>
  <si>
    <t>Vảy B2.2</t>
  </si>
  <si>
    <t>Vảy B4</t>
  </si>
  <si>
    <t>Vảy B5</t>
  </si>
  <si>
    <t>Vảy B6.2</t>
  </si>
  <si>
    <t>Vảy Cổ Chai</t>
  </si>
  <si>
    <t>Vảy Nắp chai</t>
  </si>
  <si>
    <t>Giá mua</t>
  </si>
  <si>
    <t>Tỷ lệ hao hụt</t>
  </si>
  <si>
    <t>Giá chai</t>
  </si>
  <si>
    <t>Chai thành phẩm</t>
  </si>
  <si>
    <t>Loại chai</t>
  </si>
  <si>
    <t>Loai vảy</t>
  </si>
  <si>
    <t>Giá vảy</t>
  </si>
  <si>
    <t>Tỷ lệ đưa vô băm</t>
  </si>
  <si>
    <t>Phân loại chai</t>
  </si>
  <si>
    <t>x</t>
  </si>
  <si>
    <t>Quy mô đầu tư</t>
  </si>
  <si>
    <t>Công suất</t>
  </si>
  <si>
    <t>Tấn/Tháng</t>
  </si>
  <si>
    <t>%</t>
  </si>
  <si>
    <t>Vảy  thành phẩm</t>
  </si>
  <si>
    <t>Tỷ lệ hao hụt băm vảy</t>
  </si>
  <si>
    <t>Tỷ lệ mua chai</t>
  </si>
  <si>
    <t>Tổng diện tích</t>
  </si>
  <si>
    <t>Giá thuê (USD)</t>
  </si>
  <si>
    <t>Tỷ giá USD (đồng)</t>
  </si>
  <si>
    <t>CHI PHÍ BÁN HÀNG (Vận chuyển)</t>
  </si>
  <si>
    <t>A</t>
  </si>
  <si>
    <t>B</t>
  </si>
  <si>
    <t>Lương phân loại chai</t>
  </si>
  <si>
    <t>Lương băm vảy</t>
  </si>
  <si>
    <t>a</t>
  </si>
  <si>
    <t>b</t>
  </si>
  <si>
    <t>Tỷ lệ</t>
  </si>
  <si>
    <t>Chi phí lương T13, Phép năm</t>
  </si>
  <si>
    <t>Tỷ lệ sau phân loại (B0 tròn)</t>
  </si>
  <si>
    <t>Tỷ lệ sau phân loại (B0 ép kiện)</t>
  </si>
  <si>
    <t>Hao hụt</t>
  </si>
  <si>
    <t>Tỷ lệ sau phân loại (Tuyển xô)</t>
  </si>
  <si>
    <t>Theo Ca</t>
  </si>
  <si>
    <t>Nhân viên lái xe nâng (1 ca)</t>
  </si>
  <si>
    <t>Nhân viên phân loại (1ca)</t>
  </si>
  <si>
    <t>Tổ trưởng sản xuất (1 ca)</t>
  </si>
  <si>
    <t>Nhân viên bảo trì (1 điện, 1 cơ) (1 ca)</t>
  </si>
  <si>
    <t>Kiểm soát chất lượng thành phẩm (1 ca)</t>
  </si>
  <si>
    <t>Nhân viên bảo trì (điện, cơ) (1 ca)</t>
  </si>
  <si>
    <t>Số Ca sản xuất</t>
  </si>
  <si>
    <t>Ca</t>
  </si>
  <si>
    <t>Số Ca SX</t>
  </si>
  <si>
    <t>2 người (24/24)</t>
  </si>
  <si>
    <t>Quà tặng lễ tết</t>
  </si>
  <si>
    <t>Trang trí lễ tết</t>
  </si>
  <si>
    <t>Chi phí xây dựng phần mềm</t>
  </si>
  <si>
    <t>Link công thức</t>
  </si>
  <si>
    <t>Khách sạn</t>
  </si>
  <si>
    <t>Vé máy bay, xe</t>
  </si>
  <si>
    <t>Chi phí tuyển dụng, đào tạo</t>
  </si>
  <si>
    <t>ĐỊNH MỨC BIẾN PHÍ SẢN XUẤT</t>
  </si>
  <si>
    <t>Chi phí sản xuất khác</t>
  </si>
  <si>
    <t>KẾ HOẠCH CÔNG SUẤT THEO CÔNG ĐOẠN VÀ ĐỊNH BIÊN LAO ĐỘNG TRỰC TIẾP</t>
  </si>
  <si>
    <t>1/ CHUYỀN PHÂN LOẠI CHAI GĐ 1:</t>
  </si>
  <si>
    <t>Lưu ý: xác định rõ công suất của từng máy ở mỗi công đoạn để xác định bottle neck (nếu có) và tối ưu đầu tư!</t>
  </si>
  <si>
    <t>Công sản xuất:</t>
  </si>
  <si>
    <t>1 - Cấp liệu</t>
  </si>
  <si>
    <t>Công suất thành phẩm cả chuyền</t>
  </si>
  <si>
    <t>Tên máy móc thiết bị:</t>
  </si>
  <si>
    <t>Băng tải cấp liệu</t>
  </si>
  <si>
    <t>Lồng quay tách tạp chất</t>
  </si>
  <si>
    <t>Chuyền phân loại (5 loại)</t>
  </si>
  <si>
    <t>Máy tách nhãn 1</t>
  </si>
  <si>
    <t>Chuyền phân loại</t>
  </si>
  <si>
    <t>Máy ép kiện + xe nâng tay</t>
  </si>
  <si>
    <t>Xe nâng</t>
  </si>
  <si>
    <t>Giả định hao hụt 10%</t>
  </si>
  <si>
    <t>Công suất THIẾT KẾ:
(Kg NVL đầu vào / giờ)</t>
  </si>
  <si>
    <t>Công suất ĐỊNH MỨC:
(Kg NVL đầu vào / giờ)</t>
  </si>
  <si>
    <t>Định mức công nhân sản xuất:
(Số NV / Ca8)</t>
  </si>
  <si>
    <t>Diễn giải:</t>
  </si>
  <si>
    <t>1 NV khuân hàng, 1NV cắt đổ bao</t>
  </si>
  <si>
    <t>NV lựa chai B4 và tạp bì</t>
  </si>
  <si>
    <t>NV kéo và thay các bao: nhãn, tạp bì trả, chai còn nhãn</t>
  </si>
  <si>
    <t>- 1 NV phân loại chai còn nhãn + nắp</t>
  </si>
  <si>
    <t>- 1 NV ép kiện, ép: thành phẩm, phế liệu, phó sản.</t>
  </si>
  <si>
    <t>- 1 NV ép kiện kiêm nhiệm</t>
  </si>
  <si>
    <t>Định mức kỹ thuật vận hành:
(Số NV / Ca8)</t>
  </si>
  <si>
    <t>1 kỹ thuật toàn chuyền</t>
  </si>
  <si>
    <t xml:space="preserve">2/ CHUYỀN PHÂN LOẠI CHAI GĐ 2: </t>
  </si>
  <si>
    <t>3 - Sàn tách tạp chất</t>
  </si>
  <si>
    <t xml:space="preserve">4 - Lựa phân loại chai </t>
  </si>
  <si>
    <t>5 - Tách nhãn 1</t>
  </si>
  <si>
    <t>6 - Lựa phân loại chai sau tách nhãn 1</t>
  </si>
  <si>
    <t>7 - Ép kiện 1</t>
  </si>
  <si>
    <t>8 - Tách nhãn 2</t>
  </si>
  <si>
    <t>9 - Lựa phân loại chai sau tách nhãn 2</t>
  </si>
  <si>
    <t>10 - Ép kiện 2</t>
  </si>
  <si>
    <t>11- Nhập/xuất kho</t>
  </si>
  <si>
    <t>Máy phá kiện (thủ công hay tự động) + băng tải phụ trợ</t>
  </si>
  <si>
    <t>Chuyền phân loại 1</t>
  </si>
  <si>
    <t>Máy ép kiện 1 + xe nâng tay</t>
  </si>
  <si>
    <t>Máy tách nhãn 2</t>
  </si>
  <si>
    <t>Chuyền phân loại 2</t>
  </si>
  <si>
    <t>Máy ép kiện 2</t>
  </si>
  <si>
    <t>Định mức nhân công:
(Số NV / Ca8)</t>
  </si>
  <si>
    <t>Luân chuyển 2 NV line 1: 1NV lái xe nâng, 1NV cắt dây</t>
  </si>
  <si>
    <t>NV kéo và thay các bao: nhãn, tạp bì trả, chai còn nhãn (2 line)</t>
  </si>
  <si>
    <t>NV kéo và thay các bao: kiêm nhiệm</t>
  </si>
  <si>
    <t xml:space="preserve"> HỆ THỐNG ĐIỆN, HƠI</t>
  </si>
  <si>
    <t>2 - Phá kiện</t>
  </si>
  <si>
    <t>Lồng chứa chai máy ép kiện</t>
  </si>
  <si>
    <t>TỔNG CỘNG</t>
  </si>
  <si>
    <t>Công suất/1 công đoạn</t>
  </si>
  <si>
    <t>3 tấn/h</t>
  </si>
  <si>
    <t>2 tấn/h</t>
  </si>
  <si>
    <t>1 tấn/h</t>
  </si>
  <si>
    <t>1.5 tấn/h</t>
  </si>
  <si>
    <t>Lựa phân loại chai sau tách nhãn</t>
  </si>
  <si>
    <t xml:space="preserve"> MÁY MÓC THIẾT BỊ CHUYỀN BĂM</t>
  </si>
  <si>
    <t>CHUYỀN BĂM CHAI PET</t>
  </si>
  <si>
    <t>I. Chuyền phân loại chai</t>
  </si>
  <si>
    <t>II. Chuyền băm vảy</t>
  </si>
  <si>
    <t>MMTB chính</t>
  </si>
  <si>
    <t>MMTB phụ</t>
  </si>
  <si>
    <t>Vốn tự có</t>
  </si>
  <si>
    <t>Vay trung dài hạn</t>
  </si>
  <si>
    <t>Hệ thống XLNT</t>
  </si>
  <si>
    <t>Lãi suất/năm (thời hạn 8 năm)</t>
  </si>
  <si>
    <t>BÌNH QUÂN 1 THÁNG</t>
  </si>
  <si>
    <t>CẢ NĂM</t>
  </si>
  <si>
    <t>Giá vốn / Doanh thu (%)</t>
  </si>
  <si>
    <t>Giá vốn / Tấn (Triệu đồng/Tấn)</t>
  </si>
  <si>
    <t>Năm 1</t>
  </si>
  <si>
    <t>Năm 2</t>
  </si>
  <si>
    <t>Năm 3</t>
  </si>
  <si>
    <t>Năm 4</t>
  </si>
  <si>
    <t>Năm 5</t>
  </si>
  <si>
    <t>Năm 6</t>
  </si>
  <si>
    <t>Năm 7</t>
  </si>
  <si>
    <t>Năm 8</t>
  </si>
  <si>
    <t>Năm 0</t>
  </si>
  <si>
    <t>Đầu tư</t>
  </si>
  <si>
    <t>Dòng tiền thuần từ HĐKD</t>
  </si>
  <si>
    <t>Khấu hao</t>
  </si>
  <si>
    <t>Tổng dòng tiền</t>
  </si>
  <si>
    <t>NPV</t>
  </si>
  <si>
    <t>IRR</t>
  </si>
  <si>
    <t>Suất chiết khấu tính NPV</t>
  </si>
  <si>
    <t>Chi phí vốn</t>
  </si>
  <si>
    <t>Vốn vay</t>
  </si>
  <si>
    <t>Cơ cấu</t>
  </si>
  <si>
    <t>Tổng dòng tiền chiết khấu</t>
  </si>
  <si>
    <t>Tổng dòng tiền chiết khấu lũy kế</t>
  </si>
  <si>
    <t>Thời gian hoàn vốn (năm)</t>
  </si>
  <si>
    <t>Licences SAP</t>
  </si>
  <si>
    <t>Licences VMS</t>
  </si>
  <si>
    <t>Các phần mềm khác (365, econtract,…)</t>
  </si>
  <si>
    <t>TỔNG NHÂN SỰ (CẢ CTY)</t>
  </si>
  <si>
    <t>30.000 đồng/người</t>
  </si>
  <si>
    <t>1 triệu/đồng/người</t>
  </si>
  <si>
    <t>800.000 đồng/người</t>
  </si>
  <si>
    <t>4 triệu/đồng/người (gồm chi phí chung)</t>
  </si>
  <si>
    <t>1 triệu/đồng/người (gồm chi phí chung)</t>
  </si>
  <si>
    <t>2.6 triệu/ users/tháng</t>
  </si>
  <si>
    <t>Cháy nổ bắt buộc (0.2% giá trị TS)</t>
  </si>
  <si>
    <t>Vốn &gt;10 tỷ = 3 triệu</t>
  </si>
  <si>
    <t>Tổng chi phí sản xuất vảy</t>
  </si>
  <si>
    <t>Tổng chi phí sản xuất chai</t>
  </si>
  <si>
    <t>Chi phí vận chuyển</t>
  </si>
  <si>
    <t>Chi phí tài chính (lãi vay)</t>
  </si>
  <si>
    <t>TỔNG GIÁ THÀNH (BIẾN PHÍ + ĐỊNH PHÍ)</t>
  </si>
  <si>
    <t>2.3.1</t>
  </si>
  <si>
    <t>2.3.2</t>
  </si>
  <si>
    <t>Lương quản lý</t>
  </si>
  <si>
    <t>SẢN LƯỢNG SẢN XUẤT (Tấn)</t>
  </si>
  <si>
    <t>Chi phí lương chính</t>
  </si>
  <si>
    <t>CHI PHÍ / 1 Kg (Đồng)</t>
  </si>
  <si>
    <t>500T</t>
  </si>
  <si>
    <t>1.000T</t>
  </si>
  <si>
    <t>1.500T</t>
  </si>
  <si>
    <t>2.000T</t>
  </si>
  <si>
    <t>QUY MÔ ĐẦU TƯ (Tấn)</t>
  </si>
  <si>
    <t>III (I+II)</t>
  </si>
  <si>
    <t>Tỷ trọng</t>
  </si>
  <si>
    <t>Trong đó giá thành KHÔNG gồm NL chai B0</t>
  </si>
  <si>
    <t>TỔNG CHI PHÍ NHÂN SỰ</t>
  </si>
  <si>
    <t>C (A+B)</t>
  </si>
  <si>
    <t>ĐỊNH BIÊN NHÂN SỰ</t>
  </si>
  <si>
    <t>Lương cơ bản/ tháng</t>
  </si>
  <si>
    <t>ĐVT: Triệu đồng</t>
  </si>
  <si>
    <t>1 - Doanh thu Chai</t>
  </si>
  <si>
    <t>2 - Doanh thu Vảy</t>
  </si>
  <si>
    <t>Tổng doanh thu (Chai + Vảy)</t>
  </si>
  <si>
    <t>DOANH THU</t>
  </si>
  <si>
    <t>Loại vảy</t>
  </si>
  <si>
    <t>SẢN LƯỢNG</t>
  </si>
  <si>
    <t>ĐVT: Tấn</t>
  </si>
  <si>
    <t>2 - Sản lượng thành phẩm CHAI sau phân loại</t>
  </si>
  <si>
    <t>3 - Sản lượng thành phẩm VẢY</t>
  </si>
  <si>
    <t>4 - Sản lượng CHAI bán cho DTR</t>
  </si>
  <si>
    <t>Tổng sản lượng BÁN (Chai + Vảy)</t>
  </si>
  <si>
    <t>1 - Sản lượng mua CHAI B0</t>
  </si>
  <si>
    <t xml:space="preserve">ĐỊNH MỨC CHI PHÍ QUẢN LÝ (ĐVT: đồng) </t>
  </si>
  <si>
    <t>1 Tháng</t>
  </si>
  <si>
    <t>Cả Năm</t>
  </si>
  <si>
    <t>KẾT QUẢ KINH DOANH</t>
  </si>
  <si>
    <t>ĐVT: triệu đồng</t>
  </si>
  <si>
    <t>Chỉ tiêu</t>
  </si>
  <si>
    <t>Bình quân 1 tháng</t>
  </si>
  <si>
    <t>Cả năm</t>
  </si>
  <si>
    <t>1 - Sản lượng HÒA VỐN</t>
  </si>
  <si>
    <t>2 - Dòng tiền</t>
  </si>
  <si>
    <t>3 - NPV, IRR, thời gian hoàn vốn</t>
  </si>
  <si>
    <t>1 - Lợi nhuận sau thuế</t>
  </si>
  <si>
    <t xml:space="preserve">2 - Khấu hao </t>
  </si>
  <si>
    <t>3 - Dòng tiền (chưa chiết khấu)</t>
  </si>
  <si>
    <t>(Đầu tư)</t>
  </si>
  <si>
    <t>Chi tiết tính toán:</t>
  </si>
  <si>
    <t>Tấn</t>
  </si>
  <si>
    <t>Triệu đồng</t>
  </si>
  <si>
    <t>Doanh thu HÒA VỐN</t>
  </si>
  <si>
    <t>NPV (Triệu đồng)</t>
  </si>
  <si>
    <t>1 - Định mức điện Chuyền AI (1 chuyền)</t>
  </si>
  <si>
    <t>2 - Định mức điện chuyền băm vảy</t>
  </si>
  <si>
    <t>3 - Định mức dao băm vảy</t>
  </si>
  <si>
    <t>ĐỊNH MỨC SX CHI TIẾT</t>
  </si>
  <si>
    <t>Công suất/ 1 công đoạn</t>
  </si>
  <si>
    <t>ĐẦU TƯ CAPEX - MÁY CHÍNH</t>
  </si>
  <si>
    <t>ĐẦU TƯ CAPEX - THIẾT BỊ PHỤ</t>
  </si>
  <si>
    <t>2.5 Tấn</t>
  </si>
  <si>
    <t>1.5 Tấn</t>
  </si>
  <si>
    <t>40 Tấn</t>
  </si>
  <si>
    <t>KHẤU HAO, LÃI VAY</t>
  </si>
  <si>
    <t>A - TỔNG HỢP ĐẦU TƯ CAPEX</t>
  </si>
  <si>
    <t>1 - MMTB chính sản xuất</t>
  </si>
  <si>
    <t>2 - MMTB phụ sản xuất</t>
  </si>
  <si>
    <t>3 - MMTB quản lý</t>
  </si>
  <si>
    <t>3 - Hệ thống xử lý nước thải</t>
  </si>
  <si>
    <t>CÁC GIẢ ĐỊNH</t>
  </si>
  <si>
    <t>Các khoản mục phí</t>
  </si>
  <si>
    <t>Chuyền</t>
  </si>
  <si>
    <t>Số năm</t>
  </si>
  <si>
    <t>Sản lượng NVL đầu vào (Chai B0)</t>
  </si>
  <si>
    <t>m2</t>
  </si>
  <si>
    <t>Phân loại chai / băm vảy</t>
  </si>
  <si>
    <r>
      <t xml:space="preserve">Chọn:  </t>
    </r>
    <r>
      <rPr>
        <b/>
        <sz val="14"/>
        <color rgb="FF0066FF"/>
        <rFont val="Arial"/>
        <family val="2"/>
      </rPr>
      <t>→</t>
    </r>
  </si>
  <si>
    <t>Chọn:  →</t>
  </si>
  <si>
    <t>Các mức hiệu suất máy mong muốn</t>
  </si>
  <si>
    <t xml:space="preserve"> → GAP</t>
  </si>
  <si>
    <t>B - CHI PHÍ KHẤU HAO (1 tháng)</t>
  </si>
  <si>
    <t>C - CHI PHÍ LÃI VAY (1 tháng)</t>
  </si>
  <si>
    <t>Check:</t>
  </si>
  <si>
    <t>SL mua B0</t>
  </si>
  <si>
    <t>Công suất Chai</t>
  </si>
  <si>
    <t>Công suất Vay</t>
  </si>
  <si>
    <t>Hiệu suất Chai</t>
  </si>
  <si>
    <t>Hiệu suất Vảy</t>
  </si>
  <si>
    <t>Sản lượng chai đưa vô băm</t>
  </si>
  <si>
    <t>Sản lượng, hiệu suất</t>
  </si>
  <si>
    <t>SL bán Chai</t>
  </si>
  <si>
    <t>SL bán Vảy</t>
  </si>
  <si>
    <t>Doanh thu, lợi nhuận</t>
  </si>
  <si>
    <t>Doanh thu</t>
  </si>
  <si>
    <t>Lãi biến phí</t>
  </si>
  <si>
    <t>% lãi biến phí</t>
  </si>
  <si>
    <t>LN sau thuế</t>
  </si>
  <si>
    <t>% LN sau thuế</t>
  </si>
  <si>
    <t>% EBITDA</t>
  </si>
  <si>
    <t>Tổng Biến phí</t>
  </si>
  <si>
    <t>Tổng Định phí</t>
  </si>
  <si>
    <t>% biến phí</t>
  </si>
  <si>
    <t>% định phí</t>
  </si>
  <si>
    <t>TỔNG CHI PHÍ</t>
  </si>
  <si>
    <t>% biến phí bán hàng</t>
  </si>
  <si>
    <t>% định phí SX</t>
  </si>
  <si>
    <t>% tổng chi phí/ DT</t>
  </si>
  <si>
    <t>% định phí nhân sự</t>
  </si>
  <si>
    <t>% định phí quản lý</t>
  </si>
  <si>
    <t>% định phí sản xuất</t>
  </si>
  <si>
    <t>% định phí tài chính</t>
  </si>
  <si>
    <t>% định phí khấu hao</t>
  </si>
  <si>
    <t>Giá mua, bán, GAP:</t>
  </si>
  <si>
    <t>Giá bán</t>
  </si>
  <si>
    <t>GAP</t>
  </si>
  <si>
    <t>% GAP</t>
  </si>
  <si>
    <t>Kiểm tra</t>
  </si>
  <si>
    <t>SL bán (tấn/năm)</t>
  </si>
  <si>
    <t>Giá mua B0</t>
  </si>
  <si>
    <t>Định phí</t>
  </si>
  <si>
    <t>% giá mua/ giá bán</t>
  </si>
  <si>
    <t>% hao hụt/ giá bán</t>
  </si>
  <si>
    <t>% LN sau thuế/ giá bán</t>
  </si>
  <si>
    <t>Thuế TNDN (đồng/kg)</t>
  </si>
  <si>
    <t>LN sau thuế /năm</t>
  </si>
  <si>
    <t>% biến phí/ giá bán</t>
  </si>
  <si>
    <t>% định phí/ giá bán</t>
  </si>
  <si>
    <t>Biến phí (SX+VC)</t>
  </si>
  <si>
    <t>Lãi/ lỗ</t>
  </si>
  <si>
    <t xml:space="preserve">GAP + Giá mua </t>
  </si>
  <si>
    <t>Đầu tư, công suất</t>
  </si>
  <si>
    <t>Công suất thiết kế</t>
  </si>
  <si>
    <t>Chuyền phân loại chai</t>
  </si>
  <si>
    <t>Chuyền băm vảy</t>
  </si>
  <si>
    <t>Tổng đầu tư</t>
  </si>
  <si>
    <t>Hiệu quả đầu tư</t>
  </si>
  <si>
    <t>Thời hạn vay</t>
  </si>
  <si>
    <t>Năm 9</t>
  </si>
  <si>
    <t>Năm 10</t>
  </si>
  <si>
    <t>Năm 11</t>
  </si>
  <si>
    <t>Năm 12</t>
  </si>
  <si>
    <t>Năm 13</t>
  </si>
  <si>
    <t>Năm 14</t>
  </si>
  <si>
    <t>Năm 15</t>
  </si>
  <si>
    <t>Năm 16</t>
  </si>
  <si>
    <t>Năm 17</t>
  </si>
  <si>
    <t>Năm 18</t>
  </si>
  <si>
    <t>Năm 19</t>
  </si>
  <si>
    <t>Năm 20</t>
  </si>
  <si>
    <t>(Bằng lãi suất cho vay dài hạn)</t>
  </si>
  <si>
    <t>Chỉ số</t>
  </si>
  <si>
    <t>NPV (tỷ đồng)</t>
  </si>
  <si>
    <t>Thời gian hoàn vốn (năm)_1</t>
  </si>
  <si>
    <t>Hiệu suất mong muốn</t>
  </si>
  <si>
    <t>Các chỉ tiêu</t>
  </si>
  <si>
    <t>Đvt</t>
  </si>
  <si>
    <t xml:space="preserve">Doanh thu thuần </t>
  </si>
  <si>
    <t>Triệu đồng/Tấn</t>
  </si>
  <si>
    <t xml:space="preserve"> Chi phí nhân sự</t>
  </si>
  <si>
    <t xml:space="preserve">  Chi phí nhân sự / Doanh thu (%)</t>
  </si>
  <si>
    <t xml:space="preserve">  Doanh thu bình quân đầu người</t>
  </si>
  <si>
    <t xml:space="preserve">  Sản lượng bán bình quân đầu người</t>
  </si>
  <si>
    <t xml:space="preserve">  Chi phí sản xuất / Tấn </t>
  </si>
  <si>
    <t xml:space="preserve">  Chi phí sản xuất / Doanh thu (%)</t>
  </si>
  <si>
    <t xml:space="preserve">  EBITDA</t>
  </si>
  <si>
    <t xml:space="preserve">  % EBITDA / Doanh thu</t>
  </si>
  <si>
    <t>Lợi nhuận sau thuế</t>
  </si>
  <si>
    <t xml:space="preserve"> Sản lượng</t>
  </si>
  <si>
    <t xml:space="preserve">  Sản lượng bán</t>
  </si>
  <si>
    <t xml:space="preserve">  Lãi biến phí / Tấn </t>
  </si>
  <si>
    <t xml:space="preserve">  Lãi biến phí / Doanh thu (%)</t>
  </si>
  <si>
    <t xml:space="preserve">  % Chi phí hoạt động / Doanh thu</t>
  </si>
  <si>
    <t xml:space="preserve">  % Chi phí khấu hao / Doanh thu</t>
  </si>
  <si>
    <t xml:space="preserve">  % Lợi nhuận sau thuế / Doanh thu</t>
  </si>
  <si>
    <t xml:space="preserve">  NPV</t>
  </si>
  <si>
    <t xml:space="preserve">  IRR</t>
  </si>
  <si>
    <t xml:space="preserve">  Thời gian hoàn vốn</t>
  </si>
  <si>
    <t xml:space="preserve">  Sản lượng mua (B0)</t>
  </si>
  <si>
    <t>Năm</t>
  </si>
  <si>
    <t xml:space="preserve">  Giá mua / Tấn</t>
  </si>
  <si>
    <t xml:space="preserve">  Giá bán/ Tấn</t>
  </si>
  <si>
    <t>Triệu đồng/Người</t>
  </si>
  <si>
    <t>Tấn/Người</t>
  </si>
  <si>
    <t xml:space="preserve">  Chi phí sản xuất (gồm biến phí, không gồm NL)</t>
  </si>
  <si>
    <r>
      <t xml:space="preserve"> Chi phí hoạt động </t>
    </r>
    <r>
      <rPr>
        <sz val="10"/>
        <color rgb="FF000000"/>
        <rFont val="Arial"/>
        <family val="2"/>
      </rPr>
      <t>(không gồm CP nhân sự)</t>
    </r>
  </si>
  <si>
    <t>CÁC CHỈ SỐ TÀI CHÍNH</t>
  </si>
  <si>
    <r>
      <t xml:space="preserve">Lãi biến phí </t>
    </r>
    <r>
      <rPr>
        <sz val="10"/>
        <color rgb="FF000000"/>
        <rFont val="Arial"/>
        <family val="2"/>
      </rPr>
      <t>(gồm NVL+biến phí SX+vận chuyển)</t>
    </r>
  </si>
  <si>
    <t>SL Thành phẩm HÒA VỐN</t>
  </si>
  <si>
    <t>SL NVL HÒA VỐN</t>
  </si>
  <si>
    <t>SL Thành phẩm kế hoạch</t>
  </si>
  <si>
    <t>1. CÔNG NGHỆ</t>
  </si>
  <si>
    <t>5. TUÂN THỦ</t>
  </si>
  <si>
    <t>2. Chính sách EPR thay đổi</t>
  </si>
  <si>
    <t>Nhận diện rủi ro</t>
  </si>
  <si>
    <t>2. CUNG ỨNG NGUYÊN LIỆU</t>
  </si>
  <si>
    <t>2. Giá đầu vào biến động mạnh</t>
  </si>
  <si>
    <t>1. Hiệu suất máy thấp</t>
  </si>
  <si>
    <t>2. Tỷ lệ hao hụt cao</t>
  </si>
  <si>
    <t>3. Chất lượng chai sau phân loại không đạt chuẩn</t>
  </si>
  <si>
    <t xml:space="preserve">1. Xây dựng hệ thống KPIs để kiểm soát: </t>
  </si>
  <si>
    <t>- % Hiệu suất máy</t>
  </si>
  <si>
    <t>- Năng suất lao động (Tấn/giờ; Tấn/người)</t>
  </si>
  <si>
    <t>- % Hao hụt</t>
  </si>
  <si>
    <t>- % Thành phần chai sau phân loại</t>
  </si>
  <si>
    <t>1. Không đáp ứng tiêu chuẩn môi trường</t>
  </si>
  <si>
    <t>1. Xin giấy phép môi trường</t>
  </si>
  <si>
    <t>2. Đầu tư hệ thống XLNT</t>
  </si>
  <si>
    <t>3. THỊ TRƯỜNG ĐẦU RA</t>
  </si>
  <si>
    <t>4. VẬN HÀNH</t>
  </si>
  <si>
    <t>4. Chi phí vận hành cao</t>
  </si>
  <si>
    <t>- Chi phí vận hành/tấn</t>
  </si>
  <si>
    <t>- Tiêu chuẩn hóa MMTB</t>
  </si>
  <si>
    <t>- Tinh gọn định biên</t>
  </si>
  <si>
    <t>- Kiểm soát định mức chi phí</t>
  </si>
  <si>
    <t>- Bố trí Ca sản xuất hợp lý</t>
  </si>
  <si>
    <t>3. Cạnh tranh với đối thủ về giá bán hạt nhựa rPET</t>
  </si>
  <si>
    <t>1. Giá hạt nhựa chính phẩm (vPET) giảm</t>
  </si>
  <si>
    <t>RỦI RO</t>
  </si>
  <si>
    <t>5. KQKD bị lỗ</t>
  </si>
  <si>
    <t>1. Chọn địa điểm gần nguồn nguyên liệu</t>
  </si>
  <si>
    <t>2. Phát triển hệ thống NCC đồng hành, NCC chiến lược (cấp 1)</t>
  </si>
  <si>
    <t>3. Xây dựng hệ thống NCC vệ tinh cấp 2, cấp 3,..</t>
  </si>
  <si>
    <t>4. Đa dạng nguồn nguyên liệu (nhập khẩu)</t>
  </si>
  <si>
    <t>1. Công nghệ MMTB phân loại không phù hợp:</t>
  </si>
  <si>
    <t>- Máy (AI) không nhận diện tốt các loại chai</t>
  </si>
  <si>
    <t>- Máy NK không phù hợp với đặc thù nguyên liệu đầu vào ở VN</t>
  </si>
  <si>
    <t>1. Đánh giá kỹ và chọn công nghệ/NCC phù hợp</t>
  </si>
  <si>
    <t>- Công suất các công đoạn không đồng bộ</t>
  </si>
  <si>
    <t>3. Phụ thuộc vào thương lái, sản lượng không ổn định</t>
  </si>
  <si>
    <t>3. Các rủi ro về thuế, hóa đơn</t>
  </si>
  <si>
    <t>2. Không đáp ứng tiêu chuẩn PCCC</t>
  </si>
  <si>
    <t>3. Đầu tư hệ thống PCCC, mua bảo hiểm cháy nổ (nếu NX thuê phải đảm bảo có GP PCCC)</t>
  </si>
  <si>
    <t>1. Thiếu nguồn chai đầu vào, cạnh tranh với đối thủ</t>
  </si>
  <si>
    <t>QUẢN LÝ RỦI RO</t>
  </si>
  <si>
    <t>Ghi chú:</t>
  </si>
  <si>
    <t>Rủi ro cao</t>
  </si>
  <si>
    <t>Rủi ro trung bình</t>
  </si>
  <si>
    <t>Kế hoạch sản xuất</t>
  </si>
  <si>
    <t>TT</t>
  </si>
  <si>
    <t>H.S 40%</t>
  </si>
  <si>
    <t>H.S 60%</t>
  </si>
  <si>
    <t>H.S 80%</t>
  </si>
  <si>
    <t>H.S 100%</t>
  </si>
  <si>
    <t>Hiệu suất_40%</t>
  </si>
  <si>
    <t>Hiệu suất_60%</t>
  </si>
  <si>
    <t>Hiệu suất_80%</t>
  </si>
  <si>
    <t>Hiệu suất_100%</t>
  </si>
  <si>
    <t xml:space="preserve">Công suất </t>
  </si>
  <si>
    <t>1giờ</t>
  </si>
  <si>
    <t>tấn</t>
  </si>
  <si>
    <t>1 ca</t>
  </si>
  <si>
    <t>giờ</t>
  </si>
  <si>
    <t>1 tháng</t>
  </si>
  <si>
    <t>ngày</t>
  </si>
  <si>
    <t>Công suất 1 ca/1 tháng</t>
  </si>
  <si>
    <t>1.MMTB chính</t>
  </si>
  <si>
    <t>2.Điện, hơi</t>
  </si>
  <si>
    <t>3.Thiết bị SX</t>
  </si>
  <si>
    <t>4.Thiết bị QL</t>
  </si>
  <si>
    <t>Chuyến</t>
  </si>
  <si>
    <t>Cấp liệu</t>
  </si>
  <si>
    <t>Phá kiện</t>
  </si>
  <si>
    <t>Sàn tách tạp chất</t>
  </si>
  <si>
    <t xml:space="preserve">Lựa phân loại chai </t>
  </si>
  <si>
    <t>Băng tải cấp chai từ lồng chứa</t>
  </si>
  <si>
    <t>Băng tải cầp chai máy sort</t>
  </si>
  <si>
    <t>Cải tạo hệ thống điện (trạm điện và hệ thống điện đến máy)</t>
  </si>
  <si>
    <t>GĐ 1 không có</t>
  </si>
  <si>
    <t>GĐ 1 = 2 Cái</t>
  </si>
  <si>
    <t>GĐ 1 = 1 Cái</t>
  </si>
  <si>
    <t>GĐ 2 cộng thêm 50 triệu</t>
  </si>
  <si>
    <t>GĐ 2 cộng thêm 300 triệu</t>
  </si>
  <si>
    <t>GĐ 2 cộng thêm 100 triệu</t>
  </si>
  <si>
    <t>Băng tải máy phá kiện</t>
  </si>
  <si>
    <t>Mồ hình sản xuất</t>
  </si>
  <si>
    <t>Công suất thiết kế chuyền</t>
  </si>
  <si>
    <t>1 - Diện tích xưởng, giá thuê</t>
  </si>
  <si>
    <t>2 - Giá mua chai B0, tỷ lệ mua, % hao hụt</t>
  </si>
  <si>
    <t>3 - Giá bán chai thành phẩm, vảy (đồng/kg)</t>
  </si>
  <si>
    <t>4 - Tỷ lệ % chai thành phẩm sau phân loại và tỷ lệ % chai đưa vô băm vảy</t>
  </si>
  <si>
    <t>% chi phí theo lương/ lương chính</t>
  </si>
  <si>
    <t>Tỷ lệ % PB Chi phí phúc lợi NV và Chi phí QL</t>
  </si>
  <si>
    <t>5 -  Cơ cấu vay</t>
  </si>
  <si>
    <t>6 - Chi phí vốn bình quân (WACC)</t>
  </si>
  <si>
    <t>7 - Thời gian khấu hao (năm)</t>
  </si>
  <si>
    <t>SL NVL kế hoạch</t>
  </si>
  <si>
    <t>Chi phí đồng/ kg sản phẩm</t>
  </si>
  <si>
    <t>- Mua vật tư SX tập trung các Trạm</t>
  </si>
  <si>
    <t>5. Hỗ trợ NCC thủ tục đăng ký thuế, hóa đơn</t>
  </si>
  <si>
    <t>4. Chọn địa điểm cách biệt khu dân cư</t>
  </si>
  <si>
    <t>Giải pháp kiểm soát</t>
  </si>
  <si>
    <t>1. Tối ưu chi phí sản xuất để tăng cạnh tranh thông qua các giải pháp:</t>
  </si>
  <si>
    <t>ĐỊNH MỨC PHÂN LOẠI CHAI</t>
  </si>
  <si>
    <t>TỔNG CHI PHÍ/ 1 THÁNG (Triệu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</si>
</sst>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\ \ @"/>
    <numFmt numFmtId="166" formatCode="_(* #,##0.0_);_(* \(#,##0.0\);_(* &quot;-&quot;??_);_(@_)"/>
    <numFmt numFmtId="167" formatCode="#,###,,"/>
    <numFmt numFmtId="168" formatCode="#,###,"/>
    <numFmt numFmtId="169" formatCode="0.0%"/>
    <numFmt numFmtId="170" formatCode="0.0"/>
    <numFmt numFmtId="171" formatCode="0_);\(0\)"/>
    <numFmt numFmtId="172" formatCode="#,##0,"/>
    <numFmt numFmtId="173" formatCode="#,##0,,"/>
    <numFmt numFmtId="174" formatCode="#,###.0,,"/>
    <numFmt numFmtId="175" formatCode="#,##0.0,,"/>
    <numFmt numFmtId="176" formatCode="#,##0.0_);\(#,##0.0\)"/>
    <numFmt numFmtId="177" formatCode="#,##0.0,,,"/>
    <numFmt numFmtId="178" formatCode="#,##0,,,"/>
    <numFmt numFmtId="179" formatCode="#,###.0,,,"/>
    <numFmt numFmtId="180" formatCode="#,##0.0"/>
    <numFmt numFmtId="181" formatCode="#,##0.0,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egoe UI"/>
      <family val="2"/>
      <charset val="163"/>
    </font>
    <font>
      <sz val="8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2"/>
      <charset val="163"/>
    </font>
    <font>
      <i/>
      <sz val="11"/>
      <color theme="1"/>
      <name val="Arial"/>
      <family val="2"/>
    </font>
    <font>
      <i/>
      <sz val="11"/>
      <color rgb="FF4747FF"/>
      <name val="Arial"/>
      <family val="2"/>
    </font>
    <font>
      <i/>
      <sz val="11"/>
      <color rgb="FF3333FF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3333FF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rgb="FF119303"/>
      <name val="Arial"/>
      <family val="2"/>
    </font>
    <font>
      <b/>
      <sz val="11"/>
      <color rgb="FF0066FF"/>
      <name val="Arial"/>
      <family val="2"/>
    </font>
    <font>
      <b/>
      <sz val="11"/>
      <color rgb="FFFFC000"/>
      <name val="Arial"/>
      <family val="2"/>
    </font>
    <font>
      <b/>
      <sz val="11"/>
      <color theme="0"/>
      <name val="Arial"/>
      <family val="2"/>
    </font>
    <font>
      <b/>
      <sz val="11"/>
      <color rgb="FF00B050"/>
      <name val="Arial"/>
      <family val="2"/>
    </font>
    <font>
      <sz val="11"/>
      <color rgb="FFC00000"/>
      <name val="Arial"/>
      <family val="2"/>
    </font>
    <font>
      <i/>
      <sz val="11"/>
      <color rgb="FF0000FF"/>
      <name val="Arial"/>
      <family val="2"/>
    </font>
    <font>
      <sz val="11"/>
      <color theme="1"/>
      <name val="Times New Roman"/>
      <family val="1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Arial"/>
      <family val="2"/>
    </font>
    <font>
      <sz val="11"/>
      <color rgb="FF0066FF"/>
      <name val="Arial"/>
      <family val="2"/>
    </font>
    <font>
      <b/>
      <sz val="11"/>
      <color rgb="FF00B0F0"/>
      <name val="Arial"/>
      <family val="2"/>
    </font>
    <font>
      <i/>
      <sz val="11"/>
      <color rgb="FF00B0F0"/>
      <name val="Arial"/>
      <family val="2"/>
    </font>
    <font>
      <b/>
      <i/>
      <sz val="11"/>
      <color rgb="FF00B0F0"/>
      <name val="Arial"/>
      <family val="2"/>
    </font>
    <font>
      <b/>
      <sz val="11"/>
      <color theme="9"/>
      <name val="Arial"/>
      <family val="2"/>
    </font>
    <font>
      <sz val="11"/>
      <color theme="9"/>
      <name val="Arial"/>
      <family val="2"/>
    </font>
    <font>
      <sz val="11"/>
      <name val="Arial"/>
      <family val="2"/>
    </font>
    <font>
      <b/>
      <i/>
      <sz val="11"/>
      <color theme="1" tint="0.34998626667073579"/>
      <name val="Arial"/>
      <family val="2"/>
    </font>
    <font>
      <i/>
      <sz val="11"/>
      <color theme="1" tint="0.34998626667073579"/>
      <name val="Arial"/>
      <family val="2"/>
    </font>
    <font>
      <b/>
      <sz val="14"/>
      <color theme="0"/>
      <name val="Arial"/>
      <family val="2"/>
    </font>
    <font>
      <b/>
      <sz val="12"/>
      <color theme="9"/>
      <name val="Arial"/>
      <family val="2"/>
    </font>
    <font>
      <b/>
      <sz val="14"/>
      <color theme="9"/>
      <name val="Arial"/>
      <family val="2"/>
    </font>
    <font>
      <b/>
      <sz val="14"/>
      <color rgb="FF0066FF"/>
      <name val="Arial"/>
      <family val="2"/>
    </font>
    <font>
      <b/>
      <sz val="11"/>
      <color rgb="FFFFFF00"/>
      <name val="Arial"/>
      <family val="2"/>
    </font>
    <font>
      <sz val="11"/>
      <color rgb="FFFFFF00"/>
      <name val="Arial"/>
      <family val="2"/>
    </font>
    <font>
      <i/>
      <sz val="11"/>
      <color rgb="FF0066FF"/>
      <name val="Arial"/>
      <family val="2"/>
    </font>
    <font>
      <i/>
      <sz val="11"/>
      <color theme="4" tint="0.3999755851924192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12"/>
      <color theme="1"/>
      <name val="Arial"/>
      <family val="2"/>
    </font>
    <font>
      <sz val="11"/>
      <color rgb="FF0066FF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3"/>
      <color theme="1"/>
      <name val="Arial"/>
      <family val="2"/>
    </font>
    <font>
      <b/>
      <sz val="12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747"/>
        <bgColor indexed="64"/>
      </patternFill>
    </fill>
  </fills>
  <borders count="1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hair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66FF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rgb="FF0066FF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rgb="FF0066FF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rgb="FF0066FF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66FF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rgb="FF0066FF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rgb="FF0066FF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6FF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66FF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rgb="FF0066FF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66FF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6FF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66FF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rgb="FF0066FF"/>
      </left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 style="thin">
        <color rgb="FF0066FF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rgb="FF0066FF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thin">
        <color rgb="FF0066FF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thin">
        <color rgb="FF0066FF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slantDashDot">
        <color rgb="FF0066FF"/>
      </left>
      <right/>
      <top style="slantDashDot">
        <color rgb="FF0066FF"/>
      </top>
      <bottom/>
      <diagonal/>
    </border>
    <border>
      <left/>
      <right/>
      <top style="slantDashDot">
        <color rgb="FF0066FF"/>
      </top>
      <bottom/>
      <diagonal/>
    </border>
    <border>
      <left/>
      <right style="slantDashDot">
        <color rgb="FF0066FF"/>
      </right>
      <top style="slantDashDot">
        <color rgb="FF0066FF"/>
      </top>
      <bottom/>
      <diagonal/>
    </border>
    <border>
      <left style="slantDashDot">
        <color rgb="FF0066FF"/>
      </left>
      <right/>
      <top/>
      <bottom/>
      <diagonal/>
    </border>
    <border>
      <left/>
      <right style="slantDashDot">
        <color rgb="FF0066FF"/>
      </right>
      <top/>
      <bottom/>
      <diagonal/>
    </border>
    <border>
      <left style="slantDashDot">
        <color rgb="FF0066FF"/>
      </left>
      <right/>
      <top/>
      <bottom style="slantDashDot">
        <color rgb="FF0066FF"/>
      </bottom>
      <diagonal/>
    </border>
    <border>
      <left/>
      <right/>
      <top/>
      <bottom style="slantDashDot">
        <color rgb="FF0066FF"/>
      </bottom>
      <diagonal/>
    </border>
    <border>
      <left/>
      <right style="slantDashDot">
        <color rgb="FF0066FF"/>
      </right>
      <top/>
      <bottom style="slantDashDot">
        <color rgb="FF0066FF"/>
      </bottom>
      <diagonal/>
    </border>
    <border>
      <left style="medium">
        <color indexed="64"/>
      </left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 style="medium">
        <color indexed="64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 style="thin">
        <color indexed="64"/>
      </left>
      <right style="thin">
        <color theme="0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medium">
        <color indexed="64"/>
      </right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thin">
        <color rgb="FF9E9E9E"/>
      </right>
      <top style="thin">
        <color rgb="FF9E9E9E"/>
      </top>
      <bottom style="medium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medium">
        <color indexed="64"/>
      </bottom>
      <diagonal/>
    </border>
    <border>
      <left style="thin">
        <color rgb="FF9E9E9E"/>
      </left>
      <right style="medium">
        <color indexed="64"/>
      </right>
      <top style="thin">
        <color rgb="FF9E9E9E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rgb="FF0066FF"/>
      </right>
      <top/>
      <bottom style="thin">
        <color indexed="64"/>
      </bottom>
      <diagonal/>
    </border>
    <border>
      <left style="thin">
        <color rgb="FF0066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66FF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43" fontId="6" fillId="0" borderId="0" applyFont="0" applyFill="0" applyBorder="0" applyAlignment="0" applyProtection="0"/>
    <xf numFmtId="0" fontId="7" fillId="0" borderId="0"/>
    <xf numFmtId="0" fontId="8" fillId="0" borderId="0"/>
    <xf numFmtId="43" fontId="7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</cellStyleXfs>
  <cellXfs count="119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2" fillId="0" borderId="11" xfId="0" applyFont="1" applyBorder="1" applyAlignment="1">
      <alignment vertical="center" wrapText="1"/>
    </xf>
    <xf numFmtId="164" fontId="2" fillId="4" borderId="11" xfId="1" applyNumberFormat="1" applyFont="1" applyFill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" fontId="2" fillId="0" borderId="0" xfId="0" applyNumberFormat="1" applyFont="1" applyAlignment="1">
      <alignment horizontal="center" vertical="center"/>
    </xf>
    <xf numFmtId="164" fontId="3" fillId="0" borderId="18" xfId="1" applyNumberFormat="1" applyFont="1" applyFill="1" applyBorder="1" applyAlignment="1">
      <alignment horizontal="left" vertical="center"/>
    </xf>
    <xf numFmtId="169" fontId="11" fillId="0" borderId="19" xfId="2" applyNumberFormat="1" applyFont="1" applyFill="1" applyBorder="1" applyAlignment="1">
      <alignment horizontal="left" vertical="center"/>
    </xf>
    <xf numFmtId="169" fontId="10" fillId="0" borderId="19" xfId="2" applyNumberFormat="1" applyFont="1" applyFill="1" applyBorder="1" applyAlignment="1">
      <alignment horizontal="left" vertical="center"/>
    </xf>
    <xf numFmtId="164" fontId="3" fillId="0" borderId="19" xfId="1" applyNumberFormat="1" applyFont="1" applyFill="1" applyBorder="1" applyAlignment="1">
      <alignment vertical="center"/>
    </xf>
    <xf numFmtId="169" fontId="12" fillId="0" borderId="19" xfId="2" applyNumberFormat="1" applyFont="1" applyFill="1" applyBorder="1" applyAlignment="1">
      <alignment horizontal="left" vertical="center"/>
    </xf>
    <xf numFmtId="169" fontId="2" fillId="0" borderId="19" xfId="2" applyNumberFormat="1" applyFont="1" applyFill="1" applyBorder="1" applyAlignment="1">
      <alignment horizontal="left" vertical="center"/>
    </xf>
    <xf numFmtId="164" fontId="13" fillId="0" borderId="19" xfId="1" applyNumberFormat="1" applyFont="1" applyFill="1" applyBorder="1" applyAlignment="1">
      <alignment vertical="center"/>
    </xf>
    <xf numFmtId="169" fontId="14" fillId="0" borderId="19" xfId="2" applyNumberFormat="1" applyFont="1" applyFill="1" applyBorder="1" applyAlignment="1">
      <alignment horizontal="left" vertical="center"/>
    </xf>
    <xf numFmtId="169" fontId="13" fillId="0" borderId="19" xfId="2" applyNumberFormat="1" applyFont="1" applyFill="1" applyBorder="1" applyAlignment="1">
      <alignment horizontal="left" vertical="center"/>
    </xf>
    <xf numFmtId="164" fontId="15" fillId="0" borderId="19" xfId="1" applyNumberFormat="1" applyFont="1" applyFill="1" applyBorder="1" applyAlignment="1">
      <alignment vertical="center"/>
    </xf>
    <xf numFmtId="164" fontId="16" fillId="0" borderId="19" xfId="1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164" fontId="2" fillId="0" borderId="0" xfId="1" applyNumberFormat="1" applyFont="1"/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43" fontId="2" fillId="4" borderId="11" xfId="1" applyFont="1" applyFill="1" applyBorder="1" applyAlignment="1">
      <alignment horizontal="center" vertical="center" wrapText="1"/>
    </xf>
    <xf numFmtId="166" fontId="2" fillId="4" borderId="11" xfId="1" applyNumberFormat="1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vertical="center" wrapText="1"/>
    </xf>
    <xf numFmtId="164" fontId="2" fillId="4" borderId="13" xfId="1" applyNumberFormat="1" applyFont="1" applyFill="1" applyBorder="1" applyAlignment="1">
      <alignment vertical="center" wrapText="1"/>
    </xf>
    <xf numFmtId="167" fontId="2" fillId="4" borderId="11" xfId="1" applyNumberFormat="1" applyFont="1" applyFill="1" applyBorder="1" applyAlignment="1">
      <alignment horizontal="center" vertical="center" wrapText="1"/>
    </xf>
    <xf numFmtId="167" fontId="2" fillId="4" borderId="13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2" fillId="4" borderId="0" xfId="1" applyNumberFormat="1" applyFont="1" applyFill="1" applyBorder="1" applyAlignment="1">
      <alignment vertical="center" wrapText="1"/>
    </xf>
    <xf numFmtId="0" fontId="2" fillId="0" borderId="0" xfId="7" applyFont="1"/>
    <xf numFmtId="0" fontId="19" fillId="0" borderId="0" xfId="7" applyFont="1" applyAlignment="1">
      <alignment vertical="top"/>
    </xf>
    <xf numFmtId="0" fontId="2" fillId="0" borderId="0" xfId="7" applyFont="1" applyAlignment="1">
      <alignment horizontal="center"/>
    </xf>
    <xf numFmtId="2" fontId="2" fillId="0" borderId="0" xfId="7" applyNumberFormat="1" applyFont="1" applyAlignment="1">
      <alignment horizontal="center"/>
    </xf>
    <xf numFmtId="0" fontId="17" fillId="0" borderId="0" xfId="7" applyFont="1" applyAlignment="1">
      <alignment vertical="top"/>
    </xf>
    <xf numFmtId="0" fontId="20" fillId="0" borderId="0" xfId="7" applyFont="1" applyAlignment="1">
      <alignment horizontal="left" vertical="top"/>
    </xf>
    <xf numFmtId="0" fontId="21" fillId="0" borderId="0" xfId="7" applyFont="1"/>
    <xf numFmtId="0" fontId="3" fillId="0" borderId="0" xfId="7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43" fontId="18" fillId="0" borderId="0" xfId="1" applyFont="1" applyBorder="1" applyAlignment="1">
      <alignment vertical="center"/>
    </xf>
    <xf numFmtId="0" fontId="2" fillId="4" borderId="0" xfId="0" applyFont="1" applyFill="1" applyAlignment="1">
      <alignment horizontal="right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68" fontId="2" fillId="0" borderId="0" xfId="0" applyNumberFormat="1" applyFont="1" applyAlignment="1">
      <alignment vertical="center" wrapText="1"/>
    </xf>
    <xf numFmtId="9" fontId="2" fillId="0" borderId="0" xfId="2" applyFont="1" applyAlignment="1">
      <alignment vertical="center" wrapText="1"/>
    </xf>
    <xf numFmtId="0" fontId="2" fillId="4" borderId="9" xfId="0" applyFont="1" applyFill="1" applyBorder="1" applyAlignment="1">
      <alignment horizontal="left" vertical="center" wrapText="1"/>
    </xf>
    <xf numFmtId="164" fontId="2" fillId="0" borderId="19" xfId="1" applyNumberFormat="1" applyFont="1" applyFill="1" applyBorder="1" applyAlignment="1">
      <alignment vertical="center"/>
    </xf>
    <xf numFmtId="169" fontId="25" fillId="0" borderId="11" xfId="2" applyNumberFormat="1" applyFont="1" applyBorder="1"/>
    <xf numFmtId="173" fontId="2" fillId="0" borderId="11" xfId="0" applyNumberFormat="1" applyFont="1" applyBorder="1"/>
    <xf numFmtId="173" fontId="3" fillId="0" borderId="11" xfId="0" applyNumberFormat="1" applyFont="1" applyBorder="1"/>
    <xf numFmtId="175" fontId="2" fillId="0" borderId="11" xfId="0" applyNumberFormat="1" applyFont="1" applyBorder="1"/>
    <xf numFmtId="168" fontId="3" fillId="0" borderId="15" xfId="1" applyNumberFormat="1" applyFont="1" applyBorder="1"/>
    <xf numFmtId="0" fontId="16" fillId="0" borderId="0" xfId="0" applyFont="1" applyAlignment="1">
      <alignment vertical="center" wrapText="1"/>
    </xf>
    <xf numFmtId="168" fontId="2" fillId="0" borderId="0" xfId="0" applyNumberFormat="1" applyFont="1"/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4" fontId="2" fillId="0" borderId="0" xfId="0" applyNumberFormat="1" applyFont="1"/>
    <xf numFmtId="0" fontId="16" fillId="0" borderId="0" xfId="0" applyFont="1"/>
    <xf numFmtId="0" fontId="28" fillId="4" borderId="9" xfId="0" applyFont="1" applyFill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left" vertical="center" wrapText="1"/>
    </xf>
    <xf numFmtId="164" fontId="28" fillId="4" borderId="9" xfId="1" applyNumberFormat="1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vertical="center" wrapText="1"/>
    </xf>
    <xf numFmtId="164" fontId="28" fillId="0" borderId="9" xfId="1" applyNumberFormat="1" applyFont="1" applyBorder="1" applyAlignment="1">
      <alignment vertical="center"/>
    </xf>
    <xf numFmtId="164" fontId="29" fillId="0" borderId="9" xfId="1" applyNumberFormat="1" applyFont="1" applyBorder="1" applyAlignment="1">
      <alignment vertical="center"/>
    </xf>
    <xf numFmtId="164" fontId="28" fillId="0" borderId="9" xfId="1" applyNumberFormat="1" applyFont="1" applyBorder="1" applyAlignment="1">
      <alignment horizontal="right" vertical="center"/>
    </xf>
    <xf numFmtId="0" fontId="28" fillId="0" borderId="9" xfId="0" applyFont="1" applyBorder="1" applyAlignment="1">
      <alignment horizontal="left" vertical="center" wrapText="1"/>
    </xf>
    <xf numFmtId="164" fontId="28" fillId="0" borderId="9" xfId="1" quotePrefix="1" applyNumberFormat="1" applyFont="1" applyBorder="1" applyAlignment="1">
      <alignment horizontal="left" vertical="center" wrapText="1"/>
    </xf>
    <xf numFmtId="164" fontId="28" fillId="0" borderId="9" xfId="1" applyNumberFormat="1" applyFont="1" applyBorder="1" applyAlignment="1">
      <alignment horizontal="left" vertical="center" wrapText="1"/>
    </xf>
    <xf numFmtId="0" fontId="28" fillId="0" borderId="9" xfId="0" quotePrefix="1" applyFont="1" applyBorder="1" applyAlignment="1">
      <alignment horizontal="left" vertical="center" wrapText="1"/>
    </xf>
    <xf numFmtId="0" fontId="28" fillId="0" borderId="16" xfId="1" quotePrefix="1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0" fontId="29" fillId="0" borderId="9" xfId="0" applyFont="1" applyBorder="1" applyAlignment="1">
      <alignment horizontal="center" vertical="center" wrapText="1"/>
    </xf>
    <xf numFmtId="0" fontId="28" fillId="0" borderId="9" xfId="1" quotePrefix="1" applyNumberFormat="1" applyFont="1" applyBorder="1" applyAlignment="1">
      <alignment vertical="center" wrapText="1"/>
    </xf>
    <xf numFmtId="0" fontId="2" fillId="0" borderId="9" xfId="0" applyFont="1" applyBorder="1" applyAlignment="1">
      <alignment wrapText="1"/>
    </xf>
    <xf numFmtId="164" fontId="27" fillId="0" borderId="9" xfId="1" applyNumberFormat="1" applyFont="1" applyBorder="1" applyAlignment="1">
      <alignment vertical="center"/>
    </xf>
    <xf numFmtId="0" fontId="2" fillId="3" borderId="0" xfId="7" applyFont="1" applyFill="1"/>
    <xf numFmtId="168" fontId="3" fillId="0" borderId="30" xfId="1" applyNumberFormat="1" applyFont="1" applyBorder="1"/>
    <xf numFmtId="168" fontId="3" fillId="0" borderId="31" xfId="1" applyNumberFormat="1" applyFont="1" applyBorder="1"/>
    <xf numFmtId="173" fontId="3" fillId="0" borderId="32" xfId="0" applyNumberFormat="1" applyFont="1" applyBorder="1"/>
    <xf numFmtId="173" fontId="3" fillId="0" borderId="33" xfId="0" applyNumberFormat="1" applyFont="1" applyBorder="1"/>
    <xf numFmtId="169" fontId="25" fillId="0" borderId="32" xfId="2" applyNumberFormat="1" applyFont="1" applyBorder="1"/>
    <xf numFmtId="169" fontId="25" fillId="0" borderId="33" xfId="2" applyNumberFormat="1" applyFont="1" applyBorder="1"/>
    <xf numFmtId="175" fontId="2" fillId="0" borderId="32" xfId="0" applyNumberFormat="1" applyFont="1" applyBorder="1"/>
    <xf numFmtId="175" fontId="2" fillId="0" borderId="33" xfId="0" applyNumberFormat="1" applyFont="1" applyBorder="1"/>
    <xf numFmtId="173" fontId="2" fillId="0" borderId="32" xfId="0" applyNumberFormat="1" applyFont="1" applyBorder="1"/>
    <xf numFmtId="173" fontId="2" fillId="0" borderId="33" xfId="0" applyNumberFormat="1" applyFont="1" applyBorder="1"/>
    <xf numFmtId="169" fontId="25" fillId="0" borderId="34" xfId="2" applyNumberFormat="1" applyFont="1" applyBorder="1"/>
    <xf numFmtId="169" fontId="25" fillId="0" borderId="35" xfId="2" applyNumberFormat="1" applyFont="1" applyBorder="1"/>
    <xf numFmtId="169" fontId="25" fillId="0" borderId="36" xfId="2" applyNumberFormat="1" applyFont="1" applyBorder="1"/>
    <xf numFmtId="169" fontId="25" fillId="0" borderId="37" xfId="2" applyNumberFormat="1" applyFont="1" applyBorder="1"/>
    <xf numFmtId="164" fontId="2" fillId="4" borderId="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15" xfId="1" applyNumberFormat="1" applyFont="1" applyBorder="1" applyAlignment="1">
      <alignment vertical="center"/>
    </xf>
    <xf numFmtId="164" fontId="2" fillId="0" borderId="11" xfId="1" applyNumberFormat="1" applyFont="1" applyBorder="1" applyAlignment="1">
      <alignment vertical="center"/>
    </xf>
    <xf numFmtId="164" fontId="3" fillId="0" borderId="23" xfId="1" applyNumberFormat="1" applyFont="1" applyFill="1" applyBorder="1" applyAlignment="1">
      <alignment vertical="center"/>
    </xf>
    <xf numFmtId="169" fontId="2" fillId="0" borderId="23" xfId="2" applyNumberFormat="1" applyFont="1" applyFill="1" applyBorder="1" applyAlignment="1">
      <alignment horizontal="left" vertical="center"/>
    </xf>
    <xf numFmtId="164" fontId="13" fillId="0" borderId="23" xfId="1" applyNumberFormat="1" applyFont="1" applyFill="1" applyBorder="1" applyAlignment="1">
      <alignment vertical="center"/>
    </xf>
    <xf numFmtId="164" fontId="15" fillId="0" borderId="23" xfId="1" applyNumberFormat="1" applyFont="1" applyFill="1" applyBorder="1" applyAlignment="1">
      <alignment vertical="center"/>
    </xf>
    <xf numFmtId="0" fontId="22" fillId="5" borderId="9" xfId="5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164" fontId="20" fillId="0" borderId="23" xfId="1" applyNumberFormat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164" fontId="20" fillId="3" borderId="23" xfId="1" applyNumberFormat="1" applyFont="1" applyFill="1" applyBorder="1" applyAlignment="1">
      <alignment horizontal="left" vertical="center"/>
    </xf>
    <xf numFmtId="0" fontId="3" fillId="4" borderId="22" xfId="5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164" fontId="34" fillId="7" borderId="23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4" fontId="2" fillId="0" borderId="23" xfId="1" applyNumberFormat="1" applyFont="1" applyFill="1" applyBorder="1" applyAlignment="1">
      <alignment vertical="center"/>
    </xf>
    <xf numFmtId="0" fontId="22" fillId="5" borderId="28" xfId="0" applyFont="1" applyFill="1" applyBorder="1" applyAlignment="1">
      <alignment horizontal="center" vertical="center" wrapText="1"/>
    </xf>
    <xf numFmtId="0" fontId="22" fillId="5" borderId="29" xfId="0" applyFont="1" applyFill="1" applyBorder="1" applyAlignment="1">
      <alignment horizontal="center" vertical="center" wrapText="1"/>
    </xf>
    <xf numFmtId="164" fontId="3" fillId="4" borderId="31" xfId="1" applyNumberFormat="1" applyFont="1" applyFill="1" applyBorder="1" applyAlignment="1">
      <alignment horizontal="right" vertical="center"/>
    </xf>
    <xf numFmtId="169" fontId="20" fillId="0" borderId="33" xfId="2" applyNumberFormat="1" applyFont="1" applyBorder="1" applyAlignment="1">
      <alignment horizontal="right" vertical="center"/>
    </xf>
    <xf numFmtId="169" fontId="3" fillId="0" borderId="33" xfId="2" applyNumberFormat="1" applyFont="1" applyBorder="1" applyAlignment="1">
      <alignment horizontal="right" vertical="center"/>
    </xf>
    <xf numFmtId="169" fontId="13" fillId="7" borderId="33" xfId="2" applyNumberFormat="1" applyFont="1" applyFill="1" applyBorder="1" applyAlignment="1">
      <alignment horizontal="right" vertical="center"/>
    </xf>
    <xf numFmtId="1" fontId="3" fillId="4" borderId="30" xfId="5" applyNumberFormat="1" applyFont="1" applyFill="1" applyBorder="1" applyAlignment="1">
      <alignment horizontal="center" vertical="center"/>
    </xf>
    <xf numFmtId="0" fontId="3" fillId="4" borderId="54" xfId="5" applyFont="1" applyFill="1" applyBorder="1" applyAlignment="1">
      <alignment horizontal="center" vertical="center" wrapText="1"/>
    </xf>
    <xf numFmtId="1" fontId="20" fillId="3" borderId="32" xfId="1" applyNumberFormat="1" applyFont="1" applyFill="1" applyBorder="1" applyAlignment="1">
      <alignment horizontal="center" vertical="center"/>
    </xf>
    <xf numFmtId="164" fontId="20" fillId="3" borderId="55" xfId="1" applyNumberFormat="1" applyFont="1" applyFill="1" applyBorder="1" applyAlignment="1">
      <alignment horizontal="left" vertical="center"/>
    </xf>
    <xf numFmtId="170" fontId="20" fillId="0" borderId="32" xfId="1" applyNumberFormat="1" applyFont="1" applyFill="1" applyBorder="1" applyAlignment="1">
      <alignment horizontal="center" vertical="center"/>
    </xf>
    <xf numFmtId="164" fontId="20" fillId="0" borderId="55" xfId="1" applyNumberFormat="1" applyFont="1" applyFill="1" applyBorder="1" applyAlignment="1">
      <alignment vertical="center"/>
    </xf>
    <xf numFmtId="171" fontId="10" fillId="0" borderId="32" xfId="1" applyNumberFormat="1" applyFont="1" applyFill="1" applyBorder="1" applyAlignment="1">
      <alignment horizontal="center" vertical="center"/>
    </xf>
    <xf numFmtId="169" fontId="2" fillId="0" borderId="55" xfId="2" applyNumberFormat="1" applyFont="1" applyFill="1" applyBorder="1" applyAlignment="1">
      <alignment vertical="center" shrinkToFit="1"/>
    </xf>
    <xf numFmtId="169" fontId="10" fillId="0" borderId="55" xfId="2" applyNumberFormat="1" applyFont="1" applyFill="1" applyBorder="1" applyAlignment="1">
      <alignment vertical="center" shrinkToFit="1"/>
    </xf>
    <xf numFmtId="164" fontId="20" fillId="3" borderId="55" xfId="1" applyNumberFormat="1" applyFont="1" applyFill="1" applyBorder="1" applyAlignment="1">
      <alignment vertical="center" shrinkToFit="1"/>
    </xf>
    <xf numFmtId="164" fontId="20" fillId="0" borderId="55" xfId="1" applyNumberFormat="1" applyFont="1" applyFill="1" applyBorder="1" applyAlignment="1">
      <alignment vertical="center" shrinkToFit="1"/>
    </xf>
    <xf numFmtId="170" fontId="34" fillId="7" borderId="32" xfId="1" applyNumberFormat="1" applyFont="1" applyFill="1" applyBorder="1" applyAlignment="1">
      <alignment horizontal="center" vertical="center"/>
    </xf>
    <xf numFmtId="164" fontId="34" fillId="7" borderId="55" xfId="1" applyNumberFormat="1" applyFont="1" applyFill="1" applyBorder="1" applyAlignment="1">
      <alignment vertical="center"/>
    </xf>
    <xf numFmtId="171" fontId="33" fillId="0" borderId="32" xfId="1" applyNumberFormat="1" applyFont="1" applyFill="1" applyBorder="1" applyAlignment="1">
      <alignment horizontal="center" vertical="center"/>
    </xf>
    <xf numFmtId="164" fontId="2" fillId="0" borderId="55" xfId="1" applyNumberFormat="1" applyFont="1" applyFill="1" applyBorder="1" applyAlignment="1">
      <alignment vertical="center"/>
    </xf>
    <xf numFmtId="164" fontId="20" fillId="3" borderId="55" xfId="1" applyNumberFormat="1" applyFont="1" applyFill="1" applyBorder="1" applyAlignment="1">
      <alignment vertical="center"/>
    </xf>
    <xf numFmtId="171" fontId="13" fillId="0" borderId="34" xfId="1" applyNumberFormat="1" applyFont="1" applyFill="1" applyBorder="1" applyAlignment="1">
      <alignment horizontal="center" vertical="center"/>
    </xf>
    <xf numFmtId="164" fontId="20" fillId="0" borderId="37" xfId="1" applyNumberFormat="1" applyFont="1" applyFill="1" applyBorder="1" applyAlignment="1">
      <alignment vertical="center"/>
    </xf>
    <xf numFmtId="164" fontId="3" fillId="0" borderId="56" xfId="1" applyNumberFormat="1" applyFont="1" applyFill="1" applyBorder="1" applyAlignment="1">
      <alignment vertical="center"/>
    </xf>
    <xf numFmtId="0" fontId="30" fillId="5" borderId="9" xfId="0" applyFont="1" applyFill="1" applyBorder="1" applyAlignment="1">
      <alignment horizontal="center"/>
    </xf>
    <xf numFmtId="0" fontId="31" fillId="4" borderId="0" xfId="0" applyFont="1" applyFill="1"/>
    <xf numFmtId="0" fontId="20" fillId="3" borderId="15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left" vertical="center" wrapText="1"/>
    </xf>
    <xf numFmtId="173" fontId="2" fillId="4" borderId="11" xfId="0" applyNumberFormat="1" applyFont="1" applyFill="1" applyBorder="1"/>
    <xf numFmtId="0" fontId="20" fillId="3" borderId="11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34" fillId="4" borderId="11" xfId="0" applyFont="1" applyFill="1" applyBorder="1" applyAlignment="1">
      <alignment horizontal="left" vertical="center" wrapText="1"/>
    </xf>
    <xf numFmtId="0" fontId="32" fillId="4" borderId="11" xfId="0" applyFont="1" applyFill="1" applyBorder="1" applyAlignment="1">
      <alignment horizontal="center" vertical="center" wrapText="1"/>
    </xf>
    <xf numFmtId="173" fontId="20" fillId="3" borderId="15" xfId="0" applyNumberFormat="1" applyFont="1" applyFill="1" applyBorder="1" applyAlignment="1">
      <alignment horizontal="right" indent="1"/>
    </xf>
    <xf numFmtId="173" fontId="20" fillId="4" borderId="11" xfId="0" applyNumberFormat="1" applyFont="1" applyFill="1" applyBorder="1" applyAlignment="1">
      <alignment horizontal="right" indent="1"/>
    </xf>
    <xf numFmtId="173" fontId="3" fillId="4" borderId="11" xfId="0" applyNumberFormat="1" applyFont="1" applyFill="1" applyBorder="1" applyAlignment="1">
      <alignment horizontal="right" indent="1"/>
    </xf>
    <xf numFmtId="173" fontId="2" fillId="4" borderId="11" xfId="0" applyNumberFormat="1" applyFont="1" applyFill="1" applyBorder="1" applyAlignment="1">
      <alignment horizontal="right" indent="1"/>
    </xf>
    <xf numFmtId="173" fontId="20" fillId="3" borderId="13" xfId="0" applyNumberFormat="1" applyFont="1" applyFill="1" applyBorder="1" applyAlignment="1">
      <alignment horizontal="right" indent="1"/>
    </xf>
    <xf numFmtId="0" fontId="2" fillId="4" borderId="0" xfId="0" applyFont="1" applyFill="1" applyAlignment="1">
      <alignment horizontal="center"/>
    </xf>
    <xf numFmtId="176" fontId="2" fillId="4" borderId="0" xfId="0" applyNumberFormat="1" applyFont="1" applyFill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165" fontId="2" fillId="4" borderId="9" xfId="4" applyNumberFormat="1" applyFont="1" applyFill="1" applyBorder="1" applyAlignment="1">
      <alignment vertical="center"/>
    </xf>
    <xf numFmtId="165" fontId="2" fillId="4" borderId="9" xfId="4" applyNumberFormat="1" applyFont="1" applyFill="1" applyBorder="1" applyAlignment="1">
      <alignment horizontal="center" vertical="center"/>
    </xf>
    <xf numFmtId="37" fontId="2" fillId="4" borderId="9" xfId="1" applyNumberFormat="1" applyFont="1" applyFill="1" applyBorder="1" applyAlignment="1">
      <alignment horizontal="center" vertical="center"/>
    </xf>
    <xf numFmtId="176" fontId="2" fillId="4" borderId="9" xfId="1" applyNumberFormat="1" applyFont="1" applyFill="1" applyBorder="1" applyAlignment="1">
      <alignment horizontal="center" vertical="center"/>
    </xf>
    <xf numFmtId="165" fontId="2" fillId="4" borderId="9" xfId="4" applyNumberFormat="1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/>
    </xf>
    <xf numFmtId="164" fontId="2" fillId="4" borderId="9" xfId="1" applyNumberFormat="1" applyFont="1" applyFill="1" applyBorder="1" applyAlignment="1" applyProtection="1">
      <alignment horizontal="center" vertical="center"/>
    </xf>
    <xf numFmtId="37" fontId="2" fillId="4" borderId="9" xfId="1" applyNumberFormat="1" applyFont="1" applyFill="1" applyBorder="1" applyAlignment="1" applyProtection="1">
      <alignment horizontal="center" vertical="center"/>
    </xf>
    <xf numFmtId="0" fontId="22" fillId="5" borderId="9" xfId="3" applyFont="1" applyFill="1" applyBorder="1" applyAlignment="1">
      <alignment horizontal="center" vertical="center" wrapText="1"/>
    </xf>
    <xf numFmtId="176" fontId="22" fillId="5" borderId="9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165" fontId="2" fillId="4" borderId="11" xfId="4" applyNumberFormat="1" applyFont="1" applyFill="1" applyBorder="1" applyAlignment="1">
      <alignment vertical="center"/>
    </xf>
    <xf numFmtId="165" fontId="2" fillId="4" borderId="11" xfId="4" applyNumberFormat="1" applyFont="1" applyFill="1" applyBorder="1" applyAlignment="1">
      <alignment horizontal="center" vertical="center"/>
    </xf>
    <xf numFmtId="37" fontId="2" fillId="4" borderId="11" xfId="1" applyNumberFormat="1" applyFont="1" applyFill="1" applyBorder="1" applyAlignment="1">
      <alignment horizontal="center" vertical="center"/>
    </xf>
    <xf numFmtId="176" fontId="2" fillId="4" borderId="11" xfId="1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4" borderId="11" xfId="1" applyNumberFormat="1" applyFont="1" applyFill="1" applyBorder="1" applyAlignment="1" applyProtection="1">
      <alignment horizontal="center" vertical="center"/>
    </xf>
    <xf numFmtId="37" fontId="3" fillId="4" borderId="11" xfId="1" applyNumberFormat="1" applyFont="1" applyFill="1" applyBorder="1" applyAlignment="1" applyProtection="1">
      <alignment horizontal="center" vertical="center"/>
    </xf>
    <xf numFmtId="176" fontId="3" fillId="4" borderId="11" xfId="1" applyNumberFormat="1" applyFont="1" applyFill="1" applyBorder="1" applyAlignment="1" applyProtection="1">
      <alignment horizontal="center" vertical="center"/>
    </xf>
    <xf numFmtId="37" fontId="2" fillId="4" borderId="41" xfId="1" applyNumberFormat="1" applyFont="1" applyFill="1" applyBorder="1" applyAlignment="1">
      <alignment horizontal="center" vertical="center"/>
    </xf>
    <xf numFmtId="0" fontId="2" fillId="4" borderId="41" xfId="0" applyFont="1" applyFill="1" applyBorder="1"/>
    <xf numFmtId="165" fontId="2" fillId="4" borderId="11" xfId="4" applyNumberFormat="1" applyFont="1" applyFill="1" applyBorder="1" applyAlignment="1">
      <alignment vertical="center" wrapText="1"/>
    </xf>
    <xf numFmtId="165" fontId="2" fillId="4" borderId="11" xfId="4" applyNumberFormat="1" applyFont="1" applyFill="1" applyBorder="1" applyAlignment="1">
      <alignment horizontal="center" vertical="center" wrapText="1"/>
    </xf>
    <xf numFmtId="37" fontId="3" fillId="4" borderId="11" xfId="1" applyNumberFormat="1" applyFont="1" applyFill="1" applyBorder="1" applyAlignment="1">
      <alignment horizontal="center" vertical="center"/>
    </xf>
    <xf numFmtId="176" fontId="3" fillId="4" borderId="11" xfId="1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right" vertical="center"/>
    </xf>
    <xf numFmtId="165" fontId="2" fillId="4" borderId="11" xfId="4" applyNumberFormat="1" applyFont="1" applyFill="1" applyBorder="1" applyAlignment="1">
      <alignment horizontal="left" vertical="center" wrapText="1" indent="1"/>
    </xf>
    <xf numFmtId="164" fontId="2" fillId="4" borderId="11" xfId="1" applyNumberFormat="1" applyFont="1" applyFill="1" applyBorder="1" applyAlignment="1" applyProtection="1">
      <alignment horizontal="center" vertical="center"/>
    </xf>
    <xf numFmtId="37" fontId="2" fillId="4" borderId="11" xfId="1" applyNumberFormat="1" applyFont="1" applyFill="1" applyBorder="1" applyAlignment="1" applyProtection="1">
      <alignment horizontal="center" vertical="center"/>
    </xf>
    <xf numFmtId="176" fontId="2" fillId="4" borderId="11" xfId="1" applyNumberFormat="1" applyFont="1" applyFill="1" applyBorder="1" applyAlignment="1" applyProtection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65" fontId="2" fillId="4" borderId="13" xfId="4" applyNumberFormat="1" applyFont="1" applyFill="1" applyBorder="1" applyAlignment="1">
      <alignment vertical="center" wrapText="1"/>
    </xf>
    <xf numFmtId="165" fontId="2" fillId="4" borderId="13" xfId="4" applyNumberFormat="1" applyFont="1" applyFill="1" applyBorder="1" applyAlignment="1">
      <alignment horizontal="center" vertical="center" wrapText="1"/>
    </xf>
    <xf numFmtId="37" fontId="2" fillId="4" borderId="13" xfId="1" applyNumberFormat="1" applyFont="1" applyFill="1" applyBorder="1" applyAlignment="1">
      <alignment horizontal="center" vertical="center"/>
    </xf>
    <xf numFmtId="176" fontId="2" fillId="4" borderId="13" xfId="1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5" xfId="1" applyNumberFormat="1" applyFont="1" applyFill="1" applyBorder="1" applyAlignment="1" applyProtection="1">
      <alignment horizontal="left" vertical="center"/>
    </xf>
    <xf numFmtId="0" fontId="31" fillId="3" borderId="15" xfId="1" applyNumberFormat="1" applyFont="1" applyFill="1" applyBorder="1" applyAlignment="1" applyProtection="1">
      <alignment horizontal="center" vertical="center"/>
    </xf>
    <xf numFmtId="37" fontId="20" fillId="3" borderId="15" xfId="1" applyNumberFormat="1" applyFont="1" applyFill="1" applyBorder="1" applyAlignment="1" applyProtection="1">
      <alignment horizontal="center" vertical="center"/>
    </xf>
    <xf numFmtId="176" fontId="20" fillId="3" borderId="15" xfId="1" applyNumberFormat="1" applyFont="1" applyFill="1" applyBorder="1" applyAlignment="1" applyProtection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1" xfId="1" applyNumberFormat="1" applyFont="1" applyFill="1" applyBorder="1" applyAlignment="1" applyProtection="1">
      <alignment horizontal="left" vertical="center"/>
    </xf>
    <xf numFmtId="0" fontId="31" fillId="3" borderId="11" xfId="1" applyNumberFormat="1" applyFont="1" applyFill="1" applyBorder="1" applyAlignment="1" applyProtection="1">
      <alignment horizontal="center" vertical="center"/>
    </xf>
    <xf numFmtId="37" fontId="20" fillId="3" borderId="11" xfId="1" applyNumberFormat="1" applyFont="1" applyFill="1" applyBorder="1" applyAlignment="1" applyProtection="1">
      <alignment horizontal="center" vertical="center"/>
    </xf>
    <xf numFmtId="176" fontId="20" fillId="3" borderId="11" xfId="1" applyNumberFormat="1" applyFont="1" applyFill="1" applyBorder="1" applyAlignment="1" applyProtection="1">
      <alignment horizontal="center" vertical="center"/>
    </xf>
    <xf numFmtId="0" fontId="20" fillId="3" borderId="11" xfId="1" applyNumberFormat="1" applyFont="1" applyFill="1" applyBorder="1" applyAlignment="1" applyProtection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9" xfId="1" applyNumberFormat="1" applyFont="1" applyFill="1" applyBorder="1" applyAlignment="1" applyProtection="1">
      <alignment horizontal="left" vertical="center"/>
    </xf>
    <xf numFmtId="0" fontId="31" fillId="3" borderId="9" xfId="1" applyNumberFormat="1" applyFont="1" applyFill="1" applyBorder="1" applyAlignment="1" applyProtection="1">
      <alignment horizontal="center" vertical="center"/>
    </xf>
    <xf numFmtId="37" fontId="20" fillId="3" borderId="9" xfId="1" applyNumberFormat="1" applyFont="1" applyFill="1" applyBorder="1" applyAlignment="1" applyProtection="1">
      <alignment horizontal="center" vertical="center"/>
    </xf>
    <xf numFmtId="176" fontId="20" fillId="3" borderId="9" xfId="1" applyNumberFormat="1" applyFont="1" applyFill="1" applyBorder="1" applyAlignment="1" applyProtection="1">
      <alignment horizontal="center" vertical="center"/>
    </xf>
    <xf numFmtId="0" fontId="20" fillId="3" borderId="9" xfId="1" applyNumberFormat="1" applyFont="1" applyFill="1" applyBorder="1" applyAlignment="1" applyProtection="1">
      <alignment horizontal="center" vertical="center"/>
    </xf>
    <xf numFmtId="0" fontId="34" fillId="4" borderId="11" xfId="0" applyFont="1" applyFill="1" applyBorder="1" applyAlignment="1">
      <alignment horizontal="center" vertical="center"/>
    </xf>
    <xf numFmtId="165" fontId="34" fillId="4" borderId="11" xfId="4" applyNumberFormat="1" applyFont="1" applyFill="1" applyBorder="1" applyAlignment="1">
      <alignment vertical="center"/>
    </xf>
    <xf numFmtId="0" fontId="20" fillId="4" borderId="0" xfId="0" applyFont="1" applyFill="1"/>
    <xf numFmtId="0" fontId="31" fillId="4" borderId="0" xfId="0" applyFont="1" applyFill="1" applyAlignment="1">
      <alignment horizontal="center"/>
    </xf>
    <xf numFmtId="176" fontId="31" fillId="4" borderId="0" xfId="0" applyNumberFormat="1" applyFont="1" applyFill="1" applyAlignment="1">
      <alignment horizontal="center"/>
    </xf>
    <xf numFmtId="0" fontId="31" fillId="4" borderId="0" xfId="0" applyFont="1" applyFill="1" applyAlignment="1">
      <alignment horizontal="right"/>
    </xf>
    <xf numFmtId="0" fontId="20" fillId="4" borderId="11" xfId="1" applyNumberFormat="1" applyFont="1" applyFill="1" applyBorder="1" applyAlignment="1" applyProtection="1">
      <alignment horizontal="left" vertical="center"/>
    </xf>
    <xf numFmtId="0" fontId="31" fillId="4" borderId="0" xfId="0" applyFont="1" applyFill="1" applyAlignment="1">
      <alignment vertical="center" wrapText="1"/>
    </xf>
    <xf numFmtId="0" fontId="35" fillId="4" borderId="0" xfId="0" applyFont="1" applyFill="1"/>
    <xf numFmtId="0" fontId="35" fillId="4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2" fillId="4" borderId="15" xfId="0" applyFont="1" applyFill="1" applyBorder="1" applyAlignment="1">
      <alignment vertical="center" wrapText="1"/>
    </xf>
    <xf numFmtId="173" fontId="2" fillId="4" borderId="15" xfId="0" applyNumberFormat="1" applyFont="1" applyFill="1" applyBorder="1"/>
    <xf numFmtId="0" fontId="20" fillId="4" borderId="13" xfId="3" applyFont="1" applyFill="1" applyBorder="1" applyAlignment="1">
      <alignment horizontal="center" vertical="center" wrapText="1"/>
    </xf>
    <xf numFmtId="173" fontId="20" fillId="4" borderId="13" xfId="0" applyNumberFormat="1" applyFont="1" applyFill="1" applyBorder="1"/>
    <xf numFmtId="0" fontId="31" fillId="0" borderId="0" xfId="0" applyFont="1"/>
    <xf numFmtId="0" fontId="2" fillId="4" borderId="15" xfId="0" applyFont="1" applyFill="1" applyBorder="1" applyAlignment="1">
      <alignment horizontal="center" vertical="distributed" wrapText="1"/>
    </xf>
    <xf numFmtId="0" fontId="2" fillId="4" borderId="11" xfId="0" applyFont="1" applyFill="1" applyBorder="1" applyAlignment="1">
      <alignment horizontal="center" vertical="distributed" wrapText="1"/>
    </xf>
    <xf numFmtId="0" fontId="31" fillId="4" borderId="13" xfId="0" applyFont="1" applyFill="1" applyBorder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168" fontId="2" fillId="0" borderId="15" xfId="0" applyNumberFormat="1" applyFont="1" applyBorder="1"/>
    <xf numFmtId="168" fontId="2" fillId="0" borderId="11" xfId="0" applyNumberFormat="1" applyFont="1" applyBorder="1"/>
    <xf numFmtId="0" fontId="31" fillId="0" borderId="13" xfId="0" applyFont="1" applyBorder="1" applyAlignment="1">
      <alignment horizontal="center" vertical="center" wrapText="1"/>
    </xf>
    <xf numFmtId="168" fontId="20" fillId="0" borderId="13" xfId="0" applyNumberFormat="1" applyFont="1" applyBorder="1"/>
    <xf numFmtId="0" fontId="36" fillId="0" borderId="0" xfId="0" applyFont="1" applyAlignment="1">
      <alignment vertical="center" wrapText="1"/>
    </xf>
    <xf numFmtId="0" fontId="36" fillId="0" borderId="0" xfId="0" applyFont="1"/>
    <xf numFmtId="0" fontId="37" fillId="4" borderId="0" xfId="0" applyFont="1" applyFill="1" applyAlignment="1">
      <alignment horizontal="right"/>
    </xf>
    <xf numFmtId="0" fontId="2" fillId="4" borderId="15" xfId="3" applyFont="1" applyFill="1" applyBorder="1" applyAlignment="1">
      <alignment horizontal="left" vertical="center" wrapText="1"/>
    </xf>
    <xf numFmtId="0" fontId="2" fillId="4" borderId="11" xfId="3" applyFont="1" applyFill="1" applyBorder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167" fontId="2" fillId="0" borderId="15" xfId="1" applyNumberFormat="1" applyFont="1" applyBorder="1" applyAlignment="1">
      <alignment horizontal="right" vertical="center" wrapText="1" indent="1"/>
    </xf>
    <xf numFmtId="167" fontId="2" fillId="0" borderId="11" xfId="1" applyNumberFormat="1" applyFont="1" applyBorder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22" fillId="5" borderId="9" xfId="0" applyFont="1" applyFill="1" applyBorder="1" applyAlignment="1">
      <alignment horizontal="right" vertical="center" wrapText="1" indent="1"/>
    </xf>
    <xf numFmtId="167" fontId="20" fillId="0" borderId="13" xfId="1" applyNumberFormat="1" applyFont="1" applyBorder="1" applyAlignment="1">
      <alignment horizontal="right" vertical="center" wrapText="1" indent="1"/>
    </xf>
    <xf numFmtId="172" fontId="31" fillId="0" borderId="0" xfId="0" applyNumberFormat="1" applyFont="1" applyAlignment="1">
      <alignment vertical="center" wrapText="1"/>
    </xf>
    <xf numFmtId="0" fontId="20" fillId="4" borderId="0" xfId="3" applyFont="1" applyFill="1" applyAlignment="1">
      <alignment horizontal="center" vertical="center" wrapText="1"/>
    </xf>
    <xf numFmtId="167" fontId="20" fillId="0" borderId="0" xfId="1" applyNumberFormat="1" applyFont="1" applyBorder="1" applyAlignment="1">
      <alignment horizontal="right" vertical="center" wrapText="1" inden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 wrapText="1" indent="1"/>
    </xf>
    <xf numFmtId="0" fontId="20" fillId="0" borderId="9" xfId="0" applyFont="1" applyBorder="1" applyAlignment="1">
      <alignment horizontal="center" vertical="center" wrapText="1"/>
    </xf>
    <xf numFmtId="167" fontId="20" fillId="0" borderId="9" xfId="0" applyNumberFormat="1" applyFont="1" applyBorder="1" applyAlignment="1">
      <alignment horizontal="right" vertical="center" wrapText="1" indent="1"/>
    </xf>
    <xf numFmtId="172" fontId="20" fillId="0" borderId="0" xfId="1" applyNumberFormat="1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168" fontId="2" fillId="0" borderId="15" xfId="1" applyNumberFormat="1" applyFont="1" applyBorder="1" applyAlignment="1">
      <alignment horizontal="right" vertical="center" wrapText="1" indent="1"/>
    </xf>
    <xf numFmtId="168" fontId="2" fillId="0" borderId="11" xfId="1" applyNumberFormat="1" applyFont="1" applyBorder="1" applyAlignment="1">
      <alignment horizontal="right" vertical="center" wrapText="1" indent="1"/>
    </xf>
    <xf numFmtId="168" fontId="20" fillId="0" borderId="13" xfId="1" applyNumberFormat="1" applyFont="1" applyBorder="1" applyAlignment="1">
      <alignment horizontal="right" vertical="center" wrapText="1" indent="1"/>
    </xf>
    <xf numFmtId="172" fontId="2" fillId="0" borderId="15" xfId="1" applyNumberFormat="1" applyFont="1" applyBorder="1" applyAlignment="1">
      <alignment horizontal="right" vertical="center" wrapText="1" indent="1"/>
    </xf>
    <xf numFmtId="172" fontId="2" fillId="0" borderId="11" xfId="1" applyNumberFormat="1" applyFont="1" applyBorder="1" applyAlignment="1">
      <alignment horizontal="right" vertical="center" wrapText="1" indent="1"/>
    </xf>
    <xf numFmtId="172" fontId="20" fillId="0" borderId="13" xfId="1" applyNumberFormat="1" applyFont="1" applyBorder="1" applyAlignment="1">
      <alignment horizontal="right" vertical="center" wrapText="1" indent="1"/>
    </xf>
    <xf numFmtId="172" fontId="2" fillId="0" borderId="15" xfId="0" applyNumberFormat="1" applyFont="1" applyBorder="1" applyAlignment="1">
      <alignment horizontal="right" vertical="center" wrapText="1" indent="1"/>
    </xf>
    <xf numFmtId="172" fontId="2" fillId="0" borderId="11" xfId="0" applyNumberFormat="1" applyFont="1" applyBorder="1" applyAlignment="1">
      <alignment horizontal="right" vertical="center" wrapText="1" indent="1"/>
    </xf>
    <xf numFmtId="172" fontId="20" fillId="0" borderId="9" xfId="1" applyNumberFormat="1" applyFont="1" applyBorder="1" applyAlignment="1">
      <alignment horizontal="right" vertical="center" wrapText="1" inden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17" fillId="4" borderId="17" xfId="0" applyFont="1" applyFill="1" applyBorder="1" applyAlignment="1">
      <alignment horizontal="left" vertical="center" wrapText="1"/>
    </xf>
    <xf numFmtId="0" fontId="35" fillId="4" borderId="17" xfId="0" applyFont="1" applyFill="1" applyBorder="1" applyAlignment="1">
      <alignment horizontal="left" vertical="center"/>
    </xf>
    <xf numFmtId="0" fontId="22" fillId="4" borderId="0" xfId="0" applyFont="1" applyFill="1" applyAlignment="1">
      <alignment vertical="center" wrapText="1"/>
    </xf>
    <xf numFmtId="0" fontId="2" fillId="4" borderId="40" xfId="0" applyFont="1" applyFill="1" applyBorder="1" applyAlignment="1">
      <alignment vertical="center" wrapText="1"/>
    </xf>
    <xf numFmtId="0" fontId="2" fillId="4" borderId="41" xfId="0" applyFont="1" applyFill="1" applyBorder="1" applyAlignment="1">
      <alignment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vertical="center" wrapText="1"/>
    </xf>
    <xf numFmtId="173" fontId="2" fillId="4" borderId="11" xfId="1" quotePrefix="1" applyNumberFormat="1" applyFont="1" applyFill="1" applyBorder="1" applyAlignment="1">
      <alignment horizontal="right" indent="1"/>
    </xf>
    <xf numFmtId="173" fontId="20" fillId="3" borderId="11" xfId="0" applyNumberFormat="1" applyFont="1" applyFill="1" applyBorder="1" applyAlignment="1">
      <alignment horizontal="right" indent="1"/>
    </xf>
    <xf numFmtId="173" fontId="20" fillId="4" borderId="13" xfId="0" applyNumberFormat="1" applyFont="1" applyFill="1" applyBorder="1" applyAlignment="1">
      <alignment horizontal="right" inden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6" fillId="8" borderId="15" xfId="0" applyFont="1" applyFill="1" applyBorder="1" applyAlignment="1">
      <alignment vertical="center" wrapText="1"/>
    </xf>
    <xf numFmtId="0" fontId="26" fillId="8" borderId="11" xfId="0" applyFont="1" applyFill="1" applyBorder="1" applyAlignment="1">
      <alignment vertical="center" wrapText="1"/>
    </xf>
    <xf numFmtId="0" fontId="26" fillId="8" borderId="13" xfId="0" applyFont="1" applyFill="1" applyBorder="1" applyAlignment="1">
      <alignment horizontal="left" vertical="center" wrapText="1"/>
    </xf>
    <xf numFmtId="0" fontId="26" fillId="8" borderId="13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35" fillId="4" borderId="0" xfId="0" applyFont="1" applyFill="1" applyAlignment="1">
      <alignment vertical="center"/>
    </xf>
    <xf numFmtId="0" fontId="22" fillId="5" borderId="9" xfId="0" applyFont="1" applyFill="1" applyBorder="1" applyAlignment="1">
      <alignment vertical="center" wrapText="1"/>
    </xf>
    <xf numFmtId="164" fontId="22" fillId="5" borderId="9" xfId="1" applyNumberFormat="1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vertical="center" wrapText="1"/>
    </xf>
    <xf numFmtId="0" fontId="20" fillId="3" borderId="15" xfId="5" applyFont="1" applyFill="1" applyBorder="1" applyAlignment="1">
      <alignment horizontal="center" vertical="center" wrapText="1"/>
    </xf>
    <xf numFmtId="164" fontId="20" fillId="3" borderId="15" xfId="1" applyNumberFormat="1" applyFont="1" applyFill="1" applyBorder="1" applyAlignment="1">
      <alignment horizontal="center" vertical="center" wrapText="1"/>
    </xf>
    <xf numFmtId="164" fontId="20" fillId="4" borderId="0" xfId="1" applyNumberFormat="1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0" fillId="3" borderId="11" xfId="0" applyFont="1" applyFill="1" applyBorder="1" applyAlignment="1">
      <alignment vertical="center" wrapText="1"/>
    </xf>
    <xf numFmtId="164" fontId="20" fillId="3" borderId="11" xfId="1" applyNumberFormat="1" applyFont="1" applyFill="1" applyBorder="1" applyAlignment="1">
      <alignment vertical="center" wrapText="1"/>
    </xf>
    <xf numFmtId="1" fontId="35" fillId="4" borderId="0" xfId="0" applyNumberFormat="1" applyFont="1" applyFill="1" applyAlignment="1">
      <alignment horizontal="left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9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174" fontId="2" fillId="0" borderId="32" xfId="1" applyNumberFormat="1" applyFont="1" applyBorder="1"/>
    <xf numFmtId="174" fontId="2" fillId="0" borderId="11" xfId="1" applyNumberFormat="1" applyFont="1" applyBorder="1"/>
    <xf numFmtId="174" fontId="2" fillId="0" borderId="33" xfId="1" applyNumberFormat="1" applyFont="1" applyBorder="1"/>
    <xf numFmtId="1" fontId="3" fillId="0" borderId="60" xfId="1" applyNumberFormat="1" applyFont="1" applyFill="1" applyBorder="1" applyAlignment="1">
      <alignment horizontal="center" vertical="center"/>
    </xf>
    <xf numFmtId="164" fontId="3" fillId="0" borderId="61" xfId="1" applyNumberFormat="1" applyFont="1" applyFill="1" applyBorder="1" applyAlignment="1">
      <alignment vertical="center"/>
    </xf>
    <xf numFmtId="164" fontId="3" fillId="0" borderId="63" xfId="1" applyNumberFormat="1" applyFont="1" applyFill="1" applyBorder="1" applyAlignment="1">
      <alignment vertical="center"/>
    </xf>
    <xf numFmtId="1" fontId="10" fillId="0" borderId="62" xfId="2" applyNumberFormat="1" applyFont="1" applyFill="1" applyBorder="1" applyAlignment="1">
      <alignment horizontal="center" vertical="center"/>
    </xf>
    <xf numFmtId="169" fontId="10" fillId="0" borderId="63" xfId="2" applyNumberFormat="1" applyFont="1" applyFill="1" applyBorder="1" applyAlignment="1">
      <alignment horizontal="left" vertical="center"/>
    </xf>
    <xf numFmtId="1" fontId="11" fillId="0" borderId="62" xfId="2" applyNumberFormat="1" applyFont="1" applyFill="1" applyBorder="1" applyAlignment="1">
      <alignment horizontal="center" vertical="center"/>
    </xf>
    <xf numFmtId="169" fontId="11" fillId="0" borderId="63" xfId="2" applyNumberFormat="1" applyFont="1" applyFill="1" applyBorder="1" applyAlignment="1">
      <alignment horizontal="left" vertical="center"/>
    </xf>
    <xf numFmtId="169" fontId="10" fillId="0" borderId="63" xfId="2" applyNumberFormat="1" applyFont="1" applyFill="1" applyBorder="1" applyAlignment="1">
      <alignment vertical="center"/>
    </xf>
    <xf numFmtId="170" fontId="3" fillId="0" borderId="62" xfId="1" applyNumberFormat="1" applyFont="1" applyFill="1" applyBorder="1" applyAlignment="1">
      <alignment horizontal="center" vertical="center"/>
    </xf>
    <xf numFmtId="171" fontId="10" fillId="0" borderId="62" xfId="1" applyNumberFormat="1" applyFont="1" applyFill="1" applyBorder="1" applyAlignment="1">
      <alignment horizontal="center" vertical="center"/>
    </xf>
    <xf numFmtId="169" fontId="2" fillId="0" borderId="63" xfId="2" applyNumberFormat="1" applyFont="1" applyFill="1" applyBorder="1" applyAlignment="1">
      <alignment vertical="center" shrinkToFit="1"/>
    </xf>
    <xf numFmtId="1" fontId="12" fillId="0" borderId="62" xfId="2" applyNumberFormat="1" applyFont="1" applyFill="1" applyBorder="1" applyAlignment="1">
      <alignment horizontal="center" vertical="center"/>
    </xf>
    <xf numFmtId="169" fontId="12" fillId="0" borderId="63" xfId="2" applyNumberFormat="1" applyFont="1" applyFill="1" applyBorder="1" applyAlignment="1">
      <alignment horizontal="left" vertical="center" shrinkToFit="1"/>
    </xf>
    <xf numFmtId="169" fontId="10" fillId="0" borderId="63" xfId="2" applyNumberFormat="1" applyFont="1" applyFill="1" applyBorder="1" applyAlignment="1">
      <alignment vertical="center" shrinkToFit="1"/>
    </xf>
    <xf numFmtId="164" fontId="3" fillId="0" borderId="63" xfId="1" applyNumberFormat="1" applyFont="1" applyFill="1" applyBorder="1" applyAlignment="1">
      <alignment vertical="center" shrinkToFit="1"/>
    </xf>
    <xf numFmtId="169" fontId="11" fillId="0" borderId="63" xfId="2" applyNumberFormat="1" applyFont="1" applyFill="1" applyBorder="1" applyAlignment="1">
      <alignment horizontal="left" vertical="center" shrinkToFit="1"/>
    </xf>
    <xf numFmtId="169" fontId="10" fillId="0" borderId="63" xfId="2" applyNumberFormat="1" applyFont="1" applyFill="1" applyBorder="1" applyAlignment="1">
      <alignment horizontal="left" vertical="center" shrinkToFit="1"/>
    </xf>
    <xf numFmtId="1" fontId="14" fillId="0" borderId="62" xfId="2" applyNumberFormat="1" applyFont="1" applyFill="1" applyBorder="1" applyAlignment="1">
      <alignment horizontal="center" vertical="center"/>
    </xf>
    <xf numFmtId="1" fontId="13" fillId="0" borderId="62" xfId="2" applyNumberFormat="1" applyFont="1" applyFill="1" applyBorder="1" applyAlignment="1">
      <alignment horizontal="center" vertical="center"/>
    </xf>
    <xf numFmtId="164" fontId="2" fillId="0" borderId="63" xfId="1" applyNumberFormat="1" applyFont="1" applyFill="1" applyBorder="1" applyAlignment="1">
      <alignment vertical="center"/>
    </xf>
    <xf numFmtId="1" fontId="2" fillId="0" borderId="62" xfId="1" applyNumberFormat="1" applyFont="1" applyFill="1" applyBorder="1" applyAlignment="1">
      <alignment horizontal="center" vertical="center"/>
    </xf>
    <xf numFmtId="1" fontId="11" fillId="0" borderId="64" xfId="2" applyNumberFormat="1" applyFont="1" applyFill="1" applyBorder="1" applyAlignment="1">
      <alignment horizontal="center" vertical="center"/>
    </xf>
    <xf numFmtId="169" fontId="11" fillId="0" borderId="65" xfId="2" applyNumberFormat="1" applyFont="1" applyFill="1" applyBorder="1" applyAlignment="1">
      <alignment horizontal="left" vertical="center"/>
    </xf>
    <xf numFmtId="169" fontId="11" fillId="0" borderId="66" xfId="2" applyNumberFormat="1" applyFont="1" applyFill="1" applyBorder="1" applyAlignment="1">
      <alignment horizontal="left" vertical="center"/>
    </xf>
    <xf numFmtId="1" fontId="3" fillId="3" borderId="62" xfId="1" applyNumberFormat="1" applyFont="1" applyFill="1" applyBorder="1" applyAlignment="1">
      <alignment horizontal="center" vertical="center"/>
    </xf>
    <xf numFmtId="164" fontId="3" fillId="3" borderId="19" xfId="1" applyNumberFormat="1" applyFont="1" applyFill="1" applyBorder="1" applyAlignment="1">
      <alignment horizontal="left" vertical="center"/>
    </xf>
    <xf numFmtId="164" fontId="3" fillId="3" borderId="63" xfId="1" applyNumberFormat="1" applyFont="1" applyFill="1" applyBorder="1" applyAlignment="1">
      <alignment vertical="center"/>
    </xf>
    <xf numFmtId="173" fontId="3" fillId="3" borderId="32" xfId="0" applyNumberFormat="1" applyFont="1" applyFill="1" applyBorder="1"/>
    <xf numFmtId="173" fontId="3" fillId="3" borderId="11" xfId="0" applyNumberFormat="1" applyFont="1" applyFill="1" applyBorder="1"/>
    <xf numFmtId="173" fontId="3" fillId="3" borderId="33" xfId="0" applyNumberFormat="1" applyFont="1" applyFill="1" applyBorder="1"/>
    <xf numFmtId="173" fontId="3" fillId="3" borderId="23" xfId="0" applyNumberFormat="1" applyFont="1" applyFill="1" applyBorder="1"/>
    <xf numFmtId="164" fontId="3" fillId="3" borderId="63" xfId="1" applyNumberFormat="1" applyFont="1" applyFill="1" applyBorder="1" applyAlignment="1">
      <alignment vertical="center" shrinkToFit="1"/>
    </xf>
    <xf numFmtId="164" fontId="38" fillId="0" borderId="19" xfId="1" applyNumberFormat="1" applyFont="1" applyFill="1" applyBorder="1" applyAlignment="1">
      <alignment vertical="center"/>
    </xf>
    <xf numFmtId="170" fontId="39" fillId="0" borderId="62" xfId="1" applyNumberFormat="1" applyFont="1" applyFill="1" applyBorder="1" applyAlignment="1">
      <alignment horizontal="center" vertical="center"/>
    </xf>
    <xf numFmtId="164" fontId="38" fillId="0" borderId="63" xfId="1" applyNumberFormat="1" applyFont="1" applyFill="1" applyBorder="1" applyAlignment="1">
      <alignment vertical="center"/>
    </xf>
    <xf numFmtId="173" fontId="38" fillId="0" borderId="32" xfId="0" applyNumberFormat="1" applyFont="1" applyBorder="1"/>
    <xf numFmtId="173" fontId="38" fillId="0" borderId="11" xfId="0" applyNumberFormat="1" applyFont="1" applyBorder="1"/>
    <xf numFmtId="173" fontId="38" fillId="0" borderId="33" xfId="0" applyNumberFormat="1" applyFont="1" applyBorder="1"/>
    <xf numFmtId="0" fontId="39" fillId="0" borderId="0" xfId="0" applyFont="1"/>
    <xf numFmtId="0" fontId="2" fillId="3" borderId="0" xfId="0" applyFont="1" applyFill="1"/>
    <xf numFmtId="173" fontId="2" fillId="0" borderId="11" xfId="0" applyNumberFormat="1" applyFont="1" applyBorder="1" applyAlignment="1">
      <alignment horizontal="center"/>
    </xf>
    <xf numFmtId="173" fontId="2" fillId="0" borderId="13" xfId="0" applyNumberFormat="1" applyFont="1" applyBorder="1" applyAlignment="1">
      <alignment horizontal="center"/>
    </xf>
    <xf numFmtId="0" fontId="23" fillId="0" borderId="0" xfId="0" applyFont="1"/>
    <xf numFmtId="0" fontId="20" fillId="0" borderId="0" xfId="0" applyFont="1"/>
    <xf numFmtId="0" fontId="2" fillId="0" borderId="15" xfId="0" applyFont="1" applyBorder="1"/>
    <xf numFmtId="173" fontId="2" fillId="0" borderId="15" xfId="1" applyNumberFormat="1" applyFont="1" applyBorder="1"/>
    <xf numFmtId="173" fontId="2" fillId="0" borderId="15" xfId="0" applyNumberFormat="1" applyFont="1" applyBorder="1"/>
    <xf numFmtId="173" fontId="2" fillId="0" borderId="11" xfId="1" applyNumberFormat="1" applyFont="1" applyBorder="1"/>
    <xf numFmtId="9" fontId="2" fillId="0" borderId="11" xfId="0" applyNumberFormat="1" applyFont="1" applyBorder="1" applyAlignment="1">
      <alignment horizontal="center"/>
    </xf>
    <xf numFmtId="0" fontId="2" fillId="0" borderId="11" xfId="0" applyFont="1" applyBorder="1"/>
    <xf numFmtId="170" fontId="2" fillId="0" borderId="13" xfId="0" applyNumberFormat="1" applyFont="1" applyBorder="1" applyAlignment="1">
      <alignment horizontal="center"/>
    </xf>
    <xf numFmtId="166" fontId="2" fillId="0" borderId="13" xfId="1" applyNumberFormat="1" applyFont="1" applyBorder="1"/>
    <xf numFmtId="0" fontId="2" fillId="0" borderId="13" xfId="0" applyFont="1" applyBorder="1"/>
    <xf numFmtId="43" fontId="2" fillId="0" borderId="13" xfId="1" applyFont="1" applyBorder="1"/>
    <xf numFmtId="170" fontId="2" fillId="0" borderId="13" xfId="0" applyNumberFormat="1" applyFont="1" applyBorder="1"/>
    <xf numFmtId="0" fontId="22" fillId="5" borderId="51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/>
    </xf>
    <xf numFmtId="0" fontId="31" fillId="3" borderId="15" xfId="0" applyFont="1" applyFill="1" applyBorder="1"/>
    <xf numFmtId="0" fontId="31" fillId="3" borderId="11" xfId="0" applyFont="1" applyFill="1" applyBorder="1"/>
    <xf numFmtId="173" fontId="31" fillId="0" borderId="11" xfId="0" applyNumberFormat="1" applyFont="1" applyBorder="1" applyAlignment="1">
      <alignment horizontal="center"/>
    </xf>
    <xf numFmtId="173" fontId="31" fillId="0" borderId="13" xfId="0" applyNumberFormat="1" applyFont="1" applyBorder="1" applyAlignment="1">
      <alignment horizontal="center"/>
    </xf>
    <xf numFmtId="173" fontId="2" fillId="0" borderId="15" xfId="0" applyNumberFormat="1" applyFont="1" applyBorder="1" applyAlignment="1">
      <alignment horizontal="center"/>
    </xf>
    <xf numFmtId="169" fontId="2" fillId="0" borderId="11" xfId="2" applyNumberFormat="1" applyFont="1" applyBorder="1" applyAlignment="1">
      <alignment horizontal="center"/>
    </xf>
    <xf numFmtId="176" fontId="2" fillId="0" borderId="13" xfId="1" applyNumberFormat="1" applyFont="1" applyBorder="1" applyAlignment="1">
      <alignment horizontal="center"/>
    </xf>
    <xf numFmtId="0" fontId="19" fillId="0" borderId="0" xfId="0" applyFont="1"/>
    <xf numFmtId="0" fontId="22" fillId="9" borderId="9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 wrapText="1"/>
    </xf>
    <xf numFmtId="43" fontId="2" fillId="0" borderId="0" xfId="1" applyFont="1" applyBorder="1" applyAlignment="1">
      <alignment vertical="center"/>
    </xf>
    <xf numFmtId="0" fontId="41" fillId="0" borderId="0" xfId="7" applyFont="1"/>
    <xf numFmtId="0" fontId="2" fillId="0" borderId="0" xfId="7" applyFont="1" applyAlignment="1">
      <alignment wrapText="1"/>
    </xf>
    <xf numFmtId="0" fontId="2" fillId="0" borderId="0" xfId="7" applyFont="1" applyAlignment="1">
      <alignment horizontal="center" wrapText="1"/>
    </xf>
    <xf numFmtId="0" fontId="17" fillId="2" borderId="15" xfId="7" applyFont="1" applyFill="1" applyBorder="1" applyAlignment="1">
      <alignment horizontal="center" vertical="center"/>
    </xf>
    <xf numFmtId="0" fontId="17" fillId="2" borderId="15" xfId="7" applyFont="1" applyFill="1" applyBorder="1" applyAlignment="1">
      <alignment horizontal="left" vertical="center"/>
    </xf>
    <xf numFmtId="0" fontId="17" fillId="2" borderId="15" xfId="7" applyFont="1" applyFill="1" applyBorder="1" applyAlignment="1">
      <alignment horizontal="center" vertical="center" wrapText="1"/>
    </xf>
    <xf numFmtId="164" fontId="17" fillId="2" borderId="15" xfId="7" applyNumberFormat="1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3" fillId="3" borderId="11" xfId="7" applyFont="1" applyFill="1" applyBorder="1" applyAlignment="1">
      <alignment horizontal="left"/>
    </xf>
    <xf numFmtId="0" fontId="3" fillId="3" borderId="11" xfId="7" applyFont="1" applyFill="1" applyBorder="1" applyAlignment="1">
      <alignment horizontal="center" wrapText="1"/>
    </xf>
    <xf numFmtId="0" fontId="3" fillId="3" borderId="11" xfId="7" applyFont="1" applyFill="1" applyBorder="1" applyAlignment="1">
      <alignment horizontal="center"/>
    </xf>
    <xf numFmtId="0" fontId="2" fillId="0" borderId="11" xfId="7" applyFont="1" applyBorder="1" applyAlignment="1">
      <alignment horizontal="center" vertical="center"/>
    </xf>
    <xf numFmtId="0" fontId="2" fillId="0" borderId="11" xfId="7" applyFont="1" applyBorder="1" applyAlignment="1">
      <alignment horizontal="left" vertical="center" wrapText="1"/>
    </xf>
    <xf numFmtId="0" fontId="2" fillId="0" borderId="11" xfId="7" applyFont="1" applyBorder="1" applyAlignment="1">
      <alignment horizontal="center" vertical="center" wrapText="1"/>
    </xf>
    <xf numFmtId="164" fontId="2" fillId="0" borderId="11" xfId="7" applyNumberFormat="1" applyFont="1" applyBorder="1" applyAlignment="1">
      <alignment horizontal="center" vertical="center"/>
    </xf>
    <xf numFmtId="0" fontId="2" fillId="0" borderId="11" xfId="7" applyFont="1" applyBorder="1" applyAlignment="1">
      <alignment horizontal="left" vertical="center"/>
    </xf>
    <xf numFmtId="0" fontId="15" fillId="3" borderId="11" xfId="7" applyFont="1" applyFill="1" applyBorder="1" applyAlignment="1">
      <alignment horizontal="center"/>
    </xf>
    <xf numFmtId="0" fontId="2" fillId="0" borderId="11" xfId="10" applyFont="1" applyBorder="1" applyAlignment="1">
      <alignment horizontal="center" vertical="center" wrapText="1"/>
    </xf>
    <xf numFmtId="0" fontId="2" fillId="0" borderId="11" xfId="7" applyFont="1" applyBorder="1" applyAlignment="1">
      <alignment vertical="center" wrapText="1"/>
    </xf>
    <xf numFmtId="0" fontId="16" fillId="0" borderId="11" xfId="7" applyFont="1" applyBorder="1" applyAlignment="1">
      <alignment horizontal="center" vertical="center"/>
    </xf>
    <xf numFmtId="0" fontId="17" fillId="2" borderId="11" xfId="7" applyFont="1" applyFill="1" applyBorder="1" applyAlignment="1">
      <alignment horizontal="center" vertical="center"/>
    </xf>
    <xf numFmtId="0" fontId="17" fillId="2" borderId="11" xfId="7" applyFont="1" applyFill="1" applyBorder="1" applyAlignment="1">
      <alignment horizontal="left" vertical="center"/>
    </xf>
    <xf numFmtId="0" fontId="17" fillId="2" borderId="11" xfId="7" applyFont="1" applyFill="1" applyBorder="1" applyAlignment="1">
      <alignment horizontal="center" vertical="center" wrapText="1"/>
    </xf>
    <xf numFmtId="164" fontId="17" fillId="2" borderId="11" xfId="7" applyNumberFormat="1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3" fillId="2" borderId="13" xfId="7" applyFont="1" applyFill="1" applyBorder="1" applyAlignment="1">
      <alignment horizontal="left"/>
    </xf>
    <xf numFmtId="0" fontId="3" fillId="2" borderId="13" xfId="7" applyFont="1" applyFill="1" applyBorder="1" applyAlignment="1">
      <alignment horizontal="center" wrapText="1"/>
    </xf>
    <xf numFmtId="0" fontId="3" fillId="2" borderId="13" xfId="7" applyFont="1" applyFill="1" applyBorder="1" applyAlignment="1">
      <alignment horizontal="center"/>
    </xf>
    <xf numFmtId="0" fontId="2" fillId="2" borderId="15" xfId="7" applyFont="1" applyFill="1" applyBorder="1" applyAlignment="1">
      <alignment horizontal="center" vertical="center"/>
    </xf>
    <xf numFmtId="0" fontId="20" fillId="0" borderId="0" xfId="7" applyFont="1" applyAlignment="1">
      <alignment horizontal="center"/>
    </xf>
    <xf numFmtId="0" fontId="20" fillId="0" borderId="0" xfId="7" applyFont="1"/>
    <xf numFmtId="0" fontId="31" fillId="0" borderId="0" xfId="7" applyFont="1" applyAlignment="1">
      <alignment horizontal="center"/>
    </xf>
    <xf numFmtId="0" fontId="31" fillId="0" borderId="0" xfId="7" applyFont="1"/>
    <xf numFmtId="2" fontId="31" fillId="0" borderId="0" xfId="7" applyNumberFormat="1" applyFont="1" applyAlignment="1">
      <alignment horizontal="center"/>
    </xf>
    <xf numFmtId="0" fontId="23" fillId="3" borderId="15" xfId="0" applyFont="1" applyFill="1" applyBorder="1" applyAlignment="1">
      <alignment horizontal="center" vertical="center"/>
    </xf>
    <xf numFmtId="0" fontId="3" fillId="3" borderId="15" xfId="7" applyFont="1" applyFill="1" applyBorder="1" applyAlignment="1">
      <alignment horizontal="left"/>
    </xf>
    <xf numFmtId="0" fontId="3" fillId="3" borderId="15" xfId="7" applyFont="1" applyFill="1" applyBorder="1" applyAlignment="1">
      <alignment horizontal="center"/>
    </xf>
    <xf numFmtId="0" fontId="23" fillId="6" borderId="13" xfId="0" applyFont="1" applyFill="1" applyBorder="1" applyAlignment="1">
      <alignment horizontal="center" vertical="center"/>
    </xf>
    <xf numFmtId="0" fontId="3" fillId="6" borderId="13" xfId="7" applyFont="1" applyFill="1" applyBorder="1" applyAlignment="1">
      <alignment horizontal="center"/>
    </xf>
    <xf numFmtId="0" fontId="17" fillId="2" borderId="82" xfId="7" applyFont="1" applyFill="1" applyBorder="1" applyAlignment="1">
      <alignment horizontal="center" vertical="center" wrapText="1"/>
    </xf>
    <xf numFmtId="164" fontId="17" fillId="2" borderId="83" xfId="7" applyNumberFormat="1" applyFont="1" applyFill="1" applyBorder="1" applyAlignment="1">
      <alignment horizontal="center" vertical="center"/>
    </xf>
    <xf numFmtId="0" fontId="3" fillId="3" borderId="84" xfId="7" applyFont="1" applyFill="1" applyBorder="1" applyAlignment="1">
      <alignment horizontal="center" wrapText="1"/>
    </xf>
    <xf numFmtId="164" fontId="3" fillId="3" borderId="85" xfId="7" applyNumberFormat="1" applyFont="1" applyFill="1" applyBorder="1" applyAlignment="1">
      <alignment horizontal="center"/>
    </xf>
    <xf numFmtId="0" fontId="2" fillId="0" borderId="84" xfId="7" applyFont="1" applyBorder="1" applyAlignment="1">
      <alignment horizontal="center" vertical="center" wrapText="1"/>
    </xf>
    <xf numFmtId="164" fontId="2" fillId="0" borderId="85" xfId="7" applyNumberFormat="1" applyFont="1" applyBorder="1" applyAlignment="1">
      <alignment horizontal="center" vertical="center"/>
    </xf>
    <xf numFmtId="0" fontId="17" fillId="2" borderId="84" xfId="7" applyFont="1" applyFill="1" applyBorder="1" applyAlignment="1">
      <alignment horizontal="center" vertical="center" wrapText="1"/>
    </xf>
    <xf numFmtId="164" fontId="17" fillId="2" borderId="85" xfId="7" applyNumberFormat="1" applyFont="1" applyFill="1" applyBorder="1" applyAlignment="1">
      <alignment horizontal="center" vertical="center"/>
    </xf>
    <xf numFmtId="0" fontId="3" fillId="2" borderId="86" xfId="7" applyFont="1" applyFill="1" applyBorder="1" applyAlignment="1">
      <alignment horizontal="center" wrapText="1"/>
    </xf>
    <xf numFmtId="164" fontId="3" fillId="2" borderId="87" xfId="7" applyNumberFormat="1" applyFont="1" applyFill="1" applyBorder="1" applyAlignment="1">
      <alignment horizontal="center"/>
    </xf>
    <xf numFmtId="0" fontId="3" fillId="3" borderId="82" xfId="7" applyFont="1" applyFill="1" applyBorder="1" applyAlignment="1">
      <alignment horizontal="center"/>
    </xf>
    <xf numFmtId="164" fontId="3" fillId="3" borderId="83" xfId="7" applyNumberFormat="1" applyFont="1" applyFill="1" applyBorder="1" applyAlignment="1">
      <alignment horizontal="center"/>
    </xf>
    <xf numFmtId="0" fontId="2" fillId="0" borderId="84" xfId="7" applyFont="1" applyBorder="1" applyAlignment="1">
      <alignment horizontal="center" vertical="center"/>
    </xf>
    <xf numFmtId="0" fontId="3" fillId="3" borderId="84" xfId="7" applyFont="1" applyFill="1" applyBorder="1" applyAlignment="1">
      <alignment horizontal="center"/>
    </xf>
    <xf numFmtId="0" fontId="3" fillId="6" borderId="86" xfId="7" applyFont="1" applyFill="1" applyBorder="1" applyAlignment="1">
      <alignment horizontal="center"/>
    </xf>
    <xf numFmtId="164" fontId="3" fillId="6" borderId="87" xfId="7" applyNumberFormat="1" applyFont="1" applyFill="1" applyBorder="1" applyAlignment="1">
      <alignment horizontal="center"/>
    </xf>
    <xf numFmtId="0" fontId="2" fillId="0" borderId="15" xfId="0" applyFont="1" applyBorder="1" applyAlignment="1">
      <alignment vertical="center"/>
    </xf>
    <xf numFmtId="43" fontId="2" fillId="0" borderId="15" xfId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" fontId="2" fillId="0" borderId="13" xfId="0" applyNumberFormat="1" applyFont="1" applyBorder="1" applyAlignment="1">
      <alignment vertical="center"/>
    </xf>
    <xf numFmtId="43" fontId="2" fillId="0" borderId="13" xfId="1" applyFont="1" applyBorder="1" applyAlignment="1">
      <alignment vertical="center"/>
    </xf>
    <xf numFmtId="1" fontId="3" fillId="0" borderId="13" xfId="0" applyNumberFormat="1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vertical="center"/>
    </xf>
    <xf numFmtId="164" fontId="2" fillId="0" borderId="1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vertical="center"/>
    </xf>
    <xf numFmtId="164" fontId="2" fillId="0" borderId="11" xfId="0" applyNumberFormat="1" applyFont="1" applyBorder="1" applyAlignment="1">
      <alignment horizontal="center" vertical="center"/>
    </xf>
    <xf numFmtId="43" fontId="2" fillId="0" borderId="1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4" fontId="2" fillId="0" borderId="13" xfId="1" applyNumberFormat="1" applyFont="1" applyBorder="1" applyAlignment="1">
      <alignment horizontal="center" vertical="center"/>
    </xf>
    <xf numFmtId="0" fontId="35" fillId="0" borderId="0" xfId="0" applyFont="1"/>
    <xf numFmtId="0" fontId="20" fillId="0" borderId="15" xfId="0" applyFont="1" applyBorder="1"/>
    <xf numFmtId="0" fontId="20" fillId="0" borderId="11" xfId="0" applyFont="1" applyBorder="1"/>
    <xf numFmtId="173" fontId="20" fillId="0" borderId="15" xfId="0" applyNumberFormat="1" applyFont="1" applyBorder="1" applyAlignment="1">
      <alignment horizontal="right" indent="1"/>
    </xf>
    <xf numFmtId="173" fontId="2" fillId="0" borderId="11" xfId="0" applyNumberFormat="1" applyFont="1" applyBorder="1" applyAlignment="1">
      <alignment horizontal="right" indent="1"/>
    </xf>
    <xf numFmtId="173" fontId="20" fillId="0" borderId="11" xfId="0" applyNumberFormat="1" applyFont="1" applyBorder="1" applyAlignment="1">
      <alignment horizontal="right" indent="1"/>
    </xf>
    <xf numFmtId="173" fontId="20" fillId="0" borderId="13" xfId="0" applyNumberFormat="1" applyFont="1" applyBorder="1" applyAlignment="1">
      <alignment horizontal="right" indent="1"/>
    </xf>
    <xf numFmtId="3" fontId="2" fillId="4" borderId="15" xfId="1" applyNumberFormat="1" applyFont="1" applyFill="1" applyBorder="1" applyAlignment="1">
      <alignment horizontal="center" vertical="center" wrapText="1"/>
    </xf>
    <xf numFmtId="9" fontId="2" fillId="4" borderId="15" xfId="2" applyFont="1" applyFill="1" applyBorder="1" applyAlignment="1">
      <alignment horizontal="center" vertical="center" wrapText="1"/>
    </xf>
    <xf numFmtId="3" fontId="2" fillId="4" borderId="11" xfId="1" applyNumberFormat="1" applyFont="1" applyFill="1" applyBorder="1" applyAlignment="1">
      <alignment horizontal="center" vertical="center" wrapText="1"/>
    </xf>
    <xf numFmtId="9" fontId="2" fillId="4" borderId="11" xfId="2" applyFont="1" applyFill="1" applyBorder="1" applyAlignment="1">
      <alignment horizontal="center" vertical="center" wrapText="1"/>
    </xf>
    <xf numFmtId="9" fontId="16" fillId="4" borderId="11" xfId="2" applyFont="1" applyFill="1" applyBorder="1" applyAlignment="1">
      <alignment horizontal="center" vertical="center" wrapText="1"/>
    </xf>
    <xf numFmtId="9" fontId="2" fillId="0" borderId="15" xfId="0" applyNumberFormat="1" applyFont="1" applyBorder="1" applyAlignment="1">
      <alignment horizontal="center" vertical="center" wrapText="1"/>
    </xf>
    <xf numFmtId="9" fontId="2" fillId="0" borderId="11" xfId="0" applyNumberFormat="1" applyFont="1" applyBorder="1" applyAlignment="1">
      <alignment horizontal="center" vertical="center" wrapText="1"/>
    </xf>
    <xf numFmtId="0" fontId="22" fillId="5" borderId="52" xfId="0" applyFont="1" applyFill="1" applyBorder="1" applyAlignment="1">
      <alignment horizontal="center" vertical="center" wrapText="1"/>
    </xf>
    <xf numFmtId="0" fontId="22" fillId="5" borderId="53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43" fontId="20" fillId="0" borderId="34" xfId="1" applyFont="1" applyBorder="1" applyAlignment="1">
      <alignment vertical="center" wrapText="1"/>
    </xf>
    <xf numFmtId="43" fontId="20" fillId="0" borderId="35" xfId="1" applyFont="1" applyBorder="1" applyAlignment="1">
      <alignment vertical="center" wrapText="1"/>
    </xf>
    <xf numFmtId="43" fontId="20" fillId="0" borderId="36" xfId="1" applyFont="1" applyBorder="1" applyAlignment="1">
      <alignment vertical="center" wrapText="1"/>
    </xf>
    <xf numFmtId="164" fontId="20" fillId="0" borderId="34" xfId="1" applyNumberFormat="1" applyFont="1" applyBorder="1" applyAlignment="1">
      <alignment vertical="center" wrapText="1"/>
    </xf>
    <xf numFmtId="164" fontId="20" fillId="0" borderId="35" xfId="1" applyNumberFormat="1" applyFont="1" applyBorder="1" applyAlignment="1">
      <alignment vertical="center" wrapText="1"/>
    </xf>
    <xf numFmtId="164" fontId="20" fillId="0" borderId="36" xfId="1" applyNumberFormat="1" applyFont="1" applyBorder="1" applyAlignment="1">
      <alignment vertical="center" wrapText="1"/>
    </xf>
    <xf numFmtId="172" fontId="31" fillId="0" borderId="29" xfId="0" applyNumberFormat="1" applyFont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3" fontId="2" fillId="4" borderId="30" xfId="1" applyNumberFormat="1" applyFont="1" applyFill="1" applyBorder="1" applyAlignment="1">
      <alignment horizontal="center" vertical="center" wrapText="1"/>
    </xf>
    <xf numFmtId="3" fontId="2" fillId="4" borderId="31" xfId="1" applyNumberFormat="1" applyFont="1" applyFill="1" applyBorder="1" applyAlignment="1">
      <alignment horizontal="center" vertical="center" wrapText="1"/>
    </xf>
    <xf numFmtId="3" fontId="2" fillId="4" borderId="32" xfId="1" applyNumberFormat="1" applyFont="1" applyFill="1" applyBorder="1" applyAlignment="1">
      <alignment horizontal="center" vertical="center" wrapText="1"/>
    </xf>
    <xf numFmtId="3" fontId="2" fillId="4" borderId="33" xfId="1" applyNumberFormat="1" applyFont="1" applyFill="1" applyBorder="1" applyAlignment="1">
      <alignment horizontal="center" vertical="center" wrapText="1"/>
    </xf>
    <xf numFmtId="0" fontId="20" fillId="4" borderId="34" xfId="3" applyFont="1" applyFill="1" applyBorder="1" applyAlignment="1">
      <alignment horizontal="center" vertical="center" wrapText="1"/>
    </xf>
    <xf numFmtId="0" fontId="20" fillId="4" borderId="35" xfId="3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vertical="center" wrapText="1"/>
    </xf>
    <xf numFmtId="0" fontId="20" fillId="0" borderId="35" xfId="0" applyFont="1" applyBorder="1" applyAlignment="1">
      <alignment vertical="center" wrapText="1"/>
    </xf>
    <xf numFmtId="0" fontId="20" fillId="0" borderId="36" xfId="0" applyFont="1" applyBorder="1" applyAlignment="1">
      <alignment vertical="center" wrapText="1"/>
    </xf>
    <xf numFmtId="9" fontId="2" fillId="4" borderId="30" xfId="2" applyFont="1" applyFill="1" applyBorder="1" applyAlignment="1">
      <alignment horizontal="center" vertical="center" wrapText="1"/>
    </xf>
    <xf numFmtId="9" fontId="2" fillId="4" borderId="31" xfId="2" applyFont="1" applyFill="1" applyBorder="1" applyAlignment="1">
      <alignment horizontal="center" vertical="center" wrapText="1"/>
    </xf>
    <xf numFmtId="9" fontId="2" fillId="4" borderId="32" xfId="2" applyFont="1" applyFill="1" applyBorder="1" applyAlignment="1">
      <alignment horizontal="center" vertical="center" wrapText="1"/>
    </xf>
    <xf numFmtId="9" fontId="2" fillId="4" borderId="33" xfId="2" applyFont="1" applyFill="1" applyBorder="1" applyAlignment="1">
      <alignment horizontal="center" vertical="center" wrapText="1"/>
    </xf>
    <xf numFmtId="9" fontId="20" fillId="4" borderId="34" xfId="2" applyFont="1" applyFill="1" applyBorder="1" applyAlignment="1">
      <alignment horizontal="center" vertical="center" wrapText="1"/>
    </xf>
    <xf numFmtId="9" fontId="20" fillId="4" borderId="35" xfId="2" applyFont="1" applyFill="1" applyBorder="1" applyAlignment="1">
      <alignment horizontal="center" vertical="center" wrapText="1"/>
    </xf>
    <xf numFmtId="9" fontId="20" fillId="4" borderId="36" xfId="2" applyFont="1" applyFill="1" applyBorder="1" applyAlignment="1">
      <alignment horizontal="center" vertical="center" wrapText="1"/>
    </xf>
    <xf numFmtId="0" fontId="22" fillId="5" borderId="67" xfId="0" applyFont="1" applyFill="1" applyBorder="1" applyAlignment="1">
      <alignment horizontal="center" vertical="center" wrapText="1"/>
    </xf>
    <xf numFmtId="0" fontId="31" fillId="4" borderId="68" xfId="0" applyFont="1" applyFill="1" applyBorder="1" applyAlignment="1">
      <alignment horizontal="center" vertical="center" wrapText="1"/>
    </xf>
    <xf numFmtId="0" fontId="2" fillId="4" borderId="92" xfId="3" applyFont="1" applyFill="1" applyBorder="1" applyAlignment="1">
      <alignment horizontal="left" vertical="center" wrapText="1"/>
    </xf>
    <xf numFmtId="0" fontId="2" fillId="4" borderId="93" xfId="3" applyFont="1" applyFill="1" applyBorder="1" applyAlignment="1">
      <alignment horizontal="left" vertical="center" wrapText="1"/>
    </xf>
    <xf numFmtId="0" fontId="20" fillId="4" borderId="94" xfId="3" applyFont="1" applyFill="1" applyBorder="1" applyAlignment="1">
      <alignment horizontal="center" vertical="center" wrapText="1"/>
    </xf>
    <xf numFmtId="0" fontId="2" fillId="4" borderId="30" xfId="3" applyFont="1" applyFill="1" applyBorder="1" applyAlignment="1">
      <alignment horizontal="left" vertical="center" wrapText="1"/>
    </xf>
    <xf numFmtId="3" fontId="2" fillId="0" borderId="31" xfId="0" applyNumberFormat="1" applyFont="1" applyBorder="1" applyAlignment="1">
      <alignment vertical="center" wrapText="1"/>
    </xf>
    <xf numFmtId="0" fontId="2" fillId="4" borderId="32" xfId="3" applyFont="1" applyFill="1" applyBorder="1" applyAlignment="1">
      <alignment horizontal="left" vertical="center" wrapText="1"/>
    </xf>
    <xf numFmtId="3" fontId="2" fillId="0" borderId="33" xfId="0" applyNumberFormat="1" applyFont="1" applyBorder="1" applyAlignment="1">
      <alignment vertical="center" wrapText="1"/>
    </xf>
    <xf numFmtId="0" fontId="2" fillId="4" borderId="34" xfId="3" applyFont="1" applyFill="1" applyBorder="1" applyAlignment="1">
      <alignment horizontal="left" vertical="center" wrapText="1"/>
    </xf>
    <xf numFmtId="3" fontId="2" fillId="4" borderId="35" xfId="1" applyNumberFormat="1" applyFont="1" applyFill="1" applyBorder="1" applyAlignment="1">
      <alignment horizontal="center" vertical="center" wrapText="1"/>
    </xf>
    <xf numFmtId="3" fontId="2" fillId="0" borderId="36" xfId="0" applyNumberFormat="1" applyFont="1" applyBorder="1" applyAlignment="1">
      <alignment vertical="center" wrapText="1"/>
    </xf>
    <xf numFmtId="0" fontId="20" fillId="0" borderId="35" xfId="0" applyFont="1" applyBorder="1" applyAlignment="1">
      <alignment horizontal="center" vertical="center" wrapText="1"/>
    </xf>
    <xf numFmtId="0" fontId="31" fillId="0" borderId="28" xfId="0" applyFont="1" applyBorder="1" applyAlignment="1">
      <alignment vertical="center" wrapText="1"/>
    </xf>
    <xf numFmtId="0" fontId="2" fillId="0" borderId="32" xfId="0" applyFont="1" applyBorder="1" applyAlignment="1">
      <alignment horizontal="left" vertical="center" wrapText="1"/>
    </xf>
    <xf numFmtId="172" fontId="2" fillId="0" borderId="15" xfId="0" applyNumberFormat="1" applyFont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9" fontId="2" fillId="0" borderId="30" xfId="2" applyFont="1" applyBorder="1" applyAlignment="1">
      <alignment horizontal="center" vertical="center" wrapText="1"/>
    </xf>
    <xf numFmtId="9" fontId="2" fillId="0" borderId="15" xfId="2" applyFont="1" applyBorder="1" applyAlignment="1">
      <alignment horizontal="center" vertical="center" wrapText="1"/>
    </xf>
    <xf numFmtId="9" fontId="2" fillId="0" borderId="31" xfId="2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76" fontId="2" fillId="0" borderId="34" xfId="1" applyNumberFormat="1" applyFont="1" applyBorder="1" applyAlignment="1">
      <alignment horizontal="center" vertical="center" wrapText="1"/>
    </xf>
    <xf numFmtId="176" fontId="2" fillId="0" borderId="35" xfId="1" applyNumberFormat="1" applyFont="1" applyBorder="1" applyAlignment="1">
      <alignment horizontal="center" vertical="center" wrapText="1"/>
    </xf>
    <xf numFmtId="176" fontId="2" fillId="0" borderId="36" xfId="1" applyNumberFormat="1" applyFont="1" applyBorder="1" applyAlignment="1">
      <alignment horizontal="center" vertical="center" wrapText="1"/>
    </xf>
    <xf numFmtId="9" fontId="16" fillId="4" borderId="32" xfId="2" applyFont="1" applyFill="1" applyBorder="1" applyAlignment="1">
      <alignment horizontal="center" vertical="center" wrapText="1"/>
    </xf>
    <xf numFmtId="9" fontId="16" fillId="4" borderId="33" xfId="2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vertical="center" wrapText="1"/>
    </xf>
    <xf numFmtId="0" fontId="20" fillId="4" borderId="36" xfId="0" applyFont="1" applyFill="1" applyBorder="1" applyAlignment="1">
      <alignment vertical="center" wrapText="1"/>
    </xf>
    <xf numFmtId="169" fontId="2" fillId="4" borderId="30" xfId="2" applyNumberFormat="1" applyFont="1" applyFill="1" applyBorder="1" applyAlignment="1">
      <alignment horizontal="center" vertical="center" wrapText="1"/>
    </xf>
    <xf numFmtId="169" fontId="2" fillId="4" borderId="31" xfId="2" applyNumberFormat="1" applyFont="1" applyFill="1" applyBorder="1" applyAlignment="1">
      <alignment horizontal="center" vertical="center" wrapText="1"/>
    </xf>
    <xf numFmtId="169" fontId="2" fillId="4" borderId="32" xfId="2" applyNumberFormat="1" applyFont="1" applyFill="1" applyBorder="1" applyAlignment="1">
      <alignment horizontal="center" vertical="center" wrapText="1"/>
    </xf>
    <xf numFmtId="169" fontId="2" fillId="4" borderId="33" xfId="2" applyNumberFormat="1" applyFont="1" applyFill="1" applyBorder="1" applyAlignment="1">
      <alignment horizontal="center" vertical="center" wrapText="1"/>
    </xf>
    <xf numFmtId="169" fontId="16" fillId="4" borderId="32" xfId="2" applyNumberFormat="1" applyFont="1" applyFill="1" applyBorder="1" applyAlignment="1">
      <alignment horizontal="center" vertical="center" wrapText="1"/>
    </xf>
    <xf numFmtId="169" fontId="16" fillId="4" borderId="33" xfId="2" applyNumberFormat="1" applyFont="1" applyFill="1" applyBorder="1" applyAlignment="1">
      <alignment horizontal="center" vertical="center" wrapText="1"/>
    </xf>
    <xf numFmtId="0" fontId="16" fillId="4" borderId="93" xfId="3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169" fontId="20" fillId="0" borderId="36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169" fontId="3" fillId="0" borderId="35" xfId="0" applyNumberFormat="1" applyFont="1" applyBorder="1" applyAlignment="1">
      <alignment horizontal="center" vertical="center" wrapText="1"/>
    </xf>
    <xf numFmtId="176" fontId="2" fillId="4" borderId="35" xfId="1" applyNumberFormat="1" applyFont="1" applyFill="1" applyBorder="1" applyAlignment="1">
      <alignment horizontal="center" vertical="center" wrapText="1"/>
    </xf>
    <xf numFmtId="0" fontId="31" fillId="0" borderId="78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0" fillId="0" borderId="90" xfId="0" applyFont="1" applyBorder="1" applyAlignment="1">
      <alignment horizontal="center" vertical="center" wrapText="1"/>
    </xf>
    <xf numFmtId="172" fontId="20" fillId="0" borderId="90" xfId="0" applyNumberFormat="1" applyFont="1" applyBorder="1" applyAlignment="1">
      <alignment horizontal="center" vertical="center" wrapText="1"/>
    </xf>
    <xf numFmtId="172" fontId="20" fillId="0" borderId="91" xfId="0" applyNumberFormat="1" applyFont="1" applyBorder="1" applyAlignment="1">
      <alignment horizontal="center" vertical="center" wrapText="1"/>
    </xf>
    <xf numFmtId="3" fontId="2" fillId="0" borderId="15" xfId="1" applyNumberFormat="1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3" fontId="2" fillId="0" borderId="33" xfId="0" applyNumberFormat="1" applyFont="1" applyBorder="1" applyAlignment="1">
      <alignment horizontal="center" vertical="center" wrapText="1"/>
    </xf>
    <xf numFmtId="3" fontId="20" fillId="0" borderId="35" xfId="0" applyNumberFormat="1" applyFont="1" applyBorder="1" applyAlignment="1">
      <alignment horizontal="center" vertical="center" wrapText="1"/>
    </xf>
    <xf numFmtId="3" fontId="20" fillId="0" borderId="36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43" fontId="20" fillId="8" borderId="35" xfId="1" applyFont="1" applyFill="1" applyBorder="1" applyAlignment="1">
      <alignment vertical="center" wrapText="1"/>
    </xf>
    <xf numFmtId="164" fontId="20" fillId="8" borderId="35" xfId="1" applyNumberFormat="1" applyFont="1" applyFill="1" applyBorder="1" applyAlignment="1">
      <alignment vertical="center" wrapText="1"/>
    </xf>
    <xf numFmtId="9" fontId="2" fillId="8" borderId="15" xfId="2" applyFont="1" applyFill="1" applyBorder="1" applyAlignment="1">
      <alignment horizontal="center" vertical="center" wrapText="1"/>
    </xf>
    <xf numFmtId="3" fontId="2" fillId="8" borderId="15" xfId="1" applyNumberFormat="1" applyFont="1" applyFill="1" applyBorder="1" applyAlignment="1">
      <alignment horizontal="center" vertical="center" wrapText="1"/>
    </xf>
    <xf numFmtId="3" fontId="2" fillId="8" borderId="11" xfId="1" applyNumberFormat="1" applyFont="1" applyFill="1" applyBorder="1" applyAlignment="1">
      <alignment horizontal="center" vertical="center" wrapText="1"/>
    </xf>
    <xf numFmtId="9" fontId="2" fillId="8" borderId="11" xfId="2" applyFont="1" applyFill="1" applyBorder="1" applyAlignment="1">
      <alignment horizontal="center" vertical="center" wrapText="1"/>
    </xf>
    <xf numFmtId="3" fontId="2" fillId="8" borderId="35" xfId="1" applyNumberFormat="1" applyFont="1" applyFill="1" applyBorder="1" applyAlignment="1">
      <alignment horizontal="center" vertical="center" wrapText="1"/>
    </xf>
    <xf numFmtId="169" fontId="2" fillId="8" borderId="15" xfId="2" applyNumberFormat="1" applyFont="1" applyFill="1" applyBorder="1" applyAlignment="1">
      <alignment horizontal="center" vertical="center" wrapText="1"/>
    </xf>
    <xf numFmtId="169" fontId="2" fillId="8" borderId="11" xfId="2" applyNumberFormat="1" applyFont="1" applyFill="1" applyBorder="1" applyAlignment="1">
      <alignment horizontal="center" vertical="center" wrapText="1"/>
    </xf>
    <xf numFmtId="169" fontId="16" fillId="8" borderId="11" xfId="2" applyNumberFormat="1" applyFont="1" applyFill="1" applyBorder="1" applyAlignment="1">
      <alignment horizontal="center" vertical="center" wrapText="1"/>
    </xf>
    <xf numFmtId="9" fontId="2" fillId="8" borderId="30" xfId="2" applyFont="1" applyFill="1" applyBorder="1" applyAlignment="1">
      <alignment horizontal="center" vertical="center" wrapText="1"/>
    </xf>
    <xf numFmtId="9" fontId="2" fillId="8" borderId="32" xfId="2" applyFont="1" applyFill="1" applyBorder="1" applyAlignment="1">
      <alignment horizontal="center" vertical="center" wrapText="1"/>
    </xf>
    <xf numFmtId="3" fontId="2" fillId="8" borderId="32" xfId="2" applyNumberFormat="1" applyFont="1" applyFill="1" applyBorder="1" applyAlignment="1">
      <alignment horizontal="center" vertical="center" wrapText="1"/>
    </xf>
    <xf numFmtId="9" fontId="16" fillId="8" borderId="32" xfId="2" applyFont="1" applyFill="1" applyBorder="1" applyAlignment="1">
      <alignment horizontal="center" vertical="center" wrapText="1"/>
    </xf>
    <xf numFmtId="9" fontId="16" fillId="8" borderId="11" xfId="2" applyFont="1" applyFill="1" applyBorder="1" applyAlignment="1">
      <alignment horizontal="center" vertical="center" wrapText="1"/>
    </xf>
    <xf numFmtId="9" fontId="2" fillId="0" borderId="31" xfId="0" applyNumberFormat="1" applyFont="1" applyBorder="1" applyAlignment="1">
      <alignment horizontal="center" vertical="center" wrapText="1"/>
    </xf>
    <xf numFmtId="9" fontId="2" fillId="0" borderId="36" xfId="0" applyNumberFormat="1" applyFont="1" applyBorder="1" applyAlignment="1">
      <alignment horizontal="center" vertical="center" wrapText="1"/>
    </xf>
    <xf numFmtId="9" fontId="2" fillId="0" borderId="33" xfId="0" applyNumberFormat="1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center" vertical="center" wrapText="1"/>
    </xf>
    <xf numFmtId="0" fontId="30" fillId="5" borderId="53" xfId="0" applyFont="1" applyFill="1" applyBorder="1" applyAlignment="1">
      <alignment horizontal="center" vertical="center" wrapText="1"/>
    </xf>
    <xf numFmtId="37" fontId="2" fillId="0" borderId="31" xfId="1" applyNumberFormat="1" applyFont="1" applyBorder="1" applyAlignment="1">
      <alignment horizontal="center" vertical="center" wrapText="1"/>
    </xf>
    <xf numFmtId="37" fontId="2" fillId="0" borderId="33" xfId="1" applyNumberFormat="1" applyFont="1" applyBorder="1" applyAlignment="1">
      <alignment horizontal="center" vertical="center" wrapText="1"/>
    </xf>
    <xf numFmtId="37" fontId="2" fillId="0" borderId="36" xfId="1" applyNumberFormat="1" applyFont="1" applyBorder="1" applyAlignment="1">
      <alignment horizontal="center" vertical="center" wrapText="1"/>
    </xf>
    <xf numFmtId="0" fontId="22" fillId="5" borderId="98" xfId="0" applyFont="1" applyFill="1" applyBorder="1" applyAlignment="1">
      <alignment horizontal="center" vertical="center" wrapText="1"/>
    </xf>
    <xf numFmtId="0" fontId="30" fillId="5" borderId="95" xfId="0" applyFont="1" applyFill="1" applyBorder="1" applyAlignment="1">
      <alignment horizontal="center" vertical="center" wrapText="1"/>
    </xf>
    <xf numFmtId="0" fontId="15" fillId="3" borderId="90" xfId="0" applyFont="1" applyFill="1" applyBorder="1" applyAlignment="1">
      <alignment horizontal="center" vertical="center" wrapText="1"/>
    </xf>
    <xf numFmtId="0" fontId="15" fillId="3" borderId="91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3" fontId="15" fillId="3" borderId="28" xfId="1" applyNumberFormat="1" applyFont="1" applyFill="1" applyBorder="1" applyAlignment="1">
      <alignment horizontal="center" vertical="center" wrapText="1"/>
    </xf>
    <xf numFmtId="3" fontId="15" fillId="3" borderId="9" xfId="1" applyNumberFormat="1" applyFont="1" applyFill="1" applyBorder="1" applyAlignment="1">
      <alignment horizontal="center" vertical="center" wrapText="1"/>
    </xf>
    <xf numFmtId="3" fontId="15" fillId="3" borderId="29" xfId="1" applyNumberFormat="1" applyFont="1" applyFill="1" applyBorder="1" applyAlignment="1">
      <alignment horizontal="center" vertical="center" wrapText="1"/>
    </xf>
    <xf numFmtId="164" fontId="15" fillId="3" borderId="28" xfId="1" applyNumberFormat="1" applyFont="1" applyFill="1" applyBorder="1" applyAlignment="1">
      <alignment horizontal="center" vertical="center" wrapText="1"/>
    </xf>
    <xf numFmtId="164" fontId="15" fillId="3" borderId="9" xfId="1" applyNumberFormat="1" applyFont="1" applyFill="1" applyBorder="1" applyAlignment="1">
      <alignment horizontal="center" vertical="center" wrapText="1"/>
    </xf>
    <xf numFmtId="164" fontId="15" fillId="3" borderId="29" xfId="1" applyNumberFormat="1" applyFont="1" applyFill="1" applyBorder="1" applyAlignment="1">
      <alignment horizontal="center" vertical="center" wrapText="1"/>
    </xf>
    <xf numFmtId="3" fontId="15" fillId="3" borderId="9" xfId="6" quotePrefix="1" applyNumberFormat="1" applyFont="1" applyFill="1" applyBorder="1" applyAlignment="1">
      <alignment horizontal="center" vertical="center" wrapText="1" shrinkToFit="1"/>
    </xf>
    <xf numFmtId="3" fontId="15" fillId="3" borderId="29" xfId="6" quotePrefix="1" applyNumberFormat="1" applyFont="1" applyFill="1" applyBorder="1" applyAlignment="1">
      <alignment horizontal="center" vertical="center" wrapText="1" shrinkToFit="1"/>
    </xf>
    <xf numFmtId="3" fontId="2" fillId="4" borderId="0" xfId="1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0" fontId="20" fillId="4" borderId="0" xfId="0" applyFont="1" applyFill="1" applyAlignment="1">
      <alignment horizontal="left" vertical="center"/>
    </xf>
    <xf numFmtId="0" fontId="20" fillId="4" borderId="0" xfId="0" applyFont="1" applyFill="1" applyAlignment="1">
      <alignment vertical="center"/>
    </xf>
    <xf numFmtId="0" fontId="22" fillId="5" borderId="104" xfId="0" applyFont="1" applyFill="1" applyBorder="1" applyAlignment="1">
      <alignment horizontal="center" vertical="center" wrapText="1"/>
    </xf>
    <xf numFmtId="0" fontId="22" fillId="5" borderId="105" xfId="0" applyFont="1" applyFill="1" applyBorder="1" applyAlignment="1">
      <alignment horizontal="center" vertical="center" wrapText="1"/>
    </xf>
    <xf numFmtId="172" fontId="3" fillId="4" borderId="106" xfId="0" applyNumberFormat="1" applyFont="1" applyFill="1" applyBorder="1" applyAlignment="1">
      <alignment horizontal="right" vertical="center" indent="1"/>
    </xf>
    <xf numFmtId="172" fontId="3" fillId="4" borderId="107" xfId="0" applyNumberFormat="1" applyFont="1" applyFill="1" applyBorder="1" applyAlignment="1">
      <alignment horizontal="right" vertical="center" indent="1"/>
    </xf>
    <xf numFmtId="173" fontId="31" fillId="3" borderId="108" xfId="0" applyNumberFormat="1" applyFont="1" applyFill="1" applyBorder="1" applyAlignment="1">
      <alignment horizontal="right" vertical="center" indent="1"/>
    </xf>
    <xf numFmtId="173" fontId="31" fillId="3" borderId="109" xfId="0" applyNumberFormat="1" applyFont="1" applyFill="1" applyBorder="1" applyAlignment="1">
      <alignment horizontal="right" vertical="center" indent="1"/>
    </xf>
    <xf numFmtId="173" fontId="31" fillId="0" borderId="108" xfId="0" applyNumberFormat="1" applyFont="1" applyBorder="1" applyAlignment="1">
      <alignment horizontal="right" vertical="center" indent="1"/>
    </xf>
    <xf numFmtId="173" fontId="31" fillId="0" borderId="109" xfId="0" applyNumberFormat="1" applyFont="1" applyBorder="1" applyAlignment="1">
      <alignment horizontal="right" vertical="center" indent="1"/>
    </xf>
    <xf numFmtId="173" fontId="2" fillId="0" borderId="108" xfId="0" applyNumberFormat="1" applyFont="1" applyBorder="1" applyAlignment="1">
      <alignment horizontal="right" vertical="center" indent="1"/>
    </xf>
    <xf numFmtId="173" fontId="2" fillId="0" borderId="109" xfId="0" applyNumberFormat="1" applyFont="1" applyBorder="1" applyAlignment="1">
      <alignment horizontal="right" vertical="center" indent="1"/>
    </xf>
    <xf numFmtId="173" fontId="10" fillId="7" borderId="108" xfId="0" applyNumberFormat="1" applyFont="1" applyFill="1" applyBorder="1" applyAlignment="1">
      <alignment horizontal="right" vertical="center" indent="1"/>
    </xf>
    <xf numFmtId="173" fontId="10" fillId="7" borderId="109" xfId="0" applyNumberFormat="1" applyFont="1" applyFill="1" applyBorder="1" applyAlignment="1">
      <alignment horizontal="right" vertical="center" indent="1"/>
    </xf>
    <xf numFmtId="173" fontId="2" fillId="0" borderId="110" xfId="0" applyNumberFormat="1" applyFont="1" applyBorder="1" applyAlignment="1">
      <alignment horizontal="right" vertical="center" indent="1"/>
    </xf>
    <xf numFmtId="173" fontId="2" fillId="0" borderId="111" xfId="0" applyNumberFormat="1" applyFont="1" applyBorder="1" applyAlignment="1">
      <alignment horizontal="right" vertical="center" indent="1"/>
    </xf>
    <xf numFmtId="0" fontId="22" fillId="5" borderId="112" xfId="0" applyFont="1" applyFill="1" applyBorder="1" applyAlignment="1">
      <alignment horizontal="center" vertical="center" wrapText="1"/>
    </xf>
    <xf numFmtId="172" fontId="3" fillId="4" borderId="113" xfId="0" applyNumberFormat="1" applyFont="1" applyFill="1" applyBorder="1" applyAlignment="1">
      <alignment horizontal="right" vertical="center" indent="1"/>
    </xf>
    <xf numFmtId="173" fontId="31" fillId="3" borderId="114" xfId="0" applyNumberFormat="1" applyFont="1" applyFill="1" applyBorder="1" applyAlignment="1">
      <alignment horizontal="right" vertical="center" indent="1"/>
    </xf>
    <xf numFmtId="173" fontId="31" fillId="0" borderId="114" xfId="0" applyNumberFormat="1" applyFont="1" applyBorder="1" applyAlignment="1">
      <alignment horizontal="right" vertical="center" indent="1"/>
    </xf>
    <xf numFmtId="173" fontId="2" fillId="0" borderId="114" xfId="0" applyNumberFormat="1" applyFont="1" applyBorder="1" applyAlignment="1">
      <alignment horizontal="right" vertical="center" indent="1"/>
    </xf>
    <xf numFmtId="173" fontId="10" fillId="7" borderId="114" xfId="0" applyNumberFormat="1" applyFont="1" applyFill="1" applyBorder="1" applyAlignment="1">
      <alignment horizontal="right" vertical="center" indent="1"/>
    </xf>
    <xf numFmtId="173" fontId="2" fillId="0" borderId="115" xfId="0" applyNumberFormat="1" applyFont="1" applyBorder="1" applyAlignment="1">
      <alignment horizontal="right" vertical="center" indent="1"/>
    </xf>
    <xf numFmtId="0" fontId="22" fillId="5" borderId="116" xfId="0" applyFont="1" applyFill="1" applyBorder="1" applyAlignment="1">
      <alignment horizontal="center" vertical="center" wrapText="1"/>
    </xf>
    <xf numFmtId="172" fontId="3" fillId="4" borderId="117" xfId="0" applyNumberFormat="1" applyFont="1" applyFill="1" applyBorder="1" applyAlignment="1">
      <alignment horizontal="right" vertical="center" indent="1"/>
    </xf>
    <xf numFmtId="173" fontId="31" fillId="3" borderId="118" xfId="0" applyNumberFormat="1" applyFont="1" applyFill="1" applyBorder="1" applyAlignment="1">
      <alignment horizontal="right" vertical="center" indent="1"/>
    </xf>
    <xf numFmtId="173" fontId="31" fillId="0" borderId="118" xfId="0" applyNumberFormat="1" applyFont="1" applyBorder="1" applyAlignment="1">
      <alignment horizontal="right" vertical="center" indent="1"/>
    </xf>
    <xf numFmtId="173" fontId="2" fillId="0" borderId="118" xfId="0" applyNumberFormat="1" applyFont="1" applyBorder="1" applyAlignment="1">
      <alignment horizontal="right" vertical="center" indent="1"/>
    </xf>
    <xf numFmtId="173" fontId="10" fillId="7" borderId="118" xfId="0" applyNumberFormat="1" applyFont="1" applyFill="1" applyBorder="1" applyAlignment="1">
      <alignment horizontal="right" vertical="center" indent="1"/>
    </xf>
    <xf numFmtId="173" fontId="2" fillId="0" borderId="119" xfId="0" applyNumberFormat="1" applyFont="1" applyBorder="1" applyAlignment="1">
      <alignment horizontal="right" vertical="center" indent="1"/>
    </xf>
    <xf numFmtId="0" fontId="22" fillId="5" borderId="120" xfId="0" applyFont="1" applyFill="1" applyBorder="1" applyAlignment="1">
      <alignment horizontal="center" vertical="center" wrapText="1"/>
    </xf>
    <xf numFmtId="172" fontId="3" fillId="4" borderId="121" xfId="0" applyNumberFormat="1" applyFont="1" applyFill="1" applyBorder="1" applyAlignment="1">
      <alignment horizontal="right" vertical="center" indent="1"/>
    </xf>
    <xf numFmtId="173" fontId="31" fillId="3" borderId="122" xfId="0" applyNumberFormat="1" applyFont="1" applyFill="1" applyBorder="1" applyAlignment="1">
      <alignment horizontal="right" vertical="center" indent="1"/>
    </xf>
    <xf numFmtId="173" fontId="31" fillId="0" borderId="122" xfId="0" applyNumberFormat="1" applyFont="1" applyBorder="1" applyAlignment="1">
      <alignment horizontal="right" vertical="center" indent="1"/>
    </xf>
    <xf numFmtId="173" fontId="2" fillId="0" borderId="122" xfId="0" applyNumberFormat="1" applyFont="1" applyBorder="1" applyAlignment="1">
      <alignment horizontal="right" vertical="center" indent="1"/>
    </xf>
    <xf numFmtId="173" fontId="10" fillId="7" borderId="122" xfId="0" applyNumberFormat="1" applyFont="1" applyFill="1" applyBorder="1" applyAlignment="1">
      <alignment horizontal="right" vertical="center" indent="1"/>
    </xf>
    <xf numFmtId="173" fontId="2" fillId="0" borderId="123" xfId="0" applyNumberFormat="1" applyFont="1" applyBorder="1" applyAlignment="1">
      <alignment horizontal="right" vertical="center" indent="1"/>
    </xf>
    <xf numFmtId="0" fontId="22" fillId="5" borderId="124" xfId="0" applyFont="1" applyFill="1" applyBorder="1" applyAlignment="1">
      <alignment horizontal="center" vertical="center" wrapText="1"/>
    </xf>
    <xf numFmtId="0" fontId="22" fillId="5" borderId="125" xfId="0" applyFont="1" applyFill="1" applyBorder="1" applyAlignment="1">
      <alignment horizontal="center" vertical="center" wrapText="1"/>
    </xf>
    <xf numFmtId="0" fontId="22" fillId="5" borderId="126" xfId="0" applyFont="1" applyFill="1" applyBorder="1" applyAlignment="1">
      <alignment horizontal="center" vertical="center" wrapText="1"/>
    </xf>
    <xf numFmtId="172" fontId="3" fillId="4" borderId="127" xfId="0" applyNumberFormat="1" applyFont="1" applyFill="1" applyBorder="1" applyAlignment="1">
      <alignment horizontal="right" vertical="center" indent="1"/>
    </xf>
    <xf numFmtId="172" fontId="3" fillId="4" borderId="128" xfId="0" applyNumberFormat="1" applyFont="1" applyFill="1" applyBorder="1" applyAlignment="1">
      <alignment horizontal="right" vertical="center" indent="1"/>
    </xf>
    <xf numFmtId="172" fontId="3" fillId="4" borderId="129" xfId="0" applyNumberFormat="1" applyFont="1" applyFill="1" applyBorder="1" applyAlignment="1">
      <alignment horizontal="right" vertical="center" indent="1"/>
    </xf>
    <xf numFmtId="173" fontId="20" fillId="3" borderId="130" xfId="0" applyNumberFormat="1" applyFont="1" applyFill="1" applyBorder="1" applyAlignment="1">
      <alignment horizontal="right" vertical="center" indent="1"/>
    </xf>
    <xf numFmtId="173" fontId="20" fillId="3" borderId="131" xfId="0" applyNumberFormat="1" applyFont="1" applyFill="1" applyBorder="1" applyAlignment="1">
      <alignment horizontal="right" vertical="center" indent="1"/>
    </xf>
    <xf numFmtId="173" fontId="20" fillId="3" borderId="132" xfId="0" applyNumberFormat="1" applyFont="1" applyFill="1" applyBorder="1" applyAlignment="1">
      <alignment horizontal="right" vertical="center" indent="1"/>
    </xf>
    <xf numFmtId="173" fontId="20" fillId="0" borderId="130" xfId="0" applyNumberFormat="1" applyFont="1" applyBorder="1" applyAlignment="1">
      <alignment horizontal="right" vertical="center" indent="1"/>
    </xf>
    <xf numFmtId="173" fontId="20" fillId="0" borderId="131" xfId="0" applyNumberFormat="1" applyFont="1" applyBorder="1" applyAlignment="1">
      <alignment horizontal="right" vertical="center" indent="1"/>
    </xf>
    <xf numFmtId="173" fontId="20" fillId="0" borderId="132" xfId="0" applyNumberFormat="1" applyFont="1" applyBorder="1" applyAlignment="1">
      <alignment horizontal="right" vertical="center" indent="1"/>
    </xf>
    <xf numFmtId="173" fontId="3" fillId="0" borderId="130" xfId="0" applyNumberFormat="1" applyFont="1" applyBorder="1" applyAlignment="1">
      <alignment horizontal="right" vertical="center" indent="1"/>
    </xf>
    <xf numFmtId="173" fontId="3" fillId="0" borderId="131" xfId="0" applyNumberFormat="1" applyFont="1" applyBorder="1" applyAlignment="1">
      <alignment horizontal="right" vertical="center" indent="1"/>
    </xf>
    <xf numFmtId="173" fontId="3" fillId="0" borderId="132" xfId="0" applyNumberFormat="1" applyFont="1" applyBorder="1" applyAlignment="1">
      <alignment horizontal="right" vertical="center" indent="1"/>
    </xf>
    <xf numFmtId="173" fontId="13" fillId="7" borderId="130" xfId="0" applyNumberFormat="1" applyFont="1" applyFill="1" applyBorder="1" applyAlignment="1">
      <alignment horizontal="right" vertical="center" indent="1"/>
    </xf>
    <xf numFmtId="173" fontId="13" fillId="7" borderId="131" xfId="0" applyNumberFormat="1" applyFont="1" applyFill="1" applyBorder="1" applyAlignment="1">
      <alignment horizontal="right" vertical="center" indent="1"/>
    </xf>
    <xf numFmtId="173" fontId="13" fillId="7" borderId="132" xfId="0" applyNumberFormat="1" applyFont="1" applyFill="1" applyBorder="1" applyAlignment="1">
      <alignment horizontal="right" vertical="center" indent="1"/>
    </xf>
    <xf numFmtId="173" fontId="3" fillId="0" borderId="133" xfId="0" applyNumberFormat="1" applyFont="1" applyBorder="1" applyAlignment="1">
      <alignment horizontal="right" vertical="center" indent="1"/>
    </xf>
    <xf numFmtId="173" fontId="3" fillId="0" borderId="134" xfId="0" applyNumberFormat="1" applyFont="1" applyBorder="1" applyAlignment="1">
      <alignment horizontal="right" vertical="center" indent="1"/>
    </xf>
    <xf numFmtId="173" fontId="3" fillId="0" borderId="135" xfId="0" applyNumberFormat="1" applyFont="1" applyBorder="1" applyAlignment="1">
      <alignment horizontal="right" vertical="center" indent="1"/>
    </xf>
    <xf numFmtId="164" fontId="3" fillId="4" borderId="106" xfId="1" applyNumberFormat="1" applyFont="1" applyFill="1" applyBorder="1" applyAlignment="1">
      <alignment horizontal="right" vertical="center"/>
    </xf>
    <xf numFmtId="164" fontId="3" fillId="4" borderId="107" xfId="1" applyNumberFormat="1" applyFont="1" applyFill="1" applyBorder="1" applyAlignment="1">
      <alignment horizontal="right" vertical="center"/>
    </xf>
    <xf numFmtId="164" fontId="3" fillId="4" borderId="113" xfId="1" applyNumberFormat="1" applyFont="1" applyFill="1" applyBorder="1" applyAlignment="1">
      <alignment horizontal="right" vertical="center"/>
    </xf>
    <xf numFmtId="164" fontId="31" fillId="3" borderId="108" xfId="1" applyNumberFormat="1" applyFont="1" applyFill="1" applyBorder="1" applyAlignment="1">
      <alignment horizontal="right" vertical="center"/>
    </xf>
    <xf numFmtId="164" fontId="31" fillId="3" borderId="109" xfId="1" applyNumberFormat="1" applyFont="1" applyFill="1" applyBorder="1" applyAlignment="1">
      <alignment horizontal="right" vertical="center"/>
    </xf>
    <xf numFmtId="164" fontId="31" fillId="3" borderId="114" xfId="1" applyNumberFormat="1" applyFont="1" applyFill="1" applyBorder="1" applyAlignment="1">
      <alignment horizontal="right" vertical="center"/>
    </xf>
    <xf numFmtId="164" fontId="31" fillId="0" borderId="108" xfId="1" applyNumberFormat="1" applyFont="1" applyBorder="1" applyAlignment="1">
      <alignment horizontal="right" vertical="center"/>
    </xf>
    <xf numFmtId="164" fontId="31" fillId="0" borderId="109" xfId="1" applyNumberFormat="1" applyFont="1" applyBorder="1" applyAlignment="1">
      <alignment horizontal="right" vertical="center"/>
    </xf>
    <xf numFmtId="164" fontId="31" fillId="0" borderId="114" xfId="1" applyNumberFormat="1" applyFont="1" applyBorder="1" applyAlignment="1">
      <alignment horizontal="right" vertical="center"/>
    </xf>
    <xf numFmtId="164" fontId="2" fillId="0" borderId="108" xfId="1" applyNumberFormat="1" applyFont="1" applyBorder="1" applyAlignment="1">
      <alignment horizontal="right" vertical="center"/>
    </xf>
    <xf numFmtId="164" fontId="2" fillId="0" borderId="109" xfId="1" applyNumberFormat="1" applyFont="1" applyBorder="1" applyAlignment="1">
      <alignment horizontal="right" vertical="center"/>
    </xf>
    <xf numFmtId="164" fontId="2" fillId="0" borderId="114" xfId="1" applyNumberFormat="1" applyFont="1" applyBorder="1" applyAlignment="1">
      <alignment horizontal="right" vertical="center"/>
    </xf>
    <xf numFmtId="164" fontId="10" fillId="7" borderId="108" xfId="1" applyNumberFormat="1" applyFont="1" applyFill="1" applyBorder="1" applyAlignment="1">
      <alignment horizontal="right" vertical="center"/>
    </xf>
    <xf numFmtId="164" fontId="10" fillId="7" borderId="109" xfId="1" applyNumberFormat="1" applyFont="1" applyFill="1" applyBorder="1" applyAlignment="1">
      <alignment horizontal="right" vertical="center"/>
    </xf>
    <xf numFmtId="164" fontId="10" fillId="7" borderId="114" xfId="1" applyNumberFormat="1" applyFont="1" applyFill="1" applyBorder="1" applyAlignment="1">
      <alignment horizontal="right" vertical="center"/>
    </xf>
    <xf numFmtId="164" fontId="2" fillId="0" borderId="110" xfId="1" applyNumberFormat="1" applyFont="1" applyBorder="1" applyAlignment="1">
      <alignment horizontal="right" vertical="center"/>
    </xf>
    <xf numFmtId="164" fontId="2" fillId="0" borderId="111" xfId="1" applyNumberFormat="1" applyFont="1" applyBorder="1" applyAlignment="1">
      <alignment horizontal="right" vertical="center"/>
    </xf>
    <xf numFmtId="164" fontId="2" fillId="0" borderId="115" xfId="1" applyNumberFormat="1" applyFont="1" applyBorder="1" applyAlignment="1">
      <alignment horizontal="right" vertical="center"/>
    </xf>
    <xf numFmtId="0" fontId="22" fillId="5" borderId="136" xfId="0" applyFont="1" applyFill="1" applyBorder="1" applyAlignment="1">
      <alignment horizontal="center" vertical="center" wrapText="1"/>
    </xf>
    <xf numFmtId="164" fontId="3" fillId="4" borderId="127" xfId="1" applyNumberFormat="1" applyFont="1" applyFill="1" applyBorder="1" applyAlignment="1">
      <alignment horizontal="right" vertical="center"/>
    </xf>
    <xf numFmtId="164" fontId="3" fillId="4" borderId="128" xfId="1" applyNumberFormat="1" applyFont="1" applyFill="1" applyBorder="1" applyAlignment="1">
      <alignment horizontal="right" vertical="center"/>
    </xf>
    <xf numFmtId="164" fontId="3" fillId="4" borderId="137" xfId="1" applyNumberFormat="1" applyFont="1" applyFill="1" applyBorder="1" applyAlignment="1">
      <alignment horizontal="right" vertical="center"/>
    </xf>
    <xf numFmtId="164" fontId="31" fillId="3" borderId="130" xfId="1" applyNumberFormat="1" applyFont="1" applyFill="1" applyBorder="1" applyAlignment="1">
      <alignment horizontal="right" vertical="center"/>
    </xf>
    <xf numFmtId="164" fontId="31" fillId="3" borderId="131" xfId="1" applyNumberFormat="1" applyFont="1" applyFill="1" applyBorder="1" applyAlignment="1">
      <alignment horizontal="right" vertical="center"/>
    </xf>
    <xf numFmtId="164" fontId="31" fillId="3" borderId="138" xfId="1" applyNumberFormat="1" applyFont="1" applyFill="1" applyBorder="1" applyAlignment="1">
      <alignment horizontal="right" vertical="center"/>
    </xf>
    <xf numFmtId="164" fontId="31" fillId="0" borderId="130" xfId="1" applyNumberFormat="1" applyFont="1" applyBorder="1" applyAlignment="1">
      <alignment horizontal="right" vertical="center"/>
    </xf>
    <xf numFmtId="164" fontId="31" fillId="0" borderId="131" xfId="1" applyNumberFormat="1" applyFont="1" applyBorder="1" applyAlignment="1">
      <alignment horizontal="right" vertical="center"/>
    </xf>
    <xf numFmtId="164" fontId="31" fillId="0" borderId="138" xfId="1" applyNumberFormat="1" applyFont="1" applyBorder="1" applyAlignment="1">
      <alignment horizontal="right" vertical="center"/>
    </xf>
    <xf numFmtId="164" fontId="2" fillId="0" borderId="130" xfId="1" applyNumberFormat="1" applyFont="1" applyBorder="1" applyAlignment="1">
      <alignment horizontal="right" vertical="center"/>
    </xf>
    <xf numFmtId="164" fontId="2" fillId="0" borderId="131" xfId="1" applyNumberFormat="1" applyFont="1" applyBorder="1" applyAlignment="1">
      <alignment horizontal="right" vertical="center"/>
    </xf>
    <xf numFmtId="164" fontId="2" fillId="0" borderId="138" xfId="1" applyNumberFormat="1" applyFont="1" applyBorder="1" applyAlignment="1">
      <alignment horizontal="right" vertical="center"/>
    </xf>
    <xf numFmtId="164" fontId="10" fillId="7" borderId="130" xfId="1" applyNumberFormat="1" applyFont="1" applyFill="1" applyBorder="1" applyAlignment="1">
      <alignment horizontal="right" vertical="center"/>
    </xf>
    <xf numFmtId="164" fontId="10" fillId="7" borderId="131" xfId="1" applyNumberFormat="1" applyFont="1" applyFill="1" applyBorder="1" applyAlignment="1">
      <alignment horizontal="right" vertical="center"/>
    </xf>
    <xf numFmtId="164" fontId="10" fillId="7" borderId="138" xfId="1" applyNumberFormat="1" applyFont="1" applyFill="1" applyBorder="1" applyAlignment="1">
      <alignment horizontal="right" vertical="center"/>
    </xf>
    <xf numFmtId="164" fontId="2" fillId="0" borderId="133" xfId="1" applyNumberFormat="1" applyFont="1" applyBorder="1" applyAlignment="1">
      <alignment horizontal="right" vertical="center"/>
    </xf>
    <xf numFmtId="164" fontId="2" fillId="0" borderId="134" xfId="1" applyNumberFormat="1" applyFont="1" applyBorder="1" applyAlignment="1">
      <alignment horizontal="right" vertical="center"/>
    </xf>
    <xf numFmtId="164" fontId="2" fillId="0" borderId="139" xfId="1" applyNumberFormat="1" applyFont="1" applyBorder="1" applyAlignment="1">
      <alignment horizontal="right" vertical="center"/>
    </xf>
    <xf numFmtId="0" fontId="22" fillId="5" borderId="140" xfId="0" applyFont="1" applyFill="1" applyBorder="1" applyAlignment="1">
      <alignment horizontal="center" vertical="center" wrapText="1"/>
    </xf>
    <xf numFmtId="164" fontId="3" fillId="4" borderId="141" xfId="1" applyNumberFormat="1" applyFont="1" applyFill="1" applyBorder="1" applyAlignment="1">
      <alignment horizontal="right" vertical="center"/>
    </xf>
    <xf numFmtId="164" fontId="20" fillId="3" borderId="130" xfId="1" applyNumberFormat="1" applyFont="1" applyFill="1" applyBorder="1" applyAlignment="1">
      <alignment horizontal="right" vertical="center"/>
    </xf>
    <xf numFmtId="164" fontId="20" fillId="3" borderId="131" xfId="1" applyNumberFormat="1" applyFont="1" applyFill="1" applyBorder="1" applyAlignment="1">
      <alignment horizontal="right" vertical="center"/>
    </xf>
    <xf numFmtId="164" fontId="20" fillId="3" borderId="142" xfId="1" applyNumberFormat="1" applyFont="1" applyFill="1" applyBorder="1" applyAlignment="1">
      <alignment horizontal="right" vertical="center"/>
    </xf>
    <xf numFmtId="164" fontId="20" fillId="0" borderId="130" xfId="1" applyNumberFormat="1" applyFont="1" applyBorder="1" applyAlignment="1">
      <alignment horizontal="right" vertical="center"/>
    </xf>
    <xf numFmtId="164" fontId="20" fillId="0" borderId="131" xfId="1" applyNumberFormat="1" applyFont="1" applyBorder="1" applyAlignment="1">
      <alignment horizontal="right" vertical="center"/>
    </xf>
    <xf numFmtId="164" fontId="20" fillId="0" borderId="142" xfId="1" applyNumberFormat="1" applyFont="1" applyBorder="1" applyAlignment="1">
      <alignment horizontal="right" vertical="center"/>
    </xf>
    <xf numFmtId="164" fontId="3" fillId="0" borderId="130" xfId="1" applyNumberFormat="1" applyFont="1" applyBorder="1" applyAlignment="1">
      <alignment horizontal="right" vertical="center"/>
    </xf>
    <xf numFmtId="164" fontId="3" fillId="0" borderId="131" xfId="1" applyNumberFormat="1" applyFont="1" applyBorder="1" applyAlignment="1">
      <alignment horizontal="right" vertical="center"/>
    </xf>
    <xf numFmtId="164" fontId="3" fillId="0" borderId="142" xfId="1" applyNumberFormat="1" applyFont="1" applyBorder="1" applyAlignment="1">
      <alignment horizontal="right" vertical="center"/>
    </xf>
    <xf numFmtId="164" fontId="13" fillId="7" borderId="130" xfId="1" applyNumberFormat="1" applyFont="1" applyFill="1" applyBorder="1" applyAlignment="1">
      <alignment horizontal="right" vertical="center"/>
    </xf>
    <xf numFmtId="164" fontId="13" fillId="7" borderId="131" xfId="1" applyNumberFormat="1" applyFont="1" applyFill="1" applyBorder="1" applyAlignment="1">
      <alignment horizontal="right" vertical="center"/>
    </xf>
    <xf numFmtId="164" fontId="13" fillId="7" borderId="142" xfId="1" applyNumberFormat="1" applyFont="1" applyFill="1" applyBorder="1" applyAlignment="1">
      <alignment horizontal="right" vertical="center"/>
    </xf>
    <xf numFmtId="164" fontId="3" fillId="0" borderId="133" xfId="1" applyNumberFormat="1" applyFont="1" applyBorder="1" applyAlignment="1">
      <alignment horizontal="right" vertical="center"/>
    </xf>
    <xf numFmtId="164" fontId="3" fillId="0" borderId="134" xfId="1" applyNumberFormat="1" applyFont="1" applyBorder="1" applyAlignment="1">
      <alignment horizontal="right" vertical="center"/>
    </xf>
    <xf numFmtId="164" fontId="3" fillId="0" borderId="143" xfId="1" applyNumberFormat="1" applyFont="1" applyBorder="1" applyAlignment="1">
      <alignment horizontal="right" vertical="center"/>
    </xf>
    <xf numFmtId="0" fontId="35" fillId="0" borderId="144" xfId="0" applyFont="1" applyBorder="1" applyAlignment="1">
      <alignment horizontal="left" vertical="center"/>
    </xf>
    <xf numFmtId="0" fontId="2" fillId="0" borderId="146" xfId="0" applyFont="1" applyBorder="1" applyAlignment="1">
      <alignment vertical="center" wrapText="1"/>
    </xf>
    <xf numFmtId="0" fontId="20" fillId="0" borderId="147" xfId="0" applyFont="1" applyBorder="1" applyAlignment="1">
      <alignment horizontal="center" vertical="center" wrapText="1"/>
    </xf>
    <xf numFmtId="0" fontId="2" fillId="0" borderId="148" xfId="0" applyFont="1" applyBorder="1" applyAlignment="1">
      <alignment vertical="center" wrapText="1"/>
    </xf>
    <xf numFmtId="0" fontId="2" fillId="0" borderId="147" xfId="0" applyFont="1" applyBorder="1" applyAlignment="1">
      <alignment vertical="center" wrapText="1"/>
    </xf>
    <xf numFmtId="0" fontId="31" fillId="0" borderId="147" xfId="0" applyFont="1" applyBorder="1" applyAlignment="1">
      <alignment vertical="center" wrapText="1"/>
    </xf>
    <xf numFmtId="0" fontId="31" fillId="0" borderId="148" xfId="0" applyFont="1" applyBorder="1" applyAlignment="1">
      <alignment vertical="center" wrapText="1"/>
    </xf>
    <xf numFmtId="0" fontId="3" fillId="0" borderId="148" xfId="0" applyFont="1" applyBorder="1" applyAlignment="1">
      <alignment vertical="center" wrapText="1"/>
    </xf>
    <xf numFmtId="0" fontId="31" fillId="0" borderId="147" xfId="0" applyFont="1" applyBorder="1" applyAlignment="1">
      <alignment horizontal="center" vertical="center" wrapText="1"/>
    </xf>
    <xf numFmtId="0" fontId="20" fillId="0" borderId="148" xfId="0" applyFont="1" applyBorder="1" applyAlignment="1">
      <alignment vertical="center" wrapText="1"/>
    </xf>
    <xf numFmtId="0" fontId="20" fillId="4" borderId="147" xfId="0" applyFont="1" applyFill="1" applyBorder="1" applyAlignment="1">
      <alignment horizontal="center" vertical="center" wrapText="1"/>
    </xf>
    <xf numFmtId="0" fontId="20" fillId="0" borderId="149" xfId="0" applyFont="1" applyBorder="1" applyAlignment="1">
      <alignment horizontal="center" vertical="center" wrapText="1"/>
    </xf>
    <xf numFmtId="0" fontId="2" fillId="0" borderId="151" xfId="0" applyFont="1" applyBorder="1" applyAlignment="1">
      <alignment vertical="center" wrapText="1"/>
    </xf>
    <xf numFmtId="0" fontId="20" fillId="5" borderId="80" xfId="7" applyFont="1" applyFill="1" applyBorder="1" applyAlignment="1">
      <alignment horizontal="center" vertical="center" wrapText="1"/>
    </xf>
    <xf numFmtId="0" fontId="20" fillId="5" borderId="81" xfId="7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164" fontId="28" fillId="5" borderId="9" xfId="1" applyNumberFormat="1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8" fillId="8" borderId="9" xfId="0" applyFont="1" applyFill="1" applyBorder="1" applyAlignment="1">
      <alignment horizontal="center" vertical="center" wrapText="1"/>
    </xf>
    <xf numFmtId="164" fontId="28" fillId="8" borderId="9" xfId="1" applyNumberFormat="1" applyFont="1" applyFill="1" applyBorder="1" applyAlignment="1">
      <alignment vertical="center"/>
    </xf>
    <xf numFmtId="0" fontId="28" fillId="8" borderId="9" xfId="0" quotePrefix="1" applyFont="1" applyFill="1" applyBorder="1" applyAlignment="1">
      <alignment horizontal="left" vertical="center" wrapText="1"/>
    </xf>
    <xf numFmtId="0" fontId="28" fillId="8" borderId="9" xfId="0" applyFont="1" applyFill="1" applyBorder="1" applyAlignment="1">
      <alignment horizontal="left" vertical="center" wrapText="1"/>
    </xf>
    <xf numFmtId="0" fontId="28" fillId="8" borderId="9" xfId="0" applyFont="1" applyFill="1" applyBorder="1" applyAlignment="1">
      <alignment vertical="center" wrapText="1"/>
    </xf>
    <xf numFmtId="164" fontId="28" fillId="8" borderId="9" xfId="1" applyNumberFormat="1" applyFont="1" applyFill="1" applyBorder="1" applyAlignment="1">
      <alignment horizontal="left" vertical="center" wrapText="1"/>
    </xf>
    <xf numFmtId="0" fontId="31" fillId="0" borderId="69" xfId="0" applyFont="1" applyBorder="1" applyAlignment="1">
      <alignment vertical="center" wrapText="1"/>
    </xf>
    <xf numFmtId="3" fontId="2" fillId="0" borderId="92" xfId="0" applyNumberFormat="1" applyFont="1" applyBorder="1" applyAlignment="1">
      <alignment vertical="center" wrapText="1"/>
    </xf>
    <xf numFmtId="3" fontId="2" fillId="0" borderId="93" xfId="0" applyNumberFormat="1" applyFont="1" applyBorder="1" applyAlignment="1">
      <alignment vertical="center" wrapText="1"/>
    </xf>
    <xf numFmtId="3" fontId="2" fillId="0" borderId="94" xfId="0" applyNumberFormat="1" applyFont="1" applyBorder="1" applyAlignment="1">
      <alignment vertical="center" wrapText="1"/>
    </xf>
    <xf numFmtId="176" fontId="24" fillId="4" borderId="9" xfId="1" applyNumberFormat="1" applyFont="1" applyFill="1" applyBorder="1" applyAlignment="1">
      <alignment horizontal="center" vertical="center"/>
    </xf>
    <xf numFmtId="9" fontId="2" fillId="4" borderId="31" xfId="0" applyNumberFormat="1" applyFont="1" applyFill="1" applyBorder="1" applyAlignment="1">
      <alignment horizontal="center" vertical="center" wrapText="1"/>
    </xf>
    <xf numFmtId="173" fontId="3" fillId="0" borderId="0" xfId="0" applyNumberFormat="1" applyFont="1" applyAlignment="1">
      <alignment vertical="center"/>
    </xf>
    <xf numFmtId="173" fontId="2" fillId="0" borderId="0" xfId="0" applyNumberFormat="1" applyFont="1" applyAlignment="1">
      <alignment vertical="center"/>
    </xf>
    <xf numFmtId="173" fontId="20" fillId="0" borderId="0" xfId="0" applyNumberFormat="1" applyFont="1" applyAlignment="1">
      <alignment vertical="center"/>
    </xf>
    <xf numFmtId="173" fontId="20" fillId="0" borderId="0" xfId="0" applyNumberFormat="1" applyFont="1" applyAlignment="1">
      <alignment vertical="center" wrapText="1"/>
    </xf>
    <xf numFmtId="173" fontId="3" fillId="0" borderId="0" xfId="0" applyNumberFormat="1" applyFont="1" applyAlignment="1">
      <alignment vertical="center" wrapText="1"/>
    </xf>
    <xf numFmtId="173" fontId="3" fillId="4" borderId="0" xfId="0" applyNumberFormat="1" applyFont="1" applyFill="1" applyAlignment="1">
      <alignment vertical="center"/>
    </xf>
    <xf numFmtId="173" fontId="31" fillId="0" borderId="0" xfId="0" applyNumberFormat="1" applyFont="1" applyAlignment="1">
      <alignment vertical="center"/>
    </xf>
    <xf numFmtId="173" fontId="10" fillId="0" borderId="0" xfId="0" applyNumberFormat="1" applyFont="1" applyAlignment="1">
      <alignment vertical="center"/>
    </xf>
    <xf numFmtId="173" fontId="30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3" fontId="16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43" fontId="20" fillId="4" borderId="0" xfId="1" applyFont="1" applyFill="1"/>
    <xf numFmtId="164" fontId="2" fillId="0" borderId="0" xfId="1" applyNumberFormat="1" applyFont="1" applyAlignment="1">
      <alignment vertical="center"/>
    </xf>
    <xf numFmtId="0" fontId="2" fillId="4" borderId="72" xfId="0" applyFont="1" applyFill="1" applyBorder="1"/>
    <xf numFmtId="0" fontId="2" fillId="4" borderId="58" xfId="0" applyFont="1" applyFill="1" applyBorder="1" applyAlignment="1">
      <alignment horizontal="center"/>
    </xf>
    <xf numFmtId="168" fontId="2" fillId="4" borderId="72" xfId="1" applyNumberFormat="1" applyFont="1" applyFill="1" applyBorder="1" applyAlignment="1">
      <alignment horizontal="right" indent="1"/>
    </xf>
    <xf numFmtId="168" fontId="2" fillId="4" borderId="14" xfId="1" applyNumberFormat="1" applyFont="1" applyFill="1" applyBorder="1" applyAlignment="1">
      <alignment horizontal="right" indent="1"/>
    </xf>
    <xf numFmtId="168" fontId="2" fillId="4" borderId="38" xfId="1" applyNumberFormat="1" applyFont="1" applyFill="1" applyBorder="1" applyAlignment="1">
      <alignment horizontal="right" indent="1"/>
    </xf>
    <xf numFmtId="168" fontId="2" fillId="4" borderId="58" xfId="1" applyNumberFormat="1" applyFont="1" applyFill="1" applyBorder="1" applyAlignment="1">
      <alignment horizontal="right" indent="1"/>
    </xf>
    <xf numFmtId="0" fontId="31" fillId="4" borderId="73" xfId="0" applyFont="1" applyFill="1" applyBorder="1"/>
    <xf numFmtId="0" fontId="31" fillId="4" borderId="74" xfId="0" applyFont="1" applyFill="1" applyBorder="1" applyAlignment="1">
      <alignment horizontal="center"/>
    </xf>
    <xf numFmtId="168" fontId="31" fillId="4" borderId="73" xfId="1" applyNumberFormat="1" applyFont="1" applyFill="1" applyBorder="1" applyAlignment="1">
      <alignment horizontal="right" indent="1"/>
    </xf>
    <xf numFmtId="168" fontId="31" fillId="4" borderId="10" xfId="1" applyNumberFormat="1" applyFont="1" applyFill="1" applyBorder="1" applyAlignment="1">
      <alignment horizontal="right" indent="1"/>
    </xf>
    <xf numFmtId="168" fontId="31" fillId="4" borderId="39" xfId="1" applyNumberFormat="1" applyFont="1" applyFill="1" applyBorder="1" applyAlignment="1">
      <alignment horizontal="right" indent="1"/>
    </xf>
    <xf numFmtId="168" fontId="31" fillId="4" borderId="74" xfId="1" applyNumberFormat="1" applyFont="1" applyFill="1" applyBorder="1" applyAlignment="1">
      <alignment horizontal="right" indent="1"/>
    </xf>
    <xf numFmtId="0" fontId="31" fillId="4" borderId="75" xfId="0" applyFont="1" applyFill="1" applyBorder="1"/>
    <xf numFmtId="0" fontId="31" fillId="4" borderId="76" xfId="0" applyFont="1" applyFill="1" applyBorder="1" applyAlignment="1">
      <alignment horizontal="center"/>
    </xf>
    <xf numFmtId="0" fontId="2" fillId="4" borderId="73" xfId="0" applyFont="1" applyFill="1" applyBorder="1"/>
    <xf numFmtId="0" fontId="2" fillId="4" borderId="74" xfId="0" applyFont="1" applyFill="1" applyBorder="1" applyAlignment="1">
      <alignment horizontal="center"/>
    </xf>
    <xf numFmtId="168" fontId="2" fillId="4" borderId="73" xfId="0" applyNumberFormat="1" applyFont="1" applyFill="1" applyBorder="1" applyAlignment="1">
      <alignment horizontal="right" indent="1"/>
    </xf>
    <xf numFmtId="168" fontId="2" fillId="4" borderId="10" xfId="0" applyNumberFormat="1" applyFont="1" applyFill="1" applyBorder="1" applyAlignment="1">
      <alignment horizontal="right" indent="1"/>
    </xf>
    <xf numFmtId="168" fontId="2" fillId="4" borderId="39" xfId="0" applyNumberFormat="1" applyFont="1" applyFill="1" applyBorder="1" applyAlignment="1">
      <alignment horizontal="right" indent="1"/>
    </xf>
    <xf numFmtId="168" fontId="2" fillId="4" borderId="74" xfId="0" applyNumberFormat="1" applyFont="1" applyFill="1" applyBorder="1" applyAlignment="1">
      <alignment horizontal="right" indent="1"/>
    </xf>
    <xf numFmtId="0" fontId="31" fillId="4" borderId="152" xfId="0" applyFont="1" applyFill="1" applyBorder="1"/>
    <xf numFmtId="0" fontId="31" fillId="4" borderId="153" xfId="0" applyFont="1" applyFill="1" applyBorder="1" applyAlignment="1">
      <alignment horizontal="center"/>
    </xf>
    <xf numFmtId="168" fontId="31" fillId="4" borderId="152" xfId="0" applyNumberFormat="1" applyFont="1" applyFill="1" applyBorder="1" applyAlignment="1">
      <alignment horizontal="right" indent="1"/>
    </xf>
    <xf numFmtId="168" fontId="31" fillId="4" borderId="154" xfId="0" applyNumberFormat="1" applyFont="1" applyFill="1" applyBorder="1" applyAlignment="1">
      <alignment horizontal="right" indent="1"/>
    </xf>
    <xf numFmtId="168" fontId="31" fillId="4" borderId="155" xfId="0" applyNumberFormat="1" applyFont="1" applyFill="1" applyBorder="1" applyAlignment="1">
      <alignment horizontal="right" indent="1"/>
    </xf>
    <xf numFmtId="168" fontId="31" fillId="4" borderId="153" xfId="0" applyNumberFormat="1" applyFont="1" applyFill="1" applyBorder="1" applyAlignment="1">
      <alignment horizontal="right" indent="1"/>
    </xf>
    <xf numFmtId="0" fontId="2" fillId="4" borderId="9" xfId="3" applyFont="1" applyFill="1" applyBorder="1" applyAlignment="1">
      <alignment horizontal="left" vertical="center" wrapText="1"/>
    </xf>
    <xf numFmtId="0" fontId="2" fillId="8" borderId="9" xfId="3" applyFont="1" applyFill="1" applyBorder="1" applyAlignment="1">
      <alignment horizontal="left" vertical="center" wrapText="1"/>
    </xf>
    <xf numFmtId="0" fontId="2" fillId="3" borderId="9" xfId="3" applyFont="1" applyFill="1" applyBorder="1" applyAlignment="1">
      <alignment horizontal="left" vertical="center" wrapText="1"/>
    </xf>
    <xf numFmtId="9" fontId="2" fillId="8" borderId="9" xfId="2" applyFont="1" applyFill="1" applyBorder="1"/>
    <xf numFmtId="0" fontId="15" fillId="0" borderId="0" xfId="0" applyFont="1" applyAlignment="1">
      <alignment vertical="center" wrapText="1"/>
    </xf>
    <xf numFmtId="0" fontId="16" fillId="4" borderId="15" xfId="3" applyFont="1" applyFill="1" applyBorder="1" applyAlignment="1">
      <alignment horizontal="left" vertical="center" wrapText="1"/>
    </xf>
    <xf numFmtId="172" fontId="16" fillId="0" borderId="15" xfId="0" applyNumberFormat="1" applyFont="1" applyBorder="1" applyAlignment="1">
      <alignment horizontal="right" vertical="center" wrapText="1" indent="1"/>
    </xf>
    <xf numFmtId="0" fontId="16" fillId="4" borderId="11" xfId="3" applyFont="1" applyFill="1" applyBorder="1" applyAlignment="1">
      <alignment horizontal="left" vertical="center" wrapText="1"/>
    </xf>
    <xf numFmtId="172" fontId="16" fillId="0" borderId="11" xfId="0" applyNumberFormat="1" applyFont="1" applyBorder="1" applyAlignment="1">
      <alignment horizontal="right" vertical="center" wrapText="1" indent="1"/>
    </xf>
    <xf numFmtId="0" fontId="15" fillId="4" borderId="13" xfId="3" applyFont="1" applyFill="1" applyBorder="1" applyAlignment="1">
      <alignment horizontal="center" vertical="center" wrapText="1"/>
    </xf>
    <xf numFmtId="172" fontId="15" fillId="0" borderId="13" xfId="1" applyNumberFormat="1" applyFont="1" applyBorder="1" applyAlignment="1">
      <alignment horizontal="right" vertical="center" wrapText="1" indent="1"/>
    </xf>
    <xf numFmtId="168" fontId="2" fillId="3" borderId="9" xfId="1" applyNumberFormat="1" applyFont="1" applyFill="1" applyBorder="1" applyAlignment="1">
      <alignment horizontal="right" vertical="center" wrapText="1"/>
    </xf>
    <xf numFmtId="168" fontId="2" fillId="8" borderId="9" xfId="1" applyNumberFormat="1" applyFont="1" applyFill="1" applyBorder="1" applyAlignment="1">
      <alignment horizontal="right" vertical="center" wrapText="1"/>
    </xf>
    <xf numFmtId="168" fontId="2" fillId="3" borderId="9" xfId="1" applyNumberFormat="1" applyFont="1" applyFill="1" applyBorder="1" applyAlignment="1">
      <alignment horizontal="right"/>
    </xf>
    <xf numFmtId="0" fontId="46" fillId="0" borderId="0" xfId="0" applyFont="1"/>
    <xf numFmtId="0" fontId="2" fillId="4" borderId="9" xfId="0" applyFont="1" applyFill="1" applyBorder="1"/>
    <xf numFmtId="0" fontId="46" fillId="4" borderId="9" xfId="0" applyFont="1" applyFill="1" applyBorder="1"/>
    <xf numFmtId="169" fontId="46" fillId="4" borderId="9" xfId="2" applyNumberFormat="1" applyFont="1" applyFill="1" applyBorder="1"/>
    <xf numFmtId="177" fontId="2" fillId="4" borderId="9" xfId="1" applyNumberFormat="1" applyFont="1" applyFill="1" applyBorder="1" applyAlignment="1">
      <alignment horizontal="right" vertical="center" wrapText="1"/>
    </xf>
    <xf numFmtId="177" fontId="2" fillId="4" borderId="9" xfId="0" applyNumberFormat="1" applyFont="1" applyFill="1" applyBorder="1"/>
    <xf numFmtId="173" fontId="2" fillId="4" borderId="9" xfId="0" applyNumberFormat="1" applyFont="1" applyFill="1" applyBorder="1"/>
    <xf numFmtId="164" fontId="3" fillId="0" borderId="156" xfId="1" applyNumberFormat="1" applyFont="1" applyFill="1" applyBorder="1" applyAlignment="1">
      <alignment vertical="center"/>
    </xf>
    <xf numFmtId="164" fontId="2" fillId="0" borderId="9" xfId="1" applyNumberFormat="1" applyFont="1" applyFill="1" applyBorder="1" applyAlignment="1">
      <alignment vertical="center"/>
    </xf>
    <xf numFmtId="164" fontId="2" fillId="4" borderId="9" xfId="1" applyNumberFormat="1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25" fillId="0" borderId="0" xfId="0" applyFont="1"/>
    <xf numFmtId="164" fontId="25" fillId="4" borderId="9" xfId="1" applyNumberFormat="1" applyFont="1" applyFill="1" applyBorder="1" applyAlignment="1">
      <alignment horizontal="left" vertical="center"/>
    </xf>
    <xf numFmtId="9" fontId="25" fillId="4" borderId="9" xfId="2" applyFont="1" applyFill="1" applyBorder="1"/>
    <xf numFmtId="169" fontId="25" fillId="4" borderId="9" xfId="2" applyNumberFormat="1" applyFont="1" applyFill="1" applyBorder="1"/>
    <xf numFmtId="169" fontId="20" fillId="3" borderId="33" xfId="2" applyNumberFormat="1" applyFont="1" applyFill="1" applyBorder="1" applyAlignment="1">
      <alignment horizontal="right" vertical="center"/>
    </xf>
    <xf numFmtId="169" fontId="3" fillId="0" borderId="36" xfId="2" applyNumberFormat="1" applyFont="1" applyBorder="1" applyAlignment="1">
      <alignment horizontal="right" vertical="center"/>
    </xf>
    <xf numFmtId="0" fontId="22" fillId="5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164" fontId="18" fillId="0" borderId="15" xfId="1" applyNumberFormat="1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164" fontId="18" fillId="0" borderId="11" xfId="1" applyNumberFormat="1" applyFont="1" applyBorder="1" applyAlignment="1">
      <alignment vertical="center"/>
    </xf>
    <xf numFmtId="0" fontId="47" fillId="0" borderId="11" xfId="0" applyFont="1" applyBorder="1" applyAlignment="1">
      <alignment vertical="center"/>
    </xf>
    <xf numFmtId="9" fontId="47" fillId="0" borderId="11" xfId="2" applyFont="1" applyBorder="1" applyAlignment="1">
      <alignment vertical="center"/>
    </xf>
    <xf numFmtId="168" fontId="2" fillId="0" borderId="11" xfId="1" applyNumberFormat="1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167" fontId="18" fillId="0" borderId="13" xfId="1" applyNumberFormat="1" applyFont="1" applyBorder="1" applyAlignment="1">
      <alignment vertical="center"/>
    </xf>
    <xf numFmtId="0" fontId="2" fillId="10" borderId="0" xfId="0" applyFont="1" applyFill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16" fillId="0" borderId="9" xfId="0" applyFont="1" applyBorder="1" applyAlignment="1">
      <alignment vertical="center"/>
    </xf>
    <xf numFmtId="164" fontId="16" fillId="0" borderId="9" xfId="1" applyNumberFormat="1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9" fontId="25" fillId="0" borderId="11" xfId="2" applyFont="1" applyBorder="1" applyAlignment="1">
      <alignment vertical="center"/>
    </xf>
    <xf numFmtId="169" fontId="25" fillId="0" borderId="11" xfId="2" applyNumberFormat="1" applyFont="1" applyBorder="1" applyAlignment="1">
      <alignment vertical="center"/>
    </xf>
    <xf numFmtId="0" fontId="2" fillId="4" borderId="9" xfId="3" applyFont="1" applyFill="1" applyBorder="1" applyAlignment="1">
      <alignment horizontal="center" vertical="center" wrapText="1"/>
    </xf>
    <xf numFmtId="177" fontId="2" fillId="8" borderId="9" xfId="1" applyNumberFormat="1" applyFont="1" applyFill="1" applyBorder="1" applyAlignment="1">
      <alignment horizontal="right" vertical="center" wrapText="1"/>
    </xf>
    <xf numFmtId="177" fontId="2" fillId="4" borderId="9" xfId="1" applyNumberFormat="1" applyFont="1" applyFill="1" applyBorder="1" applyAlignment="1">
      <alignment horizontal="right"/>
    </xf>
    <xf numFmtId="173" fontId="2" fillId="0" borderId="0" xfId="0" applyNumberFormat="1" applyFont="1"/>
    <xf numFmtId="0" fontId="2" fillId="0" borderId="157" xfId="0" applyFont="1" applyBorder="1" applyAlignment="1">
      <alignment horizontal="left" vertical="center"/>
    </xf>
    <xf numFmtId="37" fontId="2" fillId="0" borderId="158" xfId="1" applyNumberFormat="1" applyFont="1" applyBorder="1" applyAlignment="1">
      <alignment horizontal="center" vertical="center" wrapText="1"/>
    </xf>
    <xf numFmtId="173" fontId="2" fillId="4" borderId="11" xfId="1" applyNumberFormat="1" applyFont="1" applyFill="1" applyBorder="1"/>
    <xf numFmtId="0" fontId="18" fillId="0" borderId="9" xfId="0" applyFont="1" applyBorder="1" applyAlignment="1">
      <alignment vertical="center"/>
    </xf>
    <xf numFmtId="179" fontId="18" fillId="0" borderId="9" xfId="1" applyNumberFormat="1" applyFont="1" applyBorder="1" applyAlignment="1">
      <alignment vertical="center"/>
    </xf>
    <xf numFmtId="169" fontId="18" fillId="0" borderId="9" xfId="2" applyNumberFormat="1" applyFont="1" applyBorder="1" applyAlignment="1">
      <alignment vertical="center"/>
    </xf>
    <xf numFmtId="180" fontId="18" fillId="0" borderId="9" xfId="1" applyNumberFormat="1" applyFont="1" applyBorder="1" applyAlignment="1">
      <alignment vertical="center"/>
    </xf>
    <xf numFmtId="0" fontId="2" fillId="4" borderId="30" xfId="0" applyFont="1" applyFill="1" applyBorder="1" applyAlignment="1">
      <alignment vertical="center" wrapText="1"/>
    </xf>
    <xf numFmtId="0" fontId="2" fillId="4" borderId="32" xfId="0" applyFont="1" applyFill="1" applyBorder="1" applyAlignment="1">
      <alignment vertical="center" wrapText="1"/>
    </xf>
    <xf numFmtId="0" fontId="2" fillId="4" borderId="162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0" borderId="161" xfId="0" applyFont="1" applyBorder="1" applyAlignment="1">
      <alignment horizontal="center" vertical="center" wrapText="1"/>
    </xf>
    <xf numFmtId="0" fontId="48" fillId="0" borderId="163" xfId="0" applyFont="1" applyBorder="1" applyAlignment="1">
      <alignment horizontal="left" vertical="center" wrapText="1" readingOrder="1"/>
    </xf>
    <xf numFmtId="0" fontId="48" fillId="0" borderId="163" xfId="0" applyFont="1" applyBorder="1" applyAlignment="1">
      <alignment horizontal="center" vertical="center" wrapText="1" readingOrder="1"/>
    </xf>
    <xf numFmtId="0" fontId="48" fillId="12" borderId="163" xfId="0" applyFont="1" applyFill="1" applyBorder="1" applyAlignment="1">
      <alignment horizontal="left" vertical="center" wrapText="1" readingOrder="1"/>
    </xf>
    <xf numFmtId="0" fontId="48" fillId="12" borderId="163" xfId="0" applyFont="1" applyFill="1" applyBorder="1" applyAlignment="1">
      <alignment horizontal="center" vertical="center" wrapText="1" readingOrder="1"/>
    </xf>
    <xf numFmtId="0" fontId="51" fillId="0" borderId="163" xfId="0" applyFont="1" applyBorder="1" applyAlignment="1">
      <alignment horizontal="left" vertical="center" wrapText="1" readingOrder="1"/>
    </xf>
    <xf numFmtId="0" fontId="51" fillId="0" borderId="163" xfId="0" applyFont="1" applyBorder="1" applyAlignment="1">
      <alignment horizontal="center" vertical="center" wrapText="1" readingOrder="1"/>
    </xf>
    <xf numFmtId="0" fontId="51" fillId="13" borderId="163" xfId="0" applyFont="1" applyFill="1" applyBorder="1" applyAlignment="1">
      <alignment horizontal="left" vertical="center" wrapText="1" readingOrder="1"/>
    </xf>
    <xf numFmtId="0" fontId="51" fillId="13" borderId="163" xfId="0" applyFont="1" applyFill="1" applyBorder="1" applyAlignment="1">
      <alignment horizontal="center" vertical="center" wrapText="1" readingOrder="1"/>
    </xf>
    <xf numFmtId="0" fontId="28" fillId="13" borderId="163" xfId="0" applyFont="1" applyFill="1" applyBorder="1" applyAlignment="1">
      <alignment horizontal="left" vertical="center" wrapText="1" readingOrder="1"/>
    </xf>
    <xf numFmtId="0" fontId="52" fillId="0" borderId="0" xfId="0" applyFont="1"/>
    <xf numFmtId="164" fontId="50" fillId="0" borderId="163" xfId="6" applyNumberFormat="1" applyFont="1" applyBorder="1" applyAlignment="1">
      <alignment horizontal="right" vertical="center" wrapText="1"/>
    </xf>
    <xf numFmtId="169" fontId="50" fillId="0" borderId="163" xfId="0" applyNumberFormat="1" applyFont="1" applyBorder="1" applyAlignment="1">
      <alignment horizontal="right" vertical="center" wrapText="1"/>
    </xf>
    <xf numFmtId="169" fontId="50" fillId="0" borderId="163" xfId="2" applyNumberFormat="1" applyFont="1" applyBorder="1" applyAlignment="1">
      <alignment horizontal="right" vertical="center" wrapText="1"/>
    </xf>
    <xf numFmtId="169" fontId="50" fillId="13" borderId="163" xfId="2" applyNumberFormat="1" applyFont="1" applyFill="1" applyBorder="1" applyAlignment="1">
      <alignment horizontal="right" vertical="center" wrapText="1"/>
    </xf>
    <xf numFmtId="167" fontId="48" fillId="12" borderId="163" xfId="1" applyNumberFormat="1" applyFont="1" applyFill="1" applyBorder="1" applyAlignment="1">
      <alignment horizontal="right" vertical="center" wrapText="1" readingOrder="1"/>
    </xf>
    <xf numFmtId="166" fontId="50" fillId="0" borderId="163" xfId="1" applyNumberFormat="1" applyFont="1" applyBorder="1" applyAlignment="1">
      <alignment horizontal="right" vertical="center" wrapText="1"/>
    </xf>
    <xf numFmtId="167" fontId="50" fillId="0" borderId="163" xfId="2" applyNumberFormat="1" applyFont="1" applyBorder="1" applyAlignment="1">
      <alignment horizontal="right" vertical="center" wrapText="1"/>
    </xf>
    <xf numFmtId="168" fontId="48" fillId="0" borderId="163" xfId="0" applyNumberFormat="1" applyFont="1" applyBorder="1" applyAlignment="1">
      <alignment horizontal="right" vertical="center" wrapText="1" readingOrder="1"/>
    </xf>
    <xf numFmtId="168" fontId="49" fillId="0" borderId="163" xfId="6" applyNumberFormat="1" applyFont="1" applyBorder="1" applyAlignment="1">
      <alignment horizontal="right" vertical="center" wrapText="1"/>
    </xf>
    <xf numFmtId="167" fontId="50" fillId="0" borderId="163" xfId="6" applyNumberFormat="1" applyFont="1" applyBorder="1" applyAlignment="1">
      <alignment horizontal="right" vertical="center" wrapText="1"/>
    </xf>
    <xf numFmtId="174" fontId="50" fillId="0" borderId="163" xfId="6" applyNumberFormat="1" applyFont="1" applyBorder="1" applyAlignment="1">
      <alignment horizontal="right" vertical="center" wrapText="1"/>
    </xf>
    <xf numFmtId="43" fontId="0" fillId="0" borderId="0" xfId="0" applyNumberFormat="1"/>
    <xf numFmtId="168" fontId="50" fillId="13" borderId="163" xfId="6" applyNumberFormat="1" applyFont="1" applyFill="1" applyBorder="1" applyAlignment="1">
      <alignment horizontal="right" vertical="center" wrapText="1"/>
    </xf>
    <xf numFmtId="175" fontId="51" fillId="13" borderId="163" xfId="6" applyNumberFormat="1" applyFont="1" applyFill="1" applyBorder="1" applyAlignment="1">
      <alignment horizontal="right" vertical="center" wrapText="1" readingOrder="1"/>
    </xf>
    <xf numFmtId="0" fontId="48" fillId="12" borderId="164" xfId="0" applyFont="1" applyFill="1" applyBorder="1" applyAlignment="1">
      <alignment horizontal="center" vertical="center" wrapText="1" readingOrder="1"/>
    </xf>
    <xf numFmtId="167" fontId="48" fillId="12" borderId="165" xfId="1" applyNumberFormat="1" applyFont="1" applyFill="1" applyBorder="1" applyAlignment="1">
      <alignment horizontal="right" vertical="center" wrapText="1" readingOrder="1"/>
    </xf>
    <xf numFmtId="0" fontId="48" fillId="0" borderId="164" xfId="0" applyFont="1" applyBorder="1" applyAlignment="1">
      <alignment horizontal="center" vertical="center" wrapText="1" readingOrder="1"/>
    </xf>
    <xf numFmtId="168" fontId="48" fillId="0" borderId="165" xfId="0" applyNumberFormat="1" applyFont="1" applyBorder="1" applyAlignment="1">
      <alignment horizontal="right" vertical="center" wrapText="1" readingOrder="1"/>
    </xf>
    <xf numFmtId="0" fontId="50" fillId="0" borderId="164" xfId="0" applyFont="1" applyBorder="1" applyAlignment="1">
      <alignment horizontal="center" vertical="center" wrapText="1"/>
    </xf>
    <xf numFmtId="174" fontId="50" fillId="0" borderId="165" xfId="6" applyNumberFormat="1" applyFont="1" applyBorder="1" applyAlignment="1">
      <alignment horizontal="right" vertical="center" wrapText="1"/>
    </xf>
    <xf numFmtId="0" fontId="49" fillId="0" borderId="164" xfId="0" applyFont="1" applyBorder="1" applyAlignment="1">
      <alignment horizontal="center" vertical="center" wrapText="1"/>
    </xf>
    <xf numFmtId="168" fontId="49" fillId="0" borderId="165" xfId="6" applyNumberFormat="1" applyFont="1" applyBorder="1" applyAlignment="1">
      <alignment horizontal="right" vertical="center" wrapText="1"/>
    </xf>
    <xf numFmtId="164" fontId="50" fillId="0" borderId="165" xfId="6" applyNumberFormat="1" applyFont="1" applyBorder="1" applyAlignment="1">
      <alignment horizontal="right" vertical="center" wrapText="1"/>
    </xf>
    <xf numFmtId="169" fontId="50" fillId="0" borderId="165" xfId="0" applyNumberFormat="1" applyFont="1" applyBorder="1" applyAlignment="1">
      <alignment horizontal="right" vertical="center" wrapText="1"/>
    </xf>
    <xf numFmtId="169" fontId="50" fillId="0" borderId="165" xfId="2" applyNumberFormat="1" applyFont="1" applyBorder="1" applyAlignment="1">
      <alignment horizontal="right" vertical="center" wrapText="1"/>
    </xf>
    <xf numFmtId="167" fontId="50" fillId="0" borderId="165" xfId="2" applyNumberFormat="1" applyFont="1" applyBorder="1" applyAlignment="1">
      <alignment horizontal="right" vertical="center" wrapText="1"/>
    </xf>
    <xf numFmtId="166" fontId="50" fillId="0" borderId="165" xfId="1" applyNumberFormat="1" applyFont="1" applyBorder="1" applyAlignment="1">
      <alignment horizontal="right" vertical="center" wrapText="1"/>
    </xf>
    <xf numFmtId="0" fontId="50" fillId="13" borderId="164" xfId="0" applyFont="1" applyFill="1" applyBorder="1" applyAlignment="1">
      <alignment horizontal="center" vertical="center" wrapText="1"/>
    </xf>
    <xf numFmtId="167" fontId="50" fillId="0" borderId="165" xfId="6" applyNumberFormat="1" applyFont="1" applyBorder="1" applyAlignment="1">
      <alignment horizontal="right" vertical="center" wrapText="1"/>
    </xf>
    <xf numFmtId="168" fontId="50" fillId="13" borderId="165" xfId="6" applyNumberFormat="1" applyFont="1" applyFill="1" applyBorder="1" applyAlignment="1">
      <alignment horizontal="right" vertical="center" wrapText="1"/>
    </xf>
    <xf numFmtId="175" fontId="51" fillId="13" borderId="165" xfId="6" applyNumberFormat="1" applyFont="1" applyFill="1" applyBorder="1" applyAlignment="1">
      <alignment horizontal="right" vertical="center" wrapText="1" readingOrder="1"/>
    </xf>
    <xf numFmtId="169" fontId="50" fillId="13" borderId="165" xfId="2" applyNumberFormat="1" applyFont="1" applyFill="1" applyBorder="1" applyAlignment="1">
      <alignment horizontal="right" vertical="center" wrapText="1"/>
    </xf>
    <xf numFmtId="0" fontId="50" fillId="0" borderId="166" xfId="0" applyFont="1" applyBorder="1" applyAlignment="1">
      <alignment horizontal="center" vertical="center" wrapText="1"/>
    </xf>
    <xf numFmtId="0" fontId="51" fillId="0" borderId="167" xfId="0" applyFont="1" applyBorder="1" applyAlignment="1">
      <alignment horizontal="left" vertical="center" wrapText="1" readingOrder="1"/>
    </xf>
    <xf numFmtId="0" fontId="51" fillId="0" borderId="167" xfId="0" applyFont="1" applyBorder="1" applyAlignment="1">
      <alignment horizontal="center" vertical="center" wrapText="1" readingOrder="1"/>
    </xf>
    <xf numFmtId="169" fontId="50" fillId="0" borderId="167" xfId="2" applyNumberFormat="1" applyFont="1" applyBorder="1" applyAlignment="1">
      <alignment horizontal="right" vertical="center" wrapText="1"/>
    </xf>
    <xf numFmtId="169" fontId="50" fillId="0" borderId="168" xfId="2" applyNumberFormat="1" applyFont="1" applyBorder="1" applyAlignment="1">
      <alignment horizontal="right" vertical="center" wrapText="1"/>
    </xf>
    <xf numFmtId="167" fontId="49" fillId="12" borderId="163" xfId="6" applyNumberFormat="1" applyFont="1" applyFill="1" applyBorder="1" applyAlignment="1">
      <alignment horizontal="right" vertical="center" wrapText="1"/>
    </xf>
    <xf numFmtId="167" fontId="49" fillId="12" borderId="165" xfId="6" applyNumberFormat="1" applyFont="1" applyFill="1" applyBorder="1" applyAlignment="1">
      <alignment horizontal="right" vertical="center" wrapText="1"/>
    </xf>
    <xf numFmtId="167" fontId="49" fillId="12" borderId="163" xfId="0" applyNumberFormat="1" applyFont="1" applyFill="1" applyBorder="1" applyAlignment="1">
      <alignment horizontal="right" vertical="center" wrapText="1"/>
    </xf>
    <xf numFmtId="167" fontId="49" fillId="12" borderId="165" xfId="0" applyNumberFormat="1" applyFont="1" applyFill="1" applyBorder="1" applyAlignment="1">
      <alignment horizontal="right" vertical="center" wrapText="1"/>
    </xf>
    <xf numFmtId="0" fontId="53" fillId="3" borderId="30" xfId="1" applyNumberFormat="1" applyFont="1" applyFill="1" applyBorder="1" applyAlignment="1">
      <alignment horizontal="center" vertical="center" wrapText="1"/>
    </xf>
    <xf numFmtId="0" fontId="53" fillId="3" borderId="15" xfId="1" applyNumberFormat="1" applyFont="1" applyFill="1" applyBorder="1" applyAlignment="1">
      <alignment horizontal="center" vertical="center" wrapText="1"/>
    </xf>
    <xf numFmtId="0" fontId="53" fillId="3" borderId="31" xfId="1" applyNumberFormat="1" applyFont="1" applyFill="1" applyBorder="1" applyAlignment="1">
      <alignment horizontal="center" vertical="center" wrapText="1"/>
    </xf>
    <xf numFmtId="0" fontId="53" fillId="3" borderId="32" xfId="1" applyNumberFormat="1" applyFont="1" applyFill="1" applyBorder="1" applyAlignment="1">
      <alignment horizontal="center" vertical="center" wrapText="1"/>
    </xf>
    <xf numFmtId="0" fontId="53" fillId="3" borderId="11" xfId="1" applyNumberFormat="1" applyFont="1" applyFill="1" applyBorder="1" applyAlignment="1">
      <alignment horizontal="center" vertical="center" wrapText="1"/>
    </xf>
    <xf numFmtId="0" fontId="53" fillId="3" borderId="33" xfId="1" applyNumberFormat="1" applyFont="1" applyFill="1" applyBorder="1" applyAlignment="1">
      <alignment horizontal="center" vertical="center" wrapText="1"/>
    </xf>
    <xf numFmtId="178" fontId="31" fillId="4" borderId="75" xfId="0" applyNumberFormat="1" applyFont="1" applyFill="1" applyBorder="1" applyAlignment="1">
      <alignment horizontal="right" indent="1"/>
    </xf>
    <xf numFmtId="178" fontId="31" fillId="4" borderId="77" xfId="0" applyNumberFormat="1" applyFont="1" applyFill="1" applyBorder="1" applyAlignment="1">
      <alignment horizontal="right" indent="1"/>
    </xf>
    <xf numFmtId="178" fontId="31" fillId="4" borderId="76" xfId="0" applyNumberFormat="1" applyFont="1" applyFill="1" applyBorder="1" applyAlignment="1">
      <alignment horizontal="right" indent="1"/>
    </xf>
    <xf numFmtId="177" fontId="31" fillId="4" borderId="75" xfId="0" applyNumberFormat="1" applyFont="1" applyFill="1" applyBorder="1" applyAlignment="1">
      <alignment horizontal="right" indent="1"/>
    </xf>
    <xf numFmtId="177" fontId="31" fillId="4" borderId="77" xfId="0" applyNumberFormat="1" applyFont="1" applyFill="1" applyBorder="1" applyAlignment="1">
      <alignment horizontal="right" indent="1"/>
    </xf>
    <xf numFmtId="177" fontId="31" fillId="4" borderId="79" xfId="0" applyNumberFormat="1" applyFont="1" applyFill="1" applyBorder="1" applyAlignment="1">
      <alignment horizontal="right" indent="1"/>
    </xf>
    <xf numFmtId="175" fontId="54" fillId="4" borderId="82" xfId="1" applyNumberFormat="1" applyFont="1" applyFill="1" applyBorder="1" applyAlignment="1">
      <alignment horizontal="right" vertical="center" wrapText="1"/>
    </xf>
    <xf numFmtId="175" fontId="54" fillId="4" borderId="83" xfId="1" applyNumberFormat="1" applyFont="1" applyFill="1" applyBorder="1" applyAlignment="1">
      <alignment horizontal="right" vertical="center" wrapText="1"/>
    </xf>
    <xf numFmtId="175" fontId="54" fillId="4" borderId="86" xfId="1" applyNumberFormat="1" applyFont="1" applyFill="1" applyBorder="1" applyAlignment="1">
      <alignment horizontal="right" vertical="center" wrapText="1"/>
    </xf>
    <xf numFmtId="175" fontId="54" fillId="4" borderId="87" xfId="1" applyNumberFormat="1" applyFont="1" applyFill="1" applyBorder="1" applyAlignment="1">
      <alignment horizontal="right" vertical="center" wrapText="1"/>
    </xf>
    <xf numFmtId="175" fontId="54" fillId="8" borderId="82" xfId="1" applyNumberFormat="1" applyFont="1" applyFill="1" applyBorder="1" applyAlignment="1">
      <alignment horizontal="right" vertical="center" wrapText="1"/>
    </xf>
    <xf numFmtId="175" fontId="54" fillId="8" borderId="83" xfId="1" applyNumberFormat="1" applyFont="1" applyFill="1" applyBorder="1" applyAlignment="1">
      <alignment horizontal="right" vertical="center" wrapText="1"/>
    </xf>
    <xf numFmtId="175" fontId="54" fillId="8" borderId="84" xfId="1" applyNumberFormat="1" applyFont="1" applyFill="1" applyBorder="1" applyAlignment="1">
      <alignment horizontal="right" vertical="center" wrapText="1"/>
    </xf>
    <xf numFmtId="175" fontId="54" fillId="8" borderId="85" xfId="1" applyNumberFormat="1" applyFont="1" applyFill="1" applyBorder="1" applyAlignment="1">
      <alignment horizontal="right" vertical="center" wrapText="1"/>
    </xf>
    <xf numFmtId="175" fontId="54" fillId="8" borderId="86" xfId="1" applyNumberFormat="1" applyFont="1" applyFill="1" applyBorder="1" applyAlignment="1">
      <alignment horizontal="right" vertical="center" wrapText="1"/>
    </xf>
    <xf numFmtId="175" fontId="54" fillId="8" borderId="87" xfId="1" applyNumberFormat="1" applyFont="1" applyFill="1" applyBorder="1" applyAlignment="1">
      <alignment horizontal="right" vertical="center" wrapText="1"/>
    </xf>
    <xf numFmtId="175" fontId="54" fillId="8" borderId="88" xfId="1" applyNumberFormat="1" applyFont="1" applyFill="1" applyBorder="1" applyAlignment="1">
      <alignment horizontal="right" vertical="center" wrapText="1"/>
    </xf>
    <xf numFmtId="175" fontId="54" fillId="8" borderId="89" xfId="1" applyNumberFormat="1" applyFont="1" applyFill="1" applyBorder="1" applyAlignment="1">
      <alignment horizontal="right" vertical="center" wrapText="1"/>
    </xf>
    <xf numFmtId="175" fontId="54" fillId="4" borderId="88" xfId="1" applyNumberFormat="1" applyFont="1" applyFill="1" applyBorder="1" applyAlignment="1">
      <alignment horizontal="right" vertical="center" wrapText="1"/>
    </xf>
    <xf numFmtId="175" fontId="54" fillId="4" borderId="89" xfId="1" applyNumberFormat="1" applyFont="1" applyFill="1" applyBorder="1" applyAlignment="1">
      <alignment horizontal="right" vertical="center" wrapText="1"/>
    </xf>
    <xf numFmtId="175" fontId="54" fillId="4" borderId="84" xfId="1" applyNumberFormat="1" applyFont="1" applyFill="1" applyBorder="1" applyAlignment="1">
      <alignment horizontal="right" vertical="center" wrapText="1"/>
    </xf>
    <xf numFmtId="175" fontId="54" fillId="4" borderId="85" xfId="1" applyNumberFormat="1" applyFont="1" applyFill="1" applyBorder="1" applyAlignment="1">
      <alignment horizontal="right" vertical="center" wrapText="1"/>
    </xf>
    <xf numFmtId="175" fontId="54" fillId="4" borderId="82" xfId="1" applyNumberFormat="1" applyFont="1" applyFill="1" applyBorder="1" applyAlignment="1">
      <alignment horizontal="right" vertical="center"/>
    </xf>
    <xf numFmtId="175" fontId="54" fillId="4" borderId="83" xfId="0" applyNumberFormat="1" applyFont="1" applyFill="1" applyBorder="1" applyAlignment="1">
      <alignment horizontal="right" vertical="center"/>
    </xf>
    <xf numFmtId="175" fontId="54" fillId="4" borderId="84" xfId="1" applyNumberFormat="1" applyFont="1" applyFill="1" applyBorder="1" applyAlignment="1">
      <alignment horizontal="right" vertical="center"/>
    </xf>
    <xf numFmtId="175" fontId="54" fillId="4" borderId="85" xfId="0" applyNumberFormat="1" applyFont="1" applyFill="1" applyBorder="1" applyAlignment="1">
      <alignment horizontal="right" vertical="center"/>
    </xf>
    <xf numFmtId="175" fontId="54" fillId="4" borderId="86" xfId="1" applyNumberFormat="1" applyFont="1" applyFill="1" applyBorder="1" applyAlignment="1">
      <alignment horizontal="right" vertical="center"/>
    </xf>
    <xf numFmtId="175" fontId="54" fillId="4" borderId="87" xfId="0" applyNumberFormat="1" applyFont="1" applyFill="1" applyBorder="1" applyAlignment="1">
      <alignment horizontal="right" vertical="center" wrapText="1"/>
    </xf>
    <xf numFmtId="0" fontId="48" fillId="3" borderId="164" xfId="0" applyFont="1" applyFill="1" applyBorder="1" applyAlignment="1">
      <alignment horizontal="center" vertical="center" wrapText="1" readingOrder="1"/>
    </xf>
    <xf numFmtId="0" fontId="48" fillId="3" borderId="163" xfId="0" applyFont="1" applyFill="1" applyBorder="1" applyAlignment="1">
      <alignment horizontal="left" vertical="center" wrapText="1" readingOrder="1"/>
    </xf>
    <xf numFmtId="0" fontId="48" fillId="3" borderId="163" xfId="0" applyFont="1" applyFill="1" applyBorder="1" applyAlignment="1">
      <alignment horizontal="center" vertical="center" wrapText="1" readingOrder="1"/>
    </xf>
    <xf numFmtId="167" fontId="49" fillId="3" borderId="163" xfId="0" applyNumberFormat="1" applyFont="1" applyFill="1" applyBorder="1" applyAlignment="1">
      <alignment horizontal="right" vertical="center" wrapText="1"/>
    </xf>
    <xf numFmtId="167" fontId="49" fillId="3" borderId="165" xfId="0" applyNumberFormat="1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3" fontId="2" fillId="4" borderId="0" xfId="0" applyNumberFormat="1" applyFont="1" applyFill="1" applyAlignment="1">
      <alignment vertical="center" wrapText="1"/>
    </xf>
    <xf numFmtId="0" fontId="20" fillId="4" borderId="0" xfId="0" applyFont="1" applyFill="1" applyAlignment="1">
      <alignment horizontal="center" vertical="center" wrapText="1"/>
    </xf>
    <xf numFmtId="9" fontId="2" fillId="4" borderId="0" xfId="2" applyFont="1" applyFill="1" applyBorder="1" applyAlignment="1">
      <alignment horizontal="center" vertical="center" wrapText="1"/>
    </xf>
    <xf numFmtId="0" fontId="2" fillId="4" borderId="145" xfId="0" applyFont="1" applyFill="1" applyBorder="1" applyAlignment="1">
      <alignment vertical="center" wrapText="1"/>
    </xf>
    <xf numFmtId="172" fontId="2" fillId="4" borderId="0" xfId="0" applyNumberFormat="1" applyFont="1" applyFill="1" applyAlignment="1">
      <alignment vertical="center" wrapText="1"/>
    </xf>
    <xf numFmtId="172" fontId="3" fillId="4" borderId="0" xfId="0" applyNumberFormat="1" applyFont="1" applyFill="1" applyAlignment="1">
      <alignment vertical="center" wrapText="1"/>
    </xf>
    <xf numFmtId="0" fontId="42" fillId="4" borderId="145" xfId="0" applyFont="1" applyFill="1" applyBorder="1" applyAlignment="1">
      <alignment vertical="center" wrapText="1"/>
    </xf>
    <xf numFmtId="0" fontId="2" fillId="4" borderId="145" xfId="0" applyFont="1" applyFill="1" applyBorder="1" applyAlignment="1">
      <alignment horizontal="center" vertical="center" wrapText="1"/>
    </xf>
    <xf numFmtId="0" fontId="26" fillId="4" borderId="0" xfId="0" applyFont="1" applyFill="1" applyAlignment="1">
      <alignment vertical="center" wrapText="1"/>
    </xf>
    <xf numFmtId="0" fontId="2" fillId="4" borderId="148" xfId="0" applyFont="1" applyFill="1" applyBorder="1" applyAlignment="1">
      <alignment vertical="center" wrapText="1"/>
    </xf>
    <xf numFmtId="0" fontId="2" fillId="4" borderId="150" xfId="0" applyFont="1" applyFill="1" applyBorder="1" applyAlignment="1">
      <alignment vertical="center" wrapText="1"/>
    </xf>
    <xf numFmtId="0" fontId="2" fillId="4" borderId="150" xfId="0" applyFont="1" applyFill="1" applyBorder="1" applyAlignment="1">
      <alignment horizontal="center" vertical="center" wrapText="1"/>
    </xf>
    <xf numFmtId="0" fontId="31" fillId="4" borderId="148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48" xfId="0" applyFont="1" applyFill="1" applyBorder="1" applyAlignment="1">
      <alignment vertical="center" wrapText="1"/>
    </xf>
    <xf numFmtId="0" fontId="20" fillId="4" borderId="148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51" fillId="11" borderId="169" xfId="0" applyFont="1" applyFill="1" applyBorder="1" applyAlignment="1">
      <alignment horizontal="left" vertical="center" wrapText="1" readingOrder="1"/>
    </xf>
    <xf numFmtId="0" fontId="51" fillId="11" borderId="171" xfId="0" applyFont="1" applyFill="1" applyBorder="1" applyAlignment="1">
      <alignment horizontal="left" vertical="center" wrapText="1" readingOrder="1"/>
    </xf>
    <xf numFmtId="0" fontId="51" fillId="11" borderId="11" xfId="0" applyFont="1" applyFill="1" applyBorder="1" applyAlignment="1">
      <alignment horizontal="left" vertical="center" wrapText="1" readingOrder="1"/>
    </xf>
    <xf numFmtId="0" fontId="51" fillId="11" borderId="33" xfId="0" applyFont="1" applyFill="1" applyBorder="1" applyAlignment="1">
      <alignment horizontal="left" vertical="center" wrapText="1" readingOrder="1"/>
    </xf>
    <xf numFmtId="0" fontId="51" fillId="0" borderId="11" xfId="0" applyFont="1" applyBorder="1" applyAlignment="1">
      <alignment horizontal="left" vertical="center" wrapText="1" readingOrder="1"/>
    </xf>
    <xf numFmtId="0" fontId="51" fillId="0" borderId="33" xfId="0" applyFont="1" applyBorder="1" applyAlignment="1">
      <alignment horizontal="left" vertical="center" wrapText="1" readingOrder="1"/>
    </xf>
    <xf numFmtId="0" fontId="51" fillId="0" borderId="34" xfId="0" applyFont="1" applyBorder="1" applyAlignment="1">
      <alignment horizontal="left" vertical="center" wrapText="1" readingOrder="1"/>
    </xf>
    <xf numFmtId="0" fontId="51" fillId="0" borderId="35" xfId="0" applyFont="1" applyBorder="1" applyAlignment="1">
      <alignment horizontal="left" vertical="center" wrapText="1" readingOrder="1"/>
    </xf>
    <xf numFmtId="0" fontId="51" fillId="0" borderId="36" xfId="0" applyFont="1" applyBorder="1" applyAlignment="1">
      <alignment horizontal="left" vertical="center" wrapText="1" readingOrder="1"/>
    </xf>
    <xf numFmtId="0" fontId="55" fillId="0" borderId="0" xfId="0" applyFont="1" applyAlignment="1">
      <alignment vertical="center"/>
    </xf>
    <xf numFmtId="0" fontId="56" fillId="5" borderId="95" xfId="0" applyFont="1" applyFill="1" applyBorder="1" applyAlignment="1">
      <alignment horizontal="center" vertical="center" wrapText="1" readingOrder="1"/>
    </xf>
    <xf numFmtId="0" fontId="56" fillId="5" borderId="178" xfId="0" applyFont="1" applyFill="1" applyBorder="1" applyAlignment="1">
      <alignment horizontal="center" vertical="center" wrapText="1" readingOrder="1"/>
    </xf>
    <xf numFmtId="0" fontId="57" fillId="6" borderId="98" xfId="0" applyFont="1" applyFill="1" applyBorder="1" applyAlignment="1">
      <alignment horizontal="center" vertical="center"/>
    </xf>
    <xf numFmtId="0" fontId="51" fillId="11" borderId="32" xfId="0" quotePrefix="1" applyFont="1" applyFill="1" applyBorder="1" applyAlignment="1">
      <alignment horizontal="left" vertical="center" wrapText="1" readingOrder="1"/>
    </xf>
    <xf numFmtId="0" fontId="51" fillId="7" borderId="173" xfId="0" applyFont="1" applyFill="1" applyBorder="1" applyAlignment="1">
      <alignment horizontal="left" vertical="center" wrapText="1" readingOrder="1"/>
    </xf>
    <xf numFmtId="0" fontId="0" fillId="7" borderId="172" xfId="0" applyFill="1" applyBorder="1" applyAlignment="1">
      <alignment vertical="center" wrapText="1"/>
    </xf>
    <xf numFmtId="0" fontId="51" fillId="7" borderId="172" xfId="0" applyFont="1" applyFill="1" applyBorder="1" applyAlignment="1">
      <alignment horizontal="left" vertical="center" wrapText="1" readingOrder="1"/>
    </xf>
    <xf numFmtId="0" fontId="51" fillId="7" borderId="174" xfId="0" applyFont="1" applyFill="1" applyBorder="1" applyAlignment="1">
      <alignment horizontal="left" vertical="center" wrapText="1" readingOrder="1"/>
    </xf>
    <xf numFmtId="0" fontId="51" fillId="7" borderId="108" xfId="0" applyFont="1" applyFill="1" applyBorder="1" applyAlignment="1">
      <alignment horizontal="left" vertical="center" wrapText="1" readingOrder="1"/>
    </xf>
    <xf numFmtId="0" fontId="0" fillId="7" borderId="109" xfId="0" applyFill="1" applyBorder="1" applyAlignment="1">
      <alignment vertical="center" wrapText="1"/>
    </xf>
    <xf numFmtId="0" fontId="51" fillId="7" borderId="109" xfId="0" quotePrefix="1" applyFont="1" applyFill="1" applyBorder="1" applyAlignment="1">
      <alignment horizontal="left" vertical="center" wrapText="1" readingOrder="1"/>
    </xf>
    <xf numFmtId="0" fontId="51" fillId="7" borderId="175" xfId="0" applyFont="1" applyFill="1" applyBorder="1" applyAlignment="1">
      <alignment horizontal="left" vertical="center" wrapText="1" readingOrder="1"/>
    </xf>
    <xf numFmtId="0" fontId="51" fillId="7" borderId="109" xfId="0" applyFont="1" applyFill="1" applyBorder="1" applyAlignment="1">
      <alignment horizontal="left" vertical="center" wrapText="1" readingOrder="1"/>
    </xf>
    <xf numFmtId="0" fontId="51" fillId="7" borderId="110" xfId="0" applyFont="1" applyFill="1" applyBorder="1" applyAlignment="1">
      <alignment horizontal="left" vertical="center" wrapText="1" readingOrder="1"/>
    </xf>
    <xf numFmtId="0" fontId="51" fillId="7" borderId="111" xfId="0" applyFont="1" applyFill="1" applyBorder="1" applyAlignment="1">
      <alignment horizontal="left" vertical="center" wrapText="1" readingOrder="1"/>
    </xf>
    <xf numFmtId="0" fontId="51" fillId="7" borderId="111" xfId="0" quotePrefix="1" applyFont="1" applyFill="1" applyBorder="1" applyAlignment="1">
      <alignment horizontal="left" vertical="center" wrapText="1" readingOrder="1"/>
    </xf>
    <xf numFmtId="0" fontId="51" fillId="7" borderId="176" xfId="0" applyFont="1" applyFill="1" applyBorder="1" applyAlignment="1">
      <alignment horizontal="left" vertical="center" wrapText="1" readingOrder="1"/>
    </xf>
    <xf numFmtId="0" fontId="55" fillId="14" borderId="9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11" borderId="9" xfId="0" applyFill="1" applyBorder="1" applyAlignment="1">
      <alignment vertical="center"/>
    </xf>
    <xf numFmtId="43" fontId="20" fillId="4" borderId="35" xfId="1" applyFont="1" applyFill="1" applyBorder="1" applyAlignment="1">
      <alignment vertical="center" wrapText="1"/>
    </xf>
    <xf numFmtId="0" fontId="2" fillId="4" borderId="15" xfId="0" applyFont="1" applyFill="1" applyBorder="1"/>
    <xf numFmtId="0" fontId="2" fillId="4" borderId="11" xfId="0" applyFont="1" applyFill="1" applyBorder="1"/>
    <xf numFmtId="0" fontId="31" fillId="4" borderId="11" xfId="0" applyFont="1" applyFill="1" applyBorder="1"/>
    <xf numFmtId="164" fontId="2" fillId="4" borderId="85" xfId="7" applyNumberFormat="1" applyFont="1" applyFill="1" applyBorder="1" applyAlignment="1">
      <alignment horizontal="center" vertical="center"/>
    </xf>
    <xf numFmtId="168" fontId="3" fillId="3" borderId="9" xfId="1" applyNumberFormat="1" applyFont="1" applyFill="1" applyBorder="1" applyAlignment="1">
      <alignment horizontal="right" vertical="center" wrapText="1"/>
    </xf>
    <xf numFmtId="177" fontId="3" fillId="8" borderId="9" xfId="1" applyNumberFormat="1" applyFont="1" applyFill="1" applyBorder="1" applyAlignment="1">
      <alignment horizontal="right" vertical="center" wrapText="1"/>
    </xf>
    <xf numFmtId="177" fontId="3" fillId="4" borderId="9" xfId="1" applyNumberFormat="1" applyFont="1" applyFill="1" applyBorder="1" applyAlignment="1">
      <alignment horizontal="right"/>
    </xf>
    <xf numFmtId="181" fontId="2" fillId="4" borderId="15" xfId="0" applyNumberFormat="1" applyFont="1" applyFill="1" applyBorder="1"/>
    <xf numFmtId="164" fontId="2" fillId="4" borderId="0" xfId="1" applyNumberFormat="1" applyFont="1" applyFill="1" applyAlignment="1">
      <alignment vertical="center" wrapText="1"/>
    </xf>
    <xf numFmtId="164" fontId="3" fillId="4" borderId="11" xfId="1" applyNumberFormat="1" applyFont="1" applyFill="1" applyBorder="1" applyAlignment="1">
      <alignment vertical="center" wrapText="1"/>
    </xf>
    <xf numFmtId="0" fontId="15" fillId="0" borderId="147" xfId="0" applyFont="1" applyBorder="1" applyAlignment="1">
      <alignment horizontal="center" vertical="center" wrapText="1"/>
    </xf>
    <xf numFmtId="0" fontId="15" fillId="4" borderId="0" xfId="0" applyFont="1" applyFill="1" applyAlignment="1">
      <alignment vertical="center"/>
    </xf>
    <xf numFmtId="0" fontId="16" fillId="4" borderId="0" xfId="0" applyFont="1" applyFill="1" applyAlignment="1">
      <alignment horizontal="center" vertical="center" wrapText="1"/>
    </xf>
    <xf numFmtId="0" fontId="16" fillId="0" borderId="148" xfId="0" applyFont="1" applyBorder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6" fillId="4" borderId="0" xfId="0" applyFont="1" applyFill="1"/>
    <xf numFmtId="0" fontId="16" fillId="4" borderId="13" xfId="0" applyFont="1" applyFill="1" applyBorder="1"/>
    <xf numFmtId="168" fontId="16" fillId="4" borderId="13" xfId="1" applyNumberFormat="1" applyFont="1" applyFill="1" applyBorder="1"/>
    <xf numFmtId="0" fontId="51" fillId="15" borderId="170" xfId="0" applyFont="1" applyFill="1" applyBorder="1" applyAlignment="1">
      <alignment horizontal="left" vertical="center" wrapText="1" readingOrder="1"/>
    </xf>
    <xf numFmtId="0" fontId="51" fillId="15" borderId="33" xfId="0" applyFont="1" applyFill="1" applyBorder="1" applyAlignment="1">
      <alignment horizontal="left" vertical="center" wrapText="1" readingOrder="1"/>
    </xf>
    <xf numFmtId="0" fontId="51" fillId="15" borderId="35" xfId="0" applyFont="1" applyFill="1" applyBorder="1" applyAlignment="1">
      <alignment horizontal="left" vertical="center" wrapText="1" readingOrder="1"/>
    </xf>
    <xf numFmtId="177" fontId="3" fillId="0" borderId="9" xfId="0" applyNumberFormat="1" applyFont="1" applyBorder="1"/>
    <xf numFmtId="177" fontId="2" fillId="0" borderId="9" xfId="0" applyNumberFormat="1" applyFont="1" applyBorder="1"/>
    <xf numFmtId="0" fontId="21" fillId="4" borderId="14" xfId="3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76" fontId="21" fillId="4" borderId="14" xfId="0" applyNumberFormat="1" applyFont="1" applyFill="1" applyBorder="1" applyAlignment="1">
      <alignment horizontal="center" vertical="center" wrapText="1"/>
    </xf>
    <xf numFmtId="175" fontId="58" fillId="4" borderId="82" xfId="1" applyNumberFormat="1" applyFont="1" applyFill="1" applyBorder="1" applyAlignment="1">
      <alignment horizontal="right" vertical="center" wrapText="1"/>
    </xf>
    <xf numFmtId="175" fontId="58" fillId="4" borderId="83" xfId="1" applyNumberFormat="1" applyFont="1" applyFill="1" applyBorder="1" applyAlignment="1">
      <alignment horizontal="right" vertical="center" wrapText="1"/>
    </xf>
    <xf numFmtId="175" fontId="58" fillId="4" borderId="86" xfId="1" applyNumberFormat="1" applyFont="1" applyFill="1" applyBorder="1" applyAlignment="1">
      <alignment horizontal="right" vertical="center" wrapText="1"/>
    </xf>
    <xf numFmtId="175" fontId="58" fillId="4" borderId="87" xfId="1" applyNumberFormat="1" applyFont="1" applyFill="1" applyBorder="1" applyAlignment="1">
      <alignment horizontal="right" vertical="center" wrapText="1"/>
    </xf>
    <xf numFmtId="175" fontId="58" fillId="8" borderId="82" xfId="1" applyNumberFormat="1" applyFont="1" applyFill="1" applyBorder="1" applyAlignment="1">
      <alignment horizontal="right" vertical="center" wrapText="1"/>
    </xf>
    <xf numFmtId="175" fontId="58" fillId="8" borderId="83" xfId="1" applyNumberFormat="1" applyFont="1" applyFill="1" applyBorder="1" applyAlignment="1">
      <alignment horizontal="right" vertical="center" wrapText="1"/>
    </xf>
    <xf numFmtId="175" fontId="58" fillId="8" borderId="84" xfId="1" applyNumberFormat="1" applyFont="1" applyFill="1" applyBorder="1" applyAlignment="1">
      <alignment horizontal="right" vertical="center" wrapText="1"/>
    </xf>
    <xf numFmtId="175" fontId="58" fillId="8" borderId="85" xfId="1" applyNumberFormat="1" applyFont="1" applyFill="1" applyBorder="1" applyAlignment="1">
      <alignment horizontal="right" vertical="center" wrapText="1"/>
    </xf>
    <xf numFmtId="175" fontId="58" fillId="8" borderId="86" xfId="1" applyNumberFormat="1" applyFont="1" applyFill="1" applyBorder="1" applyAlignment="1">
      <alignment horizontal="right" vertical="center" wrapText="1"/>
    </xf>
    <xf numFmtId="175" fontId="58" fillId="8" borderId="87" xfId="1" applyNumberFormat="1" applyFont="1" applyFill="1" applyBorder="1" applyAlignment="1">
      <alignment horizontal="right" vertical="center" wrapText="1"/>
    </xf>
    <xf numFmtId="175" fontId="58" fillId="8" borderId="88" xfId="1" applyNumberFormat="1" applyFont="1" applyFill="1" applyBorder="1" applyAlignment="1">
      <alignment horizontal="right" vertical="center" wrapText="1"/>
    </xf>
    <xf numFmtId="175" fontId="58" fillId="8" borderId="89" xfId="1" applyNumberFormat="1" applyFont="1" applyFill="1" applyBorder="1" applyAlignment="1">
      <alignment horizontal="right" vertical="center" wrapText="1"/>
    </xf>
    <xf numFmtId="175" fontId="58" fillId="4" borderId="88" xfId="1" applyNumberFormat="1" applyFont="1" applyFill="1" applyBorder="1" applyAlignment="1">
      <alignment horizontal="right" vertical="center" wrapText="1"/>
    </xf>
    <xf numFmtId="175" fontId="58" fillId="4" borderId="89" xfId="1" applyNumberFormat="1" applyFont="1" applyFill="1" applyBorder="1" applyAlignment="1">
      <alignment horizontal="right" vertical="center" wrapText="1"/>
    </xf>
    <xf numFmtId="175" fontId="58" fillId="4" borderId="84" xfId="1" applyNumberFormat="1" applyFont="1" applyFill="1" applyBorder="1" applyAlignment="1">
      <alignment horizontal="right" vertical="center" wrapText="1"/>
    </xf>
    <xf numFmtId="175" fontId="58" fillId="4" borderId="85" xfId="1" applyNumberFormat="1" applyFont="1" applyFill="1" applyBorder="1" applyAlignment="1">
      <alignment horizontal="right" vertical="center" wrapText="1"/>
    </xf>
    <xf numFmtId="175" fontId="58" fillId="4" borderId="82" xfId="1" applyNumberFormat="1" applyFont="1" applyFill="1" applyBorder="1" applyAlignment="1">
      <alignment horizontal="right" vertical="center"/>
    </xf>
    <xf numFmtId="175" fontId="58" fillId="4" borderId="83" xfId="0" applyNumberFormat="1" applyFont="1" applyFill="1" applyBorder="1" applyAlignment="1">
      <alignment horizontal="right" vertical="center"/>
    </xf>
    <xf numFmtId="175" fontId="58" fillId="4" borderId="84" xfId="1" applyNumberFormat="1" applyFont="1" applyFill="1" applyBorder="1" applyAlignment="1">
      <alignment horizontal="right" vertical="center"/>
    </xf>
    <xf numFmtId="175" fontId="58" fillId="4" borderId="85" xfId="0" applyNumberFormat="1" applyFont="1" applyFill="1" applyBorder="1" applyAlignment="1">
      <alignment horizontal="right" vertical="center"/>
    </xf>
    <xf numFmtId="175" fontId="58" fillId="4" borderId="86" xfId="1" applyNumberFormat="1" applyFont="1" applyFill="1" applyBorder="1" applyAlignment="1">
      <alignment horizontal="right" vertical="center"/>
    </xf>
    <xf numFmtId="175" fontId="58" fillId="4" borderId="87" xfId="0" applyNumberFormat="1" applyFont="1" applyFill="1" applyBorder="1" applyAlignment="1">
      <alignment horizontal="right" vertical="center" wrapText="1"/>
    </xf>
    <xf numFmtId="0" fontId="59" fillId="5" borderId="80" xfId="0" applyFont="1" applyFill="1" applyBorder="1" applyAlignment="1">
      <alignment horizontal="center" vertical="center" wrapText="1"/>
    </xf>
    <xf numFmtId="0" fontId="59" fillId="5" borderId="81" xfId="0" applyFont="1" applyFill="1" applyBorder="1" applyAlignment="1">
      <alignment horizontal="center" vertical="center" wrapText="1"/>
    </xf>
    <xf numFmtId="1" fontId="20" fillId="5" borderId="51" xfId="5" applyNumberFormat="1" applyFont="1" applyFill="1" applyBorder="1" applyAlignment="1">
      <alignment horizontal="center" vertical="center" wrapText="1"/>
    </xf>
    <xf numFmtId="1" fontId="20" fillId="5" borderId="28" xfId="5" applyNumberFormat="1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/>
    </xf>
    <xf numFmtId="0" fontId="44" fillId="5" borderId="74" xfId="0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horizontal="center" vertical="center" wrapText="1"/>
    </xf>
    <xf numFmtId="0" fontId="44" fillId="5" borderId="24" xfId="0" applyFont="1" applyFill="1" applyBorder="1" applyAlignment="1">
      <alignment horizontal="center" vertical="center" wrapText="1"/>
    </xf>
    <xf numFmtId="0" fontId="44" fillId="5" borderId="12" xfId="0" applyFont="1" applyFill="1" applyBorder="1" applyAlignment="1">
      <alignment horizontal="center" vertical="center" wrapText="1"/>
    </xf>
    <xf numFmtId="0" fontId="22" fillId="5" borderId="45" xfId="0" applyFont="1" applyFill="1" applyBorder="1" applyAlignment="1">
      <alignment horizontal="center" vertical="center"/>
    </xf>
    <xf numFmtId="0" fontId="22" fillId="5" borderId="46" xfId="0" applyFont="1" applyFill="1" applyBorder="1" applyAlignment="1">
      <alignment horizontal="center" vertical="center"/>
    </xf>
    <xf numFmtId="0" fontId="22" fillId="5" borderId="47" xfId="0" applyFont="1" applyFill="1" applyBorder="1" applyAlignment="1">
      <alignment horizontal="center" vertical="center"/>
    </xf>
    <xf numFmtId="0" fontId="22" fillId="5" borderId="9" xfId="5" applyFont="1" applyFill="1" applyBorder="1" applyAlignment="1">
      <alignment horizontal="center" vertical="center" wrapText="1"/>
    </xf>
    <xf numFmtId="0" fontId="22" fillId="5" borderId="29" xfId="5" applyFont="1" applyFill="1" applyBorder="1" applyAlignment="1">
      <alignment horizontal="center" vertical="center" wrapText="1"/>
    </xf>
    <xf numFmtId="0" fontId="20" fillId="5" borderId="52" xfId="5" applyFont="1" applyFill="1" applyBorder="1" applyAlignment="1">
      <alignment horizontal="center" vertical="center" wrapText="1"/>
    </xf>
    <xf numFmtId="0" fontId="20" fillId="5" borderId="53" xfId="5" applyFont="1" applyFill="1" applyBorder="1" applyAlignment="1">
      <alignment horizontal="center" vertical="center" wrapText="1"/>
    </xf>
    <xf numFmtId="0" fontId="20" fillId="5" borderId="9" xfId="5" applyFont="1" applyFill="1" applyBorder="1" applyAlignment="1">
      <alignment horizontal="center" vertical="center" wrapText="1"/>
    </xf>
    <xf numFmtId="0" fontId="20" fillId="5" borderId="29" xfId="5" applyFont="1" applyFill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 wrapText="1"/>
    </xf>
    <xf numFmtId="0" fontId="20" fillId="5" borderId="100" xfId="0" applyFont="1" applyFill="1" applyBorder="1" applyAlignment="1">
      <alignment horizontal="center" vertical="center" wrapText="1"/>
    </xf>
    <xf numFmtId="0" fontId="20" fillId="5" borderId="102" xfId="0" applyFont="1" applyFill="1" applyBorder="1" applyAlignment="1">
      <alignment horizontal="center" vertical="center" wrapText="1"/>
    </xf>
    <xf numFmtId="0" fontId="20" fillId="5" borderId="103" xfId="0" applyFont="1" applyFill="1" applyBorder="1" applyAlignment="1">
      <alignment horizontal="center" vertical="center" wrapText="1"/>
    </xf>
    <xf numFmtId="0" fontId="44" fillId="5" borderId="101" xfId="0" applyFont="1" applyFill="1" applyBorder="1" applyAlignment="1">
      <alignment horizontal="center" vertical="center" wrapText="1"/>
    </xf>
    <xf numFmtId="0" fontId="44" fillId="5" borderId="44" xfId="0" applyFont="1" applyFill="1" applyBorder="1" applyAlignment="1">
      <alignment horizontal="center" vertical="center" wrapText="1"/>
    </xf>
    <xf numFmtId="0" fontId="44" fillId="5" borderId="49" xfId="0" applyFont="1" applyFill="1" applyBorder="1" applyAlignment="1">
      <alignment horizontal="center" vertical="center" wrapText="1"/>
    </xf>
    <xf numFmtId="0" fontId="20" fillId="5" borderId="180" xfId="0" applyFont="1" applyFill="1" applyBorder="1" applyAlignment="1">
      <alignment horizontal="center" vertical="center" wrapText="1"/>
    </xf>
    <xf numFmtId="0" fontId="20" fillId="5" borderId="181" xfId="0" applyFont="1" applyFill="1" applyBorder="1" applyAlignment="1">
      <alignment horizontal="center" vertical="center" wrapText="1"/>
    </xf>
    <xf numFmtId="0" fontId="20" fillId="5" borderId="182" xfId="0" applyFont="1" applyFill="1" applyBorder="1" applyAlignment="1">
      <alignment horizontal="center" vertical="center" wrapText="1"/>
    </xf>
    <xf numFmtId="0" fontId="20" fillId="5" borderId="183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184" xfId="0" applyFont="1" applyFill="1" applyBorder="1" applyAlignment="1">
      <alignment horizontal="center" vertical="center" wrapText="1"/>
    </xf>
    <xf numFmtId="0" fontId="3" fillId="2" borderId="14" xfId="7" applyFont="1" applyFill="1" applyBorder="1" applyAlignment="1">
      <alignment horizontal="center" vertical="center"/>
    </xf>
    <xf numFmtId="0" fontId="3" fillId="2" borderId="12" xfId="7" applyFont="1" applyFill="1" applyBorder="1" applyAlignment="1">
      <alignment horizontal="center" vertical="center"/>
    </xf>
    <xf numFmtId="0" fontId="40" fillId="5" borderId="42" xfId="7" applyFont="1" applyFill="1" applyBorder="1" applyAlignment="1">
      <alignment horizontal="center"/>
    </xf>
    <xf numFmtId="0" fontId="40" fillId="5" borderId="43" xfId="7" applyFont="1" applyFill="1" applyBorder="1" applyAlignment="1">
      <alignment horizontal="center"/>
    </xf>
    <xf numFmtId="0" fontId="22" fillId="5" borderId="14" xfId="7" applyFont="1" applyFill="1" applyBorder="1" applyAlignment="1">
      <alignment horizontal="center" vertical="center"/>
    </xf>
    <xf numFmtId="0" fontId="22" fillId="5" borderId="12" xfId="7" applyFont="1" applyFill="1" applyBorder="1" applyAlignment="1">
      <alignment horizontal="center" vertical="center"/>
    </xf>
    <xf numFmtId="0" fontId="22" fillId="5" borderId="14" xfId="7" applyFont="1" applyFill="1" applyBorder="1" applyAlignment="1">
      <alignment horizontal="center" vertical="center" wrapText="1"/>
    </xf>
    <xf numFmtId="0" fontId="22" fillId="5" borderId="12" xfId="7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20" xfId="1" quotePrefix="1" applyNumberFormat="1" applyFont="1" applyBorder="1" applyAlignment="1">
      <alignment horizontal="center" vertical="center" wrapText="1"/>
    </xf>
    <xf numFmtId="0" fontId="28" fillId="0" borderId="21" xfId="1" quotePrefix="1" applyNumberFormat="1" applyFont="1" applyBorder="1" applyAlignment="1">
      <alignment horizontal="center" vertical="center" wrapText="1"/>
    </xf>
    <xf numFmtId="0" fontId="28" fillId="0" borderId="16" xfId="1" quotePrefix="1" applyNumberFormat="1" applyFont="1" applyBorder="1" applyAlignment="1">
      <alignment horizontal="center" vertical="center" wrapText="1"/>
    </xf>
    <xf numFmtId="164" fontId="28" fillId="8" borderId="20" xfId="1" applyNumberFormat="1" applyFont="1" applyFill="1" applyBorder="1" applyAlignment="1">
      <alignment horizontal="center" vertical="center"/>
    </xf>
    <xf numFmtId="164" fontId="28" fillId="8" borderId="16" xfId="1" applyNumberFormat="1" applyFont="1" applyFill="1" applyBorder="1" applyAlignment="1">
      <alignment horizontal="center" vertical="center"/>
    </xf>
    <xf numFmtId="0" fontId="28" fillId="8" borderId="20" xfId="0" applyFont="1" applyFill="1" applyBorder="1" applyAlignment="1">
      <alignment horizontal="center" vertical="center" wrapText="1"/>
    </xf>
    <xf numFmtId="0" fontId="28" fillId="8" borderId="16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6" fillId="8" borderId="15" xfId="0" applyFont="1" applyFill="1" applyBorder="1" applyAlignment="1">
      <alignment horizontal="left" vertical="center" wrapText="1"/>
    </xf>
    <xf numFmtId="0" fontId="26" fillId="8" borderId="11" xfId="0" applyFont="1" applyFill="1" applyBorder="1" applyAlignment="1">
      <alignment horizontal="left" vertical="center" wrapText="1"/>
    </xf>
    <xf numFmtId="0" fontId="26" fillId="8" borderId="13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6" fillId="8" borderId="14" xfId="0" applyFont="1" applyFill="1" applyBorder="1" applyAlignment="1">
      <alignment horizontal="left" vertical="center" wrapText="1"/>
    </xf>
    <xf numFmtId="0" fontId="26" fillId="8" borderId="12" xfId="0" applyFont="1" applyFill="1" applyBorder="1" applyAlignment="1">
      <alignment horizontal="left" vertical="center" wrapText="1"/>
    </xf>
    <xf numFmtId="0" fontId="26" fillId="8" borderId="10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31" fillId="3" borderId="158" xfId="0" applyFont="1" applyFill="1" applyBorder="1" applyAlignment="1">
      <alignment horizontal="center" vertical="center" wrapText="1"/>
    </xf>
    <xf numFmtId="0" fontId="31" fillId="3" borderId="74" xfId="0" applyFont="1" applyFill="1" applyBorder="1" applyAlignment="1">
      <alignment horizontal="center" vertical="center" wrapText="1"/>
    </xf>
    <xf numFmtId="0" fontId="31" fillId="3" borderId="160" xfId="0" applyFont="1" applyFill="1" applyBorder="1" applyAlignment="1">
      <alignment horizontal="center" vertical="center" wrapText="1"/>
    </xf>
    <xf numFmtId="0" fontId="22" fillId="5" borderId="99" xfId="0" applyFont="1" applyFill="1" applyBorder="1" applyAlignment="1">
      <alignment horizontal="center" vertical="center" wrapText="1"/>
    </xf>
    <xf numFmtId="0" fontId="22" fillId="5" borderId="96" xfId="0" applyFont="1" applyFill="1" applyBorder="1" applyAlignment="1">
      <alignment horizontal="center" vertical="center" wrapText="1"/>
    </xf>
    <xf numFmtId="0" fontId="22" fillId="5" borderId="97" xfId="0" applyFont="1" applyFill="1" applyBorder="1" applyAlignment="1">
      <alignment horizontal="center" vertical="center" wrapText="1"/>
    </xf>
    <xf numFmtId="0" fontId="45" fillId="5" borderId="70" xfId="0" applyFont="1" applyFill="1" applyBorder="1" applyAlignment="1">
      <alignment horizontal="center" vertical="center" wrapText="1"/>
    </xf>
    <xf numFmtId="0" fontId="45" fillId="5" borderId="69" xfId="0" applyFont="1" applyFill="1" applyBorder="1" applyAlignment="1">
      <alignment horizontal="center" vertical="center" wrapText="1"/>
    </xf>
    <xf numFmtId="3" fontId="22" fillId="5" borderId="51" xfId="1" applyNumberFormat="1" applyFont="1" applyFill="1" applyBorder="1" applyAlignment="1">
      <alignment horizontal="center" vertical="center" wrapText="1"/>
    </xf>
    <xf numFmtId="3" fontId="22" fillId="5" borderId="52" xfId="1" applyNumberFormat="1" applyFont="1" applyFill="1" applyBorder="1" applyAlignment="1">
      <alignment horizontal="center" vertical="center" wrapText="1"/>
    </xf>
    <xf numFmtId="3" fontId="22" fillId="5" borderId="53" xfId="1" applyNumberFormat="1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 vertical="center" wrapText="1"/>
    </xf>
    <xf numFmtId="0" fontId="22" fillId="5" borderId="26" xfId="0" applyFont="1" applyFill="1" applyBorder="1" applyAlignment="1">
      <alignment horizontal="center" vertical="center" wrapText="1"/>
    </xf>
    <xf numFmtId="0" fontId="22" fillId="5" borderId="27" xfId="0" applyFont="1" applyFill="1" applyBorder="1" applyAlignment="1">
      <alignment horizontal="center" vertical="center" wrapText="1"/>
    </xf>
    <xf numFmtId="0" fontId="22" fillId="5" borderId="51" xfId="0" applyFont="1" applyFill="1" applyBorder="1" applyAlignment="1">
      <alignment horizontal="center" vertical="center" wrapText="1"/>
    </xf>
    <xf numFmtId="0" fontId="22" fillId="5" borderId="52" xfId="0" applyFont="1" applyFill="1" applyBorder="1" applyAlignment="1">
      <alignment horizontal="center" vertical="center" wrapText="1"/>
    </xf>
    <xf numFmtId="0" fontId="22" fillId="5" borderId="53" xfId="0" applyFont="1" applyFill="1" applyBorder="1" applyAlignment="1">
      <alignment horizontal="center" vertical="center" wrapText="1"/>
    </xf>
    <xf numFmtId="164" fontId="22" fillId="5" borderId="51" xfId="1" applyNumberFormat="1" applyFont="1" applyFill="1" applyBorder="1" applyAlignment="1">
      <alignment horizontal="center" vertical="center" wrapText="1"/>
    </xf>
    <xf numFmtId="164" fontId="22" fillId="5" borderId="52" xfId="1" applyNumberFormat="1" applyFont="1" applyFill="1" applyBorder="1" applyAlignment="1">
      <alignment horizontal="center" vertical="center" wrapText="1"/>
    </xf>
    <xf numFmtId="164" fontId="22" fillId="5" borderId="53" xfId="1" applyNumberFormat="1" applyFont="1" applyFill="1" applyBorder="1" applyAlignment="1">
      <alignment horizontal="center" vertical="center" wrapText="1"/>
    </xf>
    <xf numFmtId="3" fontId="22" fillId="5" borderId="9" xfId="6" quotePrefix="1" applyNumberFormat="1" applyFont="1" applyFill="1" applyBorder="1" applyAlignment="1">
      <alignment horizontal="center" vertical="center" wrapText="1" shrinkToFit="1"/>
    </xf>
    <xf numFmtId="3" fontId="22" fillId="5" borderId="29" xfId="6" quotePrefix="1" applyNumberFormat="1" applyFont="1" applyFill="1" applyBorder="1" applyAlignment="1">
      <alignment horizontal="center" vertical="center" wrapText="1" shrinkToFit="1"/>
    </xf>
    <xf numFmtId="0" fontId="22" fillId="5" borderId="9" xfId="0" applyFont="1" applyFill="1" applyBorder="1" applyAlignment="1">
      <alignment horizontal="center" vertical="center" wrapText="1"/>
    </xf>
    <xf numFmtId="0" fontId="22" fillId="5" borderId="29" xfId="0" applyFont="1" applyFill="1" applyBorder="1" applyAlignment="1">
      <alignment horizontal="center" vertical="center" wrapText="1"/>
    </xf>
    <xf numFmtId="3" fontId="22" fillId="5" borderId="25" xfId="1" applyNumberFormat="1" applyFont="1" applyFill="1" applyBorder="1" applyAlignment="1">
      <alignment horizontal="center" vertical="center" wrapText="1"/>
    </xf>
    <xf numFmtId="3" fontId="22" fillId="5" borderId="26" xfId="1" applyNumberFormat="1" applyFont="1" applyFill="1" applyBorder="1" applyAlignment="1">
      <alignment horizontal="center" vertical="center" wrapText="1"/>
    </xf>
    <xf numFmtId="3" fontId="22" fillId="5" borderId="27" xfId="1" applyNumberFormat="1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0" fontId="22" fillId="5" borderId="27" xfId="0" applyFont="1" applyFill="1" applyBorder="1" applyAlignment="1">
      <alignment horizontal="center"/>
    </xf>
    <xf numFmtId="0" fontId="20" fillId="5" borderId="2" xfId="5" applyFont="1" applyFill="1" applyBorder="1" applyAlignment="1">
      <alignment horizontal="center" vertical="center" wrapText="1"/>
    </xf>
    <xf numFmtId="0" fontId="20" fillId="5" borderId="3" xfId="5" applyFont="1" applyFill="1" applyBorder="1" applyAlignment="1">
      <alignment horizontal="center" vertical="center" wrapText="1"/>
    </xf>
    <xf numFmtId="0" fontId="20" fillId="5" borderId="17" xfId="5" applyFont="1" applyFill="1" applyBorder="1" applyAlignment="1">
      <alignment horizontal="center" vertical="center" wrapText="1"/>
    </xf>
    <xf numFmtId="0" fontId="20" fillId="5" borderId="57" xfId="5" applyFont="1" applyFill="1" applyBorder="1" applyAlignment="1">
      <alignment horizontal="center" vertical="center" wrapText="1"/>
    </xf>
    <xf numFmtId="1" fontId="20" fillId="5" borderId="1" xfId="5" applyNumberFormat="1" applyFont="1" applyFill="1" applyBorder="1" applyAlignment="1">
      <alignment horizontal="center" vertical="center"/>
    </xf>
    <xf numFmtId="1" fontId="20" fillId="5" borderId="59" xfId="5" applyNumberFormat="1" applyFont="1" applyFill="1" applyBorder="1" applyAlignment="1">
      <alignment horizontal="center" vertical="center"/>
    </xf>
    <xf numFmtId="0" fontId="31" fillId="5" borderId="51" xfId="0" applyFont="1" applyFill="1" applyBorder="1" applyAlignment="1">
      <alignment horizontal="center"/>
    </xf>
    <xf numFmtId="0" fontId="31" fillId="5" borderId="52" xfId="0" applyFont="1" applyFill="1" applyBorder="1" applyAlignment="1">
      <alignment horizontal="center"/>
    </xf>
    <xf numFmtId="0" fontId="31" fillId="5" borderId="53" xfId="0" applyFont="1" applyFill="1" applyBorder="1" applyAlignment="1">
      <alignment horizontal="center"/>
    </xf>
    <xf numFmtId="0" fontId="22" fillId="5" borderId="28" xfId="0" applyFont="1" applyFill="1" applyBorder="1" applyAlignment="1">
      <alignment horizontal="center" vertical="center" wrapText="1"/>
    </xf>
    <xf numFmtId="0" fontId="22" fillId="5" borderId="71" xfId="0" applyFont="1" applyFill="1" applyBorder="1" applyAlignment="1">
      <alignment horizontal="center" vertical="center" wrapText="1"/>
    </xf>
    <xf numFmtId="0" fontId="22" fillId="5" borderId="50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15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177" xfId="0" applyBorder="1" applyAlignment="1">
      <alignment horizontal="center" vertical="center" wrapText="1"/>
    </xf>
    <xf numFmtId="0" fontId="0" fillId="4" borderId="179" xfId="0" applyFill="1" applyBorder="1" applyAlignment="1">
      <alignment horizontal="center" vertical="center"/>
    </xf>
  </cellXfs>
  <cellStyles count="12">
    <cellStyle name="Comma" xfId="1" builtinId="3"/>
    <cellStyle name="Comma 3 2" xfId="11" xr:uid="{374C237D-2E6B-4D7A-8377-8E46B97FCAB3}"/>
    <cellStyle name="Comma 3 3" xfId="9" xr:uid="{0BC3F671-6E00-4447-A17A-D46535B13AB1}"/>
    <cellStyle name="Comma 9" xfId="6" xr:uid="{A5994DDB-E7F2-4990-AD88-66FED70B50A8}"/>
    <cellStyle name="Normal" xfId="0" builtinId="0"/>
    <cellStyle name="Normal 14" xfId="10" xr:uid="{63ED229F-2039-4134-9067-04BCF065F236}"/>
    <cellStyle name="Normal 2 2" xfId="7" xr:uid="{11D28C18-3384-4E8B-9EDD-0BA12BD09F46}"/>
    <cellStyle name="Normal 2 3 6" xfId="8" xr:uid="{A212D890-8EB8-4B1F-87B5-189DA99BBB90}"/>
    <cellStyle name="Normal 3" xfId="3" xr:uid="{CE6E400A-B0DF-4017-82BA-2A9DC9653784}"/>
    <cellStyle name="Normal 7" xfId="4" xr:uid="{5EB107E8-91B5-42BD-B3ED-CBFBE153C68B}"/>
    <cellStyle name="Percent" xfId="2" builtinId="5"/>
    <cellStyle name="標準 10" xfId="5" xr:uid="{D2F43929-8482-4C44-B40B-F9F056B4E3DE}"/>
  </cellStyles>
  <dxfs count="6"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00"/>
      <color rgb="FF0066FF"/>
      <color rgb="FFFF4747"/>
      <color rgb="FF0000FF"/>
      <color rgb="FF169B2F"/>
      <color rgb="FF2F97FF"/>
      <color rgb="FF3399FF"/>
      <color rgb="FF00FFFF"/>
      <color rgb="FFFF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119303"/>
                </a:solidFill>
              </a:rPr>
              <a:t>Sản lượng mua - bán và Hiệu suất máy</a:t>
            </a:r>
          </a:p>
        </c:rich>
      </c:tx>
      <c:layout>
        <c:manualLayout>
          <c:xMode val="edge"/>
          <c:yMode val="edge"/>
          <c:x val="0.17854855643044618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70603674540683"/>
          <c:y val="0.14799959096022089"/>
          <c:w val="0.81306014873140864"/>
          <c:h val="0.61094835872788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B.đồ!$B$13</c:f>
              <c:strCache>
                <c:ptCount val="1"/>
                <c:pt idx="0">
                  <c:v>SL mua B0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2.0779220779220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1B-4AA8-8DEB-CBC8B5D2DE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B.đồ!$C$12:$F$12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B.đồ!$C$13:$F$13</c:f>
              <c:numCache>
                <c:formatCode>#,###,</c:formatCode>
                <c:ptCount val="4"/>
                <c:pt idx="0">
                  <c:v>400000</c:v>
                </c:pt>
                <c:pt idx="1">
                  <c:v>600000</c:v>
                </c:pt>
                <c:pt idx="2">
                  <c:v>800000</c:v>
                </c:pt>
                <c:pt idx="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B-4AA8-8DEB-CBC8B5D2DEE7}"/>
            </c:ext>
          </c:extLst>
        </c:ser>
        <c:ser>
          <c:idx val="1"/>
          <c:order val="1"/>
          <c:tx>
            <c:strRef>
              <c:f>B.đồ!$B$14</c:f>
              <c:strCache>
                <c:ptCount val="1"/>
                <c:pt idx="0">
                  <c:v>SL bán Chai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B.đồ!$C$12:$F$12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B.đồ!$C$14:$F$14</c:f>
              <c:numCache>
                <c:formatCode>#,###,</c:formatCode>
                <c:ptCount val="4"/>
                <c:pt idx="0">
                  <c:v>369600</c:v>
                </c:pt>
                <c:pt idx="1">
                  <c:v>554400</c:v>
                </c:pt>
                <c:pt idx="2">
                  <c:v>739200</c:v>
                </c:pt>
                <c:pt idx="3">
                  <c:v>924000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B-4AA8-8DEB-CBC8B5D2DEE7}"/>
            </c:ext>
          </c:extLst>
        </c:ser>
        <c:ser>
          <c:idx val="2"/>
          <c:order val="2"/>
          <c:tx>
            <c:strRef>
              <c:f>B.đồ!$B$15</c:f>
              <c:strCache>
                <c:ptCount val="1"/>
                <c:pt idx="0">
                  <c:v>SL bán Vảy</c:v>
                </c:pt>
              </c:strCache>
            </c:strRef>
          </c:tx>
          <c:spPr>
            <a:solidFill>
              <a:srgbClr val="169B2F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5.5555555555555558E-3"/>
                  <c:y val="3.1168831168831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1B-4AA8-8DEB-CBC8B5D2DE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B.đồ!$C$12:$F$12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B.đồ!$C$15:$F$15</c:f>
              <c:numCache>
                <c:formatCode>#,###,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B-4AA8-8DEB-CBC8B5D2DE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20704656"/>
        <c:axId val="520710896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B.đồ!$B$16</c15:sqref>
                        </c15:formulaRef>
                      </c:ext>
                    </c:extLst>
                    <c:strCache>
                      <c:ptCount val="1"/>
                      <c:pt idx="0">
                        <c:v>Công suất Chai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B.đồ!$C$12:$F$12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B.đồ!$C$16:$F$16</c15:sqref>
                        </c15:formulaRef>
                      </c:ext>
                    </c:extLst>
                    <c:numCache>
                      <c:formatCode>#,###,</c:formatCode>
                      <c:ptCount val="4"/>
                      <c:pt idx="0">
                        <c:v>1000000</c:v>
                      </c:pt>
                      <c:pt idx="1">
                        <c:v>1000000</c:v>
                      </c:pt>
                      <c:pt idx="2">
                        <c:v>1000000</c:v>
                      </c:pt>
                      <c:pt idx="3">
                        <c:v>1000000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31B-4AA8-8DEB-CBC8B5D2DEE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B.đồ!$B$17</c15:sqref>
                        </c15:formulaRef>
                      </c:ext>
                    </c:extLst>
                    <c:strCache>
                      <c:ptCount val="1"/>
                      <c:pt idx="0">
                        <c:v>Công suất Vay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B.đồ!$C$12:$F$12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B.đồ!$C$17:$F$17</c15:sqref>
                        </c15:formulaRef>
                      </c:ext>
                    </c:extLst>
                    <c:numCache>
                      <c:formatCode>#,###,</c:formatCode>
                      <c:ptCount val="4"/>
                      <c:pt idx="0">
                        <c:v>1000000</c:v>
                      </c:pt>
                      <c:pt idx="1">
                        <c:v>1000000</c:v>
                      </c:pt>
                      <c:pt idx="2">
                        <c:v>1000000</c:v>
                      </c:pt>
                      <c:pt idx="3">
                        <c:v>1000000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31B-4AA8-8DEB-CBC8B5D2DEE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0210928"/>
        <c:axId val="610211888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B.đồ!$B$18</c15:sqref>
                        </c15:formulaRef>
                      </c:ext>
                    </c:extLst>
                    <c:strCache>
                      <c:ptCount val="1"/>
                      <c:pt idx="0">
                        <c:v>Hiệu suất Chai</c:v>
                      </c:pt>
                    </c:strCache>
                  </c:strRef>
                </c:tx>
                <c:spPr>
                  <a:ln w="12700" cap="rnd">
                    <a:solidFill>
                      <a:srgbClr val="FFC00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B.đồ!$C$12:$F$12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B.đồ!$C$18:$F$18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0.4</c:v>
                      </c:pt>
                      <c:pt idx="1">
                        <c:v>0.6</c:v>
                      </c:pt>
                      <c:pt idx="2">
                        <c:v>0.8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431B-4AA8-8DEB-CBC8B5D2DE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B.đồ!$B$19</c15:sqref>
                        </c15:formulaRef>
                      </c:ext>
                    </c:extLst>
                    <c:strCache>
                      <c:ptCount val="1"/>
                      <c:pt idx="0">
                        <c:v>Hiệu suất Vảy</c:v>
                      </c:pt>
                    </c:strCache>
                  </c:strRef>
                </c:tx>
                <c:spPr>
                  <a:ln w="12700" cap="rnd">
                    <a:solidFill>
                      <a:srgbClr val="0066FF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B.đồ!$C$12:$F$12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B.đồ!$C$19:$F$19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31B-4AA8-8DEB-CBC8B5D2DEE7}"/>
                  </c:ext>
                </c:extLst>
              </c15:ser>
            </c15:filteredLineSeries>
          </c:ext>
        </c:extLst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 val="autoZero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Tấn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4.927415891195418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#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4656"/>
        <c:crosses val="autoZero"/>
        <c:crossBetween val="between"/>
      </c:valAx>
      <c:valAx>
        <c:axId val="610211888"/>
        <c:scaling>
          <c:orientation val="minMax"/>
          <c:max val="1"/>
          <c:min val="0.30000000000000004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10928"/>
        <c:crosses val="max"/>
        <c:crossBetween val="between"/>
        <c:majorUnit val="0.1"/>
      </c:valAx>
      <c:catAx>
        <c:axId val="6102109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102118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098600174978128"/>
          <c:y val="0.87327620411084983"/>
          <c:w val="0.82025000000000015"/>
          <c:h val="0.12209387462930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119303"/>
                </a:solidFill>
              </a:rPr>
              <a:t>Doanh</a:t>
            </a:r>
            <a:r>
              <a:rPr lang="en-US" sz="1100" baseline="0">
                <a:solidFill>
                  <a:srgbClr val="119303"/>
                </a:solidFill>
              </a:rPr>
              <a:t> thu và Lợi nhuận sau thuế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29799300087489061"/>
          <c:y val="4.06462828510072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95603674540682"/>
          <c:y val="0.17397361693424684"/>
          <c:w val="0.79083792650918638"/>
          <c:h val="0.63228945468036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B.đồ!$B$24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B.đồ!$C$24:$F$24</c:f>
              <c:numCache>
                <c:formatCode>#,##0.0,,,</c:formatCode>
                <c:ptCount val="4"/>
                <c:pt idx="0">
                  <c:v>63302400000</c:v>
                </c:pt>
                <c:pt idx="1">
                  <c:v>94953600000</c:v>
                </c:pt>
                <c:pt idx="2">
                  <c:v>126604800000</c:v>
                </c:pt>
                <c:pt idx="3">
                  <c:v>158256000000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3-4910-9D02-D1254C3A485B}"/>
            </c:ext>
          </c:extLst>
        </c:ser>
        <c:ser>
          <c:idx val="3"/>
          <c:order val="3"/>
          <c:tx>
            <c:strRef>
              <c:f>B.đồ!$B$27</c:f>
              <c:strCache>
                <c:ptCount val="1"/>
                <c:pt idx="0">
                  <c:v>LN sau thuế</c:v>
                </c:pt>
              </c:strCache>
            </c:strRef>
          </c:tx>
          <c:spPr>
            <a:solidFill>
              <a:srgbClr val="169B2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1666666666666664E-2"/>
                  <c:y val="4.0903977911851929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673-4910-9D02-D1254C3A4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1930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B.đồ!$C$27:$F$27</c:f>
              <c:numCache>
                <c:formatCode>#,##0.0,,,</c:formatCode>
                <c:ptCount val="4"/>
                <c:pt idx="0">
                  <c:v>-2906074726.5618744</c:v>
                </c:pt>
                <c:pt idx="1">
                  <c:v>1100764919.3257477</c:v>
                </c:pt>
                <c:pt idx="2">
                  <c:v>4962127219.9009981</c:v>
                </c:pt>
                <c:pt idx="3">
                  <c:v>9684071920.4762478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73-4910-9D02-D1254C3A4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20704656"/>
        <c:axId val="5207108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B.đồ!$B$25</c15:sqref>
                        </c15:formulaRef>
                      </c:ext>
                    </c:extLst>
                    <c:strCache>
                      <c:ptCount val="1"/>
                      <c:pt idx="0">
                        <c:v>Lãi biến phí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B.đồ!$C$25:$F$25</c15:sqref>
                        </c15:formulaRef>
                      </c:ext>
                    </c:extLst>
                    <c:numCache>
                      <c:formatCode>#,##0.0,,,</c:formatCode>
                      <c:ptCount val="4"/>
                      <c:pt idx="0">
                        <c:v>12982154059.130432</c:v>
                      </c:pt>
                      <c:pt idx="1">
                        <c:v>19473231088.695648</c:v>
                      </c:pt>
                      <c:pt idx="2">
                        <c:v>25964308118.260864</c:v>
                      </c:pt>
                      <c:pt idx="3">
                        <c:v>32455385147.82608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673-4910-9D02-D1254C3A485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B.đồ!$B$29</c15:sqref>
                        </c15:formulaRef>
                      </c:ext>
                    </c:extLst>
                    <c:strCache>
                      <c:ptCount val="1"/>
                      <c:pt idx="0">
                        <c:v>EBITDA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B.đồ!$C$29:$F$29</c15:sqref>
                        </c15:formulaRef>
                      </c:ext>
                    </c:extLst>
                    <c:numCache>
                      <c:formatCode>#,##0.0,,,</c:formatCode>
                      <c:ptCount val="4"/>
                      <c:pt idx="0">
                        <c:v>-976699226.56187415</c:v>
                      </c:pt>
                      <c:pt idx="1">
                        <c:v>3030140419.325748</c:v>
                      </c:pt>
                      <c:pt idx="2">
                        <c:v>6891502719.9009981</c:v>
                      </c:pt>
                      <c:pt idx="3">
                        <c:v>11613447420.476248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73-4910-9D02-D1254C3A485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B.đồ!$B$28</c:f>
              <c:strCache>
                <c:ptCount val="1"/>
                <c:pt idx="0">
                  <c:v>% LN sau thuế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305555555555555E-2"/>
                  <c:y val="-0.116844258104100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673-4910-9D02-D1254C3A485B}"/>
                </c:ext>
              </c:extLst>
            </c:dLbl>
            <c:dLbl>
              <c:idx val="1"/>
              <c:layout>
                <c:manualLayout>
                  <c:x val="-1.1964071642471665E-3"/>
                  <c:y val="-7.0040084583858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73-4910-9D02-D1254C3A485B}"/>
                </c:ext>
              </c:extLst>
            </c:dLbl>
            <c:dLbl>
              <c:idx val="2"/>
              <c:layout>
                <c:manualLayout>
                  <c:x val="-3.9236657917760282E-3"/>
                  <c:y val="-5.9701400961243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73-4910-9D02-D1254C3A485B}"/>
                </c:ext>
              </c:extLst>
            </c:dLbl>
            <c:dLbl>
              <c:idx val="3"/>
              <c:layout>
                <c:manualLayout>
                  <c:x val="1.6318897637795276E-3"/>
                  <c:y val="-5.9701400961243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73-4910-9D02-D1254C3A485B}"/>
                </c:ext>
              </c:extLst>
            </c:dLbl>
            <c:spPr>
              <a:noFill/>
              <a:ln w="6350"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1930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B.đồ!$C$28:$F$28</c:f>
              <c:numCache>
                <c:formatCode>0.0%</c:formatCode>
                <c:ptCount val="4"/>
                <c:pt idx="0">
                  <c:v>-4.5907812761631063E-2</c:v>
                </c:pt>
                <c:pt idx="1">
                  <c:v>1.1592661250608169E-2</c:v>
                </c:pt>
                <c:pt idx="2">
                  <c:v>3.9193831670687039E-2</c:v>
                </c:pt>
                <c:pt idx="3">
                  <c:v>6.119244717720812E-2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73-4910-9D02-D1254C3A4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0210928"/>
        <c:axId val="61021188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B.đồ!$B$26</c15:sqref>
                        </c15:formulaRef>
                      </c:ext>
                    </c:extLst>
                    <c:strCache>
                      <c:ptCount val="1"/>
                      <c:pt idx="0">
                        <c:v>% lãi biến phí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B.đồ!$C$26:$F$26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0.20508154602559195</c:v>
                      </c:pt>
                      <c:pt idx="1">
                        <c:v>0.20508154602559195</c:v>
                      </c:pt>
                      <c:pt idx="2">
                        <c:v>0.20508154602559195</c:v>
                      </c:pt>
                      <c:pt idx="3">
                        <c:v>0.20508154602559195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673-4910-9D02-D1254C3A485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B.đồ!$B$30</c15:sqref>
                        </c15:formulaRef>
                      </c:ext>
                    </c:extLst>
                    <c:strCache>
                      <c:ptCount val="1"/>
                      <c:pt idx="0">
                        <c:v>% 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B.đồ!$C$30:$F$30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-1.5429102633737018E-2</c:v>
                      </c:pt>
                      <c:pt idx="1">
                        <c:v>3.1911801335870869E-2</c:v>
                      </c:pt>
                      <c:pt idx="2">
                        <c:v>5.4433186734634056E-2</c:v>
                      </c:pt>
                      <c:pt idx="3">
                        <c:v>7.3383931228365729E-2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73-4910-9D02-D1254C3A485B}"/>
                  </c:ext>
                </c:extLst>
              </c15:ser>
            </c15:filteredLineSeries>
          </c:ext>
        </c:extLst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 val="autoZero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"/>
              <c:y val="4.25515901421413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4656"/>
        <c:crosses val="autoZero"/>
        <c:crossBetween val="between"/>
      </c:valAx>
      <c:valAx>
        <c:axId val="610211888"/>
        <c:scaling>
          <c:orientation val="minMax"/>
          <c:max val="0.15000000000000002"/>
        </c:scaling>
        <c:delete val="0"/>
        <c:axPos val="r"/>
        <c:numFmt formatCode="0.0%" sourceLinked="1"/>
        <c:majorTickMark val="in"/>
        <c:minorTickMark val="in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10928"/>
        <c:crosses val="max"/>
        <c:crossBetween val="between"/>
        <c:majorUnit val="2.0000000000000004E-2"/>
      </c:valAx>
      <c:catAx>
        <c:axId val="6102109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102118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208223972003503E-2"/>
          <c:y val="0.8940554248900705"/>
          <c:w val="0.82025000000000015"/>
          <c:h val="0.10131465385008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119303"/>
                </a:solidFill>
              </a:rPr>
              <a:t>Lãi</a:t>
            </a:r>
            <a:r>
              <a:rPr lang="en-US" sz="1100" baseline="0">
                <a:solidFill>
                  <a:srgbClr val="119303"/>
                </a:solidFill>
              </a:rPr>
              <a:t> biến phí và EBITDA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29799300087489061"/>
          <c:y val="4.06462828510072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73381452318461"/>
          <c:y val="0.17397361693424684"/>
          <c:w val="0.79083792650918638"/>
          <c:h val="0.6374331771720785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B.đồ!$B$25</c:f>
              <c:strCache>
                <c:ptCount val="1"/>
                <c:pt idx="0">
                  <c:v>Lãi biến phí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5.5555555555554534E-3"/>
                  <c:y val="-3.1168831168831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D9-49D5-927A-326893DDF8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  <c:extLst xmlns:c15="http://schemas.microsoft.com/office/drawing/2012/chart"/>
            </c:strRef>
          </c:cat>
          <c:val>
            <c:numRef>
              <c:f>B.đồ!$C$25:$F$25</c:f>
              <c:numCache>
                <c:formatCode>#,##0.0,,,</c:formatCode>
                <c:ptCount val="4"/>
                <c:pt idx="0">
                  <c:v>12982154059.130432</c:v>
                </c:pt>
                <c:pt idx="1">
                  <c:v>19473231088.695648</c:v>
                </c:pt>
                <c:pt idx="2">
                  <c:v>25964308118.260864</c:v>
                </c:pt>
                <c:pt idx="3">
                  <c:v>32455385147.82608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8-349F-4A9E-A18A-7F024BDE8FAC}"/>
            </c:ext>
          </c:extLst>
        </c:ser>
        <c:ser>
          <c:idx val="5"/>
          <c:order val="5"/>
          <c:tx>
            <c:strRef>
              <c:f>B.đồ!$B$29</c:f>
              <c:strCache>
                <c:ptCount val="1"/>
                <c:pt idx="0">
                  <c:v>EBITDA</c:v>
                </c:pt>
              </c:strCache>
              <c:extLst xmlns:c15="http://schemas.microsoft.com/office/drawing/2012/chart"/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729887187186855E-2"/>
                  <c:y val="-2.6177902325165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D9-49D5-927A-326893DDF811}"/>
                </c:ext>
              </c:extLst>
            </c:dLbl>
            <c:dLbl>
              <c:idx val="1"/>
              <c:layout>
                <c:manualLayout>
                  <c:x val="1.3876145840182647E-2"/>
                  <c:y val="-1.61464284137610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D9-49D5-927A-326893DDF811}"/>
                </c:ext>
              </c:extLst>
            </c:dLbl>
            <c:dLbl>
              <c:idx val="2"/>
              <c:layout>
                <c:manualLayout>
                  <c:x val="1.1098391044647332E-2"/>
                  <c:y val="2.0166227290161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9-49D5-927A-326893DDF811}"/>
                </c:ext>
              </c:extLst>
            </c:dLbl>
            <c:dLbl>
              <c:idx val="3"/>
              <c:layout>
                <c:manualLayout>
                  <c:x val="1.1098391044647535E-2"/>
                  <c:y val="5.09269028431815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D9-49D5-927A-326893DDF8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  <c:extLst xmlns:c15="http://schemas.microsoft.com/office/drawing/2012/chart"/>
            </c:strRef>
          </c:cat>
          <c:val>
            <c:numRef>
              <c:f>B.đồ!$C$29:$F$29</c:f>
              <c:numCache>
                <c:formatCode>#,##0.0,,,</c:formatCode>
                <c:ptCount val="4"/>
                <c:pt idx="0">
                  <c:v>-976699226.56187415</c:v>
                </c:pt>
                <c:pt idx="1">
                  <c:v>3030140419.325748</c:v>
                </c:pt>
                <c:pt idx="2">
                  <c:v>6891502719.9009981</c:v>
                </c:pt>
                <c:pt idx="3">
                  <c:v>11613447420.476248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A-349F-4A9E-A18A-7F024BDE8F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20704656"/>
        <c:axId val="520710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B.đồ!$B$24</c15:sqref>
                        </c15:formulaRef>
                      </c:ext>
                    </c:extLst>
                    <c:strCache>
                      <c:ptCount val="1"/>
                      <c:pt idx="0">
                        <c:v>Doanh thu</c:v>
                      </c:pt>
                    </c:strCache>
                  </c:strRef>
                </c:tx>
                <c:spPr>
                  <a:solidFill>
                    <a:srgbClr val="2F97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B.đồ!$C$24:$F$24</c15:sqref>
                        </c15:formulaRef>
                      </c:ext>
                    </c:extLst>
                    <c:numCache>
                      <c:formatCode>#,##0.0,,,</c:formatCode>
                      <c:ptCount val="4"/>
                      <c:pt idx="0">
                        <c:v>63302400000</c:v>
                      </c:pt>
                      <c:pt idx="1">
                        <c:v>94953600000</c:v>
                      </c:pt>
                      <c:pt idx="2">
                        <c:v>126604800000</c:v>
                      </c:pt>
                      <c:pt idx="3">
                        <c:v>158256000000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49F-4A9E-A18A-7F024BDE8FA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B.đồ!$B$27</c15:sqref>
                        </c15:formulaRef>
                      </c:ext>
                    </c:extLst>
                    <c:strCache>
                      <c:ptCount val="1"/>
                      <c:pt idx="0">
                        <c:v>LN sau thuế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B.đồ!$C$27:$F$27</c15:sqref>
                        </c15:formulaRef>
                      </c:ext>
                    </c:extLst>
                    <c:numCache>
                      <c:formatCode>#,##0.0,,,</c:formatCode>
                      <c:ptCount val="4"/>
                      <c:pt idx="0">
                        <c:v>-2906074726.5618744</c:v>
                      </c:pt>
                      <c:pt idx="1">
                        <c:v>1100764919.3257477</c:v>
                      </c:pt>
                      <c:pt idx="2">
                        <c:v>4962127219.9009981</c:v>
                      </c:pt>
                      <c:pt idx="3">
                        <c:v>9684071920.4762478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49F-4A9E-A18A-7F024BDE8FA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B.đồ!$B$26</c:f>
              <c:strCache>
                <c:ptCount val="1"/>
                <c:pt idx="0">
                  <c:v>% lãi biến phí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rgbClr val="3399FF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6.8590332458442801E-2"/>
                  <c:y val="-7.52858165456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D9-49D5-927A-326893DDF8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  <c:extLst xmlns:c15="http://schemas.microsoft.com/office/drawing/2012/chart"/>
            </c:strRef>
          </c:cat>
          <c:val>
            <c:numRef>
              <c:f>B.đồ!$C$26:$F$26</c:f>
              <c:numCache>
                <c:formatCode>0.0%</c:formatCode>
                <c:ptCount val="4"/>
                <c:pt idx="0">
                  <c:v>0.20508154602559195</c:v>
                </c:pt>
                <c:pt idx="1">
                  <c:v>0.20508154602559195</c:v>
                </c:pt>
                <c:pt idx="2">
                  <c:v>0.20508154602559195</c:v>
                </c:pt>
                <c:pt idx="3">
                  <c:v>0.20508154602559195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349F-4A9E-A18A-7F024BDE8FAC}"/>
            </c:ext>
          </c:extLst>
        </c:ser>
        <c:ser>
          <c:idx val="6"/>
          <c:order val="6"/>
          <c:tx>
            <c:strRef>
              <c:f>B.đồ!$B$30</c:f>
              <c:strCache>
                <c:ptCount val="1"/>
                <c:pt idx="0">
                  <c:v>% EBITDA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2448674241517046E-3"/>
                  <c:y val="-7.1859018261834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9-49D5-927A-326893DDF811}"/>
                </c:ext>
              </c:extLst>
            </c:dLbl>
            <c:dLbl>
              <c:idx val="1"/>
              <c:layout>
                <c:manualLayout>
                  <c:x val="-2.7777777777778286E-3"/>
                  <c:y val="-0.129870129870129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D9-49D5-927A-326893DDF811}"/>
                </c:ext>
              </c:extLst>
            </c:dLbl>
            <c:dLbl>
              <c:idx val="2"/>
              <c:layout>
                <c:manualLayout>
                  <c:x val="-1.3888888888888888E-2"/>
                  <c:y val="-0.1246753246753246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D9-49D5-927A-326893DDF811}"/>
                </c:ext>
              </c:extLst>
            </c:dLbl>
            <c:dLbl>
              <c:idx val="3"/>
              <c:layout>
                <c:manualLayout>
                  <c:x val="-1.1111111111111112E-2"/>
                  <c:y val="-0.135064935064935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D9-49D5-927A-326893DDF811}"/>
                </c:ext>
              </c:extLst>
            </c:dLbl>
            <c:spPr>
              <a:noFill/>
              <a:ln w="6350"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B.đồ!$C$23:$F$23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  <c:extLst xmlns:c15="http://schemas.microsoft.com/office/drawing/2012/chart"/>
            </c:strRef>
          </c:cat>
          <c:val>
            <c:numRef>
              <c:f>B.đồ!$C$30:$F$30</c:f>
              <c:numCache>
                <c:formatCode>0.0%</c:formatCode>
                <c:ptCount val="4"/>
                <c:pt idx="0">
                  <c:v>-1.5429102633737018E-2</c:v>
                </c:pt>
                <c:pt idx="1">
                  <c:v>3.1911801335870869E-2</c:v>
                </c:pt>
                <c:pt idx="2">
                  <c:v>5.4433186734634056E-2</c:v>
                </c:pt>
                <c:pt idx="3">
                  <c:v>7.3383931228365729E-2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B-349F-4A9E-A18A-7F024BDE8F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0210928"/>
        <c:axId val="61021188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B.đồ!$B$28</c15:sqref>
                        </c15:formulaRef>
                      </c:ext>
                    </c:extLst>
                    <c:strCache>
                      <c:ptCount val="1"/>
                      <c:pt idx="0">
                        <c:v>% LN sau thuế</c:v>
                      </c:pt>
                    </c:strCache>
                  </c:strRef>
                </c:tx>
                <c:spPr>
                  <a:ln w="158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B.đồ!$C$23:$F$23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B.đồ!$C$28:$F$28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-4.5907812761631063E-2</c:v>
                      </c:pt>
                      <c:pt idx="1">
                        <c:v>1.1592661250608169E-2</c:v>
                      </c:pt>
                      <c:pt idx="2">
                        <c:v>3.9193831670687039E-2</c:v>
                      </c:pt>
                      <c:pt idx="3">
                        <c:v>6.119244717720812E-2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49F-4A9E-A18A-7F024BDE8FAC}"/>
                  </c:ext>
                </c:extLst>
              </c15:ser>
            </c15:filteredLineSeries>
          </c:ext>
        </c:extLst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 val="autoZero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5.5555555555555558E-3"/>
              <c:y val="3.7356784947336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4656"/>
        <c:crosses val="autoZero"/>
        <c:crossBetween val="between"/>
      </c:valAx>
      <c:valAx>
        <c:axId val="610211888"/>
        <c:scaling>
          <c:orientation val="minMax"/>
          <c:max val="0.25"/>
        </c:scaling>
        <c:delete val="0"/>
        <c:axPos val="r"/>
        <c:numFmt formatCode="0.0%" sourceLinked="1"/>
        <c:majorTickMark val="in"/>
        <c:minorTickMark val="in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10928"/>
        <c:crosses val="max"/>
        <c:crossBetween val="between"/>
        <c:majorUnit val="3.0000000000000006E-2"/>
      </c:valAx>
      <c:catAx>
        <c:axId val="6102109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102118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652668416447925E-2"/>
          <c:y val="0.8992502300848757"/>
          <c:w val="0.82025000000000015"/>
          <c:h val="9.6119848655281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>
                <a:solidFill>
                  <a:srgbClr val="119303"/>
                </a:solidFill>
              </a:rPr>
              <a:t>Biến phí vs Định phí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34217179579517859"/>
          <c:y val="4.06473944813641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89370078740158E-2"/>
          <c:y val="0.17397361693424684"/>
          <c:w val="0.92417125984251969"/>
          <c:h val="0.62653277431230192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B.đồ!$B$39</c:f>
              <c:strCache>
                <c:ptCount val="1"/>
                <c:pt idx="0">
                  <c:v> ĐỊNH PHÍ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547955352257E-3"/>
                  <c:y val="-8.2643088829477407E-2"/>
                </c:manualLayout>
              </c:layout>
              <c:tx>
                <c:rich>
                  <a:bodyPr/>
                  <a:lstStyle/>
                  <a:p>
                    <a:fld id="{18082F4C-1A8F-41CB-AF52-ACDBBA29564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78A7276-E144-475F-B928-FAF4E27EB372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5BA-4836-96B9-607D65B453CB}"/>
                </c:ext>
              </c:extLst>
            </c:dLbl>
            <c:dLbl>
              <c:idx val="1"/>
              <c:layout>
                <c:manualLayout>
                  <c:x val="-2.7651266580417939E-3"/>
                  <c:y val="-9.2822145481150725E-2"/>
                </c:manualLayout>
              </c:layout>
              <c:tx>
                <c:rich>
                  <a:bodyPr/>
                  <a:lstStyle/>
                  <a:p>
                    <a:fld id="{9170EBD5-862E-4ADA-8890-CA6B65707A4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B5A9E13-0D3B-4D94-8E39-21E992753142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5BA-4836-96B9-607D65B453CB}"/>
                </c:ext>
              </c:extLst>
            </c:dLbl>
            <c:dLbl>
              <c:idx val="2"/>
              <c:layout>
                <c:manualLayout>
                  <c:x val="0"/>
                  <c:y val="-9.7964310138121832E-2"/>
                </c:manualLayout>
              </c:layout>
              <c:tx>
                <c:rich>
                  <a:bodyPr/>
                  <a:lstStyle/>
                  <a:p>
                    <a:fld id="{44F3E553-3BF9-4CA4-A9AD-743C340A1C1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8C763D8-668D-4824-B9E9-4AC0A494906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5BA-4836-96B9-607D65B453CB}"/>
                </c:ext>
              </c:extLst>
            </c:dLbl>
            <c:dLbl>
              <c:idx val="3"/>
              <c:layout>
                <c:manualLayout>
                  <c:x val="-2.7777547955353146E-3"/>
                  <c:y val="-0.1134434404401693"/>
                </c:manualLayout>
              </c:layout>
              <c:tx>
                <c:rich>
                  <a:bodyPr/>
                  <a:lstStyle/>
                  <a:p>
                    <a:fld id="{E2BC3265-6062-4B39-9A32-F5FE0BCA741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AE2DAA6-88C0-4FD4-BB2F-53DB75E5355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5BA-4836-96B9-607D65B453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B.đồ!$C$36:$F$36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B.đồ!$C$39:$F$39</c:f>
              <c:numCache>
                <c:formatCode>#,##0.0,,,</c:formatCode>
                <c:ptCount val="4"/>
                <c:pt idx="0">
                  <c:v>15888228785.692307</c:v>
                </c:pt>
                <c:pt idx="1">
                  <c:v>18097274939.538464</c:v>
                </c:pt>
                <c:pt idx="2">
                  <c:v>19761649093.384617</c:v>
                </c:pt>
                <c:pt idx="3">
                  <c:v>20350295247.23077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B.đồ!$C$40:$F$40</c15:f>
                <c15:dlblRangeCache>
                  <c:ptCount val="4"/>
                  <c:pt idx="0">
                    <c:v>24%</c:v>
                  </c:pt>
                  <c:pt idx="1">
                    <c:v>19%</c:v>
                  </c:pt>
                  <c:pt idx="2">
                    <c:v>16%</c:v>
                  </c:pt>
                  <c:pt idx="3">
                    <c:v>14%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95BA-4836-96B9-607D65B453CB}"/>
            </c:ext>
          </c:extLst>
        </c:ser>
        <c:ser>
          <c:idx val="1"/>
          <c:order val="1"/>
          <c:tx>
            <c:strRef>
              <c:f>B.đồ!$B$37</c:f>
              <c:strCache>
                <c:ptCount val="1"/>
                <c:pt idx="0">
                  <c:v> BIẾN PHÍ 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302533160835879E-3"/>
                  <c:y val="-0.14392797406405516"/>
                </c:manualLayout>
              </c:layout>
              <c:tx>
                <c:rich>
                  <a:bodyPr/>
                  <a:lstStyle/>
                  <a:p>
                    <a:fld id="{8F48FA7B-61B5-401D-AB09-976C71F1B45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9777DC5-EC24-4635-A48C-C5A146BF2D4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5BA-4836-96B9-607D65B453CB}"/>
                </c:ext>
              </c:extLst>
            </c:dLbl>
            <c:dLbl>
              <c:idx val="1"/>
              <c:layout>
                <c:manualLayout>
                  <c:x val="-2.7651266580417939E-3"/>
                  <c:y val="-0.17997576299398685"/>
                </c:manualLayout>
              </c:layout>
              <c:tx>
                <c:rich>
                  <a:bodyPr/>
                  <a:lstStyle/>
                  <a:p>
                    <a:fld id="{92A8F07E-D283-4784-AAB0-A627F96EB30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90A2E19-0003-4B8D-B092-9B84BA1BA41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5BA-4836-96B9-607D65B453CB}"/>
                </c:ext>
              </c:extLst>
            </c:dLbl>
            <c:dLbl>
              <c:idx val="2"/>
              <c:layout>
                <c:manualLayout>
                  <c:x val="0"/>
                  <c:y val="-0.24682390353461062"/>
                </c:manualLayout>
              </c:layout>
              <c:tx>
                <c:rich>
                  <a:bodyPr/>
                  <a:lstStyle/>
                  <a:p>
                    <a:fld id="{E6F3F0F9-2836-4547-AE36-9BE1C90CD82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4885BF1-45EA-4553-9209-ECE8067C8C55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5BA-4836-96B9-607D65B453CB}"/>
                </c:ext>
              </c:extLst>
            </c:dLbl>
            <c:dLbl>
              <c:idx val="3"/>
              <c:layout>
                <c:manualLayout>
                  <c:x val="5.5302533160835879E-3"/>
                  <c:y val="-0.29824555010432113"/>
                </c:manualLayout>
              </c:layout>
              <c:tx>
                <c:rich>
                  <a:bodyPr/>
                  <a:lstStyle/>
                  <a:p>
                    <a:fld id="{B08C3629-56E4-4354-8E74-F5C70B159CB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1658315-F7D4-4409-9785-D287992AA53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5BA-4836-96B9-607D65B453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B.đồ!$C$36:$F$36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B.đồ!$C$37:$F$37</c:f>
              <c:numCache>
                <c:formatCode>#,##0.0,,,</c:formatCode>
                <c:ptCount val="4"/>
                <c:pt idx="0">
                  <c:v>50320245940.869568</c:v>
                </c:pt>
                <c:pt idx="1">
                  <c:v>75480368911.304352</c:v>
                </c:pt>
                <c:pt idx="2">
                  <c:v>100640491881.73914</c:v>
                </c:pt>
                <c:pt idx="3">
                  <c:v>125800614852.17392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B.đồ!$C$38:$F$38</c15:f>
                <c15:dlblRangeCache>
                  <c:ptCount val="4"/>
                  <c:pt idx="0">
                    <c:v>76%</c:v>
                  </c:pt>
                  <c:pt idx="1">
                    <c:v>81%</c:v>
                  </c:pt>
                  <c:pt idx="2">
                    <c:v>84%</c:v>
                  </c:pt>
                  <c:pt idx="3">
                    <c:v>86%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5BA-4836-96B9-607D65B45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20704656"/>
        <c:axId val="520710896"/>
      </c:barChart>
      <c:lineChart>
        <c:grouping val="standard"/>
        <c:varyColors val="0"/>
        <c:ser>
          <c:idx val="3"/>
          <c:order val="2"/>
          <c:tx>
            <c:strRef>
              <c:f>B.đồ!$B$41</c:f>
              <c:strCache>
                <c:ptCount val="1"/>
                <c:pt idx="0">
                  <c:v> TỔNG CHI PHÍ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507049766618969E-2"/>
                  <c:y val="-0.202761625847191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BA-4836-96B9-607D65B453CB}"/>
                </c:ext>
              </c:extLst>
            </c:dLbl>
            <c:dLbl>
              <c:idx val="1"/>
              <c:layout>
                <c:manualLayout>
                  <c:x val="-6.9326515300294933E-2"/>
                  <c:y val="-0.192266751208712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5BA-4836-96B9-607D65B453CB}"/>
                </c:ext>
              </c:extLst>
            </c:dLbl>
            <c:dLbl>
              <c:idx val="2"/>
              <c:layout>
                <c:manualLayout>
                  <c:x val="-7.4869396753871942E-2"/>
                  <c:y val="-0.202445807860385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5BA-4836-96B9-607D65B453CB}"/>
                </c:ext>
              </c:extLst>
            </c:dLbl>
            <c:dLbl>
              <c:idx val="3"/>
              <c:layout>
                <c:manualLayout>
                  <c:x val="-6.1005879051182814E-2"/>
                  <c:y val="-0.187071950220606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5BA-4836-96B9-607D65B453CB}"/>
                </c:ext>
              </c:extLst>
            </c:dLbl>
            <c:spPr>
              <a:noFill/>
              <a:ln w="6350"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B.đồ!$C$36:$F$36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B.đồ!$C$41:$F$41</c:f>
              <c:numCache>
                <c:formatCode>#,##0.0,,,</c:formatCode>
                <c:ptCount val="4"/>
                <c:pt idx="0">
                  <c:v>66208474726.561874</c:v>
                </c:pt>
                <c:pt idx="1">
                  <c:v>93577643850.842819</c:v>
                </c:pt>
                <c:pt idx="2">
                  <c:v>120402140975.12375</c:v>
                </c:pt>
                <c:pt idx="3">
                  <c:v>146150910099.40469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BA-4836-96B9-607D65B45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717103"/>
        <c:axId val="316716143"/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At val="0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"/>
              <c:y val="4.25515901421413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crossAx val="520704656"/>
        <c:crosses val="autoZero"/>
        <c:crossBetween val="between"/>
      </c:valAx>
      <c:valAx>
        <c:axId val="316716143"/>
        <c:scaling>
          <c:orientation val="minMax"/>
        </c:scaling>
        <c:delete val="1"/>
        <c:axPos val="r"/>
        <c:numFmt formatCode="#,##0.0,,," sourceLinked="1"/>
        <c:majorTickMark val="out"/>
        <c:minorTickMark val="none"/>
        <c:tickLblPos val="nextTo"/>
        <c:crossAx val="316717103"/>
        <c:crosses val="max"/>
        <c:crossBetween val="between"/>
      </c:valAx>
      <c:catAx>
        <c:axId val="316717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6716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43044619422575"/>
          <c:y val="0.90963984047448609"/>
          <c:w val="0.67041666666666666"/>
          <c:h val="8.7662951222006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119303"/>
                </a:solidFill>
              </a:rPr>
              <a:t>Cơ</a:t>
            </a:r>
            <a:r>
              <a:rPr lang="en-US" sz="1100" baseline="0">
                <a:solidFill>
                  <a:srgbClr val="119303"/>
                </a:solidFill>
              </a:rPr>
              <a:t> cấu B</a:t>
            </a:r>
            <a:r>
              <a:rPr lang="en-US" sz="1100">
                <a:solidFill>
                  <a:srgbClr val="119303"/>
                </a:solidFill>
              </a:rPr>
              <a:t>iến</a:t>
            </a:r>
            <a:r>
              <a:rPr lang="en-US" sz="1100" baseline="0">
                <a:solidFill>
                  <a:srgbClr val="119303"/>
                </a:solidFill>
              </a:rPr>
              <a:t> phí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41465966754155731"/>
          <c:y val="4.06462828510072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89370078740158E-2"/>
          <c:y val="0.17397361693424684"/>
          <c:w val="0.92417125984251969"/>
          <c:h val="0.6265327743123019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B.đồ!$B$45</c:f>
              <c:strCache>
                <c:ptCount val="1"/>
                <c:pt idx="0">
                  <c:v> Biến phí bán hàng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597402597402597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0000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8AAEF5-7F63-4FAA-B30E-C224FF2AF6D9}" type="CELLRANGE">
                      <a:rPr lang="en-US" sz="800">
                        <a:solidFill>
                          <a:srgbClr val="0000FF"/>
                        </a:solidFill>
                      </a:rPr>
                      <a:pPr>
                        <a:defRPr sz="800">
                          <a:solidFill>
                            <a:srgbClr val="0000FF"/>
                          </a:solidFill>
                        </a:defRPr>
                      </a:pPr>
                      <a:t>[CELLRANGE]</a:t>
                    </a:fld>
                    <a:endParaRPr lang="en-US" sz="800" baseline="0">
                      <a:solidFill>
                        <a:srgbClr val="0000FF"/>
                      </a:solidFill>
                    </a:endParaRPr>
                  </a:p>
                  <a:p>
                    <a:pPr>
                      <a:defRPr sz="800">
                        <a:solidFill>
                          <a:srgbClr val="0000FF"/>
                        </a:solidFill>
                      </a:defRPr>
                    </a:pPr>
                    <a:fld id="{1EEC04BC-7B78-4A84-B965-81D75A42E980}" type="VALUE">
                      <a:rPr lang="en-US" sz="800">
                        <a:solidFill>
                          <a:srgbClr val="0000FF"/>
                        </a:solidFill>
                      </a:rPr>
                      <a:pPr>
                        <a:defRPr sz="800">
                          <a:solidFill>
                            <a:srgbClr val="0000F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47F-4F98-902C-D943E5D34644}"/>
                </c:ext>
              </c:extLst>
            </c:dLbl>
            <c:dLbl>
              <c:idx val="1"/>
              <c:layout>
                <c:manualLayout>
                  <c:x val="0"/>
                  <c:y val="-7.2727272727272724E-2"/>
                </c:manualLayout>
              </c:layout>
              <c:tx>
                <c:rich>
                  <a:bodyPr/>
                  <a:lstStyle/>
                  <a:p>
                    <a:fld id="{ACC08D42-AC9D-4E04-A0FB-82264F050C2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DABB9E7-E679-44B4-8AFE-01FF087883C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47F-4F98-902C-D943E5D34644}"/>
                </c:ext>
              </c:extLst>
            </c:dLbl>
            <c:dLbl>
              <c:idx val="2"/>
              <c:layout>
                <c:manualLayout>
                  <c:x val="5.5555555555555558E-3"/>
                  <c:y val="-8.8311688311688313E-2"/>
                </c:manualLayout>
              </c:layout>
              <c:tx>
                <c:rich>
                  <a:bodyPr/>
                  <a:lstStyle/>
                  <a:p>
                    <a:fld id="{D3637D8B-8E7A-4941-8474-05982B5953F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5C3782F-514C-4B4D-B615-AD0099E18C7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47F-4F98-902C-D943E5D34644}"/>
                </c:ext>
              </c:extLst>
            </c:dLbl>
            <c:dLbl>
              <c:idx val="3"/>
              <c:layout>
                <c:manualLayout>
                  <c:x val="-1.0185067526415994E-16"/>
                  <c:y val="-8.8311688311688313E-2"/>
                </c:manualLayout>
              </c:layout>
              <c:tx>
                <c:rich>
                  <a:bodyPr/>
                  <a:lstStyle/>
                  <a:p>
                    <a:fld id="{EF3EEF47-D8DD-4B3C-BA87-DBEAF65AED1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915BE13-DC42-4132-AC09-6472669C1AF6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47F-4F98-902C-D943E5D34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B.đồ!$C$45:$F$45</c:f>
              <c:numCache>
                <c:formatCode>#,##0.0,,,</c:formatCode>
                <c:ptCount val="4"/>
                <c:pt idx="0">
                  <c:v>831600000</c:v>
                </c:pt>
                <c:pt idx="1">
                  <c:v>1247400000</c:v>
                </c:pt>
                <c:pt idx="2">
                  <c:v>1663200000</c:v>
                </c:pt>
                <c:pt idx="3">
                  <c:v>2079000000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B.đồ!$C$46:$F$46</c15:f>
                <c15:dlblRangeCache>
                  <c:ptCount val="4"/>
                  <c:pt idx="0">
                    <c:v>1.7%</c:v>
                  </c:pt>
                  <c:pt idx="1">
                    <c:v>1.7%</c:v>
                  </c:pt>
                  <c:pt idx="2">
                    <c:v>1.7%</c:v>
                  </c:pt>
                  <c:pt idx="3">
                    <c:v>1.7%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B47F-4F98-902C-D943E5D34644}"/>
            </c:ext>
          </c:extLst>
        </c:ser>
        <c:ser>
          <c:idx val="3"/>
          <c:order val="1"/>
          <c:tx>
            <c:strRef>
              <c:f>B.đồ!$B$47</c:f>
              <c:strCache>
                <c:ptCount val="1"/>
                <c:pt idx="0">
                  <c:v> Biến phí sản xuất 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779E-3"/>
                  <c:y val="-8.3116883116883214E-2"/>
                </c:manualLayout>
              </c:layout>
              <c:tx>
                <c:rich>
                  <a:bodyPr/>
                  <a:lstStyle/>
                  <a:p>
                    <a:fld id="{2B982BFD-91CA-46E9-82D8-1989E9AF925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249F950-FF62-41D6-A754-B0C92AA91D25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9569335083114607E-2"/>
                      <c:h val="0.142389610389610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47F-4F98-902C-D943E5D34644}"/>
                </c:ext>
              </c:extLst>
            </c:dLbl>
            <c:dLbl>
              <c:idx val="1"/>
              <c:layout>
                <c:manualLayout>
                  <c:x val="0"/>
                  <c:y val="-0.10909090909090909"/>
                </c:manualLayout>
              </c:layout>
              <c:tx>
                <c:rich>
                  <a:bodyPr/>
                  <a:lstStyle/>
                  <a:p>
                    <a:fld id="{24E78DF2-3D2E-4FED-9EF5-F628F19EB9A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8B6E0F6-377F-400D-86D3-6474D421716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47F-4F98-902C-D943E5D34644}"/>
                </c:ext>
              </c:extLst>
            </c:dLbl>
            <c:dLbl>
              <c:idx val="2"/>
              <c:layout>
                <c:manualLayout>
                  <c:x val="2.7777777777777779E-3"/>
                  <c:y val="-9.350649350649351E-2"/>
                </c:manualLayout>
              </c:layout>
              <c:tx>
                <c:rich>
                  <a:bodyPr/>
                  <a:lstStyle/>
                  <a:p>
                    <a:fld id="{73EBC42F-F836-46B5-967A-EDA0379044E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1F247BD-9B39-4756-9AAF-F5A8358BC6F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47F-4F98-902C-D943E5D34644}"/>
                </c:ext>
              </c:extLst>
            </c:dLbl>
            <c:dLbl>
              <c:idx val="3"/>
              <c:layout>
                <c:manualLayout>
                  <c:x val="5.5555555555554534E-3"/>
                  <c:y val="-0.11948051948051953"/>
                </c:manualLayout>
              </c:layout>
              <c:tx>
                <c:rich>
                  <a:bodyPr/>
                  <a:lstStyle/>
                  <a:p>
                    <a:fld id="{E4637EB5-4FFA-4799-B10E-6013C197035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3F78904-1B13-45A1-9098-353A406B798F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47F-4F98-902C-D943E5D34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B.đồ!$C$47:$F$47</c:f>
              <c:numCache>
                <c:formatCode>#,##0.0,,,</c:formatCode>
                <c:ptCount val="4"/>
                <c:pt idx="0">
                  <c:v>49488645940.869568</c:v>
                </c:pt>
                <c:pt idx="1">
                  <c:v>74232968911.304352</c:v>
                </c:pt>
                <c:pt idx="2">
                  <c:v>98977291881.739136</c:v>
                </c:pt>
                <c:pt idx="3">
                  <c:v>123721614852.17392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B.đồ!$C$48:$F$48</c15:f>
                <c15:dlblRangeCache>
                  <c:ptCount val="4"/>
                  <c:pt idx="0">
                    <c:v>98.3%</c:v>
                  </c:pt>
                  <c:pt idx="1">
                    <c:v>98.3%</c:v>
                  </c:pt>
                  <c:pt idx="2">
                    <c:v>98.3%</c:v>
                  </c:pt>
                  <c:pt idx="3">
                    <c:v>98.3%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B47F-4F98-902C-D943E5D34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0704656"/>
        <c:axId val="520710896"/>
      </c:barChart>
      <c:lineChart>
        <c:grouping val="standard"/>
        <c:varyColors val="0"/>
        <c:ser>
          <c:idx val="4"/>
          <c:order val="2"/>
          <c:tx>
            <c:strRef>
              <c:f>B.đồ!$B$49</c:f>
              <c:strCache>
                <c:ptCount val="1"/>
                <c:pt idx="0">
                  <c:v>Tổng Biến phí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2402887139107625E-2"/>
                  <c:y val="-0.177155946415788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47F-4F98-902C-D943E5D34644}"/>
                </c:ext>
              </c:extLst>
            </c:dLbl>
            <c:dLbl>
              <c:idx val="1"/>
              <c:layout>
                <c:manualLayout>
                  <c:x val="-6.1111111111111109E-2"/>
                  <c:y val="-0.135597504857347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47F-4F98-902C-D943E5D34644}"/>
                </c:ext>
              </c:extLst>
            </c:dLbl>
            <c:dLbl>
              <c:idx val="2"/>
              <c:layout>
                <c:manualLayout>
                  <c:x val="-6.9444444444444448E-2"/>
                  <c:y val="-0.11481828407812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47F-4F98-902C-D943E5D34644}"/>
                </c:ext>
              </c:extLst>
            </c:dLbl>
            <c:dLbl>
              <c:idx val="3"/>
              <c:layout>
                <c:manualLayout>
                  <c:x val="-6.6666666666666763E-2"/>
                  <c:y val="-9.4039063298905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47F-4F98-902C-D943E5D34644}"/>
                </c:ext>
              </c:extLst>
            </c:dLbl>
            <c:spPr>
              <a:noFill/>
              <a:ln w="6350"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B.đồ!$C$49:$F$49</c:f>
              <c:numCache>
                <c:formatCode>#,##0.0,,,</c:formatCode>
                <c:ptCount val="4"/>
                <c:pt idx="0">
                  <c:v>50320245940.869568</c:v>
                </c:pt>
                <c:pt idx="1">
                  <c:v>75480368911.304352</c:v>
                </c:pt>
                <c:pt idx="2">
                  <c:v>100640491881.73914</c:v>
                </c:pt>
                <c:pt idx="3">
                  <c:v>125800614852.17392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7F-4F98-902C-D943E5D34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6717103"/>
        <c:axId val="316716143"/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At val="0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"/>
              <c:y val="4.25515901421413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crossAx val="520704656"/>
        <c:crosses val="autoZero"/>
        <c:crossBetween val="between"/>
      </c:valAx>
      <c:valAx>
        <c:axId val="316716143"/>
        <c:scaling>
          <c:orientation val="minMax"/>
        </c:scaling>
        <c:delete val="1"/>
        <c:axPos val="r"/>
        <c:numFmt formatCode="#,##0.0,,," sourceLinked="1"/>
        <c:majorTickMark val="out"/>
        <c:minorTickMark val="none"/>
        <c:tickLblPos val="nextTo"/>
        <c:crossAx val="316717103"/>
        <c:crosses val="max"/>
        <c:crossBetween val="between"/>
      </c:valAx>
      <c:catAx>
        <c:axId val="316717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6716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43044619422575"/>
          <c:y val="0.90963984047448609"/>
          <c:w val="0.77956955380577431"/>
          <c:h val="8.7662951222006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>
                <a:solidFill>
                  <a:srgbClr val="119303"/>
                </a:solidFill>
              </a:rPr>
              <a:t>Cơ cấu Định phí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43688188976377951"/>
          <c:y val="4.06462828510072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89370078740158E-2"/>
          <c:y val="8.6441338582677163E-2"/>
          <c:w val="0.92417125984251969"/>
          <c:h val="0.70789645669291335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B.đồ!$B$56</c:f>
              <c:strCache>
                <c:ptCount val="1"/>
                <c:pt idx="0">
                  <c:v> Chi phí nhân sự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158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5555555555555558E-3"/>
                  <c:y val="1.0389610389610294E-2"/>
                </c:manualLayout>
              </c:layout>
              <c:tx>
                <c:rich>
                  <a:bodyPr/>
                  <a:lstStyle/>
                  <a:p>
                    <a:fld id="{6CB5B850-F3FC-4204-BA4F-70EB6A8CEE3B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76BBD8F-7442-48A4-B330-03BDBB5358F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482-49D5-99DE-7820EC66B067}"/>
                </c:ext>
              </c:extLst>
            </c:dLbl>
            <c:dLbl>
              <c:idx val="1"/>
              <c:layout>
                <c:manualLayout>
                  <c:x val="2.7777777777777779E-3"/>
                  <c:y val="1.5584415584415584E-2"/>
                </c:manualLayout>
              </c:layout>
              <c:tx>
                <c:rich>
                  <a:bodyPr/>
                  <a:lstStyle/>
                  <a:p>
                    <a:fld id="{82C1D23A-F43B-448A-AD32-41AA6C4C009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5F592CA-F1B7-42C8-99B5-8CB1BA88FD2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482-49D5-99DE-7820EC66B0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649DB5-0C8A-4A1B-9462-484F6C8D7A0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3995959-B8F0-4F63-9713-0E000D8C3BF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482-49D5-99DE-7820EC66B067}"/>
                </c:ext>
              </c:extLst>
            </c:dLbl>
            <c:dLbl>
              <c:idx val="3"/>
              <c:layout>
                <c:manualLayout>
                  <c:x val="2.7777777777777779E-3"/>
                  <c:y val="1.5584415584415584E-2"/>
                </c:manualLayout>
              </c:layout>
              <c:tx>
                <c:rich>
                  <a:bodyPr/>
                  <a:lstStyle/>
                  <a:p>
                    <a:fld id="{5E476C6A-359F-4E4D-9C68-E58FDBB1267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8FC146E-7E4E-432F-AFAB-F415D05898F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482-49D5-99DE-7820EC66B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B.đồ!$C$56:$F$56</c:f>
              <c:numCache>
                <c:formatCode>#,##0.0,,,</c:formatCode>
                <c:ptCount val="4"/>
                <c:pt idx="0">
                  <c:v>6009550000</c:v>
                </c:pt>
                <c:pt idx="1">
                  <c:v>8134750000</c:v>
                </c:pt>
                <c:pt idx="2">
                  <c:v>9715278000</c:v>
                </c:pt>
                <c:pt idx="3">
                  <c:v>10208078000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B.đồ!$C$57:$F$57</c15:f>
                <c15:dlblRangeCache>
                  <c:ptCount val="4"/>
                  <c:pt idx="0">
                    <c:v>38%</c:v>
                  </c:pt>
                  <c:pt idx="1">
                    <c:v>45%</c:v>
                  </c:pt>
                  <c:pt idx="2">
                    <c:v>49%</c:v>
                  </c:pt>
                  <c:pt idx="3">
                    <c:v>50%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7482-49D5-99DE-7820EC66B067}"/>
            </c:ext>
          </c:extLst>
        </c:ser>
        <c:ser>
          <c:idx val="1"/>
          <c:order val="1"/>
          <c:tx>
            <c:strRef>
              <c:f>B.đồ!$B$52</c:f>
              <c:strCache>
                <c:ptCount val="1"/>
                <c:pt idx="0">
                  <c:v> Định phí sản xuất 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9965004374185E-3"/>
                  <c:y val="2.597198077513043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39BF9A3-2C36-4E4D-9ABB-C94E0DE5CB75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CB2A6474-2AF6-4587-B0A7-C6525AD1DA92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134711286089236"/>
                      <c:h val="0.1245194805194805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482-49D5-99DE-7820EC66B067}"/>
                </c:ext>
              </c:extLst>
            </c:dLbl>
            <c:dLbl>
              <c:idx val="1"/>
              <c:layout>
                <c:manualLayout>
                  <c:x val="5.5555555555555558E-3"/>
                  <c:y val="5.1948051948051948E-3"/>
                </c:manualLayout>
              </c:layout>
              <c:tx>
                <c:rich>
                  <a:bodyPr/>
                  <a:lstStyle/>
                  <a:p>
                    <a:fld id="{47085E06-57B4-4BE8-AC31-EC1D15A8BA4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A6E8A9E-FB58-4CDF-9B58-99DA65E4F36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482-49D5-99DE-7820EC66B0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100112D-0797-40E6-BEAD-7C39D0FAE4E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561E216-6D0D-4D7E-81E5-E58CCE3CD51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482-49D5-99DE-7820EC66B06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3F772F-6D82-4C6A-B26E-70CF7407C6C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5C65E5B-6D8A-4F4F-A61F-035C248A376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482-49D5-99DE-7820EC66B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B.đồ!$C$52:$F$52</c:f>
              <c:numCache>
                <c:formatCode>#,##0.0,,,</c:formatCode>
                <c:ptCount val="4"/>
                <c:pt idx="0">
                  <c:v>5442379379.6923075</c:v>
                </c:pt>
                <c:pt idx="1">
                  <c:v>5526225533.5384617</c:v>
                </c:pt>
                <c:pt idx="2">
                  <c:v>5610071687.3846149</c:v>
                </c:pt>
                <c:pt idx="3">
                  <c:v>5705917841.2307692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B.đồ!$C$53:$F$53</c15:f>
                <c15:dlblRangeCache>
                  <c:ptCount val="4"/>
                  <c:pt idx="0">
                    <c:v>34%</c:v>
                  </c:pt>
                  <c:pt idx="1">
                    <c:v>31%</c:v>
                  </c:pt>
                  <c:pt idx="2">
                    <c:v>28%</c:v>
                  </c:pt>
                  <c:pt idx="3">
                    <c:v>28%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482-49D5-99DE-7820EC66B067}"/>
            </c:ext>
          </c:extLst>
        </c:ser>
        <c:ser>
          <c:idx val="2"/>
          <c:order val="2"/>
          <c:tx>
            <c:strRef>
              <c:f>B.đồ!$B$60</c:f>
              <c:strCache>
                <c:ptCount val="1"/>
                <c:pt idx="0">
                  <c:v> Chi phí khấu hao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905E-3"/>
                  <c:y val="-5.1948051948051948E-3"/>
                </c:manualLayout>
              </c:layout>
              <c:tx>
                <c:rich>
                  <a:bodyPr/>
                  <a:lstStyle/>
                  <a:p>
                    <a:fld id="{B23D1E07-2899-4C65-BF3E-E88D46753D6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41AEC5B-8EBE-4FC6-B67A-C3810E45A11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482-49D5-99DE-7820EC66B067}"/>
                </c:ext>
              </c:extLst>
            </c:dLbl>
            <c:dLbl>
              <c:idx val="1"/>
              <c:layout>
                <c:manualLayout>
                  <c:x val="5.5555555555555558E-3"/>
                  <c:y val="5.1948051948051471E-3"/>
                </c:manualLayout>
              </c:layout>
              <c:tx>
                <c:rich>
                  <a:bodyPr/>
                  <a:lstStyle/>
                  <a:p>
                    <a:fld id="{90B43FBB-33E2-4965-BACF-6541299B72A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6F314F6-9163-48D1-AC73-E186F181FA4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7482-49D5-99DE-7820EC66B0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73A133-225E-4F90-B887-15020D165CD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8AD3F98-C4D9-487F-A646-495F5B67380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482-49D5-99DE-7820EC66B067}"/>
                </c:ext>
              </c:extLst>
            </c:dLbl>
            <c:dLbl>
              <c:idx val="3"/>
              <c:layout>
                <c:manualLayout>
                  <c:x val="2.7777777777777779E-3"/>
                  <c:y val="5.1948051948051948E-3"/>
                </c:manualLayout>
              </c:layout>
              <c:tx>
                <c:rich>
                  <a:bodyPr/>
                  <a:lstStyle/>
                  <a:p>
                    <a:fld id="{0AE7DD16-1372-4818-A1D4-EB2FED0DEC1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C662185-169C-4151-8866-5F445512104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7482-49D5-99DE-7820EC66B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B.đồ!$C$60:$F$60</c:f>
              <c:numCache>
                <c:formatCode>#,##0.0,,,</c:formatCode>
                <c:ptCount val="4"/>
                <c:pt idx="0">
                  <c:v>1929375500.0000002</c:v>
                </c:pt>
                <c:pt idx="1">
                  <c:v>1929375500.0000002</c:v>
                </c:pt>
                <c:pt idx="2">
                  <c:v>1929375500.0000002</c:v>
                </c:pt>
                <c:pt idx="3">
                  <c:v>1929375500.0000002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B.đồ!$C$61:$F$61</c15:f>
                <c15:dlblRangeCache>
                  <c:ptCount val="4"/>
                  <c:pt idx="0">
                    <c:v>12%</c:v>
                  </c:pt>
                  <c:pt idx="1">
                    <c:v>11%</c:v>
                  </c:pt>
                  <c:pt idx="2">
                    <c:v>10%</c:v>
                  </c:pt>
                  <c:pt idx="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7482-49D5-99DE-7820EC66B067}"/>
            </c:ext>
          </c:extLst>
        </c:ser>
        <c:ser>
          <c:idx val="0"/>
          <c:order val="3"/>
          <c:tx>
            <c:strRef>
              <c:f>B.đồ!$B$58</c:f>
              <c:strCache>
                <c:ptCount val="1"/>
                <c:pt idx="0">
                  <c:v> Chi phí tài chính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401430637342099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482-49D5-99DE-7820EC66B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B.đồ!$C$58:$F$58</c:f>
              <c:numCache>
                <c:formatCode>#,##0,,</c:formatCode>
                <c:ptCount val="4"/>
                <c:pt idx="0">
                  <c:v>1087310294.0000002</c:v>
                </c:pt>
                <c:pt idx="1">
                  <c:v>1087310294.0000002</c:v>
                </c:pt>
                <c:pt idx="2">
                  <c:v>1087310294.0000002</c:v>
                </c:pt>
                <c:pt idx="3">
                  <c:v>1087310294.0000002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482-49D5-99DE-7820EC66B067}"/>
            </c:ext>
          </c:extLst>
        </c:ser>
        <c:ser>
          <c:idx val="3"/>
          <c:order val="4"/>
          <c:tx>
            <c:strRef>
              <c:f>B.đồ!$B$54</c:f>
              <c:strCache>
                <c:ptCount val="1"/>
                <c:pt idx="0">
                  <c:v> Định phí quản lý 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9E-3"/>
                  <c:y val="-2.0779220779220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82-49D5-99DE-7820EC66B067}"/>
                </c:ext>
              </c:extLst>
            </c:dLbl>
            <c:dLbl>
              <c:idx val="1"/>
              <c:layout>
                <c:manualLayout>
                  <c:x val="5.5555555555555558E-3"/>
                  <c:y val="-2.0779220779220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82-49D5-99DE-7820EC66B067}"/>
                </c:ext>
              </c:extLst>
            </c:dLbl>
            <c:dLbl>
              <c:idx val="2"/>
              <c:layout>
                <c:manualLayout>
                  <c:x val="2.777777777777676E-3"/>
                  <c:y val="-1.5584415584415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82-49D5-99DE-7820EC66B067}"/>
                </c:ext>
              </c:extLst>
            </c:dLbl>
            <c:dLbl>
              <c:idx val="3"/>
              <c:layout>
                <c:manualLayout>
                  <c:x val="8.3333333333332309E-3"/>
                  <c:y val="-5.19480519480521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82-49D5-99DE-7820EC66B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B.đồ!$C$54:$F$54</c:f>
              <c:numCache>
                <c:formatCode>#,##0.0,,,</c:formatCode>
                <c:ptCount val="4"/>
                <c:pt idx="0">
                  <c:v>1419613612</c:v>
                </c:pt>
                <c:pt idx="1">
                  <c:v>1419613612</c:v>
                </c:pt>
                <c:pt idx="2">
                  <c:v>1419613612</c:v>
                </c:pt>
                <c:pt idx="3">
                  <c:v>1419613612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82-49D5-99DE-7820EC66B0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0704656"/>
        <c:axId val="520710896"/>
      </c:barChart>
      <c:lineChart>
        <c:grouping val="standard"/>
        <c:varyColors val="0"/>
        <c:ser>
          <c:idx val="5"/>
          <c:order val="5"/>
          <c:tx>
            <c:strRef>
              <c:f>B.đồ!$B$62</c:f>
              <c:strCache>
                <c:ptCount val="1"/>
                <c:pt idx="0">
                  <c:v>Tổng Định phí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7958442694663182E-2"/>
                  <c:y val="-0.109623478883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482-49D5-99DE-7820EC66B067}"/>
                </c:ext>
              </c:extLst>
            </c:dLbl>
            <c:dLbl>
              <c:idx val="1"/>
              <c:layout>
                <c:manualLayout>
                  <c:x val="-6.2402887139107611E-2"/>
                  <c:y val="-0.10442867368851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482-49D5-99DE-7820EC66B067}"/>
                </c:ext>
              </c:extLst>
            </c:dLbl>
            <c:dLbl>
              <c:idx val="2"/>
              <c:layout>
                <c:manualLayout>
                  <c:x val="-6.2402887139107611E-2"/>
                  <c:y val="-0.104428673688516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482-49D5-99DE-7820EC66B067}"/>
                </c:ext>
              </c:extLst>
            </c:dLbl>
            <c:dLbl>
              <c:idx val="3"/>
              <c:layout>
                <c:manualLayout>
                  <c:x val="-6.2402887139107611E-2"/>
                  <c:y val="-8.364945290929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482-49D5-99DE-7820EC66B067}"/>
                </c:ext>
              </c:extLst>
            </c:dLbl>
            <c:spPr>
              <a:noFill/>
              <a:ln w="6350"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B.đồ!$C$62:$F$62</c:f>
              <c:numCache>
                <c:formatCode>#,##0.0,,,</c:formatCode>
                <c:ptCount val="4"/>
                <c:pt idx="0">
                  <c:v>15888228785.692307</c:v>
                </c:pt>
                <c:pt idx="1">
                  <c:v>18097274939.538464</c:v>
                </c:pt>
                <c:pt idx="2">
                  <c:v>19761649093.384617</c:v>
                </c:pt>
                <c:pt idx="3">
                  <c:v>20350295247.23077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482-49D5-99DE-7820EC66B0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8745903"/>
        <c:axId val="1628748303"/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At val="0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"/>
              <c:y val="4.25515901421413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crossAx val="520704656"/>
        <c:crosses val="autoZero"/>
        <c:crossBetween val="between"/>
      </c:valAx>
      <c:valAx>
        <c:axId val="1628748303"/>
        <c:scaling>
          <c:orientation val="minMax"/>
        </c:scaling>
        <c:delete val="1"/>
        <c:axPos val="r"/>
        <c:numFmt formatCode="#,##0.0,,," sourceLinked="1"/>
        <c:majorTickMark val="out"/>
        <c:minorTickMark val="none"/>
        <c:tickLblPos val="nextTo"/>
        <c:crossAx val="1628745903"/>
        <c:crosses val="max"/>
        <c:crossBetween val="between"/>
      </c:valAx>
      <c:catAx>
        <c:axId val="1628745903"/>
        <c:scaling>
          <c:orientation val="minMax"/>
        </c:scaling>
        <c:delete val="1"/>
        <c:axPos val="b"/>
        <c:majorTickMark val="out"/>
        <c:minorTickMark val="none"/>
        <c:tickLblPos val="nextTo"/>
        <c:crossAx val="1628748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986001749781276E-2"/>
          <c:y val="0.8940554248900705"/>
          <c:w val="0.88081977252843391"/>
          <c:h val="0.10594457510992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>
                <a:solidFill>
                  <a:srgbClr val="119303"/>
                </a:solidFill>
              </a:rPr>
              <a:t>Cơ cấu chi phí - Lợi nhuận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31188188976377951"/>
          <c:y val="4.06470467787271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89370078740158E-2"/>
          <c:y val="0.10644114940177932"/>
          <c:w val="0.92417125984251969"/>
          <c:h val="0.69997946597526839"/>
        </c:manualLayout>
      </c:layout>
      <c:barChart>
        <c:barDir val="col"/>
        <c:grouping val="stacked"/>
        <c:varyColors val="0"/>
        <c:ser>
          <c:idx val="3"/>
          <c:order val="1"/>
          <c:tx>
            <c:strRef>
              <c:f>B.đồ!$B$79</c:f>
              <c:strCache>
                <c:ptCount val="1"/>
                <c:pt idx="0">
                  <c:v>Lãi/ lỗ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1334408019993E-17"/>
                  <c:y val="4.2553191489361791E-2"/>
                </c:manualLayout>
              </c:layout>
              <c:tx>
                <c:rich>
                  <a:bodyPr/>
                  <a:lstStyle/>
                  <a:p>
                    <a:fld id="{C180FBFF-A8C9-4E3A-9C7B-900D2C3F61E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41C5EEC-A516-4AE2-A03A-EF9B1BC11D3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3B4-462F-BCF2-1A97D043C368}"/>
                </c:ext>
              </c:extLst>
            </c:dLbl>
            <c:dLbl>
              <c:idx val="1"/>
              <c:layout>
                <c:manualLayout>
                  <c:x val="0"/>
                  <c:y val="-3.7825059101654845E-2"/>
                </c:manualLayout>
              </c:layout>
              <c:tx>
                <c:rich>
                  <a:bodyPr/>
                  <a:lstStyle/>
                  <a:p>
                    <a:fld id="{D025CFE2-F929-481E-BDC6-DB33EBEA3A7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5B8BAAA-0CD1-4979-BAC3-01440368116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3B4-462F-BCF2-1A97D043C368}"/>
                </c:ext>
              </c:extLst>
            </c:dLbl>
            <c:dLbl>
              <c:idx val="2"/>
              <c:layout>
                <c:manualLayout>
                  <c:x val="8.3333333333333332E-3"/>
                  <c:y val="-3.7825059101654936E-2"/>
                </c:manualLayout>
              </c:layout>
              <c:tx>
                <c:rich>
                  <a:bodyPr/>
                  <a:lstStyle/>
                  <a:p>
                    <a:fld id="{59EC7C2B-0E6D-45CA-8B05-4BC31304B9EB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F919DBE-717D-4A3E-B2D8-8F51392E444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3B4-462F-BCF2-1A97D043C368}"/>
                </c:ext>
              </c:extLst>
            </c:dLbl>
            <c:dLbl>
              <c:idx val="3"/>
              <c:layout>
                <c:manualLayout>
                  <c:x val="2.7777777777777779E-3"/>
                  <c:y val="-3.7825059101654936E-2"/>
                </c:manualLayout>
              </c:layout>
              <c:tx>
                <c:rich>
                  <a:bodyPr/>
                  <a:lstStyle/>
                  <a:p>
                    <a:fld id="{C7A878DF-9513-41B1-BDB9-A460AB46D45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88B5B8C-BABD-40D1-8D63-9924F574D68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3B4-462F-BCF2-1A97D043C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B.đồ!$C$79:$F$79</c:f>
              <c:numCache>
                <c:formatCode>_(* #,##0_);_(* \(#,##0\);_(* "-"??_);_(@_)</c:formatCode>
                <c:ptCount val="4"/>
                <c:pt idx="0">
                  <c:v>-655.22969123418898</c:v>
                </c:pt>
                <c:pt idx="1">
                  <c:v>165.45889239504248</c:v>
                </c:pt>
                <c:pt idx="2">
                  <c:v>559.40287020889696</c:v>
                </c:pt>
                <c:pt idx="3">
                  <c:v>873.38310971106171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B.đồ!$C$80:$F$80</c15:f>
                <c15:dlblRangeCache>
                  <c:ptCount val="4"/>
                  <c:pt idx="0">
                    <c:v>-4.6%</c:v>
                  </c:pt>
                  <c:pt idx="1">
                    <c:v>1.2%</c:v>
                  </c:pt>
                  <c:pt idx="2">
                    <c:v>3.9%</c:v>
                  </c:pt>
                  <c:pt idx="3">
                    <c:v>6.1%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73B4-462F-BCF2-1A97D043C368}"/>
            </c:ext>
          </c:extLst>
        </c:ser>
        <c:ser>
          <c:idx val="1"/>
          <c:order val="2"/>
          <c:tx>
            <c:strRef>
              <c:f>B.đồ!$B$68</c:f>
              <c:strCache>
                <c:ptCount val="1"/>
                <c:pt idx="0">
                  <c:v>Giá mua B0</c:v>
                </c:pt>
              </c:strCache>
            </c:strRef>
          </c:tx>
          <c:spPr>
            <a:solidFill>
              <a:srgbClr val="00CC00"/>
            </a:solidFill>
            <a:ln>
              <a:solidFill>
                <a:srgbClr val="92D05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B4-462F-BCF2-1A97D043C36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54C0153-7CB9-40F8-A0D5-679A6D7B42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602746F-ED7B-450A-90A3-EFBBDFA6141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3B4-462F-BCF2-1A97D043C3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9ACA9C-1001-4939-BEAE-18921B63BA2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09BB0BD-4A3B-48E2-A066-427A451A396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3B4-462F-BCF2-1A97D043C36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D33DD9-AC5A-439E-8FF4-266DB2960F7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D8E0564-E48C-4FDB-BF63-1F55316EC0D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3B4-462F-BCF2-1A97D043C36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E18A08-051D-49FB-B511-A58E274A273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DA28183-B05A-4506-927A-4BEDC532AC0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3B4-462F-BCF2-1A97D043C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B.đồ!$C$44:$F$44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B.đồ!$C$68:$F$68</c:f>
              <c:numCache>
                <c:formatCode>_(* #,##0_);_(* \(#,##0\);_(* "-"??_);_(@_)</c:formatCode>
                <c:ptCount val="4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B.đồ!$C$69:$F$69</c15:f>
                <c15:dlblRangeCache>
                  <c:ptCount val="4"/>
                  <c:pt idx="0">
                    <c:v>70%</c:v>
                  </c:pt>
                  <c:pt idx="1">
                    <c:v>70%</c:v>
                  </c:pt>
                  <c:pt idx="2">
                    <c:v>70%</c:v>
                  </c:pt>
                  <c:pt idx="3">
                    <c:v>70%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73B4-462F-BCF2-1A97D043C368}"/>
            </c:ext>
          </c:extLst>
        </c:ser>
        <c:ser>
          <c:idx val="2"/>
          <c:order val="3"/>
          <c:tx>
            <c:strRef>
              <c:f>B.đồ!$B$72</c:f>
              <c:strCache>
                <c:ptCount val="1"/>
                <c:pt idx="0">
                  <c:v>Hao hụt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4.7281323877068557E-3"/>
                </c:manualLayout>
              </c:layout>
              <c:tx>
                <c:rich>
                  <a:bodyPr/>
                  <a:lstStyle/>
                  <a:p>
                    <a:fld id="{4C17022C-6807-419D-B1DA-1BEE0DC1E20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3E8FADF-9611-43DD-83D1-F95425BDD4A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3B4-462F-BCF2-1A97D043C368}"/>
                </c:ext>
              </c:extLst>
            </c:dLbl>
            <c:dLbl>
              <c:idx val="1"/>
              <c:layout>
                <c:manualLayout>
                  <c:x val="-2.7777777777777779E-3"/>
                  <c:y val="4.7281323877068557E-3"/>
                </c:manualLayout>
              </c:layout>
              <c:tx>
                <c:rich>
                  <a:bodyPr/>
                  <a:lstStyle/>
                  <a:p>
                    <a:fld id="{A9BFAEB6-BDCA-402C-B117-2A0FF00EBD0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EF3004F-1536-4460-8AFC-389114DBF86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3B4-462F-BCF2-1A97D043C368}"/>
                </c:ext>
              </c:extLst>
            </c:dLbl>
            <c:dLbl>
              <c:idx val="2"/>
              <c:layout>
                <c:manualLayout>
                  <c:x val="0"/>
                  <c:y val="9.4562647754137114E-3"/>
                </c:manualLayout>
              </c:layout>
              <c:tx>
                <c:rich>
                  <a:bodyPr/>
                  <a:lstStyle/>
                  <a:p>
                    <a:fld id="{DB953E85-A057-4DA0-8136-FED1E5147B1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5E9E1B7-8E8E-4F65-83AB-3B183B7EE97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3B4-462F-BCF2-1A97D043C368}"/>
                </c:ext>
              </c:extLst>
            </c:dLbl>
            <c:dLbl>
              <c:idx val="3"/>
              <c:layout>
                <c:manualLayout>
                  <c:x val="5.5555555555555558E-3"/>
                  <c:y val="4.7281323877068557E-3"/>
                </c:manualLayout>
              </c:layout>
              <c:tx>
                <c:rich>
                  <a:bodyPr/>
                  <a:lstStyle/>
                  <a:p>
                    <a:fld id="{C781E958-E744-4CAF-8034-18E57E0F4DD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65E7B4A-6D7B-4474-B5F7-3B717DA9A08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3B4-462F-BCF2-1A97D043C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B.đồ!$C$72:$F$72</c:f>
              <c:numCache>
                <c:formatCode>_(* #,##0_);_(* \(#,##0\);_(* "-"??_);_(@_)</c:formatCode>
                <c:ptCount val="4"/>
                <c:pt idx="0">
                  <c:v>822.51082251082335</c:v>
                </c:pt>
                <c:pt idx="1">
                  <c:v>822.51082251082335</c:v>
                </c:pt>
                <c:pt idx="2">
                  <c:v>822.51082251082335</c:v>
                </c:pt>
                <c:pt idx="3">
                  <c:v>822.51082251082335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B.đồ!$C$73:$F$73</c15:f>
                <c15:dlblRangeCache>
                  <c:ptCount val="4"/>
                  <c:pt idx="0">
                    <c:v>6%</c:v>
                  </c:pt>
                  <c:pt idx="1">
                    <c:v>6%</c:v>
                  </c:pt>
                  <c:pt idx="2">
                    <c:v>6%</c:v>
                  </c:pt>
                  <c:pt idx="3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73B4-462F-BCF2-1A97D043C368}"/>
            </c:ext>
          </c:extLst>
        </c:ser>
        <c:ser>
          <c:idx val="0"/>
          <c:order val="4"/>
          <c:tx>
            <c:strRef>
              <c:f>B.đồ!$B$74</c:f>
              <c:strCache>
                <c:ptCount val="1"/>
                <c:pt idx="0">
                  <c:v>Biến phí (SX+VC)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F5E4377-1575-41DE-B7DD-3157F24537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2AA23F0-F749-45FD-849A-7A004AD5D53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3B4-462F-BCF2-1A97D043C3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DA0640-DE01-4604-92BF-6AACEFE3755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514AFA3-AB6F-4D4A-A955-7F3D2741E7C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3B4-462F-BCF2-1A97D043C36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7202CA-DA57-4DF1-99CE-383B958F33B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B38A5F7-E149-4132-A295-514708BC972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3B4-462F-BCF2-1A97D043C368}"/>
                </c:ext>
              </c:extLst>
            </c:dLbl>
            <c:dLbl>
              <c:idx val="3"/>
              <c:layout>
                <c:manualLayout>
                  <c:x val="2.7777777777777779E-3"/>
                  <c:y val="-4.3340712878365935E-17"/>
                </c:manualLayout>
              </c:layout>
              <c:tx>
                <c:rich>
                  <a:bodyPr/>
                  <a:lstStyle/>
                  <a:p>
                    <a:fld id="{BBB2AF34-46CD-4984-B95A-3D3DDC7A2ED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1E2E463-5175-4F80-BE23-00AFF59FA94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3B4-462F-BCF2-1A97D043C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B.đồ!$C$74:$F$74</c:f>
              <c:numCache>
                <c:formatCode>_(* #,##0_);_(* \(#,##0\);_(* "-"??_);_(@_)</c:formatCode>
                <c:ptCount val="4"/>
                <c:pt idx="0">
                  <c:v>523.1434751239085</c:v>
                </c:pt>
                <c:pt idx="1">
                  <c:v>523.14347512391032</c:v>
                </c:pt>
                <c:pt idx="2">
                  <c:v>523.1434751239085</c:v>
                </c:pt>
                <c:pt idx="3">
                  <c:v>523.1434751239085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B.đồ!$C$75:$F$75</c15:f>
                <c15:dlblRangeCache>
                  <c:ptCount val="4"/>
                  <c:pt idx="0">
                    <c:v>4%</c:v>
                  </c:pt>
                  <c:pt idx="1">
                    <c:v>4%</c:v>
                  </c:pt>
                  <c:pt idx="2">
                    <c:v>4%</c:v>
                  </c:pt>
                  <c:pt idx="3">
                    <c:v>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73B4-462F-BCF2-1A97D043C368}"/>
            </c:ext>
          </c:extLst>
        </c:ser>
        <c:ser>
          <c:idx val="4"/>
          <c:order val="5"/>
          <c:tx>
            <c:strRef>
              <c:f>B.đồ!$B$76</c:f>
              <c:strCache>
                <c:ptCount val="1"/>
                <c:pt idx="0">
                  <c:v>Định phí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4184397163120567E-2"/>
                </c:manualLayout>
              </c:layout>
              <c:tx>
                <c:rich>
                  <a:bodyPr/>
                  <a:lstStyle/>
                  <a:p>
                    <a:fld id="{04929F85-5900-4390-81CB-0BD353DF9DC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64C2860-0164-4F86-915F-E294FB6F8AD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73B4-462F-BCF2-1A97D043C368}"/>
                </c:ext>
              </c:extLst>
            </c:dLbl>
            <c:dLbl>
              <c:idx val="1"/>
              <c:layout>
                <c:manualLayout>
                  <c:x val="-2.7777777777777779E-3"/>
                  <c:y val="-1.4184397163120567E-2"/>
                </c:manualLayout>
              </c:layout>
              <c:tx>
                <c:rich>
                  <a:bodyPr/>
                  <a:lstStyle/>
                  <a:p>
                    <a:fld id="{BC8DBBFF-2AE3-403D-B5DC-EE4E14D1A50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B47C3C3-993F-4BD8-8809-F2F805E0671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73B4-462F-BCF2-1A97D043C368}"/>
                </c:ext>
              </c:extLst>
            </c:dLbl>
            <c:dLbl>
              <c:idx val="2"/>
              <c:layout>
                <c:manualLayout>
                  <c:x val="-2.7777777777777779E-3"/>
                  <c:y val="-9.4562647754137114E-3"/>
                </c:manualLayout>
              </c:layout>
              <c:tx>
                <c:rich>
                  <a:bodyPr/>
                  <a:lstStyle/>
                  <a:p>
                    <a:fld id="{91BD70CF-92F4-4328-9EE7-3876A7F3F58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29BDD4B-AEE5-4B11-82D2-40306554FF1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73B4-462F-BCF2-1A97D043C368}"/>
                </c:ext>
              </c:extLst>
            </c:dLbl>
            <c:dLbl>
              <c:idx val="3"/>
              <c:layout>
                <c:manualLayout>
                  <c:x val="2.777777777777676E-3"/>
                  <c:y val="0"/>
                </c:manualLayout>
              </c:layout>
              <c:tx>
                <c:rich>
                  <a:bodyPr/>
                  <a:lstStyle/>
                  <a:p>
                    <a:fld id="{31271FF5-3ECE-4176-9D81-EDC7A91F99D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858E71F-4AE7-4E40-A48F-D924161B9ED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73B4-462F-BCF2-1A97D043C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B.đồ!$C$76:$F$76</c:f>
              <c:numCache>
                <c:formatCode>_(* #,##0_);_(* \(#,##0\);_(* "-"??_);_(@_)</c:formatCode>
                <c:ptCount val="4"/>
                <c:pt idx="0">
                  <c:v>3582.3026663267292</c:v>
                </c:pt>
                <c:pt idx="1">
                  <c:v>2720.2493595987353</c:v>
                </c:pt>
                <c:pt idx="2">
                  <c:v>2227.819387331419</c:v>
                </c:pt>
                <c:pt idx="3">
                  <c:v>1835.3440879537131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B.đồ!$C$77:$F$77</c15:f>
                <c15:dlblRangeCache>
                  <c:ptCount val="4"/>
                  <c:pt idx="0">
                    <c:v>25%</c:v>
                  </c:pt>
                  <c:pt idx="1">
                    <c:v>19%</c:v>
                  </c:pt>
                  <c:pt idx="2">
                    <c:v>16%</c:v>
                  </c:pt>
                  <c:pt idx="3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73B4-462F-BCF2-1A97D043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704656"/>
        <c:axId val="520710896"/>
      </c:barChart>
      <c:lineChart>
        <c:grouping val="standard"/>
        <c:varyColors val="0"/>
        <c:ser>
          <c:idx val="5"/>
          <c:order val="0"/>
          <c:tx>
            <c:strRef>
              <c:f>B.đồ!$B$67</c:f>
              <c:strCache>
                <c:ptCount val="1"/>
                <c:pt idx="0">
                  <c:v>Giá bán</c:v>
                </c:pt>
              </c:strCache>
            </c:strRef>
          </c:tx>
          <c:spPr>
            <a:ln w="1270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 w="6350"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B.đồ!$C$67:$F$67</c:f>
              <c:numCache>
                <c:formatCode>_(* #,##0_);_(* \(#,##0\);_(* "-"??_);_(@_)</c:formatCode>
                <c:ptCount val="4"/>
                <c:pt idx="0">
                  <c:v>14272.727272727272</c:v>
                </c:pt>
                <c:pt idx="1">
                  <c:v>14272.727272727272</c:v>
                </c:pt>
                <c:pt idx="2">
                  <c:v>14272.727272727272</c:v>
                </c:pt>
                <c:pt idx="3">
                  <c:v>14272.727272727272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3B4-462F-BCF2-1A97D043C3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8745903"/>
        <c:axId val="1628748303"/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At val="0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 baseline="0"/>
                  <a:t>Đồng/ Kg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"/>
              <c:y val="4.25515901421413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crossAx val="520704656"/>
        <c:crosses val="autoZero"/>
        <c:crossBetween val="between"/>
      </c:valAx>
      <c:valAx>
        <c:axId val="1628748303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1628745903"/>
        <c:crosses val="max"/>
        <c:crossBetween val="between"/>
      </c:valAx>
      <c:catAx>
        <c:axId val="1628745903"/>
        <c:scaling>
          <c:orientation val="minMax"/>
        </c:scaling>
        <c:delete val="1"/>
        <c:axPos val="b"/>
        <c:majorTickMark val="out"/>
        <c:minorTickMark val="none"/>
        <c:tickLblPos val="nextTo"/>
        <c:crossAx val="1628748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763779527559057E-2"/>
          <c:y val="0.90453218527540158"/>
          <c:w val="0.91638888888888881"/>
          <c:h val="9.5467814724598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>
                <a:solidFill>
                  <a:srgbClr val="119303"/>
                </a:solidFill>
              </a:rPr>
              <a:t>GAP (Giá bán - giá mua)</a:t>
            </a:r>
            <a:endParaRPr lang="en-US" sz="110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14804838669614248"/>
          <c:y val="4.064703868538171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68998236419136E-3"/>
          <c:y val="0.20904038842719719"/>
          <c:w val="0.98310986363297659"/>
          <c:h val="0.76541937692571038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B.đồ!$B$89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2534340147544649E-3"/>
                  <c:y val="-0.1925477576172543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FC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56F2D1-D414-4852-ABCB-07923363862B}" type="CELLRANGE">
                      <a:rPr lang="en-US" sz="1200" baseline="0"/>
                      <a:pPr>
                        <a:defRPr sz="1200" b="1">
                          <a:solidFill>
                            <a:srgbClr val="FFC000"/>
                          </a:solidFill>
                        </a:defRPr>
                      </a:pPr>
                      <a:t>[CELLRANGE]</a:t>
                    </a:fld>
                    <a:r>
                      <a:rPr lang="en-US" sz="1200" baseline="0"/>
                      <a:t> </a:t>
                    </a:r>
                    <a:fld id="{3CE93109-49CA-4C32-B4BC-02D9D7CA4818}" type="SERIESNAME">
                      <a:rPr lang="en-US" sz="1200" baseline="0"/>
                      <a:pPr>
                        <a:defRPr sz="1200" b="1">
                          <a:solidFill>
                            <a:srgbClr val="FFC000"/>
                          </a:solidFill>
                        </a:defRPr>
                      </a:pPr>
                      <a:t>[SERIES NAME]</a:t>
                    </a:fld>
                    <a:r>
                      <a:rPr lang="en-US" sz="1200" baseline="0"/>
                      <a:t> </a:t>
                    </a:r>
                    <a:fld id="{B664D021-EC88-4004-8D7A-9D5EEBEA2B4C}" type="VALUE">
                      <a:rPr lang="en-US" sz="1200" baseline="0"/>
                      <a:pPr>
                        <a:defRPr sz="1200" b="1">
                          <a:solidFill>
                            <a:srgbClr val="FFC000"/>
                          </a:solidFill>
                        </a:defRPr>
                      </a:pPr>
                      <a:t>[VALUE]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9426444645239"/>
                      <c:h val="0.1527186761229314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E770-4AA2-B467-26C002B35F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B.đồ!$C$86</c:f>
              <c:strCache>
                <c:ptCount val="1"/>
                <c:pt idx="0">
                  <c:v>Đồng/kg</c:v>
                </c:pt>
              </c:strCache>
            </c:strRef>
          </c:cat>
          <c:val>
            <c:numRef>
              <c:f>B.đồ!$C$89</c:f>
              <c:numCache>
                <c:formatCode>_(* #,##0_);_(* \(#,##0\);_(* "-"??_);_(@_)</c:formatCode>
                <c:ptCount val="1"/>
                <c:pt idx="0">
                  <c:v>4272.7272727272721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B.đồ!$C$71</c15:f>
                <c15:dlblRangeCache>
                  <c:ptCount val="1"/>
                  <c:pt idx="0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E770-4AA2-B467-26C002B35F9C}"/>
            </c:ext>
          </c:extLst>
        </c:ser>
        <c:ser>
          <c:idx val="0"/>
          <c:order val="2"/>
          <c:tx>
            <c:strRef>
              <c:f>B.đồ!$B$87</c:f>
              <c:strCache>
                <c:ptCount val="1"/>
                <c:pt idx="0">
                  <c:v>Giá bán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890633150351763E-3"/>
                  <c:y val="2.87492297158507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sng" strike="noStrike" kern="1200" baseline="0">
                      <a:solidFill>
                        <a:srgbClr val="0066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7495168782135675"/>
                      <c:h val="0.11806162273194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5-E770-4AA2-B467-26C002B35F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B.đồ!$C$86</c:f>
              <c:strCache>
                <c:ptCount val="1"/>
                <c:pt idx="0">
                  <c:v>Đồng/kg</c:v>
                </c:pt>
              </c:strCache>
            </c:strRef>
          </c:cat>
          <c:val>
            <c:numRef>
              <c:f>B.đồ!$C$87</c:f>
              <c:numCache>
                <c:formatCode>_(* #,##0_);_(* \(#,##0\);_(* "-"??_);_(@_)</c:formatCode>
                <c:ptCount val="1"/>
                <c:pt idx="0">
                  <c:v>14272.727272727272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770-4AA2-B467-26C002B3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100"/>
        <c:axId val="520704656"/>
        <c:axId val="520710896"/>
      </c:barChart>
      <c:barChart>
        <c:barDir val="col"/>
        <c:grouping val="clustered"/>
        <c:varyColors val="0"/>
        <c:ser>
          <c:idx val="1"/>
          <c:order val="0"/>
          <c:tx>
            <c:strRef>
              <c:f>B.đồ!$B$88</c:f>
              <c:strCache>
                <c:ptCount val="1"/>
                <c:pt idx="0">
                  <c:v>Giá mua B0</c:v>
                </c:pt>
              </c:strCache>
            </c:strRef>
          </c:tx>
          <c:spPr>
            <a:solidFill>
              <a:srgbClr val="00CC00"/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E770-4AA2-B467-26C002B35F9C}"/>
              </c:ext>
            </c:extLst>
          </c:dPt>
          <c:dLbls>
            <c:dLbl>
              <c:idx val="0"/>
              <c:layout>
                <c:manualLayout>
                  <c:x val="2.8058322362701509E-3"/>
                  <c:y val="0.1813551865799382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8493573264781481"/>
                      <c:h val="0.17000018614694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E770-4AA2-B467-26C002B35F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B.đồ!$C$86</c:f>
              <c:strCache>
                <c:ptCount val="1"/>
                <c:pt idx="0">
                  <c:v>Đồng/kg</c:v>
                </c:pt>
              </c:strCache>
            </c:strRef>
          </c:cat>
          <c:val>
            <c:numRef>
              <c:f>B.đồ!$C$88</c:f>
              <c:numCache>
                <c:formatCode>_(* #,##0_);_(* \(#,##0\);_(* "-"??_);_(@_)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770-4AA2-B467-26C002B3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100"/>
        <c:axId val="51480832"/>
        <c:axId val="51474592"/>
      </c:barChart>
      <c:catAx>
        <c:axId val="52070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710896"/>
        <c:crossesAt val="0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 baseline="0"/>
                  <a:t>Đồng/ Kg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.79619364614123544"/>
              <c:y val="9.81999315302978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crossAx val="520704656"/>
        <c:crosses val="autoZero"/>
        <c:crossBetween val="between"/>
      </c:valAx>
      <c:valAx>
        <c:axId val="51474592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51480832"/>
        <c:crosses val="max"/>
        <c:crossBetween val="between"/>
      </c:valAx>
      <c:catAx>
        <c:axId val="51480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474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19303"/>
                </a:solidFill>
              </a:rPr>
              <a:t>Giá</a:t>
            </a:r>
            <a:r>
              <a:rPr lang="en-US" baseline="0">
                <a:solidFill>
                  <a:srgbClr val="119303"/>
                </a:solidFill>
              </a:rPr>
              <a:t> trị đầu tư - Chuyền phân loại chai AI</a:t>
            </a:r>
            <a:endParaRPr lang="en-US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20077077865266843"/>
          <c:y val="9.259433479905921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70603674540683"/>
          <c:y val="0.17397361693424684"/>
          <c:w val="0.86905993096327872"/>
          <c:h val="0.729282510082486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B.đồ!$B$5</c:f>
              <c:strCache>
                <c:ptCount val="1"/>
                <c:pt idx="0">
                  <c:v>Chuyền phân loại chai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A31-4468-810A-A2664E217FB9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31-4468-810A-A2664E217FB9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A31-4468-810A-A2664E217FB9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31-4468-810A-A2664E217FB9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A31-4468-810A-A2664E217FB9}"/>
              </c:ext>
            </c:extLst>
          </c:dPt>
          <c:dLbls>
            <c:dLbl>
              <c:idx val="0"/>
              <c:layout>
                <c:manualLayout>
                  <c:x val="2.7651266580417939E-3"/>
                  <c:y val="-0.407154689563318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31-4468-810A-A2664E217FB9}"/>
                </c:ext>
              </c:extLst>
            </c:dLbl>
            <c:dLbl>
              <c:idx val="1"/>
              <c:layout>
                <c:manualLayout>
                  <c:x val="0"/>
                  <c:y val="-0.28861598247526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31-4468-810A-A2664E217FB9}"/>
                </c:ext>
              </c:extLst>
            </c:dLbl>
            <c:dLbl>
              <c:idx val="2"/>
              <c:layout>
                <c:manualLayout>
                  <c:x val="-2.7651266580417939E-3"/>
                  <c:y val="-0.128846420747885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31-4468-810A-A2664E217FB9}"/>
                </c:ext>
              </c:extLst>
            </c:dLbl>
            <c:dLbl>
              <c:idx val="3"/>
              <c:layout>
                <c:manualLayout>
                  <c:x val="0"/>
                  <c:y val="-0.128846420747885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31-4468-810A-A2664E217FB9}"/>
                </c:ext>
              </c:extLst>
            </c:dLbl>
            <c:dLbl>
              <c:idx val="4"/>
              <c:layout>
                <c:manualLayout>
                  <c:x val="0"/>
                  <c:y val="-0.139154134407716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31-4468-810A-A2664E217F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B.đồ!$C$3:$G$3</c:f>
              <c:strCache>
                <c:ptCount val="5"/>
                <c:pt idx="0">
                  <c:v>Tổng</c:v>
                </c:pt>
                <c:pt idx="1">
                  <c:v>1.MMTB chính</c:v>
                </c:pt>
                <c:pt idx="2">
                  <c:v>2.Điện, hơi</c:v>
                </c:pt>
                <c:pt idx="3">
                  <c:v>3.Thiết bị SX</c:v>
                </c:pt>
                <c:pt idx="4">
                  <c:v>4.Thiết bị QL</c:v>
                </c:pt>
              </c:strCache>
            </c:strRef>
          </c:cat>
          <c:val>
            <c:numRef>
              <c:f>B.đồ!$C$5:$G$5</c:f>
              <c:numCache>
                <c:formatCode>#,##0.0,,,</c:formatCode>
                <c:ptCount val="5"/>
                <c:pt idx="0">
                  <c:v>22190006000</c:v>
                </c:pt>
                <c:pt idx="1">
                  <c:v>16230006000</c:v>
                </c:pt>
                <c:pt idx="2">
                  <c:v>4035000000</c:v>
                </c:pt>
                <c:pt idx="3">
                  <c:v>1724000000</c:v>
                </c:pt>
                <c:pt idx="4">
                  <c:v>201000000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8-4774-9979-A1FA648C4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704656"/>
        <c:axId val="5207108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B.đồ!$B$6</c15:sqref>
                        </c15:formulaRef>
                      </c:ext>
                    </c:extLst>
                    <c:strCache>
                      <c:ptCount val="1"/>
                      <c:pt idx="0">
                        <c:v>Chuyền băm vảy</c:v>
                      </c:pt>
                    </c:strCache>
                  </c:strRef>
                </c:tx>
                <c:spPr>
                  <a:solidFill>
                    <a:srgbClr val="169B2F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7.7777777777777779E-2"/>
                        <c:y val="1.03896103896103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D8A8-4774-9979-A1FA648C4FD5}"/>
                      </c:ext>
                    </c:extLst>
                  </c:dLbl>
                  <c:dLbl>
                    <c:idx val="2"/>
                    <c:layout>
                      <c:manualLayout>
                        <c:x val="-2.7777777777777779E-3"/>
                        <c:y val="5.19480519480519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D8A8-4774-9979-A1FA648C4FD5}"/>
                      </c:ext>
                    </c:extLst>
                  </c:dLbl>
                  <c:dLbl>
                    <c:idx val="3"/>
                    <c:layout>
                      <c:manualLayout>
                        <c:x val="-2.7777777777777779E-3"/>
                        <c:y val="3.116883116883116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8.259733158355205E-2"/>
                            <c:h val="7.8987217506902546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10-D8A8-4774-9979-A1FA648C4FD5}"/>
                      </c:ext>
                    </c:extLst>
                  </c:dLbl>
                  <c:dLbl>
                    <c:idx val="4"/>
                    <c:layout>
                      <c:manualLayout>
                        <c:x val="0"/>
                        <c:y val="4.675324675324680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329-41FB-BAB6-6E44E9D0869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B.đồ!$C$3:$G$3</c15:sqref>
                        </c15:formulaRef>
                      </c:ext>
                    </c:extLst>
                    <c:strCache>
                      <c:ptCount val="5"/>
                      <c:pt idx="0">
                        <c:v>Tổng</c:v>
                      </c:pt>
                      <c:pt idx="1">
                        <c:v>1.MMTB chính</c:v>
                      </c:pt>
                      <c:pt idx="2">
                        <c:v>2.Điện, hơi</c:v>
                      </c:pt>
                      <c:pt idx="3">
                        <c:v>3.Thiết bị SX</c:v>
                      </c:pt>
                      <c:pt idx="4">
                        <c:v>4.Thiết bị QL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B.đồ!$C$6:$G$6</c15:sqref>
                        </c15:formulaRef>
                      </c:ext>
                    </c:extLst>
                    <c:numCache>
                      <c:formatCode>#,##0.0,,,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8A8-4774-9979-A1FA648C4FD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704656"/>
        <c:axId val="52071089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B.đồ!$B$7</c15:sqref>
                        </c15:formulaRef>
                      </c:ext>
                    </c:extLst>
                    <c:strCache>
                      <c:ptCount val="1"/>
                      <c:pt idx="0">
                        <c:v>Tổng đầu tư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2944444444444447E-2"/>
                        <c:y val="-0.1064546477144903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D8A8-4774-9979-A1FA648C4FD5}"/>
                      </c:ext>
                    </c:extLst>
                  </c:dLbl>
                  <c:dLbl>
                    <c:idx val="2"/>
                    <c:layout>
                      <c:manualLayout>
                        <c:x val="-4.4611111111111164E-2"/>
                        <c:y val="-7.528581654565906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D8A8-4774-9979-A1FA648C4FD5}"/>
                      </c:ext>
                    </c:extLst>
                  </c:dLbl>
                  <c:dLbl>
                    <c:idx val="3"/>
                    <c:layout>
                      <c:manualLayout>
                        <c:x val="-4.738888888888889E-2"/>
                        <c:y val="-7.528581654565906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D8A8-4774-9979-A1FA648C4FD5}"/>
                      </c:ext>
                    </c:extLst>
                  </c:dLbl>
                  <c:dLbl>
                    <c:idx val="4"/>
                    <c:layout>
                      <c:manualLayout>
                        <c:x val="-4.4611111111111212E-2"/>
                        <c:y val="-6.489620615604867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329-41FB-BAB6-6E44E9D08697}"/>
                      </c:ext>
                    </c:extLst>
                  </c:dLbl>
                  <c:spPr>
                    <a:solidFill>
                      <a:srgbClr val="FFC000">
                        <a:alpha val="42000"/>
                      </a:srgbClr>
                    </a:solidFill>
                    <a:ln w="6350">
                      <a:solidFill>
                        <a:srgbClr val="FFC000"/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0066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B.đồ!$C$12:$F$12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B.đồ!$C$7:$G$7</c15:sqref>
                        </c15:formulaRef>
                      </c:ext>
                    </c:extLst>
                    <c:numCache>
                      <c:formatCode>#,##0.0,,,</c:formatCode>
                      <c:ptCount val="5"/>
                      <c:pt idx="0">
                        <c:v>22190006000</c:v>
                      </c:pt>
                      <c:pt idx="1">
                        <c:v>16230006000</c:v>
                      </c:pt>
                      <c:pt idx="2">
                        <c:v>4035000000</c:v>
                      </c:pt>
                      <c:pt idx="3">
                        <c:v>1724000000</c:v>
                      </c:pt>
                      <c:pt idx="4">
                        <c:v>201000000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8A8-4774-9979-A1FA648C4FD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53135"/>
        <c:axId val="18785649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B.đồ!$B$4</c15:sqref>
                        </c15:formulaRef>
                      </c:ext>
                    </c:extLst>
                    <c:strCache>
                      <c:ptCount val="1"/>
                      <c:pt idx="0">
                        <c:v>Công suất thiết kế</c:v>
                      </c:pt>
                    </c:strCache>
                  </c:strRef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4.4736220472440968E-2"/>
                        <c:y val="1.03896103896103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D8A8-4774-9979-A1FA648C4FD5}"/>
                      </c:ext>
                    </c:extLst>
                  </c:dLbl>
                  <c:dLbl>
                    <c:idx val="3"/>
                    <c:layout>
                      <c:manualLayout>
                        <c:x val="-5.8020997375328086E-2"/>
                        <c:y val="1.03896103896103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329-41FB-BAB6-6E44E9D08697}"/>
                      </c:ext>
                    </c:extLst>
                  </c:dLbl>
                  <c:spPr>
                    <a:solidFill>
                      <a:srgbClr val="FFC000">
                        <a:alpha val="45000"/>
                      </a:srgbClr>
                    </a:solidFill>
                    <a:ln w="9525">
                      <a:solidFill>
                        <a:srgbClr val="FFC000"/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rgbClr val="FFFF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B.đồ!$C$12:$F$12</c15:sqref>
                        </c15:formulaRef>
                      </c:ext>
                    </c:extLst>
                    <c:strCache>
                      <c:ptCount val="4"/>
                      <c:pt idx="0">
                        <c:v>H.S 40%</c:v>
                      </c:pt>
                      <c:pt idx="1">
                        <c:v>H.S 60%</c:v>
                      </c:pt>
                      <c:pt idx="2">
                        <c:v>H.S 80%</c:v>
                      </c:pt>
                      <c:pt idx="3">
                        <c:v>H.S 100%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B.đồ!$C$4:$G$4</c15:sqref>
                        </c15:formulaRef>
                      </c:ext>
                    </c:extLst>
                    <c:numCache>
                      <c:formatCode>#,###,</c:formatCode>
                      <c:ptCount val="5"/>
                      <c:pt idx="0">
                        <c:v>1000000</c:v>
                      </c:pt>
                      <c:pt idx="1">
                        <c:v>1000000</c:v>
                      </c:pt>
                      <c:pt idx="2">
                        <c:v>1000000</c:v>
                      </c:pt>
                      <c:pt idx="3">
                        <c:v>1000000</c:v>
                      </c:pt>
                      <c:pt idx="4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8A8-4774-9979-A1FA648C4FD5}"/>
                  </c:ext>
                </c:extLst>
              </c15:ser>
            </c15:filteredLineSeries>
          </c:ext>
        </c:extLst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 val="autoZero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8.3333333333333332E-3"/>
              <c:y val="4.927415891195418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4656"/>
        <c:crosses val="autoZero"/>
        <c:crossBetween val="between"/>
      </c:valAx>
      <c:valAx>
        <c:axId val="187856495"/>
        <c:scaling>
          <c:orientation val="minMax"/>
        </c:scaling>
        <c:delete val="0"/>
        <c:axPos val="r"/>
        <c:numFmt formatCode="#,###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3135"/>
        <c:crosses val="max"/>
        <c:crossBetween val="between"/>
      </c:valAx>
      <c:catAx>
        <c:axId val="187853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856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1100" b="0" baseline="0">
                <a:solidFill>
                  <a:srgbClr val="119303"/>
                </a:solidFill>
              </a:rPr>
              <a:t>Hiệu quả đầu tư</a:t>
            </a:r>
            <a:endParaRPr lang="en-US" sz="1100" b="0">
              <a:solidFill>
                <a:srgbClr val="119303"/>
              </a:solidFill>
            </a:endParaRPr>
          </a:p>
        </c:rich>
      </c:tx>
      <c:layout>
        <c:manualLayout>
          <c:xMode val="edge"/>
          <c:yMode val="edge"/>
          <c:x val="0.39469988958573304"/>
          <c:y val="4.06463905634287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20925844214172"/>
          <c:y val="0.11832263759502842"/>
          <c:w val="0.56333836492507416"/>
          <c:h val="0.590893994685454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B.đồ!$B$102</c:f>
              <c:strCache>
                <c:ptCount val="1"/>
                <c:pt idx="0">
                  <c:v>NPV (tỷ đồng)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5505614808935185E-3"/>
                  <c:y val="1.6229119384980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9F-4B78-9F0F-572DF3231479}"/>
                </c:ext>
              </c:extLst>
            </c:dLbl>
            <c:dLbl>
              <c:idx val="1"/>
              <c:layout>
                <c:manualLayout>
                  <c:x val="2.148876333201033E-2"/>
                  <c:y val="4.05727984624506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9F-4B78-9F0F-572DF3231479}"/>
                </c:ext>
              </c:extLst>
            </c:dLbl>
            <c:dLbl>
              <c:idx val="2"/>
              <c:layout>
                <c:manualLayout>
                  <c:x val="4.7752807404467593E-3"/>
                  <c:y val="4.05727984624506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9F-4B78-9F0F-572DF3231479}"/>
                </c:ext>
              </c:extLst>
            </c:dLbl>
            <c:dLbl>
              <c:idx val="3"/>
              <c:layout>
                <c:manualLayout>
                  <c:x val="6.207864962580787E-2"/>
                  <c:y val="3.98982002634681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9F-4B78-9F0F-572DF3231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B.đồ!$C$36:$F$36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B.đồ!$C$102:$F$102</c:f>
              <c:numCache>
                <c:formatCode>#,###.0,,,</c:formatCode>
                <c:ptCount val="4"/>
                <c:pt idx="0">
                  <c:v>-22966054353.202</c:v>
                </c:pt>
                <c:pt idx="1">
                  <c:v>11981477722.092436</c:v>
                </c:pt>
                <c:pt idx="2">
                  <c:v>45660160868.842697</c:v>
                </c:pt>
                <c:pt idx="3">
                  <c:v>86844817222.756668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69F-4B78-9F0F-572DF3231479}"/>
            </c:ext>
          </c:extLst>
        </c:ser>
        <c:ser>
          <c:idx val="3"/>
          <c:order val="1"/>
          <c:tx>
            <c:strRef>
              <c:f>B.đồ!$B$104</c:f>
              <c:strCache>
                <c:ptCount val="1"/>
                <c:pt idx="0">
                  <c:v>Thời gian hoàn vốn (năm)_1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7.162921110670138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9F-4B78-9F0F-572DF3231479}"/>
                </c:ext>
              </c:extLst>
            </c:dLbl>
            <c:dLbl>
              <c:idx val="2"/>
              <c:layout>
                <c:manualLayout>
                  <c:x val="7.162921110670226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9F-4B78-9F0F-572DF3231479}"/>
                </c:ext>
              </c:extLst>
            </c:dLbl>
            <c:dLbl>
              <c:idx val="3"/>
              <c:layout>
                <c:manualLayout>
                  <c:x val="7.1629211106703141E-3"/>
                  <c:y val="-7.438260457363088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9F-4B78-9F0F-572DF3231479}"/>
                </c:ext>
              </c:extLst>
            </c:dLbl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B.đồ!$C$36:$F$36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B.đồ!$C$104:$F$104</c:f>
              <c:numCache>
                <c:formatCode>#,##0.0</c:formatCode>
                <c:ptCount val="4"/>
                <c:pt idx="0">
                  <c:v>#N/A</c:v>
                </c:pt>
                <c:pt idx="1">
                  <c:v>9.4228130233318907</c:v>
                </c:pt>
                <c:pt idx="2">
                  <c:v>3.8089478270301975</c:v>
                </c:pt>
                <c:pt idx="3">
                  <c:v>2.1618267813785481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9F-4B78-9F0F-572DF3231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0704656"/>
        <c:axId val="520710896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B.đồ!$B$105</c15:sqref>
                        </c15:formulaRef>
                      </c:ext>
                    </c:extLst>
                    <c:strCache>
                      <c:ptCount val="1"/>
                      <c:pt idx="0">
                        <c:v>Thời gian hoàn vốn (năm)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B.đồ!$C$105:$F$105</c15:sqref>
                        </c15:formulaRef>
                      </c:ext>
                    </c:extLst>
                    <c:numCache>
                      <c:formatCode>#,###.0,,,</c:formatCode>
                      <c:ptCount val="4"/>
                      <c:pt idx="0">
                        <c:v>#N/A</c:v>
                      </c:pt>
                      <c:pt idx="1">
                        <c:v>13179625503.724493</c:v>
                      </c:pt>
                      <c:pt idx="2">
                        <c:v>50226176959.535919</c:v>
                      </c:pt>
                      <c:pt idx="3">
                        <c:v>95529298947.194168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69F-4B78-9F0F-572DF323147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3"/>
          <c:tx>
            <c:strRef>
              <c:f>B.đồ!$B$103</c:f>
              <c:strCache>
                <c:ptCount val="1"/>
                <c:pt idx="0">
                  <c:v>IRR</c:v>
                </c:pt>
              </c:strCache>
            </c:strRef>
          </c:tx>
          <c:spPr>
            <a:ln w="19050" cap="sq">
              <a:solidFill>
                <a:srgbClr val="00B050"/>
              </a:solidFill>
              <a:bevel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34630072725274E-2"/>
                  <c:y val="-0.171724209756895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9F-4B78-9F0F-572DF3231479}"/>
                </c:ext>
              </c:extLst>
            </c:dLbl>
            <c:dLbl>
              <c:idx val="1"/>
              <c:layout>
                <c:manualLayout>
                  <c:x val="-7.383787245074748E-2"/>
                  <c:y val="-7.6378133370136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9F-4B78-9F0F-572DF3231479}"/>
                </c:ext>
              </c:extLst>
            </c:dLbl>
            <c:dLbl>
              <c:idx val="2"/>
              <c:layout>
                <c:manualLayout>
                  <c:x val="-6.9062591710300644E-2"/>
                  <c:y val="-6.8263573677646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9F-4B78-9F0F-572DF3231479}"/>
                </c:ext>
              </c:extLst>
            </c:dLbl>
            <c:dLbl>
              <c:idx val="3"/>
              <c:layout>
                <c:manualLayout>
                  <c:x val="-5.5930569674072048E-2"/>
                  <c:y val="-7.0292213600768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9F-4B78-9F0F-572DF3231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B.đồ!$C$36:$F$36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B.đồ!$C$103:$F$103</c:f>
              <c:numCache>
                <c:formatCode>0.0%</c:formatCode>
                <c:ptCount val="4"/>
                <c:pt idx="0">
                  <c:v>-0.18098752025544773</c:v>
                </c:pt>
                <c:pt idx="1">
                  <c:v>0.1530092538355714</c:v>
                </c:pt>
                <c:pt idx="2">
                  <c:v>0.32611480198312059</c:v>
                </c:pt>
                <c:pt idx="3">
                  <c:v>0.534343907675489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F69F-4B78-9F0F-572DF3231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1728319"/>
        <c:axId val="321744639"/>
      </c:lineChart>
      <c:catAx>
        <c:axId val="5207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0896"/>
        <c:crossesAt val="0"/>
        <c:auto val="1"/>
        <c:lblAlgn val="ctr"/>
        <c:lblOffset val="100"/>
        <c:noMultiLvlLbl val="0"/>
      </c:catAx>
      <c:valAx>
        <c:axId val="520710896"/>
        <c:scaling>
          <c:orientation val="minMax"/>
        </c:scaling>
        <c:delete val="0"/>
        <c:axPos val="l"/>
        <c:numFmt formatCode="#,###.0,,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4656"/>
        <c:crosses val="autoZero"/>
        <c:crossBetween val="between"/>
      </c:valAx>
      <c:valAx>
        <c:axId val="3217446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8319"/>
        <c:crosses val="max"/>
        <c:crossBetween val="between"/>
      </c:valAx>
      <c:catAx>
        <c:axId val="321728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1744639"/>
        <c:crossesAt val="-50000000000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00B050"/>
                </a:solidFill>
              </a:rPr>
              <a:t>Sản</a:t>
            </a:r>
            <a:r>
              <a:rPr lang="en-US" sz="1100" baseline="0">
                <a:solidFill>
                  <a:srgbClr val="00B050"/>
                </a:solidFill>
              </a:rPr>
              <a:t> lượng NVL (B0) hòa vốn / </a:t>
            </a:r>
            <a:r>
              <a:rPr lang="en-US" sz="1100" b="1" baseline="0">
                <a:solidFill>
                  <a:srgbClr val="00B050"/>
                </a:solidFill>
              </a:rPr>
              <a:t>1 THÁNG</a:t>
            </a:r>
            <a:endParaRPr lang="en-US" sz="11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7972222222222226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6444444444444452E-2"/>
          <c:y val="0.15476851851851853"/>
          <c:w val="0.97522222222222221"/>
          <c:h val="0.63192876932050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HV!$B$5</c:f>
              <c:strCache>
                <c:ptCount val="1"/>
                <c:pt idx="0">
                  <c:v>SL NVL kế hoạch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HV!$D$5:$G$5</c:f>
              <c:numCache>
                <c:formatCode>#,###,</c:formatCode>
                <c:ptCount val="4"/>
                <c:pt idx="0">
                  <c:v>400000</c:v>
                </c:pt>
                <c:pt idx="1">
                  <c:v>600000</c:v>
                </c:pt>
                <c:pt idx="2">
                  <c:v>800000</c:v>
                </c:pt>
                <c:pt idx="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1B-442F-A06F-485A8D8DC908}"/>
            </c:ext>
          </c:extLst>
        </c:ser>
        <c:ser>
          <c:idx val="1"/>
          <c:order val="1"/>
          <c:tx>
            <c:strRef>
              <c:f>HV!$B$6</c:f>
              <c:strCache>
                <c:ptCount val="1"/>
                <c:pt idx="0">
                  <c:v>SL NVL HÒA VỐN</c:v>
                </c:pt>
              </c:strCache>
            </c:strRef>
          </c:tx>
          <c:spPr>
            <a:solidFill>
              <a:srgbClr val="169B2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169B2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HV!$D$6:$G$6</c:f>
              <c:numCache>
                <c:formatCode>#,###,</c:formatCode>
                <c:ptCount val="4"/>
                <c:pt idx="0">
                  <c:v>486713.01555280498</c:v>
                </c:pt>
                <c:pt idx="1">
                  <c:v>562814.05139939149</c:v>
                </c:pt>
                <c:pt idx="2">
                  <c:v>643371.57628491684</c:v>
                </c:pt>
                <c:pt idx="3">
                  <c:v>697566.39827351179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1B-442F-A06F-485A8D8DC9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1730719"/>
        <c:axId val="321719199"/>
      </c:barChart>
      <c:catAx>
        <c:axId val="32173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19199"/>
        <c:crosses val="autoZero"/>
        <c:auto val="1"/>
        <c:lblAlgn val="ctr"/>
        <c:lblOffset val="100"/>
        <c:noMultiLvlLbl val="0"/>
      </c:catAx>
      <c:valAx>
        <c:axId val="321719199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Tấn</a:t>
                </a:r>
              </a:p>
            </c:rich>
          </c:tx>
          <c:layout>
            <c:manualLayout>
              <c:xMode val="edge"/>
              <c:yMode val="edge"/>
              <c:x val="5.2777777777777778E-2"/>
              <c:y val="0.17627661125692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#," sourceLinked="1"/>
        <c:majorTickMark val="none"/>
        <c:minorTickMark val="none"/>
        <c:tickLblPos val="nextTo"/>
        <c:crossAx val="3217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00874890638669"/>
          <c:y val="0.90335593467483233"/>
          <c:w val="0.48666032370953632"/>
          <c:h val="8.2649740323998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00B050"/>
                </a:solidFill>
              </a:rPr>
              <a:t>Sản</a:t>
            </a:r>
            <a:r>
              <a:rPr lang="en-US" sz="1100" baseline="0">
                <a:solidFill>
                  <a:srgbClr val="00B050"/>
                </a:solidFill>
              </a:rPr>
              <a:t> lượng NVL (B0) hòa vốn / </a:t>
            </a:r>
            <a:r>
              <a:rPr lang="en-US" sz="1100" b="1" baseline="0">
                <a:solidFill>
                  <a:srgbClr val="00B050"/>
                </a:solidFill>
              </a:rPr>
              <a:t>NĂM</a:t>
            </a:r>
            <a:endParaRPr lang="en-US" sz="11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7972222222222226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6444444444444452E-2"/>
          <c:y val="0.15476851851851853"/>
          <c:w val="0.97522222222222221"/>
          <c:h val="0.63192876932050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HV!$B$5</c:f>
              <c:strCache>
                <c:ptCount val="1"/>
                <c:pt idx="0">
                  <c:v>SL NVL kế hoạch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HV!$H$5:$K$5</c:f>
              <c:numCache>
                <c:formatCode>#,###,</c:formatCode>
                <c:ptCount val="4"/>
                <c:pt idx="0">
                  <c:v>4800000</c:v>
                </c:pt>
                <c:pt idx="1">
                  <c:v>7200000</c:v>
                </c:pt>
                <c:pt idx="2">
                  <c:v>9600000</c:v>
                </c:pt>
                <c:pt idx="3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5-4403-8AE9-5A05C98BCA41}"/>
            </c:ext>
          </c:extLst>
        </c:ser>
        <c:ser>
          <c:idx val="1"/>
          <c:order val="1"/>
          <c:tx>
            <c:strRef>
              <c:f>HV!$B$6</c:f>
              <c:strCache>
                <c:ptCount val="1"/>
                <c:pt idx="0">
                  <c:v>SL NVL HÒA VỐN</c:v>
                </c:pt>
              </c:strCache>
            </c:strRef>
          </c:tx>
          <c:spPr>
            <a:solidFill>
              <a:srgbClr val="169B2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169B2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HV!$H$6:$K$6</c:f>
              <c:numCache>
                <c:formatCode>#,###,</c:formatCode>
                <c:ptCount val="4"/>
                <c:pt idx="0">
                  <c:v>5840556.1866336595</c:v>
                </c:pt>
                <c:pt idx="1">
                  <c:v>6753768.6167926975</c:v>
                </c:pt>
                <c:pt idx="2">
                  <c:v>7720458.9154190021</c:v>
                </c:pt>
                <c:pt idx="3">
                  <c:v>8370796.7792821415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65-4403-8AE9-5A05C98BCA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1730719"/>
        <c:axId val="321719199"/>
      </c:barChart>
      <c:catAx>
        <c:axId val="32173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19199"/>
        <c:crosses val="autoZero"/>
        <c:auto val="1"/>
        <c:lblAlgn val="ctr"/>
        <c:lblOffset val="100"/>
        <c:noMultiLvlLbl val="0"/>
      </c:catAx>
      <c:valAx>
        <c:axId val="321719199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Tấn</a:t>
                </a:r>
              </a:p>
            </c:rich>
          </c:tx>
          <c:layout>
            <c:manualLayout>
              <c:xMode val="edge"/>
              <c:yMode val="edge"/>
              <c:x val="5.2777777777777778E-2"/>
              <c:y val="0.17627661125692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#," sourceLinked="1"/>
        <c:majorTickMark val="none"/>
        <c:minorTickMark val="none"/>
        <c:tickLblPos val="nextTo"/>
        <c:crossAx val="3217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00874890638669"/>
          <c:y val="0.90335593467483233"/>
          <c:w val="0.75909361329833769"/>
          <c:h val="8.2649740323998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00B050"/>
                </a:solidFill>
              </a:rPr>
              <a:t>Sản</a:t>
            </a:r>
            <a:r>
              <a:rPr lang="en-US" sz="1100" baseline="0">
                <a:solidFill>
                  <a:srgbClr val="00B050"/>
                </a:solidFill>
              </a:rPr>
              <a:t> lượng THÀNH PHẨM hòa vốn / </a:t>
            </a:r>
            <a:r>
              <a:rPr lang="en-US" sz="1100" b="1" baseline="0">
                <a:solidFill>
                  <a:srgbClr val="00B050"/>
                </a:solidFill>
              </a:rPr>
              <a:t>1 THÁNG</a:t>
            </a:r>
            <a:endParaRPr lang="en-US" sz="11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3527777777777778"/>
          <c:y val="4.62970283131106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61592300962376E-2"/>
          <c:y val="0.17435950635528427"/>
          <c:w val="0.97522222222222221"/>
          <c:h val="0.62703106278000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HV!$B$7</c:f>
              <c:strCache>
                <c:ptCount val="1"/>
                <c:pt idx="0">
                  <c:v>SL Thành phẩm kế hoạch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HV!$D$7:$G$7</c:f>
              <c:numCache>
                <c:formatCode>#,###,</c:formatCode>
                <c:ptCount val="4"/>
                <c:pt idx="0">
                  <c:v>369600</c:v>
                </c:pt>
                <c:pt idx="1">
                  <c:v>554400</c:v>
                </c:pt>
                <c:pt idx="2">
                  <c:v>739200</c:v>
                </c:pt>
                <c:pt idx="3">
                  <c:v>924000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7-46DD-BD46-2CFFF6456B2E}"/>
            </c:ext>
          </c:extLst>
        </c:ser>
        <c:ser>
          <c:idx val="1"/>
          <c:order val="1"/>
          <c:tx>
            <c:strRef>
              <c:f>HV!$B$8</c:f>
              <c:strCache>
                <c:ptCount val="1"/>
                <c:pt idx="0">
                  <c:v>SL Thành phẩm HÒA VỐN</c:v>
                </c:pt>
              </c:strCache>
            </c:strRef>
          </c:tx>
          <c:spPr>
            <a:solidFill>
              <a:srgbClr val="169B2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169B2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HV!$D$8:$G$8</c:f>
              <c:numCache>
                <c:formatCode>#,###,</c:formatCode>
                <c:ptCount val="4"/>
                <c:pt idx="0">
                  <c:v>452335.51631301577</c:v>
                </c:pt>
                <c:pt idx="1">
                  <c:v>523061.38605891395</c:v>
                </c:pt>
                <c:pt idx="2">
                  <c:v>597928.97424248769</c:v>
                </c:pt>
                <c:pt idx="3">
                  <c:v>648295.90917612612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7-46DD-BD46-2CFFF6456B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1730719"/>
        <c:axId val="321719199"/>
      </c:barChart>
      <c:lineChart>
        <c:grouping val="standard"/>
        <c:varyColors val="0"/>
        <c:ser>
          <c:idx val="2"/>
          <c:order val="2"/>
          <c:tx>
            <c:strRef>
              <c:f>HV!$B$9</c:f>
              <c:strCache>
                <c:ptCount val="1"/>
                <c:pt idx="0">
                  <c:v>Doanh thu HÒA VỐN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229221347331584E-2"/>
                  <c:y val="-9.2616038555532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D7-46DD-BD46-2CFFF6456B2E}"/>
                </c:ext>
              </c:extLst>
            </c:dLbl>
            <c:dLbl>
              <c:idx val="1"/>
              <c:layout>
                <c:manualLayout>
                  <c:x val="-6.2479221347331582E-2"/>
                  <c:y val="-0.109758086939687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7-46DD-BD46-2CFFF6456B2E}"/>
                </c:ext>
              </c:extLst>
            </c:dLbl>
            <c:dLbl>
              <c:idx val="2"/>
              <c:layout>
                <c:manualLayout>
                  <c:x val="-5.1368110236220572E-2"/>
                  <c:y val="-8.526944639089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D7-46DD-BD46-2CFFF6456B2E}"/>
                </c:ext>
              </c:extLst>
            </c:dLbl>
            <c:dLbl>
              <c:idx val="3"/>
              <c:layout>
                <c:manualLayout>
                  <c:x val="-6.0145888013998249E-2"/>
                  <c:y val="-8.2820582336015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D7-46DD-BD46-2CFFF6456B2E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HV!$D$9:$G$9</c:f>
              <c:numCache>
                <c:formatCode>#,##0.0,,,</c:formatCode>
                <c:ptCount val="4"/>
                <c:pt idx="0">
                  <c:v>6456061460.1039524</c:v>
                </c:pt>
                <c:pt idx="1">
                  <c:v>7465512510.1135902</c:v>
                </c:pt>
                <c:pt idx="2">
                  <c:v>8534077177.8245964</c:v>
                </c:pt>
                <c:pt idx="3">
                  <c:v>9252950703.6956177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D7-46DD-BD46-2CFFF6456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16063"/>
        <c:axId val="359514143"/>
      </c:lineChart>
      <c:catAx>
        <c:axId val="32173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19199"/>
        <c:crosses val="autoZero"/>
        <c:auto val="1"/>
        <c:lblAlgn val="ctr"/>
        <c:lblOffset val="100"/>
        <c:noMultiLvlLbl val="0"/>
      </c:catAx>
      <c:valAx>
        <c:axId val="321719199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Tấn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3.914017490674070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#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30719"/>
        <c:crosses val="autoZero"/>
        <c:crossBetween val="between"/>
      </c:valAx>
      <c:valAx>
        <c:axId val="359514143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.89051377952755906"/>
              <c:y val="3.18842099945276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16063"/>
        <c:crosses val="max"/>
        <c:crossBetween val="between"/>
      </c:valAx>
      <c:catAx>
        <c:axId val="359516063"/>
        <c:scaling>
          <c:orientation val="minMax"/>
        </c:scaling>
        <c:delete val="1"/>
        <c:axPos val="b"/>
        <c:majorTickMark val="out"/>
        <c:minorTickMark val="none"/>
        <c:tickLblPos val="nextTo"/>
        <c:crossAx val="359514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119860017497814E-2"/>
          <c:y val="0.85927631632227663"/>
          <c:w val="0.96525000000000005"/>
          <c:h val="0.1260304993484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00B050"/>
                </a:solidFill>
              </a:rPr>
              <a:t>Sản</a:t>
            </a:r>
            <a:r>
              <a:rPr lang="en-US" sz="1100" baseline="0">
                <a:solidFill>
                  <a:srgbClr val="00B050"/>
                </a:solidFill>
              </a:rPr>
              <a:t> lượng THÀNH PHẨM hòa vốn / </a:t>
            </a:r>
            <a:r>
              <a:rPr lang="en-US" sz="1100" b="1" baseline="0">
                <a:solidFill>
                  <a:srgbClr val="00B050"/>
                </a:solidFill>
              </a:rPr>
              <a:t>NĂM</a:t>
            </a:r>
            <a:endParaRPr lang="en-US" sz="11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3527777777777778"/>
          <c:y val="4.62970283131106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6444444444444452E-2"/>
          <c:y val="0.16946177824552583"/>
          <c:w val="0.97522222222222221"/>
          <c:h val="0.61723560656048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HV!$B$7</c:f>
              <c:strCache>
                <c:ptCount val="1"/>
                <c:pt idx="0">
                  <c:v>SL Thành phẩm kế hoạch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75000"/>
                  <a:alpha val="42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HV!$H$7:$K$7</c:f>
              <c:numCache>
                <c:formatCode>#,###,</c:formatCode>
                <c:ptCount val="4"/>
                <c:pt idx="0">
                  <c:v>4435200</c:v>
                </c:pt>
                <c:pt idx="1">
                  <c:v>6652800</c:v>
                </c:pt>
                <c:pt idx="2">
                  <c:v>8870400</c:v>
                </c:pt>
                <c:pt idx="3">
                  <c:v>11088000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C-477B-95C6-00C39FA9FB8F}"/>
            </c:ext>
          </c:extLst>
        </c:ser>
        <c:ser>
          <c:idx val="1"/>
          <c:order val="1"/>
          <c:tx>
            <c:strRef>
              <c:f>HV!$B$8</c:f>
              <c:strCache>
                <c:ptCount val="1"/>
                <c:pt idx="0">
                  <c:v>SL Thành phẩm HÒA VỐN</c:v>
                </c:pt>
              </c:strCache>
            </c:strRef>
          </c:tx>
          <c:spPr>
            <a:solidFill>
              <a:srgbClr val="169B2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222222222222223E-2"/>
                  <c:y val="4.89772810975838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0C-477B-95C6-00C39FA9FB8F}"/>
                </c:ext>
              </c:extLst>
            </c:dLbl>
            <c:dLbl>
              <c:idx val="1"/>
              <c:layout>
                <c:manualLayout>
                  <c:x val="1.9444444444444393E-2"/>
                  <c:y val="4.89772810975847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0C-477B-95C6-00C39FA9FB8F}"/>
                </c:ext>
              </c:extLst>
            </c:dLbl>
            <c:dLbl>
              <c:idx val="2"/>
              <c:layout>
                <c:manualLayout>
                  <c:x val="2.2222222222222223E-2"/>
                  <c:y val="-8.979064474304846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0C-477B-95C6-00C39FA9FB8F}"/>
                </c:ext>
              </c:extLst>
            </c:dLbl>
            <c:dLbl>
              <c:idx val="3"/>
              <c:layout>
                <c:manualLayout>
                  <c:x val="1.9444444444444344E-2"/>
                  <c:y val="-4.89772810975847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0C-477B-95C6-00C39FA9FB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169B2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HV!$D$4:$G$4</c:f>
              <c:strCache>
                <c:ptCount val="4"/>
                <c:pt idx="0">
                  <c:v>H.S 40%</c:v>
                </c:pt>
                <c:pt idx="1">
                  <c:v>H.S 60%</c:v>
                </c:pt>
                <c:pt idx="2">
                  <c:v>H.S 80%</c:v>
                </c:pt>
                <c:pt idx="3">
                  <c:v>H.S 100%</c:v>
                </c:pt>
              </c:strCache>
            </c:strRef>
          </c:cat>
          <c:val>
            <c:numRef>
              <c:f>HV!$H$8:$K$8</c:f>
              <c:numCache>
                <c:formatCode>#,###,</c:formatCode>
                <c:ptCount val="4"/>
                <c:pt idx="0">
                  <c:v>5428026.1957561895</c:v>
                </c:pt>
                <c:pt idx="1">
                  <c:v>6276736.6327069672</c:v>
                </c:pt>
                <c:pt idx="2">
                  <c:v>7175147.6909098523</c:v>
                </c:pt>
                <c:pt idx="3">
                  <c:v>7779550.9101135135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C-477B-95C6-00C39FA9FB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1730719"/>
        <c:axId val="321719199"/>
      </c:barChart>
      <c:lineChart>
        <c:grouping val="standard"/>
        <c:varyColors val="0"/>
        <c:ser>
          <c:idx val="2"/>
          <c:order val="2"/>
          <c:tx>
            <c:strRef>
              <c:f>HV!$B$9</c:f>
              <c:strCache>
                <c:ptCount val="1"/>
                <c:pt idx="0">
                  <c:v>Doanh thu HÒA VỐN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3666666666666668E-2"/>
                  <c:y val="-0.112206950994566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0C-477B-95C6-00C39FA9FB8F}"/>
                </c:ext>
              </c:extLst>
            </c:dLbl>
            <c:dLbl>
              <c:idx val="1"/>
              <c:layout>
                <c:manualLayout>
                  <c:x val="-4.2555555555555603E-2"/>
                  <c:y val="-0.117104679104325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0C-477B-95C6-00C39FA9FB8F}"/>
                </c:ext>
              </c:extLst>
            </c:dLbl>
            <c:dLbl>
              <c:idx val="2"/>
              <c:layout>
                <c:manualLayout>
                  <c:x val="-5.8277777777777776E-2"/>
                  <c:y val="-0.102411494775049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0C-477B-95C6-00C39FA9FB8F}"/>
                </c:ext>
              </c:extLst>
            </c:dLbl>
            <c:dLbl>
              <c:idx val="3"/>
              <c:layout>
                <c:manualLayout>
                  <c:x val="-6.1055555555555655E-2"/>
                  <c:y val="-0.102411494775049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0C-477B-95C6-00C39FA9FB8F}"/>
                </c:ext>
              </c:extLst>
            </c:dLbl>
            <c:spPr>
              <a:noFill/>
              <a:ln w="6350"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HV!$H$9:$K$9</c:f>
              <c:numCache>
                <c:formatCode>#,##0,,,</c:formatCode>
                <c:ptCount val="4"/>
                <c:pt idx="0">
                  <c:v>77472737521.247437</c:v>
                </c:pt>
                <c:pt idx="1">
                  <c:v>89586150121.363083</c:v>
                </c:pt>
                <c:pt idx="2">
                  <c:v>102408926133.89516</c:v>
                </c:pt>
                <c:pt idx="3">
                  <c:v>111035408444.34741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0C-477B-95C6-00C39FA9F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16063"/>
        <c:axId val="359514143"/>
      </c:lineChart>
      <c:catAx>
        <c:axId val="32173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19199"/>
        <c:crosses val="autoZero"/>
        <c:auto val="1"/>
        <c:lblAlgn val="ctr"/>
        <c:lblOffset val="100"/>
        <c:noMultiLvlLbl val="0"/>
      </c:catAx>
      <c:valAx>
        <c:axId val="321719199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Tấn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3.914017490674070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#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30719"/>
        <c:crosses val="autoZero"/>
        <c:crossBetween val="between"/>
      </c:valAx>
      <c:valAx>
        <c:axId val="359514143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sng"/>
                  <a:t>Tỷ</a:t>
                </a:r>
                <a:r>
                  <a:rPr lang="en-US" u="sng" baseline="0"/>
                  <a:t> đồng</a:t>
                </a:r>
                <a:endParaRPr lang="en-US" u="sng"/>
              </a:p>
            </c:rich>
          </c:tx>
          <c:layout>
            <c:manualLayout>
              <c:xMode val="edge"/>
              <c:yMode val="edge"/>
              <c:x val="0.89051377952755906"/>
              <c:y val="3.18842099945276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,,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16063"/>
        <c:crosses val="max"/>
        <c:crossBetween val="between"/>
      </c:valAx>
      <c:catAx>
        <c:axId val="359516063"/>
        <c:scaling>
          <c:orientation val="minMax"/>
        </c:scaling>
        <c:delete val="1"/>
        <c:axPos val="b"/>
        <c:majorTickMark val="out"/>
        <c:minorTickMark val="none"/>
        <c:tickLblPos val="nextTo"/>
        <c:crossAx val="359514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119860017497814E-2"/>
          <c:y val="0.85927631632227663"/>
          <c:w val="0.96525000000000005"/>
          <c:h val="0.1260304993484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104589</xdr:colOff>
      <xdr:row>4</xdr:row>
      <xdr:rowOff>119530</xdr:rowOff>
    </xdr:from>
    <xdr:to>
      <xdr:col>15</xdr:col>
      <xdr:colOff>395941</xdr:colOff>
      <xdr:row>7</xdr:row>
      <xdr:rowOff>4481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3C24914-B39C-7024-EECB-51711BACBA2C}"/>
            </a:ext>
          </a:extLst>
        </xdr:cNvPr>
        <xdr:cNvGrpSpPr/>
      </xdr:nvGrpSpPr>
      <xdr:grpSpPr>
        <a:xfrm>
          <a:off x="104589" y="836706"/>
          <a:ext cx="9480176" cy="422834"/>
          <a:chOff x="52295" y="1090707"/>
          <a:chExt cx="9480176" cy="44524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E05A4574-AFA3-E079-CBEE-8EC7CDAC73C3}"/>
              </a:ext>
            </a:extLst>
          </xdr:cNvPr>
          <xdr:cNvSpPr/>
        </xdr:nvSpPr>
        <xdr:spPr>
          <a:xfrm>
            <a:off x="52295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Thu mua</a:t>
            </a:r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A0593FF0-E9EA-4BD5-A1A7-16DC96A06F21}"/>
              </a:ext>
            </a:extLst>
          </xdr:cNvPr>
          <xdr:cNvSpPr/>
        </xdr:nvSpPr>
        <xdr:spPr>
          <a:xfrm>
            <a:off x="1430619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Vận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chuyển NL về NM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40D87E3E-47F3-4CAA-8DFD-46B41E043012}"/>
              </a:ext>
            </a:extLst>
          </xdr:cNvPr>
          <xdr:cNvSpPr/>
        </xdr:nvSpPr>
        <xdr:spPr>
          <a:xfrm>
            <a:off x="2808943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Nhập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hàng và tồn kho NL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309AE69-20C3-4FD5-8EF6-81FA20343E32}"/>
              </a:ext>
            </a:extLst>
          </xdr:cNvPr>
          <xdr:cNvSpPr/>
        </xdr:nvSpPr>
        <xdr:spPr>
          <a:xfrm>
            <a:off x="4187266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Phân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loại chai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CF883FC6-39D3-4B43-BF56-353DBFA48F4E}"/>
              </a:ext>
            </a:extLst>
          </xdr:cNvPr>
          <xdr:cNvSpPr/>
        </xdr:nvSpPr>
        <xdr:spPr>
          <a:xfrm>
            <a:off x="6943912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Tồn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kho TP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6355EFE5-68A7-4F50-9213-8BB132544EE8}"/>
              </a:ext>
            </a:extLst>
          </xdr:cNvPr>
          <xdr:cNvSpPr/>
        </xdr:nvSpPr>
        <xdr:spPr>
          <a:xfrm>
            <a:off x="5565589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Băm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vảy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DD5E659-AF1E-4F76-A449-C8668566EE0D}"/>
              </a:ext>
            </a:extLst>
          </xdr:cNvPr>
          <xdr:cNvSpPr/>
        </xdr:nvSpPr>
        <xdr:spPr>
          <a:xfrm>
            <a:off x="8322236" y="1090707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Xuất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bán, vận chyển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89648</xdr:colOff>
      <xdr:row>5</xdr:row>
      <xdr:rowOff>155388</xdr:rowOff>
    </xdr:from>
    <xdr:to>
      <xdr:col>2</xdr:col>
      <xdr:colOff>257737</xdr:colOff>
      <xdr:row>5</xdr:row>
      <xdr:rowOff>155388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5FEB2FC-D92D-DFAD-01A8-CC6EA83903A8}"/>
            </a:ext>
          </a:extLst>
        </xdr:cNvPr>
        <xdr:cNvCxnSpPr>
          <a:stCxn id="2" idx="3"/>
          <a:endCxn id="3" idx="1"/>
        </xdr:cNvCxnSpPr>
      </xdr:nvCxnSpPr>
      <xdr:spPr>
        <a:xfrm>
          <a:off x="1314824" y="1089212"/>
          <a:ext cx="168089" cy="0"/>
        </a:xfrm>
        <a:prstGeom prst="straightConnector1">
          <a:avLst/>
        </a:prstGeom>
        <a:ln w="1905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242795</xdr:colOff>
      <xdr:row>5</xdr:row>
      <xdr:rowOff>155388</xdr:rowOff>
    </xdr:from>
    <xdr:to>
      <xdr:col>4</xdr:col>
      <xdr:colOff>410884</xdr:colOff>
      <xdr:row>5</xdr:row>
      <xdr:rowOff>155388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873BD4F-39AC-4145-862B-66D0960232BF}"/>
            </a:ext>
          </a:extLst>
        </xdr:cNvPr>
        <xdr:cNvCxnSpPr>
          <a:stCxn id="3" idx="3"/>
          <a:endCxn id="4" idx="1"/>
        </xdr:cNvCxnSpPr>
      </xdr:nvCxnSpPr>
      <xdr:spPr>
        <a:xfrm>
          <a:off x="2693148" y="1089212"/>
          <a:ext cx="168089" cy="0"/>
        </a:xfrm>
        <a:prstGeom prst="straightConnector1">
          <a:avLst/>
        </a:prstGeom>
        <a:ln w="1905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395943</xdr:colOff>
      <xdr:row>5</xdr:row>
      <xdr:rowOff>155388</xdr:rowOff>
    </xdr:from>
    <xdr:to>
      <xdr:col>6</xdr:col>
      <xdr:colOff>564031</xdr:colOff>
      <xdr:row>5</xdr:row>
      <xdr:rowOff>155388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5988149-E026-4229-955E-31F3C67CAA62}"/>
            </a:ext>
          </a:extLst>
        </xdr:cNvPr>
        <xdr:cNvCxnSpPr>
          <a:stCxn id="4" idx="3"/>
          <a:endCxn id="5" idx="1"/>
        </xdr:cNvCxnSpPr>
      </xdr:nvCxnSpPr>
      <xdr:spPr>
        <a:xfrm>
          <a:off x="4071472" y="1089212"/>
          <a:ext cx="168088" cy="0"/>
        </a:xfrm>
        <a:prstGeom prst="straightConnector1">
          <a:avLst/>
        </a:prstGeom>
        <a:ln w="1905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549089</xdr:colOff>
      <xdr:row>5</xdr:row>
      <xdr:rowOff>155388</xdr:rowOff>
    </xdr:from>
    <xdr:to>
      <xdr:col>9</xdr:col>
      <xdr:colOff>104589</xdr:colOff>
      <xdr:row>5</xdr:row>
      <xdr:rowOff>155388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DB0EECD-6C7F-44D0-A4D8-3F9C03DD7B96}"/>
            </a:ext>
          </a:extLst>
        </xdr:cNvPr>
        <xdr:cNvCxnSpPr>
          <a:stCxn id="5" idx="3"/>
          <a:endCxn id="7" idx="1"/>
        </xdr:cNvCxnSpPr>
      </xdr:nvCxnSpPr>
      <xdr:spPr>
        <a:xfrm>
          <a:off x="5449795" y="1089212"/>
          <a:ext cx="168088" cy="0"/>
        </a:xfrm>
        <a:prstGeom prst="straightConnector1">
          <a:avLst/>
        </a:prstGeom>
        <a:ln w="1905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89647</xdr:colOff>
      <xdr:row>5</xdr:row>
      <xdr:rowOff>155388</xdr:rowOff>
    </xdr:from>
    <xdr:to>
      <xdr:col>11</xdr:col>
      <xdr:colOff>257735</xdr:colOff>
      <xdr:row>5</xdr:row>
      <xdr:rowOff>155388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6E16724-675E-4007-AFE0-1A0AC73C620A}"/>
            </a:ext>
          </a:extLst>
        </xdr:cNvPr>
        <xdr:cNvCxnSpPr>
          <a:stCxn id="7" idx="3"/>
          <a:endCxn id="6" idx="1"/>
        </xdr:cNvCxnSpPr>
      </xdr:nvCxnSpPr>
      <xdr:spPr>
        <a:xfrm>
          <a:off x="6828118" y="1089212"/>
          <a:ext cx="168088" cy="0"/>
        </a:xfrm>
        <a:prstGeom prst="straightConnector1">
          <a:avLst/>
        </a:prstGeom>
        <a:ln w="1905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242794</xdr:colOff>
      <xdr:row>5</xdr:row>
      <xdr:rowOff>155388</xdr:rowOff>
    </xdr:from>
    <xdr:to>
      <xdr:col>13</xdr:col>
      <xdr:colOff>410883</xdr:colOff>
      <xdr:row>5</xdr:row>
      <xdr:rowOff>155388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39BAC42-093C-4632-9B67-D4E399A39D2D}"/>
            </a:ext>
          </a:extLst>
        </xdr:cNvPr>
        <xdr:cNvCxnSpPr>
          <a:stCxn id="6" idx="3"/>
          <a:endCxn id="8" idx="1"/>
        </xdr:cNvCxnSpPr>
      </xdr:nvCxnSpPr>
      <xdr:spPr>
        <a:xfrm>
          <a:off x="8206441" y="1089212"/>
          <a:ext cx="168089" cy="0"/>
        </a:xfrm>
        <a:prstGeom prst="straightConnector1">
          <a:avLst/>
        </a:prstGeom>
        <a:ln w="1905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149414</xdr:colOff>
      <xdr:row>9</xdr:row>
      <xdr:rowOff>141942</xdr:rowOff>
    </xdr:from>
    <xdr:to>
      <xdr:col>15</xdr:col>
      <xdr:colOff>362334</xdr:colOff>
      <xdr:row>15</xdr:row>
      <xdr:rowOff>101597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BFEBA524-7BFA-83FF-148A-6133CD3EC194}"/>
            </a:ext>
          </a:extLst>
        </xdr:cNvPr>
        <xdr:cNvGrpSpPr/>
      </xdr:nvGrpSpPr>
      <xdr:grpSpPr>
        <a:xfrm>
          <a:off x="149414" y="1755589"/>
          <a:ext cx="9401744" cy="1035420"/>
          <a:chOff x="149414" y="1822824"/>
          <a:chExt cx="9401744" cy="1080244"/>
        </a:xfrm>
      </xdr:grpSpPr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67F319E5-2D85-45FB-A1BB-B3D91C061D49}"/>
              </a:ext>
            </a:extLst>
          </xdr:cNvPr>
          <xdr:cNvCxnSpPr>
            <a:stCxn id="34" idx="3"/>
            <a:endCxn id="35" idx="1"/>
          </xdr:cNvCxnSpPr>
        </xdr:nvCxnSpPr>
        <xdr:spPr>
          <a:xfrm>
            <a:off x="2997951" y="2045447"/>
            <a:ext cx="428067" cy="0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E3097687-1F2F-452F-A3B5-48E84C36569E}"/>
              </a:ext>
            </a:extLst>
          </xdr:cNvPr>
          <xdr:cNvCxnSpPr>
            <a:stCxn id="35" idx="3"/>
            <a:endCxn id="36" idx="1"/>
          </xdr:cNvCxnSpPr>
        </xdr:nvCxnSpPr>
        <xdr:spPr>
          <a:xfrm>
            <a:off x="4636253" y="2045447"/>
            <a:ext cx="428067" cy="0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3828D272-8FBD-48C3-85A7-3847559803FA}"/>
              </a:ext>
            </a:extLst>
          </xdr:cNvPr>
          <xdr:cNvCxnSpPr>
            <a:stCxn id="36" idx="3"/>
            <a:endCxn id="38" idx="1"/>
          </xdr:cNvCxnSpPr>
        </xdr:nvCxnSpPr>
        <xdr:spPr>
          <a:xfrm>
            <a:off x="6274555" y="2045447"/>
            <a:ext cx="428067" cy="0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E8A8592E-227C-D831-0011-2B153EAFDEB4}"/>
              </a:ext>
            </a:extLst>
          </xdr:cNvPr>
          <xdr:cNvSpPr/>
        </xdr:nvSpPr>
        <xdr:spPr>
          <a:xfrm>
            <a:off x="149414" y="1822824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Xuất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NL, phá kiện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51685D3B-6D64-4712-8590-291C0DF0556A}"/>
              </a:ext>
            </a:extLst>
          </xdr:cNvPr>
          <xdr:cNvSpPr/>
        </xdr:nvSpPr>
        <xdr:spPr>
          <a:xfrm>
            <a:off x="1787716" y="1822824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Phân loại chai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C8CBC4AF-C3DD-09E9-D322-4DCEAA846E17}"/>
              </a:ext>
            </a:extLst>
          </xdr:cNvPr>
          <xdr:cNvSpPr/>
        </xdr:nvSpPr>
        <xdr:spPr>
          <a:xfrm>
            <a:off x="3426018" y="1822824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Tách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nhãn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44DE15FC-A8F9-4F27-36FB-F88DFDBF1468}"/>
              </a:ext>
            </a:extLst>
          </xdr:cNvPr>
          <xdr:cNvSpPr/>
        </xdr:nvSpPr>
        <xdr:spPr>
          <a:xfrm>
            <a:off x="5064320" y="1822824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Phân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loại chai sau tách nhãn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25FEA006-DCE5-1C2E-CD7A-54C221707A60}"/>
              </a:ext>
            </a:extLst>
          </xdr:cNvPr>
          <xdr:cNvSpPr/>
        </xdr:nvSpPr>
        <xdr:spPr>
          <a:xfrm>
            <a:off x="8340923" y="1822824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Tồn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kho TP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F806DC31-74B1-09E1-A1EB-589BB737288A}"/>
              </a:ext>
            </a:extLst>
          </xdr:cNvPr>
          <xdr:cNvSpPr/>
        </xdr:nvSpPr>
        <xdr:spPr>
          <a:xfrm>
            <a:off x="6702622" y="1822824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Ép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kiện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29BE5A83-4A59-4687-AD42-A4945098D4D0}"/>
              </a:ext>
            </a:extLst>
          </xdr:cNvPr>
          <xdr:cNvSpPr/>
        </xdr:nvSpPr>
        <xdr:spPr>
          <a:xfrm>
            <a:off x="6701116" y="2457823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Băm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vảy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23998C14-1EA2-437C-A0DC-049BAD88A4FF}"/>
              </a:ext>
            </a:extLst>
          </xdr:cNvPr>
          <xdr:cNvSpPr/>
        </xdr:nvSpPr>
        <xdr:spPr>
          <a:xfrm>
            <a:off x="8340164" y="2457823"/>
            <a:ext cx="1210235" cy="445245"/>
          </a:xfrm>
          <a:prstGeom prst="roundRect">
            <a:avLst/>
          </a:prstGeom>
          <a:solidFill>
            <a:srgbClr val="99CCFF"/>
          </a:solidFill>
          <a:ln w="9525">
            <a:solidFill>
              <a:srgbClr val="11930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sz="120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Rửa</a:t>
            </a:r>
            <a:r>
              <a:rPr lang="en-US" sz="1200" baseline="0">
                <a:solidFill>
                  <a:srgbClr val="0000F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vảy</a:t>
            </a:r>
            <a:endParaRPr lang="en-US" sz="120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2F60B912-0CAE-4EC2-BE6E-1AB03B58FBA3}"/>
              </a:ext>
            </a:extLst>
          </xdr:cNvPr>
          <xdr:cNvCxnSpPr>
            <a:stCxn id="33" idx="3"/>
            <a:endCxn id="34" idx="1"/>
          </xdr:cNvCxnSpPr>
        </xdr:nvCxnSpPr>
        <xdr:spPr>
          <a:xfrm>
            <a:off x="1359649" y="2045447"/>
            <a:ext cx="428067" cy="0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82D0886A-9270-436A-BE5C-9F7404F33374}"/>
              </a:ext>
            </a:extLst>
          </xdr:cNvPr>
          <xdr:cNvCxnSpPr>
            <a:stCxn id="38" idx="2"/>
            <a:endCxn id="40" idx="0"/>
          </xdr:cNvCxnSpPr>
        </xdr:nvCxnSpPr>
        <xdr:spPr>
          <a:xfrm flipH="1">
            <a:off x="7306234" y="2268069"/>
            <a:ext cx="1506" cy="189754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3EC4144C-FA70-41E2-83BC-DADEDD7721AA}"/>
              </a:ext>
            </a:extLst>
          </xdr:cNvPr>
          <xdr:cNvCxnSpPr>
            <a:stCxn id="38" idx="3"/>
            <a:endCxn id="37" idx="1"/>
          </xdr:cNvCxnSpPr>
        </xdr:nvCxnSpPr>
        <xdr:spPr>
          <a:xfrm>
            <a:off x="7912857" y="2045447"/>
            <a:ext cx="428066" cy="0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Connector: Elbow 61">
            <a:extLst>
              <a:ext uri="{FF2B5EF4-FFF2-40B4-BE49-F238E27FC236}">
                <a16:creationId xmlns:a16="http://schemas.microsoft.com/office/drawing/2014/main" id="{29376AA8-0263-2A4B-652D-3D673BE7A894}"/>
              </a:ext>
            </a:extLst>
          </xdr:cNvPr>
          <xdr:cNvCxnSpPr>
            <a:stCxn id="36" idx="2"/>
            <a:endCxn id="40" idx="1"/>
          </xdr:cNvCxnSpPr>
        </xdr:nvCxnSpPr>
        <xdr:spPr>
          <a:xfrm rot="16200000" flipH="1">
            <a:off x="5979089" y="1958418"/>
            <a:ext cx="412377" cy="1031678"/>
          </a:xfrm>
          <a:prstGeom prst="bentConnector2">
            <a:avLst/>
          </a:prstGeom>
          <a:ln w="22225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14D401E1-E5E8-4AA4-BAD7-54180B4C7478}"/>
              </a:ext>
            </a:extLst>
          </xdr:cNvPr>
          <xdr:cNvCxnSpPr>
            <a:stCxn id="40" idx="3"/>
            <a:endCxn id="41" idx="1"/>
          </xdr:cNvCxnSpPr>
        </xdr:nvCxnSpPr>
        <xdr:spPr>
          <a:xfrm>
            <a:off x="7911351" y="2680446"/>
            <a:ext cx="428813" cy="0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8D9CB8CB-3606-49FD-B5EC-0AED2FEFE884}"/>
              </a:ext>
            </a:extLst>
          </xdr:cNvPr>
          <xdr:cNvCxnSpPr>
            <a:stCxn id="41" idx="0"/>
            <a:endCxn id="37" idx="2"/>
          </xdr:cNvCxnSpPr>
        </xdr:nvCxnSpPr>
        <xdr:spPr>
          <a:xfrm flipV="1">
            <a:off x="8945282" y="2268069"/>
            <a:ext cx="759" cy="189754"/>
          </a:xfrm>
          <a:prstGeom prst="straightConnector1">
            <a:avLst/>
          </a:prstGeom>
          <a:ln w="1905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588868</xdr:colOff>
      <xdr:row>0</xdr:row>
      <xdr:rowOff>148290</xdr:rowOff>
    </xdr:from>
    <xdr:to>
      <xdr:col>22</xdr:col>
      <xdr:colOff>281080</xdr:colOff>
      <xdr:row>13</xdr:row>
      <xdr:rowOff>102345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1BB59D-BC03-6E1F-5F39-B03517B27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285750</xdr:colOff>
      <xdr:row>21</xdr:row>
      <xdr:rowOff>152400</xdr:rowOff>
    </xdr:from>
    <xdr:to>
      <xdr:col>13</xdr:col>
      <xdr:colOff>590550</xdr:colOff>
      <xdr:row>35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19339-660E-4194-9AB8-9D4F14FBC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82550</xdr:colOff>
      <xdr:row>21</xdr:row>
      <xdr:rowOff>165100</xdr:rowOff>
    </xdr:from>
    <xdr:to>
      <xdr:col>21</xdr:col>
      <xdr:colOff>387350</xdr:colOff>
      <xdr:row>35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A53B26-FBD9-4DE8-8DB9-60C91081A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285750</xdr:colOff>
      <xdr:row>36</xdr:row>
      <xdr:rowOff>0</xdr:rowOff>
    </xdr:from>
    <xdr:to>
      <xdr:col>13</xdr:col>
      <xdr:colOff>590550</xdr:colOff>
      <xdr:row>49</xdr:row>
      <xdr:rowOff>94130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2F91C-9C9C-485C-A042-77A94BB69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82550</xdr:colOff>
      <xdr:row>35</xdr:row>
      <xdr:rowOff>165100</xdr:rowOff>
    </xdr:from>
    <xdr:to>
      <xdr:col>21</xdr:col>
      <xdr:colOff>387350</xdr:colOff>
      <xdr:row>49</xdr:row>
      <xdr:rowOff>81430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1723F-2F7D-4AC9-BB11-6A166156F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69850</xdr:colOff>
      <xdr:row>49</xdr:row>
      <xdr:rowOff>127000</xdr:rowOff>
    </xdr:from>
    <xdr:to>
      <xdr:col>21</xdr:col>
      <xdr:colOff>374650</xdr:colOff>
      <xdr:row>63</xdr:row>
      <xdr:rowOff>119529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9B2759-2591-4BA0-82DA-8093291D7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304800</xdr:colOff>
      <xdr:row>65</xdr:row>
      <xdr:rowOff>0</xdr:rowOff>
    </xdr:from>
    <xdr:to>
      <xdr:col>14</xdr:col>
      <xdr:colOff>0</xdr:colOff>
      <xdr:row>79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0FBD46-DC1A-44C1-9114-B330FC9D3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584200</xdr:colOff>
      <xdr:row>80</xdr:row>
      <xdr:rowOff>95250</xdr:rowOff>
    </xdr:from>
    <xdr:to>
      <xdr:col>10</xdr:col>
      <xdr:colOff>158750</xdr:colOff>
      <xdr:row>96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2F5E2F-4E91-4DC6-BB70-603A7A1C8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224865</xdr:colOff>
      <xdr:row>1</xdr:row>
      <xdr:rowOff>2989</xdr:rowOff>
    </xdr:from>
    <xdr:to>
      <xdr:col>14</xdr:col>
      <xdr:colOff>529665</xdr:colOff>
      <xdr:row>13</xdr:row>
      <xdr:rowOff>136339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54938E-9B5C-4E14-9A27-436004CC6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605117</xdr:colOff>
      <xdr:row>97</xdr:row>
      <xdr:rowOff>89647</xdr:rowOff>
    </xdr:from>
    <xdr:to>
      <xdr:col>15</xdr:col>
      <xdr:colOff>410882</xdr:colOff>
      <xdr:row>114</xdr:row>
      <xdr:rowOff>7470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51674D-6A62-4F5B-903B-5FD7C5559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160619</xdr:colOff>
      <xdr:row>0</xdr:row>
      <xdr:rowOff>126255</xdr:rowOff>
    </xdr:from>
    <xdr:to>
      <xdr:col>18</xdr:col>
      <xdr:colOff>295089</xdr:colOff>
      <xdr:row>15</xdr:row>
      <xdr:rowOff>7470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6AE84-738B-2BB0-12C5-99562E8A3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149412</xdr:colOff>
      <xdr:row>15</xdr:row>
      <xdr:rowOff>52294</xdr:rowOff>
    </xdr:from>
    <xdr:to>
      <xdr:col>18</xdr:col>
      <xdr:colOff>283882</xdr:colOff>
      <xdr:row>29</xdr:row>
      <xdr:rowOff>135216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F10670-5E39-4DDE-B152-3108FE800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463176</xdr:colOff>
      <xdr:row>1</xdr:row>
      <xdr:rowOff>52295</xdr:rowOff>
    </xdr:from>
    <xdr:to>
      <xdr:col>26</xdr:col>
      <xdr:colOff>134470</xdr:colOff>
      <xdr:row>15</xdr:row>
      <xdr:rowOff>112804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A1ECA3-5B6C-4B98-ACB3-03FC420FD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433294</xdr:colOff>
      <xdr:row>16</xdr:row>
      <xdr:rowOff>0</xdr:rowOff>
    </xdr:from>
    <xdr:to>
      <xdr:col>26</xdr:col>
      <xdr:colOff>104588</xdr:colOff>
      <xdr:row>30</xdr:row>
      <xdr:rowOff>82922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C34367-581A-4598-ACC9-093F324CD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tg-my.sharepoint.com/personal/hoangpd_duytangroup_com/Documents/Hoang%20-%20DTR/Bao%20cao%20quan%20tri/KHNS%202026/KHNS%203%20Tram%202026/Dong%20Lam/File%20KHNS%20Dong%20Lam%20-%20Tr&#236;nh%20k&#253;%20final%2020.03.2026/DongLam_Bieu%20mau%20KHKD%202026%20-%2018.03.2026.xlsx" TargetMode="External"/><Relationship Id="rId2" Type="http://schemas.microsoft.com/office/2019/04/relationships/externalLinkLongPath" Target="/personal/hoangpd_duytangroup_com/Documents/Hoang%20-%20DTR/Bao%20cao%20quan%20tri/KHNS%202026/KHNS%203%20Tram%202026/Dong%20Lam/File%20KHNS%20Dong%20Lam%20-%20Tr&#236;nh%20k&#253;%20final%2020.03.2026/DongLam_Bieu%20mau%20KHKD%202026%20-%2018.03.2026.xlsx?1D0E8179" TargetMode="External"/><Relationship Id="rId1" Type="http://schemas.openxmlformats.org/officeDocument/2006/relationships/externalLinkPath" Target="file:///\\1D0E8179\DongLam_Bieu%20mau%20KHKD%202026%20-%2018.03.2026.xlsx" TargetMode="External"/><Relationship Id="rId4" Type="http://schemas.openxmlformats.org/officeDocument/2006/relationships/externalLinkPath" Target="../../../../../Hoang%20-%20DTR/Bao%20cao%20quan%20tri/KHNS%202026/KHNS%203%20Tram%202026/Dong%20Lam/File%20KHNS%20Dong%20Lam%20-%20Tr&#236;nh%20k&#253;%20final%2020.03.2026/DongLam_Bieu%20mau%20KHKD%202026%20-%2018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Timeline &amp; PIC"/>
      <sheetName val="Thongtin"/>
      <sheetName val="KQKD Tong hop"/>
      <sheetName val="Gia dinh"/>
      <sheetName val="Cong suat"/>
      <sheetName val="Dinh muc"/>
      <sheetName val="Dinh bien_HCNS"/>
      <sheetName val="4.Doanh thu"/>
      <sheetName val="DG M-B"/>
      <sheetName val="1.NVL Chai"/>
      <sheetName val="2.Hao hut &amp; % chai "/>
      <sheetName val="3.Thanh pham"/>
      <sheetName val="CPSX"/>
      <sheetName val="CPBH"/>
      <sheetName val="CPQL"/>
      <sheetName val="CP_Kg"/>
      <sheetName val="PB_TSCD"/>
      <sheetName val="PB_CPTT"/>
      <sheetName val="DATA Phan bo"/>
      <sheetName val="FORM OH"/>
      <sheetName val="Sheet1"/>
      <sheetName val="M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D7">
            <v>15000</v>
          </cell>
        </row>
        <row r="9">
          <cell r="D9">
            <v>13500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zoomScale="85" zoomScaleNormal="85" workbookViewId="0">
      <selection activeCell="C17" sqref="C17"/>
    </sheetView>
  </sheetViews>
  <sheetFormatPr defaultRowHeight="14" x14ac:dyDescent="0.3"/>
  <cols>
    <col min="1" max="16384" width="8.7265625" style="3"/>
  </cols>
  <sheetData>
    <row r="1" spans="1:16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1:16" x14ac:dyDescent="0.3">
      <c r="A2" s="16"/>
      <c r="P2" s="17"/>
    </row>
    <row r="3" spans="1:16" x14ac:dyDescent="0.3">
      <c r="A3" s="16"/>
      <c r="P3" s="17"/>
    </row>
    <row r="4" spans="1:16" x14ac:dyDescent="0.3">
      <c r="A4" s="16"/>
      <c r="P4" s="17"/>
    </row>
    <row r="5" spans="1:16" x14ac:dyDescent="0.3">
      <c r="A5" s="16"/>
      <c r="P5" s="17"/>
    </row>
    <row r="6" spans="1:16" x14ac:dyDescent="0.3">
      <c r="A6" s="16"/>
      <c r="P6" s="17"/>
    </row>
    <row r="7" spans="1:16" x14ac:dyDescent="0.3">
      <c r="A7" s="16"/>
      <c r="P7" s="17"/>
    </row>
    <row r="8" spans="1:16" x14ac:dyDescent="0.3">
      <c r="A8" s="16"/>
      <c r="P8" s="17"/>
    </row>
    <row r="9" spans="1:16" x14ac:dyDescent="0.3">
      <c r="A9" s="16"/>
      <c r="P9" s="17"/>
    </row>
    <row r="10" spans="1:16" x14ac:dyDescent="0.3">
      <c r="A10" s="16"/>
      <c r="P10" s="17"/>
    </row>
    <row r="11" spans="1:16" x14ac:dyDescent="0.3">
      <c r="A11" s="16"/>
      <c r="P11" s="17"/>
    </row>
    <row r="12" spans="1:16" x14ac:dyDescent="0.3">
      <c r="A12" s="16"/>
      <c r="P12" s="17"/>
    </row>
    <row r="13" spans="1:16" x14ac:dyDescent="0.3">
      <c r="A13" s="16"/>
      <c r="P13" s="17"/>
    </row>
    <row r="14" spans="1:16" x14ac:dyDescent="0.3">
      <c r="A14" s="16"/>
      <c r="P14" s="17"/>
    </row>
    <row r="15" spans="1:16" x14ac:dyDescent="0.3">
      <c r="A15" s="16"/>
      <c r="P15" s="17"/>
    </row>
    <row r="16" spans="1:16" x14ac:dyDescent="0.3">
      <c r="A16" s="16"/>
      <c r="P16" s="17"/>
    </row>
    <row r="17" spans="1:16" x14ac:dyDescent="0.3">
      <c r="A17" s="16"/>
      <c r="P17" s="17"/>
    </row>
    <row r="18" spans="1:16" x14ac:dyDescent="0.3">
      <c r="A18" s="16"/>
      <c r="P18" s="17"/>
    </row>
    <row r="19" spans="1:16" x14ac:dyDescent="0.3">
      <c r="A19" s="16"/>
      <c r="P19" s="17"/>
    </row>
    <row r="20" spans="1:16" x14ac:dyDescent="0.3">
      <c r="A20" s="16"/>
      <c r="P20" s="17"/>
    </row>
    <row r="21" spans="1:16" x14ac:dyDescent="0.3">
      <c r="A21" s="16"/>
      <c r="P21" s="17"/>
    </row>
    <row r="22" spans="1:16" x14ac:dyDescent="0.3">
      <c r="A22" s="16"/>
      <c r="P22" s="17"/>
    </row>
    <row r="23" spans="1:16" x14ac:dyDescent="0.3">
      <c r="A23" s="16"/>
      <c r="P23" s="17"/>
    </row>
    <row r="24" spans="1:16" x14ac:dyDescent="0.3">
      <c r="A24" s="16"/>
      <c r="P24" s="17"/>
    </row>
    <row r="25" spans="1:16" x14ac:dyDescent="0.3">
      <c r="A25" s="16"/>
      <c r="P25" s="17"/>
    </row>
    <row r="26" spans="1:16" x14ac:dyDescent="0.3">
      <c r="A26" s="16"/>
      <c r="P26" s="17"/>
    </row>
    <row r="27" spans="1:16" x14ac:dyDescent="0.3">
      <c r="A27" s="16"/>
      <c r="P27" s="17"/>
    </row>
    <row r="28" spans="1:16" x14ac:dyDescent="0.3">
      <c r="A28" s="16"/>
      <c r="P28" s="17"/>
    </row>
    <row r="29" spans="1:16" x14ac:dyDescent="0.3">
      <c r="A29" s="16"/>
      <c r="P29" s="17"/>
    </row>
    <row r="30" spans="1:16" x14ac:dyDescent="0.3">
      <c r="A30" s="16"/>
      <c r="P30" s="17"/>
    </row>
    <row r="31" spans="1:16" x14ac:dyDescent="0.3">
      <c r="A31" s="16"/>
      <c r="P31" s="17"/>
    </row>
    <row r="32" spans="1:16" x14ac:dyDescent="0.3">
      <c r="A32" s="16"/>
      <c r="P32" s="17"/>
    </row>
    <row r="33" spans="1:16" x14ac:dyDescent="0.3">
      <c r="A33" s="16"/>
      <c r="P33" s="17"/>
    </row>
    <row r="34" spans="1:16" ht="14.5" thickBot="1" x14ac:dyDescent="0.3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</row>
  </sheetData>
  <printOptions horizontalCentered="1"/>
  <pageMargins left="0" right="0" top="0.75" bottom="0.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659A-8873-43D1-9BD5-8E3D56E5CCF7}">
  <dimension ref="A2:B15"/>
  <sheetViews>
    <sheetView workbookViewId="0">
      <selection activeCell="B11" sqref="B11"/>
    </sheetView>
  </sheetViews>
  <sheetFormatPr defaultRowHeight="14" x14ac:dyDescent="0.3"/>
  <cols>
    <col min="1" max="1" width="9.90625" style="1" customWidth="1"/>
    <col min="2" max="2" width="39.26953125" style="2" customWidth="1"/>
    <col min="3" max="16384" width="8.7265625" style="3"/>
  </cols>
  <sheetData>
    <row r="2" spans="1:2" s="5" customFormat="1" x14ac:dyDescent="0.3">
      <c r="A2" s="5" t="s">
        <v>12</v>
      </c>
      <c r="B2" s="5" t="s">
        <v>13</v>
      </c>
    </row>
    <row r="3" spans="1:2" x14ac:dyDescent="0.3">
      <c r="A3" s="1">
        <v>1</v>
      </c>
      <c r="B3" s="4" t="s">
        <v>0</v>
      </c>
    </row>
    <row r="4" spans="1:2" x14ac:dyDescent="0.3">
      <c r="A4" s="1">
        <v>2</v>
      </c>
      <c r="B4" s="4" t="s">
        <v>1</v>
      </c>
    </row>
    <row r="5" spans="1:2" x14ac:dyDescent="0.3">
      <c r="A5" s="1">
        <v>3</v>
      </c>
      <c r="B5" s="4" t="s">
        <v>2</v>
      </c>
    </row>
    <row r="6" spans="1:2" x14ac:dyDescent="0.3">
      <c r="A6" s="1">
        <v>5</v>
      </c>
      <c r="B6" s="4" t="s">
        <v>5</v>
      </c>
    </row>
    <row r="7" spans="1:2" x14ac:dyDescent="0.3">
      <c r="A7" s="1">
        <v>6</v>
      </c>
      <c r="B7" s="4" t="s">
        <v>6</v>
      </c>
    </row>
    <row r="8" spans="1:2" x14ac:dyDescent="0.3">
      <c r="A8" s="1">
        <v>7</v>
      </c>
      <c r="B8" s="4" t="s">
        <v>7</v>
      </c>
    </row>
    <row r="9" spans="1:2" x14ac:dyDescent="0.3">
      <c r="A9" s="1">
        <v>8</v>
      </c>
      <c r="B9" s="4" t="s">
        <v>8</v>
      </c>
    </row>
    <row r="10" spans="1:2" x14ac:dyDescent="0.3">
      <c r="A10" s="1">
        <v>9</v>
      </c>
      <c r="B10" s="4" t="s">
        <v>9</v>
      </c>
    </row>
    <row r="11" spans="1:2" x14ac:dyDescent="0.3">
      <c r="A11" s="1">
        <v>10</v>
      </c>
      <c r="B11" s="4" t="s">
        <v>3</v>
      </c>
    </row>
    <row r="12" spans="1:2" x14ac:dyDescent="0.3">
      <c r="A12" s="1">
        <v>12</v>
      </c>
      <c r="B12" s="4" t="s">
        <v>10</v>
      </c>
    </row>
    <row r="13" spans="1:2" x14ac:dyDescent="0.3">
      <c r="A13" s="1">
        <v>13</v>
      </c>
      <c r="B13" s="4" t="s">
        <v>4</v>
      </c>
    </row>
    <row r="14" spans="1:2" x14ac:dyDescent="0.3">
      <c r="A14" s="1">
        <v>14</v>
      </c>
      <c r="B14" s="4" t="s">
        <v>11</v>
      </c>
    </row>
    <row r="15" spans="1:2" x14ac:dyDescent="0.3">
      <c r="B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D80C-6478-486C-9E94-AC64411DEAA0}">
  <sheetPr>
    <tabColor rgb="FF0066FF"/>
  </sheetPr>
  <dimension ref="A1:N64"/>
  <sheetViews>
    <sheetView zoomScale="70" zoomScaleNormal="70" workbookViewId="0">
      <selection activeCell="E14" sqref="E14"/>
    </sheetView>
  </sheetViews>
  <sheetFormatPr defaultColWidth="8.90625" defaultRowHeight="14" x14ac:dyDescent="0.3"/>
  <cols>
    <col min="1" max="1" width="6.453125" style="56" customWidth="1"/>
    <col min="2" max="2" width="36.7265625" style="56" customWidth="1" collapsed="1"/>
    <col min="3" max="3" width="16.7265625" style="408" customWidth="1"/>
    <col min="4" max="4" width="11.90625" style="58" customWidth="1"/>
    <col min="5" max="5" width="14.26953125" style="56" customWidth="1"/>
    <col min="6" max="6" width="8.1796875" style="407" customWidth="1"/>
    <col min="7" max="7" width="19" style="56" customWidth="1"/>
    <col min="8" max="8" width="8.1796875" style="407" customWidth="1"/>
    <col min="9" max="9" width="16.6328125" style="56" customWidth="1"/>
    <col min="10" max="10" width="8.1796875" style="407" customWidth="1"/>
    <col min="11" max="11" width="17.54296875" style="56" bestFit="1" customWidth="1"/>
    <col min="12" max="12" width="8.1796875" style="407" customWidth="1"/>
    <col min="13" max="13" width="15.81640625" style="56" bestFit="1" customWidth="1"/>
    <col min="14" max="14" width="26" style="56" customWidth="1"/>
    <col min="15" max="16384" width="8.90625" style="56"/>
  </cols>
  <sheetData>
    <row r="1" spans="1:14" ht="15.5" x14ac:dyDescent="0.35">
      <c r="A1" s="406" t="s">
        <v>596</v>
      </c>
      <c r="C1" s="407"/>
      <c r="D1" s="56"/>
    </row>
    <row r="2" spans="1:14" x14ac:dyDescent="0.3">
      <c r="A2" s="435" t="s">
        <v>398</v>
      </c>
      <c r="B2" s="436" t="s">
        <v>266</v>
      </c>
      <c r="C2" s="407"/>
      <c r="D2" s="56"/>
    </row>
    <row r="3" spans="1:14" ht="18" x14ac:dyDescent="0.4">
      <c r="A3" s="1094" t="s">
        <v>12</v>
      </c>
      <c r="B3" s="1096" t="s">
        <v>267</v>
      </c>
      <c r="C3" s="1096" t="s">
        <v>211</v>
      </c>
      <c r="D3" s="1096" t="s">
        <v>595</v>
      </c>
      <c r="E3" s="1096" t="s">
        <v>212</v>
      </c>
      <c r="F3" s="1092" t="s">
        <v>777</v>
      </c>
      <c r="G3" s="1093"/>
      <c r="H3" s="1092" t="s">
        <v>778</v>
      </c>
      <c r="I3" s="1093"/>
      <c r="J3" s="1092" t="s">
        <v>779</v>
      </c>
      <c r="K3" s="1093"/>
      <c r="L3" s="1092" t="s">
        <v>780</v>
      </c>
      <c r="M3" s="1093"/>
      <c r="N3" s="1090" t="s">
        <v>51</v>
      </c>
    </row>
    <row r="4" spans="1:14" ht="28" x14ac:dyDescent="0.3">
      <c r="A4" s="1095"/>
      <c r="B4" s="1097"/>
      <c r="C4" s="1097"/>
      <c r="D4" s="1097"/>
      <c r="E4" s="1097"/>
      <c r="F4" s="747" t="s">
        <v>213</v>
      </c>
      <c r="G4" s="748" t="s">
        <v>214</v>
      </c>
      <c r="H4" s="747" t="s">
        <v>213</v>
      </c>
      <c r="I4" s="748" t="s">
        <v>214</v>
      </c>
      <c r="J4" s="747" t="s">
        <v>213</v>
      </c>
      <c r="K4" s="748" t="s">
        <v>214</v>
      </c>
      <c r="L4" s="747" t="s">
        <v>213</v>
      </c>
      <c r="M4" s="748" t="s">
        <v>214</v>
      </c>
      <c r="N4" s="1091"/>
    </row>
    <row r="5" spans="1:14" s="64" customFormat="1" x14ac:dyDescent="0.35">
      <c r="A5" s="409" t="s">
        <v>186</v>
      </c>
      <c r="B5" s="410" t="s">
        <v>263</v>
      </c>
      <c r="C5" s="411"/>
      <c r="D5" s="409"/>
      <c r="E5" s="412"/>
      <c r="F5" s="445"/>
      <c r="G5" s="446">
        <f>G6+G9+G12+G15+G25+G32+G39</f>
        <v>16230006000</v>
      </c>
      <c r="H5" s="445"/>
      <c r="I5" s="446">
        <f>I6+I9+I12+I15+I25+I32+I39</f>
        <v>16230006000</v>
      </c>
      <c r="J5" s="445"/>
      <c r="K5" s="446">
        <f>K6+K9+K12+K15+K25+K32+K39</f>
        <v>16230006000</v>
      </c>
      <c r="L5" s="445"/>
      <c r="M5" s="446">
        <f>M6+M9+M12+M15+M25+M32+M39</f>
        <v>16230006000</v>
      </c>
      <c r="N5" s="446"/>
    </row>
    <row r="6" spans="1:14" s="63" customFormat="1" x14ac:dyDescent="0.3">
      <c r="A6" s="222">
        <v>1</v>
      </c>
      <c r="B6" s="414" t="s">
        <v>798</v>
      </c>
      <c r="C6" s="415"/>
      <c r="D6" s="416" t="s">
        <v>482</v>
      </c>
      <c r="E6" s="416"/>
      <c r="F6" s="447"/>
      <c r="G6" s="448">
        <f>G7+G8</f>
        <v>160000000</v>
      </c>
      <c r="H6" s="447"/>
      <c r="I6" s="448">
        <f>I7+I8</f>
        <v>160000000</v>
      </c>
      <c r="J6" s="447"/>
      <c r="K6" s="448">
        <f>K7+K8</f>
        <v>160000000</v>
      </c>
      <c r="L6" s="447"/>
      <c r="M6" s="448">
        <f>M7+M8</f>
        <v>160000000</v>
      </c>
      <c r="N6" s="448"/>
    </row>
    <row r="7" spans="1:14" s="7" customFormat="1" x14ac:dyDescent="0.35">
      <c r="A7" s="417"/>
      <c r="B7" s="418" t="s">
        <v>234</v>
      </c>
      <c r="C7" s="419" t="s">
        <v>216</v>
      </c>
      <c r="D7" s="417"/>
      <c r="E7" s="420">
        <v>80000000</v>
      </c>
      <c r="F7" s="449">
        <v>1</v>
      </c>
      <c r="G7" s="450">
        <f>$E7*F7</f>
        <v>80000000</v>
      </c>
      <c r="H7" s="449">
        <v>1</v>
      </c>
      <c r="I7" s="450">
        <f>$E7*H7</f>
        <v>80000000</v>
      </c>
      <c r="J7" s="449">
        <v>1</v>
      </c>
      <c r="K7" s="450">
        <f>$E7*J7</f>
        <v>80000000</v>
      </c>
      <c r="L7" s="449">
        <v>1</v>
      </c>
      <c r="M7" s="450">
        <f>$E7*L7</f>
        <v>80000000</v>
      </c>
      <c r="N7" s="450"/>
    </row>
    <row r="8" spans="1:14" s="7" customFormat="1" x14ac:dyDescent="0.35">
      <c r="A8" s="417"/>
      <c r="B8" s="421" t="s">
        <v>237</v>
      </c>
      <c r="C8" s="419" t="s">
        <v>216</v>
      </c>
      <c r="D8" s="419"/>
      <c r="E8" s="420">
        <v>80000000</v>
      </c>
      <c r="F8" s="449">
        <v>1</v>
      </c>
      <c r="G8" s="450">
        <f>$E8*F8</f>
        <v>80000000</v>
      </c>
      <c r="H8" s="449">
        <v>1</v>
      </c>
      <c r="I8" s="450">
        <f>$E8*H8</f>
        <v>80000000</v>
      </c>
      <c r="J8" s="449">
        <v>1</v>
      </c>
      <c r="K8" s="450">
        <f>$E8*J8</f>
        <v>80000000</v>
      </c>
      <c r="L8" s="449">
        <v>1</v>
      </c>
      <c r="M8" s="450">
        <f>$E8*L8</f>
        <v>80000000</v>
      </c>
      <c r="N8" s="450"/>
    </row>
    <row r="9" spans="1:14" s="63" customFormat="1" x14ac:dyDescent="0.3">
      <c r="A9" s="222">
        <v>2</v>
      </c>
      <c r="B9" s="414" t="s">
        <v>799</v>
      </c>
      <c r="C9" s="415"/>
      <c r="D9" s="422" t="s">
        <v>483</v>
      </c>
      <c r="E9" s="416"/>
      <c r="F9" s="447"/>
      <c r="G9" s="448">
        <f>G10</f>
        <v>445000000</v>
      </c>
      <c r="H9" s="447"/>
      <c r="I9" s="448">
        <f>I10</f>
        <v>445000000</v>
      </c>
      <c r="J9" s="447"/>
      <c r="K9" s="448">
        <f>K10</f>
        <v>445000000</v>
      </c>
      <c r="L9" s="447"/>
      <c r="M9" s="448">
        <f>M10</f>
        <v>445000000</v>
      </c>
      <c r="N9" s="448"/>
    </row>
    <row r="10" spans="1:14" s="7" customFormat="1" x14ac:dyDescent="0.35">
      <c r="A10" s="417"/>
      <c r="B10" s="421" t="s">
        <v>79</v>
      </c>
      <c r="C10" s="419" t="s">
        <v>216</v>
      </c>
      <c r="D10" s="423"/>
      <c r="E10" s="1011">
        <v>445000000</v>
      </c>
      <c r="F10" s="449">
        <v>1</v>
      </c>
      <c r="G10" s="450">
        <f>$E10*F10</f>
        <v>445000000</v>
      </c>
      <c r="H10" s="449">
        <v>1</v>
      </c>
      <c r="I10" s="450">
        <f>$E10*H10</f>
        <v>445000000</v>
      </c>
      <c r="J10" s="449">
        <v>1</v>
      </c>
      <c r="K10" s="450">
        <f>$E10*J10</f>
        <v>445000000</v>
      </c>
      <c r="L10" s="449">
        <v>1</v>
      </c>
      <c r="M10" s="450">
        <f>$E10*L10</f>
        <v>445000000</v>
      </c>
      <c r="N10" s="450" t="s">
        <v>805</v>
      </c>
    </row>
    <row r="11" spans="1:14" s="7" customFormat="1" x14ac:dyDescent="0.35">
      <c r="A11" s="417"/>
      <c r="B11" s="421" t="s">
        <v>811</v>
      </c>
      <c r="C11" s="419" t="s">
        <v>216</v>
      </c>
      <c r="D11" s="423"/>
      <c r="E11" s="1011">
        <v>120000000</v>
      </c>
      <c r="F11" s="449">
        <v>1</v>
      </c>
      <c r="G11" s="450">
        <f>$E11*F11</f>
        <v>120000000</v>
      </c>
      <c r="H11" s="449">
        <v>1</v>
      </c>
      <c r="I11" s="450">
        <f>$E11*H11</f>
        <v>120000000</v>
      </c>
      <c r="J11" s="449">
        <v>1</v>
      </c>
      <c r="K11" s="450">
        <f>$E11*J11</f>
        <v>120000000</v>
      </c>
      <c r="L11" s="449">
        <v>1</v>
      </c>
      <c r="M11" s="450">
        <f>$E11*L11</f>
        <v>120000000</v>
      </c>
      <c r="N11" s="450" t="s">
        <v>805</v>
      </c>
    </row>
    <row r="12" spans="1:14" s="63" customFormat="1" x14ac:dyDescent="0.3">
      <c r="A12" s="222">
        <v>3</v>
      </c>
      <c r="B12" s="414" t="s">
        <v>800</v>
      </c>
      <c r="C12" s="415"/>
      <c r="D12" s="416" t="s">
        <v>482</v>
      </c>
      <c r="E12" s="416"/>
      <c r="F12" s="447"/>
      <c r="G12" s="448">
        <f>G13+G14</f>
        <v>590000000</v>
      </c>
      <c r="H12" s="447"/>
      <c r="I12" s="448">
        <f>I13+I14</f>
        <v>590000000</v>
      </c>
      <c r="J12" s="447"/>
      <c r="K12" s="448">
        <f>K13+K14</f>
        <v>590000000</v>
      </c>
      <c r="L12" s="447"/>
      <c r="M12" s="448">
        <f>M13+M14</f>
        <v>590000000</v>
      </c>
      <c r="N12" s="448"/>
    </row>
    <row r="13" spans="1:14" s="7" customFormat="1" x14ac:dyDescent="0.35">
      <c r="A13" s="417"/>
      <c r="B13" s="421" t="s">
        <v>215</v>
      </c>
      <c r="C13" s="423" t="s">
        <v>216</v>
      </c>
      <c r="D13" s="423"/>
      <c r="E13" s="420">
        <v>120000000</v>
      </c>
      <c r="F13" s="449">
        <v>2</v>
      </c>
      <c r="G13" s="450">
        <f t="shared" ref="G13:G14" si="0">$E13*F13</f>
        <v>240000000</v>
      </c>
      <c r="H13" s="449">
        <v>2</v>
      </c>
      <c r="I13" s="450">
        <f t="shared" ref="I13:I14" si="1">$E13*H13</f>
        <v>240000000</v>
      </c>
      <c r="J13" s="449">
        <v>2</v>
      </c>
      <c r="K13" s="450">
        <f t="shared" ref="K13:K14" si="2">$E13*J13</f>
        <v>240000000</v>
      </c>
      <c r="L13" s="449">
        <v>2</v>
      </c>
      <c r="M13" s="450">
        <f t="shared" ref="M13:M14" si="3">$E13*L13</f>
        <v>240000000</v>
      </c>
      <c r="N13" s="450"/>
    </row>
    <row r="14" spans="1:14" s="7" customFormat="1" x14ac:dyDescent="0.35">
      <c r="A14" s="417"/>
      <c r="B14" s="418" t="s">
        <v>232</v>
      </c>
      <c r="C14" s="423" t="s">
        <v>221</v>
      </c>
      <c r="D14" s="423"/>
      <c r="E14" s="420">
        <v>350000000</v>
      </c>
      <c r="F14" s="449">
        <v>1</v>
      </c>
      <c r="G14" s="450">
        <f t="shared" si="0"/>
        <v>350000000</v>
      </c>
      <c r="H14" s="449">
        <v>1</v>
      </c>
      <c r="I14" s="450">
        <f t="shared" si="1"/>
        <v>350000000</v>
      </c>
      <c r="J14" s="449">
        <v>1</v>
      </c>
      <c r="K14" s="450">
        <f t="shared" si="2"/>
        <v>350000000</v>
      </c>
      <c r="L14" s="449">
        <v>1</v>
      </c>
      <c r="M14" s="450">
        <f t="shared" si="3"/>
        <v>350000000</v>
      </c>
      <c r="N14" s="450"/>
    </row>
    <row r="15" spans="1:14" s="63" customFormat="1" x14ac:dyDescent="0.3">
      <c r="A15" s="222">
        <v>4</v>
      </c>
      <c r="B15" s="414" t="s">
        <v>801</v>
      </c>
      <c r="C15" s="415"/>
      <c r="D15" s="416" t="s">
        <v>482</v>
      </c>
      <c r="E15" s="416"/>
      <c r="F15" s="447"/>
      <c r="G15" s="448">
        <f>SUM(G16:G24)</f>
        <v>5575000000</v>
      </c>
      <c r="H15" s="447"/>
      <c r="I15" s="448">
        <f>SUM(I16:I24)</f>
        <v>5575000000</v>
      </c>
      <c r="J15" s="447"/>
      <c r="K15" s="448">
        <f>SUM(K16:K24)</f>
        <v>5575000000</v>
      </c>
      <c r="L15" s="447"/>
      <c r="M15" s="448">
        <f>SUM(M16:M24)</f>
        <v>5575000000</v>
      </c>
      <c r="N15" s="448"/>
    </row>
    <row r="16" spans="1:14" s="7" customFormat="1" x14ac:dyDescent="0.35">
      <c r="A16" s="417"/>
      <c r="B16" s="421" t="s">
        <v>217</v>
      </c>
      <c r="C16" s="423" t="s">
        <v>218</v>
      </c>
      <c r="D16" s="423"/>
      <c r="E16" s="420">
        <v>950000000</v>
      </c>
      <c r="F16" s="449">
        <v>2</v>
      </c>
      <c r="G16" s="450">
        <f t="shared" ref="G16:G24" si="4">$E16*F16</f>
        <v>1900000000</v>
      </c>
      <c r="H16" s="449">
        <v>2</v>
      </c>
      <c r="I16" s="450">
        <f t="shared" ref="I16:I24" si="5">$E16*H16</f>
        <v>1900000000</v>
      </c>
      <c r="J16" s="449">
        <v>2</v>
      </c>
      <c r="K16" s="450">
        <f t="shared" ref="K16:K24" si="6">$E16*J16</f>
        <v>1900000000</v>
      </c>
      <c r="L16" s="449">
        <v>2</v>
      </c>
      <c r="M16" s="450">
        <f t="shared" ref="M16:M24" si="7">$E16*L16</f>
        <v>1900000000</v>
      </c>
      <c r="N16" s="450"/>
    </row>
    <row r="17" spans="1:14" s="7" customFormat="1" x14ac:dyDescent="0.35">
      <c r="A17" s="417"/>
      <c r="B17" s="418" t="s">
        <v>219</v>
      </c>
      <c r="C17" s="423" t="s">
        <v>218</v>
      </c>
      <c r="D17" s="423"/>
      <c r="E17" s="420">
        <v>180000000</v>
      </c>
      <c r="F17" s="449">
        <v>1</v>
      </c>
      <c r="G17" s="450">
        <f t="shared" si="4"/>
        <v>180000000</v>
      </c>
      <c r="H17" s="449">
        <v>1</v>
      </c>
      <c r="I17" s="450">
        <f t="shared" si="5"/>
        <v>180000000</v>
      </c>
      <c r="J17" s="449">
        <v>1</v>
      </c>
      <c r="K17" s="450">
        <f t="shared" si="6"/>
        <v>180000000</v>
      </c>
      <c r="L17" s="449">
        <v>1</v>
      </c>
      <c r="M17" s="450">
        <f t="shared" si="7"/>
        <v>180000000</v>
      </c>
      <c r="N17" s="450"/>
    </row>
    <row r="18" spans="1:14" s="7" customFormat="1" x14ac:dyDescent="0.35">
      <c r="A18" s="417"/>
      <c r="B18" s="421" t="s">
        <v>235</v>
      </c>
      <c r="C18" s="419" t="s">
        <v>216</v>
      </c>
      <c r="D18" s="417"/>
      <c r="E18" s="420">
        <v>295000000</v>
      </c>
      <c r="F18" s="449">
        <v>1</v>
      </c>
      <c r="G18" s="450">
        <f t="shared" si="4"/>
        <v>295000000</v>
      </c>
      <c r="H18" s="449">
        <v>1</v>
      </c>
      <c r="I18" s="450">
        <f t="shared" si="5"/>
        <v>295000000</v>
      </c>
      <c r="J18" s="449">
        <v>1</v>
      </c>
      <c r="K18" s="450">
        <f t="shared" si="6"/>
        <v>295000000</v>
      </c>
      <c r="L18" s="449">
        <v>1</v>
      </c>
      <c r="M18" s="450">
        <f t="shared" si="7"/>
        <v>295000000</v>
      </c>
      <c r="N18" s="450"/>
    </row>
    <row r="19" spans="1:14" s="7" customFormat="1" x14ac:dyDescent="0.35">
      <c r="A19" s="417"/>
      <c r="B19" s="418" t="s">
        <v>236</v>
      </c>
      <c r="C19" s="419" t="s">
        <v>216</v>
      </c>
      <c r="D19" s="417"/>
      <c r="E19" s="420">
        <v>350000000</v>
      </c>
      <c r="F19" s="449">
        <v>1</v>
      </c>
      <c r="G19" s="450">
        <f t="shared" si="4"/>
        <v>350000000</v>
      </c>
      <c r="H19" s="449">
        <v>1</v>
      </c>
      <c r="I19" s="450">
        <f t="shared" si="5"/>
        <v>350000000</v>
      </c>
      <c r="J19" s="449">
        <v>1</v>
      </c>
      <c r="K19" s="450">
        <f t="shared" si="6"/>
        <v>350000000</v>
      </c>
      <c r="L19" s="449">
        <v>1</v>
      </c>
      <c r="M19" s="450">
        <f t="shared" si="7"/>
        <v>350000000</v>
      </c>
      <c r="N19" s="450"/>
    </row>
    <row r="20" spans="1:14" s="7" customFormat="1" x14ac:dyDescent="0.35">
      <c r="A20" s="417"/>
      <c r="B20" s="418" t="s">
        <v>231</v>
      </c>
      <c r="C20" s="423" t="s">
        <v>216</v>
      </c>
      <c r="D20" s="423"/>
      <c r="E20" s="420">
        <v>240000000</v>
      </c>
      <c r="F20" s="449">
        <v>5</v>
      </c>
      <c r="G20" s="450">
        <f t="shared" si="4"/>
        <v>1200000000</v>
      </c>
      <c r="H20" s="449">
        <v>5</v>
      </c>
      <c r="I20" s="450">
        <f t="shared" si="5"/>
        <v>1200000000</v>
      </c>
      <c r="J20" s="449">
        <v>5</v>
      </c>
      <c r="K20" s="450">
        <f t="shared" si="6"/>
        <v>1200000000</v>
      </c>
      <c r="L20" s="449">
        <v>5</v>
      </c>
      <c r="M20" s="450">
        <f t="shared" si="7"/>
        <v>1200000000</v>
      </c>
      <c r="N20" s="450"/>
    </row>
    <row r="21" spans="1:14" s="3" customFormat="1" x14ac:dyDescent="0.3">
      <c r="A21" s="417"/>
      <c r="B21" s="418" t="s">
        <v>246</v>
      </c>
      <c r="C21" s="419" t="s">
        <v>216</v>
      </c>
      <c r="D21" s="417"/>
      <c r="E21" s="420">
        <v>600000000</v>
      </c>
      <c r="F21" s="449">
        <v>1</v>
      </c>
      <c r="G21" s="450">
        <f t="shared" si="4"/>
        <v>600000000</v>
      </c>
      <c r="H21" s="449">
        <v>1</v>
      </c>
      <c r="I21" s="450">
        <f t="shared" si="5"/>
        <v>600000000</v>
      </c>
      <c r="J21" s="449">
        <v>1</v>
      </c>
      <c r="K21" s="450">
        <f t="shared" si="6"/>
        <v>600000000</v>
      </c>
      <c r="L21" s="449">
        <v>1</v>
      </c>
      <c r="M21" s="450">
        <f t="shared" si="7"/>
        <v>600000000</v>
      </c>
      <c r="N21" s="450"/>
    </row>
    <row r="22" spans="1:14" s="3" customFormat="1" x14ac:dyDescent="0.3">
      <c r="A22" s="417"/>
      <c r="B22" s="418" t="s">
        <v>247</v>
      </c>
      <c r="C22" s="419" t="s">
        <v>216</v>
      </c>
      <c r="D22" s="417"/>
      <c r="E22" s="420">
        <v>400000000</v>
      </c>
      <c r="F22" s="449">
        <v>1</v>
      </c>
      <c r="G22" s="450">
        <f t="shared" si="4"/>
        <v>400000000</v>
      </c>
      <c r="H22" s="449">
        <v>1</v>
      </c>
      <c r="I22" s="450">
        <f t="shared" si="5"/>
        <v>400000000</v>
      </c>
      <c r="J22" s="449">
        <v>1</v>
      </c>
      <c r="K22" s="450">
        <f t="shared" si="6"/>
        <v>400000000</v>
      </c>
      <c r="L22" s="449">
        <v>1</v>
      </c>
      <c r="M22" s="450">
        <f t="shared" si="7"/>
        <v>400000000</v>
      </c>
      <c r="N22" s="450"/>
    </row>
    <row r="23" spans="1:14" s="3" customFormat="1" x14ac:dyDescent="0.3">
      <c r="A23" s="417"/>
      <c r="B23" s="424" t="s">
        <v>248</v>
      </c>
      <c r="C23" s="419" t="s">
        <v>216</v>
      </c>
      <c r="D23" s="417"/>
      <c r="E23" s="420">
        <v>350000000</v>
      </c>
      <c r="F23" s="449">
        <v>1</v>
      </c>
      <c r="G23" s="450">
        <f t="shared" si="4"/>
        <v>350000000</v>
      </c>
      <c r="H23" s="449">
        <v>1</v>
      </c>
      <c r="I23" s="450">
        <f t="shared" si="5"/>
        <v>350000000</v>
      </c>
      <c r="J23" s="449">
        <v>1</v>
      </c>
      <c r="K23" s="450">
        <f t="shared" si="6"/>
        <v>350000000</v>
      </c>
      <c r="L23" s="449">
        <v>1</v>
      </c>
      <c r="M23" s="450">
        <f t="shared" si="7"/>
        <v>350000000</v>
      </c>
      <c r="N23" s="450"/>
    </row>
    <row r="24" spans="1:14" s="3" customFormat="1" x14ac:dyDescent="0.3">
      <c r="A24" s="417"/>
      <c r="B24" s="418" t="s">
        <v>249</v>
      </c>
      <c r="C24" s="419" t="s">
        <v>216</v>
      </c>
      <c r="D24" s="417"/>
      <c r="E24" s="420">
        <v>150000000</v>
      </c>
      <c r="F24" s="449">
        <v>2</v>
      </c>
      <c r="G24" s="450">
        <f t="shared" si="4"/>
        <v>300000000</v>
      </c>
      <c r="H24" s="449">
        <v>2</v>
      </c>
      <c r="I24" s="450">
        <f t="shared" si="5"/>
        <v>300000000</v>
      </c>
      <c r="J24" s="449">
        <v>2</v>
      </c>
      <c r="K24" s="450">
        <f t="shared" si="6"/>
        <v>300000000</v>
      </c>
      <c r="L24" s="449">
        <v>2</v>
      </c>
      <c r="M24" s="450">
        <f t="shared" si="7"/>
        <v>300000000</v>
      </c>
      <c r="N24" s="450"/>
    </row>
    <row r="25" spans="1:14" s="63" customFormat="1" x14ac:dyDescent="0.3">
      <c r="A25" s="222">
        <v>5</v>
      </c>
      <c r="B25" s="414" t="s">
        <v>7</v>
      </c>
      <c r="C25" s="415"/>
      <c r="D25" s="422" t="s">
        <v>484</v>
      </c>
      <c r="E25" s="416"/>
      <c r="F25" s="447"/>
      <c r="G25" s="448">
        <f>SUM(G26:G31)</f>
        <v>3230000000</v>
      </c>
      <c r="H25" s="447"/>
      <c r="I25" s="448">
        <f>SUM(I26:I31)</f>
        <v>3230000000</v>
      </c>
      <c r="J25" s="447"/>
      <c r="K25" s="448">
        <f>SUM(K26:K31)</f>
        <v>3230000000</v>
      </c>
      <c r="L25" s="447"/>
      <c r="M25" s="448">
        <f>SUM(M26:M31)</f>
        <v>3230000000</v>
      </c>
      <c r="N25" s="448"/>
    </row>
    <row r="26" spans="1:14" s="7" customFormat="1" x14ac:dyDescent="0.35">
      <c r="A26" s="417"/>
      <c r="B26" s="418" t="s">
        <v>222</v>
      </c>
      <c r="C26" s="423" t="s">
        <v>216</v>
      </c>
      <c r="D26" s="423"/>
      <c r="E26" s="420">
        <v>660000000</v>
      </c>
      <c r="F26" s="449">
        <v>3</v>
      </c>
      <c r="G26" s="450">
        <f t="shared" ref="G26:G31" si="8">$E26*F26</f>
        <v>1980000000</v>
      </c>
      <c r="H26" s="449">
        <v>3</v>
      </c>
      <c r="I26" s="450">
        <f t="shared" ref="I26:I31" si="9">$E26*H26</f>
        <v>1980000000</v>
      </c>
      <c r="J26" s="449">
        <v>3</v>
      </c>
      <c r="K26" s="450">
        <f t="shared" ref="K26:K31" si="10">$E26*J26</f>
        <v>1980000000</v>
      </c>
      <c r="L26" s="449">
        <v>3</v>
      </c>
      <c r="M26" s="450">
        <f t="shared" ref="M26:M31" si="11">$E26*L26</f>
        <v>1980000000</v>
      </c>
      <c r="N26" s="450" t="s">
        <v>806</v>
      </c>
    </row>
    <row r="27" spans="1:14" s="7" customFormat="1" x14ac:dyDescent="0.35">
      <c r="A27" s="417"/>
      <c r="B27" s="421" t="s">
        <v>241</v>
      </c>
      <c r="C27" s="419" t="s">
        <v>216</v>
      </c>
      <c r="D27" s="419"/>
      <c r="E27" s="420">
        <v>50000000</v>
      </c>
      <c r="F27" s="449">
        <v>2</v>
      </c>
      <c r="G27" s="450">
        <f t="shared" si="8"/>
        <v>100000000</v>
      </c>
      <c r="H27" s="449">
        <v>2</v>
      </c>
      <c r="I27" s="450">
        <f t="shared" si="9"/>
        <v>100000000</v>
      </c>
      <c r="J27" s="449">
        <v>2</v>
      </c>
      <c r="K27" s="450">
        <f t="shared" si="10"/>
        <v>100000000</v>
      </c>
      <c r="L27" s="449">
        <v>2</v>
      </c>
      <c r="M27" s="450">
        <f t="shared" si="11"/>
        <v>100000000</v>
      </c>
      <c r="N27" s="450" t="s">
        <v>807</v>
      </c>
    </row>
    <row r="28" spans="1:14" s="7" customFormat="1" x14ac:dyDescent="0.35">
      <c r="A28" s="417"/>
      <c r="B28" s="418" t="s">
        <v>223</v>
      </c>
      <c r="C28" s="423" t="s">
        <v>224</v>
      </c>
      <c r="D28" s="423"/>
      <c r="E28" s="420">
        <v>100000000</v>
      </c>
      <c r="F28" s="449">
        <v>2</v>
      </c>
      <c r="G28" s="450">
        <f t="shared" si="8"/>
        <v>200000000</v>
      </c>
      <c r="H28" s="449">
        <v>2</v>
      </c>
      <c r="I28" s="450">
        <f t="shared" si="9"/>
        <v>200000000</v>
      </c>
      <c r="J28" s="449">
        <v>2</v>
      </c>
      <c r="K28" s="450">
        <f t="shared" si="10"/>
        <v>200000000</v>
      </c>
      <c r="L28" s="449">
        <v>2</v>
      </c>
      <c r="M28" s="450">
        <f t="shared" si="11"/>
        <v>200000000</v>
      </c>
      <c r="N28" s="450" t="s">
        <v>807</v>
      </c>
    </row>
    <row r="29" spans="1:14" s="7" customFormat="1" x14ac:dyDescent="0.35">
      <c r="A29" s="417"/>
      <c r="B29" s="418" t="s">
        <v>802</v>
      </c>
      <c r="C29" s="419" t="s">
        <v>216</v>
      </c>
      <c r="D29" s="417"/>
      <c r="E29" s="420">
        <v>160000000</v>
      </c>
      <c r="F29" s="449">
        <v>3</v>
      </c>
      <c r="G29" s="450">
        <f t="shared" si="8"/>
        <v>480000000</v>
      </c>
      <c r="H29" s="449">
        <v>3</v>
      </c>
      <c r="I29" s="450">
        <f t="shared" si="9"/>
        <v>480000000</v>
      </c>
      <c r="J29" s="449">
        <v>3</v>
      </c>
      <c r="K29" s="450">
        <f t="shared" si="10"/>
        <v>480000000</v>
      </c>
      <c r="L29" s="449">
        <v>3</v>
      </c>
      <c r="M29" s="450">
        <f t="shared" si="11"/>
        <v>480000000</v>
      </c>
      <c r="N29" s="450"/>
    </row>
    <row r="30" spans="1:14" s="7" customFormat="1" x14ac:dyDescent="0.35">
      <c r="A30" s="417"/>
      <c r="B30" s="418" t="s">
        <v>240</v>
      </c>
      <c r="C30" s="419" t="s">
        <v>216</v>
      </c>
      <c r="D30" s="417"/>
      <c r="E30" s="420">
        <v>175000000</v>
      </c>
      <c r="F30" s="449">
        <v>2</v>
      </c>
      <c r="G30" s="450">
        <f t="shared" si="8"/>
        <v>350000000</v>
      </c>
      <c r="H30" s="449">
        <v>2</v>
      </c>
      <c r="I30" s="450">
        <f t="shared" si="9"/>
        <v>350000000</v>
      </c>
      <c r="J30" s="449">
        <v>2</v>
      </c>
      <c r="K30" s="450">
        <f t="shared" si="10"/>
        <v>350000000</v>
      </c>
      <c r="L30" s="449">
        <v>2</v>
      </c>
      <c r="M30" s="450">
        <f t="shared" si="11"/>
        <v>350000000</v>
      </c>
      <c r="N30" s="450" t="s">
        <v>807</v>
      </c>
    </row>
    <row r="31" spans="1:14" s="63" customFormat="1" x14ac:dyDescent="0.3">
      <c r="A31" s="417"/>
      <c r="B31" s="418" t="s">
        <v>238</v>
      </c>
      <c r="C31" s="419" t="s">
        <v>216</v>
      </c>
      <c r="D31" s="417"/>
      <c r="E31" s="420">
        <v>120000000</v>
      </c>
      <c r="F31" s="449">
        <v>1</v>
      </c>
      <c r="G31" s="450">
        <f t="shared" si="8"/>
        <v>120000000</v>
      </c>
      <c r="H31" s="449">
        <v>1</v>
      </c>
      <c r="I31" s="450">
        <f t="shared" si="9"/>
        <v>120000000</v>
      </c>
      <c r="J31" s="449">
        <v>1</v>
      </c>
      <c r="K31" s="450">
        <f t="shared" si="10"/>
        <v>120000000</v>
      </c>
      <c r="L31" s="449">
        <v>1</v>
      </c>
      <c r="M31" s="450">
        <f t="shared" si="11"/>
        <v>120000000</v>
      </c>
      <c r="N31" s="450"/>
    </row>
    <row r="32" spans="1:14" s="7" customFormat="1" x14ac:dyDescent="0.3">
      <c r="A32" s="222">
        <v>6</v>
      </c>
      <c r="B32" s="414" t="s">
        <v>486</v>
      </c>
      <c r="C32" s="415"/>
      <c r="D32" s="416" t="s">
        <v>482</v>
      </c>
      <c r="E32" s="416"/>
      <c r="F32" s="447"/>
      <c r="G32" s="448">
        <f>SUM(G33:G38)</f>
        <v>3850000000</v>
      </c>
      <c r="H32" s="447"/>
      <c r="I32" s="448">
        <f>SUM(I33:I38)</f>
        <v>3850000000</v>
      </c>
      <c r="J32" s="447"/>
      <c r="K32" s="448">
        <f>SUM(K33:K38)</f>
        <v>3850000000</v>
      </c>
      <c r="L32" s="447"/>
      <c r="M32" s="448">
        <f>SUM(M33:M38)</f>
        <v>3850000000</v>
      </c>
      <c r="N32" s="448"/>
    </row>
    <row r="33" spans="1:14" s="7" customFormat="1" x14ac:dyDescent="0.35">
      <c r="A33" s="417"/>
      <c r="B33" s="421" t="s">
        <v>217</v>
      </c>
      <c r="C33" s="423" t="s">
        <v>218</v>
      </c>
      <c r="D33" s="423"/>
      <c r="E33" s="420">
        <v>950000000</v>
      </c>
      <c r="F33" s="449">
        <v>3</v>
      </c>
      <c r="G33" s="450">
        <f t="shared" ref="G33:G37" si="12">$E33*F33</f>
        <v>2850000000</v>
      </c>
      <c r="H33" s="449">
        <v>3</v>
      </c>
      <c r="I33" s="450">
        <f t="shared" ref="I33:I37" si="13">$E33*H33</f>
        <v>2850000000</v>
      </c>
      <c r="J33" s="449">
        <v>3</v>
      </c>
      <c r="K33" s="450">
        <f t="shared" ref="K33:K37" si="14">$E33*J33</f>
        <v>2850000000</v>
      </c>
      <c r="L33" s="449">
        <v>3</v>
      </c>
      <c r="M33" s="450">
        <f t="shared" ref="M33:M37" si="15">$E33*L33</f>
        <v>2850000000</v>
      </c>
      <c r="N33" s="450" t="s">
        <v>806</v>
      </c>
    </row>
    <row r="34" spans="1:14" s="7" customFormat="1" x14ac:dyDescent="0.35">
      <c r="A34" s="417"/>
      <c r="B34" s="421" t="s">
        <v>242</v>
      </c>
      <c r="C34" s="419" t="s">
        <v>216</v>
      </c>
      <c r="D34" s="417"/>
      <c r="E34" s="420">
        <v>100000000</v>
      </c>
      <c r="F34" s="449">
        <v>2</v>
      </c>
      <c r="G34" s="450">
        <f t="shared" si="12"/>
        <v>200000000</v>
      </c>
      <c r="H34" s="449">
        <v>2</v>
      </c>
      <c r="I34" s="450">
        <f t="shared" si="13"/>
        <v>200000000</v>
      </c>
      <c r="J34" s="449">
        <v>2</v>
      </c>
      <c r="K34" s="450">
        <f t="shared" si="14"/>
        <v>200000000</v>
      </c>
      <c r="L34" s="449">
        <v>2</v>
      </c>
      <c r="M34" s="450">
        <f t="shared" si="15"/>
        <v>200000000</v>
      </c>
      <c r="N34" s="450" t="s">
        <v>807</v>
      </c>
    </row>
    <row r="35" spans="1:14" s="7" customFormat="1" x14ac:dyDescent="0.35">
      <c r="A35" s="417"/>
      <c r="B35" s="421" t="s">
        <v>803</v>
      </c>
      <c r="C35" s="419" t="s">
        <v>216</v>
      </c>
      <c r="D35" s="417"/>
      <c r="E35" s="420">
        <v>120000000</v>
      </c>
      <c r="F35" s="449">
        <v>2</v>
      </c>
      <c r="G35" s="450">
        <f t="shared" si="12"/>
        <v>240000000</v>
      </c>
      <c r="H35" s="449">
        <v>2</v>
      </c>
      <c r="I35" s="450">
        <f t="shared" si="13"/>
        <v>240000000</v>
      </c>
      <c r="J35" s="449">
        <v>2</v>
      </c>
      <c r="K35" s="450">
        <f t="shared" si="14"/>
        <v>240000000</v>
      </c>
      <c r="L35" s="449">
        <v>2</v>
      </c>
      <c r="M35" s="450">
        <f t="shared" si="15"/>
        <v>240000000</v>
      </c>
      <c r="N35" s="450" t="s">
        <v>807</v>
      </c>
    </row>
    <row r="36" spans="1:14" s="63" customFormat="1" x14ac:dyDescent="0.3">
      <c r="A36" s="417"/>
      <c r="B36" s="421" t="s">
        <v>239</v>
      </c>
      <c r="C36" s="419" t="s">
        <v>216</v>
      </c>
      <c r="D36" s="417"/>
      <c r="E36" s="420">
        <v>150000000</v>
      </c>
      <c r="F36" s="449">
        <v>2</v>
      </c>
      <c r="G36" s="450">
        <f t="shared" si="12"/>
        <v>300000000</v>
      </c>
      <c r="H36" s="449">
        <v>2</v>
      </c>
      <c r="I36" s="450">
        <f t="shared" si="13"/>
        <v>300000000</v>
      </c>
      <c r="J36" s="449">
        <v>2</v>
      </c>
      <c r="K36" s="450">
        <f t="shared" si="14"/>
        <v>300000000</v>
      </c>
      <c r="L36" s="449">
        <v>2</v>
      </c>
      <c r="M36" s="450">
        <f t="shared" si="15"/>
        <v>300000000</v>
      </c>
      <c r="N36" s="450" t="s">
        <v>807</v>
      </c>
    </row>
    <row r="37" spans="1:14" s="7" customFormat="1" x14ac:dyDescent="0.35">
      <c r="A37" s="417"/>
      <c r="B37" s="421" t="s">
        <v>245</v>
      </c>
      <c r="C37" s="419" t="s">
        <v>216</v>
      </c>
      <c r="D37" s="425"/>
      <c r="E37" s="420">
        <v>50000000</v>
      </c>
      <c r="F37" s="449">
        <v>2</v>
      </c>
      <c r="G37" s="450">
        <f t="shared" si="12"/>
        <v>100000000</v>
      </c>
      <c r="H37" s="449">
        <v>2</v>
      </c>
      <c r="I37" s="450">
        <f t="shared" si="13"/>
        <v>100000000</v>
      </c>
      <c r="J37" s="449">
        <v>2</v>
      </c>
      <c r="K37" s="450">
        <f t="shared" si="14"/>
        <v>100000000</v>
      </c>
      <c r="L37" s="449">
        <v>2</v>
      </c>
      <c r="M37" s="450">
        <f t="shared" si="15"/>
        <v>100000000</v>
      </c>
      <c r="N37" s="450" t="s">
        <v>807</v>
      </c>
    </row>
    <row r="38" spans="1:14" s="7" customFormat="1" x14ac:dyDescent="0.35">
      <c r="A38" s="417"/>
      <c r="B38" s="418" t="s">
        <v>243</v>
      </c>
      <c r="C38" s="419" t="s">
        <v>216</v>
      </c>
      <c r="D38" s="417"/>
      <c r="E38" s="420">
        <v>80000000</v>
      </c>
      <c r="F38" s="449">
        <v>2</v>
      </c>
      <c r="G38" s="450">
        <f>$E38*F38</f>
        <v>160000000</v>
      </c>
      <c r="H38" s="449">
        <v>2</v>
      </c>
      <c r="I38" s="450">
        <f>$E38*H38</f>
        <v>160000000</v>
      </c>
      <c r="J38" s="449">
        <v>2</v>
      </c>
      <c r="K38" s="450">
        <f>$E38*J38</f>
        <v>160000000</v>
      </c>
      <c r="L38" s="449">
        <v>2</v>
      </c>
      <c r="M38" s="450">
        <f>$E38*L38</f>
        <v>160000000</v>
      </c>
      <c r="N38" s="450" t="s">
        <v>807</v>
      </c>
    </row>
    <row r="39" spans="1:14" s="7" customFormat="1" x14ac:dyDescent="0.3">
      <c r="A39" s="222">
        <v>7</v>
      </c>
      <c r="B39" s="414" t="s">
        <v>9</v>
      </c>
      <c r="C39" s="415"/>
      <c r="D39" s="422" t="s">
        <v>485</v>
      </c>
      <c r="E39" s="416"/>
      <c r="F39" s="447"/>
      <c r="G39" s="448">
        <f>SUM(G40:G42)</f>
        <v>2380006000</v>
      </c>
      <c r="H39" s="447"/>
      <c r="I39" s="448">
        <f>SUM(I40:I42)</f>
        <v>2380006000</v>
      </c>
      <c r="J39" s="447"/>
      <c r="K39" s="448">
        <f>SUM(K40:K42)</f>
        <v>2380006000</v>
      </c>
      <c r="L39" s="447"/>
      <c r="M39" s="448">
        <f>SUM(M40:M42)</f>
        <v>2380006000</v>
      </c>
      <c r="N39" s="448"/>
    </row>
    <row r="40" spans="1:14" s="3" customFormat="1" x14ac:dyDescent="0.3">
      <c r="A40" s="417"/>
      <c r="B40" s="418" t="s">
        <v>220</v>
      </c>
      <c r="C40" s="423" t="s">
        <v>221</v>
      </c>
      <c r="D40" s="423"/>
      <c r="E40" s="420">
        <v>1015003000</v>
      </c>
      <c r="F40" s="449">
        <v>2</v>
      </c>
      <c r="G40" s="450">
        <f t="shared" ref="G40:G42" si="16">$E40*F40</f>
        <v>2030006000</v>
      </c>
      <c r="H40" s="449">
        <v>2</v>
      </c>
      <c r="I40" s="450">
        <f t="shared" ref="I40:I42" si="17">$E40*H40</f>
        <v>2030006000</v>
      </c>
      <c r="J40" s="449">
        <v>2</v>
      </c>
      <c r="K40" s="450">
        <f t="shared" ref="K40:K42" si="18">$E40*J40</f>
        <v>2030006000</v>
      </c>
      <c r="L40" s="449">
        <v>2</v>
      </c>
      <c r="M40" s="450">
        <f t="shared" ref="M40:M42" si="19">$E40*L40</f>
        <v>2030006000</v>
      </c>
      <c r="N40" s="450" t="s">
        <v>807</v>
      </c>
    </row>
    <row r="41" spans="1:14" s="64" customFormat="1" x14ac:dyDescent="0.35">
      <c r="A41" s="417"/>
      <c r="B41" s="418" t="s">
        <v>244</v>
      </c>
      <c r="C41" s="419" t="s">
        <v>216</v>
      </c>
      <c r="D41" s="419"/>
      <c r="E41" s="420">
        <v>175000000</v>
      </c>
      <c r="F41" s="449">
        <v>2</v>
      </c>
      <c r="G41" s="450">
        <f t="shared" si="16"/>
        <v>350000000</v>
      </c>
      <c r="H41" s="449">
        <v>2</v>
      </c>
      <c r="I41" s="450">
        <f t="shared" si="17"/>
        <v>350000000</v>
      </c>
      <c r="J41" s="449">
        <v>2</v>
      </c>
      <c r="K41" s="450">
        <f t="shared" si="18"/>
        <v>350000000</v>
      </c>
      <c r="L41" s="449">
        <v>2</v>
      </c>
      <c r="M41" s="450">
        <f t="shared" si="19"/>
        <v>350000000</v>
      </c>
      <c r="N41" s="450" t="s">
        <v>807</v>
      </c>
    </row>
    <row r="42" spans="1:14" s="7" customFormat="1" x14ac:dyDescent="0.35">
      <c r="A42" s="417"/>
      <c r="B42" s="418" t="s">
        <v>479</v>
      </c>
      <c r="C42" s="419" t="s">
        <v>216</v>
      </c>
      <c r="D42" s="417"/>
      <c r="E42" s="420">
        <v>500000000</v>
      </c>
      <c r="F42" s="449"/>
      <c r="G42" s="1011">
        <f t="shared" si="16"/>
        <v>0</v>
      </c>
      <c r="H42" s="449"/>
      <c r="I42" s="450">
        <f t="shared" si="17"/>
        <v>0</v>
      </c>
      <c r="J42" s="449"/>
      <c r="K42" s="450">
        <f t="shared" si="18"/>
        <v>0</v>
      </c>
      <c r="L42" s="449"/>
      <c r="M42" s="450">
        <f t="shared" si="19"/>
        <v>0</v>
      </c>
      <c r="N42" s="450"/>
    </row>
    <row r="43" spans="1:14" s="7" customFormat="1" x14ac:dyDescent="0.35">
      <c r="A43" s="426" t="s">
        <v>187</v>
      </c>
      <c r="B43" s="427" t="s">
        <v>477</v>
      </c>
      <c r="C43" s="428"/>
      <c r="D43" s="426"/>
      <c r="E43" s="429"/>
      <c r="F43" s="451"/>
      <c r="G43" s="452">
        <f>SUM(G44:G50)</f>
        <v>4035000000</v>
      </c>
      <c r="H43" s="451"/>
      <c r="I43" s="452">
        <f>SUM(I44:I50)</f>
        <v>4035000000</v>
      </c>
      <c r="J43" s="451"/>
      <c r="K43" s="452">
        <f>SUM(K44:K50)</f>
        <v>4035000000</v>
      </c>
      <c r="L43" s="451"/>
      <c r="M43" s="452">
        <f>SUM(M44:M50)</f>
        <v>4035000000</v>
      </c>
      <c r="N43" s="452"/>
    </row>
    <row r="44" spans="1:14" s="7" customFormat="1" ht="28" x14ac:dyDescent="0.35">
      <c r="A44" s="417"/>
      <c r="B44" s="418" t="s">
        <v>804</v>
      </c>
      <c r="C44" s="423" t="s">
        <v>226</v>
      </c>
      <c r="D44" s="423"/>
      <c r="E44" s="420">
        <v>1120000000</v>
      </c>
      <c r="F44" s="449">
        <v>1</v>
      </c>
      <c r="G44" s="450">
        <f t="shared" ref="G44:G50" si="20">$E44*F44</f>
        <v>1120000000</v>
      </c>
      <c r="H44" s="449">
        <v>1</v>
      </c>
      <c r="I44" s="450">
        <f t="shared" ref="I44:I50" si="21">$E44*H44</f>
        <v>1120000000</v>
      </c>
      <c r="J44" s="449">
        <v>1</v>
      </c>
      <c r="K44" s="450">
        <f t="shared" ref="K44:K50" si="22">$E44*J44</f>
        <v>1120000000</v>
      </c>
      <c r="L44" s="449">
        <v>1</v>
      </c>
      <c r="M44" s="450">
        <f t="shared" ref="M44:M50" si="23">$E44*L44</f>
        <v>1120000000</v>
      </c>
      <c r="N44" s="450"/>
    </row>
    <row r="45" spans="1:14" s="7" customFormat="1" ht="28" x14ac:dyDescent="0.35">
      <c r="A45" s="417"/>
      <c r="B45" s="418" t="s">
        <v>225</v>
      </c>
      <c r="C45" s="423" t="s">
        <v>226</v>
      </c>
      <c r="D45" s="423"/>
      <c r="E45" s="420">
        <v>250000000</v>
      </c>
      <c r="F45" s="449">
        <v>1</v>
      </c>
      <c r="G45" s="450">
        <f t="shared" si="20"/>
        <v>250000000</v>
      </c>
      <c r="H45" s="449">
        <v>1</v>
      </c>
      <c r="I45" s="450">
        <f t="shared" si="21"/>
        <v>250000000</v>
      </c>
      <c r="J45" s="449">
        <v>1</v>
      </c>
      <c r="K45" s="450">
        <f t="shared" si="22"/>
        <v>250000000</v>
      </c>
      <c r="L45" s="449">
        <v>1</v>
      </c>
      <c r="M45" s="450">
        <f t="shared" si="23"/>
        <v>250000000</v>
      </c>
      <c r="N45" s="450" t="s">
        <v>808</v>
      </c>
    </row>
    <row r="46" spans="1:14" s="3" customFormat="1" x14ac:dyDescent="0.3">
      <c r="A46" s="417"/>
      <c r="B46" s="418" t="s">
        <v>227</v>
      </c>
      <c r="C46" s="423" t="s">
        <v>228</v>
      </c>
      <c r="D46" s="423"/>
      <c r="E46" s="420">
        <v>761000000</v>
      </c>
      <c r="F46" s="449">
        <v>1</v>
      </c>
      <c r="G46" s="450">
        <f t="shared" si="20"/>
        <v>761000000</v>
      </c>
      <c r="H46" s="449">
        <v>1</v>
      </c>
      <c r="I46" s="450">
        <f t="shared" si="21"/>
        <v>761000000</v>
      </c>
      <c r="J46" s="449">
        <v>1</v>
      </c>
      <c r="K46" s="450">
        <f t="shared" si="22"/>
        <v>761000000</v>
      </c>
      <c r="L46" s="449">
        <v>1</v>
      </c>
      <c r="M46" s="450">
        <f t="shared" si="23"/>
        <v>761000000</v>
      </c>
      <c r="N46" s="450"/>
    </row>
    <row r="47" spans="1:14" s="3" customFormat="1" ht="28" x14ac:dyDescent="0.3">
      <c r="A47" s="417"/>
      <c r="B47" s="418" t="s">
        <v>229</v>
      </c>
      <c r="C47" s="423" t="s">
        <v>230</v>
      </c>
      <c r="D47" s="423"/>
      <c r="E47" s="420">
        <v>800000000</v>
      </c>
      <c r="F47" s="449">
        <v>1</v>
      </c>
      <c r="G47" s="450">
        <f t="shared" si="20"/>
        <v>800000000</v>
      </c>
      <c r="H47" s="449">
        <v>1</v>
      </c>
      <c r="I47" s="450">
        <f t="shared" si="21"/>
        <v>800000000</v>
      </c>
      <c r="J47" s="449">
        <v>1</v>
      </c>
      <c r="K47" s="450">
        <f t="shared" si="22"/>
        <v>800000000</v>
      </c>
      <c r="L47" s="449">
        <v>1</v>
      </c>
      <c r="M47" s="450">
        <f t="shared" si="23"/>
        <v>800000000</v>
      </c>
      <c r="N47" s="450" t="s">
        <v>809</v>
      </c>
    </row>
    <row r="48" spans="1:14" s="63" customFormat="1" x14ac:dyDescent="0.3">
      <c r="A48" s="417"/>
      <c r="B48" s="418" t="s">
        <v>233</v>
      </c>
      <c r="C48" s="419"/>
      <c r="D48" s="417"/>
      <c r="E48" s="420">
        <v>300000000</v>
      </c>
      <c r="F48" s="449">
        <v>1</v>
      </c>
      <c r="G48" s="450">
        <f t="shared" si="20"/>
        <v>300000000</v>
      </c>
      <c r="H48" s="449">
        <v>1</v>
      </c>
      <c r="I48" s="450">
        <f t="shared" si="21"/>
        <v>300000000</v>
      </c>
      <c r="J48" s="449">
        <v>1</v>
      </c>
      <c r="K48" s="450">
        <f t="shared" si="22"/>
        <v>300000000</v>
      </c>
      <c r="L48" s="449">
        <v>1</v>
      </c>
      <c r="M48" s="450">
        <f t="shared" si="23"/>
        <v>300000000</v>
      </c>
      <c r="N48" s="450" t="s">
        <v>810</v>
      </c>
    </row>
    <row r="49" spans="1:14" x14ac:dyDescent="0.3">
      <c r="A49" s="417"/>
      <c r="B49" s="418" t="s">
        <v>250</v>
      </c>
      <c r="C49" s="419" t="s">
        <v>216</v>
      </c>
      <c r="D49" s="417"/>
      <c r="E49" s="420">
        <v>222000000</v>
      </c>
      <c r="F49" s="449">
        <v>2</v>
      </c>
      <c r="G49" s="450">
        <f t="shared" si="20"/>
        <v>444000000</v>
      </c>
      <c r="H49" s="449">
        <v>2</v>
      </c>
      <c r="I49" s="450">
        <f t="shared" si="21"/>
        <v>444000000</v>
      </c>
      <c r="J49" s="449">
        <v>2</v>
      </c>
      <c r="K49" s="450">
        <f t="shared" si="22"/>
        <v>444000000</v>
      </c>
      <c r="L49" s="449">
        <v>2</v>
      </c>
      <c r="M49" s="450">
        <f t="shared" si="23"/>
        <v>444000000</v>
      </c>
      <c r="N49" s="450" t="s">
        <v>807</v>
      </c>
    </row>
    <row r="50" spans="1:14" x14ac:dyDescent="0.3">
      <c r="A50" s="417"/>
      <c r="B50" s="418" t="s">
        <v>251</v>
      </c>
      <c r="C50" s="419" t="s">
        <v>216</v>
      </c>
      <c r="D50" s="417"/>
      <c r="E50" s="420">
        <v>360000000</v>
      </c>
      <c r="F50" s="449">
        <v>1</v>
      </c>
      <c r="G50" s="450">
        <f t="shared" si="20"/>
        <v>360000000</v>
      </c>
      <c r="H50" s="449">
        <v>1</v>
      </c>
      <c r="I50" s="450">
        <f t="shared" si="21"/>
        <v>360000000</v>
      </c>
      <c r="J50" s="449">
        <v>1</v>
      </c>
      <c r="K50" s="450">
        <f t="shared" si="22"/>
        <v>360000000</v>
      </c>
      <c r="L50" s="449">
        <v>1</v>
      </c>
      <c r="M50" s="450">
        <f t="shared" si="23"/>
        <v>360000000</v>
      </c>
      <c r="N50" s="450" t="s">
        <v>810</v>
      </c>
    </row>
    <row r="51" spans="1:14" ht="18" customHeight="1" x14ac:dyDescent="0.3">
      <c r="A51" s="430"/>
      <c r="B51" s="431" t="s">
        <v>480</v>
      </c>
      <c r="C51" s="432"/>
      <c r="D51" s="433"/>
      <c r="E51" s="433"/>
      <c r="F51" s="453"/>
      <c r="G51" s="454">
        <f>G5+G43</f>
        <v>20265006000</v>
      </c>
      <c r="H51" s="453"/>
      <c r="I51" s="454">
        <f>I5+I43</f>
        <v>20265006000</v>
      </c>
      <c r="J51" s="453"/>
      <c r="K51" s="454">
        <f>K5+K43</f>
        <v>20265006000</v>
      </c>
      <c r="L51" s="453"/>
      <c r="M51" s="454">
        <f>M5+M43</f>
        <v>20265006000</v>
      </c>
      <c r="N51" s="454"/>
    </row>
    <row r="53" spans="1:14" x14ac:dyDescent="0.3">
      <c r="A53" s="435" t="s">
        <v>399</v>
      </c>
      <c r="B53" s="436" t="s">
        <v>488</v>
      </c>
    </row>
    <row r="54" spans="1:14" ht="18" x14ac:dyDescent="0.4">
      <c r="A54" s="1094" t="s">
        <v>12</v>
      </c>
      <c r="B54" s="1096" t="s">
        <v>267</v>
      </c>
      <c r="C54" s="1096" t="s">
        <v>211</v>
      </c>
      <c r="D54" s="1096" t="s">
        <v>481</v>
      </c>
      <c r="E54" s="1096" t="s">
        <v>212</v>
      </c>
      <c r="F54" s="1092" t="s">
        <v>777</v>
      </c>
      <c r="G54" s="1093"/>
      <c r="H54" s="1092" t="s">
        <v>778</v>
      </c>
      <c r="I54" s="1093"/>
      <c r="J54" s="1092" t="s">
        <v>779</v>
      </c>
      <c r="K54" s="1093"/>
      <c r="L54" s="1092" t="s">
        <v>780</v>
      </c>
      <c r="M54" s="1093"/>
    </row>
    <row r="55" spans="1:14" ht="28" x14ac:dyDescent="0.3">
      <c r="A55" s="1095"/>
      <c r="B55" s="1097"/>
      <c r="C55" s="1097"/>
      <c r="D55" s="1097"/>
      <c r="E55" s="1097"/>
      <c r="F55" s="747" t="s">
        <v>213</v>
      </c>
      <c r="G55" s="748" t="s">
        <v>214</v>
      </c>
      <c r="H55" s="747" t="s">
        <v>213</v>
      </c>
      <c r="I55" s="748" t="s">
        <v>214</v>
      </c>
      <c r="J55" s="747" t="s">
        <v>213</v>
      </c>
      <c r="K55" s="748" t="s">
        <v>214</v>
      </c>
      <c r="L55" s="747" t="s">
        <v>213</v>
      </c>
      <c r="M55" s="748" t="s">
        <v>214</v>
      </c>
    </row>
    <row r="56" spans="1:14" x14ac:dyDescent="0.3">
      <c r="A56" s="409" t="s">
        <v>186</v>
      </c>
      <c r="B56" s="410" t="s">
        <v>487</v>
      </c>
      <c r="C56" s="411"/>
      <c r="D56" s="434"/>
      <c r="E56" s="412"/>
      <c r="F56" s="445"/>
      <c r="G56" s="446">
        <f>I56/2</f>
        <v>0</v>
      </c>
      <c r="H56" s="445"/>
      <c r="I56" s="446">
        <f>SUM(I57:I61)</f>
        <v>0</v>
      </c>
      <c r="J56" s="445"/>
      <c r="K56" s="446">
        <f>I56*1.5</f>
        <v>0</v>
      </c>
      <c r="L56" s="445"/>
      <c r="M56" s="446">
        <f>SUM(M57:M61)</f>
        <v>0</v>
      </c>
    </row>
    <row r="57" spans="1:14" x14ac:dyDescent="0.3">
      <c r="A57" s="417"/>
      <c r="B57" s="418"/>
      <c r="C57" s="419"/>
      <c r="D57" s="417"/>
      <c r="E57" s="420"/>
      <c r="F57" s="449"/>
      <c r="G57" s="450"/>
      <c r="H57" s="449"/>
      <c r="I57" s="450"/>
      <c r="J57" s="449"/>
      <c r="K57" s="450"/>
      <c r="L57" s="449"/>
      <c r="M57" s="450"/>
    </row>
    <row r="58" spans="1:14" x14ac:dyDescent="0.3">
      <c r="A58" s="417"/>
      <c r="B58" s="418"/>
      <c r="C58" s="419"/>
      <c r="D58" s="417"/>
      <c r="E58" s="420"/>
      <c r="F58" s="449"/>
      <c r="G58" s="450"/>
      <c r="H58" s="449"/>
      <c r="I58" s="450"/>
      <c r="J58" s="449"/>
      <c r="K58" s="450"/>
      <c r="L58" s="449"/>
      <c r="M58" s="450"/>
    </row>
    <row r="59" spans="1:14" x14ac:dyDescent="0.3">
      <c r="A59" s="417"/>
      <c r="B59" s="418"/>
      <c r="C59" s="419"/>
      <c r="D59" s="417"/>
      <c r="E59" s="420"/>
      <c r="F59" s="449"/>
      <c r="G59" s="450"/>
      <c r="H59" s="449"/>
      <c r="I59" s="450"/>
      <c r="J59" s="449"/>
      <c r="K59" s="450"/>
      <c r="L59" s="449"/>
      <c r="M59" s="450"/>
    </row>
    <row r="60" spans="1:14" x14ac:dyDescent="0.3">
      <c r="A60" s="417"/>
      <c r="B60" s="418"/>
      <c r="C60" s="419"/>
      <c r="D60" s="417"/>
      <c r="E60" s="420"/>
      <c r="F60" s="449"/>
      <c r="G60" s="450"/>
      <c r="H60" s="449"/>
      <c r="I60" s="450"/>
      <c r="J60" s="449"/>
      <c r="K60" s="450"/>
      <c r="L60" s="449"/>
      <c r="M60" s="450"/>
    </row>
    <row r="61" spans="1:14" x14ac:dyDescent="0.3">
      <c r="A61" s="417"/>
      <c r="B61" s="418"/>
      <c r="C61" s="419"/>
      <c r="D61" s="417"/>
      <c r="E61" s="420"/>
      <c r="F61" s="449"/>
      <c r="G61" s="450"/>
      <c r="H61" s="449"/>
      <c r="I61" s="450"/>
      <c r="J61" s="449"/>
      <c r="K61" s="450"/>
      <c r="L61" s="449"/>
      <c r="M61" s="450"/>
    </row>
    <row r="62" spans="1:14" x14ac:dyDescent="0.3">
      <c r="A62" s="426" t="s">
        <v>187</v>
      </c>
      <c r="B62" s="427" t="s">
        <v>281</v>
      </c>
      <c r="C62" s="428"/>
      <c r="D62" s="426"/>
      <c r="E62" s="429"/>
      <c r="F62" s="451"/>
      <c r="G62" s="452">
        <f t="shared" ref="G62" si="24">I62/2</f>
        <v>0</v>
      </c>
      <c r="H62" s="451"/>
      <c r="I62" s="452">
        <f>I63</f>
        <v>0</v>
      </c>
      <c r="J62" s="451"/>
      <c r="K62" s="452">
        <f t="shared" ref="K62" si="25">I62*1.5</f>
        <v>0</v>
      </c>
      <c r="L62" s="451"/>
      <c r="M62" s="452">
        <f>M63</f>
        <v>0</v>
      </c>
    </row>
    <row r="63" spans="1:14" x14ac:dyDescent="0.3">
      <c r="A63" s="417"/>
      <c r="B63" s="418"/>
      <c r="C63" s="419"/>
      <c r="D63" s="417"/>
      <c r="E63" s="420"/>
      <c r="F63" s="449"/>
      <c r="G63" s="450"/>
      <c r="H63" s="449"/>
      <c r="I63" s="450"/>
      <c r="J63" s="449"/>
      <c r="K63" s="450"/>
      <c r="L63" s="449"/>
      <c r="M63" s="450"/>
    </row>
    <row r="64" spans="1:14" x14ac:dyDescent="0.3">
      <c r="A64" s="430"/>
      <c r="B64" s="431" t="s">
        <v>480</v>
      </c>
      <c r="C64" s="432"/>
      <c r="D64" s="433"/>
      <c r="E64" s="433"/>
      <c r="F64" s="453"/>
      <c r="G64" s="454">
        <f>G56+G62</f>
        <v>0</v>
      </c>
      <c r="H64" s="453"/>
      <c r="I64" s="454">
        <f>I56+I62</f>
        <v>0</v>
      </c>
      <c r="J64" s="453"/>
      <c r="K64" s="454">
        <f>K56+K62</f>
        <v>0</v>
      </c>
      <c r="L64" s="453"/>
      <c r="M64" s="454">
        <f>M56+M62</f>
        <v>0</v>
      </c>
    </row>
  </sheetData>
  <mergeCells count="19">
    <mergeCell ref="H54:I54"/>
    <mergeCell ref="J54:K54"/>
    <mergeCell ref="L54:M54"/>
    <mergeCell ref="C3:C4"/>
    <mergeCell ref="A54:A55"/>
    <mergeCell ref="B54:B55"/>
    <mergeCell ref="C54:C55"/>
    <mergeCell ref="F3:G3"/>
    <mergeCell ref="E3:E4"/>
    <mergeCell ref="D3:D4"/>
    <mergeCell ref="D54:D55"/>
    <mergeCell ref="E54:E55"/>
    <mergeCell ref="F54:G54"/>
    <mergeCell ref="B3:B4"/>
    <mergeCell ref="N3:N4"/>
    <mergeCell ref="H3:I3"/>
    <mergeCell ref="J3:K3"/>
    <mergeCell ref="L3:M3"/>
    <mergeCell ref="A3:A4"/>
  </mergeCells>
  <printOptions horizontalCentered="1"/>
  <pageMargins left="0" right="0" top="0.5" bottom="0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BAC0-A8D8-4200-A7EE-40681EBC05A3}">
  <sheetPr>
    <tabColor rgb="FF0066FF"/>
  </sheetPr>
  <dimension ref="A1:N57"/>
  <sheetViews>
    <sheetView topLeftCell="A5" zoomScale="70" zoomScaleNormal="70" workbookViewId="0">
      <pane ySplit="4" topLeftCell="A9" activePane="bottomLeft" state="frozen"/>
      <selection activeCell="G38" sqref="G38"/>
      <selection pane="bottomLeft" activeCell="E17" sqref="E17"/>
    </sheetView>
  </sheetViews>
  <sheetFormatPr defaultColWidth="8.90625" defaultRowHeight="14" x14ac:dyDescent="0.3"/>
  <cols>
    <col min="1" max="1" width="7.7265625" style="58" customWidth="1"/>
    <col min="2" max="2" width="38" style="56" bestFit="1" customWidth="1"/>
    <col min="3" max="3" width="13.7265625" style="58" bestFit="1" customWidth="1"/>
    <col min="4" max="4" width="10.36328125" style="58" bestFit="1" customWidth="1"/>
    <col min="5" max="5" width="14.7265625" style="56" bestFit="1" customWidth="1"/>
    <col min="6" max="6" width="9.6328125" style="56" bestFit="1" customWidth="1"/>
    <col min="7" max="7" width="14.7265625" style="56" bestFit="1" customWidth="1"/>
    <col min="8" max="8" width="9.6328125" style="56" bestFit="1" customWidth="1"/>
    <col min="9" max="9" width="14.7265625" style="56" bestFit="1" customWidth="1"/>
    <col min="10" max="10" width="9.6328125" style="56" bestFit="1" customWidth="1"/>
    <col min="11" max="11" width="14.7265625" style="56" bestFit="1" customWidth="1"/>
    <col min="12" max="12" width="9.6328125" style="56" bestFit="1" customWidth="1"/>
    <col min="13" max="13" width="14.7265625" style="56" bestFit="1" customWidth="1"/>
    <col min="14" max="14" width="18" style="56" customWidth="1"/>
    <col min="15" max="16384" width="8.90625" style="56"/>
  </cols>
  <sheetData>
    <row r="1" spans="1:14" x14ac:dyDescent="0.3">
      <c r="B1" s="57" t="s">
        <v>208</v>
      </c>
    </row>
    <row r="2" spans="1:14" x14ac:dyDescent="0.3">
      <c r="B2" s="60" t="s">
        <v>209</v>
      </c>
    </row>
    <row r="3" spans="1:14" x14ac:dyDescent="0.3">
      <c r="B3" s="61" t="s">
        <v>210</v>
      </c>
    </row>
    <row r="4" spans="1:14" x14ac:dyDescent="0.3">
      <c r="B4" s="62"/>
    </row>
    <row r="5" spans="1:14" ht="15.5" x14ac:dyDescent="0.35">
      <c r="A5" s="406" t="s">
        <v>597</v>
      </c>
    </row>
    <row r="6" spans="1:14" s="438" customFormat="1" x14ac:dyDescent="0.3">
      <c r="A6" s="435" t="s">
        <v>398</v>
      </c>
      <c r="B6" s="436" t="s">
        <v>266</v>
      </c>
      <c r="C6" s="437"/>
      <c r="D6" s="437"/>
    </row>
    <row r="7" spans="1:14" s="63" customFormat="1" ht="18" customHeight="1" x14ac:dyDescent="0.4">
      <c r="A7" s="1094" t="s">
        <v>12</v>
      </c>
      <c r="B7" s="1096" t="s">
        <v>267</v>
      </c>
      <c r="C7" s="1096" t="s">
        <v>211</v>
      </c>
      <c r="D7" s="1096" t="s">
        <v>388</v>
      </c>
      <c r="E7" s="1096" t="s">
        <v>212</v>
      </c>
      <c r="F7" s="1092" t="s">
        <v>777</v>
      </c>
      <c r="G7" s="1093"/>
      <c r="H7" s="1092" t="s">
        <v>778</v>
      </c>
      <c r="I7" s="1093"/>
      <c r="J7" s="1092" t="s">
        <v>779</v>
      </c>
      <c r="K7" s="1093"/>
      <c r="L7" s="1092" t="s">
        <v>780</v>
      </c>
      <c r="M7" s="1093"/>
      <c r="N7" s="1090" t="s">
        <v>51</v>
      </c>
    </row>
    <row r="8" spans="1:14" ht="28" x14ac:dyDescent="0.3">
      <c r="A8" s="1095"/>
      <c r="B8" s="1097"/>
      <c r="C8" s="1097"/>
      <c r="D8" s="1097"/>
      <c r="E8" s="1097"/>
      <c r="F8" s="747" t="s">
        <v>213</v>
      </c>
      <c r="G8" s="748" t="s">
        <v>214</v>
      </c>
      <c r="H8" s="747" t="s">
        <v>213</v>
      </c>
      <c r="I8" s="748" t="s">
        <v>214</v>
      </c>
      <c r="J8" s="747" t="s">
        <v>213</v>
      </c>
      <c r="K8" s="748" t="s">
        <v>214</v>
      </c>
      <c r="L8" s="747" t="s">
        <v>213</v>
      </c>
      <c r="M8" s="748" t="s">
        <v>214</v>
      </c>
      <c r="N8" s="1091"/>
    </row>
    <row r="9" spans="1:14" s="63" customFormat="1" x14ac:dyDescent="0.3">
      <c r="A9" s="440" t="s">
        <v>186</v>
      </c>
      <c r="B9" s="441" t="s">
        <v>264</v>
      </c>
      <c r="C9" s="442"/>
      <c r="D9" s="442"/>
      <c r="E9" s="442"/>
      <c r="F9" s="455"/>
      <c r="G9" s="456">
        <f>SUM(G10:G13)</f>
        <v>1724000000</v>
      </c>
      <c r="H9" s="455"/>
      <c r="I9" s="456">
        <f>SUM(I10:I13)</f>
        <v>1724000000</v>
      </c>
      <c r="J9" s="455"/>
      <c r="K9" s="456">
        <f>SUM(K10:K13)</f>
        <v>1724000000</v>
      </c>
      <c r="L9" s="455"/>
      <c r="M9" s="456">
        <f>SUM(M10:M13)</f>
        <v>1724000000</v>
      </c>
      <c r="N9" s="456"/>
    </row>
    <row r="10" spans="1:14" s="3" customFormat="1" x14ac:dyDescent="0.3">
      <c r="A10" s="417">
        <v>1</v>
      </c>
      <c r="B10" s="424" t="s">
        <v>252</v>
      </c>
      <c r="C10" s="417" t="s">
        <v>253</v>
      </c>
      <c r="D10" s="417" t="s">
        <v>598</v>
      </c>
      <c r="E10" s="420">
        <v>500000000</v>
      </c>
      <c r="F10" s="457">
        <v>2</v>
      </c>
      <c r="G10" s="450">
        <f>$E10*F10</f>
        <v>1000000000</v>
      </c>
      <c r="H10" s="457">
        <v>2</v>
      </c>
      <c r="I10" s="450">
        <f>$E10*H10</f>
        <v>1000000000</v>
      </c>
      <c r="J10" s="457">
        <v>2</v>
      </c>
      <c r="K10" s="450">
        <f>$E10*J10</f>
        <v>1000000000</v>
      </c>
      <c r="L10" s="457">
        <v>2</v>
      </c>
      <c r="M10" s="450">
        <f>$E10*L10</f>
        <v>1000000000</v>
      </c>
      <c r="N10" s="450"/>
    </row>
    <row r="11" spans="1:14" s="3" customFormat="1" x14ac:dyDescent="0.3">
      <c r="A11" s="417">
        <v>2</v>
      </c>
      <c r="B11" s="424" t="s">
        <v>254</v>
      </c>
      <c r="C11" s="417" t="s">
        <v>253</v>
      </c>
      <c r="D11" s="417" t="s">
        <v>599</v>
      </c>
      <c r="E11" s="420">
        <v>87000000</v>
      </c>
      <c r="F11" s="457">
        <v>2</v>
      </c>
      <c r="G11" s="450">
        <f t="shared" ref="G11:G13" si="0">$E11*F11</f>
        <v>174000000</v>
      </c>
      <c r="H11" s="457">
        <v>2</v>
      </c>
      <c r="I11" s="450">
        <f t="shared" ref="I11:I17" si="1">$E11*H11</f>
        <v>174000000</v>
      </c>
      <c r="J11" s="457">
        <v>2</v>
      </c>
      <c r="K11" s="450">
        <f t="shared" ref="K11" si="2">$E11*J11</f>
        <v>174000000</v>
      </c>
      <c r="L11" s="457">
        <v>2</v>
      </c>
      <c r="M11" s="450">
        <f t="shared" ref="M11:M13" si="3">$E11*L11</f>
        <v>174000000</v>
      </c>
      <c r="N11" s="450" t="s">
        <v>807</v>
      </c>
    </row>
    <row r="12" spans="1:14" s="3" customFormat="1" x14ac:dyDescent="0.3">
      <c r="A12" s="417">
        <v>3</v>
      </c>
      <c r="B12" s="424" t="s">
        <v>255</v>
      </c>
      <c r="C12" s="417" t="s">
        <v>256</v>
      </c>
      <c r="D12" s="417" t="s">
        <v>600</v>
      </c>
      <c r="E12" s="420">
        <v>450000000</v>
      </c>
      <c r="F12" s="457">
        <v>1</v>
      </c>
      <c r="G12" s="450">
        <f t="shared" si="0"/>
        <v>450000000</v>
      </c>
      <c r="H12" s="457">
        <v>1</v>
      </c>
      <c r="I12" s="450">
        <f t="shared" si="1"/>
        <v>450000000</v>
      </c>
      <c r="J12" s="457">
        <v>1</v>
      </c>
      <c r="K12" s="450">
        <f t="shared" ref="K12" si="4">$E12*J12</f>
        <v>450000000</v>
      </c>
      <c r="L12" s="457">
        <v>1</v>
      </c>
      <c r="M12" s="450">
        <f t="shared" si="3"/>
        <v>450000000</v>
      </c>
      <c r="N12" s="450"/>
    </row>
    <row r="13" spans="1:14" s="3" customFormat="1" x14ac:dyDescent="0.3">
      <c r="A13" s="417">
        <v>4</v>
      </c>
      <c r="B13" s="424" t="s">
        <v>257</v>
      </c>
      <c r="C13" s="417" t="s">
        <v>258</v>
      </c>
      <c r="D13" s="417"/>
      <c r="E13" s="420">
        <v>100000000</v>
      </c>
      <c r="F13" s="457">
        <v>1</v>
      </c>
      <c r="G13" s="450">
        <f t="shared" si="0"/>
        <v>100000000</v>
      </c>
      <c r="H13" s="457">
        <v>1</v>
      </c>
      <c r="I13" s="450">
        <f t="shared" si="1"/>
        <v>100000000</v>
      </c>
      <c r="J13" s="457">
        <v>1</v>
      </c>
      <c r="K13" s="450">
        <f t="shared" ref="K13" si="5">$E13*J13</f>
        <v>100000000</v>
      </c>
      <c r="L13" s="457">
        <v>1</v>
      </c>
      <c r="M13" s="450">
        <f t="shared" si="3"/>
        <v>100000000</v>
      </c>
      <c r="N13" s="450"/>
    </row>
    <row r="14" spans="1:14" s="63" customFormat="1" x14ac:dyDescent="0.3">
      <c r="A14" s="413" t="s">
        <v>187</v>
      </c>
      <c r="B14" s="414" t="s">
        <v>265</v>
      </c>
      <c r="C14" s="416"/>
      <c r="D14" s="416"/>
      <c r="E14" s="416"/>
      <c r="F14" s="458"/>
      <c r="G14" s="448">
        <f>SUM(G15:G17)</f>
        <v>201000000</v>
      </c>
      <c r="H14" s="458"/>
      <c r="I14" s="448">
        <f>SUM(I15:I17)</f>
        <v>201000000</v>
      </c>
      <c r="J14" s="458"/>
      <c r="K14" s="448">
        <f>SUM(K15:K17)</f>
        <v>201000000</v>
      </c>
      <c r="L14" s="458"/>
      <c r="M14" s="448">
        <f>SUM(M15:M17)</f>
        <v>201000000</v>
      </c>
      <c r="N14" s="448"/>
    </row>
    <row r="15" spans="1:14" s="3" customFormat="1" x14ac:dyDescent="0.3">
      <c r="A15" s="417">
        <v>1</v>
      </c>
      <c r="B15" s="421" t="s">
        <v>259</v>
      </c>
      <c r="C15" s="419"/>
      <c r="D15" s="419"/>
      <c r="E15" s="420">
        <v>20000000</v>
      </c>
      <c r="F15" s="457">
        <v>5</v>
      </c>
      <c r="G15" s="450">
        <f t="shared" ref="G15:G17" si="6">$E15*F15</f>
        <v>100000000</v>
      </c>
      <c r="H15" s="457">
        <v>5</v>
      </c>
      <c r="I15" s="450">
        <f t="shared" si="1"/>
        <v>100000000</v>
      </c>
      <c r="J15" s="457">
        <v>5</v>
      </c>
      <c r="K15" s="450">
        <f t="shared" ref="K15" si="7">$E15*J15</f>
        <v>100000000</v>
      </c>
      <c r="L15" s="457">
        <v>5</v>
      </c>
      <c r="M15" s="450">
        <f t="shared" ref="M15:M17" si="8">$E15*L15</f>
        <v>100000000</v>
      </c>
      <c r="N15" s="450"/>
    </row>
    <row r="16" spans="1:14" s="3" customFormat="1" x14ac:dyDescent="0.3">
      <c r="A16" s="417">
        <v>2</v>
      </c>
      <c r="B16" s="421" t="s">
        <v>260</v>
      </c>
      <c r="C16" s="417"/>
      <c r="D16" s="417"/>
      <c r="E16" s="420">
        <v>100000000</v>
      </c>
      <c r="F16" s="457">
        <v>1</v>
      </c>
      <c r="G16" s="450">
        <f t="shared" si="6"/>
        <v>100000000</v>
      </c>
      <c r="H16" s="457">
        <v>1</v>
      </c>
      <c r="I16" s="450">
        <f t="shared" si="1"/>
        <v>100000000</v>
      </c>
      <c r="J16" s="457">
        <v>1</v>
      </c>
      <c r="K16" s="450">
        <f t="shared" ref="K16" si="9">$E16*J16</f>
        <v>100000000</v>
      </c>
      <c r="L16" s="457">
        <v>1</v>
      </c>
      <c r="M16" s="450">
        <f t="shared" si="8"/>
        <v>100000000</v>
      </c>
      <c r="N16" s="450"/>
    </row>
    <row r="17" spans="1:14" s="3" customFormat="1" ht="28" x14ac:dyDescent="0.3">
      <c r="A17" s="417">
        <v>3</v>
      </c>
      <c r="B17" s="418" t="s">
        <v>261</v>
      </c>
      <c r="C17" s="417"/>
      <c r="D17" s="417"/>
      <c r="E17" s="420">
        <v>1000000</v>
      </c>
      <c r="F17" s="457">
        <v>1</v>
      </c>
      <c r="G17" s="450">
        <f t="shared" si="6"/>
        <v>1000000</v>
      </c>
      <c r="H17" s="457">
        <v>1</v>
      </c>
      <c r="I17" s="450">
        <f t="shared" si="1"/>
        <v>1000000</v>
      </c>
      <c r="J17" s="457">
        <v>1</v>
      </c>
      <c r="K17" s="450">
        <f t="shared" ref="K17" si="10">$E17*J17</f>
        <v>1000000</v>
      </c>
      <c r="L17" s="457">
        <v>1</v>
      </c>
      <c r="M17" s="450">
        <f t="shared" si="8"/>
        <v>1000000</v>
      </c>
      <c r="N17" s="450"/>
    </row>
    <row r="18" spans="1:14" s="63" customFormat="1" x14ac:dyDescent="0.3">
      <c r="A18" s="443"/>
      <c r="B18" s="444" t="s">
        <v>262</v>
      </c>
      <c r="C18" s="444"/>
      <c r="D18" s="444"/>
      <c r="E18" s="444"/>
      <c r="F18" s="459"/>
      <c r="G18" s="460">
        <f>G9+G14</f>
        <v>1925000000</v>
      </c>
      <c r="H18" s="459"/>
      <c r="I18" s="460">
        <f>I9+I14</f>
        <v>1925000000</v>
      </c>
      <c r="J18" s="459"/>
      <c r="K18" s="460">
        <f>K9+K14</f>
        <v>1925000000</v>
      </c>
      <c r="L18" s="459"/>
      <c r="M18" s="460">
        <f>M9+M14</f>
        <v>1925000000</v>
      </c>
      <c r="N18" s="460"/>
    </row>
    <row r="19" spans="1:14" x14ac:dyDescent="0.3">
      <c r="F19" s="59"/>
      <c r="H19" s="59"/>
      <c r="J19" s="59"/>
      <c r="L19" s="59"/>
    </row>
    <row r="20" spans="1:14" s="438" customFormat="1" x14ac:dyDescent="0.3">
      <c r="A20" s="435" t="s">
        <v>399</v>
      </c>
      <c r="B20" s="436" t="s">
        <v>488</v>
      </c>
      <c r="C20" s="437"/>
      <c r="D20" s="437"/>
      <c r="F20" s="439"/>
      <c r="H20" s="439"/>
      <c r="J20" s="439"/>
      <c r="L20" s="439"/>
    </row>
    <row r="21" spans="1:14" s="63" customFormat="1" ht="18" customHeight="1" x14ac:dyDescent="0.4">
      <c r="A21" s="1094" t="s">
        <v>12</v>
      </c>
      <c r="B21" s="1096" t="s">
        <v>267</v>
      </c>
      <c r="C21" s="1096" t="s">
        <v>211</v>
      </c>
      <c r="D21" s="1096" t="s">
        <v>388</v>
      </c>
      <c r="E21" s="1096" t="s">
        <v>212</v>
      </c>
      <c r="F21" s="1092" t="s">
        <v>777</v>
      </c>
      <c r="G21" s="1093"/>
      <c r="H21" s="1092" t="s">
        <v>778</v>
      </c>
      <c r="I21" s="1093"/>
      <c r="J21" s="1092" t="s">
        <v>779</v>
      </c>
      <c r="K21" s="1093"/>
      <c r="L21" s="1092" t="s">
        <v>780</v>
      </c>
      <c r="M21" s="1093"/>
    </row>
    <row r="22" spans="1:14" ht="28" x14ac:dyDescent="0.3">
      <c r="A22" s="1095"/>
      <c r="B22" s="1097"/>
      <c r="C22" s="1097"/>
      <c r="D22" s="1097"/>
      <c r="E22" s="1097"/>
      <c r="F22" s="747" t="s">
        <v>213</v>
      </c>
      <c r="G22" s="748" t="s">
        <v>214</v>
      </c>
      <c r="H22" s="747" t="s">
        <v>213</v>
      </c>
      <c r="I22" s="748" t="s">
        <v>214</v>
      </c>
      <c r="J22" s="747" t="s">
        <v>213</v>
      </c>
      <c r="K22" s="748" t="s">
        <v>214</v>
      </c>
      <c r="L22" s="747" t="s">
        <v>213</v>
      </c>
      <c r="M22" s="748" t="s">
        <v>214</v>
      </c>
    </row>
    <row r="23" spans="1:14" s="63" customFormat="1" x14ac:dyDescent="0.3">
      <c r="A23" s="440" t="s">
        <v>186</v>
      </c>
      <c r="B23" s="441" t="s">
        <v>264</v>
      </c>
      <c r="C23" s="442"/>
      <c r="D23" s="442"/>
      <c r="E23" s="442"/>
      <c r="F23" s="455"/>
      <c r="G23" s="456">
        <f>G24</f>
        <v>0</v>
      </c>
      <c r="H23" s="455"/>
      <c r="I23" s="456">
        <f>I24</f>
        <v>0</v>
      </c>
      <c r="J23" s="455"/>
      <c r="K23" s="456">
        <f>K24</f>
        <v>0</v>
      </c>
      <c r="L23" s="455"/>
      <c r="M23" s="456">
        <f>M24</f>
        <v>0</v>
      </c>
    </row>
    <row r="24" spans="1:14" s="3" customFormat="1" x14ac:dyDescent="0.3">
      <c r="A24" s="417">
        <v>1</v>
      </c>
      <c r="B24" s="424"/>
      <c r="C24" s="417"/>
      <c r="D24" s="417"/>
      <c r="E24" s="420"/>
      <c r="F24" s="457"/>
      <c r="G24" s="450"/>
      <c r="H24" s="457"/>
      <c r="I24" s="450"/>
      <c r="J24" s="457"/>
      <c r="K24" s="450"/>
      <c r="L24" s="457"/>
      <c r="M24" s="450"/>
    </row>
    <row r="25" spans="1:14" s="63" customFormat="1" x14ac:dyDescent="0.3">
      <c r="A25" s="443"/>
      <c r="B25" s="444" t="s">
        <v>262</v>
      </c>
      <c r="C25" s="444"/>
      <c r="D25" s="444"/>
      <c r="E25" s="444"/>
      <c r="F25" s="459"/>
      <c r="G25" s="460">
        <f>G23</f>
        <v>0</v>
      </c>
      <c r="H25" s="459"/>
      <c r="I25" s="460">
        <f>I23</f>
        <v>0</v>
      </c>
      <c r="J25" s="459"/>
      <c r="K25" s="460">
        <f>K23</f>
        <v>0</v>
      </c>
      <c r="L25" s="459"/>
      <c r="M25" s="460">
        <f>M23</f>
        <v>0</v>
      </c>
    </row>
    <row r="57" spans="8:8" x14ac:dyDescent="0.3">
      <c r="H57" s="108"/>
    </row>
  </sheetData>
  <mergeCells count="19">
    <mergeCell ref="N7:N8"/>
    <mergeCell ref="F7:G7"/>
    <mergeCell ref="H7:I7"/>
    <mergeCell ref="J7:K7"/>
    <mergeCell ref="L7:M7"/>
    <mergeCell ref="A7:A8"/>
    <mergeCell ref="B7:B8"/>
    <mergeCell ref="C7:C8"/>
    <mergeCell ref="D7:D8"/>
    <mergeCell ref="E7:E8"/>
    <mergeCell ref="F21:G21"/>
    <mergeCell ref="H21:I21"/>
    <mergeCell ref="J21:K21"/>
    <mergeCell ref="L21:M21"/>
    <mergeCell ref="A21:A22"/>
    <mergeCell ref="B21:B22"/>
    <mergeCell ref="C21:C22"/>
    <mergeCell ref="D21:D22"/>
    <mergeCell ref="E21:E22"/>
  </mergeCells>
  <conditionalFormatting sqref="B1">
    <cfRule type="duplicateValues" dxfId="5" priority="3"/>
  </conditionalFormatting>
  <conditionalFormatting sqref="B1:B3">
    <cfRule type="containsText" dxfId="4" priority="4" operator="containsText" text="xxx">
      <formula>NOT(ISERROR(SEARCH("xxx",B1)))</formula>
    </cfRule>
  </conditionalFormatting>
  <conditionalFormatting sqref="B2">
    <cfRule type="duplicateValues" dxfId="3" priority="5"/>
  </conditionalFormatting>
  <conditionalFormatting sqref="B3">
    <cfRule type="duplicateValues" dxfId="2" priority="2"/>
  </conditionalFormatting>
  <printOptions horizontalCentered="1"/>
  <pageMargins left="0" right="0" top="0.5" bottom="0.2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81EB-3487-4BA4-9E3C-8DFD5593CB17}">
  <sheetPr>
    <tabColor rgb="FF92D050"/>
  </sheetPr>
  <dimension ref="B2:O19"/>
  <sheetViews>
    <sheetView zoomScale="70" zoomScaleNormal="70" workbookViewId="0">
      <selection activeCell="J8" sqref="J8"/>
    </sheetView>
  </sheetViews>
  <sheetFormatPr defaultRowHeight="14" x14ac:dyDescent="0.3"/>
  <cols>
    <col min="1" max="1" width="0.453125" style="3" customWidth="1"/>
    <col min="2" max="2" width="6" style="3" customWidth="1"/>
    <col min="3" max="3" width="25.7265625" style="3" customWidth="1"/>
    <col min="4" max="4" width="15.54296875" style="3" customWidth="1"/>
    <col min="5" max="5" width="13.453125" style="3" customWidth="1"/>
    <col min="6" max="6" width="10.90625" style="3" customWidth="1"/>
    <col min="7" max="7" width="12.08984375" style="3" customWidth="1"/>
    <col min="8" max="8" width="14.54296875" style="3" customWidth="1"/>
    <col min="9" max="9" width="15.453125" style="3" customWidth="1"/>
    <col min="10" max="10" width="15.6328125" style="3" customWidth="1"/>
    <col min="11" max="13" width="12.26953125" style="3" customWidth="1"/>
    <col min="14" max="14" width="12.36328125" style="3" customWidth="1"/>
    <col min="15" max="15" width="12.453125" style="3" customWidth="1"/>
    <col min="16" max="16384" width="8.7265625" style="3"/>
  </cols>
  <sheetData>
    <row r="2" spans="2:15" x14ac:dyDescent="0.3">
      <c r="B2" s="3" t="s">
        <v>430</v>
      </c>
      <c r="J2" s="86"/>
    </row>
    <row r="3" spans="2:15" x14ac:dyDescent="0.3">
      <c r="B3" s="8" t="s">
        <v>431</v>
      </c>
      <c r="D3" s="87" t="s">
        <v>432</v>
      </c>
      <c r="G3" s="87"/>
    </row>
    <row r="4" spans="2:15" ht="39" x14ac:dyDescent="0.3">
      <c r="B4" s="749" t="s">
        <v>12</v>
      </c>
      <c r="C4" s="749" t="s">
        <v>433</v>
      </c>
      <c r="D4" s="749" t="s">
        <v>434</v>
      </c>
      <c r="E4" s="749" t="s">
        <v>478</v>
      </c>
      <c r="F4" s="749" t="s">
        <v>458</v>
      </c>
      <c r="G4" s="750" t="s">
        <v>459</v>
      </c>
      <c r="H4" s="749" t="s">
        <v>460</v>
      </c>
      <c r="I4" s="749" t="s">
        <v>461</v>
      </c>
      <c r="J4" s="749" t="s">
        <v>462</v>
      </c>
      <c r="K4" s="749" t="s">
        <v>463</v>
      </c>
      <c r="L4" s="749" t="s">
        <v>464</v>
      </c>
      <c r="M4" s="749" t="s">
        <v>465</v>
      </c>
      <c r="N4" s="749" t="s">
        <v>466</v>
      </c>
      <c r="O4" s="751" t="s">
        <v>435</v>
      </c>
    </row>
    <row r="5" spans="2:15" ht="37.5" x14ac:dyDescent="0.3">
      <c r="B5" s="88">
        <v>1</v>
      </c>
      <c r="C5" s="89" t="s">
        <v>436</v>
      </c>
      <c r="D5" s="88" t="s">
        <v>437</v>
      </c>
      <c r="E5" s="755"/>
      <c r="F5" s="88" t="s">
        <v>438</v>
      </c>
      <c r="G5" s="90" t="s">
        <v>439</v>
      </c>
      <c r="H5" s="88" t="s">
        <v>440</v>
      </c>
      <c r="I5" s="88" t="s">
        <v>441</v>
      </c>
      <c r="J5" s="88" t="s">
        <v>442</v>
      </c>
      <c r="K5" s="752"/>
      <c r="L5" s="752"/>
      <c r="M5" s="752"/>
      <c r="N5" s="88" t="s">
        <v>443</v>
      </c>
      <c r="O5" s="91" t="s">
        <v>444</v>
      </c>
    </row>
    <row r="6" spans="2:15" ht="25" x14ac:dyDescent="0.3">
      <c r="B6" s="92">
        <v>2</v>
      </c>
      <c r="C6" s="93" t="s">
        <v>445</v>
      </c>
      <c r="D6" s="94">
        <v>3000</v>
      </c>
      <c r="E6" s="756"/>
      <c r="F6" s="94">
        <v>3000</v>
      </c>
      <c r="G6" s="94">
        <v>3000</v>
      </c>
      <c r="H6" s="107">
        <v>1000</v>
      </c>
      <c r="I6" s="94">
        <v>3000</v>
      </c>
      <c r="J6" s="107">
        <v>1500</v>
      </c>
      <c r="K6" s="753"/>
      <c r="L6" s="753"/>
      <c r="M6" s="753"/>
      <c r="N6" s="94">
        <f>J6</f>
        <v>1500</v>
      </c>
      <c r="O6" s="95">
        <f>MIN(D6:N6)</f>
        <v>1000</v>
      </c>
    </row>
    <row r="7" spans="2:15" ht="25" x14ac:dyDescent="0.3">
      <c r="B7" s="92">
        <v>3</v>
      </c>
      <c r="C7" s="93" t="s">
        <v>446</v>
      </c>
      <c r="D7" s="94">
        <v>3000</v>
      </c>
      <c r="E7" s="756"/>
      <c r="F7" s="94">
        <v>3000</v>
      </c>
      <c r="G7" s="94">
        <v>3000</v>
      </c>
      <c r="H7" s="94">
        <v>800</v>
      </c>
      <c r="I7" s="94">
        <f>H7*90%</f>
        <v>720</v>
      </c>
      <c r="J7" s="94">
        <f>I7</f>
        <v>720</v>
      </c>
      <c r="K7" s="753"/>
      <c r="L7" s="753"/>
      <c r="M7" s="753"/>
      <c r="N7" s="94">
        <f>J7</f>
        <v>720</v>
      </c>
      <c r="O7" s="95">
        <f>MIN(D7:N7)</f>
        <v>720</v>
      </c>
    </row>
    <row r="8" spans="2:15" ht="25" x14ac:dyDescent="0.3">
      <c r="B8" s="1098">
        <v>4</v>
      </c>
      <c r="C8" s="93" t="s">
        <v>447</v>
      </c>
      <c r="D8" s="94">
        <v>2</v>
      </c>
      <c r="E8" s="756"/>
      <c r="F8" s="94">
        <v>0</v>
      </c>
      <c r="G8" s="94">
        <v>1</v>
      </c>
      <c r="H8" s="96">
        <v>1</v>
      </c>
      <c r="I8" s="96">
        <v>1</v>
      </c>
      <c r="J8" s="94">
        <v>1</v>
      </c>
      <c r="K8" s="753"/>
      <c r="L8" s="753"/>
      <c r="M8" s="753"/>
      <c r="N8" s="94">
        <v>0</v>
      </c>
      <c r="O8" s="95">
        <f>SUM(D8:N8)</f>
        <v>6</v>
      </c>
    </row>
    <row r="9" spans="2:15" ht="50" x14ac:dyDescent="0.3">
      <c r="B9" s="1098"/>
      <c r="C9" s="93" t="s">
        <v>448</v>
      </c>
      <c r="D9" s="97" t="s">
        <v>449</v>
      </c>
      <c r="E9" s="756"/>
      <c r="F9" s="97"/>
      <c r="G9" s="98" t="s">
        <v>450</v>
      </c>
      <c r="H9" s="99" t="s">
        <v>451</v>
      </c>
      <c r="I9" s="100" t="s">
        <v>452</v>
      </c>
      <c r="J9" s="100" t="s">
        <v>453</v>
      </c>
      <c r="K9" s="754"/>
      <c r="L9" s="754"/>
      <c r="M9" s="754"/>
      <c r="N9" s="100" t="s">
        <v>454</v>
      </c>
      <c r="O9" s="95"/>
    </row>
    <row r="10" spans="2:15" s="103" customFormat="1" ht="25" x14ac:dyDescent="0.3">
      <c r="B10" s="1098"/>
      <c r="C10" s="93" t="s">
        <v>455</v>
      </c>
      <c r="D10" s="97"/>
      <c r="E10" s="93"/>
      <c r="F10" s="1099" t="s">
        <v>456</v>
      </c>
      <c r="G10" s="1100"/>
      <c r="H10" s="1100"/>
      <c r="I10" s="1100"/>
      <c r="J10" s="1101"/>
      <c r="K10" s="101"/>
      <c r="L10" s="101"/>
      <c r="M10" s="101"/>
      <c r="N10" s="100"/>
      <c r="O10" s="102">
        <v>1</v>
      </c>
    </row>
    <row r="12" spans="2:15" x14ac:dyDescent="0.3">
      <c r="B12" s="8" t="s">
        <v>457</v>
      </c>
    </row>
    <row r="13" spans="2:15" ht="39" x14ac:dyDescent="0.3">
      <c r="B13" s="749" t="s">
        <v>12</v>
      </c>
      <c r="C13" s="749" t="s">
        <v>433</v>
      </c>
      <c r="D13" s="749" t="s">
        <v>434</v>
      </c>
      <c r="E13" s="749" t="s">
        <v>478</v>
      </c>
      <c r="F13" s="749" t="s">
        <v>458</v>
      </c>
      <c r="G13" s="750" t="s">
        <v>459</v>
      </c>
      <c r="H13" s="749" t="s">
        <v>460</v>
      </c>
      <c r="I13" s="749" t="s">
        <v>461</v>
      </c>
      <c r="J13" s="749" t="s">
        <v>462</v>
      </c>
      <c r="K13" s="749" t="s">
        <v>463</v>
      </c>
      <c r="L13" s="749" t="s">
        <v>464</v>
      </c>
      <c r="M13" s="749" t="s">
        <v>465</v>
      </c>
      <c r="N13" s="749" t="s">
        <v>466</v>
      </c>
      <c r="O13" s="751" t="s">
        <v>435</v>
      </c>
    </row>
    <row r="14" spans="2:15" ht="55.5" customHeight="1" x14ac:dyDescent="0.3">
      <c r="B14" s="88">
        <v>1</v>
      </c>
      <c r="C14" s="89" t="s">
        <v>436</v>
      </c>
      <c r="D14" s="88" t="s">
        <v>437</v>
      </c>
      <c r="E14" s="752" t="s">
        <v>467</v>
      </c>
      <c r="F14" s="88" t="s">
        <v>438</v>
      </c>
      <c r="G14" s="90" t="s">
        <v>439</v>
      </c>
      <c r="H14" s="88" t="s">
        <v>440</v>
      </c>
      <c r="I14" s="88" t="s">
        <v>468</v>
      </c>
      <c r="J14" s="88" t="s">
        <v>469</v>
      </c>
      <c r="K14" s="752" t="s">
        <v>470</v>
      </c>
      <c r="L14" s="752" t="s">
        <v>471</v>
      </c>
      <c r="M14" s="752" t="s">
        <v>472</v>
      </c>
      <c r="N14" s="88" t="s">
        <v>443</v>
      </c>
      <c r="O14" s="91" t="s">
        <v>444</v>
      </c>
    </row>
    <row r="15" spans="2:15" ht="25" x14ac:dyDescent="0.3">
      <c r="B15" s="92">
        <v>2</v>
      </c>
      <c r="C15" s="93" t="s">
        <v>445</v>
      </c>
      <c r="D15" s="94">
        <v>3000</v>
      </c>
      <c r="E15" s="753">
        <v>2000</v>
      </c>
      <c r="F15" s="94">
        <v>3000</v>
      </c>
      <c r="G15" s="94">
        <v>3000</v>
      </c>
      <c r="H15" s="107">
        <v>1000</v>
      </c>
      <c r="I15" s="94">
        <v>3000</v>
      </c>
      <c r="J15" s="107">
        <v>1500</v>
      </c>
      <c r="K15" s="753">
        <v>1000</v>
      </c>
      <c r="L15" s="753">
        <v>3000</v>
      </c>
      <c r="M15" s="753">
        <v>1500</v>
      </c>
      <c r="N15" s="94">
        <f>J15</f>
        <v>1500</v>
      </c>
      <c r="O15" s="95">
        <f>1500</f>
        <v>1500</v>
      </c>
    </row>
    <row r="16" spans="2:15" ht="25" x14ac:dyDescent="0.3">
      <c r="B16" s="92">
        <v>3</v>
      </c>
      <c r="C16" s="93" t="s">
        <v>446</v>
      </c>
      <c r="D16" s="94">
        <v>3000</v>
      </c>
      <c r="E16" s="753">
        <v>2000</v>
      </c>
      <c r="F16" s="94">
        <v>3000</v>
      </c>
      <c r="G16" s="94">
        <v>3000</v>
      </c>
      <c r="H16" s="94">
        <v>800</v>
      </c>
      <c r="I16" s="94">
        <f>H16*0.9</f>
        <v>720</v>
      </c>
      <c r="J16" s="94">
        <f>I16</f>
        <v>720</v>
      </c>
      <c r="K16" s="753">
        <v>800</v>
      </c>
      <c r="L16" s="753">
        <f>K16*0.9</f>
        <v>720</v>
      </c>
      <c r="M16" s="753">
        <f>L16</f>
        <v>720</v>
      </c>
      <c r="N16" s="94">
        <f>J16</f>
        <v>720</v>
      </c>
      <c r="O16" s="95">
        <f>J16</f>
        <v>720</v>
      </c>
    </row>
    <row r="17" spans="2:15" ht="25" x14ac:dyDescent="0.3">
      <c r="B17" s="1098">
        <v>4</v>
      </c>
      <c r="C17" s="93" t="s">
        <v>473</v>
      </c>
      <c r="D17" s="1102">
        <v>2</v>
      </c>
      <c r="E17" s="1103"/>
      <c r="F17" s="94">
        <v>0</v>
      </c>
      <c r="G17" s="94">
        <v>1</v>
      </c>
      <c r="H17" s="96">
        <v>1</v>
      </c>
      <c r="I17" s="94">
        <v>1</v>
      </c>
      <c r="J17" s="94">
        <v>1</v>
      </c>
      <c r="K17" s="753">
        <v>0</v>
      </c>
      <c r="L17" s="753">
        <v>1</v>
      </c>
      <c r="M17" s="753">
        <v>1</v>
      </c>
      <c r="N17" s="94">
        <v>0</v>
      </c>
      <c r="O17" s="95">
        <f>SUM(D17:N17)</f>
        <v>8</v>
      </c>
    </row>
    <row r="18" spans="2:15" s="103" customFormat="1" ht="50" x14ac:dyDescent="0.3">
      <c r="B18" s="1098"/>
      <c r="C18" s="93" t="s">
        <v>448</v>
      </c>
      <c r="D18" s="1104" t="s">
        <v>474</v>
      </c>
      <c r="E18" s="1105"/>
      <c r="F18" s="97"/>
      <c r="G18" s="98" t="s">
        <v>450</v>
      </c>
      <c r="H18" s="99" t="s">
        <v>475</v>
      </c>
      <c r="I18" s="100" t="s">
        <v>452</v>
      </c>
      <c r="J18" s="100" t="s">
        <v>453</v>
      </c>
      <c r="K18" s="757" t="s">
        <v>476</v>
      </c>
      <c r="L18" s="754" t="s">
        <v>452</v>
      </c>
      <c r="M18" s="754" t="s">
        <v>454</v>
      </c>
      <c r="N18" s="100" t="s">
        <v>454</v>
      </c>
      <c r="O18" s="104"/>
    </row>
    <row r="19" spans="2:15" s="103" customFormat="1" ht="25" x14ac:dyDescent="0.3">
      <c r="B19" s="1098"/>
      <c r="C19" s="93" t="s">
        <v>455</v>
      </c>
      <c r="D19" s="97"/>
      <c r="E19" s="105"/>
      <c r="F19" s="1099" t="s">
        <v>456</v>
      </c>
      <c r="G19" s="1100"/>
      <c r="H19" s="1100"/>
      <c r="I19" s="1100"/>
      <c r="J19" s="1100"/>
      <c r="K19" s="1100"/>
      <c r="L19" s="1100"/>
      <c r="M19" s="1101"/>
      <c r="N19" s="106"/>
      <c r="O19" s="106">
        <v>1</v>
      </c>
    </row>
  </sheetData>
  <mergeCells count="6">
    <mergeCell ref="B8:B10"/>
    <mergeCell ref="F10:J10"/>
    <mergeCell ref="B17:B19"/>
    <mergeCell ref="D17:E17"/>
    <mergeCell ref="D18:E18"/>
    <mergeCell ref="F19:M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8834-C7AB-4C55-A816-954CC5C4F6F3}">
  <sheetPr>
    <tabColor rgb="FF92D050"/>
  </sheetPr>
  <dimension ref="B1:K61"/>
  <sheetViews>
    <sheetView topLeftCell="A3" zoomScale="85" zoomScaleNormal="85" workbookViewId="0">
      <pane ySplit="1" topLeftCell="A39" activePane="bottomLeft" state="frozen"/>
      <selection activeCell="A3" sqref="A3"/>
      <selection pane="bottomLeft" activeCell="E57" sqref="E57"/>
    </sheetView>
  </sheetViews>
  <sheetFormatPr defaultRowHeight="14" outlineLevelRow="1" outlineLevelCol="1" x14ac:dyDescent="0.3"/>
  <cols>
    <col min="1" max="1" width="0.90625" style="10" customWidth="1"/>
    <col min="2" max="2" width="7.36328125" style="10" customWidth="1"/>
    <col min="3" max="3" width="60" style="10" customWidth="1"/>
    <col min="4" max="4" width="10.90625" style="10" hidden="1" customWidth="1" outlineLevel="1"/>
    <col min="5" max="5" width="12.08984375" style="10" customWidth="1" collapsed="1"/>
    <col min="6" max="8" width="12.08984375" style="10" customWidth="1"/>
    <col min="9" max="9" width="13.453125" style="184" hidden="1" customWidth="1" outlineLevel="1"/>
    <col min="10" max="10" width="11.08984375" style="185" hidden="1" customWidth="1" outlineLevel="1"/>
    <col min="11" max="11" width="19.54296875" style="10" customWidth="1" collapsed="1"/>
    <col min="12" max="16384" width="8.7265625" style="10"/>
  </cols>
  <sheetData>
    <row r="1" spans="2:11" x14ac:dyDescent="0.3">
      <c r="B1" s="248" t="s">
        <v>556</v>
      </c>
    </row>
    <row r="2" spans="2:11" s="170" customFormat="1" x14ac:dyDescent="0.3">
      <c r="B2" s="242" t="s">
        <v>355</v>
      </c>
      <c r="I2" s="243"/>
      <c r="J2" s="244"/>
      <c r="K2" s="266" t="s">
        <v>14</v>
      </c>
    </row>
    <row r="3" spans="2:11" ht="28" x14ac:dyDescent="0.3">
      <c r="B3" s="195" t="s">
        <v>12</v>
      </c>
      <c r="C3" s="195" t="s">
        <v>15</v>
      </c>
      <c r="D3" s="195" t="s">
        <v>16</v>
      </c>
      <c r="E3" s="132" t="s">
        <v>777</v>
      </c>
      <c r="F3" s="132" t="s">
        <v>778</v>
      </c>
      <c r="G3" s="132" t="s">
        <v>779</v>
      </c>
      <c r="H3" s="132" t="s">
        <v>780</v>
      </c>
      <c r="I3" s="132" t="s">
        <v>557</v>
      </c>
      <c r="J3" s="196" t="s">
        <v>419</v>
      </c>
      <c r="K3" s="132" t="s">
        <v>51</v>
      </c>
    </row>
    <row r="4" spans="2:11" ht="18" customHeight="1" x14ac:dyDescent="0.3">
      <c r="B4" s="1031"/>
      <c r="C4" s="1031" t="s">
        <v>417</v>
      </c>
      <c r="D4" s="1031"/>
      <c r="E4" s="1032">
        <f>G.Định!F18</f>
        <v>1</v>
      </c>
      <c r="F4" s="1032">
        <f>G.Định!H18</f>
        <v>2</v>
      </c>
      <c r="G4" s="1032">
        <f>G.Định!J18</f>
        <v>2.5</v>
      </c>
      <c r="H4" s="1032">
        <f>G.Định!L18</f>
        <v>3</v>
      </c>
      <c r="I4" s="1032"/>
      <c r="J4" s="1033"/>
      <c r="K4" s="1032"/>
    </row>
    <row r="5" spans="2:11" s="170" customFormat="1" x14ac:dyDescent="0.3">
      <c r="B5" s="223">
        <v>1</v>
      </c>
      <c r="C5" s="224" t="s">
        <v>17</v>
      </c>
      <c r="D5" s="225">
        <v>642</v>
      </c>
      <c r="E5" s="226">
        <f>SUM(E6:E7)</f>
        <v>1</v>
      </c>
      <c r="F5" s="226">
        <f>SUM(F6:F7)</f>
        <v>1</v>
      </c>
      <c r="G5" s="226">
        <f>SUM(G6:G7)</f>
        <v>1</v>
      </c>
      <c r="H5" s="226">
        <f>SUM(H6:H7)</f>
        <v>1</v>
      </c>
      <c r="I5" s="226"/>
      <c r="J5" s="227"/>
      <c r="K5" s="226"/>
    </row>
    <row r="6" spans="2:11" x14ac:dyDescent="0.3">
      <c r="B6" s="197"/>
      <c r="C6" s="198" t="s">
        <v>18</v>
      </c>
      <c r="D6" s="199"/>
      <c r="E6" s="200">
        <v>1</v>
      </c>
      <c r="F6" s="200">
        <v>1</v>
      </c>
      <c r="G6" s="200">
        <v>1</v>
      </c>
      <c r="H6" s="200">
        <v>1</v>
      </c>
      <c r="I6" s="200">
        <v>70000000</v>
      </c>
      <c r="J6" s="201">
        <v>1</v>
      </c>
      <c r="K6" s="200" t="s">
        <v>52</v>
      </c>
    </row>
    <row r="7" spans="2:11" hidden="1" outlineLevel="1" x14ac:dyDescent="0.3">
      <c r="B7" s="197"/>
      <c r="C7" s="198" t="s">
        <v>19</v>
      </c>
      <c r="D7" s="199"/>
      <c r="E7" s="200"/>
      <c r="F7" s="200"/>
      <c r="G7" s="200"/>
      <c r="H7" s="200"/>
      <c r="I7" s="200"/>
      <c r="J7" s="201">
        <v>1</v>
      </c>
      <c r="K7" s="200"/>
    </row>
    <row r="8" spans="2:11" s="170" customFormat="1" collapsed="1" x14ac:dyDescent="0.3">
      <c r="B8" s="228">
        <v>2</v>
      </c>
      <c r="C8" s="229" t="s">
        <v>20</v>
      </c>
      <c r="D8" s="230">
        <v>642</v>
      </c>
      <c r="E8" s="231">
        <f>SUM(E9:E12)</f>
        <v>3</v>
      </c>
      <c r="F8" s="231">
        <f>SUM(F9:F12)</f>
        <v>3</v>
      </c>
      <c r="G8" s="231">
        <f>SUM(G9:G12)</f>
        <v>3</v>
      </c>
      <c r="H8" s="231">
        <f>SUM(H9:H12)</f>
        <v>3</v>
      </c>
      <c r="I8" s="231"/>
      <c r="J8" s="232"/>
      <c r="K8" s="231"/>
    </row>
    <row r="9" spans="2:11" x14ac:dyDescent="0.3">
      <c r="B9" s="197"/>
      <c r="C9" s="198" t="s">
        <v>21</v>
      </c>
      <c r="D9" s="199"/>
      <c r="E9" s="200">
        <v>1</v>
      </c>
      <c r="F9" s="200">
        <v>1</v>
      </c>
      <c r="G9" s="200">
        <v>1</v>
      </c>
      <c r="H9" s="200">
        <v>1</v>
      </c>
      <c r="I9" s="200">
        <v>28000000</v>
      </c>
      <c r="J9" s="201">
        <v>1</v>
      </c>
      <c r="K9" s="206"/>
    </row>
    <row r="10" spans="2:11" x14ac:dyDescent="0.3">
      <c r="B10" s="197"/>
      <c r="C10" s="198" t="s">
        <v>22</v>
      </c>
      <c r="D10" s="199"/>
      <c r="E10" s="200">
        <v>1</v>
      </c>
      <c r="F10" s="200">
        <v>1</v>
      </c>
      <c r="G10" s="200">
        <v>1</v>
      </c>
      <c r="H10" s="200">
        <v>1</v>
      </c>
      <c r="I10" s="200">
        <v>12000000</v>
      </c>
      <c r="J10" s="201">
        <v>1</v>
      </c>
      <c r="K10" s="207"/>
    </row>
    <row r="11" spans="2:11" x14ac:dyDescent="0.3">
      <c r="B11" s="197"/>
      <c r="C11" s="198" t="s">
        <v>23</v>
      </c>
      <c r="D11" s="199"/>
      <c r="E11" s="200"/>
      <c r="F11" s="200"/>
      <c r="G11" s="200"/>
      <c r="H11" s="200"/>
      <c r="I11" s="200">
        <v>12000000</v>
      </c>
      <c r="J11" s="201">
        <v>1</v>
      </c>
      <c r="K11" s="206"/>
    </row>
    <row r="12" spans="2:11" x14ac:dyDescent="0.3">
      <c r="B12" s="197"/>
      <c r="C12" s="198" t="s">
        <v>24</v>
      </c>
      <c r="D12" s="199"/>
      <c r="E12" s="200">
        <v>1</v>
      </c>
      <c r="F12" s="200">
        <v>1</v>
      </c>
      <c r="G12" s="200">
        <v>1</v>
      </c>
      <c r="H12" s="200">
        <v>1</v>
      </c>
      <c r="I12" s="200">
        <v>8000000</v>
      </c>
      <c r="J12" s="201">
        <v>1</v>
      </c>
      <c r="K12" s="206"/>
    </row>
    <row r="13" spans="2:11" s="170" customFormat="1" x14ac:dyDescent="0.3">
      <c r="B13" s="228">
        <v>3</v>
      </c>
      <c r="C13" s="229" t="s">
        <v>25</v>
      </c>
      <c r="D13" s="230">
        <v>642</v>
      </c>
      <c r="E13" s="231">
        <f>SUM(E14:E16)</f>
        <v>3</v>
      </c>
      <c r="F13" s="231">
        <f>SUM(F14:F16)</f>
        <v>3</v>
      </c>
      <c r="G13" s="231">
        <f>SUM(G14:G16)</f>
        <v>3</v>
      </c>
      <c r="H13" s="231">
        <f>SUM(H14:H16)</f>
        <v>3</v>
      </c>
      <c r="I13" s="231"/>
      <c r="J13" s="232"/>
      <c r="K13" s="231"/>
    </row>
    <row r="14" spans="2:11" x14ac:dyDescent="0.3">
      <c r="B14" s="197"/>
      <c r="C14" s="198" t="s">
        <v>26</v>
      </c>
      <c r="D14" s="199"/>
      <c r="E14" s="200">
        <v>1</v>
      </c>
      <c r="F14" s="200">
        <v>1</v>
      </c>
      <c r="G14" s="200">
        <v>1</v>
      </c>
      <c r="H14" s="200">
        <v>1</v>
      </c>
      <c r="I14" s="200">
        <v>28000000</v>
      </c>
      <c r="J14" s="201">
        <v>1</v>
      </c>
      <c r="K14" s="200"/>
    </row>
    <row r="15" spans="2:11" x14ac:dyDescent="0.3">
      <c r="B15" s="197"/>
      <c r="C15" s="198" t="s">
        <v>27</v>
      </c>
      <c r="D15" s="199"/>
      <c r="E15" s="200">
        <v>1</v>
      </c>
      <c r="F15" s="200">
        <v>1</v>
      </c>
      <c r="G15" s="200">
        <v>1</v>
      </c>
      <c r="H15" s="200">
        <v>1</v>
      </c>
      <c r="I15" s="200">
        <v>18000000</v>
      </c>
      <c r="J15" s="201">
        <v>1</v>
      </c>
      <c r="K15" s="200"/>
    </row>
    <row r="16" spans="2:11" x14ac:dyDescent="0.3">
      <c r="B16" s="197"/>
      <c r="C16" s="198" t="s">
        <v>28</v>
      </c>
      <c r="D16" s="199"/>
      <c r="E16" s="200">
        <v>1</v>
      </c>
      <c r="F16" s="200">
        <v>1</v>
      </c>
      <c r="G16" s="200">
        <v>1</v>
      </c>
      <c r="H16" s="200">
        <v>1</v>
      </c>
      <c r="I16" s="200">
        <v>12000000</v>
      </c>
      <c r="J16" s="201">
        <v>1</v>
      </c>
      <c r="K16" s="200"/>
    </row>
    <row r="17" spans="2:11" s="170" customFormat="1" x14ac:dyDescent="0.3">
      <c r="B17" s="228">
        <v>4</v>
      </c>
      <c r="C17" s="229" t="s">
        <v>34</v>
      </c>
      <c r="D17" s="230">
        <v>642</v>
      </c>
      <c r="E17" s="231">
        <f t="shared" ref="E17:H17" si="0">E18</f>
        <v>0</v>
      </c>
      <c r="F17" s="231">
        <f t="shared" si="0"/>
        <v>1</v>
      </c>
      <c r="G17" s="231">
        <f>G18</f>
        <v>1</v>
      </c>
      <c r="H17" s="231">
        <f t="shared" si="0"/>
        <v>1</v>
      </c>
      <c r="I17" s="231"/>
      <c r="J17" s="232"/>
      <c r="K17" s="231"/>
    </row>
    <row r="18" spans="2:11" x14ac:dyDescent="0.3">
      <c r="B18" s="197"/>
      <c r="C18" s="198" t="s">
        <v>35</v>
      </c>
      <c r="D18" s="199"/>
      <c r="E18" s="200"/>
      <c r="F18" s="200">
        <v>1</v>
      </c>
      <c r="G18" s="200">
        <v>1</v>
      </c>
      <c r="H18" s="200">
        <v>1</v>
      </c>
      <c r="I18" s="200">
        <v>12000000</v>
      </c>
      <c r="J18" s="201">
        <v>1</v>
      </c>
      <c r="K18" s="200"/>
    </row>
    <row r="19" spans="2:11" s="170" customFormat="1" x14ac:dyDescent="0.3">
      <c r="B19" s="228">
        <v>5</v>
      </c>
      <c r="C19" s="229" t="s">
        <v>29</v>
      </c>
      <c r="D19" s="230">
        <v>642</v>
      </c>
      <c r="E19" s="231">
        <f t="shared" ref="E19:H19" si="1">E20</f>
        <v>1</v>
      </c>
      <c r="F19" s="231">
        <f t="shared" si="1"/>
        <v>1</v>
      </c>
      <c r="G19" s="231">
        <f>G20</f>
        <v>1</v>
      </c>
      <c r="H19" s="231">
        <f t="shared" si="1"/>
        <v>1</v>
      </c>
      <c r="I19" s="231"/>
      <c r="J19" s="232"/>
      <c r="K19" s="231"/>
    </row>
    <row r="20" spans="2:11" x14ac:dyDescent="0.3">
      <c r="B20" s="197"/>
      <c r="C20" s="198" t="s">
        <v>30</v>
      </c>
      <c r="D20" s="199"/>
      <c r="E20" s="200">
        <v>1</v>
      </c>
      <c r="F20" s="200">
        <v>1</v>
      </c>
      <c r="G20" s="200">
        <v>1</v>
      </c>
      <c r="H20" s="200">
        <v>1</v>
      </c>
      <c r="I20" s="200">
        <v>12000000</v>
      </c>
      <c r="J20" s="201">
        <v>1</v>
      </c>
      <c r="K20" s="200"/>
    </row>
    <row r="21" spans="2:11" s="170" customFormat="1" x14ac:dyDescent="0.3">
      <c r="B21" s="228">
        <v>6</v>
      </c>
      <c r="C21" s="229" t="s">
        <v>31</v>
      </c>
      <c r="D21" s="230">
        <v>642</v>
      </c>
      <c r="E21" s="231">
        <f t="shared" ref="E21:H21" si="2">E22</f>
        <v>0</v>
      </c>
      <c r="F21" s="231">
        <f t="shared" si="2"/>
        <v>1</v>
      </c>
      <c r="G21" s="231">
        <f>G22</f>
        <v>1</v>
      </c>
      <c r="H21" s="231">
        <f t="shared" si="2"/>
        <v>1</v>
      </c>
      <c r="I21" s="231"/>
      <c r="J21" s="232"/>
      <c r="K21" s="231"/>
    </row>
    <row r="22" spans="2:11" x14ac:dyDescent="0.3">
      <c r="B22" s="197"/>
      <c r="C22" s="198" t="s">
        <v>360</v>
      </c>
      <c r="D22" s="199"/>
      <c r="E22" s="200"/>
      <c r="F22" s="200">
        <v>1</v>
      </c>
      <c r="G22" s="200">
        <v>1</v>
      </c>
      <c r="H22" s="200">
        <v>1</v>
      </c>
      <c r="I22" s="200">
        <v>12000000</v>
      </c>
      <c r="J22" s="201">
        <v>1</v>
      </c>
      <c r="K22" s="200"/>
    </row>
    <row r="23" spans="2:11" s="170" customFormat="1" x14ac:dyDescent="0.3">
      <c r="B23" s="228">
        <v>7</v>
      </c>
      <c r="C23" s="229" t="s">
        <v>32</v>
      </c>
      <c r="D23" s="230">
        <v>642</v>
      </c>
      <c r="E23" s="231">
        <f t="shared" ref="E23:H23" si="3">E24</f>
        <v>0</v>
      </c>
      <c r="F23" s="231">
        <f t="shared" si="3"/>
        <v>1</v>
      </c>
      <c r="G23" s="231">
        <f>G24</f>
        <v>1</v>
      </c>
      <c r="H23" s="231">
        <f t="shared" si="3"/>
        <v>1</v>
      </c>
      <c r="I23" s="231"/>
      <c r="J23" s="232"/>
      <c r="K23" s="231"/>
    </row>
    <row r="24" spans="2:11" x14ac:dyDescent="0.3">
      <c r="B24" s="197"/>
      <c r="C24" s="198" t="s">
        <v>33</v>
      </c>
      <c r="D24" s="199"/>
      <c r="E24" s="200"/>
      <c r="F24" s="200">
        <v>1</v>
      </c>
      <c r="G24" s="200">
        <v>1</v>
      </c>
      <c r="H24" s="200">
        <v>1</v>
      </c>
      <c r="I24" s="200">
        <v>12000000</v>
      </c>
      <c r="J24" s="201">
        <v>1</v>
      </c>
      <c r="K24" s="200"/>
    </row>
    <row r="25" spans="2:11" s="170" customFormat="1" x14ac:dyDescent="0.3">
      <c r="B25" s="228">
        <v>8</v>
      </c>
      <c r="C25" s="229" t="s">
        <v>45</v>
      </c>
      <c r="D25" s="230" t="s">
        <v>41</v>
      </c>
      <c r="E25" s="231">
        <f t="shared" ref="E25" si="4">SUM(E26:E27)</f>
        <v>2</v>
      </c>
      <c r="F25" s="231">
        <f t="shared" ref="F25:H25" si="5">SUM(F26:F27)</f>
        <v>3</v>
      </c>
      <c r="G25" s="231">
        <f t="shared" si="5"/>
        <v>5</v>
      </c>
      <c r="H25" s="231">
        <f t="shared" si="5"/>
        <v>5</v>
      </c>
      <c r="I25" s="231"/>
      <c r="J25" s="232"/>
      <c r="K25" s="231"/>
    </row>
    <row r="26" spans="2:11" x14ac:dyDescent="0.3">
      <c r="B26" s="197"/>
      <c r="C26" s="208" t="s">
        <v>359</v>
      </c>
      <c r="D26" s="209"/>
      <c r="E26" s="200"/>
      <c r="F26" s="200">
        <v>1</v>
      </c>
      <c r="G26" s="200">
        <v>1</v>
      </c>
      <c r="H26" s="200">
        <v>1</v>
      </c>
      <c r="I26" s="200">
        <v>12000000</v>
      </c>
      <c r="J26" s="201">
        <v>1</v>
      </c>
      <c r="K26" s="200"/>
    </row>
    <row r="27" spans="2:11" x14ac:dyDescent="0.3">
      <c r="B27" s="197"/>
      <c r="C27" s="208" t="s">
        <v>358</v>
      </c>
      <c r="D27" s="209"/>
      <c r="E27" s="200">
        <v>2</v>
      </c>
      <c r="F27" s="200">
        <v>2</v>
      </c>
      <c r="G27" s="200">
        <v>4</v>
      </c>
      <c r="H27" s="200">
        <v>4</v>
      </c>
      <c r="I27" s="200">
        <v>10000000</v>
      </c>
      <c r="J27" s="201">
        <v>1</v>
      </c>
      <c r="K27" s="200"/>
    </row>
    <row r="28" spans="2:11" s="170" customFormat="1" x14ac:dyDescent="0.3">
      <c r="B28" s="228">
        <v>9</v>
      </c>
      <c r="C28" s="229" t="s">
        <v>36</v>
      </c>
      <c r="D28" s="230">
        <v>627</v>
      </c>
      <c r="E28" s="231">
        <f>SUM(E29:E30)</f>
        <v>1</v>
      </c>
      <c r="F28" s="231">
        <f>SUM(F29:F30)</f>
        <v>2</v>
      </c>
      <c r="G28" s="231">
        <f>SUM(G29:G30)</f>
        <v>3</v>
      </c>
      <c r="H28" s="231">
        <f>SUM(H29:H30)</f>
        <v>3</v>
      </c>
      <c r="I28" s="231"/>
      <c r="J28" s="232"/>
      <c r="K28" s="231"/>
    </row>
    <row r="29" spans="2:11" x14ac:dyDescent="0.3">
      <c r="B29" s="197"/>
      <c r="C29" s="198" t="s">
        <v>37</v>
      </c>
      <c r="D29" s="199"/>
      <c r="E29" s="200">
        <v>1</v>
      </c>
      <c r="F29" s="200">
        <v>1</v>
      </c>
      <c r="G29" s="200">
        <v>1</v>
      </c>
      <c r="H29" s="200">
        <v>1</v>
      </c>
      <c r="I29" s="200">
        <v>12000000</v>
      </c>
      <c r="J29" s="201">
        <v>1</v>
      </c>
      <c r="K29" s="200"/>
    </row>
    <row r="30" spans="2:11" x14ac:dyDescent="0.3">
      <c r="B30" s="197"/>
      <c r="C30" s="198" t="s">
        <v>415</v>
      </c>
      <c r="D30" s="199"/>
      <c r="E30" s="200"/>
      <c r="F30" s="200">
        <v>1</v>
      </c>
      <c r="G30" s="200">
        <v>2</v>
      </c>
      <c r="H30" s="200">
        <v>2</v>
      </c>
      <c r="I30" s="200">
        <v>12000000</v>
      </c>
      <c r="J30" s="201">
        <v>1</v>
      </c>
      <c r="K30" s="200" t="s">
        <v>410</v>
      </c>
    </row>
    <row r="31" spans="2:11" s="170" customFormat="1" x14ac:dyDescent="0.3">
      <c r="B31" s="228">
        <v>10</v>
      </c>
      <c r="C31" s="229" t="s">
        <v>38</v>
      </c>
      <c r="D31" s="230">
        <v>627</v>
      </c>
      <c r="E31" s="231">
        <f t="shared" ref="E31" si="6">SUM(E32:E33)</f>
        <v>2</v>
      </c>
      <c r="F31" s="231">
        <f t="shared" ref="F31:G31" si="7">SUM(F32:F33)</f>
        <v>3</v>
      </c>
      <c r="G31" s="231">
        <f t="shared" si="7"/>
        <v>5</v>
      </c>
      <c r="H31" s="231">
        <f>SUM(H32:H33)</f>
        <v>5</v>
      </c>
      <c r="I31" s="231"/>
      <c r="J31" s="232"/>
      <c r="K31" s="231"/>
    </row>
    <row r="32" spans="2:11" x14ac:dyDescent="0.3">
      <c r="B32" s="197"/>
      <c r="C32" s="198" t="s">
        <v>361</v>
      </c>
      <c r="D32" s="199"/>
      <c r="E32" s="200">
        <v>1</v>
      </c>
      <c r="F32" s="200">
        <v>1</v>
      </c>
      <c r="G32" s="200">
        <v>1</v>
      </c>
      <c r="H32" s="200">
        <v>1</v>
      </c>
      <c r="I32" s="200">
        <v>12000000</v>
      </c>
      <c r="J32" s="201">
        <v>1</v>
      </c>
      <c r="K32" s="200"/>
    </row>
    <row r="33" spans="2:11" x14ac:dyDescent="0.3">
      <c r="B33" s="197"/>
      <c r="C33" s="198" t="s">
        <v>414</v>
      </c>
      <c r="D33" s="199"/>
      <c r="E33" s="200">
        <v>1</v>
      </c>
      <c r="F33" s="200">
        <f>E33*2</f>
        <v>2</v>
      </c>
      <c r="G33" s="200">
        <v>4</v>
      </c>
      <c r="H33" s="200">
        <v>4</v>
      </c>
      <c r="I33" s="200">
        <v>10000000</v>
      </c>
      <c r="J33" s="201">
        <v>1</v>
      </c>
      <c r="K33" s="200" t="s">
        <v>410</v>
      </c>
    </row>
    <row r="34" spans="2:11" s="170" customFormat="1" x14ac:dyDescent="0.3">
      <c r="B34" s="228">
        <v>11</v>
      </c>
      <c r="C34" s="229" t="s">
        <v>39</v>
      </c>
      <c r="D34" s="230"/>
      <c r="E34" s="231">
        <f t="shared" ref="E34" si="8">E35+E39</f>
        <v>12</v>
      </c>
      <c r="F34" s="231">
        <f t="shared" ref="F34:G34" si="9">F35+F39</f>
        <v>20</v>
      </c>
      <c r="G34" s="231">
        <f t="shared" si="9"/>
        <v>25</v>
      </c>
      <c r="H34" s="231">
        <f>H35+H39</f>
        <v>29</v>
      </c>
      <c r="I34" s="231"/>
      <c r="J34" s="232"/>
      <c r="K34" s="231"/>
    </row>
    <row r="35" spans="2:11" x14ac:dyDescent="0.3">
      <c r="B35" s="240">
        <v>11.1</v>
      </c>
      <c r="C35" s="241" t="s">
        <v>40</v>
      </c>
      <c r="D35" s="199" t="s">
        <v>41</v>
      </c>
      <c r="E35" s="210">
        <f>SUM(E36:E38)</f>
        <v>3</v>
      </c>
      <c r="F35" s="210">
        <f>SUM(F36:F38)</f>
        <v>4</v>
      </c>
      <c r="G35" s="210">
        <f>SUM(G36:G38)</f>
        <v>4</v>
      </c>
      <c r="H35" s="210">
        <f>SUM(H36:H38)</f>
        <v>4</v>
      </c>
      <c r="I35" s="210"/>
      <c r="J35" s="211"/>
      <c r="K35" s="210"/>
    </row>
    <row r="36" spans="2:11" x14ac:dyDescent="0.3">
      <c r="B36" s="212"/>
      <c r="C36" s="213" t="s">
        <v>42</v>
      </c>
      <c r="D36" s="209"/>
      <c r="E36" s="200">
        <v>1</v>
      </c>
      <c r="F36" s="200">
        <v>1</v>
      </c>
      <c r="G36" s="200">
        <v>1</v>
      </c>
      <c r="H36" s="200">
        <v>1</v>
      </c>
      <c r="I36" s="200">
        <v>40000000</v>
      </c>
      <c r="J36" s="201">
        <v>1</v>
      </c>
      <c r="K36" s="200"/>
    </row>
    <row r="37" spans="2:11" x14ac:dyDescent="0.3">
      <c r="B37" s="212"/>
      <c r="C37" s="213" t="s">
        <v>413</v>
      </c>
      <c r="D37" s="209"/>
      <c r="E37" s="200">
        <v>1</v>
      </c>
      <c r="F37" s="200">
        <f>E37*2</f>
        <v>2</v>
      </c>
      <c r="G37" s="200">
        <v>2</v>
      </c>
      <c r="H37" s="200">
        <v>2</v>
      </c>
      <c r="I37" s="200">
        <v>12000000</v>
      </c>
      <c r="J37" s="201">
        <v>1</v>
      </c>
      <c r="K37" s="200" t="s">
        <v>410</v>
      </c>
    </row>
    <row r="38" spans="2:11" x14ac:dyDescent="0.3">
      <c r="B38" s="212"/>
      <c r="C38" s="213" t="s">
        <v>775</v>
      </c>
      <c r="D38" s="209"/>
      <c r="E38" s="200">
        <v>1</v>
      </c>
      <c r="F38" s="200">
        <v>1</v>
      </c>
      <c r="G38" s="200">
        <v>1</v>
      </c>
      <c r="H38" s="200">
        <v>1</v>
      </c>
      <c r="I38" s="200">
        <v>10000000</v>
      </c>
      <c r="J38" s="201">
        <v>1</v>
      </c>
      <c r="K38" s="200"/>
    </row>
    <row r="39" spans="2:11" x14ac:dyDescent="0.3">
      <c r="B39" s="240">
        <v>11.2</v>
      </c>
      <c r="C39" s="241" t="s">
        <v>43</v>
      </c>
      <c r="D39" s="199" t="s">
        <v>44</v>
      </c>
      <c r="E39" s="210">
        <f t="shared" ref="E39:F39" si="10">E40+E41</f>
        <v>9</v>
      </c>
      <c r="F39" s="210">
        <f t="shared" si="10"/>
        <v>16</v>
      </c>
      <c r="G39" s="210">
        <f>G40+G41</f>
        <v>21</v>
      </c>
      <c r="H39" s="210">
        <f>H40+H41</f>
        <v>25</v>
      </c>
      <c r="I39" s="210"/>
      <c r="J39" s="211"/>
      <c r="K39" s="210"/>
    </row>
    <row r="40" spans="2:11" x14ac:dyDescent="0.3">
      <c r="B40" s="212"/>
      <c r="C40" s="213" t="s">
        <v>412</v>
      </c>
      <c r="D40" s="214"/>
      <c r="E40" s="215">
        <v>7</v>
      </c>
      <c r="F40" s="200">
        <f t="shared" ref="F40" si="11">E40*2</f>
        <v>14</v>
      </c>
      <c r="G40" s="200">
        <v>17</v>
      </c>
      <c r="H40" s="200">
        <f t="shared" ref="H40" si="12">E40*3</f>
        <v>21</v>
      </c>
      <c r="I40" s="215">
        <v>8000000</v>
      </c>
      <c r="J40" s="201">
        <v>1</v>
      </c>
      <c r="K40" s="200" t="s">
        <v>410</v>
      </c>
    </row>
    <row r="41" spans="2:11" x14ac:dyDescent="0.3">
      <c r="B41" s="197"/>
      <c r="C41" s="213" t="s">
        <v>411</v>
      </c>
      <c r="D41" s="209"/>
      <c r="E41" s="200">
        <v>2</v>
      </c>
      <c r="F41" s="200">
        <v>2</v>
      </c>
      <c r="G41" s="200">
        <v>4</v>
      </c>
      <c r="H41" s="200">
        <v>4</v>
      </c>
      <c r="I41" s="200">
        <v>8000000</v>
      </c>
      <c r="J41" s="201">
        <v>1</v>
      </c>
      <c r="K41" s="200" t="s">
        <v>410</v>
      </c>
    </row>
    <row r="42" spans="2:11" s="170" customFormat="1" x14ac:dyDescent="0.3">
      <c r="B42" s="228"/>
      <c r="C42" s="233" t="s">
        <v>357</v>
      </c>
      <c r="D42" s="230"/>
      <c r="E42" s="231">
        <f>E5+E8+E13+E17+E19+E25+E28+E21+E23+E31+E34</f>
        <v>25</v>
      </c>
      <c r="F42" s="231">
        <f>F5+F8+F13+F17+F19+F25+F28+F21+F23+F31+F34</f>
        <v>39</v>
      </c>
      <c r="G42" s="231">
        <f>G5+G8+G13+G17+G19+G25+G28+G21+G23+G31+G34</f>
        <v>49</v>
      </c>
      <c r="H42" s="231">
        <f>H5+H8+H13+H17+H19+H25+H28+H21+H23+H31+H34</f>
        <v>53</v>
      </c>
      <c r="I42" s="231"/>
      <c r="J42" s="232"/>
      <c r="K42" s="231"/>
    </row>
    <row r="44" spans="2:11" s="170" customFormat="1" x14ac:dyDescent="0.3">
      <c r="B44" s="242" t="s">
        <v>362</v>
      </c>
      <c r="I44" s="243"/>
      <c r="J44" s="244"/>
    </row>
    <row r="45" spans="2:11" ht="28" x14ac:dyDescent="0.3">
      <c r="B45" s="195" t="s">
        <v>12</v>
      </c>
      <c r="C45" s="195" t="s">
        <v>15</v>
      </c>
      <c r="D45" s="195" t="s">
        <v>16</v>
      </c>
      <c r="E45" s="132" t="s">
        <v>777</v>
      </c>
      <c r="F45" s="132" t="s">
        <v>778</v>
      </c>
      <c r="G45" s="132" t="s">
        <v>779</v>
      </c>
      <c r="H45" s="132" t="s">
        <v>780</v>
      </c>
      <c r="I45" s="132" t="s">
        <v>557</v>
      </c>
      <c r="J45" s="196" t="s">
        <v>419</v>
      </c>
      <c r="K45" s="132" t="s">
        <v>51</v>
      </c>
    </row>
    <row r="46" spans="2:11" s="170" customFormat="1" x14ac:dyDescent="0.3">
      <c r="B46" s="234">
        <v>1</v>
      </c>
      <c r="C46" s="235" t="s">
        <v>350</v>
      </c>
      <c r="D46" s="236">
        <v>627</v>
      </c>
      <c r="E46" s="237">
        <f t="shared" ref="E46:H46" si="13">E47</f>
        <v>0</v>
      </c>
      <c r="F46" s="237">
        <f t="shared" si="13"/>
        <v>0</v>
      </c>
      <c r="G46" s="237">
        <f t="shared" si="13"/>
        <v>0</v>
      </c>
      <c r="H46" s="237">
        <f t="shared" si="13"/>
        <v>0</v>
      </c>
      <c r="I46" s="237"/>
      <c r="J46" s="238"/>
      <c r="K46" s="237"/>
    </row>
    <row r="47" spans="2:11" x14ac:dyDescent="0.3">
      <c r="B47" s="186"/>
      <c r="C47" s="187" t="s">
        <v>347</v>
      </c>
      <c r="D47" s="188"/>
      <c r="E47" s="189"/>
      <c r="F47" s="189"/>
      <c r="G47" s="189"/>
      <c r="H47" s="189"/>
      <c r="I47" s="189"/>
      <c r="J47" s="123"/>
      <c r="K47" s="189"/>
    </row>
    <row r="48" spans="2:11" s="170" customFormat="1" x14ac:dyDescent="0.3">
      <c r="B48" s="234">
        <v>2</v>
      </c>
      <c r="C48" s="235" t="s">
        <v>351</v>
      </c>
      <c r="D48" s="236">
        <v>627</v>
      </c>
      <c r="E48" s="237">
        <v>0</v>
      </c>
      <c r="F48" s="237">
        <f t="shared" ref="F48:H48" si="14">SUM(F49:F50)</f>
        <v>0</v>
      </c>
      <c r="G48" s="237">
        <v>0</v>
      </c>
      <c r="H48" s="237">
        <f t="shared" si="14"/>
        <v>0</v>
      </c>
      <c r="I48" s="237"/>
      <c r="J48" s="238"/>
      <c r="K48" s="237"/>
    </row>
    <row r="49" spans="2:11" x14ac:dyDescent="0.3">
      <c r="B49" s="186"/>
      <c r="C49" s="187" t="s">
        <v>416</v>
      </c>
      <c r="D49" s="188"/>
      <c r="E49" s="189"/>
      <c r="F49" s="189"/>
      <c r="G49" s="189"/>
      <c r="H49" s="189"/>
      <c r="I49" s="189"/>
      <c r="J49" s="762"/>
      <c r="K49" s="189"/>
    </row>
    <row r="50" spans="2:11" x14ac:dyDescent="0.3">
      <c r="B50" s="186"/>
      <c r="C50" s="187" t="s">
        <v>348</v>
      </c>
      <c r="D50" s="188"/>
      <c r="E50" s="189"/>
      <c r="F50" s="189"/>
      <c r="G50" s="189"/>
      <c r="H50" s="189"/>
      <c r="I50" s="194"/>
      <c r="J50" s="762"/>
      <c r="K50" s="189"/>
    </row>
    <row r="51" spans="2:11" s="170" customFormat="1" x14ac:dyDescent="0.3">
      <c r="B51" s="234">
        <v>3</v>
      </c>
      <c r="C51" s="235" t="s">
        <v>353</v>
      </c>
      <c r="D51" s="236" t="s">
        <v>41</v>
      </c>
      <c r="E51" s="237">
        <f>E52</f>
        <v>0</v>
      </c>
      <c r="F51" s="237">
        <f>F52</f>
        <v>0</v>
      </c>
      <c r="G51" s="237">
        <f t="shared" ref="G51" si="15">G52</f>
        <v>0</v>
      </c>
      <c r="H51" s="237">
        <f>H52</f>
        <v>0</v>
      </c>
      <c r="I51" s="237"/>
      <c r="J51" s="238"/>
      <c r="K51" s="237"/>
    </row>
    <row r="52" spans="2:11" x14ac:dyDescent="0.3">
      <c r="B52" s="186"/>
      <c r="C52" s="191" t="s">
        <v>354</v>
      </c>
      <c r="D52" s="188"/>
      <c r="E52" s="194"/>
      <c r="F52" s="194"/>
      <c r="G52" s="194"/>
      <c r="H52" s="194"/>
      <c r="I52" s="189"/>
      <c r="J52" s="762"/>
      <c r="K52" s="194"/>
    </row>
    <row r="53" spans="2:11" s="170" customFormat="1" x14ac:dyDescent="0.3">
      <c r="B53" s="234">
        <v>4</v>
      </c>
      <c r="C53" s="235" t="s">
        <v>352</v>
      </c>
      <c r="D53" s="236">
        <v>622</v>
      </c>
      <c r="E53" s="237">
        <f>E54</f>
        <v>0</v>
      </c>
      <c r="F53" s="237">
        <f>F54</f>
        <v>0</v>
      </c>
      <c r="G53" s="237">
        <f t="shared" ref="G53" si="16">G54</f>
        <v>0</v>
      </c>
      <c r="H53" s="237">
        <f>H54</f>
        <v>0</v>
      </c>
      <c r="I53" s="237"/>
      <c r="J53" s="238"/>
      <c r="K53" s="237"/>
    </row>
    <row r="54" spans="2:11" x14ac:dyDescent="0.3">
      <c r="B54" s="192"/>
      <c r="C54" s="191" t="s">
        <v>349</v>
      </c>
      <c r="D54" s="193"/>
      <c r="E54" s="194"/>
      <c r="F54" s="194"/>
      <c r="G54" s="194"/>
      <c r="H54" s="194"/>
      <c r="I54" s="194"/>
      <c r="J54" s="190"/>
      <c r="K54" s="189"/>
    </row>
    <row r="55" spans="2:11" s="170" customFormat="1" x14ac:dyDescent="0.3">
      <c r="B55" s="234"/>
      <c r="C55" s="239" t="s">
        <v>356</v>
      </c>
      <c r="D55" s="236"/>
      <c r="E55" s="237">
        <v>0</v>
      </c>
      <c r="F55" s="237">
        <f t="shared" ref="F55" si="17">F46+F48+F51+F53</f>
        <v>0</v>
      </c>
      <c r="G55" s="237">
        <v>0</v>
      </c>
      <c r="H55" s="237">
        <f>H46+H48+H51+H53</f>
        <v>0</v>
      </c>
      <c r="I55" s="237"/>
      <c r="J55" s="238"/>
      <c r="K55" s="237"/>
    </row>
    <row r="57" spans="2:11" s="170" customFormat="1" x14ac:dyDescent="0.3">
      <c r="B57" s="234" t="s">
        <v>551</v>
      </c>
      <c r="C57" s="239" t="s">
        <v>526</v>
      </c>
      <c r="D57" s="236"/>
      <c r="E57" s="237">
        <f>E42+E55</f>
        <v>25</v>
      </c>
      <c r="F57" s="237">
        <f>F42+F55</f>
        <v>39</v>
      </c>
      <c r="G57" s="237">
        <f>G42+G55</f>
        <v>49</v>
      </c>
      <c r="H57" s="237">
        <f>H42+H55</f>
        <v>53</v>
      </c>
      <c r="I57" s="237"/>
      <c r="J57" s="238"/>
      <c r="K57" s="237"/>
    </row>
    <row r="58" spans="2:11" x14ac:dyDescent="0.3">
      <c r="B58" s="202"/>
      <c r="C58" s="246" t="s">
        <v>46</v>
      </c>
      <c r="D58" s="203"/>
      <c r="E58" s="204"/>
      <c r="F58" s="204"/>
      <c r="G58" s="204"/>
      <c r="H58" s="204"/>
      <c r="I58" s="204"/>
      <c r="J58" s="205"/>
      <c r="K58" s="204"/>
    </row>
    <row r="59" spans="2:11" x14ac:dyDescent="0.3">
      <c r="B59" s="197">
        <v>1</v>
      </c>
      <c r="C59" s="208" t="s">
        <v>47</v>
      </c>
      <c r="D59" s="199" t="s">
        <v>44</v>
      </c>
      <c r="E59" s="215">
        <f>SUMIF($D$5:$D$55,$D59,E$5:E$55)</f>
        <v>9</v>
      </c>
      <c r="F59" s="215">
        <f t="shared" ref="F59:H61" si="18">SUMIF($D$5:$D$55,$D59,F$5:F$55)</f>
        <v>16</v>
      </c>
      <c r="G59" s="215">
        <f t="shared" si="18"/>
        <v>21</v>
      </c>
      <c r="H59" s="215">
        <f t="shared" si="18"/>
        <v>25</v>
      </c>
      <c r="I59" s="215"/>
      <c r="J59" s="216"/>
      <c r="K59" s="215"/>
    </row>
    <row r="60" spans="2:11" x14ac:dyDescent="0.3">
      <c r="B60" s="197">
        <v>2</v>
      </c>
      <c r="C60" s="208" t="s">
        <v>48</v>
      </c>
      <c r="D60" s="209" t="s">
        <v>41</v>
      </c>
      <c r="E60" s="200">
        <f t="shared" ref="E60:E61" si="19">SUMIF($D$5:$D$55,$D60,E$5:E$55)</f>
        <v>8</v>
      </c>
      <c r="F60" s="200">
        <f t="shared" si="18"/>
        <v>12</v>
      </c>
      <c r="G60" s="200">
        <f t="shared" si="18"/>
        <v>17</v>
      </c>
      <c r="H60" s="200">
        <f t="shared" si="18"/>
        <v>17</v>
      </c>
      <c r="I60" s="200"/>
      <c r="J60" s="201"/>
      <c r="K60" s="200"/>
    </row>
    <row r="61" spans="2:11" x14ac:dyDescent="0.3">
      <c r="B61" s="217">
        <v>3</v>
      </c>
      <c r="C61" s="218" t="s">
        <v>49</v>
      </c>
      <c r="D61" s="219" t="s">
        <v>50</v>
      </c>
      <c r="E61" s="220">
        <f t="shared" si="19"/>
        <v>8</v>
      </c>
      <c r="F61" s="220">
        <f t="shared" si="18"/>
        <v>11</v>
      </c>
      <c r="G61" s="220">
        <f t="shared" si="18"/>
        <v>11</v>
      </c>
      <c r="H61" s="220">
        <f t="shared" si="18"/>
        <v>11</v>
      </c>
      <c r="I61" s="220"/>
      <c r="J61" s="221"/>
      <c r="K61" s="220"/>
    </row>
  </sheetData>
  <conditionalFormatting sqref="J5:J42 J44 J46:J55">
    <cfRule type="cellIs" dxfId="1" priority="2" operator="equal">
      <formula>1</formula>
    </cfRule>
  </conditionalFormatting>
  <conditionalFormatting sqref="J57:J61">
    <cfRule type="cellIs" dxfId="0" priority="1" operator="equal">
      <formula>1</formula>
    </cfRule>
  </conditionalFormatting>
  <printOptions horizontalCentered="1"/>
  <pageMargins left="0" right="0" top="0" bottom="0" header="0.3" footer="0.3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B20C-7C61-428C-B00F-1FCAA69CB884}">
  <sheetPr>
    <tabColor rgb="FF92D050"/>
  </sheetPr>
  <dimension ref="A3:J30"/>
  <sheetViews>
    <sheetView topLeftCell="A3" zoomScale="85" zoomScaleNormal="85" workbookViewId="0">
      <pane ySplit="2" topLeftCell="A5" activePane="bottomLeft" state="frozen"/>
      <selection activeCell="E19" sqref="E19"/>
      <selection pane="bottomLeft" activeCell="B6" sqref="B6"/>
    </sheetView>
  </sheetViews>
  <sheetFormatPr defaultRowHeight="14" outlineLevelRow="1" x14ac:dyDescent="0.35"/>
  <cols>
    <col min="1" max="1" width="7.1796875" style="54" customWidth="1"/>
    <col min="2" max="2" width="38.36328125" style="43" customWidth="1"/>
    <col min="3" max="3" width="18.453125" style="43" customWidth="1"/>
    <col min="4" max="4" width="10.54296875" style="43" customWidth="1"/>
    <col min="5" max="5" width="14.36328125" style="55" customWidth="1"/>
    <col min="6" max="6" width="13.90625" style="55" customWidth="1"/>
    <col min="7" max="7" width="13.7265625" style="55" customWidth="1"/>
    <col min="8" max="8" width="13" style="55" customWidth="1"/>
    <col min="9" max="9" width="30.453125" style="55" customWidth="1"/>
    <col min="10" max="10" width="27.1796875" style="43" customWidth="1"/>
    <col min="11" max="16384" width="8.7265625" style="43"/>
  </cols>
  <sheetData>
    <row r="3" spans="1:10" x14ac:dyDescent="0.35">
      <c r="A3" s="321" t="s">
        <v>428</v>
      </c>
      <c r="E3" s="43"/>
      <c r="F3" s="43"/>
      <c r="G3" s="43"/>
      <c r="H3" s="43"/>
      <c r="I3" s="68" t="s">
        <v>207</v>
      </c>
    </row>
    <row r="4" spans="1:10" s="44" customFormat="1" ht="42" x14ac:dyDescent="0.35">
      <c r="A4" s="132" t="s">
        <v>12</v>
      </c>
      <c r="B4" s="322" t="s">
        <v>157</v>
      </c>
      <c r="C4" s="131" t="s">
        <v>53</v>
      </c>
      <c r="D4" s="323" t="s">
        <v>203</v>
      </c>
      <c r="E4" s="323" t="s">
        <v>54</v>
      </c>
      <c r="F4" s="323" t="s">
        <v>156</v>
      </c>
      <c r="G4" s="323" t="s">
        <v>168</v>
      </c>
      <c r="H4" s="323" t="s">
        <v>824</v>
      </c>
      <c r="I4" s="323" t="s">
        <v>51</v>
      </c>
    </row>
    <row r="5" spans="1:10" s="328" customFormat="1" ht="28.5" customHeight="1" x14ac:dyDescent="0.35">
      <c r="A5" s="171" t="s">
        <v>186</v>
      </c>
      <c r="B5" s="324" t="s">
        <v>830</v>
      </c>
      <c r="C5" s="324"/>
      <c r="D5" s="325"/>
      <c r="E5" s="326"/>
      <c r="F5" s="326"/>
      <c r="G5" s="326"/>
      <c r="H5" s="326"/>
      <c r="I5" s="326"/>
      <c r="J5" s="327"/>
    </row>
    <row r="6" spans="1:10" ht="27" customHeight="1" x14ac:dyDescent="0.35">
      <c r="A6" s="45">
        <v>1</v>
      </c>
      <c r="B6" s="46" t="s">
        <v>87</v>
      </c>
      <c r="C6" s="45" t="s">
        <v>166</v>
      </c>
      <c r="D6" s="12">
        <f>'DMSX C.tiết'!C9</f>
        <v>130.79999999999998</v>
      </c>
      <c r="E6" s="12">
        <v>2100</v>
      </c>
      <c r="F6" s="12">
        <f>D6*E6</f>
        <v>274679.99999999994</v>
      </c>
      <c r="G6" s="12">
        <v>2700</v>
      </c>
      <c r="H6" s="1017">
        <f>F6/G6</f>
        <v>101.73333333333331</v>
      </c>
      <c r="I6" s="46" t="s">
        <v>172</v>
      </c>
    </row>
    <row r="7" spans="1:10" ht="27" customHeight="1" x14ac:dyDescent="0.35">
      <c r="A7" s="45">
        <v>2</v>
      </c>
      <c r="B7" s="46" t="s">
        <v>86</v>
      </c>
      <c r="C7" s="45" t="s">
        <v>167</v>
      </c>
      <c r="D7" s="47">
        <v>0.35</v>
      </c>
      <c r="E7" s="12">
        <v>51000</v>
      </c>
      <c r="F7" s="12">
        <f>D7*E7</f>
        <v>17850</v>
      </c>
      <c r="G7" s="12">
        <v>230</v>
      </c>
      <c r="H7" s="1017">
        <f>F7/G7</f>
        <v>77.608695652173907</v>
      </c>
      <c r="I7" s="46" t="s">
        <v>169</v>
      </c>
    </row>
    <row r="8" spans="1:10" ht="27" customHeight="1" x14ac:dyDescent="0.35">
      <c r="A8" s="45">
        <v>3</v>
      </c>
      <c r="B8" s="46" t="s">
        <v>165</v>
      </c>
      <c r="C8" s="45" t="s">
        <v>59</v>
      </c>
      <c r="D8" s="12">
        <v>1</v>
      </c>
      <c r="E8" s="12">
        <v>165000000</v>
      </c>
      <c r="F8" s="12">
        <f>D8*E8</f>
        <v>165000000</v>
      </c>
      <c r="G8" s="12">
        <v>1500000</v>
      </c>
      <c r="H8" s="1017">
        <f>F8/G8</f>
        <v>110</v>
      </c>
      <c r="I8" s="46" t="s">
        <v>181</v>
      </c>
    </row>
    <row r="9" spans="1:10" ht="27" customHeight="1" x14ac:dyDescent="0.35">
      <c r="A9" s="45">
        <v>4</v>
      </c>
      <c r="B9" s="46" t="s">
        <v>197</v>
      </c>
      <c r="C9" s="45"/>
      <c r="D9" s="12"/>
      <c r="E9" s="12"/>
      <c r="F9" s="12"/>
      <c r="G9" s="12"/>
      <c r="H9" s="1017"/>
      <c r="I9" s="46"/>
    </row>
    <row r="10" spans="1:10" ht="27" customHeight="1" x14ac:dyDescent="0.35">
      <c r="A10" s="45">
        <v>5</v>
      </c>
      <c r="B10" s="46" t="s">
        <v>90</v>
      </c>
      <c r="C10" s="45" t="s">
        <v>198</v>
      </c>
      <c r="D10" s="48">
        <v>2.7</v>
      </c>
      <c r="E10" s="12">
        <v>15000</v>
      </c>
      <c r="F10" s="12">
        <f>D10*E10</f>
        <v>40500</v>
      </c>
      <c r="G10" s="12">
        <f>2700/2</f>
        <v>1350</v>
      </c>
      <c r="H10" s="1017">
        <f>F10/G10</f>
        <v>30</v>
      </c>
      <c r="I10" s="46" t="s">
        <v>200</v>
      </c>
    </row>
    <row r="11" spans="1:10" ht="27" customHeight="1" x14ac:dyDescent="0.35">
      <c r="A11" s="45">
        <v>6</v>
      </c>
      <c r="B11" s="46" t="s">
        <v>193</v>
      </c>
      <c r="C11" s="45" t="s">
        <v>201</v>
      </c>
      <c r="D11" s="12">
        <v>1</v>
      </c>
      <c r="E11" s="12">
        <v>300</v>
      </c>
      <c r="F11" s="12">
        <f>D11*E11</f>
        <v>300</v>
      </c>
      <c r="G11" s="12">
        <f>D11/5%</f>
        <v>20</v>
      </c>
      <c r="H11" s="1017">
        <f>F11/G11</f>
        <v>15</v>
      </c>
      <c r="I11" s="46" t="s">
        <v>174</v>
      </c>
    </row>
    <row r="12" spans="1:10" ht="27" customHeight="1" x14ac:dyDescent="0.35">
      <c r="A12" s="45">
        <v>7</v>
      </c>
      <c r="B12" s="46" t="s">
        <v>191</v>
      </c>
      <c r="C12" s="45" t="s">
        <v>190</v>
      </c>
      <c r="D12" s="12"/>
      <c r="E12" s="12"/>
      <c r="F12" s="12"/>
      <c r="G12" s="12"/>
      <c r="H12" s="1017"/>
      <c r="I12" s="46"/>
    </row>
    <row r="13" spans="1:10" ht="27" customHeight="1" x14ac:dyDescent="0.35">
      <c r="A13" s="45">
        <v>8</v>
      </c>
      <c r="B13" s="46" t="s">
        <v>192</v>
      </c>
      <c r="C13" s="45" t="s">
        <v>202</v>
      </c>
      <c r="D13" s="12">
        <v>2</v>
      </c>
      <c r="E13" s="12">
        <v>3000000</v>
      </c>
      <c r="F13" s="12">
        <f>D13*E13</f>
        <v>6000000</v>
      </c>
      <c r="G13" s="12">
        <f>G6*16*26</f>
        <v>1123200</v>
      </c>
      <c r="H13" s="1017">
        <f>F13/G13</f>
        <v>5.3418803418803416</v>
      </c>
      <c r="I13" s="46" t="s">
        <v>178</v>
      </c>
    </row>
    <row r="14" spans="1:10" s="328" customFormat="1" hidden="1" outlineLevel="1" x14ac:dyDescent="0.35">
      <c r="A14" s="175" t="s">
        <v>187</v>
      </c>
      <c r="B14" s="329" t="s">
        <v>163</v>
      </c>
      <c r="C14" s="175"/>
      <c r="D14" s="329"/>
      <c r="E14" s="330"/>
      <c r="F14" s="330"/>
      <c r="G14" s="330"/>
      <c r="H14" s="330"/>
      <c r="I14" s="330"/>
    </row>
    <row r="15" spans="1:10" ht="42" hidden="1" outlineLevel="1" x14ac:dyDescent="0.35">
      <c r="A15" s="45">
        <v>1</v>
      </c>
      <c r="B15" s="46" t="s">
        <v>87</v>
      </c>
      <c r="C15" s="45" t="s">
        <v>166</v>
      </c>
      <c r="D15" s="12">
        <f>'DMSX C.tiết'!C19</f>
        <v>197.16</v>
      </c>
      <c r="E15" s="12">
        <v>2200</v>
      </c>
      <c r="F15" s="12">
        <f>D15*E15</f>
        <v>433752</v>
      </c>
      <c r="G15" s="12">
        <v>1650</v>
      </c>
      <c r="H15" s="1017">
        <f>F15/G15</f>
        <v>262.88</v>
      </c>
      <c r="I15" s="46" t="s">
        <v>173</v>
      </c>
    </row>
    <row r="16" spans="1:10" ht="20.5" hidden="1" customHeight="1" outlineLevel="1" x14ac:dyDescent="0.35">
      <c r="A16" s="45">
        <v>2</v>
      </c>
      <c r="B16" s="46" t="s">
        <v>180</v>
      </c>
      <c r="C16" s="45"/>
      <c r="D16" s="12"/>
      <c r="E16" s="12"/>
      <c r="F16" s="12"/>
      <c r="G16" s="12"/>
      <c r="H16" s="1017"/>
      <c r="I16" s="46"/>
    </row>
    <row r="17" spans="1:9" ht="20.5" hidden="1" customHeight="1" outlineLevel="1" x14ac:dyDescent="0.35">
      <c r="A17" s="45">
        <v>3</v>
      </c>
      <c r="B17" s="46" t="s">
        <v>164</v>
      </c>
      <c r="C17" s="45" t="s">
        <v>59</v>
      </c>
      <c r="D17" s="12">
        <v>1</v>
      </c>
      <c r="E17" s="12">
        <f>ROUND('DMSX C.tiết'!H28,-6)</f>
        <v>72000000</v>
      </c>
      <c r="F17" s="12">
        <f>D17*E17</f>
        <v>72000000</v>
      </c>
      <c r="G17" s="12">
        <f>ROUND('DMSX C.tiết'!H28/'DMSX C.tiết'!I28,-5)</f>
        <v>700000</v>
      </c>
      <c r="H17" s="1017">
        <f>F17/G17</f>
        <v>102.85714285714286</v>
      </c>
      <c r="I17" s="46" t="s">
        <v>183</v>
      </c>
    </row>
    <row r="18" spans="1:9" ht="20.5" hidden="1" customHeight="1" outlineLevel="1" x14ac:dyDescent="0.35">
      <c r="A18" s="45">
        <v>4</v>
      </c>
      <c r="B18" s="46" t="s">
        <v>194</v>
      </c>
      <c r="C18" s="45" t="s">
        <v>170</v>
      </c>
      <c r="D18" s="47">
        <v>1</v>
      </c>
      <c r="E18" s="12">
        <v>71000</v>
      </c>
      <c r="F18" s="12">
        <f>D18*E18</f>
        <v>71000</v>
      </c>
      <c r="G18" s="12">
        <v>450</v>
      </c>
      <c r="H18" s="1017">
        <f>F18/G18</f>
        <v>157.77777777777777</v>
      </c>
      <c r="I18" s="46" t="s">
        <v>171</v>
      </c>
    </row>
    <row r="19" spans="1:9" ht="20.5" hidden="1" customHeight="1" outlineLevel="1" x14ac:dyDescent="0.35">
      <c r="A19" s="45">
        <v>5</v>
      </c>
      <c r="B19" s="46" t="s">
        <v>197</v>
      </c>
      <c r="C19" s="45"/>
      <c r="D19" s="12"/>
      <c r="E19" s="12"/>
      <c r="F19" s="12"/>
      <c r="G19" s="12"/>
      <c r="H19" s="1017"/>
      <c r="I19" s="46"/>
    </row>
    <row r="20" spans="1:9" ht="20.5" hidden="1" customHeight="1" outlineLevel="1" x14ac:dyDescent="0.35">
      <c r="A20" s="45">
        <v>6</v>
      </c>
      <c r="B20" s="46" t="s">
        <v>196</v>
      </c>
      <c r="C20" s="45" t="s">
        <v>81</v>
      </c>
      <c r="D20" s="47">
        <v>3</v>
      </c>
      <c r="E20" s="12">
        <v>11500</v>
      </c>
      <c r="F20" s="12">
        <f>D20*E20</f>
        <v>34500</v>
      </c>
      <c r="G20" s="12">
        <v>1650</v>
      </c>
      <c r="H20" s="1017">
        <f>F20/G20</f>
        <v>20.90909090909091</v>
      </c>
      <c r="I20" s="46"/>
    </row>
    <row r="21" spans="1:9" ht="20.5" hidden="1" customHeight="1" outlineLevel="1" x14ac:dyDescent="0.35">
      <c r="A21" s="45">
        <v>7</v>
      </c>
      <c r="B21" s="46" t="s">
        <v>90</v>
      </c>
      <c r="C21" s="45" t="s">
        <v>198</v>
      </c>
      <c r="D21" s="48">
        <v>2.7</v>
      </c>
      <c r="E21" s="12">
        <v>15000</v>
      </c>
      <c r="F21" s="12">
        <f>D21*E21</f>
        <v>40500</v>
      </c>
      <c r="G21" s="12">
        <v>1650</v>
      </c>
      <c r="H21" s="1017">
        <f>F21/G21</f>
        <v>24.545454545454547</v>
      </c>
      <c r="I21" s="46" t="s">
        <v>199</v>
      </c>
    </row>
    <row r="22" spans="1:9" ht="20.5" hidden="1" customHeight="1" outlineLevel="1" x14ac:dyDescent="0.35">
      <c r="A22" s="45">
        <v>8</v>
      </c>
      <c r="B22" s="46" t="s">
        <v>91</v>
      </c>
      <c r="C22" s="45" t="s">
        <v>81</v>
      </c>
      <c r="D22" s="48">
        <f>D20</f>
        <v>3</v>
      </c>
      <c r="E22" s="12">
        <v>50000</v>
      </c>
      <c r="F22" s="12">
        <f>D22*E22</f>
        <v>150000</v>
      </c>
      <c r="G22" s="12">
        <v>1650</v>
      </c>
      <c r="H22" s="1017">
        <f>F22/G22</f>
        <v>90.909090909090907</v>
      </c>
      <c r="I22" s="46" t="s">
        <v>177</v>
      </c>
    </row>
    <row r="23" spans="1:9" ht="20.5" hidden="1" customHeight="1" outlineLevel="1" x14ac:dyDescent="0.35">
      <c r="A23" s="45">
        <v>9</v>
      </c>
      <c r="B23" s="46" t="s">
        <v>92</v>
      </c>
      <c r="C23" s="45" t="s">
        <v>175</v>
      </c>
      <c r="D23" s="12">
        <f>G15*3%</f>
        <v>49.5</v>
      </c>
      <c r="E23" s="12">
        <v>1200</v>
      </c>
      <c r="F23" s="12">
        <f>D23*E23</f>
        <v>59400</v>
      </c>
      <c r="G23" s="12">
        <v>1650</v>
      </c>
      <c r="H23" s="1017">
        <f>F23/G23</f>
        <v>36</v>
      </c>
      <c r="I23" s="46" t="s">
        <v>176</v>
      </c>
    </row>
    <row r="24" spans="1:9" ht="20.5" hidden="1" customHeight="1" outlineLevel="1" x14ac:dyDescent="0.35">
      <c r="A24" s="45">
        <v>10</v>
      </c>
      <c r="B24" s="46" t="s">
        <v>191</v>
      </c>
      <c r="C24" s="45" t="s">
        <v>190</v>
      </c>
      <c r="D24" s="12"/>
      <c r="E24" s="12"/>
      <c r="F24" s="12"/>
      <c r="G24" s="12"/>
      <c r="H24" s="1017"/>
      <c r="I24" s="46"/>
    </row>
    <row r="25" spans="1:9" ht="20.5" hidden="1" customHeight="1" outlineLevel="1" x14ac:dyDescent="0.35">
      <c r="A25" s="45">
        <v>11</v>
      </c>
      <c r="B25" s="46" t="s">
        <v>192</v>
      </c>
      <c r="C25" s="45" t="s">
        <v>179</v>
      </c>
      <c r="D25" s="12">
        <v>1</v>
      </c>
      <c r="E25" s="12">
        <v>3000000</v>
      </c>
      <c r="F25" s="12">
        <f>D25*E25</f>
        <v>3000000</v>
      </c>
      <c r="G25" s="12">
        <f>1650*16*26</f>
        <v>686400</v>
      </c>
      <c r="H25" s="1017">
        <f>F25/G25</f>
        <v>4.3706293706293708</v>
      </c>
      <c r="I25" s="46" t="s">
        <v>178</v>
      </c>
    </row>
    <row r="26" spans="1:9" s="328" customFormat="1" ht="24.5" customHeight="1" collapsed="1" x14ac:dyDescent="0.35">
      <c r="A26" s="175" t="s">
        <v>188</v>
      </c>
      <c r="B26" s="329" t="s">
        <v>189</v>
      </c>
      <c r="C26" s="175"/>
      <c r="D26" s="329"/>
      <c r="E26" s="330"/>
      <c r="F26" s="330"/>
      <c r="G26" s="330"/>
      <c r="H26" s="330"/>
      <c r="I26" s="330"/>
    </row>
    <row r="27" spans="1:9" ht="28" x14ac:dyDescent="0.35">
      <c r="A27" s="45">
        <v>1</v>
      </c>
      <c r="B27" s="46" t="s">
        <v>158</v>
      </c>
      <c r="C27" s="52" t="s">
        <v>797</v>
      </c>
      <c r="D27" s="12">
        <v>1</v>
      </c>
      <c r="E27" s="12">
        <f>1500000</f>
        <v>1500000</v>
      </c>
      <c r="F27" s="12">
        <f>D27*E27</f>
        <v>1500000</v>
      </c>
      <c r="G27" s="12">
        <v>8000</v>
      </c>
      <c r="H27" s="1017">
        <f>F27/G27</f>
        <v>187.5</v>
      </c>
      <c r="I27" s="12" t="s">
        <v>160</v>
      </c>
    </row>
    <row r="28" spans="1:9" hidden="1" outlineLevel="1" x14ac:dyDescent="0.35">
      <c r="A28" s="49">
        <v>2</v>
      </c>
      <c r="B28" s="50" t="s">
        <v>159</v>
      </c>
      <c r="C28" s="53" t="s">
        <v>155</v>
      </c>
      <c r="D28" s="51"/>
      <c r="E28" s="51"/>
      <c r="F28" s="51"/>
      <c r="G28" s="51"/>
      <c r="H28" s="51"/>
      <c r="I28" s="51"/>
    </row>
    <row r="29" spans="1:9" collapsed="1" x14ac:dyDescent="0.35"/>
    <row r="30" spans="1:9" x14ac:dyDescent="0.35">
      <c r="A30" s="42"/>
    </row>
  </sheetData>
  <phoneticPr fontId="5" type="noConversion"/>
  <printOptions horizontalCentered="1"/>
  <pageMargins left="0" right="0" top="0.5" bottom="0" header="0.3" footer="0.3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51C1-77F4-4FC0-8FF7-151E5256E2F2}">
  <sheetPr>
    <tabColor rgb="FF92D050"/>
  </sheetPr>
  <dimension ref="B1:J28"/>
  <sheetViews>
    <sheetView workbookViewId="0">
      <selection activeCell="F9" sqref="F9"/>
    </sheetView>
  </sheetViews>
  <sheetFormatPr defaultRowHeight="14" x14ac:dyDescent="0.3"/>
  <cols>
    <col min="1" max="1" width="3.54296875" style="3" customWidth="1"/>
    <col min="2" max="2" width="37.453125" style="3" customWidth="1"/>
    <col min="3" max="3" width="15.08984375" style="3" customWidth="1"/>
    <col min="4" max="4" width="13.08984375" style="3" customWidth="1"/>
    <col min="5" max="5" width="13.1796875" style="3" customWidth="1"/>
    <col min="6" max="6" width="23.36328125" style="3" customWidth="1"/>
    <col min="7" max="7" width="20.26953125" style="3" customWidth="1"/>
    <col min="8" max="8" width="17.1796875" style="3" customWidth="1"/>
    <col min="9" max="9" width="11.36328125" style="3" customWidth="1"/>
    <col min="10" max="10" width="11.08984375" style="3" bestFit="1" customWidth="1"/>
    <col min="11" max="16384" width="8.7265625" style="3"/>
  </cols>
  <sheetData>
    <row r="1" spans="2:5" x14ac:dyDescent="0.3">
      <c r="B1" s="402" t="s">
        <v>594</v>
      </c>
    </row>
    <row r="2" spans="2:5" x14ac:dyDescent="0.3">
      <c r="B2" s="64" t="s">
        <v>591</v>
      </c>
      <c r="C2" s="65"/>
      <c r="D2" s="65"/>
      <c r="E2" s="65"/>
    </row>
    <row r="3" spans="2:5" ht="42" x14ac:dyDescent="0.3">
      <c r="B3" s="403" t="s">
        <v>55</v>
      </c>
      <c r="C3" s="404" t="s">
        <v>56</v>
      </c>
      <c r="D3" s="404" t="s">
        <v>57</v>
      </c>
      <c r="E3" s="66"/>
    </row>
    <row r="4" spans="2:5" x14ac:dyDescent="0.3">
      <c r="B4" s="461" t="s">
        <v>61</v>
      </c>
      <c r="C4" s="461">
        <v>85</v>
      </c>
      <c r="D4" s="462">
        <f t="shared" ref="D4:D9" si="0">C4/$E$24</f>
        <v>1.4166666666666666E-5</v>
      </c>
      <c r="E4" s="405"/>
    </row>
    <row r="5" spans="2:5" x14ac:dyDescent="0.3">
      <c r="B5" s="463" t="s">
        <v>62</v>
      </c>
      <c r="C5" s="463">
        <v>31</v>
      </c>
      <c r="D5" s="464">
        <f t="shared" si="0"/>
        <v>5.1666666666666666E-6</v>
      </c>
      <c r="E5" s="405"/>
    </row>
    <row r="6" spans="2:5" x14ac:dyDescent="0.3">
      <c r="B6" s="463" t="s">
        <v>60</v>
      </c>
      <c r="C6" s="463">
        <v>57</v>
      </c>
      <c r="D6" s="464">
        <f t="shared" si="0"/>
        <v>9.5000000000000005E-6</v>
      </c>
      <c r="E6" s="405"/>
    </row>
    <row r="7" spans="2:5" x14ac:dyDescent="0.3">
      <c r="B7" s="463" t="s">
        <v>58</v>
      </c>
      <c r="C7" s="463">
        <f>90*50%</f>
        <v>45</v>
      </c>
      <c r="D7" s="464">
        <f t="shared" si="0"/>
        <v>7.5000000000000002E-6</v>
      </c>
      <c r="E7" s="405"/>
    </row>
    <row r="8" spans="2:5" x14ac:dyDescent="0.3">
      <c r="B8" s="465" t="s">
        <v>63</v>
      </c>
      <c r="C8" s="465">
        <f>SUM(C4:C7)</f>
        <v>218</v>
      </c>
      <c r="D8" s="464">
        <f t="shared" si="0"/>
        <v>3.6333333333333333E-5</v>
      </c>
      <c r="E8" s="405"/>
    </row>
    <row r="9" spans="2:5" x14ac:dyDescent="0.3">
      <c r="B9" s="466" t="s">
        <v>185</v>
      </c>
      <c r="C9" s="467">
        <f>C8*60%</f>
        <v>130.79999999999998</v>
      </c>
      <c r="D9" s="468">
        <f t="shared" si="0"/>
        <v>2.1799999999999998E-5</v>
      </c>
      <c r="E9" s="405"/>
    </row>
    <row r="10" spans="2:5" x14ac:dyDescent="0.3">
      <c r="B10" s="65"/>
      <c r="C10" s="65"/>
      <c r="D10" s="65"/>
      <c r="E10" s="67"/>
    </row>
    <row r="11" spans="2:5" x14ac:dyDescent="0.3">
      <c r="B11" s="64" t="s">
        <v>592</v>
      </c>
      <c r="C11" s="65"/>
      <c r="D11" s="65"/>
    </row>
    <row r="12" spans="2:5" ht="28" x14ac:dyDescent="0.3">
      <c r="B12" s="403" t="s">
        <v>55</v>
      </c>
      <c r="C12" s="404" t="s">
        <v>56</v>
      </c>
      <c r="D12" s="65"/>
    </row>
    <row r="13" spans="2:5" x14ac:dyDescent="0.3">
      <c r="B13" s="461" t="s">
        <v>79</v>
      </c>
      <c r="C13" s="461">
        <v>25</v>
      </c>
      <c r="D13" s="7"/>
    </row>
    <row r="14" spans="2:5" x14ac:dyDescent="0.3">
      <c r="B14" s="463" t="s">
        <v>74</v>
      </c>
      <c r="C14" s="463">
        <v>255</v>
      </c>
      <c r="D14" s="7"/>
    </row>
    <row r="15" spans="2:5" x14ac:dyDescent="0.3">
      <c r="B15" s="463" t="s">
        <v>184</v>
      </c>
      <c r="C15" s="463"/>
      <c r="D15" s="7"/>
    </row>
    <row r="16" spans="2:5" x14ac:dyDescent="0.3">
      <c r="B16" s="463" t="s">
        <v>76</v>
      </c>
      <c r="C16" s="463">
        <v>20</v>
      </c>
      <c r="D16" s="7"/>
    </row>
    <row r="17" spans="2:10" x14ac:dyDescent="0.3">
      <c r="B17" s="463" t="s">
        <v>71</v>
      </c>
      <c r="C17" s="463">
        <f>90*20%</f>
        <v>18</v>
      </c>
      <c r="D17" s="7"/>
    </row>
    <row r="18" spans="2:10" x14ac:dyDescent="0.3">
      <c r="B18" s="465" t="s">
        <v>82</v>
      </c>
      <c r="C18" s="465">
        <f>SUM(C13:C17)</f>
        <v>318</v>
      </c>
      <c r="D18" s="7"/>
    </row>
    <row r="19" spans="2:10" x14ac:dyDescent="0.3">
      <c r="B19" s="466" t="s">
        <v>185</v>
      </c>
      <c r="C19" s="469">
        <f>C18*62%</f>
        <v>197.16</v>
      </c>
      <c r="D19" s="7"/>
    </row>
    <row r="20" spans="2:10" x14ac:dyDescent="0.3">
      <c r="D20" s="65"/>
    </row>
    <row r="21" spans="2:10" x14ac:dyDescent="0.3">
      <c r="B21" s="64" t="s">
        <v>593</v>
      </c>
      <c r="C21" s="65"/>
      <c r="D21" s="65"/>
      <c r="E21" s="7"/>
      <c r="F21" s="65"/>
      <c r="G21" s="65"/>
      <c r="H21" s="65"/>
      <c r="I21" s="65"/>
    </row>
    <row r="22" spans="2:10" ht="28" x14ac:dyDescent="0.3">
      <c r="B22" s="404" t="s">
        <v>64</v>
      </c>
      <c r="C22" s="404" t="s">
        <v>65</v>
      </c>
      <c r="D22" s="404" t="s">
        <v>66</v>
      </c>
      <c r="E22" s="404" t="s">
        <v>67</v>
      </c>
      <c r="F22" s="404" t="s">
        <v>68</v>
      </c>
      <c r="G22" s="404" t="s">
        <v>182</v>
      </c>
      <c r="H22" s="404" t="s">
        <v>69</v>
      </c>
      <c r="I22" s="404" t="s">
        <v>70</v>
      </c>
    </row>
    <row r="23" spans="2:10" x14ac:dyDescent="0.3">
      <c r="B23" s="461" t="s">
        <v>72</v>
      </c>
      <c r="C23" s="461" t="s">
        <v>73</v>
      </c>
      <c r="D23" s="470">
        <v>14</v>
      </c>
      <c r="E23" s="125">
        <v>2400000</v>
      </c>
      <c r="F23" s="470">
        <v>46</v>
      </c>
      <c r="G23" s="471">
        <f>D23*F23</f>
        <v>644</v>
      </c>
      <c r="H23" s="472">
        <f>D23*E23</f>
        <v>33600000</v>
      </c>
      <c r="I23" s="473">
        <f>(D23*E23)/G23/1000</f>
        <v>52.173913043478265</v>
      </c>
    </row>
    <row r="24" spans="2:10" x14ac:dyDescent="0.3">
      <c r="B24" s="463" t="s">
        <v>75</v>
      </c>
      <c r="C24" s="463" t="s">
        <v>73</v>
      </c>
      <c r="D24" s="474">
        <v>6</v>
      </c>
      <c r="E24" s="126">
        <v>6000000</v>
      </c>
      <c r="F24" s="474">
        <v>324</v>
      </c>
      <c r="G24" s="475">
        <f t="shared" ref="G24" si="1">D24*F24</f>
        <v>1944</v>
      </c>
      <c r="H24" s="476">
        <f>D24*E24</f>
        <v>36000000</v>
      </c>
      <c r="I24" s="477">
        <f>(D24*E24)/G24/1000</f>
        <v>18.518518518518519</v>
      </c>
    </row>
    <row r="25" spans="2:10" x14ac:dyDescent="0.3">
      <c r="B25" s="463" t="s">
        <v>77</v>
      </c>
      <c r="C25" s="463" t="s">
        <v>78</v>
      </c>
      <c r="D25" s="474">
        <v>28</v>
      </c>
      <c r="E25" s="475">
        <v>23000</v>
      </c>
      <c r="F25" s="463"/>
      <c r="G25" s="475">
        <f>2*G23</f>
        <v>1288</v>
      </c>
      <c r="H25" s="476">
        <f t="shared" ref="H25:H27" si="2">D25*E25</f>
        <v>644000</v>
      </c>
      <c r="I25" s="478">
        <f>(D25*E25)/G25/1000</f>
        <v>0.5</v>
      </c>
    </row>
    <row r="26" spans="2:10" x14ac:dyDescent="0.3">
      <c r="B26" s="463" t="s">
        <v>80</v>
      </c>
      <c r="C26" s="463" t="s">
        <v>78</v>
      </c>
      <c r="D26" s="474">
        <v>28</v>
      </c>
      <c r="E26" s="475">
        <v>25000</v>
      </c>
      <c r="F26" s="463"/>
      <c r="G26" s="475">
        <v>1288</v>
      </c>
      <c r="H26" s="476">
        <f t="shared" si="2"/>
        <v>700000</v>
      </c>
      <c r="I26" s="478">
        <f>(D26*E26)/G26/1000</f>
        <v>0.5434782608695653</v>
      </c>
    </row>
    <row r="27" spans="2:10" x14ac:dyDescent="0.3">
      <c r="B27" s="463" t="s">
        <v>83</v>
      </c>
      <c r="C27" s="463" t="s">
        <v>84</v>
      </c>
      <c r="D27" s="474">
        <v>3</v>
      </c>
      <c r="E27" s="475">
        <v>464000</v>
      </c>
      <c r="F27" s="463"/>
      <c r="G27" s="475">
        <f>(D23*D27)+(D24*3)</f>
        <v>60</v>
      </c>
      <c r="H27" s="476">
        <f t="shared" si="2"/>
        <v>1392000</v>
      </c>
      <c r="I27" s="478">
        <f>(D27*E27)/G27/1000</f>
        <v>23.2</v>
      </c>
    </row>
    <row r="28" spans="2:10" x14ac:dyDescent="0.3">
      <c r="B28" s="479" t="s">
        <v>85</v>
      </c>
      <c r="C28" s="479"/>
      <c r="D28" s="479"/>
      <c r="E28" s="479"/>
      <c r="F28" s="479"/>
      <c r="G28" s="479"/>
      <c r="H28" s="480">
        <f>SUM(H23:H27)</f>
        <v>72336000</v>
      </c>
      <c r="I28" s="481">
        <f>SUM(I23:I27)*110%</f>
        <v>104.429500805153</v>
      </c>
      <c r="J28" s="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CC14-BF25-42A4-8E6A-91E18E20B3A3}">
  <sheetPr>
    <tabColor rgb="FF92D050"/>
  </sheetPr>
  <dimension ref="B1:O50"/>
  <sheetViews>
    <sheetView zoomScale="70" zoomScaleNormal="70" workbookViewId="0">
      <selection activeCell="D6" sqref="D6:D10"/>
    </sheetView>
  </sheetViews>
  <sheetFormatPr defaultRowHeight="14" outlineLevelRow="2" outlineLevelCol="1" x14ac:dyDescent="0.35"/>
  <cols>
    <col min="1" max="1" width="1.453125" style="43" customWidth="1"/>
    <col min="2" max="2" width="5.7265625" style="54" customWidth="1"/>
    <col min="3" max="3" width="32.08984375" style="43" customWidth="1"/>
    <col min="4" max="4" width="35.54296875" style="43" customWidth="1"/>
    <col min="5" max="5" width="41.54296875" style="43" customWidth="1"/>
    <col min="6" max="6" width="42.81640625" style="43" hidden="1" customWidth="1" outlineLevel="1"/>
    <col min="7" max="7" width="9.90625" style="43" customWidth="1" collapsed="1"/>
    <col min="8" max="8" width="9.90625" style="43" customWidth="1"/>
    <col min="9" max="14" width="9.90625" style="43" customWidth="1" outlineLevel="1"/>
    <col min="15" max="15" width="30.1796875" style="54" customWidth="1"/>
    <col min="16" max="16384" width="8.7265625" style="43"/>
  </cols>
  <sheetData>
    <row r="1" spans="2:15" x14ac:dyDescent="0.3">
      <c r="B1" s="296" t="s">
        <v>571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66" t="s">
        <v>558</v>
      </c>
    </row>
    <row r="2" spans="2:15" x14ac:dyDescent="0.35">
      <c r="B2" s="1106" t="s">
        <v>12</v>
      </c>
      <c r="C2" s="1106" t="s">
        <v>161</v>
      </c>
      <c r="D2" s="1106" t="s">
        <v>162</v>
      </c>
      <c r="E2" s="1106" t="s">
        <v>205</v>
      </c>
      <c r="F2" s="1121" t="s">
        <v>424</v>
      </c>
      <c r="G2" s="1119" t="s">
        <v>777</v>
      </c>
      <c r="H2" s="1119"/>
      <c r="I2" s="1119" t="s">
        <v>778</v>
      </c>
      <c r="J2" s="1119"/>
      <c r="K2" s="1119" t="s">
        <v>779</v>
      </c>
      <c r="L2" s="1119"/>
      <c r="M2" s="1119" t="s">
        <v>780</v>
      </c>
      <c r="N2" s="1119"/>
      <c r="O2" s="1106" t="s">
        <v>51</v>
      </c>
    </row>
    <row r="3" spans="2:15" s="297" customFormat="1" ht="20.5" customHeight="1" x14ac:dyDescent="0.35">
      <c r="B3" s="1107"/>
      <c r="C3" s="1107"/>
      <c r="D3" s="1107"/>
      <c r="E3" s="1107"/>
      <c r="F3" s="1122"/>
      <c r="G3" s="1056" t="s">
        <v>572</v>
      </c>
      <c r="H3" s="1057" t="s">
        <v>573</v>
      </c>
      <c r="I3" s="1056" t="s">
        <v>572</v>
      </c>
      <c r="J3" s="1057" t="s">
        <v>573</v>
      </c>
      <c r="K3" s="1056" t="s">
        <v>572</v>
      </c>
      <c r="L3" s="1057" t="s">
        <v>573</v>
      </c>
      <c r="M3" s="1056" t="s">
        <v>572</v>
      </c>
      <c r="N3" s="1057" t="s">
        <v>573</v>
      </c>
      <c r="O3" s="1107"/>
    </row>
    <row r="4" spans="2:15" ht="16.5" x14ac:dyDescent="0.35">
      <c r="B4" s="1108">
        <v>1</v>
      </c>
      <c r="C4" s="1135" t="s">
        <v>204</v>
      </c>
      <c r="D4" s="251" t="s">
        <v>88</v>
      </c>
      <c r="E4" s="251" t="s">
        <v>88</v>
      </c>
      <c r="F4" s="251" t="s">
        <v>88</v>
      </c>
      <c r="G4" s="1034">
        <v>2000000</v>
      </c>
      <c r="H4" s="1035"/>
      <c r="I4" s="932">
        <v>2000000</v>
      </c>
      <c r="J4" s="933"/>
      <c r="K4" s="932">
        <v>2000000</v>
      </c>
      <c r="L4" s="933"/>
      <c r="M4" s="932">
        <v>2000000</v>
      </c>
      <c r="N4" s="933"/>
      <c r="O4" s="293"/>
    </row>
    <row r="5" spans="2:15" ht="16.5" x14ac:dyDescent="0.35">
      <c r="B5" s="1109"/>
      <c r="C5" s="1136"/>
      <c r="D5" s="294" t="s">
        <v>89</v>
      </c>
      <c r="E5" s="50" t="s">
        <v>89</v>
      </c>
      <c r="F5" s="50" t="s">
        <v>89</v>
      </c>
      <c r="G5" s="1036">
        <v>3000000</v>
      </c>
      <c r="H5" s="1037"/>
      <c r="I5" s="934">
        <v>3000000</v>
      </c>
      <c r="J5" s="935"/>
      <c r="K5" s="934">
        <v>3000000</v>
      </c>
      <c r="L5" s="935"/>
      <c r="M5" s="934">
        <v>3000000</v>
      </c>
      <c r="N5" s="935"/>
      <c r="O5" s="49"/>
    </row>
    <row r="6" spans="2:15" ht="16.5" x14ac:dyDescent="0.35">
      <c r="B6" s="1141">
        <f>IF(C6=0,"",MAX($B$4:B5)+1)</f>
        <v>2</v>
      </c>
      <c r="C6" s="1123" t="s">
        <v>97</v>
      </c>
      <c r="D6" s="1116" t="s">
        <v>97</v>
      </c>
      <c r="E6" s="307" t="s">
        <v>98</v>
      </c>
      <c r="F6" s="307" t="s">
        <v>97</v>
      </c>
      <c r="G6" s="1038">
        <v>2000000</v>
      </c>
      <c r="H6" s="1039"/>
      <c r="I6" s="936">
        <v>2000000</v>
      </c>
      <c r="J6" s="937"/>
      <c r="K6" s="936">
        <v>2000000</v>
      </c>
      <c r="L6" s="937"/>
      <c r="M6" s="936">
        <v>2000000</v>
      </c>
      <c r="N6" s="937"/>
      <c r="O6" s="308"/>
    </row>
    <row r="7" spans="2:15" ht="16.5" x14ac:dyDescent="0.35">
      <c r="B7" s="1141" t="str">
        <f>IF(C7=0,"",MAX($B$4:B6)+1)</f>
        <v/>
      </c>
      <c r="C7" s="1124"/>
      <c r="D7" s="1117"/>
      <c r="E7" s="310" t="s">
        <v>327</v>
      </c>
      <c r="F7" s="310" t="s">
        <v>97</v>
      </c>
      <c r="G7" s="1040">
        <v>2000000</v>
      </c>
      <c r="H7" s="1041"/>
      <c r="I7" s="938">
        <v>2000000</v>
      </c>
      <c r="J7" s="939"/>
      <c r="K7" s="938">
        <v>2000000</v>
      </c>
      <c r="L7" s="939"/>
      <c r="M7" s="938">
        <v>2000000</v>
      </c>
      <c r="N7" s="939"/>
      <c r="O7" s="311"/>
    </row>
    <row r="8" spans="2:15" ht="16.5" x14ac:dyDescent="0.35">
      <c r="B8" s="1141" t="str">
        <f>IF(C8=0,"",MAX($B$4:B7)+1)</f>
        <v/>
      </c>
      <c r="C8" s="1124"/>
      <c r="D8" s="1117"/>
      <c r="E8" s="310" t="s">
        <v>99</v>
      </c>
      <c r="F8" s="310" t="s">
        <v>97</v>
      </c>
      <c r="G8" s="1040">
        <v>200000</v>
      </c>
      <c r="H8" s="1041"/>
      <c r="I8" s="938">
        <v>200000</v>
      </c>
      <c r="J8" s="939"/>
      <c r="K8" s="938">
        <v>200000</v>
      </c>
      <c r="L8" s="939"/>
      <c r="M8" s="938">
        <v>200000</v>
      </c>
      <c r="N8" s="939"/>
      <c r="O8" s="311"/>
    </row>
    <row r="9" spans="2:15" ht="16.5" x14ac:dyDescent="0.35">
      <c r="B9" s="1141" t="str">
        <f>IF(C9=0,"",MAX($B$4:B8)+1)</f>
        <v/>
      </c>
      <c r="C9" s="1124"/>
      <c r="D9" s="1117"/>
      <c r="E9" s="310" t="s">
        <v>100</v>
      </c>
      <c r="F9" s="310" t="s">
        <v>97</v>
      </c>
      <c r="G9" s="1040">
        <v>300000</v>
      </c>
      <c r="H9" s="1041"/>
      <c r="I9" s="938">
        <v>300000</v>
      </c>
      <c r="J9" s="939"/>
      <c r="K9" s="938">
        <v>300000</v>
      </c>
      <c r="L9" s="939"/>
      <c r="M9" s="938">
        <v>300000</v>
      </c>
      <c r="N9" s="939"/>
      <c r="O9" s="311"/>
    </row>
    <row r="10" spans="2:15" ht="16.5" hidden="1" outlineLevel="1" x14ac:dyDescent="0.35">
      <c r="B10" s="1141" t="str">
        <f>IF(C10=0,"",MAX($B$4:B9)+1)</f>
        <v/>
      </c>
      <c r="C10" s="1125"/>
      <c r="D10" s="1118"/>
      <c r="E10" s="313" t="s">
        <v>101</v>
      </c>
      <c r="F10" s="313" t="s">
        <v>97</v>
      </c>
      <c r="G10" s="1042"/>
      <c r="H10" s="1043"/>
      <c r="I10" s="940"/>
      <c r="J10" s="941"/>
      <c r="K10" s="940"/>
      <c r="L10" s="941"/>
      <c r="M10" s="940"/>
      <c r="N10" s="941"/>
      <c r="O10" s="314"/>
    </row>
    <row r="11" spans="2:15" ht="32" customHeight="1" collapsed="1" x14ac:dyDescent="0.35">
      <c r="B11" s="1108">
        <f>IF(C11=0,"",MAX($B$4:B10)+1)</f>
        <v>3</v>
      </c>
      <c r="C11" s="1126" t="s">
        <v>102</v>
      </c>
      <c r="D11" s="1128" t="s">
        <v>103</v>
      </c>
      <c r="E11" s="251" t="s">
        <v>104</v>
      </c>
      <c r="F11" s="251" t="s">
        <v>103</v>
      </c>
      <c r="G11" s="1034"/>
      <c r="H11" s="1035">
        <v>3000000</v>
      </c>
      <c r="I11" s="932"/>
      <c r="J11" s="933">
        <v>3000000</v>
      </c>
      <c r="K11" s="932"/>
      <c r="L11" s="933">
        <v>3000000</v>
      </c>
      <c r="M11" s="932"/>
      <c r="N11" s="933">
        <v>3000000</v>
      </c>
      <c r="O11" s="293" t="s">
        <v>534</v>
      </c>
    </row>
    <row r="12" spans="2:15" ht="16.5" hidden="1" outlineLevel="1" x14ac:dyDescent="0.35">
      <c r="B12" s="1109"/>
      <c r="C12" s="1127"/>
      <c r="D12" s="1129"/>
      <c r="E12" s="50" t="s">
        <v>105</v>
      </c>
      <c r="F12" s="50" t="s">
        <v>103</v>
      </c>
      <c r="G12" s="1036"/>
      <c r="H12" s="1037"/>
      <c r="I12" s="934"/>
      <c r="J12" s="935"/>
      <c r="K12" s="934"/>
      <c r="L12" s="935"/>
      <c r="M12" s="934"/>
      <c r="N12" s="935"/>
      <c r="O12" s="49"/>
    </row>
    <row r="13" spans="2:15" ht="28" collapsed="1" x14ac:dyDescent="0.35">
      <c r="B13" s="305">
        <f>IF(C13=0,"",MAX($B$4:B11)+1)</f>
        <v>4</v>
      </c>
      <c r="C13" s="315" t="s">
        <v>106</v>
      </c>
      <c r="D13" s="315" t="s">
        <v>106</v>
      </c>
      <c r="E13" s="315" t="s">
        <v>106</v>
      </c>
      <c r="F13" s="315" t="s">
        <v>106</v>
      </c>
      <c r="G13" s="1044"/>
      <c r="H13" s="1045">
        <f>'K.Hao, L.v'!C12*0.2%</f>
        <v>44380012</v>
      </c>
      <c r="I13" s="942"/>
      <c r="J13" s="943">
        <f>'K.Hao, L.v'!D12*0.2%</f>
        <v>44380012</v>
      </c>
      <c r="K13" s="942"/>
      <c r="L13" s="943">
        <f>'K.Hao, L.v'!E12*0.2%</f>
        <v>44380012</v>
      </c>
      <c r="M13" s="942"/>
      <c r="N13" s="943">
        <f>'K.Hao, L.v'!F12*0.2%</f>
        <v>44380012</v>
      </c>
      <c r="O13" s="305" t="s">
        <v>533</v>
      </c>
    </row>
    <row r="14" spans="2:15" ht="16.5" x14ac:dyDescent="0.35">
      <c r="B14" s="69">
        <f>IF(C14=0,"",MAX($B$4:B13)+1)</f>
        <v>5</v>
      </c>
      <c r="C14" s="75" t="s">
        <v>107</v>
      </c>
      <c r="D14" s="75" t="s">
        <v>107</v>
      </c>
      <c r="E14" s="70" t="s">
        <v>107</v>
      </c>
      <c r="F14" s="70" t="s">
        <v>107</v>
      </c>
      <c r="G14" s="1046">
        <v>2000000</v>
      </c>
      <c r="H14" s="1047"/>
      <c r="I14" s="944">
        <v>2000000</v>
      </c>
      <c r="J14" s="945"/>
      <c r="K14" s="944">
        <v>2000000</v>
      </c>
      <c r="L14" s="945"/>
      <c r="M14" s="944">
        <v>2000000</v>
      </c>
      <c r="N14" s="945"/>
      <c r="O14" s="69"/>
    </row>
    <row r="15" spans="2:15" ht="16.5" x14ac:dyDescent="0.35">
      <c r="B15" s="1110">
        <v>6</v>
      </c>
      <c r="C15" s="1137" t="s">
        <v>111</v>
      </c>
      <c r="D15" s="1113" t="s">
        <v>111</v>
      </c>
      <c r="E15" s="316" t="s">
        <v>112</v>
      </c>
      <c r="F15" s="316" t="s">
        <v>111</v>
      </c>
      <c r="G15" s="1038">
        <v>1000000</v>
      </c>
      <c r="H15" s="1039"/>
      <c r="I15" s="936">
        <v>1000000</v>
      </c>
      <c r="J15" s="937"/>
      <c r="K15" s="936">
        <v>1000000</v>
      </c>
      <c r="L15" s="937"/>
      <c r="M15" s="936">
        <v>1000000</v>
      </c>
      <c r="N15" s="937"/>
      <c r="O15" s="308"/>
    </row>
    <row r="16" spans="2:15" ht="16.5" x14ac:dyDescent="0.35">
      <c r="B16" s="1111"/>
      <c r="C16" s="1139"/>
      <c r="D16" s="1114"/>
      <c r="E16" s="317" t="s">
        <v>113</v>
      </c>
      <c r="F16" s="317" t="s">
        <v>111</v>
      </c>
      <c r="G16" s="1040">
        <v>200000</v>
      </c>
      <c r="H16" s="1041"/>
      <c r="I16" s="938">
        <v>200000</v>
      </c>
      <c r="J16" s="939"/>
      <c r="K16" s="938">
        <v>200000</v>
      </c>
      <c r="L16" s="939"/>
      <c r="M16" s="938">
        <v>200000</v>
      </c>
      <c r="N16" s="939"/>
      <c r="O16" s="311"/>
    </row>
    <row r="17" spans="2:15" ht="16.5" x14ac:dyDescent="0.35">
      <c r="B17" s="1112"/>
      <c r="C17" s="1138"/>
      <c r="D17" s="1115"/>
      <c r="E17" s="319" t="s">
        <v>114</v>
      </c>
      <c r="F17" s="319" t="s">
        <v>111</v>
      </c>
      <c r="G17" s="1042">
        <v>300000</v>
      </c>
      <c r="H17" s="1043"/>
      <c r="I17" s="940">
        <v>300000</v>
      </c>
      <c r="J17" s="941"/>
      <c r="K17" s="940">
        <v>300000</v>
      </c>
      <c r="L17" s="941"/>
      <c r="M17" s="940">
        <v>300000</v>
      </c>
      <c r="N17" s="941"/>
      <c r="O17" s="314"/>
    </row>
    <row r="18" spans="2:15" ht="16.5" x14ac:dyDescent="0.35">
      <c r="B18" s="1133">
        <v>7</v>
      </c>
      <c r="C18" s="1134" t="s">
        <v>108</v>
      </c>
      <c r="D18" s="1130" t="s">
        <v>108</v>
      </c>
      <c r="E18" s="251" t="s">
        <v>108</v>
      </c>
      <c r="F18" s="251" t="s">
        <v>108</v>
      </c>
      <c r="G18" s="1034">
        <f>3000000</f>
        <v>3000000</v>
      </c>
      <c r="H18" s="1035"/>
      <c r="I18" s="932">
        <f>3000000</f>
        <v>3000000</v>
      </c>
      <c r="J18" s="933"/>
      <c r="K18" s="932">
        <f>3000000</f>
        <v>3000000</v>
      </c>
      <c r="L18" s="933"/>
      <c r="M18" s="932">
        <f>3000000</f>
        <v>3000000</v>
      </c>
      <c r="N18" s="933"/>
      <c r="O18" s="293"/>
    </row>
    <row r="19" spans="2:15" ht="16.5" x14ac:dyDescent="0.35">
      <c r="B19" s="1133" t="str">
        <f>IF(C19=0,"",MAX($B$4:B18)+1)</f>
        <v/>
      </c>
      <c r="C19" s="1135"/>
      <c r="D19" s="1131"/>
      <c r="E19" s="46" t="s">
        <v>109</v>
      </c>
      <c r="F19" s="46" t="s">
        <v>108</v>
      </c>
      <c r="G19" s="1048"/>
      <c r="H19" s="1049">
        <v>10000000</v>
      </c>
      <c r="I19" s="946"/>
      <c r="J19" s="947">
        <v>10000000</v>
      </c>
      <c r="K19" s="946"/>
      <c r="L19" s="947">
        <v>10000000</v>
      </c>
      <c r="M19" s="946"/>
      <c r="N19" s="947">
        <v>10000000</v>
      </c>
      <c r="O19" s="45" t="s">
        <v>421</v>
      </c>
    </row>
    <row r="20" spans="2:15" ht="16.5" hidden="1" outlineLevel="1" x14ac:dyDescent="0.35">
      <c r="B20" s="1133" t="str">
        <f>IF(C20=0,"",MAX($B$4:B19)+1)</f>
        <v/>
      </c>
      <c r="C20" s="1136"/>
      <c r="D20" s="1132"/>
      <c r="E20" s="50" t="s">
        <v>110</v>
      </c>
      <c r="F20" s="50" t="s">
        <v>108</v>
      </c>
      <c r="G20" s="1036"/>
      <c r="H20" s="1037"/>
      <c r="I20" s="934"/>
      <c r="J20" s="935"/>
      <c r="K20" s="934"/>
      <c r="L20" s="935"/>
      <c r="M20" s="934"/>
      <c r="N20" s="935"/>
      <c r="O20" s="49"/>
    </row>
    <row r="21" spans="2:15" ht="16.5" collapsed="1" x14ac:dyDescent="0.35">
      <c r="B21" s="1110">
        <v>8</v>
      </c>
      <c r="C21" s="1137" t="s">
        <v>95</v>
      </c>
      <c r="D21" s="1137" t="s">
        <v>95</v>
      </c>
      <c r="E21" s="307" t="s">
        <v>426</v>
      </c>
      <c r="F21" s="307" t="s">
        <v>95</v>
      </c>
      <c r="G21" s="1038">
        <v>1000000</v>
      </c>
      <c r="H21" s="1039"/>
      <c r="I21" s="936">
        <v>1000000</v>
      </c>
      <c r="J21" s="937"/>
      <c r="K21" s="936">
        <v>1000000</v>
      </c>
      <c r="L21" s="937"/>
      <c r="M21" s="936">
        <v>1000000</v>
      </c>
      <c r="N21" s="937"/>
      <c r="O21" s="308"/>
    </row>
    <row r="22" spans="2:15" ht="16.5" x14ac:dyDescent="0.35">
      <c r="B22" s="1112"/>
      <c r="C22" s="1138"/>
      <c r="D22" s="1138"/>
      <c r="E22" s="318" t="s">
        <v>425</v>
      </c>
      <c r="F22" s="318" t="s">
        <v>95</v>
      </c>
      <c r="G22" s="1042">
        <v>500000</v>
      </c>
      <c r="H22" s="1043"/>
      <c r="I22" s="940">
        <v>500000</v>
      </c>
      <c r="J22" s="941"/>
      <c r="K22" s="940">
        <v>500000</v>
      </c>
      <c r="L22" s="941"/>
      <c r="M22" s="940">
        <v>500000</v>
      </c>
      <c r="N22" s="941"/>
      <c r="O22" s="314"/>
    </row>
    <row r="23" spans="2:15" ht="16.5" x14ac:dyDescent="0.35">
      <c r="B23" s="1133">
        <v>9</v>
      </c>
      <c r="C23" s="1134" t="s">
        <v>115</v>
      </c>
      <c r="D23" s="1130" t="s">
        <v>115</v>
      </c>
      <c r="E23" s="251" t="s">
        <v>116</v>
      </c>
      <c r="F23" s="251" t="s">
        <v>116</v>
      </c>
      <c r="G23" s="1034">
        <v>5000000</v>
      </c>
      <c r="H23" s="1035"/>
      <c r="I23" s="932">
        <v>5000000</v>
      </c>
      <c r="J23" s="933"/>
      <c r="K23" s="932">
        <v>5000000</v>
      </c>
      <c r="L23" s="933"/>
      <c r="M23" s="932">
        <v>5000000</v>
      </c>
      <c r="N23" s="933"/>
      <c r="O23" s="293"/>
    </row>
    <row r="24" spans="2:15" ht="16.5" hidden="1" outlineLevel="1" x14ac:dyDescent="0.35">
      <c r="B24" s="1133" t="str">
        <f>IF(C24=0,"",MAX($B$4:B23)+1)</f>
        <v/>
      </c>
      <c r="C24" s="1135"/>
      <c r="D24" s="1131"/>
      <c r="E24" s="46" t="s">
        <v>117</v>
      </c>
      <c r="F24" s="46" t="s">
        <v>124</v>
      </c>
      <c r="G24" s="1048"/>
      <c r="H24" s="1049"/>
      <c r="I24" s="946"/>
      <c r="J24" s="947"/>
      <c r="K24" s="946"/>
      <c r="L24" s="947"/>
      <c r="M24" s="946"/>
      <c r="N24" s="947"/>
      <c r="O24" s="45"/>
    </row>
    <row r="25" spans="2:15" ht="16.5" collapsed="1" x14ac:dyDescent="0.35">
      <c r="B25" s="1133" t="str">
        <f>IF(C25=0,"",MAX($B$4:B24)+1)</f>
        <v/>
      </c>
      <c r="C25" s="1135"/>
      <c r="D25" s="1131"/>
      <c r="E25" s="46" t="s">
        <v>118</v>
      </c>
      <c r="F25" s="46" t="s">
        <v>124</v>
      </c>
      <c r="G25" s="1048"/>
      <c r="H25" s="1049">
        <v>5000000</v>
      </c>
      <c r="I25" s="946"/>
      <c r="J25" s="947">
        <v>5000000</v>
      </c>
      <c r="K25" s="946"/>
      <c r="L25" s="947">
        <v>5000000</v>
      </c>
      <c r="M25" s="946"/>
      <c r="N25" s="947">
        <v>5000000</v>
      </c>
      <c r="O25" s="45" t="s">
        <v>422</v>
      </c>
    </row>
    <row r="26" spans="2:15" ht="16.5" x14ac:dyDescent="0.35">
      <c r="B26" s="1133" t="str">
        <f>IF(C26=0,"",MAX($B$4:B25)+1)</f>
        <v/>
      </c>
      <c r="C26" s="1135"/>
      <c r="D26" s="1131"/>
      <c r="E26" s="46" t="s">
        <v>119</v>
      </c>
      <c r="F26" s="46" t="s">
        <v>119</v>
      </c>
      <c r="G26" s="1048">
        <v>1000000</v>
      </c>
      <c r="H26" s="1049"/>
      <c r="I26" s="946">
        <v>1000000</v>
      </c>
      <c r="J26" s="947"/>
      <c r="K26" s="946">
        <v>1000000</v>
      </c>
      <c r="L26" s="947"/>
      <c r="M26" s="946">
        <v>1000000</v>
      </c>
      <c r="N26" s="947"/>
      <c r="O26" s="45"/>
    </row>
    <row r="27" spans="2:15" ht="16.5" x14ac:dyDescent="0.35">
      <c r="B27" s="1133" t="str">
        <f>IF(C27=0,"",MAX($B$4:B26)+1)</f>
        <v/>
      </c>
      <c r="C27" s="1135"/>
      <c r="D27" s="1131"/>
      <c r="E27" s="46" t="s">
        <v>120</v>
      </c>
      <c r="F27" s="46" t="s">
        <v>124</v>
      </c>
      <c r="G27" s="1048">
        <v>500000</v>
      </c>
      <c r="H27" s="1049"/>
      <c r="I27" s="946">
        <v>500000</v>
      </c>
      <c r="J27" s="947"/>
      <c r="K27" s="946">
        <v>500000</v>
      </c>
      <c r="L27" s="947"/>
      <c r="M27" s="946">
        <v>500000</v>
      </c>
      <c r="N27" s="947"/>
      <c r="O27" s="45"/>
    </row>
    <row r="28" spans="2:15" ht="16.5" hidden="1" outlineLevel="2" x14ac:dyDescent="0.35">
      <c r="B28" s="1133" t="str">
        <f>IF(C28=0,"",MAX($B$4:B27)+1)</f>
        <v/>
      </c>
      <c r="C28" s="1135"/>
      <c r="D28" s="1131"/>
      <c r="E28" s="46" t="s">
        <v>121</v>
      </c>
      <c r="F28" s="46" t="s">
        <v>124</v>
      </c>
      <c r="G28" s="1048"/>
      <c r="H28" s="1049"/>
      <c r="I28" s="946"/>
      <c r="J28" s="947"/>
      <c r="K28" s="946"/>
      <c r="L28" s="947"/>
      <c r="M28" s="946"/>
      <c r="N28" s="947"/>
      <c r="O28" s="45"/>
    </row>
    <row r="29" spans="2:15" ht="16.5" hidden="1" outlineLevel="2" x14ac:dyDescent="0.35">
      <c r="B29" s="1133" t="str">
        <f>IF(C29=0,"",MAX($B$4:B28)+1)</f>
        <v/>
      </c>
      <c r="C29" s="1135"/>
      <c r="D29" s="1131"/>
      <c r="E29" s="46" t="s">
        <v>122</v>
      </c>
      <c r="F29" s="46" t="s">
        <v>124</v>
      </c>
      <c r="G29" s="1048"/>
      <c r="H29" s="1049"/>
      <c r="I29" s="946"/>
      <c r="J29" s="947"/>
      <c r="K29" s="946"/>
      <c r="L29" s="947"/>
      <c r="M29" s="946"/>
      <c r="N29" s="947"/>
      <c r="O29" s="45"/>
    </row>
    <row r="30" spans="2:15" ht="16.5" hidden="1" outlineLevel="2" x14ac:dyDescent="0.35">
      <c r="B30" s="1133" t="str">
        <f>IF(C30=0,"",MAX($B$4:B29)+1)</f>
        <v/>
      </c>
      <c r="C30" s="1136"/>
      <c r="D30" s="1132"/>
      <c r="E30" s="50" t="s">
        <v>123</v>
      </c>
      <c r="F30" s="50" t="s">
        <v>124</v>
      </c>
      <c r="G30" s="1036"/>
      <c r="H30" s="1037"/>
      <c r="I30" s="934"/>
      <c r="J30" s="935"/>
      <c r="K30" s="934"/>
      <c r="L30" s="935"/>
      <c r="M30" s="934"/>
      <c r="N30" s="935"/>
      <c r="O30" s="49"/>
    </row>
    <row r="31" spans="2:15" ht="28" collapsed="1" x14ac:dyDescent="0.35">
      <c r="B31" s="1141">
        <f>IF(C31=0,"",MAX($B$4:B30)+1)</f>
        <v>10</v>
      </c>
      <c r="C31" s="1116" t="s">
        <v>137</v>
      </c>
      <c r="D31" s="306" t="s">
        <v>138</v>
      </c>
      <c r="E31" s="306" t="s">
        <v>138</v>
      </c>
      <c r="F31" s="306" t="s">
        <v>138</v>
      </c>
      <c r="G31" s="1038"/>
      <c r="H31" s="1039">
        <f>Đ.Biên!$E$57*1000000</f>
        <v>25000000</v>
      </c>
      <c r="I31" s="936"/>
      <c r="J31" s="937">
        <f>Đ.Biên!$F$57*1000000</f>
        <v>39000000</v>
      </c>
      <c r="K31" s="936"/>
      <c r="L31" s="937">
        <f>Đ.Biên!$G$57*1000000</f>
        <v>49000000</v>
      </c>
      <c r="M31" s="936"/>
      <c r="N31" s="937">
        <f>Đ.Biên!$H$57*1000000</f>
        <v>53000000</v>
      </c>
      <c r="O31" s="308" t="s">
        <v>528</v>
      </c>
    </row>
    <row r="32" spans="2:15" ht="16.5" x14ac:dyDescent="0.35">
      <c r="B32" s="1141" t="str">
        <f>IF(C32=0,"",MAX($B$4:B31)+1)</f>
        <v/>
      </c>
      <c r="C32" s="1117"/>
      <c r="D32" s="309" t="s">
        <v>140</v>
      </c>
      <c r="E32" s="309" t="s">
        <v>140</v>
      </c>
      <c r="F32" s="309" t="s">
        <v>140</v>
      </c>
      <c r="G32" s="1040"/>
      <c r="H32" s="1041">
        <f>Đ.Biên!$E$57*30000*26</f>
        <v>19500000</v>
      </c>
      <c r="I32" s="938"/>
      <c r="J32" s="939">
        <f>Đ.Biên!$F$57*30000*26</f>
        <v>30420000</v>
      </c>
      <c r="K32" s="938"/>
      <c r="L32" s="939">
        <f>Đ.Biên!$G$57*30000*26</f>
        <v>38220000</v>
      </c>
      <c r="M32" s="938"/>
      <c r="N32" s="939">
        <f>Đ.Biên!$H$57*30000*26</f>
        <v>41340000</v>
      </c>
      <c r="O32" s="311" t="s">
        <v>527</v>
      </c>
    </row>
    <row r="33" spans="2:15" ht="16.5" x14ac:dyDescent="0.35">
      <c r="B33" s="1141" t="str">
        <f>IF(C33=0,"",MAX($B$4:B32)+1)</f>
        <v/>
      </c>
      <c r="C33" s="1117"/>
      <c r="D33" s="1117" t="s">
        <v>141</v>
      </c>
      <c r="E33" s="309" t="s">
        <v>206</v>
      </c>
      <c r="F33" s="309" t="s">
        <v>141</v>
      </c>
      <c r="G33" s="1040"/>
      <c r="H33" s="1041">
        <f>Đ.Biên!$E$57*800000</f>
        <v>20000000</v>
      </c>
      <c r="I33" s="938"/>
      <c r="J33" s="939">
        <f>Đ.Biên!$F$57*800000</f>
        <v>31200000</v>
      </c>
      <c r="K33" s="938"/>
      <c r="L33" s="939">
        <f>Đ.Biên!$G$57*800000</f>
        <v>39200000</v>
      </c>
      <c r="M33" s="938"/>
      <c r="N33" s="939">
        <f>Đ.Biên!$H$57*800000</f>
        <v>42400000</v>
      </c>
      <c r="O33" s="311" t="s">
        <v>529</v>
      </c>
    </row>
    <row r="34" spans="2:15" ht="16.5" x14ac:dyDescent="0.35">
      <c r="B34" s="1141" t="str">
        <f>IF(C34=0,"",MAX($B$4:B33)+1)</f>
        <v/>
      </c>
      <c r="C34" s="1117"/>
      <c r="D34" s="1117"/>
      <c r="E34" s="309" t="s">
        <v>142</v>
      </c>
      <c r="F34" s="309" t="s">
        <v>141</v>
      </c>
      <c r="G34" s="1040">
        <v>1500000</v>
      </c>
      <c r="H34" s="1041"/>
      <c r="I34" s="938">
        <v>1500000</v>
      </c>
      <c r="J34" s="939"/>
      <c r="K34" s="938">
        <v>1500000</v>
      </c>
      <c r="L34" s="939"/>
      <c r="M34" s="938">
        <v>1500000</v>
      </c>
      <c r="N34" s="939"/>
      <c r="O34" s="311"/>
    </row>
    <row r="35" spans="2:15" ht="28" x14ac:dyDescent="0.35">
      <c r="B35" s="1141" t="str">
        <f>IF(C35=0,"",MAX($B$4:B34)+1)</f>
        <v/>
      </c>
      <c r="C35" s="1117"/>
      <c r="D35" s="309" t="s">
        <v>143</v>
      </c>
      <c r="E35" s="309" t="s">
        <v>143</v>
      </c>
      <c r="F35" s="309" t="s">
        <v>143</v>
      </c>
      <c r="G35" s="1040"/>
      <c r="H35" s="1041">
        <f>Đ.Biên!$E$57*1000000</f>
        <v>25000000</v>
      </c>
      <c r="I35" s="938"/>
      <c r="J35" s="939">
        <f>Đ.Biên!$F$57*1000000</f>
        <v>39000000</v>
      </c>
      <c r="K35" s="938"/>
      <c r="L35" s="939">
        <f>Đ.Biên!$G$57*1000000</f>
        <v>49000000</v>
      </c>
      <c r="M35" s="938"/>
      <c r="N35" s="939">
        <f>Đ.Biên!$H$57*1000000</f>
        <v>53000000</v>
      </c>
      <c r="O35" s="311" t="s">
        <v>531</v>
      </c>
    </row>
    <row r="36" spans="2:15" ht="28" x14ac:dyDescent="0.35">
      <c r="B36" s="1141" t="str">
        <f>IF(C36=0,"",MAX($B$4:B35)+1)</f>
        <v/>
      </c>
      <c r="C36" s="1117"/>
      <c r="D36" s="309" t="s">
        <v>144</v>
      </c>
      <c r="E36" s="309" t="s">
        <v>144</v>
      </c>
      <c r="F36" s="309" t="s">
        <v>144</v>
      </c>
      <c r="G36" s="1040"/>
      <c r="H36" s="1041">
        <f>Đ.Biên!$E$57*4000000</f>
        <v>100000000</v>
      </c>
      <c r="I36" s="938"/>
      <c r="J36" s="939">
        <f>Đ.Biên!$F$57*4000000</f>
        <v>156000000</v>
      </c>
      <c r="K36" s="938"/>
      <c r="L36" s="939">
        <f>Đ.Biên!$G$57*4000000</f>
        <v>196000000</v>
      </c>
      <c r="M36" s="938"/>
      <c r="N36" s="939">
        <f>Đ.Biên!$H$57*4000000</f>
        <v>212000000</v>
      </c>
      <c r="O36" s="311" t="s">
        <v>530</v>
      </c>
    </row>
    <row r="37" spans="2:15" ht="16.5" hidden="1" outlineLevel="1" x14ac:dyDescent="0.35">
      <c r="B37" s="1141" t="str">
        <f>IF(C37=0,"",MAX($B$4:B36)+1)</f>
        <v/>
      </c>
      <c r="C37" s="1117"/>
      <c r="D37" s="309" t="s">
        <v>145</v>
      </c>
      <c r="E37" s="309" t="s">
        <v>145</v>
      </c>
      <c r="F37" s="309" t="s">
        <v>145</v>
      </c>
      <c r="G37" s="1040"/>
      <c r="H37" s="1041"/>
      <c r="I37" s="938"/>
      <c r="J37" s="939"/>
      <c r="K37" s="938"/>
      <c r="L37" s="939"/>
      <c r="M37" s="938"/>
      <c r="N37" s="939"/>
      <c r="O37" s="311"/>
    </row>
    <row r="38" spans="2:15" ht="16.5" hidden="1" outlineLevel="1" x14ac:dyDescent="0.35">
      <c r="B38" s="1141" t="str">
        <f>IF(C38=0,"",MAX($B$4:B37)+1)</f>
        <v/>
      </c>
      <c r="C38" s="1117"/>
      <c r="D38" s="309" t="s">
        <v>146</v>
      </c>
      <c r="E38" s="310" t="s">
        <v>146</v>
      </c>
      <c r="F38" s="310" t="s">
        <v>427</v>
      </c>
      <c r="G38" s="1040"/>
      <c r="H38" s="1041"/>
      <c r="I38" s="938"/>
      <c r="J38" s="939"/>
      <c r="K38" s="938"/>
      <c r="L38" s="939"/>
      <c r="M38" s="938"/>
      <c r="N38" s="939"/>
      <c r="O38" s="311"/>
    </row>
    <row r="39" spans="2:15" ht="16.5" collapsed="1" x14ac:dyDescent="0.35">
      <c r="B39" s="1141" t="str">
        <f>IF(C39=0,"",MAX($B$4:B38)+1)</f>
        <v/>
      </c>
      <c r="C39" s="1117"/>
      <c r="D39" s="309" t="s">
        <v>147</v>
      </c>
      <c r="E39" s="310" t="s">
        <v>147</v>
      </c>
      <c r="F39" s="310" t="s">
        <v>427</v>
      </c>
      <c r="G39" s="1040">
        <v>2000000</v>
      </c>
      <c r="H39" s="1041"/>
      <c r="I39" s="938">
        <v>2000000</v>
      </c>
      <c r="J39" s="939"/>
      <c r="K39" s="938">
        <v>2000000</v>
      </c>
      <c r="L39" s="939"/>
      <c r="M39" s="938">
        <v>2000000</v>
      </c>
      <c r="N39" s="939"/>
      <c r="O39" s="311"/>
    </row>
    <row r="40" spans="2:15" ht="16.5" x14ac:dyDescent="0.35">
      <c r="B40" s="1141" t="str">
        <f>IF(C40=0,"",MAX($B$4:B39)+1)</f>
        <v/>
      </c>
      <c r="C40" s="1117"/>
      <c r="D40" s="1117" t="s">
        <v>148</v>
      </c>
      <c r="E40" s="309" t="s">
        <v>149</v>
      </c>
      <c r="F40" s="309" t="s">
        <v>124</v>
      </c>
      <c r="G40" s="1040">
        <v>500000</v>
      </c>
      <c r="H40" s="1041"/>
      <c r="I40" s="938">
        <v>500000</v>
      </c>
      <c r="J40" s="939"/>
      <c r="K40" s="938">
        <v>500000</v>
      </c>
      <c r="L40" s="939"/>
      <c r="M40" s="938">
        <v>500000</v>
      </c>
      <c r="N40" s="939"/>
      <c r="O40" s="311"/>
    </row>
    <row r="41" spans="2:15" ht="16.5" hidden="1" outlineLevel="1" x14ac:dyDescent="0.35">
      <c r="B41" s="1141" t="str">
        <f>IF(C41=0,"",MAX($B$4:B40)+1)</f>
        <v/>
      </c>
      <c r="C41" s="1117"/>
      <c r="D41" s="1117"/>
      <c r="E41" s="309" t="s">
        <v>150</v>
      </c>
      <c r="F41" s="309" t="s">
        <v>124</v>
      </c>
      <c r="G41" s="1040"/>
      <c r="H41" s="1041"/>
      <c r="I41" s="938"/>
      <c r="J41" s="939"/>
      <c r="K41" s="938"/>
      <c r="L41" s="939"/>
      <c r="M41" s="938"/>
      <c r="N41" s="939"/>
      <c r="O41" s="311"/>
    </row>
    <row r="42" spans="2:15" ht="16.5" collapsed="1" x14ac:dyDescent="0.35">
      <c r="B42" s="1141" t="str">
        <f>IF(C42=0,"",MAX($B$4:B41)+1)</f>
        <v/>
      </c>
      <c r="C42" s="1117"/>
      <c r="D42" s="1117"/>
      <c r="E42" s="309" t="s">
        <v>151</v>
      </c>
      <c r="F42" s="309" t="s">
        <v>151</v>
      </c>
      <c r="G42" s="1040">
        <v>1000000</v>
      </c>
      <c r="H42" s="1041"/>
      <c r="I42" s="938">
        <v>1000000</v>
      </c>
      <c r="J42" s="939"/>
      <c r="K42" s="938">
        <v>1000000</v>
      </c>
      <c r="L42" s="939"/>
      <c r="M42" s="938">
        <v>1000000</v>
      </c>
      <c r="N42" s="939"/>
      <c r="O42" s="311"/>
    </row>
    <row r="43" spans="2:15" ht="16.5" hidden="1" outlineLevel="1" x14ac:dyDescent="0.35">
      <c r="B43" s="1141" t="str">
        <f>IF(C43=0,"",MAX($B$4:B42)+1)</f>
        <v/>
      </c>
      <c r="C43" s="1118"/>
      <c r="D43" s="1118"/>
      <c r="E43" s="312" t="s">
        <v>148</v>
      </c>
      <c r="F43" s="312" t="s">
        <v>124</v>
      </c>
      <c r="G43" s="1042"/>
      <c r="H43" s="1043"/>
      <c r="I43" s="940"/>
      <c r="J43" s="941"/>
      <c r="K43" s="940"/>
      <c r="L43" s="941"/>
      <c r="M43" s="940"/>
      <c r="N43" s="941"/>
      <c r="O43" s="314"/>
    </row>
    <row r="44" spans="2:15" ht="16.5" collapsed="1" x14ac:dyDescent="0.35">
      <c r="B44" s="69">
        <v>11</v>
      </c>
      <c r="C44" s="75" t="s">
        <v>154</v>
      </c>
      <c r="D44" s="75" t="s">
        <v>154</v>
      </c>
      <c r="E44" s="70" t="s">
        <v>154</v>
      </c>
      <c r="F44" s="70" t="s">
        <v>154</v>
      </c>
      <c r="G44" s="1046">
        <v>500000</v>
      </c>
      <c r="H44" s="1047"/>
      <c r="I44" s="944">
        <v>500000</v>
      </c>
      <c r="J44" s="945"/>
      <c r="K44" s="944">
        <v>500000</v>
      </c>
      <c r="L44" s="945"/>
      <c r="M44" s="944">
        <v>500000</v>
      </c>
      <c r="N44" s="945"/>
      <c r="O44" s="69"/>
    </row>
    <row r="45" spans="2:15" ht="16.5" x14ac:dyDescent="0.35">
      <c r="B45" s="305">
        <v>12</v>
      </c>
      <c r="C45" s="315" t="s">
        <v>124</v>
      </c>
      <c r="D45" s="315" t="s">
        <v>124</v>
      </c>
      <c r="E45" s="315" t="s">
        <v>124</v>
      </c>
      <c r="F45" s="315" t="s">
        <v>124</v>
      </c>
      <c r="G45" s="1044">
        <v>3000000</v>
      </c>
      <c r="H45" s="1045"/>
      <c r="I45" s="942">
        <v>3000000</v>
      </c>
      <c r="J45" s="943"/>
      <c r="K45" s="942">
        <v>3000000</v>
      </c>
      <c r="L45" s="943"/>
      <c r="M45" s="942">
        <v>3000000</v>
      </c>
      <c r="N45" s="943"/>
      <c r="O45" s="305"/>
    </row>
    <row r="46" spans="2:15" ht="28" x14ac:dyDescent="0.35">
      <c r="B46" s="69">
        <v>13</v>
      </c>
      <c r="C46" s="70" t="s">
        <v>93</v>
      </c>
      <c r="D46" s="70" t="s">
        <v>93</v>
      </c>
      <c r="E46" s="70" t="s">
        <v>93</v>
      </c>
      <c r="F46" s="70" t="s">
        <v>93</v>
      </c>
      <c r="G46" s="1046">
        <v>1000000</v>
      </c>
      <c r="H46" s="1047"/>
      <c r="I46" s="944">
        <v>1000000</v>
      </c>
      <c r="J46" s="945"/>
      <c r="K46" s="944">
        <v>1000000</v>
      </c>
      <c r="L46" s="945"/>
      <c r="M46" s="944">
        <v>1000000</v>
      </c>
      <c r="N46" s="945"/>
      <c r="O46" s="69"/>
    </row>
    <row r="47" spans="2:15" ht="16.5" x14ac:dyDescent="0.35">
      <c r="B47" s="305">
        <v>14</v>
      </c>
      <c r="C47" s="320" t="s">
        <v>96</v>
      </c>
      <c r="D47" s="320" t="s">
        <v>96</v>
      </c>
      <c r="E47" s="320" t="s">
        <v>96</v>
      </c>
      <c r="F47" s="320" t="s">
        <v>96</v>
      </c>
      <c r="G47" s="1044">
        <v>36000000</v>
      </c>
      <c r="H47" s="1045"/>
      <c r="I47" s="942">
        <v>36000000</v>
      </c>
      <c r="J47" s="943"/>
      <c r="K47" s="942">
        <v>36000000</v>
      </c>
      <c r="L47" s="943"/>
      <c r="M47" s="942">
        <v>36000000</v>
      </c>
      <c r="N47" s="943"/>
      <c r="O47" s="305" t="s">
        <v>420</v>
      </c>
    </row>
    <row r="48" spans="2:15" ht="16.5" x14ac:dyDescent="0.35">
      <c r="B48" s="1108">
        <v>15</v>
      </c>
      <c r="C48" s="1140" t="s">
        <v>94</v>
      </c>
      <c r="D48" s="1140" t="s">
        <v>94</v>
      </c>
      <c r="E48" s="251" t="s">
        <v>523</v>
      </c>
      <c r="F48" s="298" t="s">
        <v>94</v>
      </c>
      <c r="G48" s="1050">
        <f>100*26500*8</f>
        <v>21200000</v>
      </c>
      <c r="H48" s="1051"/>
      <c r="I48" s="948">
        <f>100*26500*8</f>
        <v>21200000</v>
      </c>
      <c r="J48" s="949"/>
      <c r="K48" s="948">
        <f>100*26500*8</f>
        <v>21200000</v>
      </c>
      <c r="L48" s="949"/>
      <c r="M48" s="948">
        <f>100*26500*8</f>
        <v>21200000</v>
      </c>
      <c r="N48" s="949"/>
      <c r="O48" s="293" t="s">
        <v>532</v>
      </c>
    </row>
    <row r="49" spans="2:15" ht="16.5" x14ac:dyDescent="0.35">
      <c r="B49" s="1120"/>
      <c r="C49" s="1140"/>
      <c r="D49" s="1140"/>
      <c r="E49" s="46" t="s">
        <v>524</v>
      </c>
      <c r="F49" s="299" t="s">
        <v>94</v>
      </c>
      <c r="G49" s="1052">
        <f>(1525200+1377600)*1</f>
        <v>2902800</v>
      </c>
      <c r="H49" s="1053"/>
      <c r="I49" s="950">
        <f>(1525200+1377600)*1</f>
        <v>2902800</v>
      </c>
      <c r="J49" s="951"/>
      <c r="K49" s="950">
        <f>(1525200+1377600)*1</f>
        <v>2902800</v>
      </c>
      <c r="L49" s="951"/>
      <c r="M49" s="950">
        <f>(1525200+1377600)*1</f>
        <v>2902800</v>
      </c>
      <c r="N49" s="951"/>
      <c r="O49" s="45" t="s">
        <v>532</v>
      </c>
    </row>
    <row r="50" spans="2:15" ht="16.5" x14ac:dyDescent="0.35">
      <c r="B50" s="1109"/>
      <c r="C50" s="1140"/>
      <c r="D50" s="1140"/>
      <c r="E50" s="50" t="s">
        <v>525</v>
      </c>
      <c r="F50" s="50" t="s">
        <v>94</v>
      </c>
      <c r="G50" s="1054">
        <f>3000000*8</f>
        <v>24000000</v>
      </c>
      <c r="H50" s="1055"/>
      <c r="I50" s="952">
        <f>3000000*8</f>
        <v>24000000</v>
      </c>
      <c r="J50" s="953"/>
      <c r="K50" s="952">
        <f>3000000*8</f>
        <v>24000000</v>
      </c>
      <c r="L50" s="953"/>
      <c r="M50" s="952">
        <f>3000000*8</f>
        <v>24000000</v>
      </c>
      <c r="N50" s="953"/>
      <c r="O50" s="49"/>
    </row>
  </sheetData>
  <mergeCells count="37">
    <mergeCell ref="B31:B43"/>
    <mergeCell ref="C31:C43"/>
    <mergeCell ref="B23:B30"/>
    <mergeCell ref="C23:C30"/>
    <mergeCell ref="B6:B10"/>
    <mergeCell ref="D48:D50"/>
    <mergeCell ref="C48:C50"/>
    <mergeCell ref="I2:J2"/>
    <mergeCell ref="M2:N2"/>
    <mergeCell ref="D40:D43"/>
    <mergeCell ref="C4:C5"/>
    <mergeCell ref="B48:B50"/>
    <mergeCell ref="D33:D34"/>
    <mergeCell ref="F2:F3"/>
    <mergeCell ref="E2:E3"/>
    <mergeCell ref="D2:D3"/>
    <mergeCell ref="C2:C3"/>
    <mergeCell ref="C6:C10"/>
    <mergeCell ref="C11:C12"/>
    <mergeCell ref="D11:D12"/>
    <mergeCell ref="D23:D30"/>
    <mergeCell ref="B18:B20"/>
    <mergeCell ref="C18:C20"/>
    <mergeCell ref="D18:D20"/>
    <mergeCell ref="C21:C22"/>
    <mergeCell ref="D21:D22"/>
    <mergeCell ref="C15:C17"/>
    <mergeCell ref="O2:O3"/>
    <mergeCell ref="B2:B3"/>
    <mergeCell ref="B11:B12"/>
    <mergeCell ref="B15:B17"/>
    <mergeCell ref="B21:B22"/>
    <mergeCell ref="D15:D17"/>
    <mergeCell ref="D6:D10"/>
    <mergeCell ref="G2:H2"/>
    <mergeCell ref="K2:L2"/>
    <mergeCell ref="B4:B5"/>
  </mergeCells>
  <printOptions horizontalCentered="1"/>
  <pageMargins left="0" right="0" top="0" bottom="0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08FD-1CBB-4F58-9021-22951B05ADBF}">
  <sheetPr>
    <tabColor rgb="FF92D050"/>
  </sheetPr>
  <dimension ref="B1:T182"/>
  <sheetViews>
    <sheetView zoomScale="85" zoomScaleNormal="85" workbookViewId="0">
      <selection activeCell="J8" sqref="J8"/>
    </sheetView>
  </sheetViews>
  <sheetFormatPr defaultRowHeight="14" outlineLevelRow="1" x14ac:dyDescent="0.35"/>
  <cols>
    <col min="1" max="1" width="0.7265625" style="33" customWidth="1"/>
    <col min="2" max="2" width="0.81640625" style="71" customWidth="1"/>
    <col min="3" max="3" width="31.26953125" style="33" customWidth="1"/>
    <col min="4" max="4" width="12.36328125" style="35" customWidth="1"/>
    <col min="5" max="5" width="11.26953125" style="33" customWidth="1"/>
    <col min="6" max="6" width="10.36328125" style="33" customWidth="1"/>
    <col min="7" max="12" width="9.36328125" style="33" customWidth="1"/>
    <col min="13" max="13" width="8.6328125" style="33" customWidth="1"/>
    <col min="14" max="14" width="11" style="33" customWidth="1"/>
    <col min="15" max="15" width="10.453125" style="33" customWidth="1"/>
    <col min="16" max="18" width="8.453125" style="33" bestFit="1" customWidth="1"/>
    <col min="19" max="19" width="8.7265625" style="33"/>
    <col min="20" max="20" width="1.453125" style="33" customWidth="1"/>
    <col min="21" max="16384" width="8.7265625" style="33"/>
  </cols>
  <sheetData>
    <row r="1" spans="2:20" ht="4" customHeight="1" thickBot="1" x14ac:dyDescent="0.4">
      <c r="C1" s="43"/>
      <c r="D1" s="54"/>
      <c r="E1" s="43"/>
      <c r="F1" s="43"/>
    </row>
    <row r="2" spans="2:20" ht="18" x14ac:dyDescent="0.35">
      <c r="B2" s="734"/>
      <c r="C2" s="966" t="s">
        <v>607</v>
      </c>
      <c r="D2" s="967"/>
      <c r="E2" s="963"/>
      <c r="F2" s="963"/>
      <c r="G2" s="963"/>
      <c r="H2" s="963"/>
      <c r="I2" s="963"/>
      <c r="J2" s="963"/>
      <c r="K2" s="963"/>
      <c r="L2" s="963"/>
      <c r="M2" s="963"/>
      <c r="N2" s="963"/>
      <c r="O2" s="963"/>
      <c r="P2" s="963"/>
      <c r="Q2" s="963"/>
      <c r="R2" s="963"/>
      <c r="S2" s="963"/>
      <c r="T2" s="735"/>
    </row>
    <row r="3" spans="2:20" s="82" customFormat="1" ht="14.5" thickBot="1" x14ac:dyDescent="0.4">
      <c r="B3" s="1018"/>
      <c r="C3" s="1022" t="s">
        <v>812</v>
      </c>
      <c r="D3" s="1020"/>
      <c r="E3" s="973"/>
      <c r="F3" s="973"/>
      <c r="G3" s="973"/>
      <c r="H3" s="973"/>
      <c r="I3" s="973"/>
      <c r="J3" s="973"/>
      <c r="K3" s="973"/>
      <c r="L3" s="973"/>
      <c r="M3" s="973"/>
      <c r="N3" s="973"/>
      <c r="O3" s="973"/>
      <c r="P3" s="973"/>
      <c r="Q3" s="973"/>
      <c r="R3" s="973"/>
      <c r="S3" s="973"/>
      <c r="T3" s="1021"/>
    </row>
    <row r="4" spans="2:20" ht="28" x14ac:dyDescent="0.35">
      <c r="B4" s="738"/>
      <c r="C4" s="393" t="s">
        <v>613</v>
      </c>
      <c r="D4" s="496" t="s">
        <v>385</v>
      </c>
      <c r="E4" s="497" t="s">
        <v>3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737"/>
    </row>
    <row r="5" spans="2:20" s="269" customFormat="1" ht="18.5" thickBot="1" x14ac:dyDescent="0.4">
      <c r="B5" s="739"/>
      <c r="C5" s="570" t="s">
        <v>614</v>
      </c>
      <c r="D5" s="607" t="s">
        <v>386</v>
      </c>
      <c r="E5" s="608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740"/>
    </row>
    <row r="6" spans="2:20" x14ac:dyDescent="0.35">
      <c r="B6" s="736"/>
      <c r="C6" s="43"/>
      <c r="D6" s="54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737"/>
    </row>
    <row r="7" spans="2:20" s="82" customFormat="1" ht="14.5" thickBot="1" x14ac:dyDescent="0.35">
      <c r="B7" s="1018"/>
      <c r="C7" s="1019" t="s">
        <v>813</v>
      </c>
      <c r="D7" s="1020"/>
      <c r="E7" s="973"/>
      <c r="F7" s="973"/>
      <c r="G7" s="973"/>
      <c r="H7" s="973"/>
      <c r="I7" s="973"/>
      <c r="J7" s="973"/>
      <c r="K7" s="973"/>
      <c r="L7" s="973"/>
      <c r="M7" s="973"/>
      <c r="N7" s="1023" t="s">
        <v>785</v>
      </c>
      <c r="O7" s="1023"/>
      <c r="P7" s="1023"/>
      <c r="Q7" s="973"/>
      <c r="R7" s="973"/>
      <c r="S7" s="973"/>
      <c r="T7" s="1021"/>
    </row>
    <row r="8" spans="2:20" ht="28" x14ac:dyDescent="0.3">
      <c r="B8" s="738"/>
      <c r="C8" s="393" t="s">
        <v>387</v>
      </c>
      <c r="D8" s="496" t="s">
        <v>53</v>
      </c>
      <c r="E8" s="496" t="s">
        <v>777</v>
      </c>
      <c r="F8" s="496" t="s">
        <v>778</v>
      </c>
      <c r="G8" s="496" t="s">
        <v>779</v>
      </c>
      <c r="H8" s="497" t="s">
        <v>780</v>
      </c>
      <c r="I8" s="964"/>
      <c r="J8" s="43"/>
      <c r="K8" s="43"/>
      <c r="L8" s="43"/>
      <c r="M8" s="43"/>
      <c r="N8" s="1008" t="s">
        <v>786</v>
      </c>
      <c r="O8" s="1015">
        <v>1500</v>
      </c>
      <c r="P8" s="1008" t="s">
        <v>787</v>
      </c>
      <c r="Q8" s="43"/>
      <c r="R8" s="43"/>
      <c r="S8" s="43"/>
      <c r="T8" s="737"/>
    </row>
    <row r="9" spans="2:20" s="36" customFormat="1" ht="26.5" customHeight="1" thickBot="1" x14ac:dyDescent="0.35">
      <c r="B9" s="736"/>
      <c r="C9" s="571" t="s">
        <v>611</v>
      </c>
      <c r="D9" s="572" t="s">
        <v>389</v>
      </c>
      <c r="E9" s="573">
        <v>1000000</v>
      </c>
      <c r="F9" s="573">
        <v>1000000</v>
      </c>
      <c r="G9" s="573">
        <v>1000000</v>
      </c>
      <c r="H9" s="574">
        <v>1000000</v>
      </c>
      <c r="I9" s="965"/>
      <c r="J9" s="43"/>
      <c r="K9" s="44"/>
      <c r="L9" s="44"/>
      <c r="M9" s="44"/>
      <c r="N9" s="1009" t="s">
        <v>788</v>
      </c>
      <c r="O9" s="1009">
        <v>8</v>
      </c>
      <c r="P9" s="1009" t="s">
        <v>789</v>
      </c>
      <c r="Q9" s="44"/>
      <c r="R9" s="44"/>
      <c r="S9" s="44"/>
      <c r="T9" s="741"/>
    </row>
    <row r="10" spans="2:20" x14ac:dyDescent="0.3">
      <c r="B10" s="736"/>
      <c r="C10" s="43"/>
      <c r="D10" s="54"/>
      <c r="E10" s="43"/>
      <c r="F10" s="43"/>
      <c r="G10" s="43"/>
      <c r="H10" s="43"/>
      <c r="I10" s="43"/>
      <c r="J10" s="43"/>
      <c r="K10" s="43"/>
      <c r="L10" s="43"/>
      <c r="M10" s="43"/>
      <c r="N10" s="1010" t="s">
        <v>790</v>
      </c>
      <c r="O10" s="1010">
        <v>30</v>
      </c>
      <c r="P10" s="1010" t="s">
        <v>791</v>
      </c>
      <c r="Q10" s="43"/>
      <c r="R10" s="43"/>
      <c r="S10" s="43"/>
      <c r="T10" s="737"/>
    </row>
    <row r="11" spans="2:20" s="82" customFormat="1" ht="14.5" thickBot="1" x14ac:dyDescent="0.35">
      <c r="B11" s="1018"/>
      <c r="C11" s="1022" t="s">
        <v>691</v>
      </c>
      <c r="D11" s="1020"/>
      <c r="E11" s="973"/>
      <c r="F11" s="973"/>
      <c r="G11" s="973"/>
      <c r="H11" s="973"/>
      <c r="I11" s="973"/>
      <c r="J11" s="973"/>
      <c r="K11" s="973"/>
      <c r="L11" s="973"/>
      <c r="M11" s="973"/>
      <c r="N11" s="1024" t="s">
        <v>792</v>
      </c>
      <c r="O11" s="1025">
        <f>O8*O9*O10</f>
        <v>360000</v>
      </c>
      <c r="P11" s="1024" t="s">
        <v>587</v>
      </c>
      <c r="Q11" s="973"/>
      <c r="R11" s="973"/>
      <c r="S11" s="973"/>
      <c r="T11" s="1021"/>
    </row>
    <row r="12" spans="2:20" ht="15" customHeight="1" thickBot="1" x14ac:dyDescent="0.4">
      <c r="B12" s="736"/>
      <c r="C12" s="605" t="s">
        <v>576</v>
      </c>
      <c r="D12" s="606"/>
      <c r="E12" s="1145" t="s">
        <v>616</v>
      </c>
      <c r="F12" s="1146"/>
      <c r="G12" s="1146"/>
      <c r="H12" s="1146"/>
      <c r="I12" s="1146"/>
      <c r="J12" s="1146"/>
      <c r="K12" s="1146"/>
      <c r="L12" s="1147"/>
      <c r="M12" s="43"/>
      <c r="N12" s="43"/>
      <c r="O12" s="1016"/>
      <c r="P12" s="43"/>
      <c r="Q12" s="43"/>
      <c r="R12" s="43"/>
      <c r="S12" s="43"/>
      <c r="T12" s="737"/>
    </row>
    <row r="13" spans="2:20" x14ac:dyDescent="0.35">
      <c r="B13" s="736"/>
      <c r="C13" s="864" t="s">
        <v>781</v>
      </c>
      <c r="D13" s="1142" t="s">
        <v>615</v>
      </c>
      <c r="E13" s="920"/>
      <c r="F13" s="921" t="s">
        <v>386</v>
      </c>
      <c r="G13" s="921"/>
      <c r="H13" s="921"/>
      <c r="I13" s="921"/>
      <c r="J13" s="921"/>
      <c r="K13" s="921"/>
      <c r="L13" s="922"/>
      <c r="M13" s="43"/>
      <c r="N13" s="43"/>
      <c r="O13" s="43"/>
      <c r="P13" s="43"/>
      <c r="Q13" s="43"/>
      <c r="R13" s="43"/>
      <c r="S13" s="43"/>
      <c r="T13" s="737"/>
    </row>
    <row r="14" spans="2:20" ht="14.5" customHeight="1" x14ac:dyDescent="0.35">
      <c r="B14" s="736"/>
      <c r="C14" s="865" t="s">
        <v>782</v>
      </c>
      <c r="D14" s="1143"/>
      <c r="E14" s="923"/>
      <c r="F14" s="924"/>
      <c r="G14" s="924"/>
      <c r="H14" s="924" t="s">
        <v>386</v>
      </c>
      <c r="I14" s="924"/>
      <c r="J14" s="924"/>
      <c r="K14" s="924"/>
      <c r="L14" s="925"/>
      <c r="M14" s="43"/>
      <c r="N14" s="43"/>
      <c r="O14" s="43"/>
      <c r="P14" s="43"/>
      <c r="Q14" s="43"/>
      <c r="R14" s="43"/>
      <c r="S14" s="43"/>
      <c r="T14" s="737"/>
    </row>
    <row r="15" spans="2:20" ht="14.5" customHeight="1" x14ac:dyDescent="0.35">
      <c r="B15" s="736"/>
      <c r="C15" s="865" t="s">
        <v>783</v>
      </c>
      <c r="D15" s="1143"/>
      <c r="E15" s="923"/>
      <c r="F15" s="924"/>
      <c r="G15" s="924"/>
      <c r="H15" s="924"/>
      <c r="I15" s="924"/>
      <c r="J15" s="924" t="s">
        <v>386</v>
      </c>
      <c r="K15" s="924"/>
      <c r="L15" s="925"/>
      <c r="M15" s="43"/>
      <c r="N15" s="43"/>
      <c r="O15" s="43"/>
      <c r="P15" s="43"/>
      <c r="Q15" s="43"/>
      <c r="R15" s="43"/>
      <c r="S15" s="43"/>
      <c r="T15" s="737"/>
    </row>
    <row r="16" spans="2:20" ht="14.5" customHeight="1" x14ac:dyDescent="0.35">
      <c r="B16" s="736"/>
      <c r="C16" s="866" t="s">
        <v>784</v>
      </c>
      <c r="D16" s="1144"/>
      <c r="E16" s="923"/>
      <c r="F16" s="924"/>
      <c r="G16" s="924"/>
      <c r="H16" s="924"/>
      <c r="I16" s="924"/>
      <c r="J16" s="924"/>
      <c r="K16" s="924"/>
      <c r="L16" s="925" t="s">
        <v>386</v>
      </c>
      <c r="M16" s="43"/>
      <c r="N16" s="43"/>
      <c r="O16" s="43"/>
      <c r="P16" s="43"/>
      <c r="Q16" s="43"/>
      <c r="R16" s="43"/>
      <c r="S16" s="43"/>
      <c r="T16" s="737"/>
    </row>
    <row r="17" spans="2:20" x14ac:dyDescent="0.35">
      <c r="B17" s="738"/>
      <c r="C17" s="868" t="s">
        <v>691</v>
      </c>
      <c r="D17" s="543" t="s">
        <v>390</v>
      </c>
      <c r="E17" s="544">
        <v>0.3</v>
      </c>
      <c r="F17" s="545">
        <v>0.4</v>
      </c>
      <c r="G17" s="545">
        <v>0.5</v>
      </c>
      <c r="H17" s="545">
        <v>0.6</v>
      </c>
      <c r="I17" s="545">
        <v>0.7</v>
      </c>
      <c r="J17" s="490">
        <v>0.8</v>
      </c>
      <c r="K17" s="545">
        <v>0.9</v>
      </c>
      <c r="L17" s="546">
        <v>1</v>
      </c>
      <c r="M17" s="43"/>
      <c r="N17" s="43"/>
      <c r="O17" s="43"/>
      <c r="P17" s="43"/>
      <c r="Q17" s="43"/>
      <c r="R17" s="43"/>
      <c r="S17" s="43"/>
      <c r="T17" s="737"/>
    </row>
    <row r="18" spans="2:20" ht="14.5" thickBot="1" x14ac:dyDescent="0.4">
      <c r="B18" s="736"/>
      <c r="C18" s="867" t="s">
        <v>417</v>
      </c>
      <c r="D18" s="547" t="s">
        <v>418</v>
      </c>
      <c r="E18" s="548"/>
      <c r="F18" s="549">
        <v>1</v>
      </c>
      <c r="G18" s="549"/>
      <c r="H18" s="549">
        <v>2</v>
      </c>
      <c r="I18" s="549"/>
      <c r="J18" s="569">
        <v>2.5</v>
      </c>
      <c r="K18" s="549"/>
      <c r="L18" s="550">
        <v>3</v>
      </c>
      <c r="M18" s="43"/>
      <c r="N18" s="43"/>
      <c r="O18" s="43"/>
      <c r="P18" s="43"/>
      <c r="Q18" s="43"/>
      <c r="R18" s="43"/>
      <c r="S18" s="43"/>
      <c r="T18" s="737"/>
    </row>
    <row r="19" spans="2:20" x14ac:dyDescent="0.35">
      <c r="B19" s="736"/>
      <c r="C19" s="54"/>
      <c r="D19" s="54"/>
      <c r="E19" s="962"/>
      <c r="F19" s="962"/>
      <c r="G19" s="962"/>
      <c r="H19" s="962"/>
      <c r="I19" s="962"/>
      <c r="J19" s="962"/>
      <c r="K19" s="962"/>
      <c r="L19" s="962"/>
      <c r="M19" s="43"/>
      <c r="N19" s="43"/>
      <c r="O19" s="43"/>
      <c r="P19" s="43"/>
      <c r="Q19" s="43"/>
      <c r="R19" s="43"/>
      <c r="S19" s="43"/>
      <c r="T19" s="737"/>
    </row>
    <row r="20" spans="2:20" ht="14.5" thickBot="1" x14ac:dyDescent="0.4">
      <c r="B20" s="736"/>
      <c r="C20" s="622" t="s">
        <v>814</v>
      </c>
      <c r="D20" s="54"/>
      <c r="E20" s="962"/>
      <c r="F20" s="962"/>
      <c r="G20" s="962"/>
      <c r="H20" s="962"/>
      <c r="I20" s="962"/>
      <c r="J20" s="962"/>
      <c r="K20" s="962"/>
      <c r="L20" s="962"/>
      <c r="M20" s="43"/>
      <c r="N20" s="43"/>
      <c r="O20" s="43"/>
      <c r="P20" s="43"/>
      <c r="Q20" s="43"/>
      <c r="R20" s="43"/>
      <c r="S20" s="43"/>
      <c r="T20" s="737"/>
    </row>
    <row r="21" spans="2:20" ht="28" customHeight="1" x14ac:dyDescent="0.35">
      <c r="B21" s="738"/>
      <c r="C21" s="393" t="s">
        <v>609</v>
      </c>
      <c r="D21" s="496" t="s">
        <v>53</v>
      </c>
      <c r="E21" s="496" t="s">
        <v>777</v>
      </c>
      <c r="F21" s="496" t="s">
        <v>778</v>
      </c>
      <c r="G21" s="496" t="s">
        <v>779</v>
      </c>
      <c r="H21" s="497" t="s">
        <v>780</v>
      </c>
      <c r="I21" s="1156" t="s">
        <v>395</v>
      </c>
      <c r="J21" s="1157"/>
      <c r="K21" s="1157"/>
      <c r="L21" s="1157"/>
      <c r="M21" s="1158"/>
      <c r="N21" s="1153" t="s">
        <v>396</v>
      </c>
      <c r="O21" s="1154"/>
      <c r="P21" s="1154"/>
      <c r="Q21" s="1154"/>
      <c r="R21" s="1154"/>
      <c r="S21" s="1155"/>
      <c r="T21" s="737"/>
    </row>
    <row r="22" spans="2:20" s="269" customFormat="1" x14ac:dyDescent="0.35">
      <c r="B22" s="736"/>
      <c r="C22" s="539"/>
      <c r="D22" s="259"/>
      <c r="E22" s="280"/>
      <c r="F22" s="280"/>
      <c r="G22" s="280"/>
      <c r="H22" s="508" t="s">
        <v>615</v>
      </c>
      <c r="I22" s="609"/>
      <c r="J22" s="610" t="s">
        <v>386</v>
      </c>
      <c r="K22" s="610"/>
      <c r="L22" s="610"/>
      <c r="M22" s="611"/>
      <c r="N22" s="609"/>
      <c r="O22" s="610"/>
      <c r="P22" s="610"/>
      <c r="Q22" s="610" t="s">
        <v>386</v>
      </c>
      <c r="R22" s="610"/>
      <c r="S22" s="611"/>
      <c r="T22" s="740"/>
    </row>
    <row r="23" spans="2:20" x14ac:dyDescent="0.35">
      <c r="B23" s="736"/>
      <c r="C23" s="542" t="s">
        <v>385</v>
      </c>
      <c r="D23" s="541" t="s">
        <v>612</v>
      </c>
      <c r="E23" s="575">
        <v>3500</v>
      </c>
      <c r="F23" s="575">
        <v>3500</v>
      </c>
      <c r="G23" s="575">
        <v>3500</v>
      </c>
      <c r="H23" s="575">
        <v>3500</v>
      </c>
      <c r="I23" s="498"/>
      <c r="J23" s="307"/>
      <c r="K23" s="251"/>
      <c r="L23" s="37"/>
      <c r="M23" s="499"/>
      <c r="N23" s="498"/>
      <c r="O23" s="37"/>
      <c r="P23" s="37"/>
      <c r="Q23" s="307"/>
      <c r="R23" s="37"/>
      <c r="S23" s="499"/>
      <c r="T23" s="737"/>
    </row>
    <row r="24" spans="2:20" hidden="1" outlineLevel="1" x14ac:dyDescent="0.35">
      <c r="B24" s="742"/>
      <c r="C24" s="580" t="s">
        <v>3</v>
      </c>
      <c r="D24" s="34" t="s">
        <v>612</v>
      </c>
      <c r="E24" s="576"/>
      <c r="F24" s="576"/>
      <c r="G24" s="576"/>
      <c r="H24" s="577"/>
      <c r="I24" s="500"/>
      <c r="J24" s="310"/>
      <c r="K24" s="46"/>
      <c r="L24" s="11"/>
      <c r="M24" s="501"/>
      <c r="N24" s="500"/>
      <c r="O24" s="11"/>
      <c r="P24" s="11"/>
      <c r="Q24" s="310"/>
      <c r="R24" s="11"/>
      <c r="S24" s="501"/>
      <c r="T24" s="737"/>
    </row>
    <row r="25" spans="2:20" s="134" customFormat="1" ht="14.5" collapsed="1" thickBot="1" x14ac:dyDescent="0.4">
      <c r="B25" s="736"/>
      <c r="C25" s="581" t="s">
        <v>394</v>
      </c>
      <c r="D25" s="538"/>
      <c r="E25" s="578">
        <f>E23+E24</f>
        <v>3500</v>
      </c>
      <c r="F25" s="578">
        <f t="shared" ref="F25:H25" si="0">F23+F24</f>
        <v>3500</v>
      </c>
      <c r="G25" s="578">
        <f t="shared" si="0"/>
        <v>3500</v>
      </c>
      <c r="H25" s="579">
        <f t="shared" si="0"/>
        <v>3500</v>
      </c>
      <c r="I25" s="502">
        <f>J25-0.5</f>
        <v>4</v>
      </c>
      <c r="J25" s="582">
        <f>K25-0.5</f>
        <v>4.5</v>
      </c>
      <c r="K25" s="1007">
        <v>5</v>
      </c>
      <c r="L25" s="503">
        <f>K25+0.5</f>
        <v>5.5</v>
      </c>
      <c r="M25" s="504">
        <f>L25+0.5</f>
        <v>6</v>
      </c>
      <c r="N25" s="505">
        <f>O25-300</f>
        <v>25400</v>
      </c>
      <c r="O25" s="506">
        <f>P25-300</f>
        <v>25700</v>
      </c>
      <c r="P25" s="506">
        <v>26000</v>
      </c>
      <c r="Q25" s="583">
        <f>P25+300</f>
        <v>26300</v>
      </c>
      <c r="R25" s="506">
        <f t="shared" ref="R25:S25" si="1">Q25+300</f>
        <v>26600</v>
      </c>
      <c r="S25" s="507">
        <f t="shared" si="1"/>
        <v>26900</v>
      </c>
      <c r="T25" s="743"/>
    </row>
    <row r="26" spans="2:20" x14ac:dyDescent="0.35">
      <c r="B26" s="736"/>
      <c r="C26" s="961"/>
      <c r="D26" s="961"/>
      <c r="E26" s="961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737"/>
    </row>
    <row r="27" spans="2:20" ht="14.5" thickBot="1" x14ac:dyDescent="0.4">
      <c r="B27" s="744"/>
      <c r="C27" s="623" t="s">
        <v>815</v>
      </c>
      <c r="D27" s="44"/>
      <c r="E27" s="44"/>
      <c r="F27" s="44"/>
      <c r="G27" s="44"/>
      <c r="H27" s="44"/>
      <c r="I27" s="620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737"/>
    </row>
    <row r="28" spans="2:20" ht="14.5" customHeight="1" x14ac:dyDescent="0.35">
      <c r="B28" s="744"/>
      <c r="C28" s="526" t="s">
        <v>268</v>
      </c>
      <c r="D28" s="1153" t="s">
        <v>377</v>
      </c>
      <c r="E28" s="1154"/>
      <c r="F28" s="1154"/>
      <c r="G28" s="1154"/>
      <c r="H28" s="1154"/>
      <c r="I28" s="1154"/>
      <c r="J28" s="1154"/>
      <c r="K28" s="1154"/>
      <c r="L28" s="1155"/>
      <c r="M28" s="1166" t="s">
        <v>393</v>
      </c>
      <c r="N28" s="1167"/>
      <c r="O28" s="1167"/>
      <c r="P28" s="1168"/>
      <c r="Q28" s="1159" t="s">
        <v>378</v>
      </c>
      <c r="R28" s="1160"/>
      <c r="S28" s="1161"/>
      <c r="T28" s="737"/>
    </row>
    <row r="29" spans="2:20" s="269" customFormat="1" x14ac:dyDescent="0.35">
      <c r="B29" s="744"/>
      <c r="C29" s="527" t="s">
        <v>615</v>
      </c>
      <c r="D29" s="609"/>
      <c r="E29" s="610"/>
      <c r="F29" s="610"/>
      <c r="G29" s="610" t="s">
        <v>386</v>
      </c>
      <c r="H29" s="610"/>
      <c r="I29" s="610"/>
      <c r="J29" s="610"/>
      <c r="K29" s="610"/>
      <c r="L29" s="611"/>
      <c r="M29" s="612"/>
      <c r="N29" s="613"/>
      <c r="O29" s="613" t="s">
        <v>386</v>
      </c>
      <c r="P29" s="614"/>
      <c r="Q29" s="615"/>
      <c r="R29" s="616" t="s">
        <v>386</v>
      </c>
      <c r="S29" s="617"/>
      <c r="T29" s="740"/>
    </row>
    <row r="30" spans="2:20" x14ac:dyDescent="0.35">
      <c r="B30" s="744"/>
      <c r="C30" s="528" t="s">
        <v>269</v>
      </c>
      <c r="D30" s="510">
        <f t="shared" ref="D30:E30" si="2">E30-500</f>
        <v>8500</v>
      </c>
      <c r="E30" s="489">
        <f t="shared" si="2"/>
        <v>9000</v>
      </c>
      <c r="F30" s="489">
        <f>G30-500</f>
        <v>9500</v>
      </c>
      <c r="G30" s="585">
        <v>10000</v>
      </c>
      <c r="H30" s="489">
        <f>G30+500</f>
        <v>10500</v>
      </c>
      <c r="I30" s="489">
        <f>H30+500</f>
        <v>11000</v>
      </c>
      <c r="J30" s="489">
        <f>I30+500</f>
        <v>11500</v>
      </c>
      <c r="K30" s="489">
        <f>J30+500</f>
        <v>12000</v>
      </c>
      <c r="L30" s="511">
        <f>K30+500</f>
        <v>12500</v>
      </c>
      <c r="M30" s="519">
        <v>0.3</v>
      </c>
      <c r="N30" s="490">
        <v>0.5</v>
      </c>
      <c r="O30" s="584">
        <v>0.8</v>
      </c>
      <c r="P30" s="520">
        <v>1</v>
      </c>
      <c r="Q30" s="519">
        <f>R30-1%</f>
        <v>6.0000000000000005E-2</v>
      </c>
      <c r="R30" s="584">
        <v>7.0000000000000007E-2</v>
      </c>
      <c r="S30" s="520">
        <f>R30+1%</f>
        <v>0.08</v>
      </c>
      <c r="T30" s="737"/>
    </row>
    <row r="31" spans="2:20" x14ac:dyDescent="0.35">
      <c r="B31" s="744"/>
      <c r="C31" s="529" t="s">
        <v>270</v>
      </c>
      <c r="D31" s="512">
        <f t="shared" ref="D31" si="3">E31-500</f>
        <v>8500</v>
      </c>
      <c r="E31" s="491">
        <f t="shared" ref="E31" si="4">F31-500</f>
        <v>9000</v>
      </c>
      <c r="F31" s="491">
        <f t="shared" ref="F31:F32" si="5">G31-500</f>
        <v>9500</v>
      </c>
      <c r="G31" s="586">
        <v>10000</v>
      </c>
      <c r="H31" s="491">
        <f t="shared" ref="H31:K31" si="6">G31+500</f>
        <v>10500</v>
      </c>
      <c r="I31" s="491">
        <f t="shared" si="6"/>
        <v>11000</v>
      </c>
      <c r="J31" s="491">
        <f t="shared" si="6"/>
        <v>11500</v>
      </c>
      <c r="K31" s="491">
        <f t="shared" si="6"/>
        <v>12000</v>
      </c>
      <c r="L31" s="513">
        <f t="shared" ref="L31" si="7">K31+500</f>
        <v>12500</v>
      </c>
      <c r="M31" s="521">
        <v>0.7</v>
      </c>
      <c r="N31" s="492">
        <v>0.5</v>
      </c>
      <c r="O31" s="587">
        <v>0.2</v>
      </c>
      <c r="P31" s="522">
        <v>0</v>
      </c>
      <c r="Q31" s="521">
        <f t="shared" ref="Q31:Q32" si="8">R31-1%</f>
        <v>9.0000000000000011E-2</v>
      </c>
      <c r="R31" s="587">
        <v>0.1</v>
      </c>
      <c r="S31" s="522">
        <f t="shared" ref="S31:S32" si="9">R31+1%</f>
        <v>0.11</v>
      </c>
      <c r="T31" s="737"/>
    </row>
    <row r="32" spans="2:20" x14ac:dyDescent="0.35">
      <c r="B32" s="744"/>
      <c r="C32" s="529" t="s">
        <v>271</v>
      </c>
      <c r="D32" s="512">
        <f t="shared" ref="D32" si="10">E32-500</f>
        <v>10500</v>
      </c>
      <c r="E32" s="491">
        <f t="shared" ref="E32" si="11">F32-500</f>
        <v>11000</v>
      </c>
      <c r="F32" s="491">
        <f t="shared" si="5"/>
        <v>11500</v>
      </c>
      <c r="G32" s="586">
        <v>12000</v>
      </c>
      <c r="H32" s="491">
        <f t="shared" ref="H32:K32" si="12">G32+500</f>
        <v>12500</v>
      </c>
      <c r="I32" s="491">
        <f t="shared" si="12"/>
        <v>13000</v>
      </c>
      <c r="J32" s="491">
        <f t="shared" si="12"/>
        <v>13500</v>
      </c>
      <c r="K32" s="491">
        <f t="shared" si="12"/>
        <v>14000</v>
      </c>
      <c r="L32" s="513">
        <f t="shared" ref="L32" si="13">K32+500</f>
        <v>14500</v>
      </c>
      <c r="M32" s="521">
        <v>0</v>
      </c>
      <c r="N32" s="492">
        <v>0</v>
      </c>
      <c r="O32" s="587">
        <v>0</v>
      </c>
      <c r="P32" s="522">
        <v>0</v>
      </c>
      <c r="Q32" s="521">
        <f t="shared" si="8"/>
        <v>0.04</v>
      </c>
      <c r="R32" s="587">
        <v>0.05</v>
      </c>
      <c r="S32" s="522">
        <f t="shared" si="9"/>
        <v>6.0000000000000005E-2</v>
      </c>
      <c r="T32" s="737"/>
    </row>
    <row r="33" spans="2:20" s="134" customFormat="1" ht="14.5" thickBot="1" x14ac:dyDescent="0.4">
      <c r="B33" s="744"/>
      <c r="C33" s="530" t="s">
        <v>272</v>
      </c>
      <c r="D33" s="514"/>
      <c r="E33" s="515"/>
      <c r="F33" s="515"/>
      <c r="G33" s="515"/>
      <c r="H33" s="515"/>
      <c r="I33" s="516"/>
      <c r="J33" s="517"/>
      <c r="K33" s="517"/>
      <c r="L33" s="518"/>
      <c r="M33" s="523">
        <f>SUM(M30:M32)</f>
        <v>1</v>
      </c>
      <c r="N33" s="524">
        <f t="shared" ref="N33:P33" si="14">SUM(N30:N32)</f>
        <v>1</v>
      </c>
      <c r="O33" s="524">
        <f t="shared" ref="O33" si="15">SUM(O30:O32)</f>
        <v>1</v>
      </c>
      <c r="P33" s="525">
        <f t="shared" si="14"/>
        <v>1</v>
      </c>
      <c r="Q33" s="523"/>
      <c r="R33" s="517"/>
      <c r="S33" s="518"/>
      <c r="T33" s="743"/>
    </row>
    <row r="34" spans="2:20" x14ac:dyDescent="0.35">
      <c r="B34" s="744"/>
      <c r="C34" s="55"/>
      <c r="D34" s="55"/>
      <c r="E34" s="620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737"/>
    </row>
    <row r="35" spans="2:20" ht="14.5" thickBot="1" x14ac:dyDescent="0.4">
      <c r="B35" s="744"/>
      <c r="C35" s="623" t="s">
        <v>816</v>
      </c>
      <c r="D35" s="620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737"/>
    </row>
    <row r="36" spans="2:20" x14ac:dyDescent="0.35">
      <c r="B36" s="744"/>
      <c r="C36" s="1153" t="s">
        <v>380</v>
      </c>
      <c r="D36" s="1154"/>
      <c r="E36" s="1154"/>
      <c r="F36" s="1155"/>
      <c r="G36" s="1153" t="s">
        <v>391</v>
      </c>
      <c r="H36" s="1154"/>
      <c r="I36" s="1154"/>
      <c r="J36" s="1155"/>
      <c r="K36" s="1148" t="s">
        <v>617</v>
      </c>
      <c r="L36" s="959"/>
      <c r="M36" s="43"/>
      <c r="N36" s="43"/>
      <c r="O36" s="43"/>
      <c r="P36" s="43"/>
      <c r="Q36" s="43"/>
      <c r="R36" s="43"/>
      <c r="S36" s="43"/>
      <c r="T36" s="737"/>
    </row>
    <row r="37" spans="2:20" x14ac:dyDescent="0.35">
      <c r="B37" s="744"/>
      <c r="C37" s="144" t="s">
        <v>381</v>
      </c>
      <c r="D37" s="1162" t="s">
        <v>379</v>
      </c>
      <c r="E37" s="1162"/>
      <c r="F37" s="1163"/>
      <c r="G37" s="144" t="s">
        <v>382</v>
      </c>
      <c r="H37" s="1164" t="s">
        <v>383</v>
      </c>
      <c r="I37" s="1164"/>
      <c r="J37" s="1165"/>
      <c r="K37" s="1149"/>
      <c r="L37" s="959"/>
      <c r="M37" s="43"/>
      <c r="N37" s="43"/>
      <c r="O37" s="43"/>
      <c r="P37" s="43"/>
      <c r="Q37" s="43"/>
      <c r="R37" s="43"/>
      <c r="S37" s="43"/>
      <c r="T37" s="737"/>
    </row>
    <row r="38" spans="2:20" s="269" customFormat="1" x14ac:dyDescent="0.35">
      <c r="B38" s="744"/>
      <c r="C38" s="509" t="s">
        <v>615</v>
      </c>
      <c r="D38" s="618"/>
      <c r="E38" s="618" t="s">
        <v>386</v>
      </c>
      <c r="F38" s="619"/>
      <c r="G38" s="509" t="s">
        <v>615</v>
      </c>
      <c r="H38" s="610"/>
      <c r="I38" s="610" t="s">
        <v>386</v>
      </c>
      <c r="J38" s="611"/>
      <c r="K38" s="758"/>
      <c r="L38" s="247"/>
      <c r="M38" s="247"/>
      <c r="N38" s="247"/>
      <c r="O38" s="247"/>
      <c r="P38" s="247"/>
      <c r="Q38" s="247"/>
      <c r="R38" s="247"/>
      <c r="S38" s="247"/>
      <c r="T38" s="740"/>
    </row>
    <row r="39" spans="2:20" x14ac:dyDescent="0.35">
      <c r="B39" s="744"/>
      <c r="C39" s="531" t="s">
        <v>363</v>
      </c>
      <c r="D39" s="489">
        <f>E39-500</f>
        <v>14500</v>
      </c>
      <c r="E39" s="585">
        <f>'[1]DG M-B'!$D$7</f>
        <v>15000</v>
      </c>
      <c r="F39" s="532">
        <f>E39+500</f>
        <v>15500</v>
      </c>
      <c r="G39" s="531" t="s">
        <v>370</v>
      </c>
      <c r="H39" s="489">
        <f>I39-500</f>
        <v>16500</v>
      </c>
      <c r="I39" s="585">
        <v>17000</v>
      </c>
      <c r="J39" s="532">
        <f>I39+500</f>
        <v>17500</v>
      </c>
      <c r="K39" s="759">
        <f>HLOOKUP("x",$H$38:$J$45,ROWS($H$38:$H39),0)-HLOOKUP("x",$D$38:$F$45,ROWS($H$38:$H39),0)</f>
        <v>2000</v>
      </c>
      <c r="L39" s="43"/>
      <c r="M39" s="960"/>
      <c r="N39" s="247"/>
      <c r="O39" s="43"/>
      <c r="P39" s="43"/>
      <c r="Q39" s="43"/>
      <c r="R39" s="43"/>
      <c r="S39" s="43"/>
      <c r="T39" s="737"/>
    </row>
    <row r="40" spans="2:20" x14ac:dyDescent="0.35">
      <c r="B40" s="744"/>
      <c r="C40" s="533" t="s">
        <v>364</v>
      </c>
      <c r="D40" s="491">
        <f t="shared" ref="D40:D45" si="16">E40-500</f>
        <v>13000</v>
      </c>
      <c r="E40" s="586">
        <f>'[1]DG M-B'!$D$9</f>
        <v>13500</v>
      </c>
      <c r="F40" s="534">
        <f t="shared" ref="F40:F45" si="17">E40+500</f>
        <v>14000</v>
      </c>
      <c r="G40" s="533" t="s">
        <v>371</v>
      </c>
      <c r="H40" s="491">
        <f t="shared" ref="H40:H45" si="18">I40-500</f>
        <v>15000</v>
      </c>
      <c r="I40" s="586">
        <v>15500</v>
      </c>
      <c r="J40" s="534">
        <f t="shared" ref="J40:J45" si="19">I40+500</f>
        <v>16000</v>
      </c>
      <c r="K40" s="760">
        <f>HLOOKUP("x",$H$38:$J$45,ROWS($H$38:$H40),0)-HLOOKUP("x",$D$38:$F$45,ROWS($H$38:$H40),0)</f>
        <v>2000</v>
      </c>
      <c r="L40" s="43"/>
      <c r="M40" s="960"/>
      <c r="N40" s="43"/>
      <c r="O40" s="43"/>
      <c r="P40" s="43"/>
      <c r="Q40" s="43"/>
      <c r="R40" s="43"/>
      <c r="S40" s="43"/>
      <c r="T40" s="737"/>
    </row>
    <row r="41" spans="2:20" x14ac:dyDescent="0.35">
      <c r="B41" s="744"/>
      <c r="C41" s="533" t="s">
        <v>365</v>
      </c>
      <c r="D41" s="491">
        <f t="shared" si="16"/>
        <v>11500</v>
      </c>
      <c r="E41" s="586">
        <v>12000</v>
      </c>
      <c r="F41" s="534">
        <f t="shared" si="17"/>
        <v>12500</v>
      </c>
      <c r="G41" s="533" t="s">
        <v>372</v>
      </c>
      <c r="H41" s="491">
        <f t="shared" si="18"/>
        <v>14000</v>
      </c>
      <c r="I41" s="586">
        <v>14500</v>
      </c>
      <c r="J41" s="534">
        <f t="shared" si="19"/>
        <v>15000</v>
      </c>
      <c r="K41" s="760">
        <f>HLOOKUP("x",$H$38:$J$45,ROWS($H$38:$H41),0)-HLOOKUP("x",$D$38:$F$45,ROWS($H$38:$H41),0)</f>
        <v>2500</v>
      </c>
      <c r="L41" s="43"/>
      <c r="M41" s="960"/>
      <c r="N41" s="43"/>
      <c r="O41" s="43"/>
      <c r="P41" s="43"/>
      <c r="Q41" s="43"/>
      <c r="R41" s="43"/>
      <c r="S41" s="43"/>
      <c r="T41" s="737"/>
    </row>
    <row r="42" spans="2:20" x14ac:dyDescent="0.35">
      <c r="B42" s="744"/>
      <c r="C42" s="533" t="s">
        <v>366</v>
      </c>
      <c r="D42" s="491">
        <f t="shared" si="16"/>
        <v>11500</v>
      </c>
      <c r="E42" s="586">
        <v>12000</v>
      </c>
      <c r="F42" s="534">
        <f t="shared" si="17"/>
        <v>12500</v>
      </c>
      <c r="G42" s="533" t="s">
        <v>373</v>
      </c>
      <c r="H42" s="491">
        <f t="shared" si="18"/>
        <v>14000</v>
      </c>
      <c r="I42" s="586">
        <v>14500</v>
      </c>
      <c r="J42" s="534">
        <f t="shared" si="19"/>
        <v>15000</v>
      </c>
      <c r="K42" s="760">
        <f>HLOOKUP("x",$H$38:$J$45,ROWS($H$38:$H42),0)-HLOOKUP("x",$D$38:$F$45,ROWS($H$38:$H42),0)</f>
        <v>2500</v>
      </c>
      <c r="L42" s="43"/>
      <c r="M42" s="960"/>
      <c r="N42" s="43"/>
      <c r="O42" s="43"/>
      <c r="P42" s="43"/>
      <c r="Q42" s="43"/>
      <c r="R42" s="43"/>
      <c r="S42" s="43"/>
      <c r="T42" s="737"/>
    </row>
    <row r="43" spans="2:20" x14ac:dyDescent="0.35">
      <c r="B43" s="744"/>
      <c r="C43" s="533" t="s">
        <v>367</v>
      </c>
      <c r="D43" s="491">
        <f t="shared" si="16"/>
        <v>13000</v>
      </c>
      <c r="E43" s="586">
        <f>'[1]DG M-B'!$D$9</f>
        <v>13500</v>
      </c>
      <c r="F43" s="534">
        <f t="shared" si="17"/>
        <v>14000</v>
      </c>
      <c r="G43" s="533" t="s">
        <v>374</v>
      </c>
      <c r="H43" s="491">
        <f t="shared" si="18"/>
        <v>16000</v>
      </c>
      <c r="I43" s="586">
        <v>16500</v>
      </c>
      <c r="J43" s="534">
        <f t="shared" si="19"/>
        <v>17000</v>
      </c>
      <c r="K43" s="760">
        <f>HLOOKUP("x",$H$38:$J$45,ROWS($H$38:$H43),0)-HLOOKUP("x",$D$38:$F$45,ROWS($H$38:$H43),0)</f>
        <v>3000</v>
      </c>
      <c r="L43" s="43"/>
      <c r="M43" s="960"/>
      <c r="N43" s="43"/>
      <c r="O43" s="43"/>
      <c r="P43" s="43"/>
      <c r="Q43" s="43"/>
      <c r="R43" s="43"/>
      <c r="S43" s="43"/>
      <c r="T43" s="737"/>
    </row>
    <row r="44" spans="2:20" ht="16" customHeight="1" x14ac:dyDescent="0.35">
      <c r="B44" s="744"/>
      <c r="C44" s="533" t="s">
        <v>368</v>
      </c>
      <c r="D44" s="491">
        <f t="shared" si="16"/>
        <v>7500</v>
      </c>
      <c r="E44" s="586">
        <v>8000</v>
      </c>
      <c r="F44" s="534">
        <f t="shared" si="17"/>
        <v>8500</v>
      </c>
      <c r="G44" s="533" t="s">
        <v>375</v>
      </c>
      <c r="H44" s="491">
        <f t="shared" si="18"/>
        <v>9500</v>
      </c>
      <c r="I44" s="586">
        <v>10000</v>
      </c>
      <c r="J44" s="534">
        <f t="shared" si="19"/>
        <v>10500</v>
      </c>
      <c r="K44" s="760">
        <f>HLOOKUP("x",$H$38:$J$45,ROWS($H$38:$H44),0)-HLOOKUP("x",$D$38:$F$45,ROWS($H$38:$H44),0)</f>
        <v>2000</v>
      </c>
      <c r="L44" s="43"/>
      <c r="M44" s="960"/>
      <c r="N44" s="43"/>
      <c r="O44" s="43"/>
      <c r="P44" s="43"/>
      <c r="Q44" s="43"/>
      <c r="R44" s="43"/>
      <c r="S44" s="43"/>
      <c r="T44" s="737"/>
    </row>
    <row r="45" spans="2:20" ht="17.5" customHeight="1" thickBot="1" x14ac:dyDescent="0.4">
      <c r="B45" s="744"/>
      <c r="C45" s="535" t="s">
        <v>369</v>
      </c>
      <c r="D45" s="536">
        <f t="shared" si="16"/>
        <v>7500</v>
      </c>
      <c r="E45" s="588">
        <v>8000</v>
      </c>
      <c r="F45" s="537">
        <f t="shared" si="17"/>
        <v>8500</v>
      </c>
      <c r="G45" s="535" t="s">
        <v>376</v>
      </c>
      <c r="H45" s="536">
        <f t="shared" si="18"/>
        <v>9500</v>
      </c>
      <c r="I45" s="588">
        <v>10000</v>
      </c>
      <c r="J45" s="537">
        <f t="shared" si="19"/>
        <v>10500</v>
      </c>
      <c r="K45" s="761">
        <f>HLOOKUP("x",$H$38:$J$45,ROWS($H$38:$H45),0)-HLOOKUP("x",$D$38:$F$45,ROWS($H$38:$H45),0)</f>
        <v>2000</v>
      </c>
      <c r="L45" s="43"/>
      <c r="M45" s="960"/>
      <c r="N45" s="43"/>
      <c r="O45" s="43"/>
      <c r="P45" s="43"/>
      <c r="Q45" s="43"/>
      <c r="R45" s="43"/>
      <c r="S45" s="43"/>
      <c r="T45" s="737"/>
    </row>
    <row r="46" spans="2:20" x14ac:dyDescent="0.35">
      <c r="B46" s="744"/>
      <c r="C46" s="43"/>
      <c r="D46" s="621"/>
      <c r="E46" s="43" t="s">
        <v>776</v>
      </c>
      <c r="F46" s="43"/>
      <c r="G46" s="43"/>
      <c r="H46" s="43"/>
      <c r="I46" s="43" t="s">
        <v>776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969"/>
    </row>
    <row r="47" spans="2:20" ht="14.5" thickBot="1" x14ac:dyDescent="0.4">
      <c r="B47" s="744"/>
      <c r="C47" s="623" t="s">
        <v>817</v>
      </c>
      <c r="D47" s="620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969"/>
    </row>
    <row r="48" spans="2:20" ht="30" customHeight="1" x14ac:dyDescent="0.35">
      <c r="B48" s="744"/>
      <c r="C48" s="526" t="s">
        <v>381</v>
      </c>
      <c r="D48" s="1150" t="s">
        <v>406</v>
      </c>
      <c r="E48" s="1151"/>
      <c r="F48" s="1152"/>
      <c r="G48" s="1150" t="s">
        <v>407</v>
      </c>
      <c r="H48" s="1151"/>
      <c r="I48" s="1152"/>
      <c r="J48" s="1150" t="s">
        <v>409</v>
      </c>
      <c r="K48" s="1151"/>
      <c r="L48" s="1152"/>
      <c r="M48" s="1156" t="s">
        <v>384</v>
      </c>
      <c r="N48" s="1157"/>
      <c r="O48" s="1158"/>
      <c r="P48" s="1153" t="s">
        <v>392</v>
      </c>
      <c r="Q48" s="1154"/>
      <c r="R48" s="1155"/>
      <c r="S48" s="43"/>
      <c r="T48" s="969"/>
    </row>
    <row r="49" spans="2:20" s="269" customFormat="1" x14ac:dyDescent="0.35">
      <c r="B49" s="744"/>
      <c r="C49" s="527" t="s">
        <v>615</v>
      </c>
      <c r="D49" s="612"/>
      <c r="E49" s="613" t="s">
        <v>386</v>
      </c>
      <c r="F49" s="614"/>
      <c r="G49" s="612"/>
      <c r="H49" s="613" t="s">
        <v>386</v>
      </c>
      <c r="I49" s="614"/>
      <c r="J49" s="612"/>
      <c r="K49" s="613" t="s">
        <v>386</v>
      </c>
      <c r="L49" s="614"/>
      <c r="M49" s="609" t="s">
        <v>386</v>
      </c>
      <c r="N49" s="610"/>
      <c r="O49" s="611"/>
      <c r="P49" s="609"/>
      <c r="Q49" s="610" t="s">
        <v>386</v>
      </c>
      <c r="R49" s="611"/>
      <c r="S49" s="247"/>
      <c r="T49" s="972"/>
    </row>
    <row r="50" spans="2:20" x14ac:dyDescent="0.35">
      <c r="B50" s="744"/>
      <c r="C50" s="528" t="s">
        <v>274</v>
      </c>
      <c r="D50" s="555">
        <f t="shared" ref="D50:L50" si="20">100%-SUM(D51:D57)</f>
        <v>0.65500000000000003</v>
      </c>
      <c r="E50" s="589">
        <f t="shared" si="20"/>
        <v>0.55999999999999994</v>
      </c>
      <c r="F50" s="556">
        <f t="shared" si="20"/>
        <v>0.59</v>
      </c>
      <c r="G50" s="555">
        <f t="shared" si="20"/>
        <v>0.625</v>
      </c>
      <c r="H50" s="589">
        <f t="shared" si="20"/>
        <v>0.495</v>
      </c>
      <c r="I50" s="556">
        <f t="shared" si="20"/>
        <v>0.55499999999999994</v>
      </c>
      <c r="J50" s="555">
        <f t="shared" si="20"/>
        <v>0.80499999999999994</v>
      </c>
      <c r="K50" s="589">
        <f t="shared" si="20"/>
        <v>0.73499999999999999</v>
      </c>
      <c r="L50" s="556">
        <f t="shared" si="20"/>
        <v>0.745</v>
      </c>
      <c r="M50" s="592">
        <f t="shared" ref="M50:O51" si="21">IF(ISNA(HLOOKUP("x",$D$5,1,0)),100%,0)</f>
        <v>0</v>
      </c>
      <c r="N50" s="490">
        <f t="shared" si="21"/>
        <v>0</v>
      </c>
      <c r="O50" s="520">
        <f t="shared" si="21"/>
        <v>0</v>
      </c>
      <c r="P50" s="519">
        <f>Q50-1%</f>
        <v>4.9999999999999996E-2</v>
      </c>
      <c r="Q50" s="584">
        <v>0.06</v>
      </c>
      <c r="R50" s="520">
        <f t="shared" ref="R50:R56" si="22">Q50+1%</f>
        <v>6.9999999999999993E-2</v>
      </c>
      <c r="S50" s="43"/>
      <c r="T50" s="969"/>
    </row>
    <row r="51" spans="2:20" x14ac:dyDescent="0.35">
      <c r="B51" s="744"/>
      <c r="C51" s="529" t="s">
        <v>275</v>
      </c>
      <c r="D51" s="557">
        <f>E51-1%</f>
        <v>6.0000000000000005E-2</v>
      </c>
      <c r="E51" s="590">
        <v>7.0000000000000007E-2</v>
      </c>
      <c r="F51" s="558">
        <f>E51+1%</f>
        <v>0.08</v>
      </c>
      <c r="G51" s="557">
        <f>H51-1%</f>
        <v>0.08</v>
      </c>
      <c r="H51" s="590">
        <v>0.09</v>
      </c>
      <c r="I51" s="558">
        <f>H51+1%</f>
        <v>9.9999999999999992E-2</v>
      </c>
      <c r="J51" s="557">
        <f>K51-1%</f>
        <v>-0.01</v>
      </c>
      <c r="K51" s="590"/>
      <c r="L51" s="558">
        <f>K51+1%</f>
        <v>0.01</v>
      </c>
      <c r="M51" s="593">
        <f t="shared" si="21"/>
        <v>0</v>
      </c>
      <c r="N51" s="492">
        <f t="shared" si="21"/>
        <v>0</v>
      </c>
      <c r="O51" s="522">
        <f t="shared" si="21"/>
        <v>0</v>
      </c>
      <c r="P51" s="521">
        <f t="shared" ref="P51:P56" si="23">Q51-1%</f>
        <v>6.0000000000000005E-2</v>
      </c>
      <c r="Q51" s="587">
        <v>7.0000000000000007E-2</v>
      </c>
      <c r="R51" s="522">
        <f t="shared" si="22"/>
        <v>0.08</v>
      </c>
      <c r="S51" s="43"/>
      <c r="T51" s="969"/>
    </row>
    <row r="52" spans="2:20" x14ac:dyDescent="0.35">
      <c r="B52" s="744"/>
      <c r="C52" s="529" t="s">
        <v>276</v>
      </c>
      <c r="D52" s="557">
        <f>E52-0.5%</f>
        <v>5.0000000000000001E-3</v>
      </c>
      <c r="E52" s="590">
        <v>0.01</v>
      </c>
      <c r="F52" s="558">
        <f>E52+0.5%</f>
        <v>1.4999999999999999E-2</v>
      </c>
      <c r="G52" s="557">
        <f>H52-0.5%</f>
        <v>5.0000000000000001E-3</v>
      </c>
      <c r="H52" s="590">
        <v>0.01</v>
      </c>
      <c r="I52" s="558">
        <f>H52+0.5%</f>
        <v>1.4999999999999999E-2</v>
      </c>
      <c r="J52" s="557">
        <f>K52-0.5%</f>
        <v>-5.0000000000000001E-3</v>
      </c>
      <c r="K52" s="590"/>
      <c r="L52" s="558">
        <f>K52+0.5%</f>
        <v>5.0000000000000001E-3</v>
      </c>
      <c r="M52" s="594"/>
      <c r="N52" s="492">
        <f t="shared" ref="N52:O54" si="24">IF(ISNA(HLOOKUP("x",$D$5,1,0)),100%,0)</f>
        <v>0</v>
      </c>
      <c r="O52" s="522">
        <f t="shared" si="24"/>
        <v>0</v>
      </c>
      <c r="P52" s="521">
        <f t="shared" si="23"/>
        <v>6.0000000000000005E-2</v>
      </c>
      <c r="Q52" s="587">
        <v>7.0000000000000007E-2</v>
      </c>
      <c r="R52" s="522">
        <f t="shared" si="22"/>
        <v>0.08</v>
      </c>
      <c r="S52" s="43"/>
      <c r="T52" s="969"/>
    </row>
    <row r="53" spans="2:20" x14ac:dyDescent="0.35">
      <c r="B53" s="744"/>
      <c r="C53" s="529" t="s">
        <v>277</v>
      </c>
      <c r="D53" s="557">
        <v>5.0000000000000001E-3</v>
      </c>
      <c r="E53" s="590">
        <v>5.0000000000000001E-3</v>
      </c>
      <c r="F53" s="558">
        <f>E53+0.5%</f>
        <v>0.01</v>
      </c>
      <c r="G53" s="557">
        <v>5.0000000000000001E-3</v>
      </c>
      <c r="H53" s="590">
        <v>0.01</v>
      </c>
      <c r="I53" s="558">
        <f>H53+0.5%</f>
        <v>1.4999999999999999E-2</v>
      </c>
      <c r="J53" s="557">
        <v>5.0000000000000001E-3</v>
      </c>
      <c r="K53" s="590"/>
      <c r="L53" s="558">
        <f>K53+0.5%</f>
        <v>5.0000000000000001E-3</v>
      </c>
      <c r="M53" s="594"/>
      <c r="N53" s="492">
        <f t="shared" si="24"/>
        <v>0</v>
      </c>
      <c r="O53" s="522">
        <f t="shared" si="24"/>
        <v>0</v>
      </c>
      <c r="P53" s="521">
        <f t="shared" si="23"/>
        <v>6.0000000000000005E-2</v>
      </c>
      <c r="Q53" s="587">
        <v>7.0000000000000007E-2</v>
      </c>
      <c r="R53" s="522">
        <f t="shared" si="22"/>
        <v>0.08</v>
      </c>
      <c r="S53" s="43"/>
      <c r="T53" s="969"/>
    </row>
    <row r="54" spans="2:20" x14ac:dyDescent="0.35">
      <c r="B54" s="744"/>
      <c r="C54" s="529" t="s">
        <v>278</v>
      </c>
      <c r="D54" s="557">
        <f>E54-1%</f>
        <v>0.26</v>
      </c>
      <c r="E54" s="590">
        <v>0.27</v>
      </c>
      <c r="F54" s="558">
        <f>E54+2%</f>
        <v>0.29000000000000004</v>
      </c>
      <c r="G54" s="557">
        <f>H54-1%</f>
        <v>0.27</v>
      </c>
      <c r="H54" s="590">
        <v>0.28000000000000003</v>
      </c>
      <c r="I54" s="558">
        <f>H54+2%</f>
        <v>0.30000000000000004</v>
      </c>
      <c r="J54" s="557">
        <f>K54-1%</f>
        <v>0.19</v>
      </c>
      <c r="K54" s="590">
        <v>0.2</v>
      </c>
      <c r="L54" s="558">
        <f>K54+2%</f>
        <v>0.22</v>
      </c>
      <c r="M54" s="593">
        <f>IF(ISNA(HLOOKUP("x",$D$5,1,0)),100%,0)</f>
        <v>0</v>
      </c>
      <c r="N54" s="492">
        <f t="shared" si="24"/>
        <v>0</v>
      </c>
      <c r="O54" s="522">
        <f t="shared" si="24"/>
        <v>0</v>
      </c>
      <c r="P54" s="521">
        <f t="shared" si="23"/>
        <v>7.0000000000000007E-2</v>
      </c>
      <c r="Q54" s="587">
        <v>0.08</v>
      </c>
      <c r="R54" s="522">
        <f t="shared" si="22"/>
        <v>0.09</v>
      </c>
      <c r="S54" s="43"/>
      <c r="T54" s="969"/>
    </row>
    <row r="55" spans="2:20" x14ac:dyDescent="0.35">
      <c r="B55" s="744"/>
      <c r="C55" s="529" t="s">
        <v>279</v>
      </c>
      <c r="D55" s="557">
        <v>5.0000000000000001E-3</v>
      </c>
      <c r="E55" s="590">
        <v>5.0000000000000001E-3</v>
      </c>
      <c r="F55" s="558">
        <v>5.0000000000000001E-3</v>
      </c>
      <c r="G55" s="557">
        <v>5.0000000000000001E-3</v>
      </c>
      <c r="H55" s="590">
        <v>5.0000000000000001E-3</v>
      </c>
      <c r="I55" s="558">
        <v>5.0000000000000001E-3</v>
      </c>
      <c r="J55" s="557">
        <v>5.0000000000000001E-3</v>
      </c>
      <c r="K55" s="590">
        <v>5.0000000000000001E-3</v>
      </c>
      <c r="L55" s="558">
        <v>5.0000000000000001E-3</v>
      </c>
      <c r="M55" s="593"/>
      <c r="N55" s="492"/>
      <c r="O55" s="522">
        <f>IF(ISNA(HLOOKUP("x",$D$5,1,0)),100%,0)</f>
        <v>0</v>
      </c>
      <c r="P55" s="521">
        <f t="shared" si="23"/>
        <v>0</v>
      </c>
      <c r="Q55" s="587">
        <v>0.01</v>
      </c>
      <c r="R55" s="522">
        <f t="shared" si="22"/>
        <v>0.02</v>
      </c>
      <c r="S55" s="43"/>
      <c r="T55" s="969"/>
    </row>
    <row r="56" spans="2:20" x14ac:dyDescent="0.35">
      <c r="B56" s="744"/>
      <c r="C56" s="529" t="s">
        <v>280</v>
      </c>
      <c r="D56" s="557">
        <v>0.01</v>
      </c>
      <c r="E56" s="590">
        <v>0.01</v>
      </c>
      <c r="F56" s="558">
        <v>0.01</v>
      </c>
      <c r="G56" s="557">
        <v>0.01</v>
      </c>
      <c r="H56" s="590">
        <v>0.01</v>
      </c>
      <c r="I56" s="558">
        <v>0.01</v>
      </c>
      <c r="J56" s="557">
        <v>0.01</v>
      </c>
      <c r="K56" s="590">
        <v>0.01</v>
      </c>
      <c r="L56" s="558">
        <v>0.01</v>
      </c>
      <c r="M56" s="593"/>
      <c r="N56" s="492"/>
      <c r="O56" s="522">
        <f>IF(ISNA(HLOOKUP("x",$D$5,1,0)),100%,0)</f>
        <v>0</v>
      </c>
      <c r="P56" s="521">
        <f t="shared" si="23"/>
        <v>0</v>
      </c>
      <c r="Q56" s="587">
        <v>0.01</v>
      </c>
      <c r="R56" s="522">
        <f t="shared" si="22"/>
        <v>0.02</v>
      </c>
      <c r="S56" s="43"/>
      <c r="T56" s="969"/>
    </row>
    <row r="57" spans="2:20" s="82" customFormat="1" x14ac:dyDescent="0.35">
      <c r="B57" s="744"/>
      <c r="C57" s="561" t="s">
        <v>408</v>
      </c>
      <c r="D57" s="559">
        <f>IF(D$49="x",HLOOKUP("x",$Q$29:$S$32,2,0),0)</f>
        <v>0</v>
      </c>
      <c r="E57" s="591">
        <f t="shared" ref="E57:L57" si="25">IF(E$49="x",HLOOKUP("x",$Q$29:$S$32,2,0),0)</f>
        <v>7.0000000000000007E-2</v>
      </c>
      <c r="F57" s="560">
        <f t="shared" si="25"/>
        <v>0</v>
      </c>
      <c r="G57" s="559">
        <f>IF(G$49="x",HLOOKUP("x",$Q$29:$S$32,2,0),0)</f>
        <v>0</v>
      </c>
      <c r="H57" s="591">
        <f>IF(H$49="x",HLOOKUP("x",$Q$29:$S$32,3,0),0)</f>
        <v>0.1</v>
      </c>
      <c r="I57" s="560">
        <f t="shared" si="25"/>
        <v>0</v>
      </c>
      <c r="J57" s="559">
        <f>IF(J$49="x",HLOOKUP("x",$Q$29:$S$32,2,0),0)</f>
        <v>0</v>
      </c>
      <c r="K57" s="591">
        <f>IF(K$49="x",HLOOKUP("x",$Q$29:$S$32,4,0),0)</f>
        <v>0.05</v>
      </c>
      <c r="L57" s="560">
        <f t="shared" si="25"/>
        <v>0</v>
      </c>
      <c r="M57" s="595"/>
      <c r="N57" s="493"/>
      <c r="O57" s="552"/>
      <c r="P57" s="551"/>
      <c r="Q57" s="596"/>
      <c r="R57" s="552"/>
      <c r="S57" s="973"/>
      <c r="T57" s="974"/>
    </row>
    <row r="58" spans="2:20" s="134" customFormat="1" ht="14.5" thickBot="1" x14ac:dyDescent="0.4">
      <c r="B58" s="744"/>
      <c r="C58" s="530" t="s">
        <v>273</v>
      </c>
      <c r="D58" s="523">
        <f>SUM(D50:D57)</f>
        <v>1</v>
      </c>
      <c r="E58" s="524">
        <f t="shared" ref="E58:I58" si="26">SUM(E50:E57)</f>
        <v>1</v>
      </c>
      <c r="F58" s="525">
        <f t="shared" si="26"/>
        <v>1</v>
      </c>
      <c r="G58" s="523">
        <f t="shared" si="26"/>
        <v>1</v>
      </c>
      <c r="H58" s="524">
        <f t="shared" si="26"/>
        <v>1</v>
      </c>
      <c r="I58" s="525">
        <f t="shared" si="26"/>
        <v>1</v>
      </c>
      <c r="J58" s="523">
        <f t="shared" ref="J58" si="27">SUM(J50:J57)</f>
        <v>0.99999999999999989</v>
      </c>
      <c r="K58" s="524">
        <f t="shared" ref="K58" si="28">SUM(K50:K57)</f>
        <v>1</v>
      </c>
      <c r="L58" s="525">
        <f t="shared" ref="L58" si="29">SUM(L50:L57)</f>
        <v>1</v>
      </c>
      <c r="M58" s="553"/>
      <c r="N58" s="516"/>
      <c r="O58" s="554"/>
      <c r="P58" s="553"/>
      <c r="Q58" s="516"/>
      <c r="R58" s="554"/>
      <c r="S58" s="328"/>
      <c r="T58" s="975"/>
    </row>
    <row r="59" spans="2:20" x14ac:dyDescent="0.35">
      <c r="B59" s="736"/>
      <c r="C59" s="43"/>
      <c r="D59" s="54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969"/>
    </row>
    <row r="60" spans="2:20" s="82" customFormat="1" ht="14.5" thickBot="1" x14ac:dyDescent="0.4">
      <c r="B60" s="1018"/>
      <c r="C60" s="1019" t="s">
        <v>818</v>
      </c>
      <c r="D60" s="1020"/>
      <c r="E60" s="973"/>
      <c r="F60" s="973"/>
      <c r="G60" s="973"/>
      <c r="H60" s="973"/>
      <c r="I60" s="973"/>
      <c r="J60" s="973"/>
      <c r="K60" s="973"/>
      <c r="L60" s="973"/>
      <c r="M60" s="973"/>
      <c r="N60" s="973"/>
      <c r="O60" s="973"/>
      <c r="P60" s="973"/>
      <c r="Q60" s="973"/>
      <c r="R60" s="973"/>
      <c r="S60" s="973"/>
      <c r="T60" s="1021"/>
    </row>
    <row r="61" spans="2:20" x14ac:dyDescent="0.35">
      <c r="B61" s="738"/>
      <c r="C61" s="393" t="s">
        <v>608</v>
      </c>
      <c r="D61" s="497" t="s">
        <v>404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737"/>
    </row>
    <row r="62" spans="2:20" x14ac:dyDescent="0.35">
      <c r="B62" s="736"/>
      <c r="C62" s="562" t="s">
        <v>405</v>
      </c>
      <c r="D62" s="556">
        <f>1/12</f>
        <v>8.3333333333333329E-2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737"/>
    </row>
    <row r="63" spans="2:20" x14ac:dyDescent="0.35">
      <c r="B63" s="736"/>
      <c r="C63" s="540" t="s">
        <v>129</v>
      </c>
      <c r="D63" s="558">
        <v>0.03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737"/>
    </row>
    <row r="64" spans="2:20" x14ac:dyDescent="0.35">
      <c r="B64" s="736"/>
      <c r="C64" s="540" t="s">
        <v>132</v>
      </c>
      <c r="D64" s="558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737"/>
    </row>
    <row r="65" spans="2:20" x14ac:dyDescent="0.35">
      <c r="B65" s="736"/>
      <c r="C65" s="540" t="s">
        <v>133</v>
      </c>
      <c r="D65" s="558">
        <v>0.05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737"/>
    </row>
    <row r="66" spans="2:20" ht="28" x14ac:dyDescent="0.35">
      <c r="B66" s="736"/>
      <c r="C66" s="500" t="s">
        <v>134</v>
      </c>
      <c r="D66" s="558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737"/>
    </row>
    <row r="67" spans="2:20" ht="28" x14ac:dyDescent="0.35">
      <c r="B67" s="736"/>
      <c r="C67" s="540" t="s">
        <v>135</v>
      </c>
      <c r="D67" s="558">
        <v>0.12</v>
      </c>
      <c r="E67" s="43"/>
      <c r="F67" s="43"/>
      <c r="G67" s="43"/>
      <c r="H67" s="43"/>
      <c r="I67" s="43"/>
      <c r="J67" s="968"/>
      <c r="K67" s="43"/>
      <c r="L67" s="43"/>
      <c r="M67" s="43"/>
      <c r="N67" s="43"/>
      <c r="O67" s="43"/>
      <c r="P67" s="43"/>
      <c r="Q67" s="43"/>
      <c r="R67" s="43"/>
      <c r="S67" s="43"/>
      <c r="T67" s="737"/>
    </row>
    <row r="68" spans="2:20" x14ac:dyDescent="0.35">
      <c r="B68" s="736"/>
      <c r="C68" s="540" t="s">
        <v>136</v>
      </c>
      <c r="D68" s="558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737"/>
    </row>
    <row r="69" spans="2:20" s="269" customFormat="1" ht="14.5" thickBot="1" x14ac:dyDescent="0.4">
      <c r="B69" s="736"/>
      <c r="C69" s="514" t="s">
        <v>273</v>
      </c>
      <c r="D69" s="563">
        <f>SUM(D62:D68)</f>
        <v>0.28333333333333333</v>
      </c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740"/>
    </row>
    <row r="70" spans="2:20" x14ac:dyDescent="0.35">
      <c r="B70" s="736"/>
      <c r="C70" s="43"/>
      <c r="D70" s="54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737"/>
    </row>
    <row r="71" spans="2:20" s="82" customFormat="1" ht="14.5" thickBot="1" x14ac:dyDescent="0.4">
      <c r="B71" s="1018"/>
      <c r="C71" s="1019" t="s">
        <v>819</v>
      </c>
      <c r="D71" s="1020"/>
      <c r="E71" s="973"/>
      <c r="F71" s="973"/>
      <c r="G71" s="973"/>
      <c r="H71" s="973"/>
      <c r="I71" s="973"/>
      <c r="J71" s="973"/>
      <c r="K71" s="973"/>
      <c r="L71" s="973"/>
      <c r="M71" s="973"/>
      <c r="N71" s="973"/>
      <c r="O71" s="973"/>
      <c r="P71" s="973"/>
      <c r="Q71" s="973"/>
      <c r="R71" s="973"/>
      <c r="S71" s="973"/>
      <c r="T71" s="1021"/>
    </row>
    <row r="72" spans="2:20" x14ac:dyDescent="0.35">
      <c r="B72" s="738"/>
      <c r="C72" s="393" t="s">
        <v>609</v>
      </c>
      <c r="D72" s="497" t="s">
        <v>404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737"/>
    </row>
    <row r="73" spans="2:20" x14ac:dyDescent="0.35">
      <c r="B73" s="736"/>
      <c r="C73" s="498" t="s">
        <v>385</v>
      </c>
      <c r="D73" s="763">
        <v>0.9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737"/>
    </row>
    <row r="74" spans="2:20" ht="14.5" thickBot="1" x14ac:dyDescent="0.4">
      <c r="B74" s="736"/>
      <c r="C74" s="564" t="s">
        <v>3</v>
      </c>
      <c r="D74" s="598">
        <v>0.1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737"/>
    </row>
    <row r="75" spans="2:20" x14ac:dyDescent="0.35">
      <c r="B75" s="736"/>
      <c r="C75" s="43"/>
      <c r="D75" s="54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737"/>
    </row>
    <row r="76" spans="2:20" ht="14.5" thickBot="1" x14ac:dyDescent="0.4">
      <c r="B76" s="736"/>
      <c r="C76" s="328" t="s">
        <v>820</v>
      </c>
      <c r="D76" s="54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737"/>
    </row>
    <row r="77" spans="2:20" x14ac:dyDescent="0.35">
      <c r="B77" s="738"/>
      <c r="C77" s="393" t="s">
        <v>576</v>
      </c>
      <c r="D77" s="497" t="s">
        <v>404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737"/>
    </row>
    <row r="78" spans="2:20" x14ac:dyDescent="0.35">
      <c r="B78" s="736"/>
      <c r="C78" s="565" t="s">
        <v>494</v>
      </c>
      <c r="D78" s="597">
        <v>0.7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737"/>
    </row>
    <row r="79" spans="2:20" x14ac:dyDescent="0.35">
      <c r="B79" s="736"/>
      <c r="C79" s="566" t="s">
        <v>493</v>
      </c>
      <c r="D79" s="599">
        <v>0.3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737"/>
    </row>
    <row r="80" spans="2:20" x14ac:dyDescent="0.35">
      <c r="B80" s="736"/>
      <c r="C80" s="857" t="s">
        <v>674</v>
      </c>
      <c r="D80" s="858">
        <v>8</v>
      </c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737"/>
    </row>
    <row r="81" spans="2:20" ht="14.5" thickBot="1" x14ac:dyDescent="0.4">
      <c r="B81" s="736"/>
      <c r="C81" s="567" t="s">
        <v>496</v>
      </c>
      <c r="D81" s="598">
        <v>7.0000000000000007E-2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737"/>
    </row>
    <row r="82" spans="2:20" x14ac:dyDescent="0.35">
      <c r="B82" s="736"/>
      <c r="C82" s="43"/>
      <c r="D82" s="54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737"/>
    </row>
    <row r="83" spans="2:20" ht="14.5" thickBot="1" x14ac:dyDescent="0.4">
      <c r="B83" s="736"/>
      <c r="C83" s="623" t="s">
        <v>821</v>
      </c>
      <c r="D83" s="54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969"/>
    </row>
    <row r="84" spans="2:20" x14ac:dyDescent="0.35">
      <c r="B84" s="738"/>
      <c r="C84" s="393" t="s">
        <v>576</v>
      </c>
      <c r="D84" s="600" t="s">
        <v>519</v>
      </c>
      <c r="E84" s="601" t="s">
        <v>517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969"/>
    </row>
    <row r="85" spans="2:20" x14ac:dyDescent="0.35">
      <c r="B85" s="736"/>
      <c r="C85" s="498" t="s">
        <v>518</v>
      </c>
      <c r="D85" s="494">
        <f>D78</f>
        <v>0.7</v>
      </c>
      <c r="E85" s="597">
        <f>D81</f>
        <v>7.0000000000000007E-2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969"/>
    </row>
    <row r="86" spans="2:20" x14ac:dyDescent="0.35">
      <c r="B86" s="736"/>
      <c r="C86" s="500" t="s">
        <v>493</v>
      </c>
      <c r="D86" s="495">
        <f>D79</f>
        <v>0.3</v>
      </c>
      <c r="E86" s="599">
        <v>0.12</v>
      </c>
      <c r="F86" s="9" t="s">
        <v>687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969"/>
    </row>
    <row r="87" spans="2:20" ht="14.5" thickBot="1" x14ac:dyDescent="0.4">
      <c r="B87" s="736"/>
      <c r="C87" s="567" t="s">
        <v>516</v>
      </c>
      <c r="D87" s="568">
        <f>SUMPRODUCT(D85:D86,E85:E86)</f>
        <v>8.4999999999999992E-2</v>
      </c>
      <c r="E87" s="547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969"/>
    </row>
    <row r="88" spans="2:20" x14ac:dyDescent="0.35">
      <c r="B88" s="736"/>
      <c r="C88" s="43"/>
      <c r="D88" s="54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969"/>
    </row>
    <row r="89" spans="2:20" ht="14.5" thickBot="1" x14ac:dyDescent="0.4">
      <c r="B89" s="736"/>
      <c r="C89" s="623" t="s">
        <v>822</v>
      </c>
      <c r="D89" s="54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969"/>
    </row>
    <row r="90" spans="2:20" x14ac:dyDescent="0.35">
      <c r="B90" s="738"/>
      <c r="C90" s="393" t="s">
        <v>267</v>
      </c>
      <c r="D90" s="497" t="s">
        <v>610</v>
      </c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969"/>
    </row>
    <row r="91" spans="2:20" x14ac:dyDescent="0.35">
      <c r="B91" s="736"/>
      <c r="C91" s="565" t="s">
        <v>491</v>
      </c>
      <c r="D91" s="602">
        <v>12</v>
      </c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737"/>
    </row>
    <row r="92" spans="2:20" x14ac:dyDescent="0.35">
      <c r="B92" s="736"/>
      <c r="C92" s="566" t="s">
        <v>492</v>
      </c>
      <c r="D92" s="603">
        <v>8</v>
      </c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737"/>
    </row>
    <row r="93" spans="2:20" ht="14.5" hidden="1" outlineLevel="1" thickBot="1" x14ac:dyDescent="0.4">
      <c r="B93" s="736"/>
      <c r="C93" s="564" t="s">
        <v>495</v>
      </c>
      <c r="D93" s="604">
        <v>20</v>
      </c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737"/>
    </row>
    <row r="94" spans="2:20" ht="9" customHeight="1" collapsed="1" thickBot="1" x14ac:dyDescent="0.4">
      <c r="B94" s="745"/>
      <c r="C94" s="970"/>
      <c r="D94" s="971"/>
      <c r="E94" s="970"/>
      <c r="F94" s="970"/>
      <c r="G94" s="970"/>
      <c r="H94" s="970"/>
      <c r="I94" s="970"/>
      <c r="J94" s="970"/>
      <c r="K94" s="970"/>
      <c r="L94" s="970"/>
      <c r="M94" s="970"/>
      <c r="N94" s="970"/>
      <c r="O94" s="970"/>
      <c r="P94" s="970"/>
      <c r="Q94" s="970"/>
      <c r="R94" s="970"/>
      <c r="S94" s="970"/>
      <c r="T94" s="746"/>
    </row>
    <row r="95" spans="2:20" x14ac:dyDescent="0.35">
      <c r="B95" s="140"/>
    </row>
    <row r="96" spans="2:20" x14ac:dyDescent="0.35">
      <c r="B96" s="140"/>
    </row>
    <row r="97" spans="2:2" x14ac:dyDescent="0.35">
      <c r="B97" s="140"/>
    </row>
    <row r="98" spans="2:2" x14ac:dyDescent="0.35">
      <c r="B98" s="140"/>
    </row>
    <row r="99" spans="2:2" x14ac:dyDescent="0.35">
      <c r="B99" s="140"/>
    </row>
    <row r="100" spans="2:2" x14ac:dyDescent="0.35">
      <c r="B100" s="140"/>
    </row>
    <row r="101" spans="2:2" x14ac:dyDescent="0.35">
      <c r="B101" s="140"/>
    </row>
    <row r="102" spans="2:2" x14ac:dyDescent="0.35">
      <c r="B102" s="140"/>
    </row>
    <row r="103" spans="2:2" x14ac:dyDescent="0.35">
      <c r="B103" s="140"/>
    </row>
    <row r="104" spans="2:2" x14ac:dyDescent="0.35">
      <c r="B104" s="140"/>
    </row>
    <row r="105" spans="2:2" x14ac:dyDescent="0.35">
      <c r="B105" s="140"/>
    </row>
    <row r="106" spans="2:2" x14ac:dyDescent="0.35">
      <c r="B106" s="140"/>
    </row>
    <row r="107" spans="2:2" x14ac:dyDescent="0.35">
      <c r="B107" s="140"/>
    </row>
    <row r="108" spans="2:2" x14ac:dyDescent="0.35">
      <c r="B108" s="140"/>
    </row>
    <row r="109" spans="2:2" x14ac:dyDescent="0.35">
      <c r="B109" s="140"/>
    </row>
    <row r="110" spans="2:2" x14ac:dyDescent="0.35">
      <c r="B110" s="140"/>
    </row>
    <row r="111" spans="2:2" x14ac:dyDescent="0.35">
      <c r="B111" s="140"/>
    </row>
    <row r="112" spans="2:2" x14ac:dyDescent="0.35">
      <c r="B112" s="140"/>
    </row>
    <row r="113" spans="2:2" x14ac:dyDescent="0.35">
      <c r="B113" s="140"/>
    </row>
    <row r="114" spans="2:2" x14ac:dyDescent="0.35">
      <c r="B114" s="140"/>
    </row>
    <row r="115" spans="2:2" x14ac:dyDescent="0.35">
      <c r="B115" s="140"/>
    </row>
    <row r="116" spans="2:2" x14ac:dyDescent="0.35">
      <c r="B116" s="140"/>
    </row>
    <row r="117" spans="2:2" x14ac:dyDescent="0.35">
      <c r="B117" s="140"/>
    </row>
    <row r="118" spans="2:2" x14ac:dyDescent="0.35">
      <c r="B118" s="140"/>
    </row>
    <row r="119" spans="2:2" x14ac:dyDescent="0.35">
      <c r="B119" s="140"/>
    </row>
    <row r="120" spans="2:2" x14ac:dyDescent="0.35">
      <c r="B120" s="140"/>
    </row>
    <row r="121" spans="2:2" x14ac:dyDescent="0.35">
      <c r="B121" s="140"/>
    </row>
    <row r="122" spans="2:2" x14ac:dyDescent="0.35">
      <c r="B122" s="140"/>
    </row>
    <row r="123" spans="2:2" x14ac:dyDescent="0.35">
      <c r="B123" s="140"/>
    </row>
    <row r="124" spans="2:2" x14ac:dyDescent="0.35">
      <c r="B124" s="140"/>
    </row>
    <row r="125" spans="2:2" x14ac:dyDescent="0.35">
      <c r="B125" s="140"/>
    </row>
    <row r="126" spans="2:2" x14ac:dyDescent="0.35">
      <c r="B126" s="140"/>
    </row>
    <row r="127" spans="2:2" x14ac:dyDescent="0.35">
      <c r="B127" s="140"/>
    </row>
    <row r="128" spans="2:2" x14ac:dyDescent="0.35">
      <c r="B128" s="140"/>
    </row>
    <row r="129" spans="2:2" x14ac:dyDescent="0.35">
      <c r="B129" s="140"/>
    </row>
    <row r="130" spans="2:2" x14ac:dyDescent="0.35">
      <c r="B130" s="140"/>
    </row>
    <row r="131" spans="2:2" x14ac:dyDescent="0.35">
      <c r="B131" s="140"/>
    </row>
    <row r="132" spans="2:2" x14ac:dyDescent="0.35">
      <c r="B132" s="140"/>
    </row>
    <row r="133" spans="2:2" x14ac:dyDescent="0.35">
      <c r="B133" s="140"/>
    </row>
    <row r="134" spans="2:2" x14ac:dyDescent="0.35">
      <c r="B134" s="140"/>
    </row>
    <row r="135" spans="2:2" x14ac:dyDescent="0.35">
      <c r="B135" s="140"/>
    </row>
    <row r="136" spans="2:2" x14ac:dyDescent="0.35">
      <c r="B136" s="140"/>
    </row>
    <row r="137" spans="2:2" x14ac:dyDescent="0.35">
      <c r="B137" s="140"/>
    </row>
    <row r="138" spans="2:2" x14ac:dyDescent="0.35">
      <c r="B138" s="140"/>
    </row>
    <row r="139" spans="2:2" x14ac:dyDescent="0.35">
      <c r="B139" s="140"/>
    </row>
    <row r="140" spans="2:2" x14ac:dyDescent="0.35">
      <c r="B140" s="140"/>
    </row>
    <row r="141" spans="2:2" x14ac:dyDescent="0.35">
      <c r="B141" s="140"/>
    </row>
    <row r="142" spans="2:2" x14ac:dyDescent="0.35">
      <c r="B142" s="140"/>
    </row>
    <row r="143" spans="2:2" x14ac:dyDescent="0.35">
      <c r="B143" s="140"/>
    </row>
    <row r="144" spans="2:2" x14ac:dyDescent="0.35">
      <c r="B144" s="140"/>
    </row>
    <row r="145" spans="2:2" x14ac:dyDescent="0.35">
      <c r="B145" s="140"/>
    </row>
    <row r="146" spans="2:2" x14ac:dyDescent="0.35">
      <c r="B146" s="140"/>
    </row>
    <row r="147" spans="2:2" x14ac:dyDescent="0.35">
      <c r="B147" s="140"/>
    </row>
    <row r="148" spans="2:2" x14ac:dyDescent="0.35">
      <c r="B148" s="140"/>
    </row>
    <row r="149" spans="2:2" x14ac:dyDescent="0.35">
      <c r="B149" s="140"/>
    </row>
    <row r="150" spans="2:2" x14ac:dyDescent="0.35">
      <c r="B150" s="140"/>
    </row>
    <row r="151" spans="2:2" x14ac:dyDescent="0.35">
      <c r="B151" s="140"/>
    </row>
    <row r="152" spans="2:2" x14ac:dyDescent="0.35">
      <c r="B152" s="140"/>
    </row>
    <row r="153" spans="2:2" x14ac:dyDescent="0.35">
      <c r="B153" s="140"/>
    </row>
    <row r="154" spans="2:2" x14ac:dyDescent="0.35">
      <c r="B154" s="140"/>
    </row>
    <row r="155" spans="2:2" x14ac:dyDescent="0.35">
      <c r="B155" s="140"/>
    </row>
    <row r="156" spans="2:2" x14ac:dyDescent="0.35">
      <c r="B156" s="140"/>
    </row>
    <row r="157" spans="2:2" x14ac:dyDescent="0.35">
      <c r="B157" s="140"/>
    </row>
    <row r="158" spans="2:2" x14ac:dyDescent="0.35">
      <c r="B158" s="140"/>
    </row>
    <row r="159" spans="2:2" x14ac:dyDescent="0.35">
      <c r="B159" s="140"/>
    </row>
    <row r="160" spans="2:2" x14ac:dyDescent="0.35">
      <c r="B160" s="140"/>
    </row>
    <row r="161" spans="2:2" x14ac:dyDescent="0.35">
      <c r="B161" s="140"/>
    </row>
    <row r="162" spans="2:2" x14ac:dyDescent="0.35">
      <c r="B162" s="140"/>
    </row>
    <row r="163" spans="2:2" x14ac:dyDescent="0.35">
      <c r="B163" s="140"/>
    </row>
    <row r="164" spans="2:2" x14ac:dyDescent="0.35">
      <c r="B164" s="140"/>
    </row>
    <row r="165" spans="2:2" x14ac:dyDescent="0.35">
      <c r="B165" s="140"/>
    </row>
    <row r="166" spans="2:2" x14ac:dyDescent="0.35">
      <c r="B166" s="140"/>
    </row>
    <row r="167" spans="2:2" x14ac:dyDescent="0.35">
      <c r="B167" s="140"/>
    </row>
    <row r="168" spans="2:2" x14ac:dyDescent="0.35">
      <c r="B168" s="140"/>
    </row>
    <row r="169" spans="2:2" x14ac:dyDescent="0.35">
      <c r="B169" s="140"/>
    </row>
    <row r="170" spans="2:2" x14ac:dyDescent="0.35">
      <c r="B170" s="140"/>
    </row>
    <row r="171" spans="2:2" x14ac:dyDescent="0.35">
      <c r="B171" s="140"/>
    </row>
    <row r="172" spans="2:2" x14ac:dyDescent="0.35">
      <c r="B172" s="140"/>
    </row>
    <row r="173" spans="2:2" x14ac:dyDescent="0.35">
      <c r="B173" s="140"/>
    </row>
    <row r="174" spans="2:2" x14ac:dyDescent="0.35">
      <c r="B174" s="140"/>
    </row>
    <row r="175" spans="2:2" x14ac:dyDescent="0.35">
      <c r="B175" s="140"/>
    </row>
    <row r="176" spans="2:2" x14ac:dyDescent="0.35">
      <c r="B176" s="140"/>
    </row>
    <row r="177" spans="2:2" x14ac:dyDescent="0.35">
      <c r="B177" s="140"/>
    </row>
    <row r="178" spans="2:2" x14ac:dyDescent="0.35">
      <c r="B178" s="140"/>
    </row>
    <row r="179" spans="2:2" x14ac:dyDescent="0.35">
      <c r="B179" s="140"/>
    </row>
    <row r="180" spans="2:2" x14ac:dyDescent="0.35">
      <c r="B180" s="140"/>
    </row>
    <row r="181" spans="2:2" x14ac:dyDescent="0.35">
      <c r="B181" s="140"/>
    </row>
    <row r="182" spans="2:2" x14ac:dyDescent="0.35">
      <c r="B182" s="140"/>
    </row>
  </sheetData>
  <mergeCells count="17">
    <mergeCell ref="G48:I48"/>
    <mergeCell ref="D13:D16"/>
    <mergeCell ref="E12:L12"/>
    <mergeCell ref="K36:K37"/>
    <mergeCell ref="J48:L48"/>
    <mergeCell ref="P48:R48"/>
    <mergeCell ref="D48:F48"/>
    <mergeCell ref="M48:O48"/>
    <mergeCell ref="I21:M21"/>
    <mergeCell ref="Q28:S28"/>
    <mergeCell ref="D37:F37"/>
    <mergeCell ref="H37:J37"/>
    <mergeCell ref="C36:F36"/>
    <mergeCell ref="G36:J36"/>
    <mergeCell ref="M28:P28"/>
    <mergeCell ref="D28:L28"/>
    <mergeCell ref="N21:S21"/>
  </mergeCells>
  <phoneticPr fontId="5" type="noConversion"/>
  <printOptions horizontalCentered="1"/>
  <pageMargins left="0" right="0" top="0" bottom="0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8B4D-334B-48C0-9BAE-2F1D6E1E5C58}">
  <sheetPr>
    <tabColor rgb="FFFFC000"/>
  </sheetPr>
  <dimension ref="A2:X105"/>
  <sheetViews>
    <sheetView tabSelected="1" zoomScale="85" zoomScaleNormal="85" workbookViewId="0">
      <selection activeCell="M19" sqref="M19"/>
    </sheetView>
  </sheetViews>
  <sheetFormatPr defaultRowHeight="14" x14ac:dyDescent="0.3"/>
  <cols>
    <col min="1" max="1" width="8.7265625" style="3"/>
    <col min="2" max="2" width="28.08984375" style="3" customWidth="1"/>
    <col min="3" max="6" width="12.1796875" style="3" customWidth="1"/>
    <col min="7" max="16384" width="8.7265625" style="3"/>
  </cols>
  <sheetData>
    <row r="2" spans="1:7" x14ac:dyDescent="0.3">
      <c r="B2" s="255" t="s">
        <v>668</v>
      </c>
    </row>
    <row r="3" spans="1:7" ht="28" x14ac:dyDescent="0.3">
      <c r="B3" s="132" t="s">
        <v>381</v>
      </c>
      <c r="C3" s="132" t="s">
        <v>273</v>
      </c>
      <c r="D3" s="132" t="s">
        <v>793</v>
      </c>
      <c r="E3" s="132" t="s">
        <v>794</v>
      </c>
      <c r="F3" s="132" t="s">
        <v>795</v>
      </c>
      <c r="G3" s="132" t="s">
        <v>796</v>
      </c>
    </row>
    <row r="4" spans="1:7" x14ac:dyDescent="0.3">
      <c r="B4" s="806" t="s">
        <v>669</v>
      </c>
      <c r="C4" s="1012">
        <f>G.Định!E9</f>
        <v>1000000</v>
      </c>
      <c r="D4" s="815">
        <f>G.Định!F9</f>
        <v>1000000</v>
      </c>
      <c r="E4" s="815">
        <f>G.Định!F9</f>
        <v>1000000</v>
      </c>
      <c r="F4" s="815">
        <f>G.Định!G9</f>
        <v>1000000</v>
      </c>
      <c r="G4" s="815">
        <f>G.Định!H9</f>
        <v>1000000</v>
      </c>
    </row>
    <row r="5" spans="1:7" x14ac:dyDescent="0.3">
      <c r="B5" s="805" t="s">
        <v>670</v>
      </c>
      <c r="C5" s="1013">
        <f>SUM(D5:G5)</f>
        <v>22190006000</v>
      </c>
      <c r="D5" s="854">
        <f>'CAP.Chính'!G5</f>
        <v>16230006000</v>
      </c>
      <c r="E5" s="854">
        <f>'CAP.Chính'!G43</f>
        <v>4035000000</v>
      </c>
      <c r="F5" s="854">
        <f>'CAP.Phụ'!G9</f>
        <v>1724000000</v>
      </c>
      <c r="G5" s="854">
        <f>'CAP.Phụ'!G14</f>
        <v>201000000</v>
      </c>
    </row>
    <row r="6" spans="1:7" x14ac:dyDescent="0.3">
      <c r="B6" s="805" t="s">
        <v>671</v>
      </c>
      <c r="C6" s="1013"/>
      <c r="D6" s="854"/>
      <c r="E6" s="854"/>
      <c r="F6" s="854"/>
      <c r="G6" s="854"/>
    </row>
    <row r="7" spans="1:7" x14ac:dyDescent="0.3">
      <c r="B7" s="853" t="s">
        <v>672</v>
      </c>
      <c r="C7" s="1014">
        <f>SUM(C5:C6)</f>
        <v>22190006000</v>
      </c>
      <c r="D7" s="855">
        <f t="shared" ref="D7:G7" si="0">SUM(D5:D6)</f>
        <v>16230006000</v>
      </c>
      <c r="E7" s="855">
        <f t="shared" si="0"/>
        <v>4035000000</v>
      </c>
      <c r="F7" s="855">
        <f t="shared" si="0"/>
        <v>1724000000</v>
      </c>
      <c r="G7" s="855">
        <f t="shared" si="0"/>
        <v>201000000</v>
      </c>
    </row>
    <row r="11" spans="1:7" x14ac:dyDescent="0.3">
      <c r="A11" s="10"/>
      <c r="B11" s="255" t="s">
        <v>627</v>
      </c>
    </row>
    <row r="12" spans="1:7" x14ac:dyDescent="0.3">
      <c r="A12" s="10"/>
      <c r="B12" s="132" t="s">
        <v>381</v>
      </c>
      <c r="C12" s="132" t="s">
        <v>777</v>
      </c>
      <c r="D12" s="132" t="s">
        <v>778</v>
      </c>
      <c r="E12" s="132" t="s">
        <v>779</v>
      </c>
      <c r="F12" s="132" t="s">
        <v>780</v>
      </c>
    </row>
    <row r="13" spans="1:7" x14ac:dyDescent="0.3">
      <c r="A13" s="10"/>
      <c r="B13" s="806" t="s">
        <v>621</v>
      </c>
      <c r="C13" s="815">
        <f>S.Lượng!C7</f>
        <v>400000</v>
      </c>
      <c r="D13" s="815">
        <f>S.Lượng!D7</f>
        <v>600000</v>
      </c>
      <c r="E13" s="815">
        <f>S.Lượng!E7</f>
        <v>800000</v>
      </c>
      <c r="F13" s="815">
        <f>S.Lượng!F7</f>
        <v>1000000</v>
      </c>
    </row>
    <row r="14" spans="1:7" x14ac:dyDescent="0.3">
      <c r="A14" s="10"/>
      <c r="B14" s="805" t="s">
        <v>628</v>
      </c>
      <c r="C14" s="816">
        <f>S.Lượng!C40</f>
        <v>369600</v>
      </c>
      <c r="D14" s="816">
        <f>S.Lượng!D40</f>
        <v>554400</v>
      </c>
      <c r="E14" s="816">
        <f>S.Lượng!E40</f>
        <v>739200</v>
      </c>
      <c r="F14" s="816">
        <f>S.Lượng!F40</f>
        <v>924000</v>
      </c>
    </row>
    <row r="15" spans="1:7" x14ac:dyDescent="0.3">
      <c r="B15" s="805" t="s">
        <v>629</v>
      </c>
      <c r="C15" s="816">
        <f>S.Lượng!C29</f>
        <v>0</v>
      </c>
      <c r="D15" s="816">
        <f>S.Lượng!D29</f>
        <v>0</v>
      </c>
      <c r="E15" s="816">
        <f>S.Lượng!E29</f>
        <v>0</v>
      </c>
      <c r="F15" s="816">
        <f>S.Lượng!F29</f>
        <v>0</v>
      </c>
    </row>
    <row r="16" spans="1:7" x14ac:dyDescent="0.3">
      <c r="B16" s="806" t="s">
        <v>622</v>
      </c>
      <c r="C16" s="817">
        <f>G.Định!E9</f>
        <v>1000000</v>
      </c>
      <c r="D16" s="817">
        <f>G.Định!F9</f>
        <v>1000000</v>
      </c>
      <c r="E16" s="817">
        <f>G.Định!G9</f>
        <v>1000000</v>
      </c>
      <c r="F16" s="817">
        <f>G.Định!H9</f>
        <v>1000000</v>
      </c>
    </row>
    <row r="17" spans="2:6" x14ac:dyDescent="0.3">
      <c r="B17" s="806" t="s">
        <v>623</v>
      </c>
      <c r="C17" s="817">
        <f>C16</f>
        <v>1000000</v>
      </c>
      <c r="D17" s="817">
        <f t="shared" ref="D17:F17" si="1">D16</f>
        <v>1000000</v>
      </c>
      <c r="E17" s="817">
        <f t="shared" si="1"/>
        <v>1000000</v>
      </c>
      <c r="F17" s="817">
        <f t="shared" si="1"/>
        <v>1000000</v>
      </c>
    </row>
    <row r="18" spans="2:6" x14ac:dyDescent="0.3">
      <c r="B18" s="805" t="s">
        <v>624</v>
      </c>
      <c r="C18" s="807">
        <f>C13/C16</f>
        <v>0.4</v>
      </c>
      <c r="D18" s="807">
        <f t="shared" ref="D18:F18" si="2">D13/D16</f>
        <v>0.6</v>
      </c>
      <c r="E18" s="807">
        <f t="shared" si="2"/>
        <v>0.8</v>
      </c>
      <c r="F18" s="807">
        <f t="shared" si="2"/>
        <v>1</v>
      </c>
    </row>
    <row r="19" spans="2:6" x14ac:dyDescent="0.3">
      <c r="B19" s="805" t="s">
        <v>625</v>
      </c>
      <c r="C19" s="807">
        <f>S.Lượng!C54/B.đồ!C17</f>
        <v>0</v>
      </c>
      <c r="D19" s="807">
        <f>S.Lượng!D54/B.đồ!D17</f>
        <v>0</v>
      </c>
      <c r="E19" s="807">
        <f>S.Lượng!E54/B.đồ!E17</f>
        <v>0</v>
      </c>
      <c r="F19" s="807">
        <f>S.Lượng!F54/B.đồ!F17</f>
        <v>0</v>
      </c>
    </row>
    <row r="22" spans="2:6" x14ac:dyDescent="0.3">
      <c r="B22" s="255" t="s">
        <v>630</v>
      </c>
    </row>
    <row r="23" spans="2:6" x14ac:dyDescent="0.3">
      <c r="B23" s="132" t="s">
        <v>381</v>
      </c>
      <c r="C23" s="132" t="s">
        <v>777</v>
      </c>
      <c r="D23" s="132" t="s">
        <v>778</v>
      </c>
      <c r="E23" s="132" t="s">
        <v>779</v>
      </c>
      <c r="F23" s="132" t="s">
        <v>780</v>
      </c>
    </row>
    <row r="24" spans="2:6" x14ac:dyDescent="0.3">
      <c r="B24" s="804" t="s">
        <v>631</v>
      </c>
      <c r="C24" s="822">
        <f>KQKD!H5</f>
        <v>63302400000</v>
      </c>
      <c r="D24" s="822">
        <f>KQKD!I5</f>
        <v>94953600000</v>
      </c>
      <c r="E24" s="822">
        <f>KQKD!J5</f>
        <v>126604800000</v>
      </c>
      <c r="F24" s="822">
        <f>KQKD!K5</f>
        <v>158256000000</v>
      </c>
    </row>
    <row r="25" spans="2:6" x14ac:dyDescent="0.3">
      <c r="B25" s="819" t="s">
        <v>632</v>
      </c>
      <c r="C25" s="823">
        <f>KQKD!H28</f>
        <v>12982154059.130432</v>
      </c>
      <c r="D25" s="823">
        <f>KQKD!I28</f>
        <v>19473231088.695648</v>
      </c>
      <c r="E25" s="823">
        <f>KQKD!J28</f>
        <v>25964308118.260864</v>
      </c>
      <c r="F25" s="823">
        <f>KQKD!K28</f>
        <v>32455385147.82608</v>
      </c>
    </row>
    <row r="26" spans="2:6" s="818" customFormat="1" ht="14.5" x14ac:dyDescent="0.35">
      <c r="B26" s="820" t="s">
        <v>633</v>
      </c>
      <c r="C26" s="821">
        <f>KQKD!H29</f>
        <v>0.20508154602559195</v>
      </c>
      <c r="D26" s="821">
        <f>KQKD!I29</f>
        <v>0.20508154602559195</v>
      </c>
      <c r="E26" s="821">
        <f>KQKD!J29</f>
        <v>0.20508154602559195</v>
      </c>
      <c r="F26" s="821">
        <f>KQKD!K29</f>
        <v>0.20508154602559195</v>
      </c>
    </row>
    <row r="27" spans="2:6" x14ac:dyDescent="0.3">
      <c r="B27" s="819" t="s">
        <v>634</v>
      </c>
      <c r="C27" s="823">
        <f>KQKD!H103</f>
        <v>-2906074726.5618744</v>
      </c>
      <c r="D27" s="823">
        <f>KQKD!I103</f>
        <v>1100764919.3257477</v>
      </c>
      <c r="E27" s="823">
        <f>KQKD!J103</f>
        <v>4962127219.9009981</v>
      </c>
      <c r="F27" s="823">
        <f>KQKD!K103</f>
        <v>9684071920.4762478</v>
      </c>
    </row>
    <row r="28" spans="2:6" s="818" customFormat="1" ht="14.5" x14ac:dyDescent="0.35">
      <c r="B28" s="820" t="s">
        <v>635</v>
      </c>
      <c r="C28" s="821">
        <f>KQKD!H104</f>
        <v>-4.5907812761631063E-2</v>
      </c>
      <c r="D28" s="821">
        <f>KQKD!I104</f>
        <v>1.1592661250608169E-2</v>
      </c>
      <c r="E28" s="821">
        <f>KQKD!J104</f>
        <v>3.9193831670687039E-2</v>
      </c>
      <c r="F28" s="821">
        <f>KQKD!K104</f>
        <v>6.119244717720812E-2</v>
      </c>
    </row>
    <row r="29" spans="2:6" x14ac:dyDescent="0.3">
      <c r="B29" s="819" t="s">
        <v>309</v>
      </c>
      <c r="C29" s="823">
        <f>KQKD!H105</f>
        <v>-976699226.56187415</v>
      </c>
      <c r="D29" s="823">
        <f>KQKD!I105</f>
        <v>3030140419.325748</v>
      </c>
      <c r="E29" s="823">
        <f>KQKD!J105</f>
        <v>6891502719.9009981</v>
      </c>
      <c r="F29" s="823">
        <f>KQKD!K105</f>
        <v>11613447420.476248</v>
      </c>
    </row>
    <row r="30" spans="2:6" s="818" customFormat="1" ht="14.5" x14ac:dyDescent="0.35">
      <c r="B30" s="820" t="s">
        <v>636</v>
      </c>
      <c r="C30" s="821">
        <f>KQKD!H106</f>
        <v>-1.5429102633737018E-2</v>
      </c>
      <c r="D30" s="821">
        <f>KQKD!I106</f>
        <v>3.1911801335870869E-2</v>
      </c>
      <c r="E30" s="821">
        <f>KQKD!J106</f>
        <v>5.4433186734634056E-2</v>
      </c>
      <c r="F30" s="821">
        <f>KQKD!K106</f>
        <v>7.3383931228365729E-2</v>
      </c>
    </row>
    <row r="36" spans="2:24" x14ac:dyDescent="0.3">
      <c r="B36" s="132" t="s">
        <v>576</v>
      </c>
      <c r="C36" s="132" t="s">
        <v>777</v>
      </c>
      <c r="D36" s="132" t="s">
        <v>778</v>
      </c>
      <c r="E36" s="132" t="s">
        <v>779</v>
      </c>
      <c r="F36" s="132" t="s">
        <v>780</v>
      </c>
    </row>
    <row r="37" spans="2:24" x14ac:dyDescent="0.3">
      <c r="B37" s="827" t="s">
        <v>286</v>
      </c>
      <c r="C37" s="823">
        <f>KQKD!H7</f>
        <v>50320245940.869568</v>
      </c>
      <c r="D37" s="1030">
        <f>KQKD!I7</f>
        <v>75480368911.304352</v>
      </c>
      <c r="E37" s="1030">
        <f>KQKD!J7</f>
        <v>100640491881.73914</v>
      </c>
      <c r="F37" s="1030">
        <f>KQKD!K7</f>
        <v>125800614852.17392</v>
      </c>
    </row>
    <row r="38" spans="2:24" s="829" customFormat="1" ht="14.5" x14ac:dyDescent="0.35">
      <c r="B38" s="830" t="s">
        <v>639</v>
      </c>
      <c r="C38" s="831">
        <f>C37/C41</f>
        <v>0.76002726461665215</v>
      </c>
      <c r="D38" s="831">
        <f t="shared" ref="D38:F38" si="3">D37/D41</f>
        <v>0.80660685400046572</v>
      </c>
      <c r="E38" s="831">
        <f t="shared" si="3"/>
        <v>0.83586962047902813</v>
      </c>
      <c r="F38" s="831">
        <f t="shared" si="3"/>
        <v>0.8607583405851561</v>
      </c>
    </row>
    <row r="39" spans="2:24" x14ac:dyDescent="0.3">
      <c r="B39" s="827" t="s">
        <v>297</v>
      </c>
      <c r="C39" s="823">
        <f>KQKD!H31</f>
        <v>15888228785.692307</v>
      </c>
      <c r="D39" s="1030">
        <f>KQKD!I31</f>
        <v>18097274939.538464</v>
      </c>
      <c r="E39" s="1030">
        <f>KQKD!J31</f>
        <v>19761649093.384617</v>
      </c>
      <c r="F39" s="1030">
        <f>KQKD!K31</f>
        <v>20350295247.23077</v>
      </c>
    </row>
    <row r="40" spans="2:24" s="829" customFormat="1" ht="14.5" x14ac:dyDescent="0.35">
      <c r="B40" s="830" t="s">
        <v>640</v>
      </c>
      <c r="C40" s="831">
        <f>C39/C41</f>
        <v>0.23997273538334785</v>
      </c>
      <c r="D40" s="831">
        <f t="shared" ref="D40:F40" si="4">D39/D41</f>
        <v>0.19339314599953425</v>
      </c>
      <c r="E40" s="831">
        <f t="shared" si="4"/>
        <v>0.16413037952097184</v>
      </c>
      <c r="F40" s="831">
        <f t="shared" si="4"/>
        <v>0.13924165941484384</v>
      </c>
      <c r="O40" s="3"/>
    </row>
    <row r="41" spans="2:24" ht="14.5" x14ac:dyDescent="0.35">
      <c r="B41" s="827" t="s">
        <v>641</v>
      </c>
      <c r="C41" s="823">
        <f>C37+C39</f>
        <v>66208474726.561874</v>
      </c>
      <c r="D41" s="823">
        <f t="shared" ref="D41:F41" si="5">D37+D39</f>
        <v>93577643850.842819</v>
      </c>
      <c r="E41" s="823">
        <f t="shared" si="5"/>
        <v>120402140975.12375</v>
      </c>
      <c r="F41" s="823">
        <f t="shared" si="5"/>
        <v>146150910099.40469</v>
      </c>
      <c r="X41" s="829"/>
    </row>
    <row r="42" spans="2:24" s="829" customFormat="1" ht="14.5" x14ac:dyDescent="0.35">
      <c r="B42" s="830" t="s">
        <v>644</v>
      </c>
      <c r="C42" s="831">
        <f>C41/C24</f>
        <v>1.045907812761631</v>
      </c>
      <c r="D42" s="831">
        <f t="shared" ref="D42:F42" si="6">D41/D24</f>
        <v>0.98550917343673983</v>
      </c>
      <c r="E42" s="831">
        <f t="shared" si="6"/>
        <v>0.95100771041164123</v>
      </c>
      <c r="F42" s="831">
        <f t="shared" si="6"/>
        <v>0.92350944102848986</v>
      </c>
      <c r="O42" s="3"/>
    </row>
    <row r="44" spans="2:24" x14ac:dyDescent="0.3">
      <c r="B44" s="132" t="s">
        <v>286</v>
      </c>
      <c r="C44" s="132" t="s">
        <v>777</v>
      </c>
      <c r="D44" s="132" t="s">
        <v>778</v>
      </c>
      <c r="E44" s="132" t="s">
        <v>779</v>
      </c>
      <c r="F44" s="132" t="s">
        <v>780</v>
      </c>
    </row>
    <row r="45" spans="2:24" x14ac:dyDescent="0.3">
      <c r="B45" s="826" t="s">
        <v>289</v>
      </c>
      <c r="C45" s="823">
        <f>KQKD!H10</f>
        <v>831600000</v>
      </c>
      <c r="D45" s="823">
        <f>KQKD!I10</f>
        <v>1247400000</v>
      </c>
      <c r="E45" s="823">
        <f>KQKD!J10</f>
        <v>1663200000</v>
      </c>
      <c r="F45" s="823">
        <f>KQKD!K10</f>
        <v>2079000000</v>
      </c>
    </row>
    <row r="46" spans="2:24" ht="14.5" x14ac:dyDescent="0.35">
      <c r="B46" s="830" t="s">
        <v>642</v>
      </c>
      <c r="C46" s="832">
        <f>C45/C49</f>
        <v>1.6526151342288718E-2</v>
      </c>
      <c r="D46" s="832">
        <f t="shared" ref="D46:F46" si="7">D45/D49</f>
        <v>1.6526151342288718E-2</v>
      </c>
      <c r="E46" s="832">
        <f t="shared" si="7"/>
        <v>1.6526151342288718E-2</v>
      </c>
      <c r="F46" s="832">
        <f t="shared" si="7"/>
        <v>1.6526151342288718E-2</v>
      </c>
    </row>
    <row r="47" spans="2:24" x14ac:dyDescent="0.3">
      <c r="B47" s="826" t="s">
        <v>290</v>
      </c>
      <c r="C47" s="823">
        <f>KQKD!H13</f>
        <v>49488645940.869568</v>
      </c>
      <c r="D47" s="823">
        <f>KQKD!I13</f>
        <v>74232968911.304352</v>
      </c>
      <c r="E47" s="823">
        <f>KQKD!J13</f>
        <v>98977291881.739136</v>
      </c>
      <c r="F47" s="823">
        <f>KQKD!K13</f>
        <v>123721614852.17392</v>
      </c>
    </row>
    <row r="48" spans="2:24" ht="14.5" x14ac:dyDescent="0.35">
      <c r="B48" s="830" t="s">
        <v>643</v>
      </c>
      <c r="C48" s="832">
        <f>C47/C49</f>
        <v>0.98347384865771126</v>
      </c>
      <c r="D48" s="832">
        <f t="shared" ref="D48:F48" si="8">D47/D49</f>
        <v>0.98347384865771126</v>
      </c>
      <c r="E48" s="832">
        <f t="shared" si="8"/>
        <v>0.98347384865771126</v>
      </c>
      <c r="F48" s="832">
        <f t="shared" si="8"/>
        <v>0.98347384865771126</v>
      </c>
    </row>
    <row r="49" spans="2:6" s="8" customFormat="1" x14ac:dyDescent="0.3">
      <c r="B49" s="828" t="s">
        <v>637</v>
      </c>
      <c r="C49" s="1029">
        <f>C37</f>
        <v>50320245940.869568</v>
      </c>
      <c r="D49" s="1029">
        <f>D37</f>
        <v>75480368911.304352</v>
      </c>
      <c r="E49" s="1029">
        <f>E37</f>
        <v>100640491881.73914</v>
      </c>
      <c r="F49" s="1029">
        <f>F37</f>
        <v>125800614852.17392</v>
      </c>
    </row>
    <row r="50" spans="2:6" x14ac:dyDescent="0.3">
      <c r="B50" s="825"/>
    </row>
    <row r="51" spans="2:6" x14ac:dyDescent="0.3">
      <c r="B51" s="132" t="s">
        <v>297</v>
      </c>
      <c r="C51" s="132" t="s">
        <v>777</v>
      </c>
      <c r="D51" s="132" t="s">
        <v>778</v>
      </c>
      <c r="E51" s="132" t="s">
        <v>779</v>
      </c>
      <c r="F51" s="132" t="s">
        <v>780</v>
      </c>
    </row>
    <row r="52" spans="2:6" x14ac:dyDescent="0.3">
      <c r="B52" s="826" t="s">
        <v>329</v>
      </c>
      <c r="C52" s="823">
        <f>KQKD!H34</f>
        <v>5442379379.6923075</v>
      </c>
      <c r="D52" s="823">
        <f>KQKD!I34</f>
        <v>5526225533.5384617</v>
      </c>
      <c r="E52" s="823">
        <f>KQKD!J34</f>
        <v>5610071687.3846149</v>
      </c>
      <c r="F52" s="823">
        <f>KQKD!K34</f>
        <v>5705917841.2307692</v>
      </c>
    </row>
    <row r="53" spans="2:6" ht="14.5" x14ac:dyDescent="0.35">
      <c r="B53" s="830" t="s">
        <v>647</v>
      </c>
      <c r="C53" s="831">
        <f>C52/C$62</f>
        <v>0.34254160442309894</v>
      </c>
      <c r="D53" s="831">
        <f t="shared" ref="D53:F53" si="9">D52/D$62</f>
        <v>0.30536230189357988</v>
      </c>
      <c r="E53" s="831">
        <f t="shared" si="9"/>
        <v>0.28388681839627622</v>
      </c>
      <c r="F53" s="831">
        <f t="shared" si="9"/>
        <v>0.28038501515142489</v>
      </c>
    </row>
    <row r="54" spans="2:6" x14ac:dyDescent="0.3">
      <c r="B54" s="826" t="s">
        <v>330</v>
      </c>
      <c r="C54" s="823">
        <f>KQKD!H47</f>
        <v>1419613612</v>
      </c>
      <c r="D54" s="823">
        <f>KQKD!I47</f>
        <v>1419613612</v>
      </c>
      <c r="E54" s="823">
        <f>KQKD!J47</f>
        <v>1419613612</v>
      </c>
      <c r="F54" s="823">
        <f>KQKD!K47</f>
        <v>1419613612</v>
      </c>
    </row>
    <row r="55" spans="2:6" ht="14.5" x14ac:dyDescent="0.35">
      <c r="B55" s="830" t="s">
        <v>646</v>
      </c>
      <c r="C55" s="831">
        <f>C54/C$62</f>
        <v>8.9350023287579586E-2</v>
      </c>
      <c r="D55" s="831">
        <f t="shared" ref="D55" si="10">D54/D$62</f>
        <v>7.8443501396912779E-2</v>
      </c>
      <c r="E55" s="831">
        <f t="shared" ref="E55" si="11">E54/E$62</f>
        <v>7.1836798907396249E-2</v>
      </c>
      <c r="F55" s="831">
        <f t="shared" ref="F55" si="12">F54/F$62</f>
        <v>6.9758870559540331E-2</v>
      </c>
    </row>
    <row r="56" spans="2:6" x14ac:dyDescent="0.3">
      <c r="B56" s="826" t="s">
        <v>331</v>
      </c>
      <c r="C56" s="823">
        <f>KQKD!H66</f>
        <v>6009550000</v>
      </c>
      <c r="D56" s="823">
        <f>KQKD!I66</f>
        <v>8134750000</v>
      </c>
      <c r="E56" s="823">
        <f>KQKD!J66</f>
        <v>9715278000</v>
      </c>
      <c r="F56" s="823">
        <f>KQKD!K66</f>
        <v>10208078000</v>
      </c>
    </row>
    <row r="57" spans="2:6" ht="14.5" x14ac:dyDescent="0.35">
      <c r="B57" s="830" t="s">
        <v>645</v>
      </c>
      <c r="C57" s="831">
        <f>C56/C$62</f>
        <v>0.37823914050203822</v>
      </c>
      <c r="D57" s="831">
        <f t="shared" ref="D57" si="13">D56/D$62</f>
        <v>0.4495013767087887</v>
      </c>
      <c r="E57" s="831">
        <f t="shared" ref="E57" si="14">E56/E$62</f>
        <v>0.49162283745096319</v>
      </c>
      <c r="F57" s="831">
        <f t="shared" ref="F57" si="15">F56/F$62</f>
        <v>0.5016181768364808</v>
      </c>
    </row>
    <row r="58" spans="2:6" x14ac:dyDescent="0.3">
      <c r="B58" s="826" t="s">
        <v>152</v>
      </c>
      <c r="C58" s="824">
        <f>KQKD!H92</f>
        <v>1087310294.0000002</v>
      </c>
      <c r="D58" s="824">
        <f>KQKD!I92</f>
        <v>1087310294.0000002</v>
      </c>
      <c r="E58" s="824">
        <f>KQKD!J92</f>
        <v>1087310294.0000002</v>
      </c>
      <c r="F58" s="824">
        <f>KQKD!K92</f>
        <v>1087310294.0000002</v>
      </c>
    </row>
    <row r="59" spans="2:6" ht="14.5" x14ac:dyDescent="0.35">
      <c r="B59" s="830" t="s">
        <v>648</v>
      </c>
      <c r="C59" s="831">
        <f>C58/C$62</f>
        <v>6.8434959533006393E-2</v>
      </c>
      <c r="D59" s="831">
        <f t="shared" ref="D59" si="16">D58/D$62</f>
        <v>6.0081437544194705E-2</v>
      </c>
      <c r="E59" s="831">
        <f t="shared" ref="E59" si="17">E58/E$62</f>
        <v>5.5021232735277481E-2</v>
      </c>
      <c r="F59" s="831">
        <f t="shared" ref="F59" si="18">F58/F$62</f>
        <v>5.3429706094704418E-2</v>
      </c>
    </row>
    <row r="60" spans="2:6" x14ac:dyDescent="0.3">
      <c r="B60" s="826" t="s">
        <v>301</v>
      </c>
      <c r="C60" s="823">
        <f>KQKD!H95</f>
        <v>1929375500.0000002</v>
      </c>
      <c r="D60" s="823">
        <f>KQKD!I95</f>
        <v>1929375500.0000002</v>
      </c>
      <c r="E60" s="823">
        <f>KQKD!J95</f>
        <v>1929375500.0000002</v>
      </c>
      <c r="F60" s="823">
        <f>KQKD!K95</f>
        <v>1929375500.0000002</v>
      </c>
    </row>
    <row r="61" spans="2:6" ht="14.5" x14ac:dyDescent="0.35">
      <c r="B61" s="830" t="s">
        <v>649</v>
      </c>
      <c r="C61" s="831">
        <f>C60/C$62</f>
        <v>0.12143427225427698</v>
      </c>
      <c r="D61" s="831">
        <f t="shared" ref="D61" si="19">D60/D$62</f>
        <v>0.10661138245652388</v>
      </c>
      <c r="E61" s="831">
        <f t="shared" ref="E61" si="20">E60/E$62</f>
        <v>9.7632312510086791E-2</v>
      </c>
      <c r="F61" s="831">
        <f>F60/F$62</f>
        <v>9.4808231357849521E-2</v>
      </c>
    </row>
    <row r="62" spans="2:6" s="8" customFormat="1" x14ac:dyDescent="0.3">
      <c r="B62" s="828" t="s">
        <v>638</v>
      </c>
      <c r="C62" s="1029">
        <f>C39</f>
        <v>15888228785.692307</v>
      </c>
      <c r="D62" s="1029">
        <f>D39</f>
        <v>18097274939.538464</v>
      </c>
      <c r="E62" s="1029">
        <f>E39</f>
        <v>19761649093.384617</v>
      </c>
      <c r="F62" s="1029">
        <f>F39</f>
        <v>20350295247.23077</v>
      </c>
    </row>
    <row r="65" spans="2:7" x14ac:dyDescent="0.3">
      <c r="B65" s="7" t="s">
        <v>650</v>
      </c>
      <c r="C65" s="7"/>
      <c r="D65" s="7"/>
      <c r="E65" s="7"/>
      <c r="F65" s="7"/>
      <c r="G65" s="7"/>
    </row>
    <row r="66" spans="2:7" x14ac:dyDescent="0.3">
      <c r="B66" s="836"/>
      <c r="C66" s="132" t="s">
        <v>777</v>
      </c>
      <c r="D66" s="132" t="s">
        <v>778</v>
      </c>
      <c r="E66" s="132" t="s">
        <v>779</v>
      </c>
      <c r="F66" s="132" t="s">
        <v>780</v>
      </c>
      <c r="G66" s="7"/>
    </row>
    <row r="67" spans="2:7" x14ac:dyDescent="0.3">
      <c r="B67" s="837" t="s">
        <v>651</v>
      </c>
      <c r="C67" s="838">
        <f>KQKD!D6/1000</f>
        <v>14272.727272727272</v>
      </c>
      <c r="D67" s="838">
        <f>KQKD!E6/1000</f>
        <v>14272.727272727272</v>
      </c>
      <c r="E67" s="838">
        <f>KQKD!F6/1000</f>
        <v>14272.727272727272</v>
      </c>
      <c r="F67" s="838">
        <f>KQKD!G6/1000</f>
        <v>14272.727272727272</v>
      </c>
      <c r="G67" s="7"/>
    </row>
    <row r="68" spans="2:7" x14ac:dyDescent="0.3">
      <c r="B68" s="839" t="s">
        <v>656</v>
      </c>
      <c r="C68" s="840">
        <f>(S.Lượng!C4*HLOOKUP("x",G.Định!$D$29:$L$32,2,0)+S.Lượng!C5*HLOOKUP("x",G.Định!$D$29:$L$32,3,0)+S.Lượng!C6*HLOOKUP("x",G.Định!$D$29:$L$32,4,0))/S.Lượng!C7</f>
        <v>10000</v>
      </c>
      <c r="D68" s="840">
        <f>(S.Lượng!D4*HLOOKUP("x",G.Định!$D$29:$L$32,2,0)+S.Lượng!D5*HLOOKUP("x",G.Định!$D$29:$L$32,3,0)+S.Lượng!D6*HLOOKUP("x",G.Định!$D$29:$L$32,4,0))/S.Lượng!D7</f>
        <v>10000</v>
      </c>
      <c r="E68" s="840">
        <f>(S.Lượng!E4*HLOOKUP("x",G.Định!$D$29:$L$32,2,0)+S.Lượng!E5*HLOOKUP("x",G.Định!$D$29:$L$32,3,0)+S.Lượng!E6*HLOOKUP("x",G.Định!$D$29:$L$32,4,0))/S.Lượng!E7</f>
        <v>10000</v>
      </c>
      <c r="F68" s="840">
        <f>(S.Lượng!F4*HLOOKUP("x",G.Định!$D$29:$L$32,2,0)+S.Lượng!F5*HLOOKUP("x",G.Định!$D$29:$L$32,3,0)+S.Lượng!F6*HLOOKUP("x",G.Định!$D$29:$L$32,4,0))/S.Lượng!F7</f>
        <v>10000</v>
      </c>
      <c r="G68" s="7"/>
    </row>
    <row r="69" spans="2:7" ht="14.5" x14ac:dyDescent="0.3">
      <c r="B69" s="850" t="s">
        <v>658</v>
      </c>
      <c r="C69" s="851">
        <f>C68/C$67</f>
        <v>0.7006369426751593</v>
      </c>
      <c r="D69" s="851">
        <f t="shared" ref="D69:F69" si="21">D68/D$67</f>
        <v>0.7006369426751593</v>
      </c>
      <c r="E69" s="851">
        <f t="shared" si="21"/>
        <v>0.7006369426751593</v>
      </c>
      <c r="F69" s="851">
        <f t="shared" si="21"/>
        <v>0.7006369426751593</v>
      </c>
      <c r="G69" s="7"/>
    </row>
    <row r="70" spans="2:7" x14ac:dyDescent="0.3">
      <c r="B70" s="463" t="s">
        <v>652</v>
      </c>
      <c r="C70" s="476">
        <f>C67-C68</f>
        <v>4272.7272727272721</v>
      </c>
      <c r="D70" s="476">
        <f t="shared" ref="D70:F70" si="22">D67-D68</f>
        <v>4272.7272727272721</v>
      </c>
      <c r="E70" s="476">
        <f t="shared" si="22"/>
        <v>4272.7272727272721</v>
      </c>
      <c r="F70" s="476">
        <f t="shared" si="22"/>
        <v>4272.7272727272721</v>
      </c>
      <c r="G70" s="7"/>
    </row>
    <row r="71" spans="2:7" ht="14.5" x14ac:dyDescent="0.3">
      <c r="B71" s="841" t="s">
        <v>653</v>
      </c>
      <c r="C71" s="842">
        <f>C70/C67</f>
        <v>0.29936305732484075</v>
      </c>
      <c r="D71" s="842">
        <f t="shared" ref="D71:F71" si="23">D70/D67</f>
        <v>0.29936305732484075</v>
      </c>
      <c r="E71" s="842">
        <f t="shared" si="23"/>
        <v>0.29936305732484075</v>
      </c>
      <c r="F71" s="842">
        <f t="shared" si="23"/>
        <v>0.29936305732484075</v>
      </c>
      <c r="G71" s="7"/>
    </row>
    <row r="72" spans="2:7" x14ac:dyDescent="0.3">
      <c r="B72" s="463" t="s">
        <v>408</v>
      </c>
      <c r="C72" s="126">
        <f>'CP 1kg'!Y10-C68</f>
        <v>822.51082251082335</v>
      </c>
      <c r="D72" s="126">
        <f>'CP 1kg'!Z10-D68</f>
        <v>822.51082251082335</v>
      </c>
      <c r="E72" s="126">
        <f>'CP 1kg'!AA10-E68</f>
        <v>822.51082251082335</v>
      </c>
      <c r="F72" s="126">
        <f>'CP 1kg'!AB10-F68</f>
        <v>822.51082251082335</v>
      </c>
      <c r="G72" s="7"/>
    </row>
    <row r="73" spans="2:7" ht="14.5" x14ac:dyDescent="0.3">
      <c r="B73" s="850" t="s">
        <v>659</v>
      </c>
      <c r="C73" s="851">
        <f>C72/C$67</f>
        <v>5.7628146800121384E-2</v>
      </c>
      <c r="D73" s="851">
        <f t="shared" ref="D73" si="24">D72/D$67</f>
        <v>5.7628146800121384E-2</v>
      </c>
      <c r="E73" s="851">
        <f t="shared" ref="E73" si="25">E72/E$67</f>
        <v>5.7628146800121384E-2</v>
      </c>
      <c r="F73" s="851">
        <f t="shared" ref="F73" si="26">F72/F$67</f>
        <v>5.7628146800121384E-2</v>
      </c>
      <c r="G73" s="7"/>
    </row>
    <row r="74" spans="2:7" x14ac:dyDescent="0.3">
      <c r="B74" s="463" t="s">
        <v>665</v>
      </c>
      <c r="C74" s="126">
        <f>'CP 1kg'!Y9-'CP 1kg'!Y10+'CP 1kg'!Y7</f>
        <v>523.1434751239085</v>
      </c>
      <c r="D74" s="126">
        <f>'CP 1kg'!Z9-'CP 1kg'!Z10+'CP 1kg'!Z7</f>
        <v>523.14347512391032</v>
      </c>
      <c r="E74" s="126">
        <f>'CP 1kg'!AA9-'CP 1kg'!AA10+'CP 1kg'!AA7</f>
        <v>523.1434751239085</v>
      </c>
      <c r="F74" s="126">
        <f>'CP 1kg'!AB9-'CP 1kg'!AB10+'CP 1kg'!AB7</f>
        <v>523.1434751239085</v>
      </c>
      <c r="G74" s="7"/>
    </row>
    <row r="75" spans="2:7" ht="14.5" x14ac:dyDescent="0.3">
      <c r="B75" s="850" t="s">
        <v>663</v>
      </c>
      <c r="C75" s="851">
        <f>C74/C$67</f>
        <v>3.6653364499127351E-2</v>
      </c>
      <c r="D75" s="851">
        <f t="shared" ref="D75" si="27">D74/D$67</f>
        <v>3.6653364499127476E-2</v>
      </c>
      <c r="E75" s="851">
        <f t="shared" ref="E75" si="28">E74/E$67</f>
        <v>3.6653364499127351E-2</v>
      </c>
      <c r="F75" s="851">
        <f t="shared" ref="F75" si="29">F74/F$67</f>
        <v>3.6653364499127351E-2</v>
      </c>
      <c r="G75" s="7"/>
    </row>
    <row r="76" spans="2:7" x14ac:dyDescent="0.3">
      <c r="B76" s="463" t="s">
        <v>657</v>
      </c>
      <c r="C76" s="126">
        <f>'CP 1kg'!Y21</f>
        <v>3582.3026663267292</v>
      </c>
      <c r="D76" s="126">
        <f>'CP 1kg'!Z21</f>
        <v>2720.2493595987353</v>
      </c>
      <c r="E76" s="126">
        <f>'CP 1kg'!AA21</f>
        <v>2227.819387331419</v>
      </c>
      <c r="F76" s="126">
        <f>'CP 1kg'!AB21</f>
        <v>1835.3440879537131</v>
      </c>
      <c r="G76" s="7"/>
    </row>
    <row r="77" spans="2:7" ht="14.5" x14ac:dyDescent="0.3">
      <c r="B77" s="850" t="s">
        <v>664</v>
      </c>
      <c r="C77" s="851">
        <f>C76/C$67</f>
        <v>0.25098935878722306</v>
      </c>
      <c r="D77" s="851">
        <f t="shared" ref="D77" si="30">D76/D$67</f>
        <v>0.19059071946233178</v>
      </c>
      <c r="E77" s="851">
        <f t="shared" ref="E77" si="31">E76/E$67</f>
        <v>0.15608925643723318</v>
      </c>
      <c r="F77" s="851">
        <f t="shared" ref="F77" si="32">F76/F$67</f>
        <v>0.12859098705408181</v>
      </c>
      <c r="G77" s="7"/>
    </row>
    <row r="78" spans="2:7" x14ac:dyDescent="0.3">
      <c r="B78" s="463" t="s">
        <v>661</v>
      </c>
      <c r="C78" s="476">
        <f>IF((C67-C68-C72-C74-C76)&gt;0,(C67-C68-C72-C74-C76)*20%,0)</f>
        <v>0</v>
      </c>
      <c r="D78" s="476">
        <f t="shared" ref="D78:F78" si="33">IF((D67-D68-D72-D74-D76)&gt;0,(D67-D68-D72-D74-D76)*20%,0)</f>
        <v>41.364723098760628</v>
      </c>
      <c r="E78" s="476">
        <f t="shared" si="33"/>
        <v>139.85071755222427</v>
      </c>
      <c r="F78" s="476">
        <f t="shared" si="33"/>
        <v>218.34577742776543</v>
      </c>
      <c r="G78" s="7"/>
    </row>
    <row r="79" spans="2:7" x14ac:dyDescent="0.3">
      <c r="B79" s="463" t="s">
        <v>666</v>
      </c>
      <c r="C79" s="126">
        <f>(C67-C68-C72-C74-C76)-C78</f>
        <v>-655.22969123418898</v>
      </c>
      <c r="D79" s="126">
        <f t="shared" ref="D79:F79" si="34">(D67-D68-D72-D74-D76)-D78</f>
        <v>165.45889239504248</v>
      </c>
      <c r="E79" s="126">
        <f t="shared" si="34"/>
        <v>559.40287020889696</v>
      </c>
      <c r="F79" s="126">
        <f t="shared" si="34"/>
        <v>873.38310971106171</v>
      </c>
      <c r="G79" s="7"/>
    </row>
    <row r="80" spans="2:7" ht="14.5" x14ac:dyDescent="0.3">
      <c r="B80" s="850" t="s">
        <v>660</v>
      </c>
      <c r="C80" s="852">
        <f>C79/C67</f>
        <v>-4.5907812761631077E-2</v>
      </c>
      <c r="D80" s="852">
        <f t="shared" ref="D80:F80" si="35">D79/D67</f>
        <v>1.1592661250608073E-2</v>
      </c>
      <c r="E80" s="852">
        <f t="shared" si="35"/>
        <v>3.9193831670687053E-2</v>
      </c>
      <c r="F80" s="852">
        <f t="shared" si="35"/>
        <v>6.1192447177208148E-2</v>
      </c>
      <c r="G80" s="7"/>
    </row>
    <row r="81" spans="2:7" x14ac:dyDescent="0.3">
      <c r="B81" s="463" t="s">
        <v>655</v>
      </c>
      <c r="C81" s="843">
        <f>KQKD!H4</f>
        <v>4435200</v>
      </c>
      <c r="D81" s="843">
        <f>KQKD!I4</f>
        <v>6652800</v>
      </c>
      <c r="E81" s="843">
        <f>KQKD!J4</f>
        <v>8870400</v>
      </c>
      <c r="F81" s="843">
        <f>KQKD!K4</f>
        <v>11088000</v>
      </c>
      <c r="G81" s="7"/>
    </row>
    <row r="82" spans="2:7" x14ac:dyDescent="0.3">
      <c r="B82" s="844" t="s">
        <v>662</v>
      </c>
      <c r="C82" s="845">
        <f>C79*C81</f>
        <v>-2906074726.5618749</v>
      </c>
      <c r="D82" s="845">
        <f t="shared" ref="D82:E82" si="36">D79*D81</f>
        <v>1100764919.3257387</v>
      </c>
      <c r="E82" s="845">
        <f t="shared" si="36"/>
        <v>4962127219.901</v>
      </c>
      <c r="F82" s="845">
        <f>F79*F81</f>
        <v>9684071920.4762516</v>
      </c>
      <c r="G82" s="7"/>
    </row>
    <row r="83" spans="2:7" x14ac:dyDescent="0.3">
      <c r="B83" s="848" t="s">
        <v>654</v>
      </c>
      <c r="C83" s="849">
        <f>C82-KQKD!H103</f>
        <v>0</v>
      </c>
      <c r="D83" s="849">
        <f>D82-KQKD!I103</f>
        <v>-9.059906005859375E-6</v>
      </c>
      <c r="E83" s="849">
        <f>E82-KQKD!J103</f>
        <v>0</v>
      </c>
      <c r="F83" s="849">
        <f>F82-KQKD!K103</f>
        <v>0</v>
      </c>
      <c r="G83" s="7"/>
    </row>
    <row r="84" spans="2:7" x14ac:dyDescent="0.3">
      <c r="G84" s="7"/>
    </row>
    <row r="85" spans="2:7" x14ac:dyDescent="0.3">
      <c r="G85" s="7"/>
    </row>
    <row r="86" spans="2:7" x14ac:dyDescent="0.3">
      <c r="B86" s="836"/>
      <c r="C86" s="132" t="s">
        <v>70</v>
      </c>
    </row>
    <row r="87" spans="2:7" x14ac:dyDescent="0.3">
      <c r="B87" s="837" t="s">
        <v>651</v>
      </c>
      <c r="C87" s="838">
        <f>C67</f>
        <v>14272.727272727272</v>
      </c>
    </row>
    <row r="88" spans="2:7" x14ac:dyDescent="0.3">
      <c r="B88" s="839" t="s">
        <v>656</v>
      </c>
      <c r="C88" s="840">
        <f>C68</f>
        <v>10000</v>
      </c>
    </row>
    <row r="89" spans="2:7" x14ac:dyDescent="0.3">
      <c r="B89" s="839" t="s">
        <v>652</v>
      </c>
      <c r="C89" s="840">
        <f>C87-C88</f>
        <v>4272.7272727272721</v>
      </c>
    </row>
    <row r="90" spans="2:7" x14ac:dyDescent="0.3">
      <c r="B90" s="839" t="s">
        <v>667</v>
      </c>
      <c r="C90" s="840">
        <f>C89+C88</f>
        <v>14272.727272727272</v>
      </c>
    </row>
    <row r="100" spans="2:6" x14ac:dyDescent="0.3">
      <c r="B100" s="7" t="s">
        <v>673</v>
      </c>
      <c r="C100" s="7"/>
      <c r="D100" s="7"/>
      <c r="E100" s="7"/>
      <c r="F100" s="7"/>
    </row>
    <row r="101" spans="2:6" x14ac:dyDescent="0.3">
      <c r="B101" s="835" t="s">
        <v>688</v>
      </c>
      <c r="C101" s="835" t="s">
        <v>777</v>
      </c>
      <c r="D101" s="835" t="s">
        <v>778</v>
      </c>
      <c r="E101" s="835" t="s">
        <v>779</v>
      </c>
      <c r="F101" s="835" t="s">
        <v>780</v>
      </c>
    </row>
    <row r="102" spans="2:6" x14ac:dyDescent="0.3">
      <c r="B102" s="860" t="s">
        <v>689</v>
      </c>
      <c r="C102" s="861">
        <f>HV!C32</f>
        <v>-22966054353.202</v>
      </c>
      <c r="D102" s="861">
        <f>HV!D32</f>
        <v>11981477722.092436</v>
      </c>
      <c r="E102" s="861">
        <f>HV!E32</f>
        <v>45660160868.842697</v>
      </c>
      <c r="F102" s="861">
        <f>HV!F32</f>
        <v>86844817222.756668</v>
      </c>
    </row>
    <row r="103" spans="2:6" x14ac:dyDescent="0.3">
      <c r="B103" s="860" t="s">
        <v>515</v>
      </c>
      <c r="C103" s="862">
        <f>HV!C33</f>
        <v>-0.18098752025544773</v>
      </c>
      <c r="D103" s="862">
        <f>HV!D33</f>
        <v>0.1530092538355714</v>
      </c>
      <c r="E103" s="862">
        <f>HV!E33</f>
        <v>0.32611480198312059</v>
      </c>
      <c r="F103" s="862">
        <f>HV!F33</f>
        <v>0.534343907675489</v>
      </c>
    </row>
    <row r="104" spans="2:6" x14ac:dyDescent="0.3">
      <c r="B104" s="860" t="s">
        <v>690</v>
      </c>
      <c r="C104" s="863" t="e">
        <f>HV!C34</f>
        <v>#N/A</v>
      </c>
      <c r="D104" s="863">
        <f>HV!D34</f>
        <v>9.4228130233318907</v>
      </c>
      <c r="E104" s="863">
        <f>HV!E34</f>
        <v>3.8089478270301975</v>
      </c>
      <c r="F104" s="863">
        <f>HV!F34</f>
        <v>2.1618267813785481</v>
      </c>
    </row>
    <row r="105" spans="2:6" x14ac:dyDescent="0.3">
      <c r="B105" s="860" t="s">
        <v>522</v>
      </c>
      <c r="C105" s="861" t="e">
        <f>C102*1.1+C104</f>
        <v>#N/A</v>
      </c>
      <c r="D105" s="861">
        <f>D102*1.1+D104</f>
        <v>13179625503.724493</v>
      </c>
      <c r="E105" s="861">
        <f t="shared" ref="E105:F105" si="37">E102*1.1+E104</f>
        <v>50226176959.535919</v>
      </c>
      <c r="F105" s="861">
        <f t="shared" si="37"/>
        <v>95529298947.194168</v>
      </c>
    </row>
  </sheetData>
  <phoneticPr fontId="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3E47-3D2E-4201-9EE7-0E0AF1FC43AB}">
  <sheetPr>
    <tabColor theme="7"/>
  </sheetPr>
  <dimension ref="A1:K107"/>
  <sheetViews>
    <sheetView zoomScale="85" zoomScaleNormal="85" workbookViewId="0">
      <selection activeCell="E115" sqref="E115"/>
    </sheetView>
  </sheetViews>
  <sheetFormatPr defaultRowHeight="14" outlineLevelRow="1" x14ac:dyDescent="0.3"/>
  <cols>
    <col min="1" max="1" width="7" style="21" customWidth="1"/>
    <col min="2" max="2" width="3.26953125" style="7" customWidth="1"/>
    <col min="3" max="3" width="45.6328125" style="7" customWidth="1"/>
    <col min="4" max="4" width="13.1796875" style="3" customWidth="1"/>
    <col min="5" max="5" width="13.36328125" style="3" customWidth="1"/>
    <col min="6" max="6" width="12.36328125" style="3" customWidth="1"/>
    <col min="7" max="7" width="12" style="3" customWidth="1"/>
    <col min="8" max="8" width="13.1796875" style="3" customWidth="1"/>
    <col min="9" max="9" width="13.36328125" style="3" customWidth="1"/>
    <col min="10" max="10" width="12.36328125" style="3" customWidth="1"/>
    <col min="11" max="11" width="12" style="3" customWidth="1"/>
    <col min="12" max="16384" width="8.7265625" style="3"/>
  </cols>
  <sheetData>
    <row r="1" spans="1:11" ht="14.5" thickBot="1" x14ac:dyDescent="0.35">
      <c r="A1" s="331" t="s">
        <v>574</v>
      </c>
      <c r="B1" s="9"/>
      <c r="C1" s="9"/>
      <c r="D1" s="10"/>
      <c r="H1" s="10"/>
      <c r="K1" s="6" t="s">
        <v>575</v>
      </c>
    </row>
    <row r="2" spans="1:11" x14ac:dyDescent="0.3">
      <c r="A2" s="1176" t="s">
        <v>12</v>
      </c>
      <c r="B2" s="1172" t="s">
        <v>282</v>
      </c>
      <c r="C2" s="1173"/>
      <c r="D2" s="1169" t="s">
        <v>497</v>
      </c>
      <c r="E2" s="1170"/>
      <c r="F2" s="1170"/>
      <c r="G2" s="1171"/>
      <c r="H2" s="1169" t="s">
        <v>498</v>
      </c>
      <c r="I2" s="1170"/>
      <c r="J2" s="1170"/>
      <c r="K2" s="1171"/>
    </row>
    <row r="3" spans="1:11" ht="14" customHeight="1" x14ac:dyDescent="0.3">
      <c r="A3" s="1177"/>
      <c r="B3" s="1174"/>
      <c r="C3" s="1175"/>
      <c r="D3" s="332" t="s">
        <v>777</v>
      </c>
      <c r="E3" s="333" t="s">
        <v>778</v>
      </c>
      <c r="F3" s="333" t="s">
        <v>779</v>
      </c>
      <c r="G3" s="334" t="s">
        <v>780</v>
      </c>
      <c r="H3" s="332" t="s">
        <v>777</v>
      </c>
      <c r="I3" s="333" t="s">
        <v>778</v>
      </c>
      <c r="J3" s="333" t="s">
        <v>779</v>
      </c>
      <c r="K3" s="334" t="s">
        <v>780</v>
      </c>
    </row>
    <row r="4" spans="1:11" x14ac:dyDescent="0.3">
      <c r="A4" s="338">
        <v>1</v>
      </c>
      <c r="B4" s="22" t="s">
        <v>283</v>
      </c>
      <c r="C4" s="339"/>
      <c r="D4" s="109">
        <f>S.Lượng!C42</f>
        <v>369600</v>
      </c>
      <c r="E4" s="81">
        <f>S.Lượng!D42</f>
        <v>554400</v>
      </c>
      <c r="F4" s="81">
        <f>S.Lượng!E42</f>
        <v>739200</v>
      </c>
      <c r="G4" s="110">
        <f>S.Lượng!F42</f>
        <v>924000</v>
      </c>
      <c r="H4" s="109">
        <f>D4*12</f>
        <v>4435200</v>
      </c>
      <c r="I4" s="81">
        <f t="shared" ref="I4:K4" si="0">E4*12</f>
        <v>6652800</v>
      </c>
      <c r="J4" s="81">
        <f t="shared" si="0"/>
        <v>8870400</v>
      </c>
      <c r="K4" s="110">
        <f t="shared" si="0"/>
        <v>11088000</v>
      </c>
    </row>
    <row r="5" spans="1:11" x14ac:dyDescent="0.3">
      <c r="A5" s="362">
        <v>2</v>
      </c>
      <c r="B5" s="363" t="s">
        <v>284</v>
      </c>
      <c r="C5" s="364"/>
      <c r="D5" s="365">
        <f>D.Thu!C24</f>
        <v>5275200000</v>
      </c>
      <c r="E5" s="366">
        <f>D.Thu!D24</f>
        <v>7912800000</v>
      </c>
      <c r="F5" s="366">
        <f>D.Thu!E24</f>
        <v>10550400000</v>
      </c>
      <c r="G5" s="367">
        <f>D.Thu!F24</f>
        <v>13188000000</v>
      </c>
      <c r="H5" s="365">
        <f>D5*12</f>
        <v>63302400000</v>
      </c>
      <c r="I5" s="366">
        <f t="shared" ref="I5" si="1">E5*12</f>
        <v>94953600000</v>
      </c>
      <c r="J5" s="366">
        <f t="shared" ref="J5" si="2">F5*12</f>
        <v>126604800000</v>
      </c>
      <c r="K5" s="367">
        <f t="shared" ref="K5" si="3">G5*12</f>
        <v>158256000000</v>
      </c>
    </row>
    <row r="6" spans="1:11" ht="14.5" x14ac:dyDescent="0.3">
      <c r="A6" s="341"/>
      <c r="B6" s="24"/>
      <c r="C6" s="342" t="s">
        <v>285</v>
      </c>
      <c r="D6" s="335">
        <f>D5/D4*1000</f>
        <v>14272727.272727272</v>
      </c>
      <c r="E6" s="336">
        <f t="shared" ref="E6:G6" si="4">E5/E4*1000</f>
        <v>14272727.272727272</v>
      </c>
      <c r="F6" s="336">
        <f t="shared" si="4"/>
        <v>14272727.272727272</v>
      </c>
      <c r="G6" s="337">
        <f t="shared" si="4"/>
        <v>14272727.272727272</v>
      </c>
      <c r="H6" s="335">
        <f>H5/H4*1000</f>
        <v>14272727.272727272</v>
      </c>
      <c r="I6" s="336">
        <f t="shared" ref="I6:K6" si="5">I5/I4*1000</f>
        <v>14272727.272727272</v>
      </c>
      <c r="J6" s="336">
        <f t="shared" si="5"/>
        <v>14272727.272727272</v>
      </c>
      <c r="K6" s="337">
        <f t="shared" si="5"/>
        <v>14272727.272727272</v>
      </c>
    </row>
    <row r="7" spans="1:11" x14ac:dyDescent="0.3">
      <c r="A7" s="362">
        <v>3</v>
      </c>
      <c r="B7" s="363" t="s">
        <v>286</v>
      </c>
      <c r="C7" s="364"/>
      <c r="D7" s="365">
        <f>D10+D13</f>
        <v>4193353828.405797</v>
      </c>
      <c r="E7" s="366">
        <f t="shared" ref="E7:G7" si="6">E10+E13</f>
        <v>6290030742.608696</v>
      </c>
      <c r="F7" s="366">
        <f t="shared" si="6"/>
        <v>8386707656.811594</v>
      </c>
      <c r="G7" s="367">
        <f t="shared" si="6"/>
        <v>10483384571.014492</v>
      </c>
      <c r="H7" s="365">
        <f>H10+H13</f>
        <v>50320245940.869568</v>
      </c>
      <c r="I7" s="366">
        <f t="shared" ref="I7:K7" si="7">I10+I13</f>
        <v>75480368911.304352</v>
      </c>
      <c r="J7" s="366">
        <f t="shared" si="7"/>
        <v>100640491881.73914</v>
      </c>
      <c r="K7" s="367">
        <f t="shared" si="7"/>
        <v>125800614852.17392</v>
      </c>
    </row>
    <row r="8" spans="1:11" ht="14.5" x14ac:dyDescent="0.35">
      <c r="A8" s="343"/>
      <c r="B8" s="23"/>
      <c r="C8" s="344" t="s">
        <v>287</v>
      </c>
      <c r="D8" s="113">
        <f>IFERROR(D7/D$5,0)</f>
        <v>0.79491845397440797</v>
      </c>
      <c r="E8" s="77">
        <f t="shared" ref="E8:G8" si="8">IFERROR(E7/E$5,0)</f>
        <v>0.79491845397440808</v>
      </c>
      <c r="F8" s="77">
        <f t="shared" si="8"/>
        <v>0.79491845397440797</v>
      </c>
      <c r="G8" s="114">
        <f t="shared" si="8"/>
        <v>0.79491845397440797</v>
      </c>
      <c r="H8" s="113">
        <f>IFERROR(H7/H$5,0)</f>
        <v>0.79491845397440808</v>
      </c>
      <c r="I8" s="77">
        <f t="shared" ref="I8:K8" si="9">IFERROR(I7/I$5,0)</f>
        <v>0.79491845397440808</v>
      </c>
      <c r="J8" s="77">
        <f t="shared" si="9"/>
        <v>0.79491845397440808</v>
      </c>
      <c r="K8" s="114">
        <f t="shared" si="9"/>
        <v>0.79491845397440808</v>
      </c>
    </row>
    <row r="9" spans="1:11" ht="14.5" x14ac:dyDescent="0.3">
      <c r="A9" s="341"/>
      <c r="B9" s="24"/>
      <c r="C9" s="345" t="s">
        <v>288</v>
      </c>
      <c r="D9" s="115">
        <f>IFERROR(D7/D$4,0)*1000</f>
        <v>11345654.297634732</v>
      </c>
      <c r="E9" s="80">
        <f t="shared" ref="E9:G9" si="10">IFERROR(E7/E$4,0)*1000</f>
        <v>11345654.297634734</v>
      </c>
      <c r="F9" s="80">
        <f t="shared" si="10"/>
        <v>11345654.297634732</v>
      </c>
      <c r="G9" s="116">
        <f t="shared" si="10"/>
        <v>11345654.297634732</v>
      </c>
      <c r="H9" s="115">
        <f>IFERROR(H7/H$4,0)*1000</f>
        <v>11345654.297634734</v>
      </c>
      <c r="I9" s="80">
        <f t="shared" ref="I9:K9" si="11">IFERROR(I7/I$4,0)*1000</f>
        <v>11345654.297634734</v>
      </c>
      <c r="J9" s="80">
        <f t="shared" si="11"/>
        <v>11345654.297634734</v>
      </c>
      <c r="K9" s="116">
        <f t="shared" si="11"/>
        <v>11345654.297634734</v>
      </c>
    </row>
    <row r="10" spans="1:11" x14ac:dyDescent="0.3">
      <c r="A10" s="346">
        <v>3.1</v>
      </c>
      <c r="B10" s="25" t="s">
        <v>289</v>
      </c>
      <c r="C10" s="340"/>
      <c r="D10" s="111">
        <f>CPBH!C5</f>
        <v>69300000</v>
      </c>
      <c r="E10" s="79">
        <f>CPBH!D5</f>
        <v>103950000</v>
      </c>
      <c r="F10" s="79">
        <f>CPBH!E5</f>
        <v>138600000</v>
      </c>
      <c r="G10" s="112">
        <f>CPBH!F5</f>
        <v>173250000</v>
      </c>
      <c r="H10" s="111">
        <f>D10*12</f>
        <v>831600000</v>
      </c>
      <c r="I10" s="79">
        <f t="shared" ref="I10" si="12">E10*12</f>
        <v>1247400000</v>
      </c>
      <c r="J10" s="79">
        <f t="shared" ref="J10" si="13">F10*12</f>
        <v>1663200000</v>
      </c>
      <c r="K10" s="112">
        <f t="shared" ref="K10" si="14">G10*12</f>
        <v>2079000000</v>
      </c>
    </row>
    <row r="11" spans="1:11" ht="14.5" x14ac:dyDescent="0.35">
      <c r="A11" s="343"/>
      <c r="B11" s="23"/>
      <c r="C11" s="344" t="s">
        <v>287</v>
      </c>
      <c r="D11" s="113">
        <f>IFERROR(D10/D$5,0)</f>
        <v>1.3136942675159236E-2</v>
      </c>
      <c r="E11" s="77">
        <f t="shared" ref="E11" si="15">IFERROR(E10/E$5,0)</f>
        <v>1.3136942675159236E-2</v>
      </c>
      <c r="F11" s="77">
        <f t="shared" ref="F11" si="16">IFERROR(F10/F$5,0)</f>
        <v>1.3136942675159236E-2</v>
      </c>
      <c r="G11" s="114">
        <f t="shared" ref="G11" si="17">IFERROR(G10/G$5,0)</f>
        <v>1.3136942675159236E-2</v>
      </c>
      <c r="H11" s="113">
        <f>IFERROR(H10/H$5,0)</f>
        <v>1.3136942675159236E-2</v>
      </c>
      <c r="I11" s="77">
        <f t="shared" ref="I11:K11" si="18">IFERROR(I10/I$5,0)</f>
        <v>1.3136942675159236E-2</v>
      </c>
      <c r="J11" s="77">
        <f t="shared" si="18"/>
        <v>1.3136942675159236E-2</v>
      </c>
      <c r="K11" s="114">
        <f t="shared" si="18"/>
        <v>1.3136942675159236E-2</v>
      </c>
    </row>
    <row r="12" spans="1:11" ht="14" customHeight="1" x14ac:dyDescent="0.3">
      <c r="A12" s="341"/>
      <c r="B12" s="24"/>
      <c r="C12" s="345" t="s">
        <v>288</v>
      </c>
      <c r="D12" s="115">
        <f>IFERROR(D10/D$4,0)*1000</f>
        <v>187500</v>
      </c>
      <c r="E12" s="80">
        <f t="shared" ref="E12:G12" si="19">IFERROR(E10/E$4,0)*1000</f>
        <v>187500</v>
      </c>
      <c r="F12" s="80">
        <f t="shared" si="19"/>
        <v>187500</v>
      </c>
      <c r="G12" s="116">
        <f t="shared" si="19"/>
        <v>187500</v>
      </c>
      <c r="H12" s="115">
        <f>IFERROR(H10/H$4,0)*1000</f>
        <v>187500</v>
      </c>
      <c r="I12" s="80">
        <f t="shared" ref="I12:K12" si="20">IFERROR(I10/I$4,0)*1000</f>
        <v>187500</v>
      </c>
      <c r="J12" s="80">
        <f t="shared" si="20"/>
        <v>187500</v>
      </c>
      <c r="K12" s="116">
        <f t="shared" si="20"/>
        <v>187500</v>
      </c>
    </row>
    <row r="13" spans="1:11" x14ac:dyDescent="0.3">
      <c r="A13" s="346">
        <v>3.2</v>
      </c>
      <c r="B13" s="25" t="s">
        <v>290</v>
      </c>
      <c r="C13" s="340"/>
      <c r="D13" s="111">
        <f>D16+SUM(D18:D27)</f>
        <v>4124053828.405797</v>
      </c>
      <c r="E13" s="79">
        <f t="shared" ref="E13:G13" si="21">E16+SUM(E18:E27)</f>
        <v>6186080742.608696</v>
      </c>
      <c r="F13" s="79">
        <f t="shared" si="21"/>
        <v>8248107656.811594</v>
      </c>
      <c r="G13" s="112">
        <f t="shared" si="21"/>
        <v>10310134571.014492</v>
      </c>
      <c r="H13" s="111">
        <f>H16+SUM(H18:H27)</f>
        <v>49488645940.869568</v>
      </c>
      <c r="I13" s="79">
        <f t="shared" ref="I13:K13" si="22">I16+SUM(I18:I27)</f>
        <v>74232968911.304352</v>
      </c>
      <c r="J13" s="79">
        <f t="shared" si="22"/>
        <v>98977291881.739136</v>
      </c>
      <c r="K13" s="112">
        <f t="shared" si="22"/>
        <v>123721614852.17392</v>
      </c>
    </row>
    <row r="14" spans="1:11" ht="14.5" x14ac:dyDescent="0.35">
      <c r="A14" s="343"/>
      <c r="B14" s="23"/>
      <c r="C14" s="344" t="s">
        <v>291</v>
      </c>
      <c r="D14" s="113">
        <f>IFERROR(D13/D$5,0)</f>
        <v>0.78178151129924878</v>
      </c>
      <c r="E14" s="77">
        <f t="shared" ref="E14" si="23">IFERROR(E13/E$5,0)</f>
        <v>0.78178151129924878</v>
      </c>
      <c r="F14" s="77">
        <f t="shared" ref="F14" si="24">IFERROR(F13/F$5,0)</f>
        <v>0.78178151129924878</v>
      </c>
      <c r="G14" s="114">
        <f t="shared" ref="G14" si="25">IFERROR(G13/G$5,0)</f>
        <v>0.78178151129924867</v>
      </c>
      <c r="H14" s="113">
        <f>IFERROR(H13/H$5,0)</f>
        <v>0.78178151129924878</v>
      </c>
      <c r="I14" s="77">
        <f t="shared" ref="I14:K14" si="26">IFERROR(I13/I$5,0)</f>
        <v>0.78178151129924878</v>
      </c>
      <c r="J14" s="77">
        <f t="shared" si="26"/>
        <v>0.78178151129924878</v>
      </c>
      <c r="K14" s="114">
        <f t="shared" si="26"/>
        <v>0.78178151129924878</v>
      </c>
    </row>
    <row r="15" spans="1:11" ht="14.5" x14ac:dyDescent="0.3">
      <c r="A15" s="341"/>
      <c r="B15" s="24"/>
      <c r="C15" s="345" t="s">
        <v>292</v>
      </c>
      <c r="D15" s="115">
        <f>IFERROR(D13/D$4,0)*1000</f>
        <v>11158154.297634732</v>
      </c>
      <c r="E15" s="80">
        <f t="shared" ref="E15:G15" si="27">IFERROR(E13/E$4,0)*1000</f>
        <v>11158154.297634734</v>
      </c>
      <c r="F15" s="80">
        <f t="shared" si="27"/>
        <v>11158154.297634732</v>
      </c>
      <c r="G15" s="116">
        <f t="shared" si="27"/>
        <v>11158154.297634732</v>
      </c>
      <c r="H15" s="115">
        <f>IFERROR(H13/H$4,0)*1000</f>
        <v>11158154.297634734</v>
      </c>
      <c r="I15" s="80">
        <f t="shared" ref="I15:K15" si="28">IFERROR(I13/I$4,0)*1000</f>
        <v>11158154.297634734</v>
      </c>
      <c r="J15" s="80">
        <f t="shared" si="28"/>
        <v>11158154.297634734</v>
      </c>
      <c r="K15" s="116">
        <f t="shared" si="28"/>
        <v>11158154.297634734</v>
      </c>
    </row>
    <row r="16" spans="1:11" ht="14.5" hidden="1" outlineLevel="1" x14ac:dyDescent="0.3">
      <c r="A16" s="347">
        <v>-1</v>
      </c>
      <c r="B16" s="25"/>
      <c r="C16" s="348" t="s">
        <v>328</v>
      </c>
      <c r="D16" s="117">
        <f>VLOOKUP($C16,'CPSX-Chai'!$B:$F,COLUMNS('CPSX-Chai'!$B$4:C$4),0)</f>
        <v>4000000000</v>
      </c>
      <c r="E16" s="78">
        <f>VLOOKUP($C16,'CPSX-Chai'!$B:$F,COLUMNS('CPSX-Chai'!$B$4:D$4),0)</f>
        <v>6000000000</v>
      </c>
      <c r="F16" s="78">
        <f>VLOOKUP($C16,'CPSX-Chai'!$B:$F,COLUMNS('CPSX-Chai'!$B$4:E$4),0)</f>
        <v>8000000000</v>
      </c>
      <c r="G16" s="118">
        <f>VLOOKUP($C16,'CPSX-Chai'!$B:$F,COLUMNS('CPSX-Chai'!$B$4:F$4),0)</f>
        <v>10000000000</v>
      </c>
      <c r="H16" s="117">
        <f t="shared" ref="H16" si="29">D16*12</f>
        <v>48000000000</v>
      </c>
      <c r="I16" s="78">
        <f t="shared" ref="I16" si="30">E16*12</f>
        <v>72000000000</v>
      </c>
      <c r="J16" s="78">
        <f t="shared" ref="J16" si="31">F16*12</f>
        <v>96000000000</v>
      </c>
      <c r="K16" s="118">
        <f t="shared" ref="K16" si="32">G16*12</f>
        <v>120000000000</v>
      </c>
    </row>
    <row r="17" spans="1:11" ht="14.5" hidden="1" outlineLevel="1" x14ac:dyDescent="0.35">
      <c r="A17" s="349"/>
      <c r="B17" s="26"/>
      <c r="C17" s="350" t="s">
        <v>293</v>
      </c>
      <c r="D17" s="113">
        <f>IFERROR(D16/D$5,0)</f>
        <v>0.7582650894752806</v>
      </c>
      <c r="E17" s="77">
        <f t="shared" ref="E17" si="33">IFERROR(E16/E$5,0)</f>
        <v>0.7582650894752806</v>
      </c>
      <c r="F17" s="77">
        <f t="shared" ref="F17" si="34">IFERROR(F16/F$5,0)</f>
        <v>0.7582650894752806</v>
      </c>
      <c r="G17" s="114">
        <f t="shared" ref="G17" si="35">IFERROR(G16/G$5,0)</f>
        <v>0.7582650894752806</v>
      </c>
      <c r="H17" s="113">
        <f>IFERROR(H16/H$5,0)</f>
        <v>0.7582650894752806</v>
      </c>
      <c r="I17" s="77">
        <f t="shared" ref="I17:K17" si="36">IFERROR(I16/I$5,0)</f>
        <v>0.7582650894752806</v>
      </c>
      <c r="J17" s="77">
        <f t="shared" si="36"/>
        <v>0.7582650894752806</v>
      </c>
      <c r="K17" s="114">
        <f t="shared" si="36"/>
        <v>0.7582650894752806</v>
      </c>
    </row>
    <row r="18" spans="1:11" ht="14.5" hidden="1" outlineLevel="1" x14ac:dyDescent="0.3">
      <c r="A18" s="347">
        <v>-2</v>
      </c>
      <c r="B18" s="25"/>
      <c r="C18" s="348" t="s">
        <v>325</v>
      </c>
      <c r="D18" s="117">
        <f>VLOOKUP($C18,'CPSX-Chai'!$B:$F,COLUMNS('CPSX-Chai'!$B$4:C$4),0)+VLOOKUP($C18,'CPSX-Vảy'!$B:$F,COLUMNS('CPSX-Vảy'!$B$4:C$4),0)</f>
        <v>946666.66666666663</v>
      </c>
      <c r="E18" s="78">
        <f>VLOOKUP($C18,'CPSX-Chai'!$B:$F,COLUMNS('CPSX-Chai'!$B$4:D$4),0)+VLOOKUP($C18,'CPSX-Vảy'!$B:$F,COLUMNS('CPSX-Vảy'!$B$4:D$4),0)</f>
        <v>1420000</v>
      </c>
      <c r="F18" s="78">
        <f>VLOOKUP($C18,'CPSX-Chai'!$B:$F,COLUMNS('CPSX-Chai'!$B$4:E$4),0)+VLOOKUP($C18,'CPSX-Vảy'!$B:$F,COLUMNS('CPSX-Vảy'!$B$4:E$4),0)</f>
        <v>1893333.3333333333</v>
      </c>
      <c r="G18" s="118">
        <f>VLOOKUP($C18,'CPSX-Chai'!$B:$F,COLUMNS('CPSX-Chai'!$B$4:F$4),0)+VLOOKUP($C18,'CPSX-Vảy'!$B:$F,COLUMNS('CPSX-Vảy'!$B$4:F$4),0)</f>
        <v>2366666.6666666665</v>
      </c>
      <c r="H18" s="117">
        <f t="shared" ref="H18:H27" si="37">D18*12</f>
        <v>11360000</v>
      </c>
      <c r="I18" s="78">
        <f t="shared" ref="I18:I27" si="38">E18*12</f>
        <v>17040000</v>
      </c>
      <c r="J18" s="78">
        <f t="shared" ref="J18:J27" si="39">F18*12</f>
        <v>22720000</v>
      </c>
      <c r="K18" s="118">
        <f t="shared" ref="K18:K27" si="40">G18*12</f>
        <v>28400000</v>
      </c>
    </row>
    <row r="19" spans="1:11" ht="14.5" hidden="1" outlineLevel="1" x14ac:dyDescent="0.3">
      <c r="A19" s="347">
        <v>-3</v>
      </c>
      <c r="B19" s="25"/>
      <c r="C19" s="348" t="s">
        <v>86</v>
      </c>
      <c r="D19" s="117">
        <f>VLOOKUP($C19,'CPSX-Chai'!$B:$F,COLUMNS('CPSX-Chai'!$B$4:C$4),0)+VLOOKUP($C19,'CPSX-Vảy'!$B:$F,COLUMNS('CPSX-Vảy'!$B$4:C$4),0)</f>
        <v>28218521.739130434</v>
      </c>
      <c r="E19" s="78">
        <f>VLOOKUP($C19,'CPSX-Chai'!$B:$F,COLUMNS('CPSX-Chai'!$B$4:D$4),0)+VLOOKUP($C19,'CPSX-Vảy'!$B:$F,COLUMNS('CPSX-Vảy'!$B$4:D$4),0)</f>
        <v>42327782.608695649</v>
      </c>
      <c r="F19" s="78">
        <f>VLOOKUP($C19,'CPSX-Chai'!$B:$F,COLUMNS('CPSX-Chai'!$B$4:E$4),0)+VLOOKUP($C19,'CPSX-Vảy'!$B:$F,COLUMNS('CPSX-Vảy'!$B$4:E$4),0)</f>
        <v>56437043.478260867</v>
      </c>
      <c r="G19" s="118">
        <f>VLOOKUP($C19,'CPSX-Chai'!$B:$F,COLUMNS('CPSX-Chai'!$B$4:F$4),0)+VLOOKUP($C19,'CPSX-Vảy'!$B:$F,COLUMNS('CPSX-Vảy'!$B$4:F$4),0)</f>
        <v>70546304.347826079</v>
      </c>
      <c r="H19" s="117">
        <f t="shared" si="37"/>
        <v>338622260.86956519</v>
      </c>
      <c r="I19" s="78">
        <f t="shared" si="38"/>
        <v>507933391.30434775</v>
      </c>
      <c r="J19" s="78">
        <f t="shared" si="39"/>
        <v>677244521.73913038</v>
      </c>
      <c r="K19" s="118">
        <f t="shared" si="40"/>
        <v>846555652.173913</v>
      </c>
    </row>
    <row r="20" spans="1:11" ht="14.5" hidden="1" outlineLevel="1" x14ac:dyDescent="0.3">
      <c r="A20" s="347">
        <v>-4</v>
      </c>
      <c r="B20" s="25"/>
      <c r="C20" s="348" t="s">
        <v>87</v>
      </c>
      <c r="D20" s="117">
        <f>VLOOKUP($C20,'CPSX-Chai'!$B:$F,COLUMNS('CPSX-Chai'!$B$4:C$4),0)+VLOOKUP($C20,'CPSX-Vảy'!$B:$F,COLUMNS('CPSX-Vảy'!$B$4:C$4),0)</f>
        <v>37600639.999999993</v>
      </c>
      <c r="E20" s="78">
        <f>VLOOKUP($C20,'CPSX-Chai'!$B:$F,COLUMNS('CPSX-Chai'!$B$4:D$4),0)+VLOOKUP($C20,'CPSX-Vảy'!$B:$F,COLUMNS('CPSX-Vảy'!$B$4:D$4),0)</f>
        <v>56400959.999999985</v>
      </c>
      <c r="F20" s="78">
        <f>VLOOKUP($C20,'CPSX-Chai'!$B:$F,COLUMNS('CPSX-Chai'!$B$4:E$4),0)+VLOOKUP($C20,'CPSX-Vảy'!$B:$F,COLUMNS('CPSX-Vảy'!$B$4:E$4),0)</f>
        <v>75201279.999999985</v>
      </c>
      <c r="G20" s="118">
        <f>VLOOKUP($C20,'CPSX-Chai'!$B:$F,COLUMNS('CPSX-Chai'!$B$4:F$4),0)+VLOOKUP($C20,'CPSX-Vảy'!$B:$F,COLUMNS('CPSX-Vảy'!$B$4:F$4),0)</f>
        <v>94001599.99999997</v>
      </c>
      <c r="H20" s="117">
        <f t="shared" si="37"/>
        <v>451207679.99999988</v>
      </c>
      <c r="I20" s="78">
        <f t="shared" si="38"/>
        <v>676811519.99999976</v>
      </c>
      <c r="J20" s="78">
        <f t="shared" si="39"/>
        <v>902415359.99999976</v>
      </c>
      <c r="K20" s="118">
        <f t="shared" si="40"/>
        <v>1128019199.9999995</v>
      </c>
    </row>
    <row r="21" spans="1:11" ht="14.5" hidden="1" outlineLevel="1" x14ac:dyDescent="0.3">
      <c r="A21" s="347">
        <v>-5</v>
      </c>
      <c r="B21" s="27"/>
      <c r="C21" s="348" t="s">
        <v>313</v>
      </c>
      <c r="D21" s="117">
        <f>VLOOKUP($C21,'CPSX-Chai'!$B:$F,COLUMNS('CPSX-Chai'!$B$4:C$4),0)+VLOOKUP($C21,'CPSX-Vảy'!$B:$F,COLUMNS('CPSX-Vảy'!$B$4:C$4),0)</f>
        <v>0</v>
      </c>
      <c r="E21" s="78">
        <f>VLOOKUP($C21,'CPSX-Chai'!$B:$F,COLUMNS('CPSX-Chai'!$B$4:D$4),0)+VLOOKUP($C21,'CPSX-Vảy'!$B:$F,COLUMNS('CPSX-Vảy'!$B$4:D$4),0)</f>
        <v>0</v>
      </c>
      <c r="F21" s="78">
        <f>VLOOKUP($C21,'CPSX-Chai'!$B:$F,COLUMNS('CPSX-Chai'!$B$4:E$4),0)+VLOOKUP($C21,'CPSX-Vảy'!$B:$F,COLUMNS('CPSX-Vảy'!$B$4:E$4),0)</f>
        <v>0</v>
      </c>
      <c r="G21" s="118">
        <f>VLOOKUP($C21,'CPSX-Chai'!$B:$F,COLUMNS('CPSX-Chai'!$B$4:F$4),0)+VLOOKUP($C21,'CPSX-Vảy'!$B:$F,COLUMNS('CPSX-Vảy'!$B$4:F$4),0)</f>
        <v>0</v>
      </c>
      <c r="H21" s="117">
        <f t="shared" si="37"/>
        <v>0</v>
      </c>
      <c r="I21" s="78">
        <f t="shared" si="38"/>
        <v>0</v>
      </c>
      <c r="J21" s="78">
        <f t="shared" si="39"/>
        <v>0</v>
      </c>
      <c r="K21" s="118">
        <f t="shared" si="40"/>
        <v>0</v>
      </c>
    </row>
    <row r="22" spans="1:11" ht="14.5" hidden="1" outlineLevel="1" x14ac:dyDescent="0.3">
      <c r="A22" s="347">
        <v>-6</v>
      </c>
      <c r="B22" s="27"/>
      <c r="C22" s="348" t="s">
        <v>90</v>
      </c>
      <c r="D22" s="117">
        <f>VLOOKUP($C22,'CPSX-Chai'!$B:$F,COLUMNS('CPSX-Chai'!$B$4:C$4),0)+VLOOKUP($C22,'CPSX-Vảy'!$B:$F,COLUMNS('CPSX-Vảy'!$B$4:C$4),0)</f>
        <v>11088000</v>
      </c>
      <c r="E22" s="78">
        <f>VLOOKUP($C22,'CPSX-Chai'!$B:$F,COLUMNS('CPSX-Chai'!$B$4:D$4),0)+VLOOKUP($C22,'CPSX-Vảy'!$B:$F,COLUMNS('CPSX-Vảy'!$B$4:D$4),0)</f>
        <v>16632000</v>
      </c>
      <c r="F22" s="78">
        <f>VLOOKUP($C22,'CPSX-Chai'!$B:$F,COLUMNS('CPSX-Chai'!$B$4:E$4),0)+VLOOKUP($C22,'CPSX-Vảy'!$B:$F,COLUMNS('CPSX-Vảy'!$B$4:E$4),0)</f>
        <v>22176000</v>
      </c>
      <c r="G22" s="118">
        <f>VLOOKUP($C22,'CPSX-Chai'!$B:$F,COLUMNS('CPSX-Chai'!$B$4:F$4),0)+VLOOKUP($C22,'CPSX-Vảy'!$B:$F,COLUMNS('CPSX-Vảy'!$B$4:F$4),0)</f>
        <v>27720000</v>
      </c>
      <c r="H22" s="117">
        <f t="shared" si="37"/>
        <v>133056000</v>
      </c>
      <c r="I22" s="78">
        <f t="shared" si="38"/>
        <v>199584000</v>
      </c>
      <c r="J22" s="78">
        <f t="shared" si="39"/>
        <v>266112000</v>
      </c>
      <c r="K22" s="118">
        <f t="shared" si="40"/>
        <v>332640000</v>
      </c>
    </row>
    <row r="23" spans="1:11" ht="14.5" hidden="1" outlineLevel="1" x14ac:dyDescent="0.3">
      <c r="A23" s="347">
        <v>-7</v>
      </c>
      <c r="B23" s="25"/>
      <c r="C23" s="348" t="s">
        <v>91</v>
      </c>
      <c r="D23" s="117">
        <f>VLOOKUP($C23,'CPSX-Chai'!$B:$F,COLUMNS('CPSX-Chai'!$B$4:C$4),0)+VLOOKUP($C23,'CPSX-Vảy'!$B:$F,COLUMNS('CPSX-Vảy'!$B$4:C$4),0)</f>
        <v>0</v>
      </c>
      <c r="E23" s="78">
        <f>VLOOKUP($C23,'CPSX-Chai'!$B:$F,COLUMNS('CPSX-Chai'!$B$4:D$4),0)+VLOOKUP($C23,'CPSX-Vảy'!$B:$F,COLUMNS('CPSX-Vảy'!$B$4:D$4),0)</f>
        <v>0</v>
      </c>
      <c r="F23" s="78">
        <f>VLOOKUP($C23,'CPSX-Chai'!$B:$F,COLUMNS('CPSX-Chai'!$B$4:E$4),0)+VLOOKUP($C23,'CPSX-Vảy'!$B:$F,COLUMNS('CPSX-Vảy'!$B$4:E$4),0)</f>
        <v>0</v>
      </c>
      <c r="G23" s="118">
        <f>VLOOKUP($C23,'CPSX-Chai'!$B:$F,COLUMNS('CPSX-Chai'!$B$4:F$4),0)+VLOOKUP($C23,'CPSX-Vảy'!$B:$F,COLUMNS('CPSX-Vảy'!$B$4:F$4),0)</f>
        <v>0</v>
      </c>
      <c r="H23" s="117">
        <f t="shared" si="37"/>
        <v>0</v>
      </c>
      <c r="I23" s="78">
        <f t="shared" si="38"/>
        <v>0</v>
      </c>
      <c r="J23" s="78">
        <f t="shared" si="39"/>
        <v>0</v>
      </c>
      <c r="K23" s="118">
        <f t="shared" si="40"/>
        <v>0</v>
      </c>
    </row>
    <row r="24" spans="1:11" ht="14.5" hidden="1" outlineLevel="1" x14ac:dyDescent="0.3">
      <c r="A24" s="347">
        <v>-8</v>
      </c>
      <c r="B24" s="28"/>
      <c r="C24" s="351" t="s">
        <v>92</v>
      </c>
      <c r="D24" s="117">
        <f>VLOOKUP($C24,'CPSX-Chai'!$B:$F,COLUMNS('CPSX-Chai'!$B$4:C$4),0)+VLOOKUP($C24,'CPSX-Vảy'!$B:$F,COLUMNS('CPSX-Vảy'!$B$4:C$4),0)</f>
        <v>0</v>
      </c>
      <c r="E24" s="78">
        <f>VLOOKUP($C24,'CPSX-Chai'!$B:$F,COLUMNS('CPSX-Chai'!$B$4:D$4),0)+VLOOKUP($C24,'CPSX-Vảy'!$B:$F,COLUMNS('CPSX-Vảy'!$B$4:D$4),0)</f>
        <v>0</v>
      </c>
      <c r="F24" s="78">
        <f>VLOOKUP($C24,'CPSX-Chai'!$B:$F,COLUMNS('CPSX-Chai'!$B$4:E$4),0)+VLOOKUP($C24,'CPSX-Vảy'!$B:$F,COLUMNS('CPSX-Vảy'!$B$4:E$4),0)</f>
        <v>0</v>
      </c>
      <c r="G24" s="118">
        <f>VLOOKUP($C24,'CPSX-Chai'!$B:$F,COLUMNS('CPSX-Chai'!$B$4:F$4),0)+VLOOKUP($C24,'CPSX-Vảy'!$B:$F,COLUMNS('CPSX-Vảy'!$B$4:F$4),0)</f>
        <v>0</v>
      </c>
      <c r="H24" s="117">
        <f t="shared" si="37"/>
        <v>0</v>
      </c>
      <c r="I24" s="78">
        <f t="shared" si="38"/>
        <v>0</v>
      </c>
      <c r="J24" s="78">
        <f t="shared" si="39"/>
        <v>0</v>
      </c>
      <c r="K24" s="118">
        <f t="shared" si="40"/>
        <v>0</v>
      </c>
    </row>
    <row r="25" spans="1:11" ht="14.5" hidden="1" outlineLevel="1" x14ac:dyDescent="0.3">
      <c r="A25" s="347">
        <v>-9</v>
      </c>
      <c r="B25" s="28"/>
      <c r="C25" s="351" t="s">
        <v>314</v>
      </c>
      <c r="D25" s="117">
        <f>VLOOKUP($C25,'CPSX-Chai'!$B:$F,COLUMNS('CPSX-Chai'!$B$4:C$4),0)+VLOOKUP($C25,'CPSX-Vảy'!$B:$F,COLUMNS('CPSX-Vảy'!$B$4:C$4),0)</f>
        <v>5544000</v>
      </c>
      <c r="E25" s="78">
        <f>VLOOKUP($C25,'CPSX-Chai'!$B:$F,COLUMNS('CPSX-Chai'!$B$4:D$4),0)+VLOOKUP($C25,'CPSX-Vảy'!$B:$F,COLUMNS('CPSX-Vảy'!$B$4:D$4),0)</f>
        <v>8316000</v>
      </c>
      <c r="F25" s="78">
        <f>VLOOKUP($C25,'CPSX-Chai'!$B:$F,COLUMNS('CPSX-Chai'!$B$4:E$4),0)+VLOOKUP($C25,'CPSX-Vảy'!$B:$F,COLUMNS('CPSX-Vảy'!$B$4:E$4),0)</f>
        <v>11088000</v>
      </c>
      <c r="G25" s="118">
        <f>VLOOKUP($C25,'CPSX-Chai'!$B:$F,COLUMNS('CPSX-Chai'!$B$4:F$4),0)+VLOOKUP($C25,'CPSX-Vảy'!$B:$F,COLUMNS('CPSX-Vảy'!$B$4:F$4),0)</f>
        <v>13860000</v>
      </c>
      <c r="H25" s="117">
        <f t="shared" si="37"/>
        <v>66528000</v>
      </c>
      <c r="I25" s="78">
        <f t="shared" si="38"/>
        <v>99792000</v>
      </c>
      <c r="J25" s="78">
        <f t="shared" si="39"/>
        <v>133056000</v>
      </c>
      <c r="K25" s="118">
        <f t="shared" si="40"/>
        <v>166320000</v>
      </c>
    </row>
    <row r="26" spans="1:11" ht="14.5" hidden="1" outlineLevel="1" x14ac:dyDescent="0.3">
      <c r="A26" s="347">
        <v>-10</v>
      </c>
      <c r="B26" s="28"/>
      <c r="C26" s="351" t="s">
        <v>324</v>
      </c>
      <c r="D26" s="117">
        <f>VLOOKUP($C26,'CPSX-Chai'!$B:$F,COLUMNS('CPSX-Chai'!$B$4:C$4),0)+VLOOKUP($C26,'CPSX-Vảy'!$B:$F,COLUMNS('CPSX-Vảy'!$B$4:C$4),0)</f>
        <v>40656000</v>
      </c>
      <c r="E26" s="78">
        <f>VLOOKUP($C26,'CPSX-Chai'!$B:$F,COLUMNS('CPSX-Chai'!$B$4:D$4),0)+VLOOKUP($C26,'CPSX-Vảy'!$B:$F,COLUMNS('CPSX-Vảy'!$B$4:D$4),0)</f>
        <v>60984000</v>
      </c>
      <c r="F26" s="78">
        <f>VLOOKUP($C26,'CPSX-Chai'!$B:$F,COLUMNS('CPSX-Chai'!$B$4:E$4),0)+VLOOKUP($C26,'CPSX-Vảy'!$B:$F,COLUMNS('CPSX-Vảy'!$B$4:E$4),0)</f>
        <v>81312000</v>
      </c>
      <c r="G26" s="118">
        <f>VLOOKUP($C26,'CPSX-Chai'!$B:$F,COLUMNS('CPSX-Chai'!$B$4:F$4),0)+VLOOKUP($C26,'CPSX-Vảy'!$B:$F,COLUMNS('CPSX-Vảy'!$B$4:F$4),0)</f>
        <v>101640000</v>
      </c>
      <c r="H26" s="117">
        <f t="shared" si="37"/>
        <v>487872000</v>
      </c>
      <c r="I26" s="78">
        <f t="shared" si="38"/>
        <v>731808000</v>
      </c>
      <c r="J26" s="78">
        <f t="shared" si="39"/>
        <v>975744000</v>
      </c>
      <c r="K26" s="118">
        <f t="shared" si="40"/>
        <v>1219680000</v>
      </c>
    </row>
    <row r="27" spans="1:11" ht="14.5" hidden="1" outlineLevel="1" x14ac:dyDescent="0.3">
      <c r="A27" s="347">
        <v>-11</v>
      </c>
      <c r="B27" s="28"/>
      <c r="C27" s="351" t="s">
        <v>312</v>
      </c>
      <c r="D27" s="117">
        <f>VLOOKUP($C27,'CPSX-Chai'!$B:$F,COLUMNS('CPSX-Chai'!$B$4:C$4),0)+VLOOKUP($C27,'CPSX-Vảy'!$B:$F,COLUMNS('CPSX-Vảy'!$B$4:C$4),0)</f>
        <v>0</v>
      </c>
      <c r="E27" s="78">
        <f>VLOOKUP($C27,'CPSX-Chai'!$B:$F,COLUMNS('CPSX-Chai'!$B$4:D$4),0)+VLOOKUP($C27,'CPSX-Vảy'!$B:$F,COLUMNS('CPSX-Vảy'!$B$4:D$4),0)</f>
        <v>0</v>
      </c>
      <c r="F27" s="78">
        <f>VLOOKUP($C27,'CPSX-Chai'!$B:$F,COLUMNS('CPSX-Chai'!$B$4:E$4),0)+VLOOKUP($C27,'CPSX-Vảy'!$B:$F,COLUMNS('CPSX-Vảy'!$B$4:E$4),0)</f>
        <v>0</v>
      </c>
      <c r="G27" s="118">
        <f>VLOOKUP($C27,'CPSX-Chai'!$B:$F,COLUMNS('CPSX-Chai'!$B$4:F$4),0)+VLOOKUP($C27,'CPSX-Vảy'!$B:$F,COLUMNS('CPSX-Vảy'!$B$4:F$4),0)</f>
        <v>0</v>
      </c>
      <c r="H27" s="117">
        <f t="shared" si="37"/>
        <v>0</v>
      </c>
      <c r="I27" s="78">
        <f t="shared" si="38"/>
        <v>0</v>
      </c>
      <c r="J27" s="78">
        <f t="shared" si="39"/>
        <v>0</v>
      </c>
      <c r="K27" s="118">
        <f t="shared" si="40"/>
        <v>0</v>
      </c>
    </row>
    <row r="28" spans="1:11" collapsed="1" x14ac:dyDescent="0.3">
      <c r="A28" s="362">
        <v>4</v>
      </c>
      <c r="B28" s="363" t="s">
        <v>294</v>
      </c>
      <c r="C28" s="369"/>
      <c r="D28" s="365">
        <f>D5-D7</f>
        <v>1081846171.594203</v>
      </c>
      <c r="E28" s="366">
        <f t="shared" ref="E28:F28" si="41">E5-E7</f>
        <v>1622769257.391304</v>
      </c>
      <c r="F28" s="366">
        <f t="shared" si="41"/>
        <v>2163692343.188406</v>
      </c>
      <c r="G28" s="367">
        <f>G5-G7</f>
        <v>2704615428.985508</v>
      </c>
      <c r="H28" s="365">
        <f>H5-H7</f>
        <v>12982154059.130432</v>
      </c>
      <c r="I28" s="366">
        <f t="shared" ref="I28:K28" si="42">I5-I7</f>
        <v>19473231088.695648</v>
      </c>
      <c r="J28" s="366">
        <f t="shared" si="42"/>
        <v>25964308118.260864</v>
      </c>
      <c r="K28" s="367">
        <f t="shared" si="42"/>
        <v>32455385147.82608</v>
      </c>
    </row>
    <row r="29" spans="1:11" ht="14.5" x14ac:dyDescent="0.35">
      <c r="A29" s="343"/>
      <c r="B29" s="23"/>
      <c r="C29" s="353" t="s">
        <v>295</v>
      </c>
      <c r="D29" s="113">
        <f>IFERROR(D28/D$5,0)</f>
        <v>0.205081546025592</v>
      </c>
      <c r="E29" s="77">
        <f t="shared" ref="E29" si="43">IFERROR(E28/E$5,0)</f>
        <v>0.20508154602559195</v>
      </c>
      <c r="F29" s="77">
        <f t="shared" ref="F29" si="44">IFERROR(F28/F$5,0)</f>
        <v>0.205081546025592</v>
      </c>
      <c r="G29" s="114">
        <f t="shared" ref="G29" si="45">IFERROR(G28/G$5,0)</f>
        <v>0.20508154602559206</v>
      </c>
      <c r="H29" s="113">
        <f>IFERROR(H28/H$5,0)</f>
        <v>0.20508154602559195</v>
      </c>
      <c r="I29" s="77">
        <f t="shared" ref="I29:K29" si="46">IFERROR(I28/I$5,0)</f>
        <v>0.20508154602559195</v>
      </c>
      <c r="J29" s="77">
        <f t="shared" si="46"/>
        <v>0.20508154602559195</v>
      </c>
      <c r="K29" s="114">
        <f t="shared" si="46"/>
        <v>0.20508154602559195</v>
      </c>
    </row>
    <row r="30" spans="1:11" ht="14.5" x14ac:dyDescent="0.3">
      <c r="A30" s="341"/>
      <c r="B30" s="24"/>
      <c r="C30" s="354" t="s">
        <v>296</v>
      </c>
      <c r="D30" s="115">
        <f>IFERROR(D28/D$4,0)*1000</f>
        <v>2927072.9750925405</v>
      </c>
      <c r="E30" s="80">
        <f t="shared" ref="E30:G30" si="47">IFERROR(E28/E$4,0)*1000</f>
        <v>2927072.9750925396</v>
      </c>
      <c r="F30" s="80">
        <f t="shared" si="47"/>
        <v>2927072.9750925405</v>
      </c>
      <c r="G30" s="116">
        <f t="shared" si="47"/>
        <v>2927072.975092541</v>
      </c>
      <c r="H30" s="115">
        <f>IFERROR(H28/H$4,0)*1000</f>
        <v>2927072.9750925396</v>
      </c>
      <c r="I30" s="80">
        <f t="shared" ref="I30:K30" si="48">IFERROR(I28/I$4,0)*1000</f>
        <v>2927072.9750925396</v>
      </c>
      <c r="J30" s="80">
        <f t="shared" si="48"/>
        <v>2927072.9750925396</v>
      </c>
      <c r="K30" s="116">
        <f t="shared" si="48"/>
        <v>2927072.9750925396</v>
      </c>
    </row>
    <row r="31" spans="1:11" x14ac:dyDescent="0.3">
      <c r="A31" s="362">
        <v>5</v>
      </c>
      <c r="B31" s="363" t="s">
        <v>297</v>
      </c>
      <c r="C31" s="369"/>
      <c r="D31" s="365">
        <f>D34+D47+D66+D92+D95</f>
        <v>1324019065.474359</v>
      </c>
      <c r="E31" s="366">
        <f>E34+E47+E66+E92+E95</f>
        <v>1508106244.9615388</v>
      </c>
      <c r="F31" s="366">
        <f>F34+F47+F66+F92+F95</f>
        <v>1646804091.1153848</v>
      </c>
      <c r="G31" s="367">
        <f>G34+G47+G66+G92+G95</f>
        <v>1695857937.2692308</v>
      </c>
      <c r="H31" s="365">
        <f>H34+H47+H66+H92+H95</f>
        <v>15888228785.692307</v>
      </c>
      <c r="I31" s="366">
        <f t="shared" ref="I31:K31" si="49">I34+I47+I66+I92+I95</f>
        <v>18097274939.538464</v>
      </c>
      <c r="J31" s="366">
        <f t="shared" si="49"/>
        <v>19761649093.384617</v>
      </c>
      <c r="K31" s="367">
        <f t="shared" si="49"/>
        <v>20350295247.23077</v>
      </c>
    </row>
    <row r="32" spans="1:11" ht="14.5" x14ac:dyDescent="0.35">
      <c r="A32" s="355"/>
      <c r="B32" s="29"/>
      <c r="C32" s="350" t="s">
        <v>298</v>
      </c>
      <c r="D32" s="113">
        <f>IFERROR(D31/D$5,0)</f>
        <v>0.25098935878722306</v>
      </c>
      <c r="E32" s="77">
        <f t="shared" ref="E32" si="50">IFERROR(E31/E$5,0)</f>
        <v>0.19059071946233178</v>
      </c>
      <c r="F32" s="77">
        <f t="shared" ref="F32" si="51">IFERROR(F31/F$5,0)</f>
        <v>0.15608925643723318</v>
      </c>
      <c r="G32" s="114">
        <f t="shared" ref="G32" si="52">IFERROR(G31/G$5,0)</f>
        <v>0.12859098705408181</v>
      </c>
      <c r="H32" s="113">
        <f>IFERROR(H31/H$5,0)</f>
        <v>0.250989358787223</v>
      </c>
      <c r="I32" s="77">
        <f t="shared" ref="I32:K32" si="53">IFERROR(I31/I$5,0)</f>
        <v>0.19059071946233175</v>
      </c>
      <c r="J32" s="77">
        <f t="shared" si="53"/>
        <v>0.15608925643723315</v>
      </c>
      <c r="K32" s="114">
        <f t="shared" si="53"/>
        <v>0.12859098705408181</v>
      </c>
    </row>
    <row r="33" spans="1:11" ht="14.5" x14ac:dyDescent="0.3">
      <c r="A33" s="356"/>
      <c r="B33" s="30"/>
      <c r="C33" s="351" t="s">
        <v>299</v>
      </c>
      <c r="D33" s="115">
        <f>IFERROR(D31/D$4,0)*1000</f>
        <v>3582302.6663267291</v>
      </c>
      <c r="E33" s="80">
        <f t="shared" ref="E33:G33" si="54">IFERROR(E31/E$4,0)*1000</f>
        <v>2720249.3595987353</v>
      </c>
      <c r="F33" s="80">
        <f t="shared" si="54"/>
        <v>2227819.3873314192</v>
      </c>
      <c r="G33" s="116">
        <f t="shared" si="54"/>
        <v>1835344.0879537133</v>
      </c>
      <c r="H33" s="115">
        <f>IFERROR(H31/H$4,0)*1000</f>
        <v>3582302.6663267286</v>
      </c>
      <c r="I33" s="80">
        <f t="shared" ref="I33:K33" si="55">IFERROR(I31/I$4,0)*1000</f>
        <v>2720249.3595987349</v>
      </c>
      <c r="J33" s="80">
        <f t="shared" si="55"/>
        <v>2227819.3873314192</v>
      </c>
      <c r="K33" s="116">
        <f t="shared" si="55"/>
        <v>1835344.0879537133</v>
      </c>
    </row>
    <row r="34" spans="1:11" x14ac:dyDescent="0.3">
      <c r="A34" s="346">
        <v>5.0999999999999996</v>
      </c>
      <c r="B34" s="25" t="s">
        <v>329</v>
      </c>
      <c r="C34" s="352"/>
      <c r="D34" s="111">
        <f>SUM(D36:D46)</f>
        <v>453531614.97435898</v>
      </c>
      <c r="E34" s="79">
        <f t="shared" ref="E34:G34" si="56">SUM(E36:E46)</f>
        <v>460518794.46153843</v>
      </c>
      <c r="F34" s="79">
        <f t="shared" si="56"/>
        <v>467505973.94871795</v>
      </c>
      <c r="G34" s="112">
        <f t="shared" si="56"/>
        <v>475493153.43589747</v>
      </c>
      <c r="H34" s="111">
        <f>SUM(H36:H46)</f>
        <v>5442379379.6923075</v>
      </c>
      <c r="I34" s="79">
        <f t="shared" ref="I34:K34" si="57">SUM(I36:I46)</f>
        <v>5526225533.5384617</v>
      </c>
      <c r="J34" s="79">
        <f t="shared" si="57"/>
        <v>5610071687.3846149</v>
      </c>
      <c r="K34" s="112">
        <f t="shared" si="57"/>
        <v>5705917841.2307692</v>
      </c>
    </row>
    <row r="35" spans="1:11" ht="14.5" x14ac:dyDescent="0.35">
      <c r="A35" s="355"/>
      <c r="B35" s="29"/>
      <c r="C35" s="350" t="s">
        <v>336</v>
      </c>
      <c r="D35" s="113">
        <f>IFERROR(D34/D$5,0)</f>
        <v>8.5974297652100198E-2</v>
      </c>
      <c r="E35" s="77">
        <f t="shared" ref="E35" si="58">IFERROR(E34/E$5,0)</f>
        <v>5.8199220814571129E-2</v>
      </c>
      <c r="F35" s="77">
        <f t="shared" ref="F35" si="59">IFERROR(F34/F$5,0)</f>
        <v>4.4311682395806601E-2</v>
      </c>
      <c r="G35" s="114">
        <f t="shared" ref="G35" si="60">IFERROR(G34/G$5,0)</f>
        <v>3.6054985853495411E-2</v>
      </c>
      <c r="H35" s="113">
        <f>IFERROR(H34/H$5,0)</f>
        <v>8.5974297652100198E-2</v>
      </c>
      <c r="I35" s="77">
        <f t="shared" ref="I35:K35" si="61">IFERROR(I34/I$5,0)</f>
        <v>5.8199220814571136E-2</v>
      </c>
      <c r="J35" s="77">
        <f t="shared" si="61"/>
        <v>4.4311682395806594E-2</v>
      </c>
      <c r="K35" s="114">
        <f t="shared" si="61"/>
        <v>3.6054985853495404E-2</v>
      </c>
    </row>
    <row r="36" spans="1:11" ht="14.5" hidden="1" outlineLevel="1" x14ac:dyDescent="0.3">
      <c r="A36" s="347">
        <v>-1</v>
      </c>
      <c r="B36" s="27"/>
      <c r="C36" s="348" t="s">
        <v>315</v>
      </c>
      <c r="D36" s="115">
        <f>VLOOKUP($C36,'CPSX-Chai'!$B:$F,COLUMNS('CPSX-Chai'!$B$4:C$4),0)+VLOOKUP($C36,'CPSX-Vảy'!$B:$F,COLUMNS('CPSX-Vảy'!$B$4:C$4),0)</f>
        <v>22190006</v>
      </c>
      <c r="E36" s="80">
        <f>VLOOKUP($C36,'CPSX-Chai'!$B:$F,COLUMNS('CPSX-Chai'!$B$4:D$4),0)+VLOOKUP($C36,'CPSX-Vảy'!$B:$F,COLUMNS('CPSX-Vảy'!$B$4:D$4),0)</f>
        <v>22190006</v>
      </c>
      <c r="F36" s="80">
        <f>VLOOKUP($C36,'CPSX-Chai'!$B:$F,COLUMNS('CPSX-Chai'!$B$4:E$4),0)+VLOOKUP($C36,'CPSX-Vảy'!$B:$F,COLUMNS('CPSX-Vảy'!$B$4:E$4),0)</f>
        <v>22190006</v>
      </c>
      <c r="G36" s="116">
        <f>VLOOKUP($C36,'CPSX-Chai'!$B:$F,COLUMNS('CPSX-Chai'!$B$4:F$4),0)+VLOOKUP($C36,'CPSX-Vảy'!$B:$F,COLUMNS('CPSX-Vảy'!$B$4:F$4),0)</f>
        <v>22190006</v>
      </c>
      <c r="H36" s="117">
        <f>D36*12</f>
        <v>266280072</v>
      </c>
      <c r="I36" s="78">
        <f t="shared" ref="I36:I46" si="62">E36*12</f>
        <v>266280072</v>
      </c>
      <c r="J36" s="78">
        <f t="shared" ref="J36:J46" si="63">F36*12</f>
        <v>266280072</v>
      </c>
      <c r="K36" s="118">
        <f t="shared" ref="K36:K46" si="64">G36*12</f>
        <v>266280072</v>
      </c>
    </row>
    <row r="37" spans="1:11" ht="14.5" hidden="1" outlineLevel="1" x14ac:dyDescent="0.3">
      <c r="A37" s="347">
        <v>-2</v>
      </c>
      <c r="B37" s="27"/>
      <c r="C37" s="348" t="s">
        <v>316</v>
      </c>
      <c r="D37" s="115">
        <f>VLOOKUP($C37,'CPSX-Chai'!$B:$F,COLUMNS('CPSX-Chai'!$B$4:C$4),0)+VLOOKUP($C37,'CPSX-Vảy'!$B:$F,COLUMNS('CPSX-Vảy'!$B$4:C$4),0)</f>
        <v>1974358.9743589743</v>
      </c>
      <c r="E37" s="80">
        <f>VLOOKUP($C37,'CPSX-Chai'!$B:$F,COLUMNS('CPSX-Chai'!$B$4:D$4),0)+VLOOKUP($C37,'CPSX-Vảy'!$B:$F,COLUMNS('CPSX-Vảy'!$B$4:D$4),0)</f>
        <v>2961538.4615384615</v>
      </c>
      <c r="F37" s="80">
        <f>VLOOKUP($C37,'CPSX-Chai'!$B:$F,COLUMNS('CPSX-Chai'!$B$4:E$4),0)+VLOOKUP($C37,'CPSX-Vảy'!$B:$F,COLUMNS('CPSX-Vảy'!$B$4:E$4),0)</f>
        <v>3948717.9487179485</v>
      </c>
      <c r="G37" s="116">
        <f>VLOOKUP($C37,'CPSX-Chai'!$B:$F,COLUMNS('CPSX-Chai'!$B$4:F$4),0)+VLOOKUP($C37,'CPSX-Vảy'!$B:$F,COLUMNS('CPSX-Vảy'!$B$4:F$4),0)</f>
        <v>4935897.435897436</v>
      </c>
      <c r="H37" s="117">
        <f t="shared" ref="H37:H46" si="65">D37*12</f>
        <v>23692307.692307692</v>
      </c>
      <c r="I37" s="78">
        <f t="shared" si="62"/>
        <v>35538461.538461536</v>
      </c>
      <c r="J37" s="78">
        <f t="shared" si="63"/>
        <v>47384615.384615384</v>
      </c>
      <c r="K37" s="118">
        <f t="shared" si="64"/>
        <v>59230769.230769232</v>
      </c>
    </row>
    <row r="38" spans="1:11" ht="14.5" hidden="1" outlineLevel="1" x14ac:dyDescent="0.3">
      <c r="A38" s="347">
        <v>-3</v>
      </c>
      <c r="B38" s="27"/>
      <c r="C38" s="348" t="s">
        <v>323</v>
      </c>
      <c r="D38" s="115">
        <f>VLOOKUP($C38,'CPSX-Chai'!$B:$F,COLUMNS('CPSX-Chai'!$B$4:C$4),0)+VLOOKUP($C38,'CPSX-Vảy'!$B:$F,COLUMNS('CPSX-Vảy'!$B$4:C$4),0)</f>
        <v>4142250</v>
      </c>
      <c r="E38" s="80">
        <f>VLOOKUP($C38,'CPSX-Chai'!$B:$F,COLUMNS('CPSX-Chai'!$B$4:D$4),0)+VLOOKUP($C38,'CPSX-Vảy'!$B:$F,COLUMNS('CPSX-Vảy'!$B$4:D$4),0)</f>
        <v>4142250</v>
      </c>
      <c r="F38" s="80">
        <f>VLOOKUP($C38,'CPSX-Chai'!$B:$F,COLUMNS('CPSX-Chai'!$B$4:E$4),0)+VLOOKUP($C38,'CPSX-Vảy'!$B:$F,COLUMNS('CPSX-Vảy'!$B$4:E$4),0)</f>
        <v>4142250</v>
      </c>
      <c r="G38" s="116">
        <f>VLOOKUP($C38,'CPSX-Chai'!$B:$F,COLUMNS('CPSX-Chai'!$B$4:F$4),0)+VLOOKUP($C38,'CPSX-Vảy'!$B:$F,COLUMNS('CPSX-Vảy'!$B$4:F$4),0)</f>
        <v>4142250</v>
      </c>
      <c r="H38" s="117">
        <f t="shared" si="65"/>
        <v>49707000</v>
      </c>
      <c r="I38" s="78">
        <f t="shared" si="62"/>
        <v>49707000</v>
      </c>
      <c r="J38" s="78">
        <f t="shared" si="63"/>
        <v>49707000</v>
      </c>
      <c r="K38" s="118">
        <f t="shared" si="64"/>
        <v>49707000</v>
      </c>
    </row>
    <row r="39" spans="1:11" ht="14.5" hidden="1" outlineLevel="1" x14ac:dyDescent="0.3">
      <c r="A39" s="347">
        <v>-4</v>
      </c>
      <c r="B39" s="27"/>
      <c r="C39" s="348" t="s">
        <v>317</v>
      </c>
      <c r="D39" s="115">
        <f>VLOOKUP($C39,'CPSX-Chai'!$B:$F,COLUMNS('CPSX-Chai'!$B$4:C$4),0)+VLOOKUP($C39,'CPSX-Vảy'!$B:$F,COLUMNS('CPSX-Vảy'!$B$4:C$4),0)</f>
        <v>0</v>
      </c>
      <c r="E39" s="80">
        <f>VLOOKUP($C39,'CPSX-Chai'!$B:$F,COLUMNS('CPSX-Chai'!$B$4:D$4),0)+VLOOKUP($C39,'CPSX-Vảy'!$B:$F,COLUMNS('CPSX-Vảy'!$B$4:D$4),0)</f>
        <v>0</v>
      </c>
      <c r="F39" s="80">
        <f>VLOOKUP($C39,'CPSX-Chai'!$B:$F,COLUMNS('CPSX-Chai'!$B$4:E$4),0)+VLOOKUP($C39,'CPSX-Vảy'!$B:$F,COLUMNS('CPSX-Vảy'!$B$4:E$4),0)</f>
        <v>0</v>
      </c>
      <c r="G39" s="116">
        <f>VLOOKUP($C39,'CPSX-Chai'!$B:$F,COLUMNS('CPSX-Chai'!$B$4:F$4),0)+VLOOKUP($C39,'CPSX-Vảy'!$B:$F,COLUMNS('CPSX-Vảy'!$B$4:F$4),0)</f>
        <v>0</v>
      </c>
      <c r="H39" s="117">
        <f t="shared" si="65"/>
        <v>0</v>
      </c>
      <c r="I39" s="78">
        <f t="shared" si="62"/>
        <v>0</v>
      </c>
      <c r="J39" s="78">
        <f t="shared" si="63"/>
        <v>0</v>
      </c>
      <c r="K39" s="118">
        <f t="shared" si="64"/>
        <v>0</v>
      </c>
    </row>
    <row r="40" spans="1:11" ht="14.5" hidden="1" outlineLevel="1" x14ac:dyDescent="0.3">
      <c r="A40" s="347">
        <v>-5</v>
      </c>
      <c r="B40" s="27"/>
      <c r="C40" s="348" t="s">
        <v>318</v>
      </c>
      <c r="D40" s="115">
        <f>VLOOKUP($C40,'CPSX-Chai'!$B:$F,COLUMNS('CPSX-Chai'!$B$4:C$4),0)+VLOOKUP($C40,'CPSX-Vảy'!$B:$F,COLUMNS('CPSX-Vảy'!$B$4:C$4),0)</f>
        <v>3000000</v>
      </c>
      <c r="E40" s="80">
        <f>VLOOKUP($C40,'CPSX-Chai'!$B:$F,COLUMNS('CPSX-Chai'!$B$4:D$4),0)+VLOOKUP($C40,'CPSX-Vảy'!$B:$F,COLUMNS('CPSX-Vảy'!$B$4:D$4),0)</f>
        <v>5000000</v>
      </c>
      <c r="F40" s="80">
        <f>VLOOKUP($C40,'CPSX-Chai'!$B:$F,COLUMNS('CPSX-Chai'!$B$4:E$4),0)+VLOOKUP($C40,'CPSX-Vảy'!$B:$F,COLUMNS('CPSX-Vảy'!$B$4:E$4),0)</f>
        <v>7000000</v>
      </c>
      <c r="G40" s="116">
        <f>VLOOKUP($C40,'CPSX-Chai'!$B:$F,COLUMNS('CPSX-Chai'!$B$4:F$4),0)+VLOOKUP($C40,'CPSX-Vảy'!$B:$F,COLUMNS('CPSX-Vảy'!$B$4:F$4),0)</f>
        <v>10000000</v>
      </c>
      <c r="H40" s="117">
        <f t="shared" si="65"/>
        <v>36000000</v>
      </c>
      <c r="I40" s="78">
        <f t="shared" si="62"/>
        <v>60000000</v>
      </c>
      <c r="J40" s="78">
        <f t="shared" si="63"/>
        <v>84000000</v>
      </c>
      <c r="K40" s="118">
        <f t="shared" si="64"/>
        <v>120000000</v>
      </c>
    </row>
    <row r="41" spans="1:11" ht="14.5" hidden="1" outlineLevel="1" x14ac:dyDescent="0.3">
      <c r="A41" s="347">
        <v>-6</v>
      </c>
      <c r="B41" s="27"/>
      <c r="C41" s="348" t="s">
        <v>319</v>
      </c>
      <c r="D41" s="115">
        <f>VLOOKUP($C41,'CPSX-Chai'!$B:$F,COLUMNS('CPSX-Chai'!$B$4:C$4),0)+VLOOKUP($C41,'CPSX-Vảy'!$B:$F,COLUMNS('CPSX-Vảy'!$B$4:C$4),0)</f>
        <v>5000000</v>
      </c>
      <c r="E41" s="80">
        <f>VLOOKUP($C41,'CPSX-Chai'!$B:$F,COLUMNS('CPSX-Chai'!$B$4:D$4),0)+VLOOKUP($C41,'CPSX-Vảy'!$B:$F,COLUMNS('CPSX-Vảy'!$B$4:D$4),0)</f>
        <v>7000000</v>
      </c>
      <c r="F41" s="80">
        <f>VLOOKUP($C41,'CPSX-Chai'!$B:$F,COLUMNS('CPSX-Chai'!$B$4:E$4),0)+VLOOKUP($C41,'CPSX-Vảy'!$B:$F,COLUMNS('CPSX-Vảy'!$B$4:E$4),0)</f>
        <v>8000000</v>
      </c>
      <c r="G41" s="116">
        <f>VLOOKUP($C41,'CPSX-Chai'!$B:$F,COLUMNS('CPSX-Chai'!$B$4:F$4),0)+VLOOKUP($C41,'CPSX-Vảy'!$B:$F,COLUMNS('CPSX-Vảy'!$B$4:F$4),0)</f>
        <v>10000000</v>
      </c>
      <c r="H41" s="117">
        <f t="shared" si="65"/>
        <v>60000000</v>
      </c>
      <c r="I41" s="78">
        <f t="shared" si="62"/>
        <v>84000000</v>
      </c>
      <c r="J41" s="78">
        <f t="shared" si="63"/>
        <v>96000000</v>
      </c>
      <c r="K41" s="118">
        <f t="shared" si="64"/>
        <v>120000000</v>
      </c>
    </row>
    <row r="42" spans="1:11" ht="14.5" hidden="1" outlineLevel="1" x14ac:dyDescent="0.3">
      <c r="A42" s="347">
        <v>-7</v>
      </c>
      <c r="B42" s="27"/>
      <c r="C42" s="348" t="s">
        <v>195</v>
      </c>
      <c r="D42" s="117">
        <f>VLOOKUP($C42,'CPSX-Chai'!$B:$F,COLUMNS('CPSX-Chai'!$B$4:C$4),0)+VLOOKUP($C42,'CPSX-Vảy'!$B:$F,COLUMNS('CPSX-Vảy'!$B$4:C$4),0)</f>
        <v>414225000</v>
      </c>
      <c r="E42" s="78">
        <f>VLOOKUP($C42,'CPSX-Chai'!$B:$F,COLUMNS('CPSX-Chai'!$B$4:D$4),0)+VLOOKUP($C42,'CPSX-Vảy'!$B:$F,COLUMNS('CPSX-Vảy'!$B$4:D$4),0)</f>
        <v>414225000</v>
      </c>
      <c r="F42" s="78">
        <f>VLOOKUP($C42,'CPSX-Chai'!$B:$F,COLUMNS('CPSX-Chai'!$B$4:E$4),0)+VLOOKUP($C42,'CPSX-Vảy'!$B:$F,COLUMNS('CPSX-Vảy'!$B$4:E$4),0)</f>
        <v>414225000</v>
      </c>
      <c r="G42" s="118">
        <f>VLOOKUP($C42,'CPSX-Chai'!$B:$F,COLUMNS('CPSX-Chai'!$B$4:F$4),0)+VLOOKUP($C42,'CPSX-Vảy'!$B:$F,COLUMNS('CPSX-Vảy'!$B$4:F$4),0)</f>
        <v>414225000</v>
      </c>
      <c r="H42" s="117">
        <f t="shared" si="65"/>
        <v>4970700000</v>
      </c>
      <c r="I42" s="78">
        <f t="shared" si="62"/>
        <v>4970700000</v>
      </c>
      <c r="J42" s="78">
        <f t="shared" si="63"/>
        <v>4970700000</v>
      </c>
      <c r="K42" s="118">
        <f t="shared" si="64"/>
        <v>4970700000</v>
      </c>
    </row>
    <row r="43" spans="1:11" ht="14.5" hidden="1" outlineLevel="1" x14ac:dyDescent="0.3">
      <c r="A43" s="347">
        <v>-8</v>
      </c>
      <c r="B43" s="27"/>
      <c r="C43" s="348" t="s">
        <v>320</v>
      </c>
      <c r="D43" s="115">
        <f>VLOOKUP($C43,'CPSX-Chai'!$B:$F,COLUMNS('CPSX-Chai'!$B$4:C$4),0)+VLOOKUP($C43,'CPSX-Vảy'!$B:$F,COLUMNS('CPSX-Vảy'!$B$4:C$4),0)</f>
        <v>0</v>
      </c>
      <c r="E43" s="80">
        <f>VLOOKUP($C43,'CPSX-Chai'!$B:$F,COLUMNS('CPSX-Chai'!$B$4:D$4),0)+VLOOKUP($C43,'CPSX-Vảy'!$B:$F,COLUMNS('CPSX-Vảy'!$B$4:D$4),0)</f>
        <v>0</v>
      </c>
      <c r="F43" s="80">
        <f>VLOOKUP($C43,'CPSX-Chai'!$B:$F,COLUMNS('CPSX-Chai'!$B$4:E$4),0)+VLOOKUP($C43,'CPSX-Vảy'!$B:$F,COLUMNS('CPSX-Vảy'!$B$4:E$4),0)</f>
        <v>0</v>
      </c>
      <c r="G43" s="116">
        <f>VLOOKUP($C43,'CPSX-Chai'!$B:$F,COLUMNS('CPSX-Chai'!$B$4:F$4),0)+VLOOKUP($C43,'CPSX-Vảy'!$B:$F,COLUMNS('CPSX-Vảy'!$B$4:F$4),0)</f>
        <v>0</v>
      </c>
      <c r="H43" s="117">
        <f t="shared" si="65"/>
        <v>0</v>
      </c>
      <c r="I43" s="78">
        <f t="shared" si="62"/>
        <v>0</v>
      </c>
      <c r="J43" s="78">
        <f t="shared" si="63"/>
        <v>0</v>
      </c>
      <c r="K43" s="118">
        <f t="shared" si="64"/>
        <v>0</v>
      </c>
    </row>
    <row r="44" spans="1:11" ht="14.5" hidden="1" outlineLevel="1" x14ac:dyDescent="0.3">
      <c r="A44" s="347">
        <v>-9</v>
      </c>
      <c r="B44" s="27"/>
      <c r="C44" s="348" t="s">
        <v>321</v>
      </c>
      <c r="D44" s="115">
        <f>VLOOKUP($C44,'CPSX-Chai'!$B:$F,COLUMNS('CPSX-Chai'!$B$4:C$4),0)+VLOOKUP($C44,'CPSX-Vảy'!$B:$F,COLUMNS('CPSX-Vảy'!$B$4:C$4),0)</f>
        <v>0</v>
      </c>
      <c r="E44" s="80">
        <f>VLOOKUP($C44,'CPSX-Chai'!$B:$F,COLUMNS('CPSX-Chai'!$B$4:D$4),0)+VLOOKUP($C44,'CPSX-Vảy'!$B:$F,COLUMNS('CPSX-Vảy'!$B$4:D$4),0)</f>
        <v>0</v>
      </c>
      <c r="F44" s="80">
        <f>VLOOKUP($C44,'CPSX-Chai'!$B:$F,COLUMNS('CPSX-Chai'!$B$4:E$4),0)+VLOOKUP($C44,'CPSX-Vảy'!$B:$F,COLUMNS('CPSX-Vảy'!$B$4:E$4),0)</f>
        <v>0</v>
      </c>
      <c r="G44" s="116">
        <f>VLOOKUP($C44,'CPSX-Chai'!$B:$F,COLUMNS('CPSX-Chai'!$B$4:F$4),0)+VLOOKUP($C44,'CPSX-Vảy'!$B:$F,COLUMNS('CPSX-Vảy'!$B$4:F$4),0)</f>
        <v>0</v>
      </c>
      <c r="H44" s="117">
        <f t="shared" si="65"/>
        <v>0</v>
      </c>
      <c r="I44" s="78">
        <f t="shared" si="62"/>
        <v>0</v>
      </c>
      <c r="J44" s="78">
        <f t="shared" si="63"/>
        <v>0</v>
      </c>
      <c r="K44" s="118">
        <f t="shared" si="64"/>
        <v>0</v>
      </c>
    </row>
    <row r="45" spans="1:11" ht="14.5" hidden="1" outlineLevel="1" x14ac:dyDescent="0.3">
      <c r="A45" s="347">
        <v>-10</v>
      </c>
      <c r="B45" s="27"/>
      <c r="C45" s="348" t="s">
        <v>322</v>
      </c>
      <c r="D45" s="115">
        <f>VLOOKUP($C45,'CPSX-Chai'!$B:$F,COLUMNS('CPSX-Chai'!$B$4:C$4),0)+VLOOKUP($C45,'CPSX-Vảy'!$B:$F,COLUMNS('CPSX-Vảy'!$B$4:C$4),0)</f>
        <v>0</v>
      </c>
      <c r="E45" s="80">
        <f>VLOOKUP($C45,'CPSX-Chai'!$B:$F,COLUMNS('CPSX-Chai'!$B$4:D$4),0)+VLOOKUP($C45,'CPSX-Vảy'!$B:$F,COLUMNS('CPSX-Vảy'!$B$4:D$4),0)</f>
        <v>0</v>
      </c>
      <c r="F45" s="80">
        <f>VLOOKUP($C45,'CPSX-Chai'!$B:$F,COLUMNS('CPSX-Chai'!$B$4:E$4),0)+VLOOKUP($C45,'CPSX-Vảy'!$B:$F,COLUMNS('CPSX-Vảy'!$B$4:E$4),0)</f>
        <v>0</v>
      </c>
      <c r="G45" s="116">
        <f>VLOOKUP($C45,'CPSX-Chai'!$B:$F,COLUMNS('CPSX-Chai'!$B$4:F$4),0)+VLOOKUP($C45,'CPSX-Vảy'!$B:$F,COLUMNS('CPSX-Vảy'!$B$4:F$4),0)</f>
        <v>0</v>
      </c>
      <c r="H45" s="117">
        <f t="shared" si="65"/>
        <v>0</v>
      </c>
      <c r="I45" s="78">
        <f t="shared" si="62"/>
        <v>0</v>
      </c>
      <c r="J45" s="78">
        <f t="shared" si="63"/>
        <v>0</v>
      </c>
      <c r="K45" s="118">
        <f t="shared" si="64"/>
        <v>0</v>
      </c>
    </row>
    <row r="46" spans="1:11" ht="14.5" hidden="1" outlineLevel="1" x14ac:dyDescent="0.3">
      <c r="A46" s="347">
        <v>-11</v>
      </c>
      <c r="B46" s="27"/>
      <c r="C46" s="348" t="s">
        <v>429</v>
      </c>
      <c r="D46" s="115">
        <f>VLOOKUP($C46,'CPSX-Chai'!$B:$F,COLUMNS('CPSX-Chai'!$B$4:C$4),0)+VLOOKUP($C46,'CPSX-Vảy'!$B:$F,COLUMNS('CPSX-Vảy'!$B$4:C$4),0)</f>
        <v>3000000</v>
      </c>
      <c r="E46" s="80">
        <f>VLOOKUP($C46,'CPSX-Chai'!$B:$F,COLUMNS('CPSX-Chai'!$B$4:D$4),0)+VLOOKUP($C46,'CPSX-Vảy'!$B:$F,COLUMNS('CPSX-Vảy'!$B$4:D$4),0)</f>
        <v>5000000</v>
      </c>
      <c r="F46" s="80">
        <f>VLOOKUP($C46,'CPSX-Chai'!$B:$F,COLUMNS('CPSX-Chai'!$B$4:E$4),0)+VLOOKUP($C46,'CPSX-Vảy'!$B:$F,COLUMNS('CPSX-Vảy'!$B$4:E$4),0)</f>
        <v>8000000</v>
      </c>
      <c r="G46" s="116">
        <f>VLOOKUP($C46,'CPSX-Chai'!$B:$F,COLUMNS('CPSX-Chai'!$B$4:F$4),0)+VLOOKUP($C46,'CPSX-Vảy'!$B:$F,COLUMNS('CPSX-Vảy'!$B$4:F$4),0)</f>
        <v>10000000</v>
      </c>
      <c r="H46" s="117">
        <f t="shared" si="65"/>
        <v>36000000</v>
      </c>
      <c r="I46" s="78">
        <f t="shared" si="62"/>
        <v>60000000</v>
      </c>
      <c r="J46" s="78">
        <f t="shared" si="63"/>
        <v>96000000</v>
      </c>
      <c r="K46" s="118">
        <f t="shared" si="64"/>
        <v>120000000</v>
      </c>
    </row>
    <row r="47" spans="1:11" collapsed="1" x14ac:dyDescent="0.3">
      <c r="A47" s="346">
        <v>5.2</v>
      </c>
      <c r="B47" s="25" t="s">
        <v>330</v>
      </c>
      <c r="C47" s="352"/>
      <c r="D47" s="111">
        <f t="shared" ref="D47:K47" si="66">SUM(D49:D65)</f>
        <v>118301134.33333334</v>
      </c>
      <c r="E47" s="79">
        <f t="shared" si="66"/>
        <v>118301134.33333334</v>
      </c>
      <c r="F47" s="79">
        <f t="shared" si="66"/>
        <v>118301134.33333334</v>
      </c>
      <c r="G47" s="112">
        <f t="shared" si="66"/>
        <v>118301134.33333334</v>
      </c>
      <c r="H47" s="111">
        <f t="shared" si="66"/>
        <v>1419613612</v>
      </c>
      <c r="I47" s="79">
        <f t="shared" si="66"/>
        <v>1419613612</v>
      </c>
      <c r="J47" s="79">
        <f t="shared" si="66"/>
        <v>1419613612</v>
      </c>
      <c r="K47" s="112">
        <f t="shared" si="66"/>
        <v>1419613612</v>
      </c>
    </row>
    <row r="48" spans="1:11" ht="14.5" x14ac:dyDescent="0.35">
      <c r="A48" s="355"/>
      <c r="B48" s="29"/>
      <c r="C48" s="350" t="s">
        <v>337</v>
      </c>
      <c r="D48" s="113">
        <f>IFERROR(D47/D$5,0)</f>
        <v>2.242590505257305E-2</v>
      </c>
      <c r="E48" s="77">
        <f t="shared" ref="E48" si="67">IFERROR(E47/E$5,0)</f>
        <v>1.4950603368382031E-2</v>
      </c>
      <c r="F48" s="77">
        <f t="shared" ref="F48" si="68">IFERROR(F47/F$5,0)</f>
        <v>1.1212952526286525E-2</v>
      </c>
      <c r="G48" s="114">
        <f t="shared" ref="G48" si="69">IFERROR(G47/G$5,0)</f>
        <v>8.9703620210292191E-3</v>
      </c>
      <c r="H48" s="113">
        <f>IFERROR(H47/H$5,0)</f>
        <v>2.2425905052573046E-2</v>
      </c>
      <c r="I48" s="77">
        <f t="shared" ref="I48:K48" si="70">IFERROR(I47/I$5,0)</f>
        <v>1.4950603368382031E-2</v>
      </c>
      <c r="J48" s="77">
        <f t="shared" si="70"/>
        <v>1.1212952526286523E-2</v>
      </c>
      <c r="K48" s="114">
        <f t="shared" si="70"/>
        <v>8.9703620210292191E-3</v>
      </c>
    </row>
    <row r="49" spans="1:11" ht="14.5" hidden="1" outlineLevel="1" x14ac:dyDescent="0.3">
      <c r="A49" s="347">
        <v>-1</v>
      </c>
      <c r="B49" s="27"/>
      <c r="C49" s="348" t="s">
        <v>88</v>
      </c>
      <c r="D49" s="115">
        <f>VLOOKUP($C49,CPQL!$B:$F,COLUMNS(CPQL!$B$3:C$3),0)</f>
        <v>2000000</v>
      </c>
      <c r="E49" s="80">
        <f>VLOOKUP($C49,CPQL!$B:$F,COLUMNS(CPQL!$B$3:D$3),0)</f>
        <v>2000000</v>
      </c>
      <c r="F49" s="80">
        <f>VLOOKUP($C49,CPQL!$B:$F,COLUMNS(CPQL!$B$3:E$3),0)</f>
        <v>2000000</v>
      </c>
      <c r="G49" s="116">
        <f>VLOOKUP($C49,CPQL!$B:$F,COLUMNS(CPQL!$B$3:F$3),0)</f>
        <v>2000000</v>
      </c>
      <c r="H49" s="117">
        <f t="shared" ref="H49:H65" si="71">D49*12</f>
        <v>24000000</v>
      </c>
      <c r="I49" s="78">
        <f t="shared" ref="I49:I65" si="72">E49*12</f>
        <v>24000000</v>
      </c>
      <c r="J49" s="78">
        <f t="shared" ref="J49:J65" si="73">F49*12</f>
        <v>24000000</v>
      </c>
      <c r="K49" s="118">
        <f t="shared" ref="K49:K65" si="74">G49*12</f>
        <v>24000000</v>
      </c>
    </row>
    <row r="50" spans="1:11" ht="14.5" hidden="1" outlineLevel="1" x14ac:dyDescent="0.3">
      <c r="A50" s="347">
        <v>-2</v>
      </c>
      <c r="B50" s="27"/>
      <c r="C50" s="348" t="s">
        <v>89</v>
      </c>
      <c r="D50" s="115">
        <f>VLOOKUP($C50,CPQL!$B:$F,COLUMNS(CPQL!$B$3:C$3),0)</f>
        <v>3000000</v>
      </c>
      <c r="E50" s="80">
        <f>VLOOKUP($C50,CPQL!$B:$F,COLUMNS(CPQL!$B$3:D$3),0)</f>
        <v>3000000</v>
      </c>
      <c r="F50" s="80">
        <f>VLOOKUP($C50,CPQL!$B:$F,COLUMNS(CPQL!$B$3:E$3),0)</f>
        <v>3000000</v>
      </c>
      <c r="G50" s="116">
        <f>VLOOKUP($C50,CPQL!$B:$F,COLUMNS(CPQL!$B$3:F$3),0)</f>
        <v>3000000</v>
      </c>
      <c r="H50" s="117">
        <f t="shared" si="71"/>
        <v>36000000</v>
      </c>
      <c r="I50" s="78">
        <f t="shared" si="72"/>
        <v>36000000</v>
      </c>
      <c r="J50" s="78">
        <f t="shared" si="73"/>
        <v>36000000</v>
      </c>
      <c r="K50" s="118">
        <f t="shared" si="74"/>
        <v>36000000</v>
      </c>
    </row>
    <row r="51" spans="1:11" ht="14.5" hidden="1" outlineLevel="1" x14ac:dyDescent="0.3">
      <c r="A51" s="347">
        <v>-3</v>
      </c>
      <c r="B51" s="27"/>
      <c r="C51" s="348" t="s">
        <v>96</v>
      </c>
      <c r="D51" s="115">
        <f>VLOOKUP($C51,CPQL!$B:$F,COLUMNS(CPQL!$B$3:C$3),0)</f>
        <v>36000000</v>
      </c>
      <c r="E51" s="80">
        <f>VLOOKUP($C51,CPQL!$B:$F,COLUMNS(CPQL!$B$3:D$3),0)</f>
        <v>36000000</v>
      </c>
      <c r="F51" s="80">
        <f>VLOOKUP($C51,CPQL!$B:$F,COLUMNS(CPQL!$B$3:E$3),0)</f>
        <v>36000000</v>
      </c>
      <c r="G51" s="116">
        <f>VLOOKUP($C51,CPQL!$B:$F,COLUMNS(CPQL!$B$3:F$3),0)</f>
        <v>36000000</v>
      </c>
      <c r="H51" s="117">
        <f t="shared" si="71"/>
        <v>432000000</v>
      </c>
      <c r="I51" s="78">
        <f t="shared" si="72"/>
        <v>432000000</v>
      </c>
      <c r="J51" s="78">
        <f t="shared" si="73"/>
        <v>432000000</v>
      </c>
      <c r="K51" s="118">
        <f t="shared" si="74"/>
        <v>432000000</v>
      </c>
    </row>
    <row r="52" spans="1:11" ht="14.5" hidden="1" outlineLevel="1" x14ac:dyDescent="0.3">
      <c r="A52" s="347">
        <v>-4</v>
      </c>
      <c r="B52" s="27"/>
      <c r="C52" s="348" t="s">
        <v>106</v>
      </c>
      <c r="D52" s="115">
        <f>VLOOKUP($C52,CPQL!$B:$F,COLUMNS(CPQL!$B$3:C$3),0)</f>
        <v>3698334.3333333335</v>
      </c>
      <c r="E52" s="80">
        <f>VLOOKUP($C52,CPQL!$B:$F,COLUMNS(CPQL!$B$3:D$3),0)</f>
        <v>3698334.3333333335</v>
      </c>
      <c r="F52" s="80">
        <f>VLOOKUP($C52,CPQL!$B:$F,COLUMNS(CPQL!$B$3:E$3),0)</f>
        <v>3698334.3333333335</v>
      </c>
      <c r="G52" s="116">
        <f>VLOOKUP($C52,CPQL!$B:$F,COLUMNS(CPQL!$B$3:F$3),0)</f>
        <v>3698334.3333333335</v>
      </c>
      <c r="H52" s="117">
        <f t="shared" si="71"/>
        <v>44380012</v>
      </c>
      <c r="I52" s="78">
        <f t="shared" si="72"/>
        <v>44380012</v>
      </c>
      <c r="J52" s="78">
        <f t="shared" si="73"/>
        <v>44380012</v>
      </c>
      <c r="K52" s="118">
        <f t="shared" si="74"/>
        <v>44380012</v>
      </c>
    </row>
    <row r="53" spans="1:11" ht="14.5" hidden="1" outlineLevel="1" x14ac:dyDescent="0.3">
      <c r="A53" s="347">
        <v>-5</v>
      </c>
      <c r="B53" s="27"/>
      <c r="C53" s="348" t="s">
        <v>423</v>
      </c>
      <c r="D53" s="115">
        <f>VLOOKUP($C53,CPQL!$B:$F,COLUMNS(CPQL!$B$3:C$3),0)</f>
        <v>0</v>
      </c>
      <c r="E53" s="80">
        <f>VLOOKUP($C53,CPQL!$B:$F,COLUMNS(CPQL!$B$3:D$3),0)</f>
        <v>0</v>
      </c>
      <c r="F53" s="80">
        <f>VLOOKUP($C53,CPQL!$B:$F,COLUMNS(CPQL!$B$3:E$3),0)</f>
        <v>0</v>
      </c>
      <c r="G53" s="116">
        <f>VLOOKUP($C53,CPQL!$B:$F,COLUMNS(CPQL!$B$3:F$3),0)</f>
        <v>0</v>
      </c>
      <c r="H53" s="117">
        <f t="shared" si="71"/>
        <v>0</v>
      </c>
      <c r="I53" s="78">
        <f t="shared" si="72"/>
        <v>0</v>
      </c>
      <c r="J53" s="78">
        <f t="shared" si="73"/>
        <v>0</v>
      </c>
      <c r="K53" s="118">
        <f t="shared" si="74"/>
        <v>0</v>
      </c>
    </row>
    <row r="54" spans="1:11" ht="14.5" hidden="1" outlineLevel="1" x14ac:dyDescent="0.3">
      <c r="A54" s="347">
        <v>-6</v>
      </c>
      <c r="B54" s="27"/>
      <c r="C54" s="348" t="s">
        <v>94</v>
      </c>
      <c r="D54" s="115">
        <f>VLOOKUP($C54,CPQL!$B:$F,COLUMNS(CPQL!$B$3:C$3),0)</f>
        <v>48102800</v>
      </c>
      <c r="E54" s="80">
        <f>VLOOKUP($C54,CPQL!$B:$F,COLUMNS(CPQL!$B$3:D$3),0)</f>
        <v>48102800</v>
      </c>
      <c r="F54" s="80">
        <f>VLOOKUP($C54,CPQL!$B:$F,COLUMNS(CPQL!$B$3:E$3),0)</f>
        <v>48102800</v>
      </c>
      <c r="G54" s="116">
        <f>VLOOKUP($C54,CPQL!$B:$F,COLUMNS(CPQL!$B$3:F$3),0)</f>
        <v>48102800</v>
      </c>
      <c r="H54" s="117">
        <f t="shared" si="71"/>
        <v>577233600</v>
      </c>
      <c r="I54" s="78">
        <f t="shared" si="72"/>
        <v>577233600</v>
      </c>
      <c r="J54" s="78">
        <f t="shared" si="73"/>
        <v>577233600</v>
      </c>
      <c r="K54" s="118">
        <f t="shared" si="74"/>
        <v>577233600</v>
      </c>
    </row>
    <row r="55" spans="1:11" ht="14.5" hidden="1" outlineLevel="1" x14ac:dyDescent="0.3">
      <c r="A55" s="347">
        <v>-7</v>
      </c>
      <c r="B55" s="27"/>
      <c r="C55" s="348" t="s">
        <v>107</v>
      </c>
      <c r="D55" s="115">
        <f>VLOOKUP($C55,CPQL!$B:$F,COLUMNS(CPQL!$B$3:C$3),0)</f>
        <v>2000000</v>
      </c>
      <c r="E55" s="80">
        <f>VLOOKUP($C55,CPQL!$B:$F,COLUMNS(CPQL!$B$3:D$3),0)</f>
        <v>2000000</v>
      </c>
      <c r="F55" s="80">
        <f>VLOOKUP($C55,CPQL!$B:$F,COLUMNS(CPQL!$B$3:E$3),0)</f>
        <v>2000000</v>
      </c>
      <c r="G55" s="116">
        <f>VLOOKUP($C55,CPQL!$B:$F,COLUMNS(CPQL!$B$3:F$3),0)</f>
        <v>2000000</v>
      </c>
      <c r="H55" s="117">
        <f t="shared" si="71"/>
        <v>24000000</v>
      </c>
      <c r="I55" s="78">
        <f t="shared" si="72"/>
        <v>24000000</v>
      </c>
      <c r="J55" s="78">
        <f t="shared" si="73"/>
        <v>24000000</v>
      </c>
      <c r="K55" s="118">
        <f t="shared" si="74"/>
        <v>24000000</v>
      </c>
    </row>
    <row r="56" spans="1:11" ht="14.5" hidden="1" outlineLevel="1" x14ac:dyDescent="0.3">
      <c r="A56" s="347">
        <v>-8</v>
      </c>
      <c r="B56" s="27"/>
      <c r="C56" s="348" t="s">
        <v>95</v>
      </c>
      <c r="D56" s="115">
        <f>VLOOKUP($C56,CPQL!$B:$F,COLUMNS(CPQL!$B$3:C$3),0)</f>
        <v>1500000</v>
      </c>
      <c r="E56" s="80">
        <f>VLOOKUP($C56,CPQL!$B:$F,COLUMNS(CPQL!$B$3:D$3),0)</f>
        <v>1500000</v>
      </c>
      <c r="F56" s="80">
        <f>VLOOKUP($C56,CPQL!$B:$F,COLUMNS(CPQL!$B$3:E$3),0)</f>
        <v>1500000</v>
      </c>
      <c r="G56" s="116">
        <f>VLOOKUP($C56,CPQL!$B:$F,COLUMNS(CPQL!$B$3:F$3),0)</f>
        <v>1500000</v>
      </c>
      <c r="H56" s="117">
        <f t="shared" si="71"/>
        <v>18000000</v>
      </c>
      <c r="I56" s="78">
        <f t="shared" si="72"/>
        <v>18000000</v>
      </c>
      <c r="J56" s="78">
        <f t="shared" si="73"/>
        <v>18000000</v>
      </c>
      <c r="K56" s="118">
        <f t="shared" si="74"/>
        <v>18000000</v>
      </c>
    </row>
    <row r="57" spans="1:11" ht="14" hidden="1" customHeight="1" outlineLevel="1" x14ac:dyDescent="0.3">
      <c r="A57" s="347">
        <v>-9</v>
      </c>
      <c r="B57" s="27"/>
      <c r="C57" s="348" t="s">
        <v>108</v>
      </c>
      <c r="D57" s="115">
        <f>VLOOKUP($C57,CPQL!$B:$F,COLUMNS(CPQL!$B$3:C$3),0)</f>
        <v>3833333.3333333335</v>
      </c>
      <c r="E57" s="80">
        <f>VLOOKUP($C57,CPQL!$B:$F,COLUMNS(CPQL!$B$3:D$3),0)</f>
        <v>3833333.3333333335</v>
      </c>
      <c r="F57" s="80">
        <f>VLOOKUP($C57,CPQL!$B:$F,COLUMNS(CPQL!$B$3:E$3),0)</f>
        <v>3833333.3333333335</v>
      </c>
      <c r="G57" s="116">
        <f>VLOOKUP($C57,CPQL!$B:$F,COLUMNS(CPQL!$B$3:F$3),0)</f>
        <v>3833333.3333333335</v>
      </c>
      <c r="H57" s="117">
        <f t="shared" si="71"/>
        <v>46000000</v>
      </c>
      <c r="I57" s="78">
        <f t="shared" si="72"/>
        <v>46000000</v>
      </c>
      <c r="J57" s="78">
        <f t="shared" si="73"/>
        <v>46000000</v>
      </c>
      <c r="K57" s="118">
        <f t="shared" si="74"/>
        <v>46000000</v>
      </c>
    </row>
    <row r="58" spans="1:11" ht="14.5" hidden="1" outlineLevel="1" x14ac:dyDescent="0.3">
      <c r="A58" s="347">
        <v>-10</v>
      </c>
      <c r="B58" s="27"/>
      <c r="C58" s="348" t="s">
        <v>97</v>
      </c>
      <c r="D58" s="115">
        <f>VLOOKUP($C58,CPQL!$B:$F,COLUMNS(CPQL!$B$3:C$3),0)</f>
        <v>4500000</v>
      </c>
      <c r="E58" s="80">
        <f>VLOOKUP($C58,CPQL!$B:$F,COLUMNS(CPQL!$B$3:D$3),0)</f>
        <v>4500000</v>
      </c>
      <c r="F58" s="80">
        <f>VLOOKUP($C58,CPQL!$B:$F,COLUMNS(CPQL!$B$3:E$3),0)</f>
        <v>4500000</v>
      </c>
      <c r="G58" s="116">
        <f>VLOOKUP($C58,CPQL!$B:$F,COLUMNS(CPQL!$B$3:F$3),0)</f>
        <v>4500000</v>
      </c>
      <c r="H58" s="117">
        <f t="shared" si="71"/>
        <v>54000000</v>
      </c>
      <c r="I58" s="78">
        <f t="shared" si="72"/>
        <v>54000000</v>
      </c>
      <c r="J58" s="78">
        <f t="shared" si="73"/>
        <v>54000000</v>
      </c>
      <c r="K58" s="118">
        <f t="shared" si="74"/>
        <v>54000000</v>
      </c>
    </row>
    <row r="59" spans="1:11" ht="14.5" hidden="1" outlineLevel="1" x14ac:dyDescent="0.3">
      <c r="A59" s="347">
        <v>-11</v>
      </c>
      <c r="B59" s="27"/>
      <c r="C59" s="348" t="s">
        <v>111</v>
      </c>
      <c r="D59" s="115">
        <f>VLOOKUP($C59,CPQL!$B:$F,COLUMNS(CPQL!$B$3:C$3),0)</f>
        <v>1500000</v>
      </c>
      <c r="E59" s="80">
        <f>VLOOKUP($C59,CPQL!$B:$F,COLUMNS(CPQL!$B$3:D$3),0)</f>
        <v>1500000</v>
      </c>
      <c r="F59" s="80">
        <f>VLOOKUP($C59,CPQL!$B:$F,COLUMNS(CPQL!$B$3:E$3),0)</f>
        <v>1500000</v>
      </c>
      <c r="G59" s="116">
        <f>VLOOKUP($C59,CPQL!$B:$F,COLUMNS(CPQL!$B$3:F$3),0)</f>
        <v>1500000</v>
      </c>
      <c r="H59" s="117">
        <f t="shared" si="71"/>
        <v>18000000</v>
      </c>
      <c r="I59" s="78">
        <f t="shared" si="72"/>
        <v>18000000</v>
      </c>
      <c r="J59" s="78">
        <f t="shared" si="73"/>
        <v>18000000</v>
      </c>
      <c r="K59" s="118">
        <f t="shared" si="74"/>
        <v>18000000</v>
      </c>
    </row>
    <row r="60" spans="1:11" ht="14.5" hidden="1" outlineLevel="1" x14ac:dyDescent="0.3">
      <c r="A60" s="347">
        <v>-12</v>
      </c>
      <c r="B60" s="27"/>
      <c r="C60" s="348" t="s">
        <v>116</v>
      </c>
      <c r="D60" s="115">
        <f>VLOOKUP($C60,CPQL!$B:$F,COLUMNS(CPQL!$B$3:C$3),0)</f>
        <v>5000000</v>
      </c>
      <c r="E60" s="80">
        <f>VLOOKUP($C60,CPQL!$B:$F,COLUMNS(CPQL!$B$3:D$3),0)</f>
        <v>5000000</v>
      </c>
      <c r="F60" s="80">
        <f>VLOOKUP($C60,CPQL!$B:$F,COLUMNS(CPQL!$B$3:E$3),0)</f>
        <v>5000000</v>
      </c>
      <c r="G60" s="116">
        <f>VLOOKUP($C60,CPQL!$B:$F,COLUMNS(CPQL!$B$3:F$3),0)</f>
        <v>5000000</v>
      </c>
      <c r="H60" s="117">
        <f t="shared" si="71"/>
        <v>60000000</v>
      </c>
      <c r="I60" s="78">
        <f t="shared" si="72"/>
        <v>60000000</v>
      </c>
      <c r="J60" s="78">
        <f t="shared" si="73"/>
        <v>60000000</v>
      </c>
      <c r="K60" s="118">
        <f t="shared" si="74"/>
        <v>60000000</v>
      </c>
    </row>
    <row r="61" spans="1:11" ht="14.5" hidden="1" outlineLevel="1" x14ac:dyDescent="0.3">
      <c r="A61" s="347">
        <v>-13</v>
      </c>
      <c r="B61" s="27"/>
      <c r="C61" s="348" t="s">
        <v>119</v>
      </c>
      <c r="D61" s="115">
        <f>VLOOKUP($C61,CPQL!$B:$F,COLUMNS(CPQL!$B$3:C$3),0)</f>
        <v>1000000</v>
      </c>
      <c r="E61" s="80">
        <f>VLOOKUP($C61,CPQL!$B:$F,COLUMNS(CPQL!$B$3:D$3),0)</f>
        <v>1000000</v>
      </c>
      <c r="F61" s="80">
        <f>VLOOKUP($C61,CPQL!$B:$F,COLUMNS(CPQL!$B$3:E$3),0)</f>
        <v>1000000</v>
      </c>
      <c r="G61" s="116">
        <f>VLOOKUP($C61,CPQL!$B:$F,COLUMNS(CPQL!$B$3:F$3),0)</f>
        <v>1000000</v>
      </c>
      <c r="H61" s="117">
        <f t="shared" si="71"/>
        <v>12000000</v>
      </c>
      <c r="I61" s="78">
        <f t="shared" si="72"/>
        <v>12000000</v>
      </c>
      <c r="J61" s="78">
        <f t="shared" si="73"/>
        <v>12000000</v>
      </c>
      <c r="K61" s="118">
        <f t="shared" si="74"/>
        <v>12000000</v>
      </c>
    </row>
    <row r="62" spans="1:11" ht="14.5" hidden="1" outlineLevel="1" x14ac:dyDescent="0.3">
      <c r="A62" s="347">
        <v>-14</v>
      </c>
      <c r="B62" s="27"/>
      <c r="C62" s="348" t="s">
        <v>154</v>
      </c>
      <c r="D62" s="115">
        <f>VLOOKUP($C62,CPQL!$B:$F,COLUMNS(CPQL!$B$3:C$3),0)</f>
        <v>500000</v>
      </c>
      <c r="E62" s="80">
        <f>VLOOKUP($C62,CPQL!$B:$F,COLUMNS(CPQL!$B$3:D$3),0)</f>
        <v>500000</v>
      </c>
      <c r="F62" s="80">
        <f>VLOOKUP($C62,CPQL!$B:$F,COLUMNS(CPQL!$B$3:E$3),0)</f>
        <v>500000</v>
      </c>
      <c r="G62" s="116">
        <f>VLOOKUP($C62,CPQL!$B:$F,COLUMNS(CPQL!$B$3:F$3),0)</f>
        <v>500000</v>
      </c>
      <c r="H62" s="117">
        <f t="shared" si="71"/>
        <v>6000000</v>
      </c>
      <c r="I62" s="78">
        <f t="shared" si="72"/>
        <v>6000000</v>
      </c>
      <c r="J62" s="78">
        <f t="shared" si="73"/>
        <v>6000000</v>
      </c>
      <c r="K62" s="118">
        <f t="shared" si="74"/>
        <v>6000000</v>
      </c>
    </row>
    <row r="63" spans="1:11" ht="14.5" hidden="1" outlineLevel="1" x14ac:dyDescent="0.3">
      <c r="A63" s="347">
        <v>-15</v>
      </c>
      <c r="B63" s="27"/>
      <c r="C63" s="348" t="s">
        <v>103</v>
      </c>
      <c r="D63" s="115">
        <f>VLOOKUP($C63,CPQL!$B:$F,COLUMNS(CPQL!$B$3:C$3),0)</f>
        <v>250000</v>
      </c>
      <c r="E63" s="80">
        <f>VLOOKUP($C63,CPQL!$B:$F,COLUMNS(CPQL!$B$3:D$3),0)</f>
        <v>250000</v>
      </c>
      <c r="F63" s="80">
        <f>VLOOKUP($C63,CPQL!$B:$F,COLUMNS(CPQL!$B$3:E$3),0)</f>
        <v>250000</v>
      </c>
      <c r="G63" s="116">
        <f>VLOOKUP($C63,CPQL!$B:$F,COLUMNS(CPQL!$B$3:F$3),0)</f>
        <v>250000</v>
      </c>
      <c r="H63" s="117">
        <f t="shared" si="71"/>
        <v>3000000</v>
      </c>
      <c r="I63" s="78">
        <f t="shared" si="72"/>
        <v>3000000</v>
      </c>
      <c r="J63" s="78">
        <f t="shared" si="73"/>
        <v>3000000</v>
      </c>
      <c r="K63" s="118">
        <f t="shared" si="74"/>
        <v>3000000</v>
      </c>
    </row>
    <row r="64" spans="1:11" ht="14.5" hidden="1" outlineLevel="1" x14ac:dyDescent="0.3">
      <c r="A64" s="347">
        <v>-16</v>
      </c>
      <c r="B64" s="27"/>
      <c r="C64" s="348" t="s">
        <v>93</v>
      </c>
      <c r="D64" s="115">
        <f>VLOOKUP($C64,CPQL!$B:$F,COLUMNS(CPQL!$B$3:C$3),0)</f>
        <v>1000000</v>
      </c>
      <c r="E64" s="80">
        <f>VLOOKUP($C64,CPQL!$B:$F,COLUMNS(CPQL!$B$3:D$3),0)</f>
        <v>1000000</v>
      </c>
      <c r="F64" s="80">
        <f>VLOOKUP($C64,CPQL!$B:$F,COLUMNS(CPQL!$B$3:E$3),0)</f>
        <v>1000000</v>
      </c>
      <c r="G64" s="116">
        <f>VLOOKUP($C64,CPQL!$B:$F,COLUMNS(CPQL!$B$3:F$3),0)</f>
        <v>1000000</v>
      </c>
      <c r="H64" s="117">
        <f t="shared" si="71"/>
        <v>12000000</v>
      </c>
      <c r="I64" s="78">
        <f t="shared" si="72"/>
        <v>12000000</v>
      </c>
      <c r="J64" s="78">
        <f t="shared" si="73"/>
        <v>12000000</v>
      </c>
      <c r="K64" s="118">
        <f t="shared" si="74"/>
        <v>12000000</v>
      </c>
    </row>
    <row r="65" spans="1:11" ht="14.5" hidden="1" outlineLevel="1" x14ac:dyDescent="0.3">
      <c r="A65" s="347">
        <v>-17</v>
      </c>
      <c r="B65" s="27"/>
      <c r="C65" s="348" t="s">
        <v>124</v>
      </c>
      <c r="D65" s="115">
        <f>VLOOKUP($C65,CPQL!$B:$F,COLUMNS(CPQL!$B$3:C$3),0)</f>
        <v>4416666.666666667</v>
      </c>
      <c r="E65" s="80">
        <f>VLOOKUP($C65,CPQL!$B:$F,COLUMNS(CPQL!$B$3:D$3),0)</f>
        <v>4416666.666666667</v>
      </c>
      <c r="F65" s="80">
        <f>VLOOKUP($C65,CPQL!$B:$F,COLUMNS(CPQL!$B$3:E$3),0)</f>
        <v>4416666.666666667</v>
      </c>
      <c r="G65" s="116">
        <f>VLOOKUP($C65,CPQL!$B:$F,COLUMNS(CPQL!$B$3:F$3),0)</f>
        <v>4416666.666666667</v>
      </c>
      <c r="H65" s="117">
        <f t="shared" si="71"/>
        <v>53000000</v>
      </c>
      <c r="I65" s="78">
        <f t="shared" si="72"/>
        <v>53000000</v>
      </c>
      <c r="J65" s="78">
        <f t="shared" si="73"/>
        <v>53000000</v>
      </c>
      <c r="K65" s="118">
        <f t="shared" si="74"/>
        <v>53000000</v>
      </c>
    </row>
    <row r="66" spans="1:11" collapsed="1" x14ac:dyDescent="0.3">
      <c r="A66" s="346">
        <v>5.3</v>
      </c>
      <c r="B66" s="25" t="s">
        <v>331</v>
      </c>
      <c r="C66" s="340"/>
      <c r="D66" s="111">
        <f>D68+D81</f>
        <v>500795833.33333331</v>
      </c>
      <c r="E66" s="79">
        <f t="shared" ref="E66:G66" si="75">E68+E81</f>
        <v>677895833.33333337</v>
      </c>
      <c r="F66" s="79">
        <f t="shared" si="75"/>
        <v>809606500</v>
      </c>
      <c r="G66" s="112">
        <f t="shared" si="75"/>
        <v>850673166.66666663</v>
      </c>
      <c r="H66" s="111">
        <f>H68+H81</f>
        <v>6009550000</v>
      </c>
      <c r="I66" s="79">
        <f t="shared" ref="I66:K66" si="76">I68+I81</f>
        <v>8134750000</v>
      </c>
      <c r="J66" s="79">
        <f t="shared" si="76"/>
        <v>9715278000</v>
      </c>
      <c r="K66" s="112">
        <f t="shared" si="76"/>
        <v>10208078000</v>
      </c>
    </row>
    <row r="67" spans="1:11" ht="14.5" x14ac:dyDescent="0.35">
      <c r="A67" s="343"/>
      <c r="B67" s="23"/>
      <c r="C67" s="344" t="s">
        <v>338</v>
      </c>
      <c r="D67" s="113">
        <f>IFERROR(D66/D$5,0)</f>
        <v>9.4933999342836917E-2</v>
      </c>
      <c r="E67" s="77">
        <f t="shared" ref="E67" si="77">IFERROR(E66/E$5,0)</f>
        <v>8.5670790786236656E-2</v>
      </c>
      <c r="F67" s="77">
        <f t="shared" ref="F67" si="78">IFERROR(F66/F$5,0)</f>
        <v>7.6737043145283595E-2</v>
      </c>
      <c r="G67" s="114">
        <f t="shared" ref="G67" si="79">IFERROR(G66/G$5,0)</f>
        <v>6.4503576483672026E-2</v>
      </c>
      <c r="H67" s="113">
        <f>IFERROR(H66/H$5,0)</f>
        <v>9.4933999342836917E-2</v>
      </c>
      <c r="I67" s="77">
        <f t="shared" ref="I67:K67" si="80">IFERROR(I66/I$5,0)</f>
        <v>8.5670790786236642E-2</v>
      </c>
      <c r="J67" s="77">
        <f t="shared" si="80"/>
        <v>7.6737043145283595E-2</v>
      </c>
      <c r="K67" s="114">
        <f t="shared" si="80"/>
        <v>6.4503576483672026E-2</v>
      </c>
    </row>
    <row r="68" spans="1:11" s="376" customFormat="1" ht="14.5" x14ac:dyDescent="0.35">
      <c r="A68" s="371" t="s">
        <v>341</v>
      </c>
      <c r="B68" s="370" t="s">
        <v>332</v>
      </c>
      <c r="C68" s="372"/>
      <c r="D68" s="373">
        <f>SUM(D70:D80)</f>
        <v>482533333.33333331</v>
      </c>
      <c r="E68" s="374">
        <f t="shared" ref="E68:G68" si="81">SUM(E70:E80)</f>
        <v>659633333.33333337</v>
      </c>
      <c r="F68" s="374">
        <f t="shared" si="81"/>
        <v>777700000</v>
      </c>
      <c r="G68" s="375">
        <f t="shared" si="81"/>
        <v>818766666.66666663</v>
      </c>
      <c r="H68" s="373">
        <f>SUM(H70:H80)</f>
        <v>5790400000</v>
      </c>
      <c r="I68" s="374">
        <f t="shared" ref="I68:K68" si="82">SUM(I70:I80)</f>
        <v>7915600000</v>
      </c>
      <c r="J68" s="374">
        <f t="shared" si="82"/>
        <v>9332400000</v>
      </c>
      <c r="K68" s="375">
        <f t="shared" si="82"/>
        <v>9825200000</v>
      </c>
    </row>
    <row r="69" spans="1:11" ht="14.5" x14ac:dyDescent="0.35">
      <c r="A69" s="343"/>
      <c r="B69" s="23"/>
      <c r="C69" s="344" t="s">
        <v>339</v>
      </c>
      <c r="D69" s="113">
        <f>IFERROR(D68/D$5,0)</f>
        <v>9.1472045293701343E-2</v>
      </c>
      <c r="E69" s="77">
        <f t="shared" ref="E69" si="83">IFERROR(E68/E$5,0)</f>
        <v>8.3362821420146269E-2</v>
      </c>
      <c r="F69" s="77">
        <f t="shared" ref="F69" si="84">IFERROR(F68/F$5,0)</f>
        <v>7.3712845010615716E-2</v>
      </c>
      <c r="G69" s="114">
        <f t="shared" ref="G69" si="85">IFERROR(G68/G$5,0)</f>
        <v>6.2084217975937717E-2</v>
      </c>
      <c r="H69" s="113">
        <f>IFERROR(H68/H$5,0)</f>
        <v>9.1472045293701343E-2</v>
      </c>
      <c r="I69" s="77">
        <f t="shared" ref="I69:K69" si="86">IFERROR(I68/I$5,0)</f>
        <v>8.3362821420146255E-2</v>
      </c>
      <c r="J69" s="77">
        <f t="shared" si="86"/>
        <v>7.3712845010615716E-2</v>
      </c>
      <c r="K69" s="114">
        <f t="shared" si="86"/>
        <v>6.2084217975937724E-2</v>
      </c>
    </row>
    <row r="70" spans="1:11" ht="14.5" hidden="1" outlineLevel="1" x14ac:dyDescent="0.3">
      <c r="A70" s="347">
        <v>-1</v>
      </c>
      <c r="B70" s="32"/>
      <c r="C70" s="357" t="s">
        <v>125</v>
      </c>
      <c r="D70" s="117">
        <f>SUMIF('CP.NS'!$B:$B,KQKD!$C70,'CP.NS'!C:C)</f>
        <v>72000000</v>
      </c>
      <c r="E70" s="78">
        <f>SUMIF('CP.NS'!$B:$B,KQKD!$C70,'CP.NS'!D:D)</f>
        <v>128000000</v>
      </c>
      <c r="F70" s="78">
        <f>SUMIF('CP.NS'!$B:$B,KQKD!$C70,'CP.NS'!E:E)</f>
        <v>168000000</v>
      </c>
      <c r="G70" s="118">
        <f>SUMIF('CP.NS'!$B:$B,KQKD!$C70,'CP.NS'!F:F)</f>
        <v>200000000</v>
      </c>
      <c r="H70" s="117">
        <f t="shared" ref="H70:H80" si="87">D70*12</f>
        <v>864000000</v>
      </c>
      <c r="I70" s="78">
        <f t="shared" ref="I70:I80" si="88">E70*12</f>
        <v>1536000000</v>
      </c>
      <c r="J70" s="78">
        <f t="shared" ref="J70:J80" si="89">F70*12</f>
        <v>2016000000</v>
      </c>
      <c r="K70" s="118">
        <f t="shared" ref="K70:K80" si="90">G70*12</f>
        <v>2400000000</v>
      </c>
    </row>
    <row r="71" spans="1:11" ht="14.5" hidden="1" outlineLevel="1" x14ac:dyDescent="0.3">
      <c r="A71" s="347">
        <v>-2</v>
      </c>
      <c r="B71" s="32"/>
      <c r="C71" s="357" t="s">
        <v>126</v>
      </c>
      <c r="D71" s="117">
        <f>SUMIF('CP.NS'!$B:$B,KQKD!$C71,'CP.NS'!C:C)</f>
        <v>304000000</v>
      </c>
      <c r="E71" s="78">
        <f>SUMIF('CP.NS'!$B:$B,KQKD!$C71,'CP.NS'!D:D)</f>
        <v>386000000</v>
      </c>
      <c r="F71" s="78">
        <f>SUMIF('CP.NS'!$B:$B,KQKD!$C71,'CP.NS'!E:E)</f>
        <v>438000000</v>
      </c>
      <c r="G71" s="118">
        <f>SUMIF('CP.NS'!$B:$B,KQKD!$C71,'CP.NS'!F:F)</f>
        <v>438000000</v>
      </c>
      <c r="H71" s="117">
        <f t="shared" si="87"/>
        <v>3648000000</v>
      </c>
      <c r="I71" s="78">
        <f t="shared" si="88"/>
        <v>4632000000</v>
      </c>
      <c r="J71" s="78">
        <f t="shared" si="89"/>
        <v>5256000000</v>
      </c>
      <c r="K71" s="118">
        <f t="shared" si="90"/>
        <v>5256000000</v>
      </c>
    </row>
    <row r="72" spans="1:11" ht="14.5" hidden="1" outlineLevel="1" x14ac:dyDescent="0.3">
      <c r="A72" s="347">
        <v>-3</v>
      </c>
      <c r="B72" s="32"/>
      <c r="C72" s="357" t="s">
        <v>127</v>
      </c>
      <c r="D72" s="115">
        <f>SUMIF('CP.NS'!$B:$B,KQKD!$C72,'CP.NS'!C:C)</f>
        <v>6000000</v>
      </c>
      <c r="E72" s="80">
        <f>SUMIF('CP.NS'!$B:$B,KQKD!$C72,'CP.NS'!D:D)</f>
        <v>10666666.666666666</v>
      </c>
      <c r="F72" s="80">
        <f>SUMIF('CP.NS'!$B:$B,KQKD!$C72,'CP.NS'!E:E)</f>
        <v>14000000</v>
      </c>
      <c r="G72" s="116">
        <f>SUMIF('CP.NS'!$B:$B,KQKD!$C72,'CP.NS'!F:F)</f>
        <v>16666666.666666666</v>
      </c>
      <c r="H72" s="115">
        <f t="shared" si="87"/>
        <v>72000000</v>
      </c>
      <c r="I72" s="80">
        <f t="shared" si="88"/>
        <v>128000000</v>
      </c>
      <c r="J72" s="80">
        <f t="shared" si="89"/>
        <v>168000000</v>
      </c>
      <c r="K72" s="116">
        <f t="shared" si="90"/>
        <v>200000000</v>
      </c>
    </row>
    <row r="73" spans="1:11" ht="14.5" hidden="1" outlineLevel="1" x14ac:dyDescent="0.3">
      <c r="A73" s="347">
        <v>-4</v>
      </c>
      <c r="B73" s="32"/>
      <c r="C73" s="357" t="s">
        <v>128</v>
      </c>
      <c r="D73" s="115">
        <f>SUMIF('CP.NS'!$B:$B,KQKD!$C73,'CP.NS'!C:C)</f>
        <v>25333333.333333332</v>
      </c>
      <c r="E73" s="80">
        <f>SUMIF('CP.NS'!$B:$B,KQKD!$C73,'CP.NS'!D:D)</f>
        <v>32166666.666666664</v>
      </c>
      <c r="F73" s="80">
        <f>SUMIF('CP.NS'!$B:$B,KQKD!$C73,'CP.NS'!E:E)</f>
        <v>36500000</v>
      </c>
      <c r="G73" s="116">
        <f>SUMIF('CP.NS'!$B:$B,KQKD!$C73,'CP.NS'!F:F)</f>
        <v>36500000</v>
      </c>
      <c r="H73" s="115">
        <f t="shared" si="87"/>
        <v>304000000</v>
      </c>
      <c r="I73" s="80">
        <f t="shared" si="88"/>
        <v>386000000</v>
      </c>
      <c r="J73" s="80">
        <f t="shared" si="89"/>
        <v>438000000</v>
      </c>
      <c r="K73" s="116">
        <f t="shared" si="90"/>
        <v>438000000</v>
      </c>
    </row>
    <row r="74" spans="1:11" ht="14.5" hidden="1" outlineLevel="1" x14ac:dyDescent="0.3">
      <c r="A74" s="347">
        <v>-5</v>
      </c>
      <c r="B74" s="32"/>
      <c r="C74" s="357" t="s">
        <v>130</v>
      </c>
      <c r="D74" s="115">
        <f>SUMIF('CP.NS'!$B:$B,KQKD!$C74,'CP.NS'!C:C)</f>
        <v>2160000</v>
      </c>
      <c r="E74" s="80">
        <f>SUMIF('CP.NS'!$B:$B,KQKD!$C74,'CP.NS'!D:D)</f>
        <v>3840000</v>
      </c>
      <c r="F74" s="80">
        <f>SUMIF('CP.NS'!$B:$B,KQKD!$C74,'CP.NS'!E:E)</f>
        <v>5040000</v>
      </c>
      <c r="G74" s="116">
        <f>SUMIF('CP.NS'!$B:$B,KQKD!$C74,'CP.NS'!F:F)</f>
        <v>6000000</v>
      </c>
      <c r="H74" s="115">
        <f t="shared" si="87"/>
        <v>25920000</v>
      </c>
      <c r="I74" s="80">
        <f t="shared" si="88"/>
        <v>46080000</v>
      </c>
      <c r="J74" s="80">
        <f t="shared" si="89"/>
        <v>60480000</v>
      </c>
      <c r="K74" s="116">
        <f t="shared" si="90"/>
        <v>72000000</v>
      </c>
    </row>
    <row r="75" spans="1:11" ht="14.5" hidden="1" outlineLevel="1" x14ac:dyDescent="0.3">
      <c r="A75" s="347">
        <v>-6</v>
      </c>
      <c r="B75" s="32"/>
      <c r="C75" s="357" t="s">
        <v>131</v>
      </c>
      <c r="D75" s="115">
        <f>SUMIF('CP.NS'!$B:$B,KQKD!$C75,'CP.NS'!C:C)</f>
        <v>9120000</v>
      </c>
      <c r="E75" s="80">
        <f>SUMIF('CP.NS'!$B:$B,KQKD!$C75,'CP.NS'!D:D)</f>
        <v>11580000</v>
      </c>
      <c r="F75" s="80">
        <f>SUMIF('CP.NS'!$B:$B,KQKD!$C75,'CP.NS'!E:E)</f>
        <v>13140000</v>
      </c>
      <c r="G75" s="116">
        <f>SUMIF('CP.NS'!$B:$B,KQKD!$C75,'CP.NS'!F:F)</f>
        <v>13140000</v>
      </c>
      <c r="H75" s="115">
        <f t="shared" si="87"/>
        <v>109440000</v>
      </c>
      <c r="I75" s="80">
        <f t="shared" si="88"/>
        <v>138960000</v>
      </c>
      <c r="J75" s="80">
        <f t="shared" si="89"/>
        <v>157680000</v>
      </c>
      <c r="K75" s="116">
        <f t="shared" si="90"/>
        <v>157680000</v>
      </c>
    </row>
    <row r="76" spans="1:11" ht="14.5" hidden="1" outlineLevel="1" x14ac:dyDescent="0.3">
      <c r="A76" s="347">
        <v>-7</v>
      </c>
      <c r="B76" s="32"/>
      <c r="C76" s="357" t="s">
        <v>132</v>
      </c>
      <c r="D76" s="115">
        <f>SUMIF('CP.NS'!$B:$B,KQKD!$C76,'CP.NS'!C:C)</f>
        <v>0</v>
      </c>
      <c r="E76" s="80">
        <f>SUMIF('CP.NS'!$B:$B,KQKD!$C76,'CP.NS'!D:D)</f>
        <v>0</v>
      </c>
      <c r="F76" s="80">
        <f>SUMIF('CP.NS'!$B:$B,KQKD!$C76,'CP.NS'!E:E)</f>
        <v>0</v>
      </c>
      <c r="G76" s="116">
        <f>SUMIF('CP.NS'!$B:$B,KQKD!$C76,'CP.NS'!F:F)</f>
        <v>0</v>
      </c>
      <c r="H76" s="115">
        <f t="shared" si="87"/>
        <v>0</v>
      </c>
      <c r="I76" s="80">
        <f t="shared" si="88"/>
        <v>0</v>
      </c>
      <c r="J76" s="80">
        <f t="shared" si="89"/>
        <v>0</v>
      </c>
      <c r="K76" s="116">
        <f t="shared" si="90"/>
        <v>0</v>
      </c>
    </row>
    <row r="77" spans="1:11" ht="14.5" hidden="1" outlineLevel="1" x14ac:dyDescent="0.3">
      <c r="A77" s="347">
        <v>-8</v>
      </c>
      <c r="B77" s="32"/>
      <c r="C77" s="357" t="s">
        <v>133</v>
      </c>
      <c r="D77" s="115">
        <f>SUMIF('CP.NS'!$B:$B,KQKD!$C77,'CP.NS'!C:C)</f>
        <v>18800000</v>
      </c>
      <c r="E77" s="80">
        <f>SUMIF('CP.NS'!$B:$B,KQKD!$C77,'CP.NS'!D:D)</f>
        <v>25700000</v>
      </c>
      <c r="F77" s="80">
        <f>SUMIF('CP.NS'!$B:$B,KQKD!$C77,'CP.NS'!E:E)</f>
        <v>30300000</v>
      </c>
      <c r="G77" s="116">
        <f>SUMIF('CP.NS'!$B:$B,KQKD!$C77,'CP.NS'!F:F)</f>
        <v>31900000</v>
      </c>
      <c r="H77" s="115">
        <f t="shared" si="87"/>
        <v>225600000</v>
      </c>
      <c r="I77" s="80">
        <f t="shared" si="88"/>
        <v>308400000</v>
      </c>
      <c r="J77" s="80">
        <f t="shared" si="89"/>
        <v>363600000</v>
      </c>
      <c r="K77" s="116">
        <f t="shared" si="90"/>
        <v>382800000</v>
      </c>
    </row>
    <row r="78" spans="1:11" ht="14.5" hidden="1" outlineLevel="1" x14ac:dyDescent="0.3">
      <c r="A78" s="347">
        <v>-9</v>
      </c>
      <c r="B78" s="32"/>
      <c r="C78" s="357" t="s">
        <v>134</v>
      </c>
      <c r="D78" s="115">
        <f>SUMIF('CP.NS'!$B:$B,KQKD!$C78,'CP.NS'!C:C)</f>
        <v>0</v>
      </c>
      <c r="E78" s="80">
        <f>SUMIF('CP.NS'!$B:$B,KQKD!$C78,'CP.NS'!D:D)</f>
        <v>0</v>
      </c>
      <c r="F78" s="80">
        <f>SUMIF('CP.NS'!$B:$B,KQKD!$C78,'CP.NS'!E:E)</f>
        <v>0</v>
      </c>
      <c r="G78" s="116">
        <f>SUMIF('CP.NS'!$B:$B,KQKD!$C78,'CP.NS'!F:F)</f>
        <v>0</v>
      </c>
      <c r="H78" s="115">
        <f t="shared" si="87"/>
        <v>0</v>
      </c>
      <c r="I78" s="80">
        <f t="shared" si="88"/>
        <v>0</v>
      </c>
      <c r="J78" s="80">
        <f t="shared" si="89"/>
        <v>0</v>
      </c>
      <c r="K78" s="116">
        <f t="shared" si="90"/>
        <v>0</v>
      </c>
    </row>
    <row r="79" spans="1:11" ht="14.5" hidden="1" outlineLevel="1" x14ac:dyDescent="0.3">
      <c r="A79" s="347">
        <v>-10</v>
      </c>
      <c r="B79" s="32"/>
      <c r="C79" s="357" t="s">
        <v>135</v>
      </c>
      <c r="D79" s="115">
        <f>SUMIF('CP.NS'!$B:$B,KQKD!$C79,'CP.NS'!C:C)</f>
        <v>45120000</v>
      </c>
      <c r="E79" s="80">
        <f>SUMIF('CP.NS'!$B:$B,KQKD!$C79,'CP.NS'!D:D)</f>
        <v>61680000</v>
      </c>
      <c r="F79" s="80">
        <f>SUMIF('CP.NS'!$B:$B,KQKD!$C79,'CP.NS'!E:E)</f>
        <v>72720000</v>
      </c>
      <c r="G79" s="116">
        <f>SUMIF('CP.NS'!$B:$B,KQKD!$C79,'CP.NS'!F:F)</f>
        <v>76560000</v>
      </c>
      <c r="H79" s="115">
        <f t="shared" si="87"/>
        <v>541440000</v>
      </c>
      <c r="I79" s="80">
        <f t="shared" si="88"/>
        <v>740160000</v>
      </c>
      <c r="J79" s="80">
        <f t="shared" si="89"/>
        <v>872640000</v>
      </c>
      <c r="K79" s="116">
        <f t="shared" si="90"/>
        <v>918720000</v>
      </c>
    </row>
    <row r="80" spans="1:11" ht="14.5" hidden="1" outlineLevel="1" x14ac:dyDescent="0.3">
      <c r="A80" s="347">
        <v>-11</v>
      </c>
      <c r="B80" s="32"/>
      <c r="C80" s="357" t="s">
        <v>136</v>
      </c>
      <c r="D80" s="115">
        <f>SUMIF('CP.NS'!$B:$B,KQKD!$C80,'CP.NS'!C:C)</f>
        <v>0</v>
      </c>
      <c r="E80" s="80">
        <f>SUMIF('CP.NS'!$B:$B,KQKD!$C80,'CP.NS'!D:D)</f>
        <v>0</v>
      </c>
      <c r="F80" s="80">
        <f>SUMIF('CP.NS'!$B:$B,KQKD!$C80,'CP.NS'!E:E)</f>
        <v>0</v>
      </c>
      <c r="G80" s="116">
        <f>SUMIF('CP.NS'!$B:$B,KQKD!$C80,'CP.NS'!F:F)</f>
        <v>0</v>
      </c>
      <c r="H80" s="115">
        <f t="shared" si="87"/>
        <v>0</v>
      </c>
      <c r="I80" s="80">
        <f t="shared" si="88"/>
        <v>0</v>
      </c>
      <c r="J80" s="80">
        <f t="shared" si="89"/>
        <v>0</v>
      </c>
      <c r="K80" s="116">
        <f t="shared" si="90"/>
        <v>0</v>
      </c>
    </row>
    <row r="81" spans="1:11" s="376" customFormat="1" ht="14.5" collapsed="1" x14ac:dyDescent="0.35">
      <c r="A81" s="371" t="s">
        <v>342</v>
      </c>
      <c r="B81" s="370" t="s">
        <v>333</v>
      </c>
      <c r="C81" s="372"/>
      <c r="D81" s="373">
        <f t="shared" ref="D81:K81" si="91">SUM(D83:D91)</f>
        <v>18262500</v>
      </c>
      <c r="E81" s="374">
        <f t="shared" si="91"/>
        <v>18262500</v>
      </c>
      <c r="F81" s="374">
        <f t="shared" si="91"/>
        <v>31906500</v>
      </c>
      <c r="G81" s="375">
        <f t="shared" si="91"/>
        <v>31906500</v>
      </c>
      <c r="H81" s="373">
        <f t="shared" si="91"/>
        <v>219150000</v>
      </c>
      <c r="I81" s="374">
        <f t="shared" si="91"/>
        <v>219150000</v>
      </c>
      <c r="J81" s="374">
        <f t="shared" si="91"/>
        <v>382878000</v>
      </c>
      <c r="K81" s="375">
        <f t="shared" si="91"/>
        <v>382878000</v>
      </c>
    </row>
    <row r="82" spans="1:11" ht="14.5" x14ac:dyDescent="0.35">
      <c r="A82" s="343"/>
      <c r="B82" s="23"/>
      <c r="C82" s="344" t="s">
        <v>340</v>
      </c>
      <c r="D82" s="113">
        <f>IFERROR(D81/D$5,0)</f>
        <v>3.4619540491355777E-3</v>
      </c>
      <c r="E82" s="77">
        <f t="shared" ref="E82" si="92">IFERROR(E81/E$5,0)</f>
        <v>2.307969366090385E-3</v>
      </c>
      <c r="F82" s="77">
        <f t="shared" ref="F82" si="93">IFERROR(F81/F$5,0)</f>
        <v>3.0241981346678798E-3</v>
      </c>
      <c r="G82" s="114">
        <f t="shared" ref="G82" si="94">IFERROR(G81/G$5,0)</f>
        <v>2.4193585077343037E-3</v>
      </c>
      <c r="H82" s="113">
        <f>IFERROR(H81/H$5,0)</f>
        <v>3.4619540491355777E-3</v>
      </c>
      <c r="I82" s="77">
        <f t="shared" ref="I82:K82" si="95">IFERROR(I81/I$5,0)</f>
        <v>2.307969366090385E-3</v>
      </c>
      <c r="J82" s="77">
        <f t="shared" si="95"/>
        <v>3.0241981346678798E-3</v>
      </c>
      <c r="K82" s="114">
        <f t="shared" si="95"/>
        <v>2.4193585077343037E-3</v>
      </c>
    </row>
    <row r="83" spans="1:11" ht="14.5" hidden="1" outlineLevel="1" x14ac:dyDescent="0.3">
      <c r="A83" s="347">
        <v>-1</v>
      </c>
      <c r="B83" s="31"/>
      <c r="C83" s="357" t="s">
        <v>138</v>
      </c>
      <c r="D83" s="115">
        <f>SUMIF('CP.NS'!$B:$B,KQKD!$C83,'CP.NS'!C:C)</f>
        <v>1875000</v>
      </c>
      <c r="E83" s="80">
        <f>SUMIF('CP.NS'!$B:$B,KQKD!$C83,'CP.NS'!D:D)</f>
        <v>1875000</v>
      </c>
      <c r="F83" s="80">
        <f>SUMIF('CP.NS'!$B:$B,KQKD!$C83,'CP.NS'!E:E)</f>
        <v>3675000</v>
      </c>
      <c r="G83" s="116">
        <f>SUMIF('CP.NS'!$B:$B,KQKD!$C83,'CP.NS'!F:F)</f>
        <v>3675000</v>
      </c>
      <c r="H83" s="117">
        <f t="shared" ref="H83:H91" si="96">D83*12</f>
        <v>22500000</v>
      </c>
      <c r="I83" s="78">
        <f t="shared" ref="I83:I91" si="97">E83*12</f>
        <v>22500000</v>
      </c>
      <c r="J83" s="78">
        <f t="shared" ref="J83:J92" si="98">F83*12</f>
        <v>44100000</v>
      </c>
      <c r="K83" s="118">
        <f t="shared" ref="K83:K91" si="99">G83*12</f>
        <v>44100000</v>
      </c>
    </row>
    <row r="84" spans="1:11" ht="14.5" hidden="1" outlineLevel="1" x14ac:dyDescent="0.3">
      <c r="A84" s="347">
        <v>-2</v>
      </c>
      <c r="B84" s="31"/>
      <c r="C84" s="357" t="s">
        <v>139</v>
      </c>
      <c r="D84" s="115">
        <f>SUMIF('CP.NS'!$B:$B,KQKD!$C84,'CP.NS'!C:C)</f>
        <v>0</v>
      </c>
      <c r="E84" s="80">
        <f>SUMIF('CP.NS'!$B:$B,KQKD!$C84,'CP.NS'!D:D)</f>
        <v>0</v>
      </c>
      <c r="F84" s="80">
        <f>SUMIF('CP.NS'!$B:$B,KQKD!$C84,'CP.NS'!E:E)</f>
        <v>0</v>
      </c>
      <c r="G84" s="116">
        <f>SUMIF('CP.NS'!$B:$B,KQKD!$C84,'CP.NS'!F:F)</f>
        <v>0</v>
      </c>
      <c r="H84" s="117">
        <f t="shared" si="96"/>
        <v>0</v>
      </c>
      <c r="I84" s="78">
        <f t="shared" si="97"/>
        <v>0</v>
      </c>
      <c r="J84" s="78">
        <f t="shared" si="98"/>
        <v>0</v>
      </c>
      <c r="K84" s="118">
        <f t="shared" si="99"/>
        <v>0</v>
      </c>
    </row>
    <row r="85" spans="1:11" ht="14.5" hidden="1" outlineLevel="1" x14ac:dyDescent="0.3">
      <c r="A85" s="347">
        <v>-3</v>
      </c>
      <c r="B85" s="31"/>
      <c r="C85" s="357" t="s">
        <v>140</v>
      </c>
      <c r="D85" s="115">
        <f>SUMIF('CP.NS'!$B:$B,KQKD!$C85,'CP.NS'!C:C)</f>
        <v>1462500</v>
      </c>
      <c r="E85" s="80">
        <f>SUMIF('CP.NS'!$B:$B,KQKD!$C85,'CP.NS'!D:D)</f>
        <v>1462500</v>
      </c>
      <c r="F85" s="80">
        <f>SUMIF('CP.NS'!$B:$B,KQKD!$C85,'CP.NS'!E:E)</f>
        <v>2866500</v>
      </c>
      <c r="G85" s="116">
        <f>SUMIF('CP.NS'!$B:$B,KQKD!$C85,'CP.NS'!F:F)</f>
        <v>2866500</v>
      </c>
      <c r="H85" s="117">
        <f t="shared" si="96"/>
        <v>17550000</v>
      </c>
      <c r="I85" s="78">
        <f t="shared" si="97"/>
        <v>17550000</v>
      </c>
      <c r="J85" s="78">
        <f t="shared" si="98"/>
        <v>34398000</v>
      </c>
      <c r="K85" s="118">
        <f t="shared" si="99"/>
        <v>34398000</v>
      </c>
    </row>
    <row r="86" spans="1:11" ht="14.5" hidden="1" outlineLevel="1" x14ac:dyDescent="0.3">
      <c r="A86" s="347">
        <v>-4</v>
      </c>
      <c r="B86" s="31"/>
      <c r="C86" s="357" t="s">
        <v>141</v>
      </c>
      <c r="D86" s="115">
        <f>SUMIF('CP.NS'!$B:$B,KQKD!$C86,'CP.NS'!C:C)</f>
        <v>2850000.0000000005</v>
      </c>
      <c r="E86" s="80">
        <f>SUMIF('CP.NS'!$B:$B,KQKD!$C86,'CP.NS'!D:D)</f>
        <v>2850000.0000000005</v>
      </c>
      <c r="F86" s="80">
        <f>SUMIF('CP.NS'!$B:$B,KQKD!$C86,'CP.NS'!E:E)</f>
        <v>4290000</v>
      </c>
      <c r="G86" s="116">
        <f>SUMIF('CP.NS'!$B:$B,KQKD!$C86,'CP.NS'!F:F)</f>
        <v>4290000</v>
      </c>
      <c r="H86" s="117">
        <f t="shared" si="96"/>
        <v>34200000.000000007</v>
      </c>
      <c r="I86" s="78">
        <f t="shared" si="97"/>
        <v>34200000.000000007</v>
      </c>
      <c r="J86" s="78">
        <f t="shared" si="98"/>
        <v>51480000</v>
      </c>
      <c r="K86" s="118">
        <f t="shared" si="99"/>
        <v>51480000</v>
      </c>
    </row>
    <row r="87" spans="1:11" ht="14.5" hidden="1" outlineLevel="1" x14ac:dyDescent="0.3">
      <c r="A87" s="347">
        <v>-5</v>
      </c>
      <c r="B87" s="31"/>
      <c r="C87" s="357" t="s">
        <v>143</v>
      </c>
      <c r="D87" s="115">
        <f>SUMIF('CP.NS'!$B:$B,KQKD!$C87,'CP.NS'!C:C)</f>
        <v>1875000</v>
      </c>
      <c r="E87" s="80">
        <f>SUMIF('CP.NS'!$B:$B,KQKD!$C87,'CP.NS'!D:D)</f>
        <v>1875000</v>
      </c>
      <c r="F87" s="80">
        <f>SUMIF('CP.NS'!$B:$B,KQKD!$C87,'CP.NS'!E:E)</f>
        <v>3675000</v>
      </c>
      <c r="G87" s="116">
        <f>SUMIF('CP.NS'!$B:$B,KQKD!$C87,'CP.NS'!F:F)</f>
        <v>3675000</v>
      </c>
      <c r="H87" s="117">
        <f t="shared" si="96"/>
        <v>22500000</v>
      </c>
      <c r="I87" s="78">
        <f t="shared" si="97"/>
        <v>22500000</v>
      </c>
      <c r="J87" s="78">
        <f t="shared" si="98"/>
        <v>44100000</v>
      </c>
      <c r="K87" s="118">
        <f t="shared" si="99"/>
        <v>44100000</v>
      </c>
    </row>
    <row r="88" spans="1:11" ht="14.5" hidden="1" outlineLevel="1" x14ac:dyDescent="0.3">
      <c r="A88" s="347">
        <v>-6</v>
      </c>
      <c r="B88" s="31"/>
      <c r="C88" s="357" t="s">
        <v>144</v>
      </c>
      <c r="D88" s="115">
        <f>SUMIF('CP.NS'!$B:$B,KQKD!$C88,'CP.NS'!C:C)</f>
        <v>7500000</v>
      </c>
      <c r="E88" s="80">
        <f>SUMIF('CP.NS'!$B:$B,KQKD!$C88,'CP.NS'!D:D)</f>
        <v>7500000</v>
      </c>
      <c r="F88" s="80">
        <f>SUMIF('CP.NS'!$B:$B,KQKD!$C88,'CP.NS'!E:E)</f>
        <v>14700000</v>
      </c>
      <c r="G88" s="116">
        <f>SUMIF('CP.NS'!$B:$B,KQKD!$C88,'CP.NS'!F:F)</f>
        <v>14700000</v>
      </c>
      <c r="H88" s="117">
        <f t="shared" si="96"/>
        <v>90000000</v>
      </c>
      <c r="I88" s="78">
        <f t="shared" si="97"/>
        <v>90000000</v>
      </c>
      <c r="J88" s="78">
        <f t="shared" si="98"/>
        <v>176400000</v>
      </c>
      <c r="K88" s="118">
        <f t="shared" si="99"/>
        <v>176400000</v>
      </c>
    </row>
    <row r="89" spans="1:11" ht="14.5" hidden="1" outlineLevel="1" x14ac:dyDescent="0.3">
      <c r="A89" s="347">
        <v>-7</v>
      </c>
      <c r="B89" s="31"/>
      <c r="C89" s="357" t="s">
        <v>145</v>
      </c>
      <c r="D89" s="115">
        <f>SUMIF('CP.NS'!$B:$B,KQKD!$C89,'CP.NS'!C:C)</f>
        <v>0</v>
      </c>
      <c r="E89" s="80">
        <f>SUMIF('CP.NS'!$B:$B,KQKD!$C89,'CP.NS'!D:D)</f>
        <v>0</v>
      </c>
      <c r="F89" s="80">
        <f>SUMIF('CP.NS'!$B:$B,KQKD!$C89,'CP.NS'!E:E)</f>
        <v>0</v>
      </c>
      <c r="G89" s="116">
        <f>SUMIF('CP.NS'!$B:$B,KQKD!$C89,'CP.NS'!F:F)</f>
        <v>0</v>
      </c>
      <c r="H89" s="117">
        <f t="shared" si="96"/>
        <v>0</v>
      </c>
      <c r="I89" s="78">
        <f t="shared" si="97"/>
        <v>0</v>
      </c>
      <c r="J89" s="78">
        <f t="shared" si="98"/>
        <v>0</v>
      </c>
      <c r="K89" s="118">
        <f t="shared" si="99"/>
        <v>0</v>
      </c>
    </row>
    <row r="90" spans="1:11" ht="14.5" hidden="1" outlineLevel="1" x14ac:dyDescent="0.3">
      <c r="A90" s="347">
        <v>-8</v>
      </c>
      <c r="B90" s="31"/>
      <c r="C90" s="357" t="s">
        <v>427</v>
      </c>
      <c r="D90" s="115">
        <f>SUMIF('CP.NS'!$B:$B,KQKD!$C90,'CP.NS'!C:C)</f>
        <v>1800000</v>
      </c>
      <c r="E90" s="80">
        <f>SUMIF('CP.NS'!$B:$B,KQKD!$C90,'CP.NS'!D:D)</f>
        <v>1800000</v>
      </c>
      <c r="F90" s="80">
        <f>SUMIF('CP.NS'!$B:$B,KQKD!$C90,'CP.NS'!E:E)</f>
        <v>1800000</v>
      </c>
      <c r="G90" s="116">
        <f>SUMIF('CP.NS'!$B:$B,KQKD!$C90,'CP.NS'!F:F)</f>
        <v>1800000</v>
      </c>
      <c r="H90" s="117">
        <f t="shared" si="96"/>
        <v>21600000</v>
      </c>
      <c r="I90" s="78">
        <f t="shared" si="97"/>
        <v>21600000</v>
      </c>
      <c r="J90" s="78">
        <f t="shared" si="98"/>
        <v>21600000</v>
      </c>
      <c r="K90" s="118">
        <f t="shared" si="99"/>
        <v>21600000</v>
      </c>
    </row>
    <row r="91" spans="1:11" ht="14.5" hidden="1" outlineLevel="1" x14ac:dyDescent="0.3">
      <c r="A91" s="347">
        <v>-9</v>
      </c>
      <c r="B91" s="31"/>
      <c r="C91" s="357" t="s">
        <v>151</v>
      </c>
      <c r="D91" s="115">
        <f>SUMIF('CP.NS'!$B:$B,KQKD!$C91,'CP.NS'!C:C)</f>
        <v>900000</v>
      </c>
      <c r="E91" s="80">
        <f>SUMIF('CP.NS'!$B:$B,KQKD!$C91,'CP.NS'!D:D)</f>
        <v>900000</v>
      </c>
      <c r="F91" s="80">
        <f>SUMIF('CP.NS'!$B:$B,KQKD!$C91,'CP.NS'!E:E)</f>
        <v>900000</v>
      </c>
      <c r="G91" s="116">
        <f>SUMIF('CP.NS'!$B:$B,KQKD!$C91,'CP.NS'!F:F)</f>
        <v>900000</v>
      </c>
      <c r="H91" s="117">
        <f t="shared" si="96"/>
        <v>10800000</v>
      </c>
      <c r="I91" s="78">
        <f t="shared" si="97"/>
        <v>10800000</v>
      </c>
      <c r="J91" s="78">
        <f t="shared" si="98"/>
        <v>10800000</v>
      </c>
      <c r="K91" s="118">
        <f t="shared" si="99"/>
        <v>10800000</v>
      </c>
    </row>
    <row r="92" spans="1:11" collapsed="1" x14ac:dyDescent="0.3">
      <c r="A92" s="346">
        <v>5.4</v>
      </c>
      <c r="B92" s="25" t="s">
        <v>152</v>
      </c>
      <c r="C92" s="340"/>
      <c r="D92" s="111">
        <f>'K.Hao, L.v'!C36</f>
        <v>90609191.166666687</v>
      </c>
      <c r="E92" s="79">
        <f>'K.Hao, L.v'!D36</f>
        <v>90609191.166666687</v>
      </c>
      <c r="F92" s="79">
        <f>'K.Hao, L.v'!E36</f>
        <v>90609191.166666687</v>
      </c>
      <c r="G92" s="112">
        <f>'K.Hao, L.v'!F36</f>
        <v>90609191.166666687</v>
      </c>
      <c r="H92" s="111">
        <f>D92*12</f>
        <v>1087310294.0000002</v>
      </c>
      <c r="I92" s="79">
        <f>E92*12</f>
        <v>1087310294.0000002</v>
      </c>
      <c r="J92" s="79">
        <f t="shared" si="98"/>
        <v>1087310294.0000002</v>
      </c>
      <c r="K92" s="112">
        <f>G92*12</f>
        <v>1087310294.0000002</v>
      </c>
    </row>
    <row r="93" spans="1:11" ht="14.5" x14ac:dyDescent="0.35">
      <c r="A93" s="343"/>
      <c r="B93" s="23"/>
      <c r="C93" s="344" t="s">
        <v>300</v>
      </c>
      <c r="D93" s="113">
        <f>IFERROR(D92/D$5,0)</f>
        <v>1.717644661181883E-2</v>
      </c>
      <c r="E93" s="77">
        <f t="shared" ref="E93" si="100">IFERROR(E92/E$5,0)</f>
        <v>1.1450964407879219E-2</v>
      </c>
      <c r="F93" s="77">
        <f t="shared" ref="F93" si="101">IFERROR(F92/F$5,0)</f>
        <v>8.5882233059094149E-3</v>
      </c>
      <c r="G93" s="114">
        <f t="shared" ref="G93" si="102">IFERROR(G92/G$5,0)</f>
        <v>6.8705786447275314E-3</v>
      </c>
      <c r="H93" s="113">
        <f>IFERROR(H92/H$5,0)</f>
        <v>1.717644661181883E-2</v>
      </c>
      <c r="I93" s="77">
        <f t="shared" ref="I93:K93" si="103">IFERROR(I92/I$5,0)</f>
        <v>1.1450964407879219E-2</v>
      </c>
      <c r="J93" s="77">
        <f t="shared" si="103"/>
        <v>8.5882233059094149E-3</v>
      </c>
      <c r="K93" s="114">
        <f t="shared" si="103"/>
        <v>6.8705786447275314E-3</v>
      </c>
    </row>
    <row r="94" spans="1:11" ht="14" hidden="1" customHeight="1" outlineLevel="1" x14ac:dyDescent="0.3">
      <c r="A94" s="347"/>
      <c r="B94" s="27"/>
      <c r="C94" s="348" t="s">
        <v>153</v>
      </c>
      <c r="D94" s="117"/>
      <c r="E94" s="78"/>
      <c r="F94" s="78"/>
      <c r="G94" s="118"/>
      <c r="H94" s="117"/>
      <c r="I94" s="78"/>
      <c r="J94" s="78"/>
      <c r="K94" s="118"/>
    </row>
    <row r="95" spans="1:11" collapsed="1" x14ac:dyDescent="0.3">
      <c r="A95" s="346">
        <v>5.5</v>
      </c>
      <c r="B95" s="25" t="s">
        <v>301</v>
      </c>
      <c r="C95" s="340"/>
      <c r="D95" s="111">
        <f>'K.Hao, L.v'!C24</f>
        <v>160781291.66666669</v>
      </c>
      <c r="E95" s="79">
        <f>'K.Hao, L.v'!D24</f>
        <v>160781291.66666669</v>
      </c>
      <c r="F95" s="79">
        <f>'K.Hao, L.v'!E24</f>
        <v>160781291.66666669</v>
      </c>
      <c r="G95" s="112">
        <f>'K.Hao, L.v'!F24</f>
        <v>160781291.66666669</v>
      </c>
      <c r="H95" s="111">
        <f>D95*12</f>
        <v>1929375500.0000002</v>
      </c>
      <c r="I95" s="79">
        <f t="shared" ref="I95" si="104">E95*12</f>
        <v>1929375500.0000002</v>
      </c>
      <c r="J95" s="79">
        <f t="shared" ref="J95" si="105">F95*12</f>
        <v>1929375500.0000002</v>
      </c>
      <c r="K95" s="112">
        <f t="shared" ref="K95" si="106">G95*12</f>
        <v>1929375500.0000002</v>
      </c>
    </row>
    <row r="96" spans="1:11" ht="14.5" x14ac:dyDescent="0.35">
      <c r="A96" s="343"/>
      <c r="B96" s="23"/>
      <c r="C96" s="344" t="s">
        <v>302</v>
      </c>
      <c r="D96" s="113">
        <f>IFERROR(D95/D$5,0)</f>
        <v>3.0478710127894049E-2</v>
      </c>
      <c r="E96" s="77">
        <f t="shared" ref="E96" si="107">IFERROR(E95/E$5,0)</f>
        <v>2.0319140085262699E-2</v>
      </c>
      <c r="F96" s="77">
        <f t="shared" ref="F96" si="108">IFERROR(F95/F$5,0)</f>
        <v>1.5239355063947024E-2</v>
      </c>
      <c r="G96" s="114">
        <f t="shared" ref="G96" si="109">IFERROR(G95/G$5,0)</f>
        <v>1.2191484051157619E-2</v>
      </c>
      <c r="H96" s="113">
        <f>IFERROR(H95/H$5,0)</f>
        <v>3.0478710127894049E-2</v>
      </c>
      <c r="I96" s="77">
        <f t="shared" ref="I96:K96" si="110">IFERROR(I95/I$5,0)</f>
        <v>2.0319140085262699E-2</v>
      </c>
      <c r="J96" s="77">
        <f t="shared" si="110"/>
        <v>1.5239355063947024E-2</v>
      </c>
      <c r="K96" s="114">
        <f t="shared" si="110"/>
        <v>1.2191484051157619E-2</v>
      </c>
    </row>
    <row r="97" spans="1:11" x14ac:dyDescent="0.3">
      <c r="A97" s="362">
        <v>6</v>
      </c>
      <c r="B97" s="363" t="s">
        <v>303</v>
      </c>
      <c r="C97" s="364"/>
      <c r="D97" s="365">
        <f t="shared" ref="D97:K97" si="111">D7+D31</f>
        <v>5517372893.8801556</v>
      </c>
      <c r="E97" s="366">
        <f t="shared" si="111"/>
        <v>7798136987.5702343</v>
      </c>
      <c r="F97" s="366">
        <f t="shared" si="111"/>
        <v>10033511747.926979</v>
      </c>
      <c r="G97" s="367">
        <f t="shared" si="111"/>
        <v>12179242508.283722</v>
      </c>
      <c r="H97" s="365">
        <f t="shared" si="111"/>
        <v>66208474726.561874</v>
      </c>
      <c r="I97" s="366">
        <f t="shared" si="111"/>
        <v>93577643850.842819</v>
      </c>
      <c r="J97" s="366">
        <f t="shared" si="111"/>
        <v>120402140975.12375</v>
      </c>
      <c r="K97" s="367">
        <f t="shared" si="111"/>
        <v>146150910099.40469</v>
      </c>
    </row>
    <row r="98" spans="1:11" ht="14.5" x14ac:dyDescent="0.35">
      <c r="A98" s="343"/>
      <c r="B98" s="23"/>
      <c r="C98" s="344" t="s">
        <v>499</v>
      </c>
      <c r="D98" s="113">
        <f>IFERROR(D97/D$5,0)</f>
        <v>1.045907812761631</v>
      </c>
      <c r="E98" s="77">
        <f t="shared" ref="E98" si="112">IFERROR(E97/E$5,0)</f>
        <v>0.98550917343673972</v>
      </c>
      <c r="F98" s="77">
        <f t="shared" ref="F98" si="113">IFERROR(F97/F$5,0)</f>
        <v>0.95100771041164123</v>
      </c>
      <c r="G98" s="114">
        <f t="shared" ref="G98" si="114">IFERROR(G97/G$5,0)</f>
        <v>0.92350944102848964</v>
      </c>
      <c r="H98" s="113">
        <f>IFERROR(H97/H$5,0)</f>
        <v>1.045907812761631</v>
      </c>
      <c r="I98" s="77">
        <f t="shared" ref="I98:K98" si="115">IFERROR(I97/I$5,0)</f>
        <v>0.98550917343673983</v>
      </c>
      <c r="J98" s="77">
        <f t="shared" si="115"/>
        <v>0.95100771041164123</v>
      </c>
      <c r="K98" s="114">
        <f t="shared" si="115"/>
        <v>0.92350944102848986</v>
      </c>
    </row>
    <row r="99" spans="1:11" ht="14.5" x14ac:dyDescent="0.3">
      <c r="A99" s="341"/>
      <c r="B99" s="24"/>
      <c r="C99" s="345" t="s">
        <v>500</v>
      </c>
      <c r="D99" s="115">
        <f>IFERROR(D97/D$4,0)*1000</f>
        <v>14927956.96396146</v>
      </c>
      <c r="E99" s="80">
        <f t="shared" ref="E99:G99" si="116">IFERROR(E97/E$4,0)*1000</f>
        <v>14065903.657233467</v>
      </c>
      <c r="F99" s="80">
        <f t="shared" si="116"/>
        <v>13573473.684966151</v>
      </c>
      <c r="G99" s="116">
        <f t="shared" si="116"/>
        <v>13180998.385588445</v>
      </c>
      <c r="H99" s="115">
        <f>IFERROR(H97/H$4,0)*1000</f>
        <v>14927956.963961462</v>
      </c>
      <c r="I99" s="80">
        <f t="shared" ref="I99:K99" si="117">IFERROR(I97/I$4,0)*1000</f>
        <v>14065903.657233467</v>
      </c>
      <c r="J99" s="80">
        <f t="shared" si="117"/>
        <v>13573473.684966151</v>
      </c>
      <c r="K99" s="116">
        <f t="shared" si="117"/>
        <v>13180998.385588445</v>
      </c>
    </row>
    <row r="100" spans="1:11" x14ac:dyDescent="0.3">
      <c r="A100" s="362">
        <v>7</v>
      </c>
      <c r="B100" s="363" t="s">
        <v>304</v>
      </c>
      <c r="C100" s="364"/>
      <c r="D100" s="365">
        <f t="shared" ref="D100:K100" si="118">D28-D31</f>
        <v>-242172893.88015604</v>
      </c>
      <c r="E100" s="366">
        <f t="shared" si="118"/>
        <v>114663012.42976522</v>
      </c>
      <c r="F100" s="366">
        <f t="shared" si="118"/>
        <v>516888252.07302117</v>
      </c>
      <c r="G100" s="367">
        <f t="shared" si="118"/>
        <v>1008757491.7162771</v>
      </c>
      <c r="H100" s="365">
        <f t="shared" si="118"/>
        <v>-2906074726.5618744</v>
      </c>
      <c r="I100" s="366">
        <f t="shared" si="118"/>
        <v>1375956149.1571846</v>
      </c>
      <c r="J100" s="366">
        <f t="shared" si="118"/>
        <v>6202659024.8762474</v>
      </c>
      <c r="K100" s="367">
        <f t="shared" si="118"/>
        <v>12105089900.59531</v>
      </c>
    </row>
    <row r="101" spans="1:11" ht="14.5" x14ac:dyDescent="0.35">
      <c r="A101" s="343"/>
      <c r="B101" s="23"/>
      <c r="C101" s="344" t="s">
        <v>305</v>
      </c>
      <c r="D101" s="113">
        <f>IFERROR(D100/D$5,0)</f>
        <v>-4.5907812761631035E-2</v>
      </c>
      <c r="E101" s="77">
        <f t="shared" ref="E101" si="119">IFERROR(E100/E$5,0)</f>
        <v>1.4490826563260189E-2</v>
      </c>
      <c r="F101" s="77">
        <f t="shared" ref="F101" si="120">IFERROR(F100/F$5,0)</f>
        <v>4.8992289588358849E-2</v>
      </c>
      <c r="G101" s="114">
        <f t="shared" ref="G101" si="121">IFERROR(G100/G$5,0)</f>
        <v>7.6490558971510247E-2</v>
      </c>
      <c r="H101" s="113">
        <f>IFERROR(H100/H$5,0)</f>
        <v>-4.5907812761631063E-2</v>
      </c>
      <c r="I101" s="77">
        <f t="shared" ref="I101:K101" si="122">IFERROR(I100/I$5,0)</f>
        <v>1.4490826563260209E-2</v>
      </c>
      <c r="J101" s="77">
        <f t="shared" si="122"/>
        <v>4.8992289588358794E-2</v>
      </c>
      <c r="K101" s="114">
        <f t="shared" si="122"/>
        <v>7.649055897151015E-2</v>
      </c>
    </row>
    <row r="102" spans="1:11" x14ac:dyDescent="0.3">
      <c r="A102" s="358"/>
      <c r="B102" s="76" t="s">
        <v>306</v>
      </c>
      <c r="C102" s="357"/>
      <c r="D102" s="117">
        <f>IF(D100&gt;0,D100*20%,0)</f>
        <v>0</v>
      </c>
      <c r="E102" s="78">
        <f t="shared" ref="E102:G102" si="123">IF(E100&gt;0,E100*20%,0)</f>
        <v>22932602.485953048</v>
      </c>
      <c r="F102" s="78">
        <f t="shared" si="123"/>
        <v>103377650.41460425</v>
      </c>
      <c r="G102" s="118">
        <f t="shared" si="123"/>
        <v>201751498.34325543</v>
      </c>
      <c r="H102" s="117">
        <f>IF(H100&gt;0,H100*20%,0)</f>
        <v>0</v>
      </c>
      <c r="I102" s="78">
        <f t="shared" ref="I102:K102" si="124">IF(I100&gt;0,I100*20%,0)</f>
        <v>275191229.83143693</v>
      </c>
      <c r="J102" s="78">
        <f t="shared" si="124"/>
        <v>1240531804.9752495</v>
      </c>
      <c r="K102" s="118">
        <f t="shared" si="124"/>
        <v>2421017980.1190619</v>
      </c>
    </row>
    <row r="103" spans="1:11" x14ac:dyDescent="0.3">
      <c r="A103" s="362">
        <v>8</v>
      </c>
      <c r="B103" s="363" t="s">
        <v>307</v>
      </c>
      <c r="C103" s="364"/>
      <c r="D103" s="365">
        <f>D100-D102</f>
        <v>-242172893.88015604</v>
      </c>
      <c r="E103" s="366">
        <f t="shared" ref="E103:G103" si="125">E100-E102</f>
        <v>91730409.943812177</v>
      </c>
      <c r="F103" s="366">
        <f t="shared" si="125"/>
        <v>413510601.65841693</v>
      </c>
      <c r="G103" s="367">
        <f t="shared" si="125"/>
        <v>807005993.37302172</v>
      </c>
      <c r="H103" s="365">
        <f>H100-H102</f>
        <v>-2906074726.5618744</v>
      </c>
      <c r="I103" s="366">
        <f t="shared" ref="I103:K103" si="126">I100-I102</f>
        <v>1100764919.3257477</v>
      </c>
      <c r="J103" s="366">
        <f t="shared" si="126"/>
        <v>4962127219.9009981</v>
      </c>
      <c r="K103" s="367">
        <f t="shared" si="126"/>
        <v>9684071920.4762478</v>
      </c>
    </row>
    <row r="104" spans="1:11" ht="14.5" x14ac:dyDescent="0.35">
      <c r="A104" s="343"/>
      <c r="B104" s="23"/>
      <c r="C104" s="344" t="s">
        <v>308</v>
      </c>
      <c r="D104" s="113">
        <f>IFERROR(D103/D$5,0)</f>
        <v>-4.5907812761631035E-2</v>
      </c>
      <c r="E104" s="77">
        <f t="shared" ref="E104" si="127">IFERROR(E103/E$5,0)</f>
        <v>1.1592661250608151E-2</v>
      </c>
      <c r="F104" s="77">
        <f t="shared" ref="F104" si="128">IFERROR(F103/F$5,0)</f>
        <v>3.9193831670687074E-2</v>
      </c>
      <c r="G104" s="114">
        <f t="shared" ref="G104" si="129">IFERROR(G103/G$5,0)</f>
        <v>6.1192447177208197E-2</v>
      </c>
      <c r="H104" s="113">
        <f>IFERROR(H103/H$5,0)</f>
        <v>-4.5907812761631063E-2</v>
      </c>
      <c r="I104" s="77">
        <f t="shared" ref="I104:K104" si="130">IFERROR(I103/I$5,0)</f>
        <v>1.1592661250608169E-2</v>
      </c>
      <c r="J104" s="77">
        <f t="shared" si="130"/>
        <v>3.9193831670687039E-2</v>
      </c>
      <c r="K104" s="114">
        <f t="shared" si="130"/>
        <v>6.119244717720812E-2</v>
      </c>
    </row>
    <row r="105" spans="1:11" hidden="1" outlineLevel="1" x14ac:dyDescent="0.3">
      <c r="A105" s="362">
        <v>9</v>
      </c>
      <c r="B105" s="363" t="s">
        <v>309</v>
      </c>
      <c r="C105" s="364"/>
      <c r="D105" s="365">
        <f>D103+D94+D95</f>
        <v>-81391602.213489354</v>
      </c>
      <c r="E105" s="366">
        <f t="shared" ref="E105:G105" si="131">E103+E94+E95</f>
        <v>252511701.61047888</v>
      </c>
      <c r="F105" s="366">
        <f t="shared" si="131"/>
        <v>574291893.32508361</v>
      </c>
      <c r="G105" s="368">
        <f t="shared" si="131"/>
        <v>967787285.03968835</v>
      </c>
      <c r="H105" s="365">
        <f>H103+H94+H95</f>
        <v>-976699226.56187415</v>
      </c>
      <c r="I105" s="366">
        <f t="shared" ref="I105:K105" si="132">I103+I94+I95</f>
        <v>3030140419.325748</v>
      </c>
      <c r="J105" s="366">
        <f t="shared" si="132"/>
        <v>6891502719.9009981</v>
      </c>
      <c r="K105" s="367">
        <f t="shared" si="132"/>
        <v>11613447420.476248</v>
      </c>
    </row>
    <row r="106" spans="1:11" ht="15" hidden="1" outlineLevel="1" thickBot="1" x14ac:dyDescent="0.4">
      <c r="A106" s="359"/>
      <c r="B106" s="360"/>
      <c r="C106" s="361" t="s">
        <v>310</v>
      </c>
      <c r="D106" s="119">
        <f>IFERROR(D105/D$5,0)</f>
        <v>-1.5429102633736987E-2</v>
      </c>
      <c r="E106" s="120">
        <f t="shared" ref="E106" si="133">IFERROR(E105/E$5,0)</f>
        <v>3.1911801335870855E-2</v>
      </c>
      <c r="F106" s="120">
        <f t="shared" ref="F106" si="134">IFERROR(F105/F$5,0)</f>
        <v>5.4433186734634098E-2</v>
      </c>
      <c r="G106" s="122">
        <f t="shared" ref="G106" si="135">IFERROR(G105/G$5,0)</f>
        <v>7.3383931228365812E-2</v>
      </c>
      <c r="H106" s="119">
        <f>IFERROR(H105/H$5,0)</f>
        <v>-1.5429102633737018E-2</v>
      </c>
      <c r="I106" s="120">
        <f t="shared" ref="I106:K106" si="136">IFERROR(I105/I$5,0)</f>
        <v>3.1911801335870869E-2</v>
      </c>
      <c r="J106" s="120">
        <f t="shared" si="136"/>
        <v>5.4433186734634056E-2</v>
      </c>
      <c r="K106" s="121">
        <f t="shared" si="136"/>
        <v>7.3383931228365729E-2</v>
      </c>
    </row>
    <row r="107" spans="1:11" collapsed="1" x14ac:dyDescent="0.3"/>
  </sheetData>
  <mergeCells count="4">
    <mergeCell ref="D2:G2"/>
    <mergeCell ref="H2:K2"/>
    <mergeCell ref="B2:C3"/>
    <mergeCell ref="A2:A3"/>
  </mergeCells>
  <printOptions horizontalCentered="1"/>
  <pageMargins left="0" right="0" top="0" bottom="0" header="0.3" footer="0.3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AE10-F040-4030-A3F8-31F3A3B39D5B}">
  <sheetPr>
    <tabColor theme="7"/>
  </sheetPr>
  <dimension ref="B1:W85"/>
  <sheetViews>
    <sheetView zoomScale="85" zoomScaleNormal="85" workbookViewId="0">
      <selection activeCell="D6" sqref="D6:G6"/>
    </sheetView>
  </sheetViews>
  <sheetFormatPr defaultRowHeight="14" outlineLevelRow="1" x14ac:dyDescent="0.3"/>
  <cols>
    <col min="1" max="1" width="1.1796875" style="3" customWidth="1"/>
    <col min="2" max="2" width="31.54296875" style="3" customWidth="1"/>
    <col min="3" max="3" width="18.08984375" style="3" customWidth="1"/>
    <col min="4" max="11" width="10.54296875" style="3" customWidth="1"/>
    <col min="12" max="12" width="10.36328125" style="3" customWidth="1"/>
    <col min="13" max="13" width="9.26953125" style="3" customWidth="1"/>
    <col min="14" max="16384" width="8.7265625" style="3"/>
  </cols>
  <sheetData>
    <row r="1" spans="2:11" x14ac:dyDescent="0.3">
      <c r="B1" s="380" t="s">
        <v>209</v>
      </c>
    </row>
    <row r="2" spans="2:11" s="381" customFormat="1" ht="14.5" thickBot="1" x14ac:dyDescent="0.35">
      <c r="B2" s="381" t="s">
        <v>579</v>
      </c>
    </row>
    <row r="3" spans="2:11" ht="14.5" customHeight="1" x14ac:dyDescent="0.3">
      <c r="B3" s="1156" t="s">
        <v>576</v>
      </c>
      <c r="C3" s="1182" t="s">
        <v>53</v>
      </c>
      <c r="D3" s="1178" t="s">
        <v>577</v>
      </c>
      <c r="E3" s="1179"/>
      <c r="F3" s="1179"/>
      <c r="G3" s="1180"/>
      <c r="H3" s="1178" t="s">
        <v>578</v>
      </c>
      <c r="I3" s="1179"/>
      <c r="J3" s="1179"/>
      <c r="K3" s="1180"/>
    </row>
    <row r="4" spans="2:11" x14ac:dyDescent="0.3">
      <c r="B4" s="1181"/>
      <c r="C4" s="1183"/>
      <c r="D4" s="144" t="s">
        <v>777</v>
      </c>
      <c r="E4" s="132" t="s">
        <v>778</v>
      </c>
      <c r="F4" s="132" t="s">
        <v>779</v>
      </c>
      <c r="G4" s="145" t="s">
        <v>780</v>
      </c>
      <c r="H4" s="144" t="s">
        <v>777</v>
      </c>
      <c r="I4" s="132" t="s">
        <v>778</v>
      </c>
      <c r="J4" s="132" t="s">
        <v>779</v>
      </c>
      <c r="K4" s="145" t="s">
        <v>780</v>
      </c>
    </row>
    <row r="5" spans="2:11" x14ac:dyDescent="0.3">
      <c r="B5" s="778" t="s">
        <v>823</v>
      </c>
      <c r="C5" s="779" t="s">
        <v>587</v>
      </c>
      <c r="D5" s="780">
        <f>S.Lượng!C7</f>
        <v>400000</v>
      </c>
      <c r="E5" s="781">
        <f>S.Lượng!D7</f>
        <v>600000</v>
      </c>
      <c r="F5" s="781">
        <f>S.Lượng!E7</f>
        <v>800000</v>
      </c>
      <c r="G5" s="782">
        <f>S.Lượng!F7</f>
        <v>1000000</v>
      </c>
      <c r="H5" s="780">
        <f t="shared" ref="H5:K9" si="0">D5*12</f>
        <v>4800000</v>
      </c>
      <c r="I5" s="781">
        <f t="shared" si="0"/>
        <v>7200000</v>
      </c>
      <c r="J5" s="781">
        <f t="shared" si="0"/>
        <v>9600000</v>
      </c>
      <c r="K5" s="783">
        <f t="shared" si="0"/>
        <v>12000000</v>
      </c>
    </row>
    <row r="6" spans="2:11" s="255" customFormat="1" x14ac:dyDescent="0.3">
      <c r="B6" s="798" t="s">
        <v>726</v>
      </c>
      <c r="C6" s="799" t="s">
        <v>587</v>
      </c>
      <c r="D6" s="800">
        <f>D8*(1+(S.Lượng!C7-S.Lượng!C18)/S.Lượng!C7)</f>
        <v>486713.01555280498</v>
      </c>
      <c r="E6" s="801">
        <f>E8*(1+(S.Lượng!D7-S.Lượng!D18)/S.Lượng!D7)</f>
        <v>562814.05139939149</v>
      </c>
      <c r="F6" s="801">
        <f>F8*(1+(S.Lượng!E7-S.Lượng!E18)/S.Lượng!E7)</f>
        <v>643371.57628491684</v>
      </c>
      <c r="G6" s="802">
        <f>G8*(1+(S.Lượng!F7-S.Lượng!F18)/S.Lượng!F7)</f>
        <v>697566.39827351179</v>
      </c>
      <c r="H6" s="800">
        <f t="shared" si="0"/>
        <v>5840556.1866336595</v>
      </c>
      <c r="I6" s="801">
        <f t="shared" si="0"/>
        <v>6753768.6167926975</v>
      </c>
      <c r="J6" s="801">
        <f t="shared" si="0"/>
        <v>7720458.9154190021</v>
      </c>
      <c r="K6" s="803">
        <f t="shared" si="0"/>
        <v>8370796.7792821415</v>
      </c>
    </row>
    <row r="7" spans="2:11" x14ac:dyDescent="0.3">
      <c r="B7" s="792" t="s">
        <v>727</v>
      </c>
      <c r="C7" s="793" t="s">
        <v>587</v>
      </c>
      <c r="D7" s="794">
        <f>KQKD!D4</f>
        <v>369600</v>
      </c>
      <c r="E7" s="795">
        <f>KQKD!E4</f>
        <v>554400</v>
      </c>
      <c r="F7" s="795">
        <f>KQKD!F4</f>
        <v>739200</v>
      </c>
      <c r="G7" s="796">
        <f>KQKD!G4</f>
        <v>924000</v>
      </c>
      <c r="H7" s="794">
        <f t="shared" si="0"/>
        <v>4435200</v>
      </c>
      <c r="I7" s="795">
        <f t="shared" si="0"/>
        <v>6652800</v>
      </c>
      <c r="J7" s="795">
        <f t="shared" si="0"/>
        <v>8870400</v>
      </c>
      <c r="K7" s="797">
        <f t="shared" si="0"/>
        <v>11088000</v>
      </c>
    </row>
    <row r="8" spans="2:11" s="255" customFormat="1" x14ac:dyDescent="0.3">
      <c r="B8" s="784" t="s">
        <v>725</v>
      </c>
      <c r="C8" s="785" t="s">
        <v>587</v>
      </c>
      <c r="D8" s="786">
        <f>(KQKD!D31+KQKD!D102)/(KQKD!D6-KQKD!D9)*1000</f>
        <v>452335.51631301577</v>
      </c>
      <c r="E8" s="787">
        <f>(KQKD!E31+KQKD!E102)/(KQKD!E6-KQKD!E9)*1000</f>
        <v>523061.38605891395</v>
      </c>
      <c r="F8" s="787">
        <f>(KQKD!F31+KQKD!F102)/(KQKD!F6-KQKD!F9)*1000</f>
        <v>597928.97424248769</v>
      </c>
      <c r="G8" s="788">
        <f>(KQKD!G31+KQKD!G102)/(KQKD!G6-KQKD!G9)*1000</f>
        <v>648295.90917612612</v>
      </c>
      <c r="H8" s="786">
        <f t="shared" si="0"/>
        <v>5428026.1957561895</v>
      </c>
      <c r="I8" s="787">
        <f t="shared" si="0"/>
        <v>6276736.6327069672</v>
      </c>
      <c r="J8" s="787">
        <f t="shared" si="0"/>
        <v>7175147.6909098523</v>
      </c>
      <c r="K8" s="789">
        <f t="shared" si="0"/>
        <v>7779550.9101135135</v>
      </c>
    </row>
    <row r="9" spans="2:11" s="255" customFormat="1" ht="14.5" thickBot="1" x14ac:dyDescent="0.35">
      <c r="B9" s="790" t="s">
        <v>589</v>
      </c>
      <c r="C9" s="791" t="s">
        <v>588</v>
      </c>
      <c r="D9" s="929">
        <f>D8*KQKD!D6/1000</f>
        <v>6456061460.1039524</v>
      </c>
      <c r="E9" s="930">
        <f>E8*KQKD!E6/1000</f>
        <v>7465512510.1135902</v>
      </c>
      <c r="F9" s="930">
        <f>F8*KQKD!F6/1000</f>
        <v>8534077177.8245964</v>
      </c>
      <c r="G9" s="931">
        <f>G8*KQKD!G6/1000</f>
        <v>9252950703.6956177</v>
      </c>
      <c r="H9" s="926">
        <f t="shared" si="0"/>
        <v>77472737521.247437</v>
      </c>
      <c r="I9" s="927">
        <f t="shared" si="0"/>
        <v>89586150121.363083</v>
      </c>
      <c r="J9" s="927">
        <f t="shared" si="0"/>
        <v>102408926133.89516</v>
      </c>
      <c r="K9" s="928">
        <f t="shared" si="0"/>
        <v>111035408444.34741</v>
      </c>
    </row>
    <row r="11" spans="2:11" s="381" customFormat="1" x14ac:dyDescent="0.3">
      <c r="B11" s="381" t="s">
        <v>580</v>
      </c>
      <c r="K11" s="266" t="s">
        <v>558</v>
      </c>
    </row>
    <row r="12" spans="2:11" x14ac:dyDescent="0.3">
      <c r="B12" s="132" t="s">
        <v>576</v>
      </c>
      <c r="C12" s="333" t="s">
        <v>509</v>
      </c>
      <c r="D12" s="132" t="s">
        <v>501</v>
      </c>
      <c r="E12" s="132" t="s">
        <v>502</v>
      </c>
      <c r="F12" s="132" t="s">
        <v>503</v>
      </c>
      <c r="G12" s="132" t="s">
        <v>504</v>
      </c>
      <c r="H12" s="132" t="s">
        <v>505</v>
      </c>
      <c r="I12" s="132" t="s">
        <v>506</v>
      </c>
      <c r="J12" s="132" t="s">
        <v>507</v>
      </c>
      <c r="K12" s="132" t="s">
        <v>508</v>
      </c>
    </row>
    <row r="13" spans="2:11" s="255" customFormat="1" x14ac:dyDescent="0.3">
      <c r="B13" s="171" t="s">
        <v>546</v>
      </c>
      <c r="C13" s="394" t="s">
        <v>585</v>
      </c>
      <c r="D13" s="395"/>
      <c r="E13" s="395"/>
      <c r="F13" s="395"/>
      <c r="G13" s="395"/>
      <c r="H13" s="395"/>
      <c r="I13" s="395"/>
      <c r="J13" s="395"/>
      <c r="K13" s="395"/>
    </row>
    <row r="14" spans="2:11" x14ac:dyDescent="0.3">
      <c r="B14" s="39" t="s">
        <v>582</v>
      </c>
      <c r="C14" s="397"/>
      <c r="D14" s="378">
        <f>D39</f>
        <v>-2906074726.5618744</v>
      </c>
      <c r="E14" s="378">
        <f t="shared" ref="E14:K14" si="1">E39</f>
        <v>-2770160939.8118744</v>
      </c>
      <c r="F14" s="378">
        <f t="shared" si="1"/>
        <v>-2634247153.0618744</v>
      </c>
      <c r="G14" s="378">
        <f t="shared" si="1"/>
        <v>-2498333366.3118744</v>
      </c>
      <c r="H14" s="378">
        <f t="shared" si="1"/>
        <v>-2362419579.5618744</v>
      </c>
      <c r="I14" s="378">
        <f t="shared" si="1"/>
        <v>-2226505792.8118744</v>
      </c>
      <c r="J14" s="378">
        <f t="shared" si="1"/>
        <v>-2090592006.0618742</v>
      </c>
      <c r="K14" s="378">
        <f t="shared" si="1"/>
        <v>-1954678219.3118742</v>
      </c>
    </row>
    <row r="15" spans="2:11" x14ac:dyDescent="0.3">
      <c r="B15" s="39" t="s">
        <v>583</v>
      </c>
      <c r="C15" s="397"/>
      <c r="D15" s="378">
        <f t="shared" ref="D15:K16" si="2">D40</f>
        <v>1929375500.0000002</v>
      </c>
      <c r="E15" s="378">
        <f t="shared" si="2"/>
        <v>1929375500.0000002</v>
      </c>
      <c r="F15" s="378">
        <f t="shared" si="2"/>
        <v>1929375500.0000002</v>
      </c>
      <c r="G15" s="378">
        <f t="shared" si="2"/>
        <v>1929375500.0000002</v>
      </c>
      <c r="H15" s="378">
        <f t="shared" si="2"/>
        <v>1929375500.0000002</v>
      </c>
      <c r="I15" s="378">
        <f t="shared" si="2"/>
        <v>1929375500.0000002</v>
      </c>
      <c r="J15" s="378">
        <f t="shared" si="2"/>
        <v>1929375500.0000002</v>
      </c>
      <c r="K15" s="378">
        <f t="shared" si="2"/>
        <v>1929375500.0000002</v>
      </c>
    </row>
    <row r="16" spans="2:11" x14ac:dyDescent="0.3">
      <c r="B16" s="39" t="s">
        <v>584</v>
      </c>
      <c r="C16" s="397">
        <f>-C38</f>
        <v>-22190006000</v>
      </c>
      <c r="D16" s="378">
        <f t="shared" si="2"/>
        <v>-976699226.56187415</v>
      </c>
      <c r="E16" s="378">
        <f t="shared" si="2"/>
        <v>-840785439.81187415</v>
      </c>
      <c r="F16" s="378">
        <f t="shared" si="2"/>
        <v>-704871653.06187415</v>
      </c>
      <c r="G16" s="378">
        <f t="shared" si="2"/>
        <v>-568957866.31187415</v>
      </c>
      <c r="H16" s="378">
        <f t="shared" si="2"/>
        <v>-433044079.56187415</v>
      </c>
      <c r="I16" s="378">
        <f t="shared" si="2"/>
        <v>-297130292.81187415</v>
      </c>
      <c r="J16" s="378">
        <f t="shared" si="2"/>
        <v>-161216506.06187391</v>
      </c>
      <c r="K16" s="378">
        <f t="shared" si="2"/>
        <v>-25302719.311873913</v>
      </c>
    </row>
    <row r="17" spans="2:11" s="255" customFormat="1" x14ac:dyDescent="0.3">
      <c r="B17" s="175" t="s">
        <v>547</v>
      </c>
      <c r="C17" s="175"/>
      <c r="D17" s="175"/>
      <c r="E17" s="175"/>
      <c r="F17" s="175"/>
      <c r="G17" s="396"/>
      <c r="H17" s="396"/>
      <c r="I17" s="396"/>
      <c r="J17" s="396"/>
      <c r="K17" s="396"/>
    </row>
    <row r="18" spans="2:11" x14ac:dyDescent="0.3">
      <c r="B18" s="39" t="s">
        <v>582</v>
      </c>
      <c r="C18" s="397"/>
      <c r="D18" s="378">
        <f>D50</f>
        <v>1100764919.3257477</v>
      </c>
      <c r="E18" s="378">
        <f t="shared" ref="E18:K18" si="3">E50</f>
        <v>1236678706.075748</v>
      </c>
      <c r="F18" s="378">
        <f t="shared" si="3"/>
        <v>1372592492.825748</v>
      </c>
      <c r="G18" s="378">
        <f t="shared" si="3"/>
        <v>1508506279.575748</v>
      </c>
      <c r="H18" s="378">
        <f t="shared" si="3"/>
        <v>1644420066.325748</v>
      </c>
      <c r="I18" s="378">
        <f t="shared" si="3"/>
        <v>1780333853.075748</v>
      </c>
      <c r="J18" s="378">
        <f t="shared" si="3"/>
        <v>1916247639.825748</v>
      </c>
      <c r="K18" s="378">
        <f t="shared" si="3"/>
        <v>2052161426.575748</v>
      </c>
    </row>
    <row r="19" spans="2:11" x14ac:dyDescent="0.3">
      <c r="B19" s="39" t="s">
        <v>583</v>
      </c>
      <c r="C19" s="397"/>
      <c r="D19" s="378">
        <f t="shared" ref="D19:K20" si="4">D51</f>
        <v>1929375500.0000002</v>
      </c>
      <c r="E19" s="378">
        <f t="shared" si="4"/>
        <v>1929375500.0000002</v>
      </c>
      <c r="F19" s="378">
        <f t="shared" si="4"/>
        <v>1929375500.0000002</v>
      </c>
      <c r="G19" s="378">
        <f t="shared" si="4"/>
        <v>1929375500.0000002</v>
      </c>
      <c r="H19" s="378">
        <f t="shared" si="4"/>
        <v>1929375500.0000002</v>
      </c>
      <c r="I19" s="378">
        <f t="shared" si="4"/>
        <v>1929375500.0000002</v>
      </c>
      <c r="J19" s="378">
        <f t="shared" si="4"/>
        <v>1929375500.0000002</v>
      </c>
      <c r="K19" s="378">
        <f t="shared" si="4"/>
        <v>1929375500.0000002</v>
      </c>
    </row>
    <row r="20" spans="2:11" x14ac:dyDescent="0.3">
      <c r="B20" s="39" t="s">
        <v>584</v>
      </c>
      <c r="C20" s="397">
        <f>-C49</f>
        <v>-22190006000</v>
      </c>
      <c r="D20" s="378">
        <f t="shared" si="4"/>
        <v>3030140419.325748</v>
      </c>
      <c r="E20" s="378">
        <f t="shared" si="4"/>
        <v>3166054206.0757484</v>
      </c>
      <c r="F20" s="378">
        <f t="shared" si="4"/>
        <v>3301967992.8257484</v>
      </c>
      <c r="G20" s="378">
        <f t="shared" si="4"/>
        <v>3437881779.5757484</v>
      </c>
      <c r="H20" s="378">
        <f t="shared" si="4"/>
        <v>3573795566.3257484</v>
      </c>
      <c r="I20" s="378">
        <f t="shared" si="4"/>
        <v>3709709353.0757484</v>
      </c>
      <c r="J20" s="378">
        <f t="shared" si="4"/>
        <v>3845623139.8257484</v>
      </c>
      <c r="K20" s="378">
        <f t="shared" si="4"/>
        <v>3981536926.5757484</v>
      </c>
    </row>
    <row r="21" spans="2:11" s="255" customFormat="1" x14ac:dyDescent="0.3">
      <c r="B21" s="175" t="s">
        <v>548</v>
      </c>
      <c r="C21" s="175"/>
      <c r="D21" s="175"/>
      <c r="E21" s="175"/>
      <c r="F21" s="175"/>
      <c r="G21" s="396"/>
      <c r="H21" s="396"/>
      <c r="I21" s="396"/>
      <c r="J21" s="396"/>
      <c r="K21" s="396"/>
    </row>
    <row r="22" spans="2:11" x14ac:dyDescent="0.3">
      <c r="B22" s="39" t="s">
        <v>582</v>
      </c>
      <c r="C22" s="397"/>
      <c r="D22" s="378">
        <f>D61</f>
        <v>4962127219.9009981</v>
      </c>
      <c r="E22" s="378">
        <f t="shared" ref="E22:K22" si="5">E61</f>
        <v>5098041006.6509981</v>
      </c>
      <c r="F22" s="378">
        <f t="shared" si="5"/>
        <v>5233954793.4009981</v>
      </c>
      <c r="G22" s="378">
        <f t="shared" si="5"/>
        <v>5369868580.1509981</v>
      </c>
      <c r="H22" s="378">
        <f t="shared" si="5"/>
        <v>5505782366.9009981</v>
      </c>
      <c r="I22" s="378">
        <f t="shared" si="5"/>
        <v>5641696153.6509981</v>
      </c>
      <c r="J22" s="378">
        <f t="shared" si="5"/>
        <v>5777609940.4009981</v>
      </c>
      <c r="K22" s="378">
        <f t="shared" si="5"/>
        <v>5913523727.1509981</v>
      </c>
    </row>
    <row r="23" spans="2:11" x14ac:dyDescent="0.3">
      <c r="B23" s="39" t="s">
        <v>583</v>
      </c>
      <c r="C23" s="397"/>
      <c r="D23" s="378">
        <f t="shared" ref="D23:K24" si="6">D62</f>
        <v>1929375500.0000002</v>
      </c>
      <c r="E23" s="378">
        <f t="shared" si="6"/>
        <v>1929375500.0000002</v>
      </c>
      <c r="F23" s="378">
        <f t="shared" si="6"/>
        <v>1929375500.0000002</v>
      </c>
      <c r="G23" s="378">
        <f t="shared" si="6"/>
        <v>1929375500.0000002</v>
      </c>
      <c r="H23" s="378">
        <f t="shared" si="6"/>
        <v>1929375500.0000002</v>
      </c>
      <c r="I23" s="378">
        <f t="shared" si="6"/>
        <v>1929375500.0000002</v>
      </c>
      <c r="J23" s="378">
        <f t="shared" si="6"/>
        <v>1929375500.0000002</v>
      </c>
      <c r="K23" s="378">
        <f t="shared" si="6"/>
        <v>1929375500.0000002</v>
      </c>
    </row>
    <row r="24" spans="2:11" x14ac:dyDescent="0.3">
      <c r="B24" s="39" t="s">
        <v>584</v>
      </c>
      <c r="C24" s="397">
        <f>-C60</f>
        <v>-22190006000</v>
      </c>
      <c r="D24" s="378">
        <f t="shared" si="6"/>
        <v>6891502719.9009981</v>
      </c>
      <c r="E24" s="378">
        <f t="shared" si="6"/>
        <v>7027416506.6509981</v>
      </c>
      <c r="F24" s="378">
        <f t="shared" si="6"/>
        <v>7163330293.4009981</v>
      </c>
      <c r="G24" s="378">
        <f t="shared" si="6"/>
        <v>7299244080.1509981</v>
      </c>
      <c r="H24" s="378">
        <f t="shared" si="6"/>
        <v>7435157866.9009981</v>
      </c>
      <c r="I24" s="378">
        <f t="shared" si="6"/>
        <v>7571071653.6509981</v>
      </c>
      <c r="J24" s="378">
        <f t="shared" si="6"/>
        <v>7706985440.4009981</v>
      </c>
      <c r="K24" s="378">
        <f t="shared" si="6"/>
        <v>7842899227.1509981</v>
      </c>
    </row>
    <row r="25" spans="2:11" s="255" customFormat="1" x14ac:dyDescent="0.3">
      <c r="B25" s="175" t="s">
        <v>549</v>
      </c>
      <c r="C25" s="175"/>
      <c r="D25" s="175"/>
      <c r="E25" s="175"/>
      <c r="F25" s="175"/>
      <c r="G25" s="396"/>
      <c r="H25" s="396"/>
      <c r="I25" s="396"/>
      <c r="J25" s="396"/>
      <c r="K25" s="396"/>
    </row>
    <row r="26" spans="2:11" x14ac:dyDescent="0.3">
      <c r="B26" s="39" t="s">
        <v>582</v>
      </c>
      <c r="C26" s="397"/>
      <c r="D26" s="378">
        <f>D72</f>
        <v>9684071920.4762478</v>
      </c>
      <c r="E26" s="378">
        <f t="shared" ref="E26:K26" si="7">E72</f>
        <v>9819985707.2262478</v>
      </c>
      <c r="F26" s="378">
        <f t="shared" si="7"/>
        <v>9955899493.9762478</v>
      </c>
      <c r="G26" s="378">
        <f t="shared" si="7"/>
        <v>10091813280.726248</v>
      </c>
      <c r="H26" s="378">
        <f t="shared" si="7"/>
        <v>10227727067.476248</v>
      </c>
      <c r="I26" s="378">
        <f t="shared" si="7"/>
        <v>10363640854.226248</v>
      </c>
      <c r="J26" s="378">
        <f t="shared" si="7"/>
        <v>10499554640.976248</v>
      </c>
      <c r="K26" s="378">
        <f t="shared" si="7"/>
        <v>10635468427.726248</v>
      </c>
    </row>
    <row r="27" spans="2:11" x14ac:dyDescent="0.3">
      <c r="B27" s="39" t="s">
        <v>583</v>
      </c>
      <c r="C27" s="397"/>
      <c r="D27" s="378">
        <f t="shared" ref="D27:K28" si="8">D73</f>
        <v>1929375500.0000002</v>
      </c>
      <c r="E27" s="378">
        <f t="shared" si="8"/>
        <v>1929375500.0000002</v>
      </c>
      <c r="F27" s="378">
        <f t="shared" si="8"/>
        <v>1929375500.0000002</v>
      </c>
      <c r="G27" s="378">
        <f t="shared" si="8"/>
        <v>1929375500.0000002</v>
      </c>
      <c r="H27" s="378">
        <f t="shared" si="8"/>
        <v>1929375500.0000002</v>
      </c>
      <c r="I27" s="378">
        <f t="shared" si="8"/>
        <v>1929375500.0000002</v>
      </c>
      <c r="J27" s="378">
        <f t="shared" si="8"/>
        <v>1929375500.0000002</v>
      </c>
      <c r="K27" s="378">
        <f t="shared" si="8"/>
        <v>1929375500.0000002</v>
      </c>
    </row>
    <row r="28" spans="2:11" x14ac:dyDescent="0.3">
      <c r="B28" s="38" t="s">
        <v>584</v>
      </c>
      <c r="C28" s="398">
        <f>-C71</f>
        <v>-22190006000</v>
      </c>
      <c r="D28" s="379">
        <f t="shared" si="8"/>
        <v>11613447420.476248</v>
      </c>
      <c r="E28" s="379">
        <f t="shared" si="8"/>
        <v>11749361207.226248</v>
      </c>
      <c r="F28" s="379">
        <f t="shared" si="8"/>
        <v>11885274993.976248</v>
      </c>
      <c r="G28" s="379">
        <f t="shared" si="8"/>
        <v>12021188780.726248</v>
      </c>
      <c r="H28" s="379">
        <f t="shared" si="8"/>
        <v>12157102567.476248</v>
      </c>
      <c r="I28" s="379">
        <f t="shared" si="8"/>
        <v>12293016354.226248</v>
      </c>
      <c r="J28" s="379">
        <f t="shared" si="8"/>
        <v>12428930140.976248</v>
      </c>
      <c r="K28" s="379">
        <f t="shared" si="8"/>
        <v>12564843927.726248</v>
      </c>
    </row>
    <row r="30" spans="2:11" s="381" customFormat="1" x14ac:dyDescent="0.3">
      <c r="B30" s="381" t="s">
        <v>581</v>
      </c>
    </row>
    <row r="31" spans="2:11" x14ac:dyDescent="0.3">
      <c r="B31" s="132" t="s">
        <v>576</v>
      </c>
      <c r="C31" s="132" t="s">
        <v>777</v>
      </c>
      <c r="D31" s="132" t="s">
        <v>778</v>
      </c>
      <c r="E31" s="132" t="s">
        <v>779</v>
      </c>
      <c r="F31" s="132" t="s">
        <v>780</v>
      </c>
    </row>
    <row r="32" spans="2:11" x14ac:dyDescent="0.3">
      <c r="B32" s="84" t="s">
        <v>590</v>
      </c>
      <c r="C32" s="399">
        <f>C44</f>
        <v>-22966054353.202</v>
      </c>
      <c r="D32" s="399">
        <f>C55</f>
        <v>11981477722.092436</v>
      </c>
      <c r="E32" s="399">
        <f>C66</f>
        <v>45660160868.842697</v>
      </c>
      <c r="F32" s="399">
        <f>C77</f>
        <v>86844817222.756668</v>
      </c>
    </row>
    <row r="33" spans="2:23" x14ac:dyDescent="0.3">
      <c r="B33" s="34" t="s">
        <v>515</v>
      </c>
      <c r="C33" s="400">
        <f t="shared" ref="C33:C34" si="9">C45</f>
        <v>-0.18098752025544773</v>
      </c>
      <c r="D33" s="400">
        <f t="shared" ref="D33:D34" si="10">C56</f>
        <v>0.1530092538355714</v>
      </c>
      <c r="E33" s="400">
        <f t="shared" ref="E33:E34" si="11">C67</f>
        <v>0.32611480198312059</v>
      </c>
      <c r="F33" s="400">
        <f t="shared" ref="F33:F34" si="12">C78</f>
        <v>0.534343907675489</v>
      </c>
    </row>
    <row r="34" spans="2:23" x14ac:dyDescent="0.3">
      <c r="B34" s="85" t="s">
        <v>522</v>
      </c>
      <c r="C34" s="401" t="e">
        <f t="shared" si="9"/>
        <v>#N/A</v>
      </c>
      <c r="D34" s="401">
        <f t="shared" si="10"/>
        <v>9.4228130233318907</v>
      </c>
      <c r="E34" s="401">
        <f t="shared" si="11"/>
        <v>3.8089478270301975</v>
      </c>
      <c r="F34" s="401">
        <f t="shared" si="12"/>
        <v>2.1618267813785481</v>
      </c>
    </row>
    <row r="36" spans="2:23" x14ac:dyDescent="0.3">
      <c r="B36" s="87" t="s">
        <v>586</v>
      </c>
      <c r="E36" s="856"/>
      <c r="F36" s="856"/>
      <c r="G36" s="856"/>
      <c r="H36" s="856"/>
      <c r="I36" s="856"/>
      <c r="J36" s="856"/>
      <c r="K36" s="856"/>
      <c r="L36" s="856"/>
      <c r="M36" s="856"/>
      <c r="N36" s="856"/>
      <c r="O36" s="856"/>
      <c r="P36" s="856"/>
    </row>
    <row r="37" spans="2:23" outlineLevel="1" x14ac:dyDescent="0.3">
      <c r="B37" s="40" t="s">
        <v>546</v>
      </c>
      <c r="C37" s="72" t="s">
        <v>509</v>
      </c>
      <c r="D37" s="72" t="s">
        <v>501</v>
      </c>
      <c r="E37" s="72" t="s">
        <v>502</v>
      </c>
      <c r="F37" s="72" t="s">
        <v>503</v>
      </c>
      <c r="G37" s="72" t="s">
        <v>504</v>
      </c>
      <c r="H37" s="72" t="s">
        <v>505</v>
      </c>
      <c r="I37" s="72" t="s">
        <v>506</v>
      </c>
      <c r="J37" s="72" t="s">
        <v>507</v>
      </c>
      <c r="K37" s="72" t="s">
        <v>508</v>
      </c>
      <c r="L37" s="72" t="s">
        <v>675</v>
      </c>
      <c r="M37" s="72" t="s">
        <v>676</v>
      </c>
      <c r="N37" s="72" t="s">
        <v>677</v>
      </c>
      <c r="O37" s="72" t="s">
        <v>678</v>
      </c>
      <c r="P37" s="72" t="s">
        <v>679</v>
      </c>
      <c r="Q37" s="72" t="s">
        <v>680</v>
      </c>
      <c r="R37" s="72" t="s">
        <v>681</v>
      </c>
      <c r="S37" s="72" t="s">
        <v>682</v>
      </c>
      <c r="T37" s="72" t="s">
        <v>683</v>
      </c>
      <c r="U37" s="72" t="s">
        <v>684</v>
      </c>
      <c r="V37" s="72" t="s">
        <v>685</v>
      </c>
      <c r="W37" s="72" t="s">
        <v>686</v>
      </c>
    </row>
    <row r="38" spans="2:23" outlineLevel="1" x14ac:dyDescent="0.3">
      <c r="B38" s="382" t="s">
        <v>510</v>
      </c>
      <c r="C38" s="383">
        <f>'K.Hao, L.v'!C12</f>
        <v>22190006000</v>
      </c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</row>
    <row r="39" spans="2:23" outlineLevel="1" x14ac:dyDescent="0.3">
      <c r="B39" s="39" t="s">
        <v>511</v>
      </c>
      <c r="C39" s="78"/>
      <c r="D39" s="385">
        <f>KQKD!$H$103</f>
        <v>-2906074726.5618744</v>
      </c>
      <c r="E39" s="385">
        <f>KQKD!$H$103+KQKD!$H$92-($C$38*G.Định!$D$78-($C$38*G.Định!$D$78/G.Định!$D$80*COLUMNS($E$38:E$38)))*G.Định!$D$81</f>
        <v>-2770160939.8118744</v>
      </c>
      <c r="F39" s="385">
        <f>KQKD!$H$103+KQKD!$H$92-($C$38*G.Định!$D$78-($C$38*G.Định!$D$78/G.Định!$D$80*COLUMNS($E$38:F$38)))*G.Định!$D$81</f>
        <v>-2634247153.0618744</v>
      </c>
      <c r="G39" s="385">
        <f>KQKD!$H$103+KQKD!$H$92-($C$38*G.Định!$D$78-($C$38*G.Định!$D$78/G.Định!$D$80*COLUMNS($E$38:G$38)))*G.Định!$D$81</f>
        <v>-2498333366.3118744</v>
      </c>
      <c r="H39" s="385">
        <f>KQKD!$H$103+KQKD!$H$92-($C$38*G.Định!$D$78-($C$38*G.Định!$D$78/G.Định!$D$80*COLUMNS($E$38:H$38)))*G.Định!$D$81</f>
        <v>-2362419579.5618744</v>
      </c>
      <c r="I39" s="385">
        <f>KQKD!$H$103+KQKD!$H$92-($C$38*G.Định!$D$78-($C$38*G.Định!$D$78/G.Định!$D$80*COLUMNS($E$38:I$38)))*G.Định!$D$81</f>
        <v>-2226505792.8118744</v>
      </c>
      <c r="J39" s="385">
        <f>KQKD!$H$103+KQKD!$H$92-($C$38*G.Định!$D$78-($C$38*G.Định!$D$78/G.Định!$D$80*COLUMNS($E$38:J$38)))*G.Định!$D$81</f>
        <v>-2090592006.0618742</v>
      </c>
      <c r="K39" s="385">
        <f>KQKD!$H$103+KQKD!$H$92-($C$38*G.Định!$D$78-($C$38*G.Định!$D$78/G.Định!$D$80*COLUMNS($E$38:K$38)))*G.Định!$D$81</f>
        <v>-1954678219.3118742</v>
      </c>
      <c r="L39" s="385">
        <f>KQKD!$H$103+KQKD!$H$92</f>
        <v>-1818764432.5618742</v>
      </c>
      <c r="M39" s="385">
        <f>KQKD!$H$103+KQKD!$H$92</f>
        <v>-1818764432.5618742</v>
      </c>
      <c r="N39" s="385">
        <f>KQKD!$H$103+KQKD!$H$92</f>
        <v>-1818764432.5618742</v>
      </c>
      <c r="O39" s="385">
        <f>KQKD!$H$103+KQKD!$H$92</f>
        <v>-1818764432.5618742</v>
      </c>
      <c r="P39" s="385">
        <f>KQKD!$H$103+KQKD!$H$92</f>
        <v>-1818764432.5618742</v>
      </c>
      <c r="Q39" s="385">
        <f>KQKD!$H$103+KQKD!$H$92</f>
        <v>-1818764432.5618742</v>
      </c>
      <c r="R39" s="385">
        <f>KQKD!$H$103+KQKD!$H$92</f>
        <v>-1818764432.5618742</v>
      </c>
      <c r="S39" s="385">
        <f>KQKD!$H$103+KQKD!$H$92</f>
        <v>-1818764432.5618742</v>
      </c>
      <c r="T39" s="385">
        <f>KQKD!$H$103+KQKD!$H$92</f>
        <v>-1818764432.5618742</v>
      </c>
      <c r="U39" s="385">
        <f>KQKD!$H$103+KQKD!$H$92</f>
        <v>-1818764432.5618742</v>
      </c>
      <c r="V39" s="385">
        <f>KQKD!$H$103+KQKD!$H$92</f>
        <v>-1818764432.5618742</v>
      </c>
      <c r="W39" s="385">
        <f>KQKD!$H$103+KQKD!$H$92</f>
        <v>-1818764432.5618742</v>
      </c>
    </row>
    <row r="40" spans="2:23" outlineLevel="1" x14ac:dyDescent="0.3">
      <c r="B40" s="39" t="s">
        <v>512</v>
      </c>
      <c r="C40" s="78"/>
      <c r="D40" s="385">
        <f>KQKD!$H$95</f>
        <v>1929375500.0000002</v>
      </c>
      <c r="E40" s="385">
        <f>KQKD!$H$95</f>
        <v>1929375500.0000002</v>
      </c>
      <c r="F40" s="385">
        <f>KQKD!$H$95</f>
        <v>1929375500.0000002</v>
      </c>
      <c r="G40" s="385">
        <f>KQKD!$H$95</f>
        <v>1929375500.0000002</v>
      </c>
      <c r="H40" s="385">
        <f>KQKD!$H$95</f>
        <v>1929375500.0000002</v>
      </c>
      <c r="I40" s="385">
        <f>KQKD!$H$95</f>
        <v>1929375500.0000002</v>
      </c>
      <c r="J40" s="385">
        <f>KQKD!$H$95</f>
        <v>1929375500.0000002</v>
      </c>
      <c r="K40" s="385">
        <f>KQKD!$H$95</f>
        <v>1929375500.0000002</v>
      </c>
      <c r="L40" s="385">
        <f>KQKD!$H$95</f>
        <v>1929375500.0000002</v>
      </c>
      <c r="M40" s="385">
        <f>KQKD!$H$95</f>
        <v>1929375500.0000002</v>
      </c>
      <c r="N40" s="385">
        <f>KQKD!$H$95</f>
        <v>1929375500.0000002</v>
      </c>
      <c r="O40" s="385">
        <f>KQKD!$H$95</f>
        <v>1929375500.0000002</v>
      </c>
      <c r="P40" s="385">
        <f>KQKD!$H$95</f>
        <v>1929375500.0000002</v>
      </c>
      <c r="Q40" s="385">
        <f>KQKD!$H$95</f>
        <v>1929375500.0000002</v>
      </c>
      <c r="R40" s="385">
        <f>KQKD!$H$95</f>
        <v>1929375500.0000002</v>
      </c>
      <c r="S40" s="385">
        <f>KQKD!$H$95</f>
        <v>1929375500.0000002</v>
      </c>
      <c r="T40" s="385">
        <f>KQKD!$H$95</f>
        <v>1929375500.0000002</v>
      </c>
      <c r="U40" s="385">
        <f>KQKD!$H$95</f>
        <v>1929375500.0000002</v>
      </c>
      <c r="V40" s="385">
        <f>KQKD!$H$95</f>
        <v>1929375500.0000002</v>
      </c>
      <c r="W40" s="385">
        <f>KQKD!$H$95</f>
        <v>1929375500.0000002</v>
      </c>
    </row>
    <row r="41" spans="2:23" outlineLevel="1" x14ac:dyDescent="0.3">
      <c r="B41" s="39" t="s">
        <v>513</v>
      </c>
      <c r="C41" s="78">
        <f>-C38</f>
        <v>-22190006000</v>
      </c>
      <c r="D41" s="385">
        <f>D39+D40</f>
        <v>-976699226.56187415</v>
      </c>
      <c r="E41" s="385">
        <f>E39+E40</f>
        <v>-840785439.81187415</v>
      </c>
      <c r="F41" s="385">
        <f t="shared" ref="F41:K41" si="13">F39+F40</f>
        <v>-704871653.06187415</v>
      </c>
      <c r="G41" s="385">
        <f t="shared" si="13"/>
        <v>-568957866.31187415</v>
      </c>
      <c r="H41" s="385">
        <f t="shared" si="13"/>
        <v>-433044079.56187415</v>
      </c>
      <c r="I41" s="385">
        <f t="shared" si="13"/>
        <v>-297130292.81187415</v>
      </c>
      <c r="J41" s="385">
        <f t="shared" si="13"/>
        <v>-161216506.06187391</v>
      </c>
      <c r="K41" s="385">
        <f t="shared" si="13"/>
        <v>-25302719.311873913</v>
      </c>
      <c r="L41" s="385">
        <f t="shared" ref="L41:M41" si="14">L39+L40</f>
        <v>110611067.43812609</v>
      </c>
      <c r="M41" s="385">
        <f t="shared" si="14"/>
        <v>110611067.43812609</v>
      </c>
      <c r="N41" s="385">
        <f t="shared" ref="N41:P41" si="15">N39+N40</f>
        <v>110611067.43812609</v>
      </c>
      <c r="O41" s="385">
        <f t="shared" si="15"/>
        <v>110611067.43812609</v>
      </c>
      <c r="P41" s="385">
        <f t="shared" si="15"/>
        <v>110611067.43812609</v>
      </c>
      <c r="Q41" s="385">
        <f t="shared" ref="Q41:V41" si="16">Q39+Q40</f>
        <v>110611067.43812609</v>
      </c>
      <c r="R41" s="385">
        <f t="shared" si="16"/>
        <v>110611067.43812609</v>
      </c>
      <c r="S41" s="385">
        <f t="shared" si="16"/>
        <v>110611067.43812609</v>
      </c>
      <c r="T41" s="385">
        <f t="shared" si="16"/>
        <v>110611067.43812609</v>
      </c>
      <c r="U41" s="385">
        <f t="shared" si="16"/>
        <v>110611067.43812609</v>
      </c>
      <c r="V41" s="385">
        <f t="shared" si="16"/>
        <v>110611067.43812609</v>
      </c>
      <c r="W41" s="385">
        <f t="shared" ref="W41" si="17">W39+W40</f>
        <v>110611067.43812609</v>
      </c>
    </row>
    <row r="42" spans="2:23" outlineLevel="1" x14ac:dyDescent="0.3">
      <c r="B42" s="39" t="s">
        <v>520</v>
      </c>
      <c r="C42" s="78">
        <f>C41</f>
        <v>-22190006000</v>
      </c>
      <c r="D42" s="385">
        <f>D41/(1+G.Định!$D$87)^COLUMNS($D$41:D$41)</f>
        <v>-900183618.9510361</v>
      </c>
      <c r="E42" s="385">
        <f>E41/(1+G.Định!$D$87)^COLUMNS($D$41:E$41)</f>
        <v>-714209636.91042423</v>
      </c>
      <c r="F42" s="385">
        <f>F41/(1+G.Định!$D$87)^COLUMNS($D$41:F$41)</f>
        <v>-551849725.53639662</v>
      </c>
      <c r="G42" s="385">
        <f>G41/(1+G.Định!$D$87)^COLUMNS($D$41:G$41)</f>
        <v>-410545365.16261244</v>
      </c>
      <c r="H42" s="385">
        <f>H41/(1+G.Định!$D$87)^COLUMNS($D$41:H$41)</f>
        <v>-287993983.19477785</v>
      </c>
      <c r="I42" s="385">
        <f>I41/(1+G.Định!$D$87)^COLUMNS($D$41:I$41)</f>
        <v>-182124554.24413812</v>
      </c>
      <c r="J42" s="385">
        <f>J41/(1+G.Định!$D$87)^COLUMNS($D$41:J$41)</f>
        <v>-91075452.453865379</v>
      </c>
      <c r="K42" s="385">
        <f>K41/(1+G.Định!$D$87)^COLUMNS($D$41:K$41)</f>
        <v>-13174352.88984683</v>
      </c>
      <c r="L42" s="385">
        <f>L41/(1+G.Định!$D$87)^COLUMNS($D$41:L$41)</f>
        <v>53080003.128456987</v>
      </c>
      <c r="M42" s="385">
        <f>M41/(1+G.Định!$D$87)^COLUMNS($D$41:M$41)</f>
        <v>48921661.869545609</v>
      </c>
      <c r="N42" s="385">
        <f>N41/(1+G.Định!$D$87)^COLUMNS($D$41:N$41)</f>
        <v>45089089.280687198</v>
      </c>
      <c r="O42" s="385">
        <f>O41/(1+G.Định!$D$87)^COLUMNS($D$41:O$41)</f>
        <v>41556764.313997425</v>
      </c>
      <c r="P42" s="385">
        <f>P41/(1+G.Định!$D$87)^COLUMNS($D$41:P$41)</f>
        <v>38301165.266357072</v>
      </c>
      <c r="Q42" s="385">
        <f>Q41/(1+G.Định!$D$87)^COLUMNS($D$41:Q$41)</f>
        <v>35300613.148716196</v>
      </c>
      <c r="R42" s="385">
        <f>R41/(1+G.Định!$D$87)^COLUMNS($D$41:R$41)</f>
        <v>32535127.326005712</v>
      </c>
      <c r="S42" s="385">
        <f>S41/(1+G.Định!$D$87)^COLUMNS($D$41:S$41)</f>
        <v>29986292.466364715</v>
      </c>
      <c r="T42" s="385">
        <f>T41/(1+G.Định!$D$87)^COLUMNS($D$41:T$41)</f>
        <v>27637135.913700201</v>
      </c>
      <c r="U42" s="385">
        <f>U41/(1+G.Định!$D$87)^COLUMNS($D$41:U$41)</f>
        <v>25472014.66700479</v>
      </c>
      <c r="V42" s="385">
        <f>V41/(1+G.Định!$D$87)^COLUMNS($D$41:V$41)</f>
        <v>23476511.213829298</v>
      </c>
      <c r="W42" s="385">
        <f>W41/(1+G.Định!$D$87)^COLUMNS($D$41:W$41)</f>
        <v>21637337.524266638</v>
      </c>
    </row>
    <row r="43" spans="2:23" outlineLevel="1" x14ac:dyDescent="0.3">
      <c r="B43" s="39" t="s">
        <v>521</v>
      </c>
      <c r="C43" s="78">
        <f>C42</f>
        <v>-22190006000</v>
      </c>
      <c r="D43" s="385">
        <f>C43+D42</f>
        <v>-23090189618.951035</v>
      </c>
      <c r="E43" s="385">
        <f t="shared" ref="E43:K43" si="18">D43+E42</f>
        <v>-23804399255.861458</v>
      </c>
      <c r="F43" s="385">
        <f t="shared" si="18"/>
        <v>-24356248981.397854</v>
      </c>
      <c r="G43" s="385">
        <f t="shared" si="18"/>
        <v>-24766794346.560467</v>
      </c>
      <c r="H43" s="385">
        <f t="shared" si="18"/>
        <v>-25054788329.755245</v>
      </c>
      <c r="I43" s="385">
        <f t="shared" si="18"/>
        <v>-25236912883.999382</v>
      </c>
      <c r="J43" s="385">
        <f>I43+J42</f>
        <v>-25327988336.453247</v>
      </c>
      <c r="K43" s="385">
        <f t="shared" si="18"/>
        <v>-25341162689.343094</v>
      </c>
      <c r="L43" s="385">
        <f t="shared" ref="L43" si="19">K43+L42</f>
        <v>-25288082686.214638</v>
      </c>
      <c r="M43" s="385">
        <f t="shared" ref="M43" si="20">L43+M42</f>
        <v>-25239161024.345093</v>
      </c>
      <c r="N43" s="385">
        <f t="shared" ref="N43" si="21">M43+N42</f>
        <v>-25194071935.064407</v>
      </c>
      <c r="O43" s="385">
        <f t="shared" ref="O43" si="22">N43+O42</f>
        <v>-25152515170.750408</v>
      </c>
      <c r="P43" s="385">
        <f t="shared" ref="P43" si="23">O43+P42</f>
        <v>-25114214005.484051</v>
      </c>
      <c r="Q43" s="385">
        <f t="shared" ref="Q43" si="24">P43+Q42</f>
        <v>-25078913392.335335</v>
      </c>
      <c r="R43" s="385">
        <f t="shared" ref="R43" si="25">Q43+R42</f>
        <v>-25046378265.009331</v>
      </c>
      <c r="S43" s="385">
        <f t="shared" ref="S43" si="26">R43+S42</f>
        <v>-25016391972.542965</v>
      </c>
      <c r="T43" s="385">
        <f t="shared" ref="T43" si="27">S43+T42</f>
        <v>-24988754836.629265</v>
      </c>
      <c r="U43" s="385">
        <f t="shared" ref="U43" si="28">T43+U42</f>
        <v>-24963282821.962261</v>
      </c>
      <c r="V43" s="385">
        <f t="shared" ref="V43:W43" si="29">U43+V42</f>
        <v>-24939806310.748432</v>
      </c>
      <c r="W43" s="385">
        <f t="shared" si="29"/>
        <v>-24918168973.224167</v>
      </c>
    </row>
    <row r="44" spans="2:23" outlineLevel="1" x14ac:dyDescent="0.3">
      <c r="B44" s="39" t="s">
        <v>514</v>
      </c>
      <c r="C44" s="378">
        <f>NPV(G.Định!$D$87,HV!C41:W41)</f>
        <v>-22966054353.202</v>
      </c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</row>
    <row r="45" spans="2:23" outlineLevel="1" x14ac:dyDescent="0.3">
      <c r="B45" s="39" t="s">
        <v>515</v>
      </c>
      <c r="C45" s="386">
        <f>IRR(C41:W41)</f>
        <v>-0.18098752025544773</v>
      </c>
      <c r="D45" s="78"/>
      <c r="E45" s="387"/>
      <c r="F45" s="387"/>
      <c r="G45" s="387"/>
      <c r="H45" s="387"/>
      <c r="I45" s="387"/>
      <c r="J45" s="387"/>
      <c r="K45" s="387"/>
      <c r="L45" s="387"/>
      <c r="M45" s="387"/>
      <c r="N45" s="387"/>
      <c r="O45" s="387"/>
      <c r="P45" s="387"/>
      <c r="Q45" s="387"/>
      <c r="R45" s="387"/>
      <c r="S45" s="387"/>
      <c r="T45" s="387"/>
      <c r="U45" s="387"/>
      <c r="V45" s="387"/>
      <c r="W45" s="387"/>
    </row>
    <row r="46" spans="2:23" outlineLevel="1" x14ac:dyDescent="0.3">
      <c r="B46" s="38" t="s">
        <v>522</v>
      </c>
      <c r="C46" s="388" t="e" cm="1">
        <f t="array" ref="C46">COUNTIF(D43:W43,"&lt;0")-_xlfn.MAXIFS(D43:W43,D43:W43,"&lt;0")/INDEX(D42:W42,MATCH(TRUE,INDEX(D43:W43&gt;0,),0))</f>
        <v>#N/A</v>
      </c>
      <c r="D46" s="391"/>
      <c r="E46" s="390"/>
      <c r="F46" s="390"/>
      <c r="G46" s="390"/>
      <c r="H46" s="390"/>
      <c r="I46" s="392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</row>
    <row r="47" spans="2:23" outlineLevel="1" x14ac:dyDescent="0.3"/>
    <row r="48" spans="2:23" outlineLevel="1" x14ac:dyDescent="0.3">
      <c r="B48" s="40" t="s">
        <v>547</v>
      </c>
      <c r="C48" s="72" t="s">
        <v>509</v>
      </c>
      <c r="D48" s="72" t="s">
        <v>501</v>
      </c>
      <c r="E48" s="72" t="s">
        <v>502</v>
      </c>
      <c r="F48" s="72" t="s">
        <v>503</v>
      </c>
      <c r="G48" s="72" t="s">
        <v>504</v>
      </c>
      <c r="H48" s="72" t="s">
        <v>505</v>
      </c>
      <c r="I48" s="72" t="s">
        <v>506</v>
      </c>
      <c r="J48" s="72" t="s">
        <v>507</v>
      </c>
      <c r="K48" s="72" t="s">
        <v>508</v>
      </c>
      <c r="L48" s="72" t="s">
        <v>675</v>
      </c>
      <c r="M48" s="72" t="s">
        <v>676</v>
      </c>
      <c r="N48" s="72" t="s">
        <v>677</v>
      </c>
      <c r="O48" s="72" t="s">
        <v>678</v>
      </c>
      <c r="P48" s="72" t="s">
        <v>679</v>
      </c>
      <c r="Q48" s="72" t="s">
        <v>680</v>
      </c>
      <c r="R48" s="72" t="s">
        <v>681</v>
      </c>
      <c r="S48" s="72" t="s">
        <v>682</v>
      </c>
      <c r="T48" s="72" t="s">
        <v>683</v>
      </c>
      <c r="U48" s="72" t="s">
        <v>684</v>
      </c>
      <c r="V48" s="72" t="s">
        <v>685</v>
      </c>
      <c r="W48" s="72" t="s">
        <v>686</v>
      </c>
    </row>
    <row r="49" spans="2:23" outlineLevel="1" x14ac:dyDescent="0.3">
      <c r="B49" s="382" t="s">
        <v>510</v>
      </c>
      <c r="C49" s="383">
        <f>'K.Hao, L.v'!D12</f>
        <v>22190006000</v>
      </c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</row>
    <row r="50" spans="2:23" outlineLevel="1" x14ac:dyDescent="0.3">
      <c r="B50" s="39" t="s">
        <v>511</v>
      </c>
      <c r="C50" s="78"/>
      <c r="D50" s="385">
        <f>KQKD!$I$103</f>
        <v>1100764919.3257477</v>
      </c>
      <c r="E50" s="385">
        <f>KQKD!$I$103+KQKD!$I$92-($C$49*G.Định!$D$78-($C$49*G.Định!$D$78/G.Định!$D$80*COLUMNS($E$38:E$38)))*G.Định!$D$81</f>
        <v>1236678706.075748</v>
      </c>
      <c r="F50" s="385">
        <f>KQKD!$I$103+KQKD!$I$92-($C$49*G.Định!$D$78-($C$49*G.Định!$D$78/G.Định!$D$80*COLUMNS($E$38:F$38)))*G.Định!$D$81</f>
        <v>1372592492.825748</v>
      </c>
      <c r="G50" s="385">
        <f>KQKD!$I$103+KQKD!$I$92-($C$49*G.Định!$D$78-($C$49*G.Định!$D$78/G.Định!$D$80*COLUMNS($E$38:G$38)))*G.Định!$D$81</f>
        <v>1508506279.575748</v>
      </c>
      <c r="H50" s="385">
        <f>KQKD!$I$103+KQKD!$I$92-($C$49*G.Định!$D$78-($C$49*G.Định!$D$78/G.Định!$D$80*COLUMNS($E$38:H$38)))*G.Định!$D$81</f>
        <v>1644420066.325748</v>
      </c>
      <c r="I50" s="385">
        <f>KQKD!$I$103+KQKD!$I$92-($C$49*G.Định!$D$78-($C$49*G.Định!$D$78/G.Định!$D$80*COLUMNS($E$38:I$38)))*G.Định!$D$81</f>
        <v>1780333853.075748</v>
      </c>
      <c r="J50" s="385">
        <f>KQKD!$I$103+KQKD!$I$92-($C$49*G.Định!$D$78-($C$49*G.Định!$D$78/G.Định!$D$80*COLUMNS($E$38:J$38)))*G.Định!$D$81</f>
        <v>1916247639.825748</v>
      </c>
      <c r="K50" s="385">
        <f>KQKD!$I$103+KQKD!$I$92-($C$49*G.Định!$D$78-($C$49*G.Định!$D$78/G.Định!$D$80*COLUMNS($E$38:K$38)))*G.Định!$D$81</f>
        <v>2052161426.575748</v>
      </c>
      <c r="L50" s="385">
        <f>KQKD!$I$103+KQKD!$I$92</f>
        <v>2188075213.325748</v>
      </c>
      <c r="M50" s="385">
        <f>KQKD!$I$103+KQKD!$I$92</f>
        <v>2188075213.325748</v>
      </c>
      <c r="N50" s="385">
        <f>KQKD!$I$103+KQKD!$I$92</f>
        <v>2188075213.325748</v>
      </c>
      <c r="O50" s="385">
        <f>KQKD!$I$103+KQKD!$I$92</f>
        <v>2188075213.325748</v>
      </c>
      <c r="P50" s="385">
        <f>KQKD!$I$103+KQKD!$I$92</f>
        <v>2188075213.325748</v>
      </c>
      <c r="Q50" s="385">
        <f>KQKD!$I$103+KQKD!$I$92</f>
        <v>2188075213.325748</v>
      </c>
      <c r="R50" s="385">
        <f>KQKD!$I$103+KQKD!$I$92</f>
        <v>2188075213.325748</v>
      </c>
      <c r="S50" s="385">
        <f>KQKD!$I$103+KQKD!$I$92</f>
        <v>2188075213.325748</v>
      </c>
      <c r="T50" s="385">
        <f>KQKD!$I$103+KQKD!$I$92</f>
        <v>2188075213.325748</v>
      </c>
      <c r="U50" s="385">
        <f>KQKD!$I$103+KQKD!$I$92</f>
        <v>2188075213.325748</v>
      </c>
      <c r="V50" s="385">
        <f>KQKD!$I$103+KQKD!$I$92</f>
        <v>2188075213.325748</v>
      </c>
      <c r="W50" s="385">
        <f>KQKD!$I$103+KQKD!$I$92</f>
        <v>2188075213.325748</v>
      </c>
    </row>
    <row r="51" spans="2:23" outlineLevel="1" x14ac:dyDescent="0.3">
      <c r="B51" s="39" t="s">
        <v>512</v>
      </c>
      <c r="C51" s="78"/>
      <c r="D51" s="385">
        <f>KQKD!$I$95</f>
        <v>1929375500.0000002</v>
      </c>
      <c r="E51" s="385">
        <f>KQKD!$I$95</f>
        <v>1929375500.0000002</v>
      </c>
      <c r="F51" s="385">
        <f>KQKD!$I$95</f>
        <v>1929375500.0000002</v>
      </c>
      <c r="G51" s="385">
        <f>KQKD!$I$95</f>
        <v>1929375500.0000002</v>
      </c>
      <c r="H51" s="385">
        <f>KQKD!$I$95</f>
        <v>1929375500.0000002</v>
      </c>
      <c r="I51" s="385">
        <f>KQKD!$I$95</f>
        <v>1929375500.0000002</v>
      </c>
      <c r="J51" s="385">
        <f>KQKD!$I$95</f>
        <v>1929375500.0000002</v>
      </c>
      <c r="K51" s="385">
        <f>KQKD!$I$95</f>
        <v>1929375500.0000002</v>
      </c>
      <c r="L51" s="385">
        <f>KQKD!$I$95</f>
        <v>1929375500.0000002</v>
      </c>
      <c r="M51" s="385">
        <f>KQKD!$I$95</f>
        <v>1929375500.0000002</v>
      </c>
      <c r="N51" s="385">
        <f>KQKD!$I$95</f>
        <v>1929375500.0000002</v>
      </c>
      <c r="O51" s="385">
        <f>KQKD!$I$95</f>
        <v>1929375500.0000002</v>
      </c>
      <c r="P51" s="385">
        <f>KQKD!$I$95</f>
        <v>1929375500.0000002</v>
      </c>
      <c r="Q51" s="385">
        <f>KQKD!$I$95</f>
        <v>1929375500.0000002</v>
      </c>
      <c r="R51" s="385">
        <f>KQKD!$I$95</f>
        <v>1929375500.0000002</v>
      </c>
      <c r="S51" s="385">
        <f>KQKD!$I$95</f>
        <v>1929375500.0000002</v>
      </c>
      <c r="T51" s="385">
        <f>KQKD!$I$95</f>
        <v>1929375500.0000002</v>
      </c>
      <c r="U51" s="385">
        <f>KQKD!$I$95</f>
        <v>1929375500.0000002</v>
      </c>
      <c r="V51" s="385">
        <f>KQKD!$I$95</f>
        <v>1929375500.0000002</v>
      </c>
      <c r="W51" s="385">
        <f>KQKD!$I$95</f>
        <v>1929375500.0000002</v>
      </c>
    </row>
    <row r="52" spans="2:23" outlineLevel="1" x14ac:dyDescent="0.3">
      <c r="B52" s="39" t="s">
        <v>513</v>
      </c>
      <c r="C52" s="78">
        <f>-C49</f>
        <v>-22190006000</v>
      </c>
      <c r="D52" s="385">
        <f>D50+D51</f>
        <v>3030140419.325748</v>
      </c>
      <c r="E52" s="385">
        <f>E50+E51</f>
        <v>3166054206.0757484</v>
      </c>
      <c r="F52" s="385">
        <f t="shared" ref="F52" si="30">F50+F51</f>
        <v>3301967992.8257484</v>
      </c>
      <c r="G52" s="385">
        <f t="shared" ref="G52" si="31">G50+G51</f>
        <v>3437881779.5757484</v>
      </c>
      <c r="H52" s="385">
        <f t="shared" ref="H52" si="32">H50+H51</f>
        <v>3573795566.3257484</v>
      </c>
      <c r="I52" s="385">
        <f t="shared" ref="I52" si="33">I50+I51</f>
        <v>3709709353.0757484</v>
      </c>
      <c r="J52" s="385">
        <f t="shared" ref="J52" si="34">J50+J51</f>
        <v>3845623139.8257484</v>
      </c>
      <c r="K52" s="385">
        <f t="shared" ref="K52:N52" si="35">K50+K51</f>
        <v>3981536926.5757484</v>
      </c>
      <c r="L52" s="385">
        <f t="shared" si="35"/>
        <v>4117450713.3257484</v>
      </c>
      <c r="M52" s="385">
        <f t="shared" si="35"/>
        <v>4117450713.3257484</v>
      </c>
      <c r="N52" s="385">
        <f t="shared" si="35"/>
        <v>4117450713.3257484</v>
      </c>
      <c r="O52" s="385">
        <f t="shared" ref="O52:W52" si="36">O50+O51</f>
        <v>4117450713.3257484</v>
      </c>
      <c r="P52" s="385">
        <f t="shared" si="36"/>
        <v>4117450713.3257484</v>
      </c>
      <c r="Q52" s="385">
        <f t="shared" si="36"/>
        <v>4117450713.3257484</v>
      </c>
      <c r="R52" s="385">
        <f t="shared" si="36"/>
        <v>4117450713.3257484</v>
      </c>
      <c r="S52" s="385">
        <f t="shared" si="36"/>
        <v>4117450713.3257484</v>
      </c>
      <c r="T52" s="385">
        <f t="shared" si="36"/>
        <v>4117450713.3257484</v>
      </c>
      <c r="U52" s="385">
        <f t="shared" si="36"/>
        <v>4117450713.3257484</v>
      </c>
      <c r="V52" s="385">
        <f t="shared" si="36"/>
        <v>4117450713.3257484</v>
      </c>
      <c r="W52" s="385">
        <f t="shared" si="36"/>
        <v>4117450713.3257484</v>
      </c>
    </row>
    <row r="53" spans="2:23" outlineLevel="1" x14ac:dyDescent="0.3">
      <c r="B53" s="39" t="s">
        <v>520</v>
      </c>
      <c r="C53" s="78">
        <f>C52</f>
        <v>-22190006000</v>
      </c>
      <c r="D53" s="385">
        <f>D52/(1+G.Định!$D$87)^COLUMNS($D$41:D$41)</f>
        <v>2792756146.8440075</v>
      </c>
      <c r="E53" s="385">
        <f>E52/(1+G.Định!$D$87)^COLUMNS($D$41:E$41)</f>
        <v>2689421483.6380033</v>
      </c>
      <c r="F53" s="385">
        <f>F52/(1+G.Định!$D$87)^COLUMNS($D$41:F$41)</f>
        <v>2585137482.3423386</v>
      </c>
      <c r="G53" s="385">
        <f>G52/(1+G.Định!$D$87)^COLUMNS($D$41:G$41)</f>
        <v>2480687084.4952083</v>
      </c>
      <c r="H53" s="385">
        <f>H52/(1+G.Định!$D$87)^COLUMNS($D$41:H$41)</f>
        <v>2376736385.1534443</v>
      </c>
      <c r="I53" s="385">
        <f>I52/(1+G.Định!$D$87)^COLUMNS($D$41:I$41)</f>
        <v>2273848135.4777255</v>
      </c>
      <c r="J53" s="385">
        <f>J52/(1+G.Định!$D$87)^COLUMNS($D$41:J$41)</f>
        <v>2172493846.828958</v>
      </c>
      <c r="K53" s="385">
        <f>K52/(1+G.Định!$D$87)^COLUMNS($D$41:K$41)</f>
        <v>2073064632.6242764</v>
      </c>
      <c r="L53" s="385">
        <f>L52/(1+G.Định!$D$87)^COLUMNS($D$41:L$41)</f>
        <v>1975880911.4364047</v>
      </c>
      <c r="M53" s="385">
        <f>M52/(1+G.Định!$D$87)^COLUMNS($D$41:M$41)</f>
        <v>1821088397.6372392</v>
      </c>
      <c r="N53" s="385">
        <f>N52/(1+G.Định!$D$87)^COLUMNS($D$41:N$41)</f>
        <v>1678422486.3016031</v>
      </c>
      <c r="O53" s="385">
        <f>O52/(1+G.Định!$D$87)^COLUMNS($D$41:O$41)</f>
        <v>1546933167.0982518</v>
      </c>
      <c r="P53" s="385">
        <f>P52/(1+G.Định!$D$87)^COLUMNS($D$41:P$41)</f>
        <v>1425744854.4684348</v>
      </c>
      <c r="Q53" s="385">
        <f>Q52/(1+G.Định!$D$87)^COLUMNS($D$41:Q$41)</f>
        <v>1314050557.113765</v>
      </c>
      <c r="R53" s="385">
        <f>R52/(1+G.Định!$D$87)^COLUMNS($D$41:R$41)</f>
        <v>1211106504.2523179</v>
      </c>
      <c r="S53" s="385">
        <f>S52/(1+G.Định!$D$87)^COLUMNS($D$41:S$41)</f>
        <v>1116227192.8592792</v>
      </c>
      <c r="T53" s="385">
        <f>T52/(1+G.Định!$D$87)^COLUMNS($D$41:T$41)</f>
        <v>1028780822.9117782</v>
      </c>
      <c r="U53" s="385">
        <f>U52/(1+G.Định!$D$87)^COLUMNS($D$41:U$41)</f>
        <v>948185090.24127018</v>
      </c>
      <c r="V53" s="385">
        <f>V52/(1+G.Định!$D$87)^COLUMNS($D$41:V$41)</f>
        <v>873903308.97812915</v>
      </c>
      <c r="W53" s="385">
        <f>W52/(1+G.Định!$D$87)^COLUMNS($D$41:W$41)</f>
        <v>805440837.76786113</v>
      </c>
    </row>
    <row r="54" spans="2:23" outlineLevel="1" x14ac:dyDescent="0.3">
      <c r="B54" s="39" t="s">
        <v>521</v>
      </c>
      <c r="C54" s="78">
        <f>C53</f>
        <v>-22190006000</v>
      </c>
      <c r="D54" s="385">
        <f>C54+D53</f>
        <v>-19397249853.155991</v>
      </c>
      <c r="E54" s="385">
        <f t="shared" ref="E54" si="37">D54+E53</f>
        <v>-16707828369.517986</v>
      </c>
      <c r="F54" s="385">
        <f t="shared" ref="F54" si="38">E54+F53</f>
        <v>-14122690887.175648</v>
      </c>
      <c r="G54" s="385">
        <f t="shared" ref="G54" si="39">F54+G53</f>
        <v>-11642003802.680439</v>
      </c>
      <c r="H54" s="385">
        <f t="shared" ref="H54" si="40">G54+H53</f>
        <v>-9265267417.5269947</v>
      </c>
      <c r="I54" s="385">
        <f t="shared" ref="I54" si="41">H54+I53</f>
        <v>-6991419282.0492687</v>
      </c>
      <c r="J54" s="385">
        <f>I54+J53</f>
        <v>-4818925435.2203102</v>
      </c>
      <c r="K54" s="385">
        <f t="shared" ref="K54" si="42">J54+K53</f>
        <v>-2745860802.596034</v>
      </c>
      <c r="L54" s="385">
        <f>K54+L53</f>
        <v>-769979891.15962934</v>
      </c>
      <c r="M54" s="385">
        <f t="shared" ref="M54" si="43">L54+M53</f>
        <v>1051108506.4776099</v>
      </c>
      <c r="N54" s="385">
        <f>M54+N53</f>
        <v>2729530992.779213</v>
      </c>
      <c r="O54" s="385">
        <f t="shared" ref="O54" si="44">N54+O53</f>
        <v>4276464159.8774648</v>
      </c>
      <c r="P54" s="385">
        <f t="shared" ref="P54" si="45">O54+P53</f>
        <v>5702209014.3458996</v>
      </c>
      <c r="Q54" s="385">
        <f t="shared" ref="Q54" si="46">P54+Q53</f>
        <v>7016259571.4596643</v>
      </c>
      <c r="R54" s="385">
        <f t="shared" ref="R54" si="47">Q54+R53</f>
        <v>8227366075.7119827</v>
      </c>
      <c r="S54" s="385">
        <f>R54+S53</f>
        <v>9343593268.5712624</v>
      </c>
      <c r="T54" s="385">
        <f t="shared" ref="T54" si="48">S54+T53</f>
        <v>10372374091.48304</v>
      </c>
      <c r="U54" s="385">
        <f t="shared" ref="U54" si="49">T54+U53</f>
        <v>11320559181.72431</v>
      </c>
      <c r="V54" s="385">
        <f t="shared" ref="V54:W54" si="50">U54+V53</f>
        <v>12194462490.702438</v>
      </c>
      <c r="W54" s="385">
        <f t="shared" si="50"/>
        <v>12999903328.470299</v>
      </c>
    </row>
    <row r="55" spans="2:23" outlineLevel="1" x14ac:dyDescent="0.3">
      <c r="B55" s="39" t="s">
        <v>514</v>
      </c>
      <c r="C55" s="378">
        <f>NPV(G.Định!$D$87,HV!C52:W52)</f>
        <v>11981477722.092436</v>
      </c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</row>
    <row r="56" spans="2:23" outlineLevel="1" x14ac:dyDescent="0.3">
      <c r="B56" s="39" t="s">
        <v>515</v>
      </c>
      <c r="C56" s="386">
        <f>IRR(C52:W52)</f>
        <v>0.1530092538355714</v>
      </c>
      <c r="D56" s="78"/>
      <c r="E56" s="387"/>
      <c r="F56" s="387"/>
      <c r="G56" s="387"/>
      <c r="H56" s="387"/>
      <c r="I56" s="387"/>
      <c r="J56" s="387"/>
      <c r="K56" s="387"/>
      <c r="L56" s="387"/>
      <c r="M56" s="387"/>
      <c r="N56" s="387"/>
      <c r="O56" s="387"/>
      <c r="P56" s="387"/>
      <c r="Q56" s="387"/>
      <c r="R56" s="387"/>
      <c r="S56" s="387"/>
      <c r="T56" s="387"/>
      <c r="U56" s="387"/>
      <c r="V56" s="387"/>
      <c r="W56" s="387"/>
    </row>
    <row r="57" spans="2:23" outlineLevel="1" x14ac:dyDescent="0.3">
      <c r="B57" s="38" t="s">
        <v>522</v>
      </c>
      <c r="C57" s="388" cm="1">
        <f t="array" ref="C57">COUNTIF(D54:W54,"&lt;0")-_xlfn.MAXIFS(D54:W54,D54:W54,"&lt;0")/INDEX(D53:W53,MATCH(TRUE,INDEX(D54:W54&gt;0,),0))</f>
        <v>9.4228130233318907</v>
      </c>
      <c r="D57" s="389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  <c r="W57" s="390"/>
    </row>
    <row r="58" spans="2:23" outlineLevel="1" x14ac:dyDescent="0.3"/>
    <row r="59" spans="2:23" outlineLevel="1" x14ac:dyDescent="0.3">
      <c r="B59" s="40" t="s">
        <v>548</v>
      </c>
      <c r="C59" s="72" t="s">
        <v>509</v>
      </c>
      <c r="D59" s="72" t="s">
        <v>501</v>
      </c>
      <c r="E59" s="72" t="s">
        <v>502</v>
      </c>
      <c r="F59" s="72" t="s">
        <v>503</v>
      </c>
      <c r="G59" s="72" t="s">
        <v>504</v>
      </c>
      <c r="H59" s="72" t="s">
        <v>505</v>
      </c>
      <c r="I59" s="72" t="s">
        <v>506</v>
      </c>
      <c r="J59" s="72" t="s">
        <v>507</v>
      </c>
      <c r="K59" s="72" t="s">
        <v>508</v>
      </c>
      <c r="L59" s="72" t="s">
        <v>675</v>
      </c>
      <c r="M59" s="72" t="s">
        <v>676</v>
      </c>
      <c r="N59" s="72" t="s">
        <v>677</v>
      </c>
      <c r="O59" s="72" t="s">
        <v>678</v>
      </c>
      <c r="P59" s="72" t="s">
        <v>679</v>
      </c>
      <c r="Q59" s="72" t="s">
        <v>680</v>
      </c>
      <c r="R59" s="72" t="s">
        <v>681</v>
      </c>
      <c r="S59" s="72" t="s">
        <v>682</v>
      </c>
      <c r="T59" s="72" t="s">
        <v>683</v>
      </c>
      <c r="U59" s="72" t="s">
        <v>684</v>
      </c>
      <c r="V59" s="72" t="s">
        <v>685</v>
      </c>
      <c r="W59" s="72" t="s">
        <v>686</v>
      </c>
    </row>
    <row r="60" spans="2:23" outlineLevel="1" x14ac:dyDescent="0.3">
      <c r="B60" s="382" t="s">
        <v>510</v>
      </c>
      <c r="C60" s="383">
        <f>'K.Hao, L.v'!E12</f>
        <v>22190006000</v>
      </c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</row>
    <row r="61" spans="2:23" outlineLevel="1" x14ac:dyDescent="0.3">
      <c r="B61" s="39" t="s">
        <v>511</v>
      </c>
      <c r="C61" s="78"/>
      <c r="D61" s="385">
        <f>KQKD!$J$103</f>
        <v>4962127219.9009981</v>
      </c>
      <c r="E61" s="385">
        <f>KQKD!$J$103+KQKD!$J$92-($C$60*G.Định!$D$78-($C$60*G.Định!$D$78/G.Định!$D$80*COLUMNS($E$38:E$38)))*G.Định!$D$81</f>
        <v>5098041006.6509981</v>
      </c>
      <c r="F61" s="385">
        <f>KQKD!$J$103+KQKD!$J$92-($C$60*G.Định!$D$78-($C$60*G.Định!$D$78/G.Định!$D$80*COLUMNS($E$38:F$38)))*G.Định!$D$81</f>
        <v>5233954793.4009981</v>
      </c>
      <c r="G61" s="385">
        <f>KQKD!$J$103+KQKD!$J$92-($C$60*G.Định!$D$78-($C$60*G.Định!$D$78/G.Định!$D$80*COLUMNS($E$38:G$38)))*G.Định!$D$81</f>
        <v>5369868580.1509981</v>
      </c>
      <c r="H61" s="385">
        <f>KQKD!$J$103+KQKD!$J$92-($C$60*G.Định!$D$78-($C$60*G.Định!$D$78/G.Định!$D$80*COLUMNS($E$38:H$38)))*G.Định!$D$81</f>
        <v>5505782366.9009981</v>
      </c>
      <c r="I61" s="385">
        <f>KQKD!$J$103+KQKD!$J$92-($C$60*G.Định!$D$78-($C$60*G.Định!$D$78/G.Định!$D$80*COLUMNS($E$38:I$38)))*G.Định!$D$81</f>
        <v>5641696153.6509981</v>
      </c>
      <c r="J61" s="385">
        <f>KQKD!$J$103+KQKD!$J$92-($C$60*G.Định!$D$78-($C$60*G.Định!$D$78/G.Định!$D$80*COLUMNS($E$38:J$38)))*G.Định!$D$81</f>
        <v>5777609940.4009981</v>
      </c>
      <c r="K61" s="385">
        <f>KQKD!$J$103+KQKD!$J$92-($C$60*G.Định!$D$78-($C$60*G.Định!$D$78/G.Định!$D$80*COLUMNS($E$38:K$38)))*G.Định!$D$81</f>
        <v>5913523727.1509981</v>
      </c>
      <c r="L61" s="385">
        <f>KQKD!$J$103+KQKD!$J$92</f>
        <v>6049437513.9009981</v>
      </c>
      <c r="M61" s="385">
        <f>KQKD!$J$103+KQKD!$J$92</f>
        <v>6049437513.9009981</v>
      </c>
      <c r="N61" s="385">
        <f>KQKD!$J$103+KQKD!$J$92</f>
        <v>6049437513.9009981</v>
      </c>
      <c r="O61" s="385">
        <f>KQKD!$J$103+KQKD!$J$92</f>
        <v>6049437513.9009981</v>
      </c>
      <c r="P61" s="385">
        <f>KQKD!$J$103+KQKD!$J$92</f>
        <v>6049437513.9009981</v>
      </c>
      <c r="Q61" s="385">
        <f>KQKD!$J$103+KQKD!$J$92</f>
        <v>6049437513.9009981</v>
      </c>
      <c r="R61" s="385">
        <f>KQKD!$J$103+KQKD!$J$92</f>
        <v>6049437513.9009981</v>
      </c>
      <c r="S61" s="385">
        <f>KQKD!$J$103+KQKD!$J$92</f>
        <v>6049437513.9009981</v>
      </c>
      <c r="T61" s="385">
        <f>KQKD!$J$103+KQKD!$J$92</f>
        <v>6049437513.9009981</v>
      </c>
      <c r="U61" s="385">
        <f>KQKD!$J$103+KQKD!$J$92</f>
        <v>6049437513.9009981</v>
      </c>
      <c r="V61" s="385">
        <f>KQKD!$J$103+KQKD!$J$92</f>
        <v>6049437513.9009981</v>
      </c>
      <c r="W61" s="385">
        <f>KQKD!$J$103+KQKD!$J$92</f>
        <v>6049437513.9009981</v>
      </c>
    </row>
    <row r="62" spans="2:23" outlineLevel="1" x14ac:dyDescent="0.3">
      <c r="B62" s="39" t="s">
        <v>512</v>
      </c>
      <c r="C62" s="78"/>
      <c r="D62" s="385">
        <f>KQKD!$J$95</f>
        <v>1929375500.0000002</v>
      </c>
      <c r="E62" s="385">
        <f>KQKD!$J$95</f>
        <v>1929375500.0000002</v>
      </c>
      <c r="F62" s="385">
        <f>KQKD!$J$95</f>
        <v>1929375500.0000002</v>
      </c>
      <c r="G62" s="385">
        <f>KQKD!$J$95</f>
        <v>1929375500.0000002</v>
      </c>
      <c r="H62" s="385">
        <f>KQKD!$J$95</f>
        <v>1929375500.0000002</v>
      </c>
      <c r="I62" s="385">
        <f>KQKD!$J$95</f>
        <v>1929375500.0000002</v>
      </c>
      <c r="J62" s="385">
        <f>KQKD!$J$95</f>
        <v>1929375500.0000002</v>
      </c>
      <c r="K62" s="385">
        <f>KQKD!$J$95</f>
        <v>1929375500.0000002</v>
      </c>
      <c r="L62" s="385">
        <f>KQKD!$J$95</f>
        <v>1929375500.0000002</v>
      </c>
      <c r="M62" s="385">
        <f>KQKD!$J$95</f>
        <v>1929375500.0000002</v>
      </c>
      <c r="N62" s="385">
        <f>KQKD!$J$95</f>
        <v>1929375500.0000002</v>
      </c>
      <c r="O62" s="385">
        <f>KQKD!$J$95</f>
        <v>1929375500.0000002</v>
      </c>
      <c r="P62" s="385">
        <f>KQKD!$J$95</f>
        <v>1929375500.0000002</v>
      </c>
      <c r="Q62" s="385">
        <f>KQKD!$J$95</f>
        <v>1929375500.0000002</v>
      </c>
      <c r="R62" s="385">
        <f>KQKD!$J$95</f>
        <v>1929375500.0000002</v>
      </c>
      <c r="S62" s="385">
        <f>KQKD!$J$95</f>
        <v>1929375500.0000002</v>
      </c>
      <c r="T62" s="385">
        <f>KQKD!$J$95</f>
        <v>1929375500.0000002</v>
      </c>
      <c r="U62" s="385">
        <f>KQKD!$J$95</f>
        <v>1929375500.0000002</v>
      </c>
      <c r="V62" s="385">
        <f>KQKD!$J$95</f>
        <v>1929375500.0000002</v>
      </c>
      <c r="W62" s="385">
        <f>KQKD!$J$95</f>
        <v>1929375500.0000002</v>
      </c>
    </row>
    <row r="63" spans="2:23" outlineLevel="1" x14ac:dyDescent="0.3">
      <c r="B63" s="39" t="s">
        <v>513</v>
      </c>
      <c r="C63" s="78">
        <f>-C60</f>
        <v>-22190006000</v>
      </c>
      <c r="D63" s="385">
        <f>D61+D62</f>
        <v>6891502719.9009981</v>
      </c>
      <c r="E63" s="385">
        <f>E61+E62</f>
        <v>7027416506.6509981</v>
      </c>
      <c r="F63" s="385">
        <f t="shared" ref="F63" si="51">F61+F62</f>
        <v>7163330293.4009981</v>
      </c>
      <c r="G63" s="385">
        <f t="shared" ref="G63" si="52">G61+G62</f>
        <v>7299244080.1509981</v>
      </c>
      <c r="H63" s="385">
        <f t="shared" ref="H63" si="53">H61+H62</f>
        <v>7435157866.9009981</v>
      </c>
      <c r="I63" s="385">
        <f t="shared" ref="I63" si="54">I61+I62</f>
        <v>7571071653.6509981</v>
      </c>
      <c r="J63" s="385">
        <f t="shared" ref="J63" si="55">J61+J62</f>
        <v>7706985440.4009981</v>
      </c>
      <c r="K63" s="385">
        <f t="shared" ref="K63:W63" si="56">K61+K62</f>
        <v>7842899227.1509981</v>
      </c>
      <c r="L63" s="385">
        <f t="shared" si="56"/>
        <v>7978813013.9009981</v>
      </c>
      <c r="M63" s="385">
        <f t="shared" si="56"/>
        <v>7978813013.9009981</v>
      </c>
      <c r="N63" s="385">
        <f t="shared" si="56"/>
        <v>7978813013.9009981</v>
      </c>
      <c r="O63" s="385">
        <f t="shared" si="56"/>
        <v>7978813013.9009981</v>
      </c>
      <c r="P63" s="385">
        <f t="shared" si="56"/>
        <v>7978813013.9009981</v>
      </c>
      <c r="Q63" s="385">
        <f t="shared" si="56"/>
        <v>7978813013.9009981</v>
      </c>
      <c r="R63" s="385">
        <f t="shared" si="56"/>
        <v>7978813013.9009981</v>
      </c>
      <c r="S63" s="385">
        <f t="shared" si="56"/>
        <v>7978813013.9009981</v>
      </c>
      <c r="T63" s="385">
        <f t="shared" si="56"/>
        <v>7978813013.9009981</v>
      </c>
      <c r="U63" s="385">
        <f t="shared" si="56"/>
        <v>7978813013.9009981</v>
      </c>
      <c r="V63" s="385">
        <f t="shared" si="56"/>
        <v>7978813013.9009981</v>
      </c>
      <c r="W63" s="385">
        <f t="shared" si="56"/>
        <v>7978813013.9009981</v>
      </c>
    </row>
    <row r="64" spans="2:23" outlineLevel="1" x14ac:dyDescent="0.3">
      <c r="B64" s="39" t="s">
        <v>520</v>
      </c>
      <c r="C64" s="78">
        <f>C63</f>
        <v>-22190006000</v>
      </c>
      <c r="D64" s="385">
        <f>D63/(1+G.Định!$D$87)^COLUMNS($D$41:D$41)</f>
        <v>6351615410.0470028</v>
      </c>
      <c r="E64" s="385">
        <f>E63/(1+G.Định!$D$87)^COLUMNS($D$41:E$41)</f>
        <v>5969476104.101593</v>
      </c>
      <c r="F64" s="385">
        <f>F63/(1+G.Định!$D$87)^COLUMNS($D$41:F$41)</f>
        <v>5608229298.4378128</v>
      </c>
      <c r="G64" s="385">
        <f>G63/(1+G.Định!$D$87)^COLUMNS($D$41:G$41)</f>
        <v>5266946822.8320513</v>
      </c>
      <c r="H64" s="385">
        <f>H63/(1+G.Định!$D$87)^COLUMNS($D$41:H$41)</f>
        <v>4944717710.8095207</v>
      </c>
      <c r="I64" s="385">
        <f>I63/(1+G.Định!$D$87)^COLUMNS($D$41:I$41)</f>
        <v>4640651200.5985336</v>
      </c>
      <c r="J64" s="385">
        <f>J63/(1+G.Định!$D$87)^COLUMNS($D$41:J$41)</f>
        <v>4353879160.3043566</v>
      </c>
      <c r="K64" s="385">
        <f>K63/(1+G.Định!$D$87)^COLUMNS($D$41:K$41)</f>
        <v>4083558009.099299</v>
      </c>
      <c r="L64" s="385">
        <f>L63/(1+G.Định!$D$87)^COLUMNS($D$41:L$41)</f>
        <v>3828870198.5101581</v>
      </c>
      <c r="M64" s="385">
        <f>M63/(1+G.Định!$D$87)^COLUMNS($D$41:M$41)</f>
        <v>3528912625.3549843</v>
      </c>
      <c r="N64" s="385">
        <f>N63/(1+G.Định!$D$87)^COLUMNS($D$41:N$41)</f>
        <v>3252454032.5852389</v>
      </c>
      <c r="O64" s="385">
        <f>O63/(1+G.Định!$D$87)^COLUMNS($D$41:O$41)</f>
        <v>2997653486.2536774</v>
      </c>
      <c r="P64" s="385">
        <f>P63/(1+G.Định!$D$87)^COLUMNS($D$41:P$41)</f>
        <v>2762814273.0448637</v>
      </c>
      <c r="Q64" s="385">
        <f>Q63/(1+G.Định!$D$87)^COLUMNS($D$41:Q$41)</f>
        <v>2546372601.8846669</v>
      </c>
      <c r="R64" s="385">
        <f>R63/(1+G.Định!$D$87)^COLUMNS($D$41:R$41)</f>
        <v>2346887190.6771121</v>
      </c>
      <c r="S64" s="385">
        <f>S63/(1+G.Định!$D$87)^COLUMNS($D$41:S$41)</f>
        <v>2163029668.8268318</v>
      </c>
      <c r="T64" s="385">
        <f>T63/(1+G.Định!$D$87)^COLUMNS($D$41:T$41)</f>
        <v>1993575731.6376333</v>
      </c>
      <c r="U64" s="385">
        <f>U63/(1+G.Định!$D$87)^COLUMNS($D$41:U$41)</f>
        <v>1837396987.6844544</v>
      </c>
      <c r="V64" s="385">
        <f>V63/(1+G.Định!$D$87)^COLUMNS($D$41:V$41)</f>
        <v>1693453444.8704648</v>
      </c>
      <c r="W64" s="385">
        <f>W63/(1+G.Định!$D$87)^COLUMNS($D$41:W$41)</f>
        <v>1560786585.1340692</v>
      </c>
    </row>
    <row r="65" spans="2:23" outlineLevel="1" x14ac:dyDescent="0.3">
      <c r="B65" s="39" t="s">
        <v>521</v>
      </c>
      <c r="C65" s="78">
        <f>C64</f>
        <v>-22190006000</v>
      </c>
      <c r="D65" s="385">
        <f>C65+D64</f>
        <v>-15838390589.952997</v>
      </c>
      <c r="E65" s="385">
        <f t="shared" ref="E65" si="57">D65+E64</f>
        <v>-9868914485.8514042</v>
      </c>
      <c r="F65" s="385">
        <f t="shared" ref="F65" si="58">E65+F64</f>
        <v>-4260685187.4135914</v>
      </c>
      <c r="G65" s="385">
        <f t="shared" ref="G65" si="59">F65+G64</f>
        <v>1006261635.4184599</v>
      </c>
      <c r="H65" s="385">
        <f t="shared" ref="H65" si="60">G65+H64</f>
        <v>5950979346.2279806</v>
      </c>
      <c r="I65" s="385">
        <f t="shared" ref="I65" si="61">H65+I64</f>
        <v>10591630546.826515</v>
      </c>
      <c r="J65" s="385">
        <f t="shared" ref="J65" si="62">I65+J64</f>
        <v>14945509707.130871</v>
      </c>
      <c r="K65" s="385">
        <f t="shared" ref="K65" si="63">J65+K64</f>
        <v>19029067716.230171</v>
      </c>
      <c r="L65" s="385">
        <f>K65+L64</f>
        <v>22857937914.74033</v>
      </c>
      <c r="M65" s="385">
        <f t="shared" ref="M65" si="64">L65+M64</f>
        <v>26386850540.095314</v>
      </c>
      <c r="N65" s="385">
        <f t="shared" ref="N65" si="65">M65+N64</f>
        <v>29639304572.680553</v>
      </c>
      <c r="O65" s="385">
        <f t="shared" ref="O65" si="66">N65+O64</f>
        <v>32636958058.934231</v>
      </c>
      <c r="P65" s="385">
        <f t="shared" ref="P65" si="67">O65+P64</f>
        <v>35399772331.979095</v>
      </c>
      <c r="Q65" s="385">
        <f t="shared" ref="Q65" si="68">P65+Q64</f>
        <v>37946144933.863762</v>
      </c>
      <c r="R65" s="385">
        <f t="shared" ref="R65" si="69">Q65+R64</f>
        <v>40293032124.540871</v>
      </c>
      <c r="S65" s="385">
        <f t="shared" ref="S65" si="70">R65+S64</f>
        <v>42456061793.367706</v>
      </c>
      <c r="T65" s="385">
        <f t="shared" ref="T65" si="71">S65+T64</f>
        <v>44449637525.005341</v>
      </c>
      <c r="U65" s="385">
        <f t="shared" ref="U65" si="72">T65+U64</f>
        <v>46287034512.689796</v>
      </c>
      <c r="V65" s="385">
        <f t="shared" ref="V65" si="73">U65+V64</f>
        <v>47980487957.560265</v>
      </c>
      <c r="W65" s="385">
        <f t="shared" ref="W65" si="74">V65+W64</f>
        <v>49541274542.694336</v>
      </c>
    </row>
    <row r="66" spans="2:23" outlineLevel="1" x14ac:dyDescent="0.3">
      <c r="B66" s="39" t="s">
        <v>514</v>
      </c>
      <c r="C66" s="378">
        <f>NPV(G.Định!$D$87,HV!C63:W63)</f>
        <v>45660160868.842697</v>
      </c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</row>
    <row r="67" spans="2:23" outlineLevel="1" x14ac:dyDescent="0.3">
      <c r="B67" s="39" t="s">
        <v>515</v>
      </c>
      <c r="C67" s="386">
        <f>IRR(C63:W63)</f>
        <v>0.32611480198312059</v>
      </c>
      <c r="D67" s="78"/>
      <c r="E67" s="387"/>
      <c r="F67" s="387"/>
      <c r="G67" s="387"/>
      <c r="H67" s="387"/>
      <c r="I67" s="387"/>
      <c r="J67" s="387"/>
      <c r="K67" s="387"/>
      <c r="L67" s="387"/>
      <c r="M67" s="387"/>
      <c r="N67" s="387"/>
      <c r="O67" s="387"/>
      <c r="P67" s="387"/>
      <c r="Q67" s="387"/>
      <c r="R67" s="387"/>
      <c r="S67" s="387"/>
      <c r="T67" s="387"/>
      <c r="U67" s="387"/>
      <c r="V67" s="387"/>
      <c r="W67" s="387"/>
    </row>
    <row r="68" spans="2:23" outlineLevel="1" x14ac:dyDescent="0.3">
      <c r="B68" s="38" t="s">
        <v>522</v>
      </c>
      <c r="C68" s="388" cm="1">
        <f t="array" ref="C68">COUNTIF(D65:W65,"&lt;0")-_xlfn.MAXIFS(D65:W65,D65:W65,"&lt;0")/INDEX(D64:W64,MATCH(TRUE,INDEX(D65:W65&gt;0,),0))</f>
        <v>3.8089478270301975</v>
      </c>
      <c r="D68" s="389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</row>
    <row r="69" spans="2:23" outlineLevel="1" x14ac:dyDescent="0.3"/>
    <row r="70" spans="2:23" outlineLevel="1" x14ac:dyDescent="0.3">
      <c r="B70" s="40" t="s">
        <v>549</v>
      </c>
      <c r="C70" s="72" t="s">
        <v>509</v>
      </c>
      <c r="D70" s="72" t="s">
        <v>501</v>
      </c>
      <c r="E70" s="72" t="s">
        <v>502</v>
      </c>
      <c r="F70" s="72" t="s">
        <v>503</v>
      </c>
      <c r="G70" s="72" t="s">
        <v>504</v>
      </c>
      <c r="H70" s="72" t="s">
        <v>505</v>
      </c>
      <c r="I70" s="72" t="s">
        <v>506</v>
      </c>
      <c r="J70" s="72" t="s">
        <v>507</v>
      </c>
      <c r="K70" s="72" t="s">
        <v>508</v>
      </c>
      <c r="L70" s="72" t="s">
        <v>675</v>
      </c>
      <c r="M70" s="72" t="s">
        <v>676</v>
      </c>
      <c r="N70" s="72" t="s">
        <v>677</v>
      </c>
      <c r="O70" s="72" t="s">
        <v>678</v>
      </c>
      <c r="P70" s="72" t="s">
        <v>679</v>
      </c>
      <c r="Q70" s="72" t="s">
        <v>680</v>
      </c>
      <c r="R70" s="72" t="s">
        <v>681</v>
      </c>
      <c r="S70" s="72" t="s">
        <v>682</v>
      </c>
      <c r="T70" s="72" t="s">
        <v>683</v>
      </c>
      <c r="U70" s="72" t="s">
        <v>684</v>
      </c>
      <c r="V70" s="72" t="s">
        <v>685</v>
      </c>
      <c r="W70" s="72" t="s">
        <v>686</v>
      </c>
    </row>
    <row r="71" spans="2:23" outlineLevel="1" x14ac:dyDescent="0.3">
      <c r="B71" s="382" t="s">
        <v>510</v>
      </c>
      <c r="C71" s="383">
        <f>'K.Hao, L.v'!F12</f>
        <v>22190006000</v>
      </c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</row>
    <row r="72" spans="2:23" outlineLevel="1" x14ac:dyDescent="0.3">
      <c r="B72" s="39" t="s">
        <v>511</v>
      </c>
      <c r="C72" s="78"/>
      <c r="D72" s="385">
        <f>KQKD!$K$103</f>
        <v>9684071920.4762478</v>
      </c>
      <c r="E72" s="385">
        <f>KQKD!$K$103+KQKD!$K$92-($C$71*G.Định!$D$78-($C$71*G.Định!$D$78/G.Định!$D$80*COLUMNS($E$38:E$38)))*G.Định!$D$81</f>
        <v>9819985707.2262478</v>
      </c>
      <c r="F72" s="385">
        <f>KQKD!$K$103+KQKD!$K$92-($C$71*G.Định!$D$78-($C$71*G.Định!$D$78/G.Định!$D$80*COLUMNS($E$38:F$38)))*G.Định!$D$81</f>
        <v>9955899493.9762478</v>
      </c>
      <c r="G72" s="385">
        <f>KQKD!$K$103+KQKD!$K$92-($C$71*G.Định!$D$78-($C$71*G.Định!$D$78/G.Định!$D$80*COLUMNS($E$38:G$38)))*G.Định!$D$81</f>
        <v>10091813280.726248</v>
      </c>
      <c r="H72" s="385">
        <f>KQKD!$K$103+KQKD!$K$92-($C$71*G.Định!$D$78-($C$71*G.Định!$D$78/G.Định!$D$80*COLUMNS($E$38:H$38)))*G.Định!$D$81</f>
        <v>10227727067.476248</v>
      </c>
      <c r="I72" s="385">
        <f>KQKD!$K$103+KQKD!$K$92-($C$71*G.Định!$D$78-($C$71*G.Định!$D$78/G.Định!$D$80*COLUMNS($E$38:I$38)))*G.Định!$D$81</f>
        <v>10363640854.226248</v>
      </c>
      <c r="J72" s="385">
        <f>KQKD!$K$103+KQKD!$K$92-($C$71*G.Định!$D$78-($C$71*G.Định!$D$78/G.Định!$D$80*COLUMNS($E$38:J$38)))*G.Định!$D$81</f>
        <v>10499554640.976248</v>
      </c>
      <c r="K72" s="385">
        <f>KQKD!$K$103+KQKD!$K$92-($C$71*G.Định!$D$78-($C$71*G.Định!$D$78/G.Định!$D$80*COLUMNS($E$38:K$38)))*G.Định!$D$81</f>
        <v>10635468427.726248</v>
      </c>
      <c r="L72" s="385">
        <f>KQKD!$K$103+KQKD!$K$92</f>
        <v>10771382214.476248</v>
      </c>
      <c r="M72" s="385">
        <f>KQKD!$K$103+KQKD!$K$92</f>
        <v>10771382214.476248</v>
      </c>
      <c r="N72" s="385">
        <f>KQKD!$K$103+KQKD!$K$92</f>
        <v>10771382214.476248</v>
      </c>
      <c r="O72" s="385">
        <f>KQKD!$K$103+KQKD!$K$92</f>
        <v>10771382214.476248</v>
      </c>
      <c r="P72" s="385">
        <f>KQKD!$K$103+KQKD!$K$92</f>
        <v>10771382214.476248</v>
      </c>
      <c r="Q72" s="385">
        <f>KQKD!$K$103+KQKD!$K$92</f>
        <v>10771382214.476248</v>
      </c>
      <c r="R72" s="385">
        <f>KQKD!$K$103+KQKD!$K$92</f>
        <v>10771382214.476248</v>
      </c>
      <c r="S72" s="385">
        <f>KQKD!$K$103+KQKD!$K$92</f>
        <v>10771382214.476248</v>
      </c>
      <c r="T72" s="385">
        <f>KQKD!$K$103+KQKD!$K$92</f>
        <v>10771382214.476248</v>
      </c>
      <c r="U72" s="385">
        <f>KQKD!$K$103+KQKD!$K$92</f>
        <v>10771382214.476248</v>
      </c>
      <c r="V72" s="385">
        <f>KQKD!$K$103+KQKD!$K$92</f>
        <v>10771382214.476248</v>
      </c>
      <c r="W72" s="385">
        <f>KQKD!$K$103+KQKD!$K$92</f>
        <v>10771382214.476248</v>
      </c>
    </row>
    <row r="73" spans="2:23" outlineLevel="1" x14ac:dyDescent="0.3">
      <c r="B73" s="39" t="s">
        <v>512</v>
      </c>
      <c r="C73" s="78"/>
      <c r="D73" s="385">
        <f>KQKD!$K$95</f>
        <v>1929375500.0000002</v>
      </c>
      <c r="E73" s="385">
        <f>KQKD!$K$95</f>
        <v>1929375500.0000002</v>
      </c>
      <c r="F73" s="385">
        <f>KQKD!$K$95</f>
        <v>1929375500.0000002</v>
      </c>
      <c r="G73" s="385">
        <f>KQKD!$K$95</f>
        <v>1929375500.0000002</v>
      </c>
      <c r="H73" s="385">
        <f>KQKD!$K$95</f>
        <v>1929375500.0000002</v>
      </c>
      <c r="I73" s="385">
        <f>KQKD!$K$95</f>
        <v>1929375500.0000002</v>
      </c>
      <c r="J73" s="385">
        <f>KQKD!$K$95</f>
        <v>1929375500.0000002</v>
      </c>
      <c r="K73" s="385">
        <f>KQKD!$K$95</f>
        <v>1929375500.0000002</v>
      </c>
      <c r="L73" s="385">
        <f>KQKD!$K$95</f>
        <v>1929375500.0000002</v>
      </c>
      <c r="M73" s="385">
        <f>KQKD!$K$95</f>
        <v>1929375500.0000002</v>
      </c>
      <c r="N73" s="385">
        <f>KQKD!$K$95</f>
        <v>1929375500.0000002</v>
      </c>
      <c r="O73" s="385">
        <f>KQKD!$K$95</f>
        <v>1929375500.0000002</v>
      </c>
      <c r="P73" s="385">
        <f>KQKD!$K$95</f>
        <v>1929375500.0000002</v>
      </c>
      <c r="Q73" s="385">
        <f>KQKD!$K$95</f>
        <v>1929375500.0000002</v>
      </c>
      <c r="R73" s="385">
        <f>KQKD!$K$95</f>
        <v>1929375500.0000002</v>
      </c>
      <c r="S73" s="385">
        <f>KQKD!$K$95</f>
        <v>1929375500.0000002</v>
      </c>
      <c r="T73" s="385">
        <f>KQKD!$K$95</f>
        <v>1929375500.0000002</v>
      </c>
      <c r="U73" s="385">
        <f>KQKD!$K$95</f>
        <v>1929375500.0000002</v>
      </c>
      <c r="V73" s="385">
        <f>KQKD!$K$95</f>
        <v>1929375500.0000002</v>
      </c>
      <c r="W73" s="385">
        <f>KQKD!$K$95</f>
        <v>1929375500.0000002</v>
      </c>
    </row>
    <row r="74" spans="2:23" outlineLevel="1" x14ac:dyDescent="0.3">
      <c r="B74" s="39" t="s">
        <v>513</v>
      </c>
      <c r="C74" s="78">
        <f>-C71</f>
        <v>-22190006000</v>
      </c>
      <c r="D74" s="385">
        <f>D72+D73</f>
        <v>11613447420.476248</v>
      </c>
      <c r="E74" s="385">
        <f>E72+E73</f>
        <v>11749361207.226248</v>
      </c>
      <c r="F74" s="385">
        <f t="shared" ref="F74" si="75">F72+F73</f>
        <v>11885274993.976248</v>
      </c>
      <c r="G74" s="385">
        <f t="shared" ref="G74" si="76">G72+G73</f>
        <v>12021188780.726248</v>
      </c>
      <c r="H74" s="385">
        <f t="shared" ref="H74" si="77">H72+H73</f>
        <v>12157102567.476248</v>
      </c>
      <c r="I74" s="385">
        <f t="shared" ref="I74" si="78">I72+I73</f>
        <v>12293016354.226248</v>
      </c>
      <c r="J74" s="385">
        <f t="shared" ref="J74" si="79">J72+J73</f>
        <v>12428930140.976248</v>
      </c>
      <c r="K74" s="385">
        <f t="shared" ref="K74:P74" si="80">K72+K73</f>
        <v>12564843927.726248</v>
      </c>
      <c r="L74" s="385">
        <f t="shared" si="80"/>
        <v>12700757714.476248</v>
      </c>
      <c r="M74" s="385">
        <f t="shared" si="80"/>
        <v>12700757714.476248</v>
      </c>
      <c r="N74" s="385">
        <f t="shared" si="80"/>
        <v>12700757714.476248</v>
      </c>
      <c r="O74" s="385">
        <f t="shared" si="80"/>
        <v>12700757714.476248</v>
      </c>
      <c r="P74" s="385">
        <f t="shared" si="80"/>
        <v>12700757714.476248</v>
      </c>
      <c r="Q74" s="385">
        <f t="shared" ref="Q74:W74" si="81">Q72+Q73</f>
        <v>12700757714.476248</v>
      </c>
      <c r="R74" s="385">
        <f t="shared" si="81"/>
        <v>12700757714.476248</v>
      </c>
      <c r="S74" s="385">
        <f t="shared" si="81"/>
        <v>12700757714.476248</v>
      </c>
      <c r="T74" s="385">
        <f t="shared" si="81"/>
        <v>12700757714.476248</v>
      </c>
      <c r="U74" s="385">
        <f t="shared" si="81"/>
        <v>12700757714.476248</v>
      </c>
      <c r="V74" s="385">
        <f t="shared" si="81"/>
        <v>12700757714.476248</v>
      </c>
      <c r="W74" s="385">
        <f t="shared" si="81"/>
        <v>12700757714.476248</v>
      </c>
    </row>
    <row r="75" spans="2:23" outlineLevel="1" x14ac:dyDescent="0.3">
      <c r="B75" s="39" t="s">
        <v>520</v>
      </c>
      <c r="C75" s="78">
        <f>C74</f>
        <v>-22190006000</v>
      </c>
      <c r="D75" s="385">
        <f>D74/(1+G.Định!$D$87)^COLUMNS($D$41:D$41)</f>
        <v>10703638175.554146</v>
      </c>
      <c r="E75" s="385">
        <f>E74/(1+G.Định!$D$87)^COLUMNS($D$41:E$41)</f>
        <v>9980556993.9699268</v>
      </c>
      <c r="F75" s="385">
        <f>F74/(1+G.Định!$D$87)^COLUMNS($D$41:F$41)</f>
        <v>9305078044.8602409</v>
      </c>
      <c r="G75" s="859">
        <f>G74/(1+G.Định!$D$87)^COLUMNS($D$41:G$41)</f>
        <v>8674180690.5024929</v>
      </c>
      <c r="H75" s="385">
        <f>H74/(1+G.Định!$D$87)^COLUMNS($D$41:H$41)</f>
        <v>8085025422.9481764</v>
      </c>
      <c r="I75" s="385">
        <f>I74/(1+G.Định!$D$87)^COLUMNS($D$41:I$41)</f>
        <v>7534944022.8461428</v>
      </c>
      <c r="J75" s="385">
        <f>J74/(1+G.Định!$D$87)^COLUMNS($D$41:J$41)</f>
        <v>7021430148.5510006</v>
      </c>
      <c r="K75" s="385">
        <f>K74/(1+G.Định!$D$87)^COLUMNS($D$41:K$41)</f>
        <v>6542130348.4971275</v>
      </c>
      <c r="L75" s="385">
        <f>L74/(1+G.Định!$D$87)^COLUMNS($D$41:L$41)</f>
        <v>6094835488.2777424</v>
      </c>
      <c r="M75" s="385">
        <f>M74/(1+G.Định!$D$87)^COLUMNS($D$41:M$41)</f>
        <v>5617359897.0301771</v>
      </c>
      <c r="N75" s="385">
        <f>N74/(1+G.Định!$D$87)^COLUMNS($D$41:N$41)</f>
        <v>5177290227.6775827</v>
      </c>
      <c r="O75" s="385">
        <f>O74/(1+G.Định!$D$87)^COLUMNS($D$41:O$41)</f>
        <v>4771696062.3756533</v>
      </c>
      <c r="P75" s="385">
        <f>P74/(1+G.Định!$D$87)^COLUMNS($D$41:P$41)</f>
        <v>4397876555.1849337</v>
      </c>
      <c r="Q75" s="385">
        <f>Q74/(1+G.Định!$D$87)^COLUMNS($D$41:Q$41)</f>
        <v>4053342447.1750541</v>
      </c>
      <c r="R75" s="385">
        <f>R74/(1+G.Định!$D$87)^COLUMNS($D$41:R$41)</f>
        <v>3735799490.4839206</v>
      </c>
      <c r="S75" s="385">
        <f>S74/(1+G.Định!$D$87)^COLUMNS($D$41:S$41)</f>
        <v>3443133170.9529223</v>
      </c>
      <c r="T75" s="385">
        <f>T74/(1+G.Định!$D$87)^COLUMNS($D$41:T$41)</f>
        <v>3173394627.6063805</v>
      </c>
      <c r="U75" s="385">
        <f>U74/(1+G.Định!$D$87)^COLUMNS($D$41:U$41)</f>
        <v>2924787675.2132535</v>
      </c>
      <c r="V75" s="385">
        <f>V74/(1+G.Định!$D$87)^COLUMNS($D$41:V$41)</f>
        <v>2695656843.5145192</v>
      </c>
      <c r="W75" s="385">
        <f>W74/(1+G.Định!$D$87)^COLUMNS($D$41:W$41)</f>
        <v>2484476353.4696035</v>
      </c>
    </row>
    <row r="76" spans="2:23" outlineLevel="1" x14ac:dyDescent="0.3">
      <c r="B76" s="39" t="s">
        <v>521</v>
      </c>
      <c r="C76" s="78">
        <f>C75</f>
        <v>-22190006000</v>
      </c>
      <c r="D76" s="385">
        <f>C76+D75</f>
        <v>-11486367824.445854</v>
      </c>
      <c r="E76" s="385">
        <f>D76+E75</f>
        <v>-1505810830.4759274</v>
      </c>
      <c r="F76" s="385">
        <f>E76+F75</f>
        <v>7799267214.3843136</v>
      </c>
      <c r="G76" s="859">
        <f>F76+G75</f>
        <v>16473447904.886806</v>
      </c>
      <c r="H76" s="385">
        <f t="shared" ref="H76" si="82">G76+H75</f>
        <v>24558473327.834984</v>
      </c>
      <c r="I76" s="385">
        <f t="shared" ref="I76" si="83">H76+I75</f>
        <v>32093417350.681126</v>
      </c>
      <c r="J76" s="385">
        <f t="shared" ref="J76" si="84">I76+J75</f>
        <v>39114847499.232124</v>
      </c>
      <c r="K76" s="385">
        <f>J76+K75</f>
        <v>45656977847.729248</v>
      </c>
      <c r="L76" s="385">
        <f t="shared" ref="L76" si="85">K76+L75</f>
        <v>51751813336.006989</v>
      </c>
      <c r="M76" s="385">
        <f t="shared" ref="M76" si="86">L76+M75</f>
        <v>57369173233.037163</v>
      </c>
      <c r="N76" s="385">
        <f t="shared" ref="N76" si="87">M76+N75</f>
        <v>62546463460.714745</v>
      </c>
      <c r="O76" s="385">
        <f t="shared" ref="O76" si="88">N76+O75</f>
        <v>67318159523.090401</v>
      </c>
      <c r="P76" s="385">
        <f t="shared" ref="P76:Q76" si="89">O76+P75</f>
        <v>71716036078.27533</v>
      </c>
      <c r="Q76" s="385">
        <f t="shared" si="89"/>
        <v>75769378525.450378</v>
      </c>
      <c r="R76" s="385">
        <f t="shared" ref="R76" si="90">Q76+R75</f>
        <v>79505178015.934296</v>
      </c>
      <c r="S76" s="385">
        <f t="shared" ref="S76" si="91">R76+S75</f>
        <v>82948311186.887222</v>
      </c>
      <c r="T76" s="385">
        <f t="shared" ref="T76" si="92">S76+T75</f>
        <v>86121705814.493607</v>
      </c>
      <c r="U76" s="385">
        <f t="shared" ref="U76" si="93">T76+U75</f>
        <v>89046493489.706863</v>
      </c>
      <c r="V76" s="385">
        <f t="shared" ref="V76:W76" si="94">U76+V75</f>
        <v>91742150333.22139</v>
      </c>
      <c r="W76" s="385">
        <f t="shared" si="94"/>
        <v>94226626686.690994</v>
      </c>
    </row>
    <row r="77" spans="2:23" outlineLevel="1" x14ac:dyDescent="0.3">
      <c r="B77" s="39" t="s">
        <v>514</v>
      </c>
      <c r="C77" s="378">
        <f>NPV(G.Định!$D$87,HV!C74:W74)</f>
        <v>86844817222.756668</v>
      </c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</row>
    <row r="78" spans="2:23" outlineLevel="1" x14ac:dyDescent="0.3">
      <c r="B78" s="39" t="s">
        <v>515</v>
      </c>
      <c r="C78" s="386">
        <f>IRR(C74:W74)</f>
        <v>0.534343907675489</v>
      </c>
      <c r="D78" s="78"/>
      <c r="E78" s="387"/>
      <c r="F78" s="387"/>
      <c r="G78" s="387"/>
      <c r="H78" s="387"/>
      <c r="I78" s="387"/>
      <c r="J78" s="387"/>
      <c r="K78" s="387"/>
      <c r="L78" s="387"/>
      <c r="M78" s="387"/>
      <c r="N78" s="387"/>
      <c r="O78" s="387"/>
      <c r="P78" s="387"/>
      <c r="Q78" s="387"/>
      <c r="R78" s="387"/>
      <c r="S78" s="387"/>
      <c r="T78" s="387"/>
      <c r="U78" s="387"/>
      <c r="V78" s="387"/>
      <c r="W78" s="387"/>
    </row>
    <row r="79" spans="2:23" outlineLevel="1" x14ac:dyDescent="0.3">
      <c r="B79" s="38" t="s">
        <v>522</v>
      </c>
      <c r="C79" s="388" cm="1">
        <f t="array" ref="C79">COUNTIF(D76:W76,"&lt;0")-_xlfn.MAXIFS(D76:W76,D76:W76,"&lt;0")/INDEX(D75:W75,MATCH(TRUE,INDEX(D76:W76&gt;0,),0))</f>
        <v>2.1618267813785481</v>
      </c>
      <c r="D79" s="389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</row>
    <row r="80" spans="2:23" x14ac:dyDescent="0.3">
      <c r="E80" s="856"/>
      <c r="F80" s="856"/>
      <c r="G80" s="856"/>
      <c r="H80" s="856"/>
      <c r="I80" s="856"/>
      <c r="J80" s="856"/>
      <c r="K80" s="856"/>
    </row>
    <row r="81" spans="3:11" x14ac:dyDescent="0.3">
      <c r="K81" s="856"/>
    </row>
    <row r="82" spans="3:11" x14ac:dyDescent="0.3">
      <c r="C82" s="856"/>
      <c r="D82" s="856"/>
      <c r="E82" s="856"/>
      <c r="F82" s="856"/>
      <c r="G82" s="856"/>
      <c r="H82" s="856"/>
      <c r="I82" s="856"/>
      <c r="J82" s="856"/>
      <c r="K82" s="856"/>
    </row>
    <row r="83" spans="3:11" x14ac:dyDescent="0.3">
      <c r="C83" s="856"/>
      <c r="D83" s="856"/>
      <c r="E83" s="856"/>
      <c r="F83" s="856"/>
      <c r="G83" s="856"/>
      <c r="H83" s="856"/>
      <c r="I83" s="856"/>
      <c r="J83" s="856"/>
      <c r="K83" s="856"/>
    </row>
    <row r="84" spans="3:11" x14ac:dyDescent="0.3">
      <c r="D84" s="856"/>
      <c r="E84" s="856"/>
      <c r="F84" s="856"/>
      <c r="G84" s="856"/>
      <c r="H84" s="856"/>
      <c r="I84" s="856"/>
      <c r="J84" s="856"/>
      <c r="K84" s="856"/>
    </row>
    <row r="85" spans="3:11" x14ac:dyDescent="0.3">
      <c r="E85" s="856"/>
      <c r="F85" s="856"/>
      <c r="G85" s="856"/>
      <c r="H85" s="856"/>
      <c r="I85" s="856"/>
      <c r="J85" s="856"/>
      <c r="K85" s="856"/>
    </row>
  </sheetData>
  <mergeCells count="4">
    <mergeCell ref="D3:G3"/>
    <mergeCell ref="H3:K3"/>
    <mergeCell ref="B3:B4"/>
    <mergeCell ref="C3:C4"/>
  </mergeCells>
  <phoneticPr fontId="5" type="noConversion"/>
  <printOptions horizontalCentered="1"/>
  <pageMargins left="0" right="0" top="0.5" bottom="0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964E-6435-4EFC-8EB6-98627F00A322}">
  <sheetPr>
    <tabColor rgb="FFFFC000"/>
  </sheetPr>
  <dimension ref="B1:AG79"/>
  <sheetViews>
    <sheetView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G15" sqref="AG15"/>
    </sheetView>
  </sheetViews>
  <sheetFormatPr defaultRowHeight="14" outlineLevelRow="1" outlineLevelCol="1" x14ac:dyDescent="0.35"/>
  <cols>
    <col min="1" max="1" width="0.453125" style="7" customWidth="1"/>
    <col min="2" max="2" width="7.1796875" style="7" customWidth="1"/>
    <col min="3" max="3" width="2.36328125" style="7" customWidth="1"/>
    <col min="4" max="4" width="41.36328125" style="7" customWidth="1"/>
    <col min="5" max="8" width="10.26953125" style="7" customWidth="1"/>
    <col min="9" max="10" width="11.1796875" style="7" hidden="1" customWidth="1" outlineLevel="1"/>
    <col min="11" max="11" width="11.36328125" style="7" hidden="1" customWidth="1" outlineLevel="1"/>
    <col min="12" max="12" width="11.1796875" style="7" hidden="1" customWidth="1" outlineLevel="1"/>
    <col min="13" max="13" width="8.36328125" style="124" hidden="1" customWidth="1" outlineLevel="1"/>
    <col min="14" max="16" width="8.7265625" style="124" hidden="1" customWidth="1" outlineLevel="1"/>
    <col min="17" max="17" width="10.7265625" style="7" customWidth="1" collapsed="1"/>
    <col min="18" max="20" width="10.7265625" style="7" customWidth="1"/>
    <col min="21" max="24" width="9.26953125" style="7" hidden="1" customWidth="1" outlineLevel="1"/>
    <col min="25" max="28" width="9.26953125" style="124" hidden="1" customWidth="1" outlineLevel="1"/>
    <col min="29" max="29" width="11.7265625" style="7" customWidth="1" collapsed="1"/>
    <col min="30" max="30" width="10.6328125" style="765" customWidth="1"/>
    <col min="31" max="33" width="8.7265625" style="765"/>
    <col min="34" max="16384" width="8.7265625" style="7"/>
  </cols>
  <sheetData>
    <row r="1" spans="2:33" ht="4.5" customHeight="1" thickBot="1" x14ac:dyDescent="0.4"/>
    <row r="2" spans="2:33" s="133" customFormat="1" ht="22" customHeight="1" x14ac:dyDescent="0.35">
      <c r="B2" s="1058" t="s">
        <v>12</v>
      </c>
      <c r="C2" s="1072" t="s">
        <v>282</v>
      </c>
      <c r="D2" s="1073"/>
      <c r="E2" s="1067" t="s">
        <v>831</v>
      </c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9"/>
      <c r="Q2" s="1060" t="s">
        <v>545</v>
      </c>
      <c r="R2" s="1061"/>
      <c r="S2" s="1061"/>
      <c r="T2" s="1061"/>
      <c r="U2" s="1061"/>
      <c r="V2" s="1061"/>
      <c r="W2" s="1061"/>
      <c r="X2" s="1061"/>
      <c r="Y2" s="1061"/>
      <c r="Z2" s="1061"/>
      <c r="AA2" s="1061"/>
      <c r="AB2" s="1061"/>
      <c r="AC2" s="1062"/>
      <c r="AD2" s="766"/>
      <c r="AE2" s="766"/>
      <c r="AF2" s="766"/>
      <c r="AG2" s="766"/>
    </row>
    <row r="3" spans="2:33" s="134" customFormat="1" ht="14" hidden="1" customHeight="1" outlineLevel="1" x14ac:dyDescent="0.35">
      <c r="B3" s="1059"/>
      <c r="C3" s="1074"/>
      <c r="D3" s="1075"/>
      <c r="E3" s="1076" t="s">
        <v>385</v>
      </c>
      <c r="F3" s="1077"/>
      <c r="G3" s="1077"/>
      <c r="H3" s="1078"/>
      <c r="I3" s="1079" t="s">
        <v>3</v>
      </c>
      <c r="J3" s="1077"/>
      <c r="K3" s="1077"/>
      <c r="L3" s="1080"/>
      <c r="M3" s="1081" t="s">
        <v>262</v>
      </c>
      <c r="N3" s="1082"/>
      <c r="O3" s="1082"/>
      <c r="P3" s="1083"/>
      <c r="Q3" s="1084" t="s">
        <v>385</v>
      </c>
      <c r="R3" s="1085"/>
      <c r="S3" s="1085"/>
      <c r="T3" s="1086"/>
      <c r="U3" s="1087" t="s">
        <v>3</v>
      </c>
      <c r="V3" s="1088"/>
      <c r="W3" s="1088"/>
      <c r="X3" s="1089"/>
      <c r="Y3" s="1065" t="s">
        <v>262</v>
      </c>
      <c r="Z3" s="1066"/>
      <c r="AA3" s="1066"/>
      <c r="AB3" s="1066"/>
      <c r="AC3" s="1063" t="s">
        <v>552</v>
      </c>
      <c r="AD3" s="767"/>
      <c r="AE3" s="767"/>
      <c r="AF3" s="767"/>
      <c r="AG3" s="767"/>
    </row>
    <row r="4" spans="2:33" s="36" customFormat="1" ht="23" customHeight="1" collapsed="1" x14ac:dyDescent="0.35">
      <c r="B4" s="1059"/>
      <c r="C4" s="1070" t="s">
        <v>550</v>
      </c>
      <c r="D4" s="1071"/>
      <c r="E4" s="624" t="s">
        <v>777</v>
      </c>
      <c r="F4" s="625" t="s">
        <v>778</v>
      </c>
      <c r="G4" s="625" t="s">
        <v>779</v>
      </c>
      <c r="H4" s="645" t="s">
        <v>780</v>
      </c>
      <c r="I4" s="652" t="s">
        <v>777</v>
      </c>
      <c r="J4" s="625" t="s">
        <v>778</v>
      </c>
      <c r="K4" s="625" t="s">
        <v>779</v>
      </c>
      <c r="L4" s="638" t="s">
        <v>780</v>
      </c>
      <c r="M4" s="659" t="s">
        <v>777</v>
      </c>
      <c r="N4" s="660" t="s">
        <v>778</v>
      </c>
      <c r="O4" s="660" t="s">
        <v>779</v>
      </c>
      <c r="P4" s="661" t="s">
        <v>780</v>
      </c>
      <c r="Q4" s="624" t="s">
        <v>777</v>
      </c>
      <c r="R4" s="625" t="s">
        <v>778</v>
      </c>
      <c r="S4" s="625" t="s">
        <v>779</v>
      </c>
      <c r="T4" s="638" t="s">
        <v>780</v>
      </c>
      <c r="U4" s="659" t="s">
        <v>777</v>
      </c>
      <c r="V4" s="660" t="s">
        <v>778</v>
      </c>
      <c r="W4" s="660" t="s">
        <v>779</v>
      </c>
      <c r="X4" s="698" t="s">
        <v>780</v>
      </c>
      <c r="Y4" s="659" t="s">
        <v>777</v>
      </c>
      <c r="Z4" s="660" t="s">
        <v>778</v>
      </c>
      <c r="AA4" s="660" t="s">
        <v>779</v>
      </c>
      <c r="AB4" s="717" t="s">
        <v>780</v>
      </c>
      <c r="AC4" s="1064"/>
      <c r="AD4" s="768"/>
      <c r="AE4" s="768"/>
      <c r="AF4" s="768"/>
      <c r="AG4" s="768"/>
    </row>
    <row r="5" spans="2:33" s="42" customFormat="1" hidden="1" outlineLevel="1" x14ac:dyDescent="0.35">
      <c r="B5" s="150"/>
      <c r="C5" s="139" t="s">
        <v>543</v>
      </c>
      <c r="D5" s="151"/>
      <c r="E5" s="626">
        <f>S.Lượng!C18</f>
        <v>369600</v>
      </c>
      <c r="F5" s="627">
        <f>S.Lượng!D18</f>
        <v>554400</v>
      </c>
      <c r="G5" s="627">
        <f>S.Lượng!E18</f>
        <v>739200</v>
      </c>
      <c r="H5" s="646">
        <f>S.Lượng!F18</f>
        <v>924000</v>
      </c>
      <c r="I5" s="653">
        <f>S.Lượng!C29</f>
        <v>0</v>
      </c>
      <c r="J5" s="627">
        <f>S.Lượng!D29</f>
        <v>0</v>
      </c>
      <c r="K5" s="627">
        <f>S.Lượng!E29</f>
        <v>0</v>
      </c>
      <c r="L5" s="639">
        <f>S.Lượng!F29</f>
        <v>0</v>
      </c>
      <c r="M5" s="662">
        <f>KQKD!D4</f>
        <v>369600</v>
      </c>
      <c r="N5" s="663">
        <f>KQKD!E4</f>
        <v>554400</v>
      </c>
      <c r="O5" s="663">
        <f>KQKD!F4</f>
        <v>739200</v>
      </c>
      <c r="P5" s="664">
        <f>KQKD!G4</f>
        <v>924000</v>
      </c>
      <c r="Q5" s="680"/>
      <c r="R5" s="681"/>
      <c r="S5" s="681"/>
      <c r="T5" s="682"/>
      <c r="U5" s="699"/>
      <c r="V5" s="700"/>
      <c r="W5" s="700"/>
      <c r="X5" s="701"/>
      <c r="Y5" s="699"/>
      <c r="Z5" s="700"/>
      <c r="AA5" s="700"/>
      <c r="AB5" s="718"/>
      <c r="AC5" s="146"/>
      <c r="AD5" s="769"/>
      <c r="AE5" s="769"/>
      <c r="AF5" s="769"/>
      <c r="AG5" s="769"/>
    </row>
    <row r="6" spans="2:33" s="137" customFormat="1" collapsed="1" x14ac:dyDescent="0.35">
      <c r="B6" s="152" t="s">
        <v>186</v>
      </c>
      <c r="C6" s="138" t="s">
        <v>286</v>
      </c>
      <c r="D6" s="153"/>
      <c r="E6" s="628">
        <f>E7+E9</f>
        <v>4193353828.405797</v>
      </c>
      <c r="F6" s="629">
        <f t="shared" ref="F6:L6" si="0">F7+F9</f>
        <v>6290030742.608696</v>
      </c>
      <c r="G6" s="629">
        <f t="shared" si="0"/>
        <v>8386707656.811594</v>
      </c>
      <c r="H6" s="647">
        <f t="shared" si="0"/>
        <v>10483384571.014492</v>
      </c>
      <c r="I6" s="654">
        <f t="shared" si="0"/>
        <v>0</v>
      </c>
      <c r="J6" s="629">
        <f t="shared" si="0"/>
        <v>0</v>
      </c>
      <c r="K6" s="629">
        <f t="shared" si="0"/>
        <v>0</v>
      </c>
      <c r="L6" s="640">
        <f t="shared" si="0"/>
        <v>0</v>
      </c>
      <c r="M6" s="665">
        <f t="shared" ref="M6:M7" si="1">E6+I6</f>
        <v>4193353828.405797</v>
      </c>
      <c r="N6" s="666">
        <f t="shared" ref="N6:N7" si="2">F6+J6</f>
        <v>6290030742.608696</v>
      </c>
      <c r="O6" s="666">
        <f t="shared" ref="O6:O7" si="3">G6+K6</f>
        <v>8386707656.811594</v>
      </c>
      <c r="P6" s="667">
        <f t="shared" ref="P6:P7" si="4">H6+L6</f>
        <v>10483384571.014492</v>
      </c>
      <c r="Q6" s="683">
        <f>E6/E$5</f>
        <v>11345.654297634732</v>
      </c>
      <c r="R6" s="684">
        <f t="shared" ref="R6:T6" si="5">F6/F$5</f>
        <v>11345.654297634734</v>
      </c>
      <c r="S6" s="684">
        <f t="shared" si="5"/>
        <v>11345.654297634732</v>
      </c>
      <c r="T6" s="685">
        <f t="shared" si="5"/>
        <v>11345.654297634732</v>
      </c>
      <c r="U6" s="702">
        <f>IFERROR(I6/I$5,0)</f>
        <v>0</v>
      </c>
      <c r="V6" s="703">
        <f t="shared" ref="V6:V69" si="6">IFERROR(J6/J$5,0)</f>
        <v>0</v>
      </c>
      <c r="W6" s="703">
        <f t="shared" ref="W6:W69" si="7">IFERROR(K6/K$5,0)</f>
        <v>0</v>
      </c>
      <c r="X6" s="704">
        <f t="shared" ref="X6:X69" si="8">IFERROR(L6/L$5,0)</f>
        <v>0</v>
      </c>
      <c r="Y6" s="719">
        <f t="shared" ref="Y6" si="9">M6/M$5</f>
        <v>11345.654297634732</v>
      </c>
      <c r="Z6" s="720">
        <f t="shared" ref="Z6" si="10">N6/N$5</f>
        <v>11345.654297634734</v>
      </c>
      <c r="AA6" s="720">
        <f t="shared" ref="AA6" si="11">O6/O$5</f>
        <v>11345.654297634732</v>
      </c>
      <c r="AB6" s="721">
        <f t="shared" ref="AB6" si="12">P6/P$5</f>
        <v>11345.654297634732</v>
      </c>
      <c r="AC6" s="833">
        <f>AB6/$AB$74</f>
        <v>0.86075834058515621</v>
      </c>
      <c r="AD6" s="770"/>
      <c r="AE6" s="770"/>
      <c r="AF6" s="770"/>
      <c r="AG6" s="770"/>
    </row>
    <row r="7" spans="2:33" s="137" customFormat="1" x14ac:dyDescent="0.35">
      <c r="B7" s="154">
        <v>1.1000000000000001</v>
      </c>
      <c r="C7" s="136" t="s">
        <v>289</v>
      </c>
      <c r="D7" s="155"/>
      <c r="E7" s="630">
        <f>E8</f>
        <v>69300000</v>
      </c>
      <c r="F7" s="631">
        <f t="shared" ref="F7:L7" si="13">F8</f>
        <v>103950000</v>
      </c>
      <c r="G7" s="631">
        <f t="shared" si="13"/>
        <v>138600000</v>
      </c>
      <c r="H7" s="648">
        <f t="shared" si="13"/>
        <v>173250000</v>
      </c>
      <c r="I7" s="655">
        <f t="shared" si="13"/>
        <v>0</v>
      </c>
      <c r="J7" s="631">
        <f t="shared" si="13"/>
        <v>0</v>
      </c>
      <c r="K7" s="631">
        <f t="shared" si="13"/>
        <v>0</v>
      </c>
      <c r="L7" s="641">
        <f t="shared" si="13"/>
        <v>0</v>
      </c>
      <c r="M7" s="668">
        <f t="shared" si="1"/>
        <v>69300000</v>
      </c>
      <c r="N7" s="669">
        <f t="shared" si="2"/>
        <v>103950000</v>
      </c>
      <c r="O7" s="669">
        <f t="shared" si="3"/>
        <v>138600000</v>
      </c>
      <c r="P7" s="670">
        <f t="shared" si="4"/>
        <v>173250000</v>
      </c>
      <c r="Q7" s="686">
        <f t="shared" ref="Q7:Q70" si="14">E7/E$5</f>
        <v>187.5</v>
      </c>
      <c r="R7" s="687">
        <f t="shared" ref="R7:R70" si="15">F7/F$5</f>
        <v>187.5</v>
      </c>
      <c r="S7" s="687">
        <f t="shared" ref="S7:S70" si="16">G7/G$5</f>
        <v>187.5</v>
      </c>
      <c r="T7" s="688">
        <f t="shared" ref="T7:T70" si="17">H7/H$5</f>
        <v>187.5</v>
      </c>
      <c r="U7" s="705">
        <f t="shared" ref="U7:U70" si="18">IFERROR(I7/I$5,0)</f>
        <v>0</v>
      </c>
      <c r="V7" s="706">
        <f t="shared" si="6"/>
        <v>0</v>
      </c>
      <c r="W7" s="706">
        <f t="shared" si="7"/>
        <v>0</v>
      </c>
      <c r="X7" s="707">
        <f t="shared" si="8"/>
        <v>0</v>
      </c>
      <c r="Y7" s="722">
        <f t="shared" ref="Y7:Y70" si="19">M7/M$5</f>
        <v>187.5</v>
      </c>
      <c r="Z7" s="723">
        <f t="shared" ref="Z7:Z70" si="20">N7/N$5</f>
        <v>187.5</v>
      </c>
      <c r="AA7" s="723">
        <f t="shared" ref="AA7:AA70" si="21">O7/O$5</f>
        <v>187.5</v>
      </c>
      <c r="AB7" s="724">
        <f t="shared" ref="AB7:AB70" si="22">P7/P$5</f>
        <v>187.5</v>
      </c>
      <c r="AC7" s="147">
        <f t="shared" ref="AC7:AC70" si="23">AB7/$AB$74</f>
        <v>1.422502260564759E-2</v>
      </c>
      <c r="AD7" s="770"/>
      <c r="AE7" s="770"/>
      <c r="AF7" s="770"/>
      <c r="AG7" s="770"/>
    </row>
    <row r="8" spans="2:33" ht="14.5" hidden="1" outlineLevel="1" x14ac:dyDescent="0.35">
      <c r="B8" s="156"/>
      <c r="C8" s="127"/>
      <c r="D8" s="157" t="s">
        <v>537</v>
      </c>
      <c r="E8" s="632">
        <f>CPBH!C3</f>
        <v>69300000</v>
      </c>
      <c r="F8" s="633">
        <f>CPBH!D3</f>
        <v>103950000</v>
      </c>
      <c r="G8" s="633">
        <f>CPBH!E3</f>
        <v>138600000</v>
      </c>
      <c r="H8" s="649">
        <f>CPBH!F3</f>
        <v>173250000</v>
      </c>
      <c r="I8" s="656">
        <f>CPBH!C4</f>
        <v>0</v>
      </c>
      <c r="J8" s="633">
        <f>CPBH!D4</f>
        <v>0</v>
      </c>
      <c r="K8" s="633">
        <f>CPBH!E4</f>
        <v>0</v>
      </c>
      <c r="L8" s="642">
        <f>CPBH!F4</f>
        <v>0</v>
      </c>
      <c r="M8" s="671">
        <f>E8+I8</f>
        <v>69300000</v>
      </c>
      <c r="N8" s="672">
        <f t="shared" ref="N8:P8" si="24">F8+J8</f>
        <v>103950000</v>
      </c>
      <c r="O8" s="672">
        <f t="shared" si="24"/>
        <v>138600000</v>
      </c>
      <c r="P8" s="673">
        <f t="shared" si="24"/>
        <v>173250000</v>
      </c>
      <c r="Q8" s="689">
        <f t="shared" si="14"/>
        <v>187.5</v>
      </c>
      <c r="R8" s="690">
        <f t="shared" si="15"/>
        <v>187.5</v>
      </c>
      <c r="S8" s="690">
        <f t="shared" si="16"/>
        <v>187.5</v>
      </c>
      <c r="T8" s="691">
        <f t="shared" si="17"/>
        <v>187.5</v>
      </c>
      <c r="U8" s="708">
        <f t="shared" si="18"/>
        <v>0</v>
      </c>
      <c r="V8" s="709">
        <f t="shared" si="6"/>
        <v>0</v>
      </c>
      <c r="W8" s="709">
        <f t="shared" si="7"/>
        <v>0</v>
      </c>
      <c r="X8" s="710">
        <f t="shared" si="8"/>
        <v>0</v>
      </c>
      <c r="Y8" s="725">
        <f t="shared" si="19"/>
        <v>187.5</v>
      </c>
      <c r="Z8" s="726">
        <f t="shared" si="20"/>
        <v>187.5</v>
      </c>
      <c r="AA8" s="726">
        <f t="shared" si="21"/>
        <v>187.5</v>
      </c>
      <c r="AB8" s="727">
        <f t="shared" si="22"/>
        <v>187.5</v>
      </c>
      <c r="AC8" s="148">
        <f t="shared" si="23"/>
        <v>1.422502260564759E-2</v>
      </c>
    </row>
    <row r="9" spans="2:33" s="137" customFormat="1" collapsed="1" x14ac:dyDescent="0.35">
      <c r="B9" s="154">
        <v>1.2</v>
      </c>
      <c r="C9" s="136" t="s">
        <v>290</v>
      </c>
      <c r="D9" s="155"/>
      <c r="E9" s="630">
        <f>SUM(E10:E20)</f>
        <v>4124053828.405797</v>
      </c>
      <c r="F9" s="631">
        <f t="shared" ref="F9:L9" si="25">SUM(F10:F20)</f>
        <v>6186080742.608696</v>
      </c>
      <c r="G9" s="631">
        <f t="shared" si="25"/>
        <v>8248107656.811594</v>
      </c>
      <c r="H9" s="648">
        <f t="shared" si="25"/>
        <v>10310134571.014492</v>
      </c>
      <c r="I9" s="655">
        <f t="shared" si="25"/>
        <v>0</v>
      </c>
      <c r="J9" s="631">
        <f t="shared" si="25"/>
        <v>0</v>
      </c>
      <c r="K9" s="631">
        <f t="shared" si="25"/>
        <v>0</v>
      </c>
      <c r="L9" s="641">
        <f t="shared" si="25"/>
        <v>0</v>
      </c>
      <c r="M9" s="668">
        <f t="shared" ref="M9:M72" si="26">E9+I9</f>
        <v>4124053828.405797</v>
      </c>
      <c r="N9" s="669">
        <f t="shared" ref="N9:N72" si="27">F9+J9</f>
        <v>6186080742.608696</v>
      </c>
      <c r="O9" s="669">
        <f t="shared" ref="O9:O72" si="28">G9+K9</f>
        <v>8248107656.811594</v>
      </c>
      <c r="P9" s="670">
        <f t="shared" ref="P9:P72" si="29">H9+L9</f>
        <v>10310134571.014492</v>
      </c>
      <c r="Q9" s="686">
        <f t="shared" si="14"/>
        <v>11158.154297634732</v>
      </c>
      <c r="R9" s="687">
        <f t="shared" si="15"/>
        <v>11158.154297634734</v>
      </c>
      <c r="S9" s="687">
        <f t="shared" si="16"/>
        <v>11158.154297634732</v>
      </c>
      <c r="T9" s="688">
        <f t="shared" si="17"/>
        <v>11158.154297634732</v>
      </c>
      <c r="U9" s="705">
        <f t="shared" si="18"/>
        <v>0</v>
      </c>
      <c r="V9" s="706">
        <f t="shared" si="6"/>
        <v>0</v>
      </c>
      <c r="W9" s="706">
        <f t="shared" si="7"/>
        <v>0</v>
      </c>
      <c r="X9" s="707">
        <f t="shared" si="8"/>
        <v>0</v>
      </c>
      <c r="Y9" s="722">
        <f t="shared" si="19"/>
        <v>11158.154297634732</v>
      </c>
      <c r="Z9" s="723">
        <f t="shared" si="20"/>
        <v>11158.154297634734</v>
      </c>
      <c r="AA9" s="723">
        <f t="shared" si="21"/>
        <v>11158.154297634732</v>
      </c>
      <c r="AB9" s="724">
        <f t="shared" si="22"/>
        <v>11158.154297634732</v>
      </c>
      <c r="AC9" s="147">
        <f t="shared" si="23"/>
        <v>0.84653331797950859</v>
      </c>
      <c r="AD9" s="770"/>
      <c r="AE9" s="770"/>
      <c r="AF9" s="770"/>
      <c r="AG9" s="770"/>
    </row>
    <row r="10" spans="2:33" ht="14.5" outlineLevel="1" x14ac:dyDescent="0.35">
      <c r="B10" s="156">
        <v>-1</v>
      </c>
      <c r="C10" s="127"/>
      <c r="D10" s="157" t="s">
        <v>328</v>
      </c>
      <c r="E10" s="632">
        <f>'CPSX-Chai'!C4</f>
        <v>4000000000</v>
      </c>
      <c r="F10" s="633">
        <f>'CPSX-Chai'!D4</f>
        <v>6000000000</v>
      </c>
      <c r="G10" s="633">
        <f>'CPSX-Chai'!E4</f>
        <v>8000000000</v>
      </c>
      <c r="H10" s="649">
        <f>'CPSX-Chai'!F4</f>
        <v>10000000000</v>
      </c>
      <c r="I10" s="656">
        <f>'CPSX-Vảy'!C4</f>
        <v>0</v>
      </c>
      <c r="J10" s="633">
        <f>'CPSX-Vảy'!D4</f>
        <v>0</v>
      </c>
      <c r="K10" s="633">
        <f>'CPSX-Vảy'!E4</f>
        <v>0</v>
      </c>
      <c r="L10" s="642">
        <f>'CPSX-Vảy'!F4</f>
        <v>0</v>
      </c>
      <c r="M10" s="671">
        <f t="shared" si="26"/>
        <v>4000000000</v>
      </c>
      <c r="N10" s="672">
        <f t="shared" si="27"/>
        <v>6000000000</v>
      </c>
      <c r="O10" s="672">
        <f t="shared" si="28"/>
        <v>8000000000</v>
      </c>
      <c r="P10" s="673">
        <f t="shared" si="29"/>
        <v>10000000000</v>
      </c>
      <c r="Q10" s="689">
        <f t="shared" si="14"/>
        <v>10822.510822510823</v>
      </c>
      <c r="R10" s="690">
        <f t="shared" si="15"/>
        <v>10822.510822510823</v>
      </c>
      <c r="S10" s="690">
        <f t="shared" si="16"/>
        <v>10822.510822510823</v>
      </c>
      <c r="T10" s="691">
        <f t="shared" si="17"/>
        <v>10822.510822510823</v>
      </c>
      <c r="U10" s="708">
        <f t="shared" si="18"/>
        <v>0</v>
      </c>
      <c r="V10" s="709">
        <f t="shared" si="6"/>
        <v>0</v>
      </c>
      <c r="W10" s="709">
        <f t="shared" si="7"/>
        <v>0</v>
      </c>
      <c r="X10" s="710">
        <f t="shared" si="8"/>
        <v>0</v>
      </c>
      <c r="Y10" s="725">
        <f t="shared" si="19"/>
        <v>10822.510822510823</v>
      </c>
      <c r="Z10" s="726">
        <f t="shared" si="20"/>
        <v>10822.510822510823</v>
      </c>
      <c r="AA10" s="726">
        <f t="shared" si="21"/>
        <v>10822.510822510823</v>
      </c>
      <c r="AB10" s="727">
        <f t="shared" si="22"/>
        <v>10822.510822510823</v>
      </c>
      <c r="AC10" s="148">
        <f t="shared" si="23"/>
        <v>0.82106912586710479</v>
      </c>
      <c r="AD10" s="770"/>
    </row>
    <row r="11" spans="2:33" ht="14.5" outlineLevel="1" x14ac:dyDescent="0.35">
      <c r="B11" s="156">
        <v>-2</v>
      </c>
      <c r="C11" s="127"/>
      <c r="D11" s="157" t="s">
        <v>325</v>
      </c>
      <c r="E11" s="632">
        <f>'CPSX-Chai'!C5</f>
        <v>946666.66666666663</v>
      </c>
      <c r="F11" s="633">
        <f>'CPSX-Chai'!D5</f>
        <v>1420000</v>
      </c>
      <c r="G11" s="633">
        <f>'CPSX-Chai'!E5</f>
        <v>1893333.3333333333</v>
      </c>
      <c r="H11" s="649">
        <f>'CPSX-Chai'!F5</f>
        <v>2366666.6666666665</v>
      </c>
      <c r="I11" s="656">
        <f>'CPSX-Vảy'!C5</f>
        <v>0</v>
      </c>
      <c r="J11" s="633">
        <f>'CPSX-Vảy'!D5</f>
        <v>0</v>
      </c>
      <c r="K11" s="633">
        <f>'CPSX-Vảy'!E5</f>
        <v>0</v>
      </c>
      <c r="L11" s="642">
        <f>'CPSX-Vảy'!F5</f>
        <v>0</v>
      </c>
      <c r="M11" s="671">
        <f t="shared" si="26"/>
        <v>946666.66666666663</v>
      </c>
      <c r="N11" s="672">
        <f t="shared" si="27"/>
        <v>1420000</v>
      </c>
      <c r="O11" s="672">
        <f t="shared" si="28"/>
        <v>1893333.3333333333</v>
      </c>
      <c r="P11" s="673">
        <f t="shared" si="29"/>
        <v>2366666.6666666665</v>
      </c>
      <c r="Q11" s="689">
        <f t="shared" si="14"/>
        <v>2.5613275613275612</v>
      </c>
      <c r="R11" s="690">
        <f t="shared" si="15"/>
        <v>2.5613275613275612</v>
      </c>
      <c r="S11" s="690">
        <f t="shared" si="16"/>
        <v>2.5613275613275612</v>
      </c>
      <c r="T11" s="691">
        <f t="shared" si="17"/>
        <v>2.5613275613275612</v>
      </c>
      <c r="U11" s="708">
        <f t="shared" si="18"/>
        <v>0</v>
      </c>
      <c r="V11" s="709">
        <f t="shared" si="6"/>
        <v>0</v>
      </c>
      <c r="W11" s="709">
        <f t="shared" si="7"/>
        <v>0</v>
      </c>
      <c r="X11" s="710">
        <f t="shared" si="8"/>
        <v>0</v>
      </c>
      <c r="Y11" s="725">
        <f t="shared" si="19"/>
        <v>2.5613275613275612</v>
      </c>
      <c r="Z11" s="726">
        <f t="shared" si="20"/>
        <v>2.5613275613275612</v>
      </c>
      <c r="AA11" s="726">
        <f t="shared" si="21"/>
        <v>2.5613275613275612</v>
      </c>
      <c r="AB11" s="727">
        <f t="shared" si="22"/>
        <v>2.5613275613275612</v>
      </c>
      <c r="AC11" s="148">
        <f t="shared" si="23"/>
        <v>1.9431969312188146E-4</v>
      </c>
      <c r="AD11" s="770"/>
    </row>
    <row r="12" spans="2:33" ht="14.5" outlineLevel="1" x14ac:dyDescent="0.35">
      <c r="B12" s="156">
        <v>-3</v>
      </c>
      <c r="C12" s="127"/>
      <c r="D12" s="157" t="s">
        <v>86</v>
      </c>
      <c r="E12" s="632">
        <f>'CPSX-Chai'!C6</f>
        <v>28218521.739130434</v>
      </c>
      <c r="F12" s="633">
        <f>'CPSX-Chai'!D6</f>
        <v>42327782.608695649</v>
      </c>
      <c r="G12" s="633">
        <f>'CPSX-Chai'!E6</f>
        <v>56437043.478260867</v>
      </c>
      <c r="H12" s="649">
        <f>'CPSX-Chai'!F6</f>
        <v>70546304.347826079</v>
      </c>
      <c r="I12" s="656">
        <f>'CPSX-Vảy'!C6</f>
        <v>0</v>
      </c>
      <c r="J12" s="633">
        <f>'CPSX-Vảy'!D6</f>
        <v>0</v>
      </c>
      <c r="K12" s="633">
        <f>'CPSX-Vảy'!E6</f>
        <v>0</v>
      </c>
      <c r="L12" s="642">
        <f>'CPSX-Vảy'!F6</f>
        <v>0</v>
      </c>
      <c r="M12" s="671">
        <f t="shared" si="26"/>
        <v>28218521.739130434</v>
      </c>
      <c r="N12" s="672">
        <f t="shared" si="27"/>
        <v>42327782.608695649</v>
      </c>
      <c r="O12" s="672">
        <f t="shared" si="28"/>
        <v>56437043.478260867</v>
      </c>
      <c r="P12" s="673">
        <f t="shared" si="29"/>
        <v>70546304.347826079</v>
      </c>
      <c r="Q12" s="689">
        <f t="shared" si="14"/>
        <v>76.348814229249015</v>
      </c>
      <c r="R12" s="690">
        <f t="shared" si="15"/>
        <v>76.348814229249001</v>
      </c>
      <c r="S12" s="690">
        <f t="shared" si="16"/>
        <v>76.348814229249015</v>
      </c>
      <c r="T12" s="691">
        <f t="shared" si="17"/>
        <v>76.348814229249001</v>
      </c>
      <c r="U12" s="708">
        <f t="shared" si="18"/>
        <v>0</v>
      </c>
      <c r="V12" s="709">
        <f t="shared" si="6"/>
        <v>0</v>
      </c>
      <c r="W12" s="709">
        <f t="shared" si="7"/>
        <v>0</v>
      </c>
      <c r="X12" s="710">
        <f t="shared" si="8"/>
        <v>0</v>
      </c>
      <c r="Y12" s="725">
        <f t="shared" si="19"/>
        <v>76.348814229249015</v>
      </c>
      <c r="Z12" s="726">
        <f t="shared" si="20"/>
        <v>76.348814229249001</v>
      </c>
      <c r="AA12" s="726">
        <f t="shared" si="21"/>
        <v>76.348814229249015</v>
      </c>
      <c r="AB12" s="727">
        <f t="shared" si="22"/>
        <v>76.348814229249001</v>
      </c>
      <c r="AC12" s="148">
        <f t="shared" si="23"/>
        <v>5.7923392444024285E-3</v>
      </c>
      <c r="AD12" s="770"/>
    </row>
    <row r="13" spans="2:33" ht="14.5" outlineLevel="1" x14ac:dyDescent="0.35">
      <c r="B13" s="156">
        <v>-4</v>
      </c>
      <c r="C13" s="127"/>
      <c r="D13" s="157" t="s">
        <v>87</v>
      </c>
      <c r="E13" s="632">
        <f>'CPSX-Chai'!C7</f>
        <v>37600639.999999993</v>
      </c>
      <c r="F13" s="633">
        <f>'CPSX-Chai'!D7</f>
        <v>56400959.999999985</v>
      </c>
      <c r="G13" s="633">
        <f>'CPSX-Chai'!E7</f>
        <v>75201279.999999985</v>
      </c>
      <c r="H13" s="649">
        <f>'CPSX-Chai'!F7</f>
        <v>94001599.99999997</v>
      </c>
      <c r="I13" s="656">
        <f>'CPSX-Vảy'!C7</f>
        <v>0</v>
      </c>
      <c r="J13" s="633">
        <f>'CPSX-Vảy'!D7</f>
        <v>0</v>
      </c>
      <c r="K13" s="633">
        <f>'CPSX-Vảy'!E7</f>
        <v>0</v>
      </c>
      <c r="L13" s="642">
        <f>'CPSX-Vảy'!F7</f>
        <v>0</v>
      </c>
      <c r="M13" s="671">
        <f t="shared" si="26"/>
        <v>37600639.999999993</v>
      </c>
      <c r="N13" s="672">
        <f t="shared" si="27"/>
        <v>56400959.999999985</v>
      </c>
      <c r="O13" s="672">
        <f t="shared" si="28"/>
        <v>75201279.999999985</v>
      </c>
      <c r="P13" s="673">
        <f t="shared" si="29"/>
        <v>94001599.99999997</v>
      </c>
      <c r="Q13" s="689">
        <f t="shared" si="14"/>
        <v>101.73333333333332</v>
      </c>
      <c r="R13" s="690">
        <f t="shared" si="15"/>
        <v>101.73333333333331</v>
      </c>
      <c r="S13" s="690">
        <f t="shared" si="16"/>
        <v>101.73333333333332</v>
      </c>
      <c r="T13" s="691">
        <f t="shared" si="17"/>
        <v>101.73333333333331</v>
      </c>
      <c r="U13" s="708">
        <f t="shared" si="18"/>
        <v>0</v>
      </c>
      <c r="V13" s="709">
        <f t="shared" si="6"/>
        <v>0</v>
      </c>
      <c r="W13" s="709">
        <f t="shared" si="7"/>
        <v>0</v>
      </c>
      <c r="X13" s="710">
        <f t="shared" si="8"/>
        <v>0</v>
      </c>
      <c r="Y13" s="725">
        <f t="shared" si="19"/>
        <v>101.73333333333332</v>
      </c>
      <c r="Z13" s="726">
        <f t="shared" si="20"/>
        <v>101.73333333333331</v>
      </c>
      <c r="AA13" s="726">
        <f t="shared" si="21"/>
        <v>101.73333333333332</v>
      </c>
      <c r="AB13" s="727">
        <f t="shared" si="22"/>
        <v>101.73333333333331</v>
      </c>
      <c r="AC13" s="148">
        <f t="shared" si="23"/>
        <v>7.7181811542109211E-3</v>
      </c>
      <c r="AD13" s="770"/>
    </row>
    <row r="14" spans="2:33" ht="14.5" outlineLevel="1" x14ac:dyDescent="0.35">
      <c r="B14" s="156">
        <v>-5</v>
      </c>
      <c r="C14" s="128"/>
      <c r="D14" s="157" t="s">
        <v>313</v>
      </c>
      <c r="E14" s="632">
        <f>'CPSX-Chai'!C8</f>
        <v>0</v>
      </c>
      <c r="F14" s="633">
        <f>'CPSX-Chai'!D8</f>
        <v>0</v>
      </c>
      <c r="G14" s="633">
        <f>'CPSX-Chai'!E8</f>
        <v>0</v>
      </c>
      <c r="H14" s="649">
        <f>'CPSX-Chai'!F8</f>
        <v>0</v>
      </c>
      <c r="I14" s="656">
        <f>'CPSX-Vảy'!C8</f>
        <v>0</v>
      </c>
      <c r="J14" s="633">
        <f>'CPSX-Vảy'!D8</f>
        <v>0</v>
      </c>
      <c r="K14" s="633">
        <f>'CPSX-Vảy'!E8</f>
        <v>0</v>
      </c>
      <c r="L14" s="642">
        <f>'CPSX-Vảy'!F8</f>
        <v>0</v>
      </c>
      <c r="M14" s="671">
        <f t="shared" si="26"/>
        <v>0</v>
      </c>
      <c r="N14" s="672">
        <f t="shared" si="27"/>
        <v>0</v>
      </c>
      <c r="O14" s="672">
        <f t="shared" si="28"/>
        <v>0</v>
      </c>
      <c r="P14" s="673">
        <f t="shared" si="29"/>
        <v>0</v>
      </c>
      <c r="Q14" s="689">
        <f t="shared" si="14"/>
        <v>0</v>
      </c>
      <c r="R14" s="690">
        <f t="shared" si="15"/>
        <v>0</v>
      </c>
      <c r="S14" s="690">
        <f t="shared" si="16"/>
        <v>0</v>
      </c>
      <c r="T14" s="691">
        <f t="shared" si="17"/>
        <v>0</v>
      </c>
      <c r="U14" s="708">
        <f t="shared" si="18"/>
        <v>0</v>
      </c>
      <c r="V14" s="709">
        <f t="shared" si="6"/>
        <v>0</v>
      </c>
      <c r="W14" s="709">
        <f t="shared" si="7"/>
        <v>0</v>
      </c>
      <c r="X14" s="710">
        <f t="shared" si="8"/>
        <v>0</v>
      </c>
      <c r="Y14" s="725">
        <f t="shared" si="19"/>
        <v>0</v>
      </c>
      <c r="Z14" s="726">
        <f t="shared" si="20"/>
        <v>0</v>
      </c>
      <c r="AA14" s="726">
        <f t="shared" si="21"/>
        <v>0</v>
      </c>
      <c r="AB14" s="727">
        <f t="shared" si="22"/>
        <v>0</v>
      </c>
      <c r="AC14" s="148">
        <f t="shared" si="23"/>
        <v>0</v>
      </c>
      <c r="AD14" s="770"/>
    </row>
    <row r="15" spans="2:33" ht="14.5" outlineLevel="1" x14ac:dyDescent="0.35">
      <c r="B15" s="156">
        <v>-6</v>
      </c>
      <c r="C15" s="128"/>
      <c r="D15" s="157" t="s">
        <v>90</v>
      </c>
      <c r="E15" s="632">
        <f>'CPSX-Chai'!C9</f>
        <v>11088000</v>
      </c>
      <c r="F15" s="633">
        <f>'CPSX-Chai'!D9</f>
        <v>16632000</v>
      </c>
      <c r="G15" s="633">
        <f>'CPSX-Chai'!E9</f>
        <v>22176000</v>
      </c>
      <c r="H15" s="649">
        <f>'CPSX-Chai'!F9</f>
        <v>27720000</v>
      </c>
      <c r="I15" s="656">
        <f>'CPSX-Vảy'!C9</f>
        <v>0</v>
      </c>
      <c r="J15" s="633">
        <f>'CPSX-Vảy'!D9</f>
        <v>0</v>
      </c>
      <c r="K15" s="633">
        <f>'CPSX-Vảy'!E9</f>
        <v>0</v>
      </c>
      <c r="L15" s="642">
        <f>'CPSX-Vảy'!F9</f>
        <v>0</v>
      </c>
      <c r="M15" s="671">
        <f t="shared" si="26"/>
        <v>11088000</v>
      </c>
      <c r="N15" s="672">
        <f t="shared" si="27"/>
        <v>16632000</v>
      </c>
      <c r="O15" s="672">
        <f t="shared" si="28"/>
        <v>22176000</v>
      </c>
      <c r="P15" s="673">
        <f t="shared" si="29"/>
        <v>27720000</v>
      </c>
      <c r="Q15" s="689">
        <f t="shared" si="14"/>
        <v>30</v>
      </c>
      <c r="R15" s="690">
        <f t="shared" si="15"/>
        <v>30</v>
      </c>
      <c r="S15" s="690">
        <f t="shared" si="16"/>
        <v>30</v>
      </c>
      <c r="T15" s="691">
        <f t="shared" si="17"/>
        <v>30</v>
      </c>
      <c r="U15" s="708">
        <f t="shared" si="18"/>
        <v>0</v>
      </c>
      <c r="V15" s="709">
        <f t="shared" si="6"/>
        <v>0</v>
      </c>
      <c r="W15" s="709">
        <f t="shared" si="7"/>
        <v>0</v>
      </c>
      <c r="X15" s="710">
        <f>IFERROR(L15/L$5,0)</f>
        <v>0</v>
      </c>
      <c r="Y15" s="725">
        <f t="shared" si="19"/>
        <v>30</v>
      </c>
      <c r="Z15" s="726">
        <f t="shared" si="20"/>
        <v>30</v>
      </c>
      <c r="AA15" s="726">
        <f t="shared" si="21"/>
        <v>30</v>
      </c>
      <c r="AB15" s="727">
        <f t="shared" si="22"/>
        <v>30</v>
      </c>
      <c r="AC15" s="148">
        <f t="shared" si="23"/>
        <v>2.2760036169036145E-3</v>
      </c>
      <c r="AD15" s="770"/>
    </row>
    <row r="16" spans="2:33" ht="14.5" outlineLevel="1" x14ac:dyDescent="0.35">
      <c r="B16" s="156">
        <v>-7</v>
      </c>
      <c r="C16" s="127"/>
      <c r="D16" s="157" t="s">
        <v>91</v>
      </c>
      <c r="E16" s="632">
        <f>'CPSX-Chai'!C10</f>
        <v>0</v>
      </c>
      <c r="F16" s="633">
        <f>'CPSX-Chai'!D10</f>
        <v>0</v>
      </c>
      <c r="G16" s="633">
        <f>'CPSX-Chai'!E10</f>
        <v>0</v>
      </c>
      <c r="H16" s="649">
        <f>'CPSX-Chai'!F10</f>
        <v>0</v>
      </c>
      <c r="I16" s="656">
        <f>'CPSX-Vảy'!C10</f>
        <v>0</v>
      </c>
      <c r="J16" s="633">
        <f>'CPSX-Vảy'!D10</f>
        <v>0</v>
      </c>
      <c r="K16" s="633">
        <f>'CPSX-Vảy'!E10</f>
        <v>0</v>
      </c>
      <c r="L16" s="642">
        <f>'CPSX-Vảy'!F10</f>
        <v>0</v>
      </c>
      <c r="M16" s="671">
        <f t="shared" si="26"/>
        <v>0</v>
      </c>
      <c r="N16" s="672">
        <f t="shared" si="27"/>
        <v>0</v>
      </c>
      <c r="O16" s="672">
        <f t="shared" si="28"/>
        <v>0</v>
      </c>
      <c r="P16" s="673">
        <f t="shared" si="29"/>
        <v>0</v>
      </c>
      <c r="Q16" s="689">
        <f t="shared" si="14"/>
        <v>0</v>
      </c>
      <c r="R16" s="690">
        <f t="shared" si="15"/>
        <v>0</v>
      </c>
      <c r="S16" s="690">
        <f t="shared" si="16"/>
        <v>0</v>
      </c>
      <c r="T16" s="691">
        <f t="shared" si="17"/>
        <v>0</v>
      </c>
      <c r="U16" s="708">
        <f t="shared" si="18"/>
        <v>0</v>
      </c>
      <c r="V16" s="709">
        <f t="shared" si="6"/>
        <v>0</v>
      </c>
      <c r="W16" s="709">
        <f t="shared" si="7"/>
        <v>0</v>
      </c>
      <c r="X16" s="710">
        <f t="shared" si="8"/>
        <v>0</v>
      </c>
      <c r="Y16" s="725">
        <f t="shared" si="19"/>
        <v>0</v>
      </c>
      <c r="Z16" s="726">
        <f t="shared" si="20"/>
        <v>0</v>
      </c>
      <c r="AA16" s="726">
        <f t="shared" si="21"/>
        <v>0</v>
      </c>
      <c r="AB16" s="727">
        <f t="shared" si="22"/>
        <v>0</v>
      </c>
      <c r="AC16" s="148">
        <f t="shared" si="23"/>
        <v>0</v>
      </c>
      <c r="AD16" s="770"/>
    </row>
    <row r="17" spans="2:33" ht="14.5" outlineLevel="1" x14ac:dyDescent="0.35">
      <c r="B17" s="156">
        <v>-8</v>
      </c>
      <c r="C17" s="129"/>
      <c r="D17" s="158" t="s">
        <v>92</v>
      </c>
      <c r="E17" s="632">
        <f>'CPSX-Chai'!C11</f>
        <v>0</v>
      </c>
      <c r="F17" s="633">
        <f>'CPSX-Chai'!D11</f>
        <v>0</v>
      </c>
      <c r="G17" s="633">
        <f>'CPSX-Chai'!E11</f>
        <v>0</v>
      </c>
      <c r="H17" s="649">
        <f>'CPSX-Chai'!F11</f>
        <v>0</v>
      </c>
      <c r="I17" s="656">
        <f>'CPSX-Vảy'!C11</f>
        <v>0</v>
      </c>
      <c r="J17" s="633">
        <f>'CPSX-Vảy'!D11</f>
        <v>0</v>
      </c>
      <c r="K17" s="633">
        <f>'CPSX-Vảy'!E11</f>
        <v>0</v>
      </c>
      <c r="L17" s="642">
        <f>'CPSX-Vảy'!F11</f>
        <v>0</v>
      </c>
      <c r="M17" s="671">
        <f t="shared" si="26"/>
        <v>0</v>
      </c>
      <c r="N17" s="672">
        <f t="shared" si="27"/>
        <v>0</v>
      </c>
      <c r="O17" s="672">
        <f t="shared" si="28"/>
        <v>0</v>
      </c>
      <c r="P17" s="673">
        <f t="shared" si="29"/>
        <v>0</v>
      </c>
      <c r="Q17" s="689">
        <f t="shared" si="14"/>
        <v>0</v>
      </c>
      <c r="R17" s="690">
        <f t="shared" si="15"/>
        <v>0</v>
      </c>
      <c r="S17" s="690">
        <f t="shared" si="16"/>
        <v>0</v>
      </c>
      <c r="T17" s="691">
        <f t="shared" si="17"/>
        <v>0</v>
      </c>
      <c r="U17" s="708">
        <f t="shared" si="18"/>
        <v>0</v>
      </c>
      <c r="V17" s="709">
        <f t="shared" si="6"/>
        <v>0</v>
      </c>
      <c r="W17" s="709">
        <f t="shared" si="7"/>
        <v>0</v>
      </c>
      <c r="X17" s="710">
        <f t="shared" si="8"/>
        <v>0</v>
      </c>
      <c r="Y17" s="725">
        <f t="shared" si="19"/>
        <v>0</v>
      </c>
      <c r="Z17" s="726">
        <f t="shared" si="20"/>
        <v>0</v>
      </c>
      <c r="AA17" s="726">
        <f t="shared" si="21"/>
        <v>0</v>
      </c>
      <c r="AB17" s="727">
        <f t="shared" si="22"/>
        <v>0</v>
      </c>
      <c r="AC17" s="148">
        <f t="shared" si="23"/>
        <v>0</v>
      </c>
      <c r="AD17" s="770"/>
    </row>
    <row r="18" spans="2:33" ht="14.5" outlineLevel="1" x14ac:dyDescent="0.35">
      <c r="B18" s="156">
        <v>-9</v>
      </c>
      <c r="C18" s="129"/>
      <c r="D18" s="158" t="s">
        <v>314</v>
      </c>
      <c r="E18" s="632">
        <f>'CPSX-Chai'!C12</f>
        <v>5544000</v>
      </c>
      <c r="F18" s="633">
        <f>'CPSX-Chai'!D12</f>
        <v>8316000</v>
      </c>
      <c r="G18" s="633">
        <f>'CPSX-Chai'!E12</f>
        <v>11088000</v>
      </c>
      <c r="H18" s="649">
        <f>'CPSX-Chai'!F12</f>
        <v>13860000</v>
      </c>
      <c r="I18" s="656">
        <f>'CPSX-Vảy'!C12</f>
        <v>0</v>
      </c>
      <c r="J18" s="633">
        <f>'CPSX-Vảy'!D12</f>
        <v>0</v>
      </c>
      <c r="K18" s="633">
        <f>'CPSX-Vảy'!E12</f>
        <v>0</v>
      </c>
      <c r="L18" s="642">
        <f>'CPSX-Vảy'!F12</f>
        <v>0</v>
      </c>
      <c r="M18" s="671">
        <f t="shared" si="26"/>
        <v>5544000</v>
      </c>
      <c r="N18" s="672">
        <f t="shared" si="27"/>
        <v>8316000</v>
      </c>
      <c r="O18" s="672">
        <f t="shared" si="28"/>
        <v>11088000</v>
      </c>
      <c r="P18" s="673">
        <f t="shared" si="29"/>
        <v>13860000</v>
      </c>
      <c r="Q18" s="689">
        <f t="shared" si="14"/>
        <v>15</v>
      </c>
      <c r="R18" s="690">
        <f t="shared" si="15"/>
        <v>15</v>
      </c>
      <c r="S18" s="690">
        <f t="shared" si="16"/>
        <v>15</v>
      </c>
      <c r="T18" s="691">
        <f t="shared" si="17"/>
        <v>15</v>
      </c>
      <c r="U18" s="708">
        <f t="shared" si="18"/>
        <v>0</v>
      </c>
      <c r="V18" s="709">
        <f t="shared" si="6"/>
        <v>0</v>
      </c>
      <c r="W18" s="709">
        <f t="shared" si="7"/>
        <v>0</v>
      </c>
      <c r="X18" s="710">
        <f t="shared" si="8"/>
        <v>0</v>
      </c>
      <c r="Y18" s="725">
        <f t="shared" si="19"/>
        <v>15</v>
      </c>
      <c r="Z18" s="726">
        <f t="shared" si="20"/>
        <v>15</v>
      </c>
      <c r="AA18" s="726">
        <f t="shared" si="21"/>
        <v>15</v>
      </c>
      <c r="AB18" s="727">
        <f t="shared" si="22"/>
        <v>15</v>
      </c>
      <c r="AC18" s="148">
        <f t="shared" si="23"/>
        <v>1.1380018084518073E-3</v>
      </c>
      <c r="AD18" s="770"/>
    </row>
    <row r="19" spans="2:33" ht="14.5" outlineLevel="1" x14ac:dyDescent="0.35">
      <c r="B19" s="156">
        <v>-10</v>
      </c>
      <c r="C19" s="129"/>
      <c r="D19" s="158" t="s">
        <v>324</v>
      </c>
      <c r="E19" s="632">
        <f>'CPSX-Chai'!C13</f>
        <v>40656000</v>
      </c>
      <c r="F19" s="633">
        <f>'CPSX-Chai'!D13</f>
        <v>60984000</v>
      </c>
      <c r="G19" s="633">
        <f>'CPSX-Chai'!E13</f>
        <v>81312000</v>
      </c>
      <c r="H19" s="649">
        <f>'CPSX-Chai'!F13</f>
        <v>101640000</v>
      </c>
      <c r="I19" s="656">
        <f>'CPSX-Vảy'!C13</f>
        <v>0</v>
      </c>
      <c r="J19" s="633">
        <f>'CPSX-Vảy'!D13</f>
        <v>0</v>
      </c>
      <c r="K19" s="633">
        <f>'CPSX-Vảy'!E13</f>
        <v>0</v>
      </c>
      <c r="L19" s="642">
        <f>'CPSX-Vảy'!F13</f>
        <v>0</v>
      </c>
      <c r="M19" s="671">
        <f t="shared" si="26"/>
        <v>40656000</v>
      </c>
      <c r="N19" s="672">
        <f t="shared" si="27"/>
        <v>60984000</v>
      </c>
      <c r="O19" s="672">
        <f t="shared" si="28"/>
        <v>81312000</v>
      </c>
      <c r="P19" s="673">
        <f t="shared" si="29"/>
        <v>101640000</v>
      </c>
      <c r="Q19" s="689">
        <f t="shared" si="14"/>
        <v>110</v>
      </c>
      <c r="R19" s="690">
        <f t="shared" si="15"/>
        <v>110</v>
      </c>
      <c r="S19" s="690">
        <f t="shared" si="16"/>
        <v>110</v>
      </c>
      <c r="T19" s="691">
        <f t="shared" si="17"/>
        <v>110</v>
      </c>
      <c r="U19" s="708">
        <f t="shared" si="18"/>
        <v>0</v>
      </c>
      <c r="V19" s="709">
        <f t="shared" si="6"/>
        <v>0</v>
      </c>
      <c r="W19" s="709">
        <f t="shared" si="7"/>
        <v>0</v>
      </c>
      <c r="X19" s="710">
        <f t="shared" si="8"/>
        <v>0</v>
      </c>
      <c r="Y19" s="725">
        <f t="shared" si="19"/>
        <v>110</v>
      </c>
      <c r="Z19" s="726">
        <f t="shared" si="20"/>
        <v>110</v>
      </c>
      <c r="AA19" s="726">
        <f t="shared" si="21"/>
        <v>110</v>
      </c>
      <c r="AB19" s="727">
        <f t="shared" si="22"/>
        <v>110</v>
      </c>
      <c r="AC19" s="148">
        <f t="shared" si="23"/>
        <v>8.3453465953132518E-3</v>
      </c>
      <c r="AD19" s="770"/>
    </row>
    <row r="20" spans="2:33" ht="14.5" outlineLevel="1" x14ac:dyDescent="0.35">
      <c r="B20" s="156">
        <v>-11</v>
      </c>
      <c r="C20" s="129"/>
      <c r="D20" s="158" t="s">
        <v>312</v>
      </c>
      <c r="E20" s="632">
        <f>'CPSX-Chai'!C14</f>
        <v>0</v>
      </c>
      <c r="F20" s="633">
        <f>'CPSX-Chai'!D14</f>
        <v>0</v>
      </c>
      <c r="G20" s="633">
        <f>'CPSX-Chai'!E14</f>
        <v>0</v>
      </c>
      <c r="H20" s="649">
        <f>'CPSX-Chai'!F14</f>
        <v>0</v>
      </c>
      <c r="I20" s="656">
        <f>'CPSX-Vảy'!C14</f>
        <v>0</v>
      </c>
      <c r="J20" s="633">
        <f>'CPSX-Vảy'!D14</f>
        <v>0</v>
      </c>
      <c r="K20" s="633">
        <f>'CPSX-Vảy'!E14</f>
        <v>0</v>
      </c>
      <c r="L20" s="642">
        <f>'CPSX-Vảy'!F14</f>
        <v>0</v>
      </c>
      <c r="M20" s="671">
        <f t="shared" si="26"/>
        <v>0</v>
      </c>
      <c r="N20" s="672">
        <f t="shared" si="27"/>
        <v>0</v>
      </c>
      <c r="O20" s="672">
        <f t="shared" si="28"/>
        <v>0</v>
      </c>
      <c r="P20" s="673">
        <f t="shared" si="29"/>
        <v>0</v>
      </c>
      <c r="Q20" s="689">
        <f t="shared" si="14"/>
        <v>0</v>
      </c>
      <c r="R20" s="690">
        <f t="shared" si="15"/>
        <v>0</v>
      </c>
      <c r="S20" s="690">
        <f t="shared" si="16"/>
        <v>0</v>
      </c>
      <c r="T20" s="691">
        <f t="shared" si="17"/>
        <v>0</v>
      </c>
      <c r="U20" s="708">
        <f t="shared" si="18"/>
        <v>0</v>
      </c>
      <c r="V20" s="709">
        <f t="shared" si="6"/>
        <v>0</v>
      </c>
      <c r="W20" s="709">
        <f t="shared" si="7"/>
        <v>0</v>
      </c>
      <c r="X20" s="710">
        <f t="shared" si="8"/>
        <v>0</v>
      </c>
      <c r="Y20" s="725">
        <f t="shared" si="19"/>
        <v>0</v>
      </c>
      <c r="Z20" s="726">
        <f t="shared" si="20"/>
        <v>0</v>
      </c>
      <c r="AA20" s="726">
        <f t="shared" si="21"/>
        <v>0</v>
      </c>
      <c r="AB20" s="727">
        <f t="shared" si="22"/>
        <v>0</v>
      </c>
      <c r="AC20" s="148">
        <f t="shared" si="23"/>
        <v>0</v>
      </c>
      <c r="AD20" s="770"/>
    </row>
    <row r="21" spans="2:33" s="137" customFormat="1" x14ac:dyDescent="0.35">
      <c r="B21" s="152" t="s">
        <v>187</v>
      </c>
      <c r="C21" s="138" t="s">
        <v>297</v>
      </c>
      <c r="D21" s="159"/>
      <c r="E21" s="628">
        <f>E22+E34+E52+E72+E73</f>
        <v>1324019065.474359</v>
      </c>
      <c r="F21" s="629">
        <f t="shared" ref="F21:L21" si="30">F22+F34+F52+F72+F73</f>
        <v>1508106244.9615388</v>
      </c>
      <c r="G21" s="629">
        <f t="shared" si="30"/>
        <v>1646804091.1153848</v>
      </c>
      <c r="H21" s="647">
        <f t="shared" si="30"/>
        <v>1695857937.2692308</v>
      </c>
      <c r="I21" s="654">
        <f t="shared" si="30"/>
        <v>0</v>
      </c>
      <c r="J21" s="629">
        <f t="shared" si="30"/>
        <v>0</v>
      </c>
      <c r="K21" s="629">
        <f t="shared" si="30"/>
        <v>0</v>
      </c>
      <c r="L21" s="640">
        <f t="shared" si="30"/>
        <v>0</v>
      </c>
      <c r="M21" s="665">
        <f t="shared" si="26"/>
        <v>1324019065.474359</v>
      </c>
      <c r="N21" s="666">
        <f t="shared" si="27"/>
        <v>1508106244.9615388</v>
      </c>
      <c r="O21" s="666">
        <f t="shared" si="28"/>
        <v>1646804091.1153848</v>
      </c>
      <c r="P21" s="667">
        <f t="shared" si="29"/>
        <v>1695857937.2692308</v>
      </c>
      <c r="Q21" s="683">
        <f t="shared" si="14"/>
        <v>3582.3026663267292</v>
      </c>
      <c r="R21" s="684">
        <f t="shared" si="15"/>
        <v>2720.2493595987353</v>
      </c>
      <c r="S21" s="684">
        <f t="shared" si="16"/>
        <v>2227.819387331419</v>
      </c>
      <c r="T21" s="685">
        <f t="shared" si="17"/>
        <v>1835.3440879537131</v>
      </c>
      <c r="U21" s="702">
        <f t="shared" si="18"/>
        <v>0</v>
      </c>
      <c r="V21" s="703">
        <f t="shared" si="6"/>
        <v>0</v>
      </c>
      <c r="W21" s="703">
        <f t="shared" si="7"/>
        <v>0</v>
      </c>
      <c r="X21" s="704">
        <f t="shared" si="8"/>
        <v>0</v>
      </c>
      <c r="Y21" s="719">
        <f t="shared" si="19"/>
        <v>3582.3026663267292</v>
      </c>
      <c r="Z21" s="720">
        <f t="shared" si="20"/>
        <v>2720.2493595987353</v>
      </c>
      <c r="AA21" s="720">
        <f t="shared" si="21"/>
        <v>2227.819387331419</v>
      </c>
      <c r="AB21" s="721">
        <f t="shared" si="22"/>
        <v>1835.3440879537131</v>
      </c>
      <c r="AC21" s="833">
        <f t="shared" si="23"/>
        <v>0.13924165941484387</v>
      </c>
      <c r="AD21" s="770"/>
      <c r="AE21" s="770"/>
      <c r="AF21" s="770"/>
      <c r="AG21" s="770"/>
    </row>
    <row r="22" spans="2:33" s="137" customFormat="1" x14ac:dyDescent="0.35">
      <c r="B22" s="154">
        <v>2.1</v>
      </c>
      <c r="C22" s="136" t="s">
        <v>329</v>
      </c>
      <c r="D22" s="160"/>
      <c r="E22" s="630">
        <f>SUM(E23:E33)</f>
        <v>453531614.97435898</v>
      </c>
      <c r="F22" s="631">
        <f t="shared" ref="F22:L22" si="31">SUM(F23:F33)</f>
        <v>460518794.46153843</v>
      </c>
      <c r="G22" s="631">
        <f t="shared" si="31"/>
        <v>467505973.94871795</v>
      </c>
      <c r="H22" s="648">
        <f t="shared" si="31"/>
        <v>475493153.43589747</v>
      </c>
      <c r="I22" s="655">
        <f t="shared" si="31"/>
        <v>0</v>
      </c>
      <c r="J22" s="631">
        <f t="shared" si="31"/>
        <v>0</v>
      </c>
      <c r="K22" s="631">
        <f t="shared" si="31"/>
        <v>0</v>
      </c>
      <c r="L22" s="641">
        <f t="shared" si="31"/>
        <v>0</v>
      </c>
      <c r="M22" s="668">
        <f t="shared" si="26"/>
        <v>453531614.97435898</v>
      </c>
      <c r="N22" s="669">
        <f t="shared" si="27"/>
        <v>460518794.46153843</v>
      </c>
      <c r="O22" s="669">
        <f t="shared" si="28"/>
        <v>467505973.94871795</v>
      </c>
      <c r="P22" s="670">
        <f t="shared" si="29"/>
        <v>475493153.43589747</v>
      </c>
      <c r="Q22" s="686">
        <f t="shared" si="14"/>
        <v>1227.0877028527029</v>
      </c>
      <c r="R22" s="687">
        <f t="shared" si="15"/>
        <v>830.66160617160608</v>
      </c>
      <c r="S22" s="687">
        <f t="shared" si="16"/>
        <v>632.44855783105788</v>
      </c>
      <c r="T22" s="688">
        <f t="shared" si="17"/>
        <v>514.60297990897993</v>
      </c>
      <c r="U22" s="705">
        <f t="shared" si="18"/>
        <v>0</v>
      </c>
      <c r="V22" s="706">
        <f t="shared" si="6"/>
        <v>0</v>
      </c>
      <c r="W22" s="706">
        <f t="shared" si="7"/>
        <v>0</v>
      </c>
      <c r="X22" s="707">
        <f t="shared" si="8"/>
        <v>0</v>
      </c>
      <c r="Y22" s="722">
        <f t="shared" si="19"/>
        <v>1227.0877028527029</v>
      </c>
      <c r="Z22" s="723">
        <f t="shared" si="20"/>
        <v>830.66160617160608</v>
      </c>
      <c r="AA22" s="723">
        <f t="shared" si="21"/>
        <v>632.44855783105788</v>
      </c>
      <c r="AB22" s="724">
        <f t="shared" si="22"/>
        <v>514.60297990897993</v>
      </c>
      <c r="AC22" s="147">
        <f t="shared" si="23"/>
        <v>3.9041274784740544E-2</v>
      </c>
      <c r="AD22" s="770"/>
      <c r="AE22" s="770"/>
      <c r="AF22" s="770"/>
      <c r="AG22" s="770"/>
    </row>
    <row r="23" spans="2:33" ht="14.5" hidden="1" outlineLevel="1" x14ac:dyDescent="0.35">
      <c r="B23" s="156">
        <v>-1</v>
      </c>
      <c r="C23" s="128"/>
      <c r="D23" s="157" t="s">
        <v>315</v>
      </c>
      <c r="E23" s="632">
        <f>'CPSX-Chai'!C16</f>
        <v>22190006</v>
      </c>
      <c r="F23" s="633">
        <f>'CPSX-Chai'!D16</f>
        <v>22190006</v>
      </c>
      <c r="G23" s="633">
        <f>'CPSX-Chai'!E16</f>
        <v>22190006</v>
      </c>
      <c r="H23" s="649">
        <f>'CPSX-Chai'!F16</f>
        <v>22190006</v>
      </c>
      <c r="I23" s="656">
        <f>'CPSX-Vảy'!C16</f>
        <v>0</v>
      </c>
      <c r="J23" s="633">
        <f>'CPSX-Vảy'!D16</f>
        <v>0</v>
      </c>
      <c r="K23" s="633">
        <f>'CPSX-Vảy'!E16</f>
        <v>0</v>
      </c>
      <c r="L23" s="642">
        <f>'CPSX-Vảy'!F16</f>
        <v>0</v>
      </c>
      <c r="M23" s="671">
        <f t="shared" si="26"/>
        <v>22190006</v>
      </c>
      <c r="N23" s="672">
        <f t="shared" si="27"/>
        <v>22190006</v>
      </c>
      <c r="O23" s="672">
        <f t="shared" si="28"/>
        <v>22190006</v>
      </c>
      <c r="P23" s="673">
        <f t="shared" si="29"/>
        <v>22190006</v>
      </c>
      <c r="Q23" s="689">
        <f t="shared" si="14"/>
        <v>60.037895021645021</v>
      </c>
      <c r="R23" s="690">
        <f t="shared" si="15"/>
        <v>40.025263347763349</v>
      </c>
      <c r="S23" s="690">
        <f t="shared" si="16"/>
        <v>30.01894751082251</v>
      </c>
      <c r="T23" s="691">
        <f t="shared" si="17"/>
        <v>24.015158008658009</v>
      </c>
      <c r="U23" s="708">
        <f t="shared" si="18"/>
        <v>0</v>
      </c>
      <c r="V23" s="709">
        <f t="shared" si="6"/>
        <v>0</v>
      </c>
      <c r="W23" s="709">
        <f t="shared" si="7"/>
        <v>0</v>
      </c>
      <c r="X23" s="710">
        <f t="shared" si="8"/>
        <v>0</v>
      </c>
      <c r="Y23" s="725">
        <f t="shared" si="19"/>
        <v>60.037895021645021</v>
      </c>
      <c r="Z23" s="726">
        <f t="shared" si="20"/>
        <v>40.025263347763349</v>
      </c>
      <c r="AA23" s="726">
        <f t="shared" si="21"/>
        <v>30.01894751082251</v>
      </c>
      <c r="AB23" s="727">
        <f t="shared" si="22"/>
        <v>24.015158008658009</v>
      </c>
      <c r="AC23" s="148">
        <f t="shared" si="23"/>
        <v>1.8219528829405811E-3</v>
      </c>
    </row>
    <row r="24" spans="2:33" ht="14.5" hidden="1" outlineLevel="1" x14ac:dyDescent="0.35">
      <c r="B24" s="156">
        <v>-2</v>
      </c>
      <c r="C24" s="128"/>
      <c r="D24" s="157" t="s">
        <v>316</v>
      </c>
      <c r="E24" s="632">
        <f>'CPSX-Chai'!C17</f>
        <v>1974358.9743589743</v>
      </c>
      <c r="F24" s="633">
        <f>'CPSX-Chai'!D17</f>
        <v>2961538.4615384615</v>
      </c>
      <c r="G24" s="633">
        <f>'CPSX-Chai'!E17</f>
        <v>3948717.9487179485</v>
      </c>
      <c r="H24" s="649">
        <f>'CPSX-Chai'!F17</f>
        <v>4935897.435897436</v>
      </c>
      <c r="I24" s="656">
        <f>'CPSX-Vảy'!C17</f>
        <v>0</v>
      </c>
      <c r="J24" s="633">
        <f>'CPSX-Vảy'!D17</f>
        <v>0</v>
      </c>
      <c r="K24" s="633">
        <f>'CPSX-Vảy'!E17</f>
        <v>0</v>
      </c>
      <c r="L24" s="642">
        <f>'CPSX-Vảy'!F17</f>
        <v>0</v>
      </c>
      <c r="M24" s="671">
        <f t="shared" si="26"/>
        <v>1974358.9743589743</v>
      </c>
      <c r="N24" s="672">
        <f t="shared" si="27"/>
        <v>2961538.4615384615</v>
      </c>
      <c r="O24" s="672">
        <f t="shared" si="28"/>
        <v>3948717.9487179485</v>
      </c>
      <c r="P24" s="673">
        <f t="shared" si="29"/>
        <v>4935897.435897436</v>
      </c>
      <c r="Q24" s="689">
        <f t="shared" si="14"/>
        <v>5.3418803418803416</v>
      </c>
      <c r="R24" s="690">
        <f t="shared" si="15"/>
        <v>5.3418803418803416</v>
      </c>
      <c r="S24" s="690">
        <f t="shared" si="16"/>
        <v>5.3418803418803416</v>
      </c>
      <c r="T24" s="691">
        <f t="shared" si="17"/>
        <v>5.3418803418803416</v>
      </c>
      <c r="U24" s="708">
        <f t="shared" si="18"/>
        <v>0</v>
      </c>
      <c r="V24" s="709">
        <f t="shared" si="6"/>
        <v>0</v>
      </c>
      <c r="W24" s="709">
        <f t="shared" si="7"/>
        <v>0</v>
      </c>
      <c r="X24" s="710">
        <f t="shared" si="8"/>
        <v>0</v>
      </c>
      <c r="Y24" s="725">
        <f t="shared" si="19"/>
        <v>5.3418803418803416</v>
      </c>
      <c r="Z24" s="726">
        <f t="shared" si="20"/>
        <v>5.3418803418803416</v>
      </c>
      <c r="AA24" s="726">
        <f t="shared" si="21"/>
        <v>5.3418803418803416</v>
      </c>
      <c r="AB24" s="727">
        <f t="shared" si="22"/>
        <v>5.3418803418803416</v>
      </c>
      <c r="AC24" s="148">
        <f t="shared" si="23"/>
        <v>4.0527129930619909E-4</v>
      </c>
    </row>
    <row r="25" spans="2:33" ht="14.5" hidden="1" outlineLevel="1" x14ac:dyDescent="0.35">
      <c r="B25" s="156">
        <v>-3</v>
      </c>
      <c r="C25" s="128"/>
      <c r="D25" s="157" t="s">
        <v>323</v>
      </c>
      <c r="E25" s="632">
        <f>'CPSX-Chai'!C18</f>
        <v>4142250</v>
      </c>
      <c r="F25" s="633">
        <f>'CPSX-Chai'!D18</f>
        <v>4142250</v>
      </c>
      <c r="G25" s="633">
        <f>'CPSX-Chai'!E18</f>
        <v>4142250</v>
      </c>
      <c r="H25" s="649">
        <f>'CPSX-Chai'!F18</f>
        <v>4142250</v>
      </c>
      <c r="I25" s="656">
        <f>'CPSX-Vảy'!C18</f>
        <v>0</v>
      </c>
      <c r="J25" s="633">
        <f>'CPSX-Vảy'!D18</f>
        <v>0</v>
      </c>
      <c r="K25" s="633">
        <f>'CPSX-Vảy'!E18</f>
        <v>0</v>
      </c>
      <c r="L25" s="642">
        <f>'CPSX-Vảy'!F18</f>
        <v>0</v>
      </c>
      <c r="M25" s="671">
        <f t="shared" si="26"/>
        <v>4142250</v>
      </c>
      <c r="N25" s="672">
        <f t="shared" si="27"/>
        <v>4142250</v>
      </c>
      <c r="O25" s="672">
        <f t="shared" si="28"/>
        <v>4142250</v>
      </c>
      <c r="P25" s="673">
        <f t="shared" si="29"/>
        <v>4142250</v>
      </c>
      <c r="Q25" s="689">
        <f t="shared" si="14"/>
        <v>11.207386363636363</v>
      </c>
      <c r="R25" s="690">
        <f t="shared" si="15"/>
        <v>7.4715909090909092</v>
      </c>
      <c r="S25" s="690">
        <f t="shared" si="16"/>
        <v>5.6036931818181817</v>
      </c>
      <c r="T25" s="691">
        <f t="shared" si="17"/>
        <v>4.4829545454545459</v>
      </c>
      <c r="U25" s="708">
        <f t="shared" si="18"/>
        <v>0</v>
      </c>
      <c r="V25" s="709">
        <f t="shared" si="6"/>
        <v>0</v>
      </c>
      <c r="W25" s="709">
        <f t="shared" si="7"/>
        <v>0</v>
      </c>
      <c r="X25" s="710">
        <f t="shared" si="8"/>
        <v>0</v>
      </c>
      <c r="Y25" s="725">
        <f t="shared" si="19"/>
        <v>11.207386363636363</v>
      </c>
      <c r="Z25" s="726">
        <f t="shared" si="20"/>
        <v>7.4715909090909092</v>
      </c>
      <c r="AA25" s="726">
        <f t="shared" si="21"/>
        <v>5.6036931818181817</v>
      </c>
      <c r="AB25" s="727">
        <f t="shared" si="22"/>
        <v>4.4829545454545459</v>
      </c>
      <c r="AC25" s="148">
        <f t="shared" si="23"/>
        <v>3.4010735866230149E-4</v>
      </c>
    </row>
    <row r="26" spans="2:33" ht="14.5" hidden="1" outlineLevel="1" x14ac:dyDescent="0.35">
      <c r="B26" s="156">
        <v>-4</v>
      </c>
      <c r="C26" s="128"/>
      <c r="D26" s="157" t="s">
        <v>317</v>
      </c>
      <c r="E26" s="632">
        <f>'CPSX-Chai'!C19</f>
        <v>0</v>
      </c>
      <c r="F26" s="633">
        <f>'CPSX-Chai'!D19</f>
        <v>0</v>
      </c>
      <c r="G26" s="633">
        <f>'CPSX-Chai'!E19</f>
        <v>0</v>
      </c>
      <c r="H26" s="649">
        <f>'CPSX-Chai'!F19</f>
        <v>0</v>
      </c>
      <c r="I26" s="656">
        <f>'CPSX-Vảy'!C19</f>
        <v>0</v>
      </c>
      <c r="J26" s="633">
        <f>'CPSX-Vảy'!D19</f>
        <v>0</v>
      </c>
      <c r="K26" s="633">
        <f>'CPSX-Vảy'!E19</f>
        <v>0</v>
      </c>
      <c r="L26" s="642">
        <f>'CPSX-Vảy'!F19</f>
        <v>0</v>
      </c>
      <c r="M26" s="671">
        <f t="shared" si="26"/>
        <v>0</v>
      </c>
      <c r="N26" s="672">
        <f t="shared" si="27"/>
        <v>0</v>
      </c>
      <c r="O26" s="672">
        <f t="shared" si="28"/>
        <v>0</v>
      </c>
      <c r="P26" s="673">
        <f t="shared" si="29"/>
        <v>0</v>
      </c>
      <c r="Q26" s="689">
        <f t="shared" si="14"/>
        <v>0</v>
      </c>
      <c r="R26" s="690">
        <f t="shared" si="15"/>
        <v>0</v>
      </c>
      <c r="S26" s="690">
        <f t="shared" si="16"/>
        <v>0</v>
      </c>
      <c r="T26" s="691">
        <f t="shared" si="17"/>
        <v>0</v>
      </c>
      <c r="U26" s="708">
        <f t="shared" si="18"/>
        <v>0</v>
      </c>
      <c r="V26" s="709">
        <f t="shared" si="6"/>
        <v>0</v>
      </c>
      <c r="W26" s="709">
        <f t="shared" si="7"/>
        <v>0</v>
      </c>
      <c r="X26" s="710">
        <f t="shared" si="8"/>
        <v>0</v>
      </c>
      <c r="Y26" s="725">
        <f t="shared" si="19"/>
        <v>0</v>
      </c>
      <c r="Z26" s="726">
        <f t="shared" si="20"/>
        <v>0</v>
      </c>
      <c r="AA26" s="726">
        <f t="shared" si="21"/>
        <v>0</v>
      </c>
      <c r="AB26" s="727">
        <f t="shared" si="22"/>
        <v>0</v>
      </c>
      <c r="AC26" s="148">
        <f t="shared" si="23"/>
        <v>0</v>
      </c>
    </row>
    <row r="27" spans="2:33" ht="14.5" hidden="1" outlineLevel="1" x14ac:dyDescent="0.35">
      <c r="B27" s="156">
        <v>-5</v>
      </c>
      <c r="C27" s="128"/>
      <c r="D27" s="157" t="s">
        <v>318</v>
      </c>
      <c r="E27" s="632">
        <f>'CPSX-Chai'!C20</f>
        <v>3000000</v>
      </c>
      <c r="F27" s="633">
        <f>'CPSX-Chai'!D20</f>
        <v>5000000</v>
      </c>
      <c r="G27" s="633">
        <f>'CPSX-Chai'!E20</f>
        <v>7000000</v>
      </c>
      <c r="H27" s="649">
        <f>'CPSX-Chai'!F20</f>
        <v>10000000</v>
      </c>
      <c r="I27" s="656">
        <f>'CPSX-Vảy'!C20</f>
        <v>0</v>
      </c>
      <c r="J27" s="633">
        <f>'CPSX-Vảy'!D20</f>
        <v>0</v>
      </c>
      <c r="K27" s="633">
        <f>'CPSX-Vảy'!E20</f>
        <v>0</v>
      </c>
      <c r="L27" s="642">
        <f>'CPSX-Vảy'!F20</f>
        <v>0</v>
      </c>
      <c r="M27" s="671">
        <f t="shared" si="26"/>
        <v>3000000</v>
      </c>
      <c r="N27" s="672">
        <f t="shared" si="27"/>
        <v>5000000</v>
      </c>
      <c r="O27" s="672">
        <f t="shared" si="28"/>
        <v>7000000</v>
      </c>
      <c r="P27" s="673">
        <f t="shared" si="29"/>
        <v>10000000</v>
      </c>
      <c r="Q27" s="689">
        <f t="shared" si="14"/>
        <v>8.1168831168831161</v>
      </c>
      <c r="R27" s="690">
        <f t="shared" si="15"/>
        <v>9.0187590187590185</v>
      </c>
      <c r="S27" s="690">
        <f t="shared" si="16"/>
        <v>9.4696969696969688</v>
      </c>
      <c r="T27" s="691">
        <f t="shared" si="17"/>
        <v>10.822510822510823</v>
      </c>
      <c r="U27" s="708">
        <f t="shared" si="18"/>
        <v>0</v>
      </c>
      <c r="V27" s="709">
        <f t="shared" si="6"/>
        <v>0</v>
      </c>
      <c r="W27" s="709">
        <f t="shared" si="7"/>
        <v>0</v>
      </c>
      <c r="X27" s="710">
        <f t="shared" si="8"/>
        <v>0</v>
      </c>
      <c r="Y27" s="725">
        <f t="shared" si="19"/>
        <v>8.1168831168831161</v>
      </c>
      <c r="Z27" s="726">
        <f t="shared" si="20"/>
        <v>9.0187590187590185</v>
      </c>
      <c r="AA27" s="726">
        <f t="shared" si="21"/>
        <v>9.4696969696969688</v>
      </c>
      <c r="AB27" s="727">
        <f t="shared" si="22"/>
        <v>10.822510822510823</v>
      </c>
      <c r="AC27" s="148">
        <f t="shared" si="23"/>
        <v>8.2106912586710483E-4</v>
      </c>
    </row>
    <row r="28" spans="2:33" ht="14.5" hidden="1" outlineLevel="1" x14ac:dyDescent="0.35">
      <c r="B28" s="156">
        <v>-6</v>
      </c>
      <c r="C28" s="128"/>
      <c r="D28" s="157" t="s">
        <v>319</v>
      </c>
      <c r="E28" s="632">
        <f>'CPSX-Chai'!C21</f>
        <v>5000000</v>
      </c>
      <c r="F28" s="633">
        <f>'CPSX-Chai'!D21</f>
        <v>7000000</v>
      </c>
      <c r="G28" s="633">
        <f>'CPSX-Chai'!E21</f>
        <v>8000000</v>
      </c>
      <c r="H28" s="649">
        <f>'CPSX-Chai'!F21</f>
        <v>10000000</v>
      </c>
      <c r="I28" s="656">
        <f>'CPSX-Vảy'!C21</f>
        <v>0</v>
      </c>
      <c r="J28" s="633">
        <f>'CPSX-Vảy'!D21</f>
        <v>0</v>
      </c>
      <c r="K28" s="633">
        <f>'CPSX-Vảy'!E21</f>
        <v>0</v>
      </c>
      <c r="L28" s="642">
        <f>'CPSX-Vảy'!F21</f>
        <v>0</v>
      </c>
      <c r="M28" s="671">
        <f t="shared" si="26"/>
        <v>5000000</v>
      </c>
      <c r="N28" s="672">
        <f t="shared" si="27"/>
        <v>7000000</v>
      </c>
      <c r="O28" s="672">
        <f t="shared" si="28"/>
        <v>8000000</v>
      </c>
      <c r="P28" s="673">
        <f t="shared" si="29"/>
        <v>10000000</v>
      </c>
      <c r="Q28" s="689">
        <f t="shared" si="14"/>
        <v>13.528138528138529</v>
      </c>
      <c r="R28" s="690">
        <f t="shared" si="15"/>
        <v>12.626262626262626</v>
      </c>
      <c r="S28" s="690">
        <f t="shared" si="16"/>
        <v>10.822510822510823</v>
      </c>
      <c r="T28" s="691">
        <f t="shared" si="17"/>
        <v>10.822510822510823</v>
      </c>
      <c r="U28" s="708">
        <f t="shared" si="18"/>
        <v>0</v>
      </c>
      <c r="V28" s="709">
        <f t="shared" si="6"/>
        <v>0</v>
      </c>
      <c r="W28" s="709">
        <f t="shared" si="7"/>
        <v>0</v>
      </c>
      <c r="X28" s="710">
        <f t="shared" si="8"/>
        <v>0</v>
      </c>
      <c r="Y28" s="725">
        <f t="shared" si="19"/>
        <v>13.528138528138529</v>
      </c>
      <c r="Z28" s="726">
        <f t="shared" si="20"/>
        <v>12.626262626262626</v>
      </c>
      <c r="AA28" s="726">
        <f t="shared" si="21"/>
        <v>10.822510822510823</v>
      </c>
      <c r="AB28" s="727">
        <f t="shared" si="22"/>
        <v>10.822510822510823</v>
      </c>
      <c r="AC28" s="148">
        <f t="shared" si="23"/>
        <v>8.2106912586710483E-4</v>
      </c>
    </row>
    <row r="29" spans="2:33" ht="14.5" hidden="1" outlineLevel="1" x14ac:dyDescent="0.35">
      <c r="B29" s="156">
        <v>-7</v>
      </c>
      <c r="C29" s="128"/>
      <c r="D29" s="157" t="s">
        <v>195</v>
      </c>
      <c r="E29" s="632">
        <f>'CPSX-Chai'!C22</f>
        <v>414225000</v>
      </c>
      <c r="F29" s="633">
        <f>'CPSX-Chai'!D22</f>
        <v>414225000</v>
      </c>
      <c r="G29" s="633">
        <f>'CPSX-Chai'!E22</f>
        <v>414225000</v>
      </c>
      <c r="H29" s="649">
        <f>'CPSX-Chai'!F22</f>
        <v>414225000</v>
      </c>
      <c r="I29" s="656">
        <f>'CPSX-Vảy'!C22</f>
        <v>0</v>
      </c>
      <c r="J29" s="633">
        <f>'CPSX-Vảy'!D22</f>
        <v>0</v>
      </c>
      <c r="K29" s="633">
        <f>'CPSX-Vảy'!E22</f>
        <v>0</v>
      </c>
      <c r="L29" s="642">
        <f>'CPSX-Vảy'!F22</f>
        <v>0</v>
      </c>
      <c r="M29" s="671">
        <f t="shared" si="26"/>
        <v>414225000</v>
      </c>
      <c r="N29" s="672">
        <f t="shared" si="27"/>
        <v>414225000</v>
      </c>
      <c r="O29" s="672">
        <f t="shared" si="28"/>
        <v>414225000</v>
      </c>
      <c r="P29" s="673">
        <f t="shared" si="29"/>
        <v>414225000</v>
      </c>
      <c r="Q29" s="689">
        <f t="shared" si="14"/>
        <v>1120.7386363636363</v>
      </c>
      <c r="R29" s="690">
        <f t="shared" si="15"/>
        <v>747.15909090909088</v>
      </c>
      <c r="S29" s="690">
        <f t="shared" si="16"/>
        <v>560.36931818181813</v>
      </c>
      <c r="T29" s="691">
        <f t="shared" si="17"/>
        <v>448.29545454545456</v>
      </c>
      <c r="U29" s="708">
        <f t="shared" si="18"/>
        <v>0</v>
      </c>
      <c r="V29" s="709">
        <f t="shared" si="6"/>
        <v>0</v>
      </c>
      <c r="W29" s="709">
        <f t="shared" si="7"/>
        <v>0</v>
      </c>
      <c r="X29" s="710">
        <f t="shared" si="8"/>
        <v>0</v>
      </c>
      <c r="Y29" s="725">
        <f t="shared" si="19"/>
        <v>1120.7386363636363</v>
      </c>
      <c r="Z29" s="726">
        <f t="shared" si="20"/>
        <v>747.15909090909088</v>
      </c>
      <c r="AA29" s="726">
        <f t="shared" si="21"/>
        <v>560.36931818181813</v>
      </c>
      <c r="AB29" s="727">
        <f t="shared" si="22"/>
        <v>448.29545454545456</v>
      </c>
      <c r="AC29" s="148">
        <f t="shared" si="23"/>
        <v>3.401073586623015E-2</v>
      </c>
    </row>
    <row r="30" spans="2:33" ht="14.5" hidden="1" outlineLevel="1" x14ac:dyDescent="0.35">
      <c r="B30" s="156">
        <v>-8</v>
      </c>
      <c r="C30" s="128"/>
      <c r="D30" s="157" t="s">
        <v>320</v>
      </c>
      <c r="E30" s="632">
        <f>'CPSX-Chai'!C23</f>
        <v>0</v>
      </c>
      <c r="F30" s="633">
        <f>'CPSX-Chai'!D23</f>
        <v>0</v>
      </c>
      <c r="G30" s="633">
        <f>'CPSX-Chai'!E23</f>
        <v>0</v>
      </c>
      <c r="H30" s="649">
        <f>'CPSX-Chai'!F23</f>
        <v>0</v>
      </c>
      <c r="I30" s="656">
        <f>'CPSX-Vảy'!C23</f>
        <v>0</v>
      </c>
      <c r="J30" s="633">
        <f>'CPSX-Vảy'!D23</f>
        <v>0</v>
      </c>
      <c r="K30" s="633">
        <f>'CPSX-Vảy'!E23</f>
        <v>0</v>
      </c>
      <c r="L30" s="642">
        <f>'CPSX-Vảy'!F23</f>
        <v>0</v>
      </c>
      <c r="M30" s="671">
        <f t="shared" si="26"/>
        <v>0</v>
      </c>
      <c r="N30" s="672">
        <f t="shared" si="27"/>
        <v>0</v>
      </c>
      <c r="O30" s="672">
        <f t="shared" si="28"/>
        <v>0</v>
      </c>
      <c r="P30" s="673">
        <f t="shared" si="29"/>
        <v>0</v>
      </c>
      <c r="Q30" s="689">
        <f t="shared" si="14"/>
        <v>0</v>
      </c>
      <c r="R30" s="690">
        <f t="shared" si="15"/>
        <v>0</v>
      </c>
      <c r="S30" s="690">
        <f t="shared" si="16"/>
        <v>0</v>
      </c>
      <c r="T30" s="691">
        <f t="shared" si="17"/>
        <v>0</v>
      </c>
      <c r="U30" s="708">
        <f t="shared" si="18"/>
        <v>0</v>
      </c>
      <c r="V30" s="709">
        <f t="shared" si="6"/>
        <v>0</v>
      </c>
      <c r="W30" s="709">
        <f t="shared" si="7"/>
        <v>0</v>
      </c>
      <c r="X30" s="710">
        <f t="shared" si="8"/>
        <v>0</v>
      </c>
      <c r="Y30" s="725">
        <f t="shared" si="19"/>
        <v>0</v>
      </c>
      <c r="Z30" s="726">
        <f t="shared" si="20"/>
        <v>0</v>
      </c>
      <c r="AA30" s="726">
        <f t="shared" si="21"/>
        <v>0</v>
      </c>
      <c r="AB30" s="727">
        <f t="shared" si="22"/>
        <v>0</v>
      </c>
      <c r="AC30" s="148">
        <f t="shared" si="23"/>
        <v>0</v>
      </c>
    </row>
    <row r="31" spans="2:33" ht="14.5" hidden="1" outlineLevel="1" x14ac:dyDescent="0.35">
      <c r="B31" s="156">
        <v>-9</v>
      </c>
      <c r="C31" s="128"/>
      <c r="D31" s="157" t="s">
        <v>321</v>
      </c>
      <c r="E31" s="632">
        <f>'CPSX-Chai'!C24</f>
        <v>0</v>
      </c>
      <c r="F31" s="633">
        <f>'CPSX-Chai'!D24</f>
        <v>0</v>
      </c>
      <c r="G31" s="633">
        <f>'CPSX-Chai'!E24</f>
        <v>0</v>
      </c>
      <c r="H31" s="649">
        <f>'CPSX-Chai'!F24</f>
        <v>0</v>
      </c>
      <c r="I31" s="656">
        <f>'CPSX-Vảy'!C24</f>
        <v>0</v>
      </c>
      <c r="J31" s="633">
        <f>'CPSX-Vảy'!D24</f>
        <v>0</v>
      </c>
      <c r="K31" s="633">
        <f>'CPSX-Vảy'!E24</f>
        <v>0</v>
      </c>
      <c r="L31" s="642">
        <f>'CPSX-Vảy'!F24</f>
        <v>0</v>
      </c>
      <c r="M31" s="671">
        <f t="shared" si="26"/>
        <v>0</v>
      </c>
      <c r="N31" s="672">
        <f t="shared" si="27"/>
        <v>0</v>
      </c>
      <c r="O31" s="672">
        <f t="shared" si="28"/>
        <v>0</v>
      </c>
      <c r="P31" s="673">
        <f t="shared" si="29"/>
        <v>0</v>
      </c>
      <c r="Q31" s="689">
        <f t="shared" si="14"/>
        <v>0</v>
      </c>
      <c r="R31" s="690">
        <f t="shared" si="15"/>
        <v>0</v>
      </c>
      <c r="S31" s="690">
        <f t="shared" si="16"/>
        <v>0</v>
      </c>
      <c r="T31" s="691">
        <f t="shared" si="17"/>
        <v>0</v>
      </c>
      <c r="U31" s="708">
        <f t="shared" si="18"/>
        <v>0</v>
      </c>
      <c r="V31" s="709">
        <f t="shared" si="6"/>
        <v>0</v>
      </c>
      <c r="W31" s="709">
        <f t="shared" si="7"/>
        <v>0</v>
      </c>
      <c r="X31" s="710">
        <f t="shared" si="8"/>
        <v>0</v>
      </c>
      <c r="Y31" s="725">
        <f t="shared" si="19"/>
        <v>0</v>
      </c>
      <c r="Z31" s="726">
        <f t="shared" si="20"/>
        <v>0</v>
      </c>
      <c r="AA31" s="726">
        <f t="shared" si="21"/>
        <v>0</v>
      </c>
      <c r="AB31" s="727">
        <f t="shared" si="22"/>
        <v>0</v>
      </c>
      <c r="AC31" s="148">
        <f t="shared" si="23"/>
        <v>0</v>
      </c>
    </row>
    <row r="32" spans="2:33" ht="14.5" hidden="1" outlineLevel="1" x14ac:dyDescent="0.35">
      <c r="B32" s="156">
        <v>-10</v>
      </c>
      <c r="C32" s="128"/>
      <c r="D32" s="157" t="s">
        <v>322</v>
      </c>
      <c r="E32" s="632">
        <f>'CPSX-Chai'!C25</f>
        <v>0</v>
      </c>
      <c r="F32" s="633">
        <f>'CPSX-Chai'!D25</f>
        <v>0</v>
      </c>
      <c r="G32" s="633">
        <f>'CPSX-Chai'!E25</f>
        <v>0</v>
      </c>
      <c r="H32" s="649">
        <f>'CPSX-Chai'!F25</f>
        <v>0</v>
      </c>
      <c r="I32" s="656">
        <f>'CPSX-Vảy'!C25</f>
        <v>0</v>
      </c>
      <c r="J32" s="633">
        <f>'CPSX-Vảy'!D25</f>
        <v>0</v>
      </c>
      <c r="K32" s="633">
        <f>'CPSX-Vảy'!E25</f>
        <v>0</v>
      </c>
      <c r="L32" s="642">
        <f>'CPSX-Vảy'!F25</f>
        <v>0</v>
      </c>
      <c r="M32" s="671">
        <f t="shared" si="26"/>
        <v>0</v>
      </c>
      <c r="N32" s="672">
        <f t="shared" si="27"/>
        <v>0</v>
      </c>
      <c r="O32" s="672">
        <f t="shared" si="28"/>
        <v>0</v>
      </c>
      <c r="P32" s="673">
        <f t="shared" si="29"/>
        <v>0</v>
      </c>
      <c r="Q32" s="689">
        <f t="shared" si="14"/>
        <v>0</v>
      </c>
      <c r="R32" s="690">
        <f t="shared" si="15"/>
        <v>0</v>
      </c>
      <c r="S32" s="690">
        <f t="shared" si="16"/>
        <v>0</v>
      </c>
      <c r="T32" s="691">
        <f t="shared" si="17"/>
        <v>0</v>
      </c>
      <c r="U32" s="708">
        <f t="shared" si="18"/>
        <v>0</v>
      </c>
      <c r="V32" s="709">
        <f t="shared" si="6"/>
        <v>0</v>
      </c>
      <c r="W32" s="709">
        <f t="shared" si="7"/>
        <v>0</v>
      </c>
      <c r="X32" s="710">
        <f t="shared" si="8"/>
        <v>0</v>
      </c>
      <c r="Y32" s="725">
        <f t="shared" si="19"/>
        <v>0</v>
      </c>
      <c r="Z32" s="726">
        <f t="shared" si="20"/>
        <v>0</v>
      </c>
      <c r="AA32" s="726">
        <f t="shared" si="21"/>
        <v>0</v>
      </c>
      <c r="AB32" s="727">
        <f t="shared" si="22"/>
        <v>0</v>
      </c>
      <c r="AC32" s="148">
        <f t="shared" si="23"/>
        <v>0</v>
      </c>
    </row>
    <row r="33" spans="2:33" ht="14.5" hidden="1" outlineLevel="1" x14ac:dyDescent="0.35">
      <c r="B33" s="156">
        <v>-11</v>
      </c>
      <c r="C33" s="128"/>
      <c r="D33" s="157" t="s">
        <v>429</v>
      </c>
      <c r="E33" s="632">
        <f>'CPSX-Chai'!C26</f>
        <v>3000000</v>
      </c>
      <c r="F33" s="633">
        <f>'CPSX-Chai'!D26</f>
        <v>5000000</v>
      </c>
      <c r="G33" s="633">
        <f>'CPSX-Chai'!E26</f>
        <v>8000000</v>
      </c>
      <c r="H33" s="649">
        <f>'CPSX-Chai'!F26</f>
        <v>10000000</v>
      </c>
      <c r="I33" s="656">
        <f>'CPSX-Vảy'!C26</f>
        <v>0</v>
      </c>
      <c r="J33" s="633">
        <f>'CPSX-Vảy'!D26</f>
        <v>0</v>
      </c>
      <c r="K33" s="633">
        <f>'CPSX-Vảy'!E26</f>
        <v>0</v>
      </c>
      <c r="L33" s="642">
        <f>'CPSX-Vảy'!F26</f>
        <v>0</v>
      </c>
      <c r="M33" s="671">
        <f t="shared" si="26"/>
        <v>3000000</v>
      </c>
      <c r="N33" s="672">
        <f t="shared" si="27"/>
        <v>5000000</v>
      </c>
      <c r="O33" s="672">
        <f t="shared" si="28"/>
        <v>8000000</v>
      </c>
      <c r="P33" s="673">
        <f t="shared" si="29"/>
        <v>10000000</v>
      </c>
      <c r="Q33" s="689">
        <f t="shared" si="14"/>
        <v>8.1168831168831161</v>
      </c>
      <c r="R33" s="690">
        <f t="shared" si="15"/>
        <v>9.0187590187590185</v>
      </c>
      <c r="S33" s="690">
        <f t="shared" si="16"/>
        <v>10.822510822510823</v>
      </c>
      <c r="T33" s="691">
        <f t="shared" si="17"/>
        <v>10.822510822510823</v>
      </c>
      <c r="U33" s="708">
        <f t="shared" si="18"/>
        <v>0</v>
      </c>
      <c r="V33" s="709">
        <f t="shared" si="6"/>
        <v>0</v>
      </c>
      <c r="W33" s="709">
        <f t="shared" si="7"/>
        <v>0</v>
      </c>
      <c r="X33" s="710">
        <f t="shared" si="8"/>
        <v>0</v>
      </c>
      <c r="Y33" s="725">
        <f t="shared" si="19"/>
        <v>8.1168831168831161</v>
      </c>
      <c r="Z33" s="726">
        <f t="shared" si="20"/>
        <v>9.0187590187590185</v>
      </c>
      <c r="AA33" s="726">
        <f t="shared" si="21"/>
        <v>10.822510822510823</v>
      </c>
      <c r="AB33" s="727">
        <f t="shared" si="22"/>
        <v>10.822510822510823</v>
      </c>
      <c r="AC33" s="148">
        <f t="shared" si="23"/>
        <v>8.2106912586710483E-4</v>
      </c>
    </row>
    <row r="34" spans="2:33" s="137" customFormat="1" collapsed="1" x14ac:dyDescent="0.35">
      <c r="B34" s="154">
        <v>2.2000000000000002</v>
      </c>
      <c r="C34" s="136" t="s">
        <v>330</v>
      </c>
      <c r="D34" s="160"/>
      <c r="E34" s="630">
        <f>SUM(E35:E51)</f>
        <v>118301134.33333334</v>
      </c>
      <c r="F34" s="631">
        <f t="shared" ref="F34:L34" si="32">SUM(F35:F51)</f>
        <v>118301134.33333334</v>
      </c>
      <c r="G34" s="631">
        <f t="shared" si="32"/>
        <v>118301134.33333334</v>
      </c>
      <c r="H34" s="648">
        <f t="shared" si="32"/>
        <v>118301134.33333334</v>
      </c>
      <c r="I34" s="655">
        <f t="shared" si="32"/>
        <v>0</v>
      </c>
      <c r="J34" s="631">
        <f t="shared" si="32"/>
        <v>0</v>
      </c>
      <c r="K34" s="631">
        <f t="shared" si="32"/>
        <v>0</v>
      </c>
      <c r="L34" s="641">
        <f t="shared" si="32"/>
        <v>0</v>
      </c>
      <c r="M34" s="668">
        <f t="shared" si="26"/>
        <v>118301134.33333334</v>
      </c>
      <c r="N34" s="669">
        <f t="shared" si="27"/>
        <v>118301134.33333334</v>
      </c>
      <c r="O34" s="669">
        <f t="shared" si="28"/>
        <v>118301134.33333334</v>
      </c>
      <c r="P34" s="670">
        <f t="shared" si="29"/>
        <v>118301134.33333334</v>
      </c>
      <c r="Q34" s="686">
        <f t="shared" si="14"/>
        <v>320.07882665945169</v>
      </c>
      <c r="R34" s="687">
        <f t="shared" si="15"/>
        <v>213.38588443963445</v>
      </c>
      <c r="S34" s="687">
        <f t="shared" si="16"/>
        <v>160.03941332972585</v>
      </c>
      <c r="T34" s="688">
        <f t="shared" si="17"/>
        <v>128.03153066378067</v>
      </c>
      <c r="U34" s="705">
        <f t="shared" si="18"/>
        <v>0</v>
      </c>
      <c r="V34" s="706">
        <f t="shared" si="6"/>
        <v>0</v>
      </c>
      <c r="W34" s="706">
        <f t="shared" si="7"/>
        <v>0</v>
      </c>
      <c r="X34" s="707">
        <f t="shared" si="8"/>
        <v>0</v>
      </c>
      <c r="Y34" s="722">
        <f t="shared" si="19"/>
        <v>320.07882665945169</v>
      </c>
      <c r="Z34" s="723">
        <f t="shared" si="20"/>
        <v>213.38588443963445</v>
      </c>
      <c r="AA34" s="723">
        <f t="shared" si="21"/>
        <v>160.03941332972585</v>
      </c>
      <c r="AB34" s="724">
        <f t="shared" si="22"/>
        <v>128.03153066378067</v>
      </c>
      <c r="AC34" s="147">
        <f t="shared" si="23"/>
        <v>9.7133408956156936E-3</v>
      </c>
      <c r="AD34" s="770"/>
      <c r="AE34" s="770"/>
      <c r="AF34" s="770"/>
      <c r="AG34" s="770"/>
    </row>
    <row r="35" spans="2:33" ht="14.5" hidden="1" outlineLevel="1" x14ac:dyDescent="0.35">
      <c r="B35" s="156">
        <v>-1</v>
      </c>
      <c r="C35" s="128"/>
      <c r="D35" s="157" t="s">
        <v>88</v>
      </c>
      <c r="E35" s="632">
        <f>CPQL!C3</f>
        <v>2000000</v>
      </c>
      <c r="F35" s="633">
        <f>CPQL!D3</f>
        <v>2000000</v>
      </c>
      <c r="G35" s="633">
        <f>CPQL!E3</f>
        <v>2000000</v>
      </c>
      <c r="H35" s="649">
        <f>CPQL!F3</f>
        <v>2000000</v>
      </c>
      <c r="I35" s="656"/>
      <c r="J35" s="633"/>
      <c r="K35" s="633"/>
      <c r="L35" s="642"/>
      <c r="M35" s="671">
        <f t="shared" si="26"/>
        <v>2000000</v>
      </c>
      <c r="N35" s="672">
        <f t="shared" si="27"/>
        <v>2000000</v>
      </c>
      <c r="O35" s="672">
        <f t="shared" si="28"/>
        <v>2000000</v>
      </c>
      <c r="P35" s="673">
        <f t="shared" si="29"/>
        <v>2000000</v>
      </c>
      <c r="Q35" s="689">
        <f t="shared" si="14"/>
        <v>5.4112554112554117</v>
      </c>
      <c r="R35" s="690">
        <f t="shared" si="15"/>
        <v>3.6075036075036073</v>
      </c>
      <c r="S35" s="690">
        <f t="shared" si="16"/>
        <v>2.7056277056277058</v>
      </c>
      <c r="T35" s="691">
        <f t="shared" si="17"/>
        <v>2.1645021645021645</v>
      </c>
      <c r="U35" s="708">
        <f t="shared" si="18"/>
        <v>0</v>
      </c>
      <c r="V35" s="709">
        <f t="shared" si="6"/>
        <v>0</v>
      </c>
      <c r="W35" s="709">
        <f t="shared" si="7"/>
        <v>0</v>
      </c>
      <c r="X35" s="710">
        <f t="shared" si="8"/>
        <v>0</v>
      </c>
      <c r="Y35" s="725">
        <f t="shared" si="19"/>
        <v>5.4112554112554117</v>
      </c>
      <c r="Z35" s="726">
        <f t="shared" si="20"/>
        <v>3.6075036075036073</v>
      </c>
      <c r="AA35" s="726">
        <f t="shared" si="21"/>
        <v>2.7056277056277058</v>
      </c>
      <c r="AB35" s="727">
        <f t="shared" si="22"/>
        <v>2.1645021645021645</v>
      </c>
      <c r="AC35" s="148">
        <f t="shared" si="23"/>
        <v>1.6421382517342096E-4</v>
      </c>
    </row>
    <row r="36" spans="2:33" ht="14.5" hidden="1" outlineLevel="1" x14ac:dyDescent="0.35">
      <c r="B36" s="156">
        <v>-2</v>
      </c>
      <c r="C36" s="128"/>
      <c r="D36" s="157" t="s">
        <v>89</v>
      </c>
      <c r="E36" s="632">
        <f>CPQL!C4</f>
        <v>3000000</v>
      </c>
      <c r="F36" s="633">
        <f>CPQL!D4</f>
        <v>3000000</v>
      </c>
      <c r="G36" s="633">
        <f>CPQL!E4</f>
        <v>3000000</v>
      </c>
      <c r="H36" s="649">
        <f>CPQL!F4</f>
        <v>3000000</v>
      </c>
      <c r="I36" s="656"/>
      <c r="J36" s="633"/>
      <c r="K36" s="633"/>
      <c r="L36" s="642"/>
      <c r="M36" s="671">
        <f t="shared" si="26"/>
        <v>3000000</v>
      </c>
      <c r="N36" s="672">
        <f t="shared" si="27"/>
        <v>3000000</v>
      </c>
      <c r="O36" s="672">
        <f t="shared" si="28"/>
        <v>3000000</v>
      </c>
      <c r="P36" s="673">
        <f t="shared" si="29"/>
        <v>3000000</v>
      </c>
      <c r="Q36" s="689">
        <f t="shared" si="14"/>
        <v>8.1168831168831161</v>
      </c>
      <c r="R36" s="690">
        <f t="shared" si="15"/>
        <v>5.4112554112554117</v>
      </c>
      <c r="S36" s="690">
        <f t="shared" si="16"/>
        <v>4.0584415584415581</v>
      </c>
      <c r="T36" s="691">
        <f t="shared" si="17"/>
        <v>3.2467532467532467</v>
      </c>
      <c r="U36" s="708">
        <f t="shared" si="18"/>
        <v>0</v>
      </c>
      <c r="V36" s="709">
        <f t="shared" si="6"/>
        <v>0</v>
      </c>
      <c r="W36" s="709">
        <f t="shared" si="7"/>
        <v>0</v>
      </c>
      <c r="X36" s="710">
        <f t="shared" si="8"/>
        <v>0</v>
      </c>
      <c r="Y36" s="725">
        <f t="shared" si="19"/>
        <v>8.1168831168831161</v>
      </c>
      <c r="Z36" s="726">
        <f t="shared" si="20"/>
        <v>5.4112554112554117</v>
      </c>
      <c r="AA36" s="726">
        <f t="shared" si="21"/>
        <v>4.0584415584415581</v>
      </c>
      <c r="AB36" s="727">
        <f t="shared" si="22"/>
        <v>3.2467532467532467</v>
      </c>
      <c r="AC36" s="148">
        <f t="shared" si="23"/>
        <v>2.4632073776013143E-4</v>
      </c>
    </row>
    <row r="37" spans="2:33" ht="14.5" hidden="1" outlineLevel="1" x14ac:dyDescent="0.35">
      <c r="B37" s="156">
        <v>-3</v>
      </c>
      <c r="C37" s="128"/>
      <c r="D37" s="157" t="s">
        <v>96</v>
      </c>
      <c r="E37" s="632">
        <f>CPQL!C5</f>
        <v>36000000</v>
      </c>
      <c r="F37" s="633">
        <f>CPQL!D5</f>
        <v>36000000</v>
      </c>
      <c r="G37" s="633">
        <f>CPQL!E5</f>
        <v>36000000</v>
      </c>
      <c r="H37" s="649">
        <f>CPQL!F5</f>
        <v>36000000</v>
      </c>
      <c r="I37" s="656"/>
      <c r="J37" s="633"/>
      <c r="K37" s="633"/>
      <c r="L37" s="642"/>
      <c r="M37" s="671">
        <f t="shared" si="26"/>
        <v>36000000</v>
      </c>
      <c r="N37" s="672">
        <f t="shared" si="27"/>
        <v>36000000</v>
      </c>
      <c r="O37" s="672">
        <f t="shared" si="28"/>
        <v>36000000</v>
      </c>
      <c r="P37" s="673">
        <f t="shared" si="29"/>
        <v>36000000</v>
      </c>
      <c r="Q37" s="689">
        <f t="shared" si="14"/>
        <v>97.402597402597408</v>
      </c>
      <c r="R37" s="690">
        <f t="shared" si="15"/>
        <v>64.935064935064929</v>
      </c>
      <c r="S37" s="690">
        <f t="shared" si="16"/>
        <v>48.701298701298704</v>
      </c>
      <c r="T37" s="691">
        <f t="shared" si="17"/>
        <v>38.961038961038959</v>
      </c>
      <c r="U37" s="708">
        <f t="shared" si="18"/>
        <v>0</v>
      </c>
      <c r="V37" s="709">
        <f t="shared" si="6"/>
        <v>0</v>
      </c>
      <c r="W37" s="709">
        <f t="shared" si="7"/>
        <v>0</v>
      </c>
      <c r="X37" s="710">
        <f t="shared" si="8"/>
        <v>0</v>
      </c>
      <c r="Y37" s="725">
        <f t="shared" si="19"/>
        <v>97.402597402597408</v>
      </c>
      <c r="Z37" s="726">
        <f t="shared" si="20"/>
        <v>64.935064935064929</v>
      </c>
      <c r="AA37" s="726">
        <f t="shared" si="21"/>
        <v>48.701298701298704</v>
      </c>
      <c r="AB37" s="727">
        <f t="shared" si="22"/>
        <v>38.961038961038959</v>
      </c>
      <c r="AC37" s="148">
        <f t="shared" si="23"/>
        <v>2.9558488531215769E-3</v>
      </c>
    </row>
    <row r="38" spans="2:33" ht="14.5" hidden="1" outlineLevel="1" x14ac:dyDescent="0.35">
      <c r="B38" s="156">
        <v>-4</v>
      </c>
      <c r="C38" s="128"/>
      <c r="D38" s="157" t="s">
        <v>106</v>
      </c>
      <c r="E38" s="632">
        <f>CPQL!C6</f>
        <v>3698334.3333333335</v>
      </c>
      <c r="F38" s="633">
        <f>CPQL!D6</f>
        <v>3698334.3333333335</v>
      </c>
      <c r="G38" s="633">
        <f>CPQL!E6</f>
        <v>3698334.3333333335</v>
      </c>
      <c r="H38" s="649">
        <f>CPQL!F6</f>
        <v>3698334.3333333335</v>
      </c>
      <c r="I38" s="656"/>
      <c r="J38" s="633"/>
      <c r="K38" s="633"/>
      <c r="L38" s="642"/>
      <c r="M38" s="671">
        <f t="shared" si="26"/>
        <v>3698334.3333333335</v>
      </c>
      <c r="N38" s="672">
        <f t="shared" si="27"/>
        <v>3698334.3333333335</v>
      </c>
      <c r="O38" s="672">
        <f t="shared" si="28"/>
        <v>3698334.3333333335</v>
      </c>
      <c r="P38" s="673">
        <f t="shared" si="29"/>
        <v>3698334.3333333335</v>
      </c>
      <c r="Q38" s="689">
        <f t="shared" si="14"/>
        <v>10.006315836940837</v>
      </c>
      <c r="R38" s="690">
        <f t="shared" si="15"/>
        <v>6.6708772246272252</v>
      </c>
      <c r="S38" s="690">
        <f t="shared" si="16"/>
        <v>5.0031579184704187</v>
      </c>
      <c r="T38" s="691">
        <f t="shared" si="17"/>
        <v>4.0025263347763351</v>
      </c>
      <c r="U38" s="708">
        <f t="shared" si="18"/>
        <v>0</v>
      </c>
      <c r="V38" s="709">
        <f t="shared" si="6"/>
        <v>0</v>
      </c>
      <c r="W38" s="709">
        <f t="shared" si="7"/>
        <v>0</v>
      </c>
      <c r="X38" s="710">
        <f t="shared" si="8"/>
        <v>0</v>
      </c>
      <c r="Y38" s="725">
        <f t="shared" si="19"/>
        <v>10.006315836940837</v>
      </c>
      <c r="Z38" s="726">
        <f t="shared" si="20"/>
        <v>6.6708772246272252</v>
      </c>
      <c r="AA38" s="726">
        <f t="shared" si="21"/>
        <v>5.0031579184704187</v>
      </c>
      <c r="AB38" s="727">
        <f t="shared" si="22"/>
        <v>4.0025263347763351</v>
      </c>
      <c r="AC38" s="148">
        <f t="shared" si="23"/>
        <v>3.0365881382343019E-4</v>
      </c>
    </row>
    <row r="39" spans="2:33" ht="14.5" hidden="1" outlineLevel="1" x14ac:dyDescent="0.35">
      <c r="B39" s="156">
        <v>-5</v>
      </c>
      <c r="C39" s="128"/>
      <c r="D39" s="157" t="s">
        <v>423</v>
      </c>
      <c r="E39" s="632">
        <f>CPQL!C7</f>
        <v>0</v>
      </c>
      <c r="F39" s="633">
        <f>CPQL!D7</f>
        <v>0</v>
      </c>
      <c r="G39" s="633">
        <f>CPQL!E7</f>
        <v>0</v>
      </c>
      <c r="H39" s="649">
        <f>CPQL!F7</f>
        <v>0</v>
      </c>
      <c r="I39" s="656"/>
      <c r="J39" s="633"/>
      <c r="K39" s="633"/>
      <c r="L39" s="642"/>
      <c r="M39" s="671">
        <f t="shared" si="26"/>
        <v>0</v>
      </c>
      <c r="N39" s="672">
        <f t="shared" si="27"/>
        <v>0</v>
      </c>
      <c r="O39" s="672">
        <f t="shared" si="28"/>
        <v>0</v>
      </c>
      <c r="P39" s="673">
        <f t="shared" si="29"/>
        <v>0</v>
      </c>
      <c r="Q39" s="689">
        <f t="shared" si="14"/>
        <v>0</v>
      </c>
      <c r="R39" s="690">
        <f t="shared" si="15"/>
        <v>0</v>
      </c>
      <c r="S39" s="690">
        <f t="shared" si="16"/>
        <v>0</v>
      </c>
      <c r="T39" s="691">
        <f t="shared" si="17"/>
        <v>0</v>
      </c>
      <c r="U39" s="708">
        <f t="shared" si="18"/>
        <v>0</v>
      </c>
      <c r="V39" s="709">
        <f t="shared" si="6"/>
        <v>0</v>
      </c>
      <c r="W39" s="709">
        <f t="shared" si="7"/>
        <v>0</v>
      </c>
      <c r="X39" s="710">
        <f t="shared" si="8"/>
        <v>0</v>
      </c>
      <c r="Y39" s="725">
        <f t="shared" si="19"/>
        <v>0</v>
      </c>
      <c r="Z39" s="726">
        <f t="shared" si="20"/>
        <v>0</v>
      </c>
      <c r="AA39" s="726">
        <f t="shared" si="21"/>
        <v>0</v>
      </c>
      <c r="AB39" s="727">
        <f t="shared" si="22"/>
        <v>0</v>
      </c>
      <c r="AC39" s="148">
        <f t="shared" si="23"/>
        <v>0</v>
      </c>
    </row>
    <row r="40" spans="2:33" ht="14.5" hidden="1" outlineLevel="1" x14ac:dyDescent="0.35">
      <c r="B40" s="156">
        <v>-6</v>
      </c>
      <c r="C40" s="128"/>
      <c r="D40" s="157" t="s">
        <v>94</v>
      </c>
      <c r="E40" s="632">
        <f>CPQL!C8</f>
        <v>48102800</v>
      </c>
      <c r="F40" s="633">
        <f>CPQL!D8</f>
        <v>48102800</v>
      </c>
      <c r="G40" s="633">
        <f>CPQL!E8</f>
        <v>48102800</v>
      </c>
      <c r="H40" s="649">
        <f>CPQL!F8</f>
        <v>48102800</v>
      </c>
      <c r="I40" s="656"/>
      <c r="J40" s="633"/>
      <c r="K40" s="633"/>
      <c r="L40" s="642"/>
      <c r="M40" s="671">
        <f t="shared" si="26"/>
        <v>48102800</v>
      </c>
      <c r="N40" s="672">
        <f t="shared" si="27"/>
        <v>48102800</v>
      </c>
      <c r="O40" s="672">
        <f t="shared" si="28"/>
        <v>48102800</v>
      </c>
      <c r="P40" s="673">
        <f t="shared" si="29"/>
        <v>48102800</v>
      </c>
      <c r="Q40" s="689">
        <f t="shared" si="14"/>
        <v>130.14826839826839</v>
      </c>
      <c r="R40" s="690">
        <f t="shared" si="15"/>
        <v>86.765512265512271</v>
      </c>
      <c r="S40" s="690">
        <f t="shared" si="16"/>
        <v>65.074134199134193</v>
      </c>
      <c r="T40" s="691">
        <f t="shared" si="17"/>
        <v>52.059307359307361</v>
      </c>
      <c r="U40" s="708">
        <f t="shared" si="18"/>
        <v>0</v>
      </c>
      <c r="V40" s="709">
        <f t="shared" si="6"/>
        <v>0</v>
      </c>
      <c r="W40" s="709">
        <f t="shared" si="7"/>
        <v>0</v>
      </c>
      <c r="X40" s="710">
        <f t="shared" si="8"/>
        <v>0</v>
      </c>
      <c r="Y40" s="725">
        <f t="shared" si="19"/>
        <v>130.14826839826839</v>
      </c>
      <c r="Z40" s="726">
        <f t="shared" si="20"/>
        <v>86.765512265512271</v>
      </c>
      <c r="AA40" s="726">
        <f t="shared" si="21"/>
        <v>65.074134199134193</v>
      </c>
      <c r="AB40" s="727">
        <f t="shared" si="22"/>
        <v>52.059307359307361</v>
      </c>
      <c r="AC40" s="148">
        <f t="shared" si="23"/>
        <v>3.9495723947760167E-3</v>
      </c>
    </row>
    <row r="41" spans="2:33" ht="14.5" hidden="1" outlineLevel="1" x14ac:dyDescent="0.35">
      <c r="B41" s="156">
        <v>-7</v>
      </c>
      <c r="C41" s="128"/>
      <c r="D41" s="157" t="s">
        <v>107</v>
      </c>
      <c r="E41" s="632">
        <f>CPQL!C9</f>
        <v>2000000</v>
      </c>
      <c r="F41" s="633">
        <f>CPQL!D9</f>
        <v>2000000</v>
      </c>
      <c r="G41" s="633">
        <f>CPQL!E9</f>
        <v>2000000</v>
      </c>
      <c r="H41" s="649">
        <f>CPQL!F9</f>
        <v>2000000</v>
      </c>
      <c r="I41" s="656"/>
      <c r="J41" s="633"/>
      <c r="K41" s="633"/>
      <c r="L41" s="642"/>
      <c r="M41" s="671">
        <f t="shared" si="26"/>
        <v>2000000</v>
      </c>
      <c r="N41" s="672">
        <f t="shared" si="27"/>
        <v>2000000</v>
      </c>
      <c r="O41" s="672">
        <f t="shared" si="28"/>
        <v>2000000</v>
      </c>
      <c r="P41" s="673">
        <f t="shared" si="29"/>
        <v>2000000</v>
      </c>
      <c r="Q41" s="689">
        <f t="shared" si="14"/>
        <v>5.4112554112554117</v>
      </c>
      <c r="R41" s="690">
        <f t="shared" si="15"/>
        <v>3.6075036075036073</v>
      </c>
      <c r="S41" s="690">
        <f t="shared" si="16"/>
        <v>2.7056277056277058</v>
      </c>
      <c r="T41" s="691">
        <f t="shared" si="17"/>
        <v>2.1645021645021645</v>
      </c>
      <c r="U41" s="708">
        <f t="shared" si="18"/>
        <v>0</v>
      </c>
      <c r="V41" s="709">
        <f t="shared" si="6"/>
        <v>0</v>
      </c>
      <c r="W41" s="709">
        <f t="shared" si="7"/>
        <v>0</v>
      </c>
      <c r="X41" s="710">
        <f t="shared" si="8"/>
        <v>0</v>
      </c>
      <c r="Y41" s="725">
        <f t="shared" si="19"/>
        <v>5.4112554112554117</v>
      </c>
      <c r="Z41" s="726">
        <f t="shared" si="20"/>
        <v>3.6075036075036073</v>
      </c>
      <c r="AA41" s="726">
        <f t="shared" si="21"/>
        <v>2.7056277056277058</v>
      </c>
      <c r="AB41" s="727">
        <f t="shared" si="22"/>
        <v>2.1645021645021645</v>
      </c>
      <c r="AC41" s="148">
        <f t="shared" si="23"/>
        <v>1.6421382517342096E-4</v>
      </c>
    </row>
    <row r="42" spans="2:33" ht="14.5" hidden="1" outlineLevel="1" x14ac:dyDescent="0.35">
      <c r="B42" s="156">
        <v>-8</v>
      </c>
      <c r="C42" s="128"/>
      <c r="D42" s="157" t="s">
        <v>95</v>
      </c>
      <c r="E42" s="632">
        <f>CPQL!C10</f>
        <v>1500000</v>
      </c>
      <c r="F42" s="633">
        <f>CPQL!D10</f>
        <v>1500000</v>
      </c>
      <c r="G42" s="633">
        <f>CPQL!E10</f>
        <v>1500000</v>
      </c>
      <c r="H42" s="649">
        <f>CPQL!F10</f>
        <v>1500000</v>
      </c>
      <c r="I42" s="656"/>
      <c r="J42" s="633"/>
      <c r="K42" s="633"/>
      <c r="L42" s="642"/>
      <c r="M42" s="671">
        <f t="shared" si="26"/>
        <v>1500000</v>
      </c>
      <c r="N42" s="672">
        <f t="shared" si="27"/>
        <v>1500000</v>
      </c>
      <c r="O42" s="672">
        <f t="shared" si="28"/>
        <v>1500000</v>
      </c>
      <c r="P42" s="673">
        <f t="shared" si="29"/>
        <v>1500000</v>
      </c>
      <c r="Q42" s="689">
        <f t="shared" si="14"/>
        <v>4.0584415584415581</v>
      </c>
      <c r="R42" s="690">
        <f t="shared" si="15"/>
        <v>2.7056277056277058</v>
      </c>
      <c r="S42" s="690">
        <f t="shared" si="16"/>
        <v>2.029220779220779</v>
      </c>
      <c r="T42" s="691">
        <f t="shared" si="17"/>
        <v>1.6233766233766234</v>
      </c>
      <c r="U42" s="708">
        <f t="shared" si="18"/>
        <v>0</v>
      </c>
      <c r="V42" s="709">
        <f t="shared" si="6"/>
        <v>0</v>
      </c>
      <c r="W42" s="709">
        <f t="shared" si="7"/>
        <v>0</v>
      </c>
      <c r="X42" s="710">
        <f t="shared" si="8"/>
        <v>0</v>
      </c>
      <c r="Y42" s="725">
        <f t="shared" si="19"/>
        <v>4.0584415584415581</v>
      </c>
      <c r="Z42" s="726">
        <f t="shared" si="20"/>
        <v>2.7056277056277058</v>
      </c>
      <c r="AA42" s="726">
        <f t="shared" si="21"/>
        <v>2.029220779220779</v>
      </c>
      <c r="AB42" s="727">
        <f t="shared" si="22"/>
        <v>1.6233766233766234</v>
      </c>
      <c r="AC42" s="148">
        <f t="shared" si="23"/>
        <v>1.2316036888006571E-4</v>
      </c>
    </row>
    <row r="43" spans="2:33" ht="14.5" hidden="1" outlineLevel="1" x14ac:dyDescent="0.35">
      <c r="B43" s="156">
        <v>-9</v>
      </c>
      <c r="C43" s="128"/>
      <c r="D43" s="157" t="s">
        <v>108</v>
      </c>
      <c r="E43" s="632">
        <f>CPQL!C11</f>
        <v>3833333.3333333335</v>
      </c>
      <c r="F43" s="633">
        <f>CPQL!D11</f>
        <v>3833333.3333333335</v>
      </c>
      <c r="G43" s="633">
        <f>CPQL!E11</f>
        <v>3833333.3333333335</v>
      </c>
      <c r="H43" s="649">
        <f>CPQL!F11</f>
        <v>3833333.3333333335</v>
      </c>
      <c r="I43" s="656"/>
      <c r="J43" s="633"/>
      <c r="K43" s="633"/>
      <c r="L43" s="642"/>
      <c r="M43" s="671">
        <f t="shared" si="26"/>
        <v>3833333.3333333335</v>
      </c>
      <c r="N43" s="672">
        <f t="shared" si="27"/>
        <v>3833333.3333333335</v>
      </c>
      <c r="O43" s="672">
        <f t="shared" si="28"/>
        <v>3833333.3333333335</v>
      </c>
      <c r="P43" s="673">
        <f t="shared" si="29"/>
        <v>3833333.3333333335</v>
      </c>
      <c r="Q43" s="689">
        <f t="shared" si="14"/>
        <v>10.371572871572871</v>
      </c>
      <c r="R43" s="690">
        <f t="shared" si="15"/>
        <v>6.9143819143819147</v>
      </c>
      <c r="S43" s="690">
        <f t="shared" si="16"/>
        <v>5.1857864357864356</v>
      </c>
      <c r="T43" s="691">
        <f t="shared" si="17"/>
        <v>4.1486291486291487</v>
      </c>
      <c r="U43" s="708">
        <f t="shared" si="18"/>
        <v>0</v>
      </c>
      <c r="V43" s="709">
        <f t="shared" si="6"/>
        <v>0</v>
      </c>
      <c r="W43" s="709">
        <f t="shared" si="7"/>
        <v>0</v>
      </c>
      <c r="X43" s="710">
        <f t="shared" si="8"/>
        <v>0</v>
      </c>
      <c r="Y43" s="725">
        <f t="shared" si="19"/>
        <v>10.371572871572871</v>
      </c>
      <c r="Z43" s="726">
        <f t="shared" si="20"/>
        <v>6.9143819143819147</v>
      </c>
      <c r="AA43" s="726">
        <f t="shared" si="21"/>
        <v>5.1857864357864356</v>
      </c>
      <c r="AB43" s="727">
        <f t="shared" si="22"/>
        <v>4.1486291486291487</v>
      </c>
      <c r="AC43" s="148">
        <f t="shared" si="23"/>
        <v>3.1474316491572347E-4</v>
      </c>
    </row>
    <row r="44" spans="2:33" ht="14.5" hidden="1" outlineLevel="1" x14ac:dyDescent="0.35">
      <c r="B44" s="156">
        <v>-10</v>
      </c>
      <c r="C44" s="128"/>
      <c r="D44" s="157" t="s">
        <v>97</v>
      </c>
      <c r="E44" s="632">
        <f>CPQL!C12</f>
        <v>4500000</v>
      </c>
      <c r="F44" s="633">
        <f>CPQL!D12</f>
        <v>4500000</v>
      </c>
      <c r="G44" s="633">
        <f>CPQL!E12</f>
        <v>4500000</v>
      </c>
      <c r="H44" s="649">
        <f>CPQL!F12</f>
        <v>4500000</v>
      </c>
      <c r="I44" s="656"/>
      <c r="J44" s="633"/>
      <c r="K44" s="633"/>
      <c r="L44" s="642"/>
      <c r="M44" s="671">
        <f t="shared" si="26"/>
        <v>4500000</v>
      </c>
      <c r="N44" s="672">
        <f t="shared" si="27"/>
        <v>4500000</v>
      </c>
      <c r="O44" s="672">
        <f t="shared" si="28"/>
        <v>4500000</v>
      </c>
      <c r="P44" s="673">
        <f t="shared" si="29"/>
        <v>4500000</v>
      </c>
      <c r="Q44" s="689">
        <f t="shared" si="14"/>
        <v>12.175324675324676</v>
      </c>
      <c r="R44" s="690">
        <f t="shared" si="15"/>
        <v>8.1168831168831161</v>
      </c>
      <c r="S44" s="690">
        <f t="shared" si="16"/>
        <v>6.087662337662338</v>
      </c>
      <c r="T44" s="691">
        <f t="shared" si="17"/>
        <v>4.8701298701298699</v>
      </c>
      <c r="U44" s="708">
        <f t="shared" si="18"/>
        <v>0</v>
      </c>
      <c r="V44" s="709">
        <f t="shared" si="6"/>
        <v>0</v>
      </c>
      <c r="W44" s="709">
        <f t="shared" si="7"/>
        <v>0</v>
      </c>
      <c r="X44" s="710">
        <f t="shared" si="8"/>
        <v>0</v>
      </c>
      <c r="Y44" s="725">
        <f t="shared" si="19"/>
        <v>12.175324675324676</v>
      </c>
      <c r="Z44" s="726">
        <f t="shared" si="20"/>
        <v>8.1168831168831161</v>
      </c>
      <c r="AA44" s="726">
        <f t="shared" si="21"/>
        <v>6.087662337662338</v>
      </c>
      <c r="AB44" s="727">
        <f t="shared" si="22"/>
        <v>4.8701298701298699</v>
      </c>
      <c r="AC44" s="148">
        <f t="shared" si="23"/>
        <v>3.6948110664019712E-4</v>
      </c>
    </row>
    <row r="45" spans="2:33" ht="14.5" hidden="1" outlineLevel="1" x14ac:dyDescent="0.35">
      <c r="B45" s="156">
        <v>-11</v>
      </c>
      <c r="C45" s="128"/>
      <c r="D45" s="157" t="s">
        <v>111</v>
      </c>
      <c r="E45" s="632">
        <f>CPQL!C13</f>
        <v>1500000</v>
      </c>
      <c r="F45" s="633">
        <f>CPQL!D13</f>
        <v>1500000</v>
      </c>
      <c r="G45" s="633">
        <f>CPQL!E13</f>
        <v>1500000</v>
      </c>
      <c r="H45" s="649">
        <f>CPQL!F13</f>
        <v>1500000</v>
      </c>
      <c r="I45" s="656"/>
      <c r="J45" s="633"/>
      <c r="K45" s="633"/>
      <c r="L45" s="642"/>
      <c r="M45" s="671">
        <f t="shared" si="26"/>
        <v>1500000</v>
      </c>
      <c r="N45" s="672">
        <f t="shared" si="27"/>
        <v>1500000</v>
      </c>
      <c r="O45" s="672">
        <f t="shared" si="28"/>
        <v>1500000</v>
      </c>
      <c r="P45" s="673">
        <f t="shared" si="29"/>
        <v>1500000</v>
      </c>
      <c r="Q45" s="689">
        <f t="shared" si="14"/>
        <v>4.0584415584415581</v>
      </c>
      <c r="R45" s="690">
        <f t="shared" si="15"/>
        <v>2.7056277056277058</v>
      </c>
      <c r="S45" s="690">
        <f t="shared" si="16"/>
        <v>2.029220779220779</v>
      </c>
      <c r="T45" s="691">
        <f t="shared" si="17"/>
        <v>1.6233766233766234</v>
      </c>
      <c r="U45" s="708">
        <f t="shared" si="18"/>
        <v>0</v>
      </c>
      <c r="V45" s="709">
        <f t="shared" si="6"/>
        <v>0</v>
      </c>
      <c r="W45" s="709">
        <f t="shared" si="7"/>
        <v>0</v>
      </c>
      <c r="X45" s="710">
        <f t="shared" si="8"/>
        <v>0</v>
      </c>
      <c r="Y45" s="725">
        <f t="shared" si="19"/>
        <v>4.0584415584415581</v>
      </c>
      <c r="Z45" s="726">
        <f t="shared" si="20"/>
        <v>2.7056277056277058</v>
      </c>
      <c r="AA45" s="726">
        <f t="shared" si="21"/>
        <v>2.029220779220779</v>
      </c>
      <c r="AB45" s="727">
        <f t="shared" si="22"/>
        <v>1.6233766233766234</v>
      </c>
      <c r="AC45" s="148">
        <f t="shared" si="23"/>
        <v>1.2316036888006571E-4</v>
      </c>
    </row>
    <row r="46" spans="2:33" ht="14.5" hidden="1" outlineLevel="1" x14ac:dyDescent="0.35">
      <c r="B46" s="156">
        <v>-12</v>
      </c>
      <c r="C46" s="128"/>
      <c r="D46" s="157" t="s">
        <v>116</v>
      </c>
      <c r="E46" s="632">
        <f>CPQL!C14</f>
        <v>5000000</v>
      </c>
      <c r="F46" s="633">
        <f>CPQL!D14</f>
        <v>5000000</v>
      </c>
      <c r="G46" s="633">
        <f>CPQL!E14</f>
        <v>5000000</v>
      </c>
      <c r="H46" s="649">
        <f>CPQL!F14</f>
        <v>5000000</v>
      </c>
      <c r="I46" s="656"/>
      <c r="J46" s="633"/>
      <c r="K46" s="633"/>
      <c r="L46" s="642"/>
      <c r="M46" s="671">
        <f t="shared" si="26"/>
        <v>5000000</v>
      </c>
      <c r="N46" s="672">
        <f t="shared" si="27"/>
        <v>5000000</v>
      </c>
      <c r="O46" s="672">
        <f t="shared" si="28"/>
        <v>5000000</v>
      </c>
      <c r="P46" s="673">
        <f t="shared" si="29"/>
        <v>5000000</v>
      </c>
      <c r="Q46" s="689">
        <f t="shared" si="14"/>
        <v>13.528138528138529</v>
      </c>
      <c r="R46" s="690">
        <f t="shared" si="15"/>
        <v>9.0187590187590185</v>
      </c>
      <c r="S46" s="690">
        <f t="shared" si="16"/>
        <v>6.7640692640692643</v>
      </c>
      <c r="T46" s="691">
        <f t="shared" si="17"/>
        <v>5.4112554112554117</v>
      </c>
      <c r="U46" s="708">
        <f t="shared" si="18"/>
        <v>0</v>
      </c>
      <c r="V46" s="709">
        <f t="shared" si="6"/>
        <v>0</v>
      </c>
      <c r="W46" s="709">
        <f t="shared" si="7"/>
        <v>0</v>
      </c>
      <c r="X46" s="710">
        <f t="shared" si="8"/>
        <v>0</v>
      </c>
      <c r="Y46" s="725">
        <f t="shared" si="19"/>
        <v>13.528138528138529</v>
      </c>
      <c r="Z46" s="726">
        <f t="shared" si="20"/>
        <v>9.0187590187590185</v>
      </c>
      <c r="AA46" s="726">
        <f t="shared" si="21"/>
        <v>6.7640692640692643</v>
      </c>
      <c r="AB46" s="727">
        <f t="shared" si="22"/>
        <v>5.4112554112554117</v>
      </c>
      <c r="AC46" s="148">
        <f t="shared" si="23"/>
        <v>4.1053456293355242E-4</v>
      </c>
    </row>
    <row r="47" spans="2:33" ht="14.5" hidden="1" outlineLevel="1" x14ac:dyDescent="0.35">
      <c r="B47" s="156">
        <v>-13</v>
      </c>
      <c r="C47" s="128"/>
      <c r="D47" s="157" t="s">
        <v>119</v>
      </c>
      <c r="E47" s="632">
        <f>CPQL!C15</f>
        <v>1000000</v>
      </c>
      <c r="F47" s="633">
        <f>CPQL!D15</f>
        <v>1000000</v>
      </c>
      <c r="G47" s="633">
        <f>CPQL!E15</f>
        <v>1000000</v>
      </c>
      <c r="H47" s="649">
        <f>CPQL!F15</f>
        <v>1000000</v>
      </c>
      <c r="I47" s="656"/>
      <c r="J47" s="633"/>
      <c r="K47" s="633"/>
      <c r="L47" s="642"/>
      <c r="M47" s="671">
        <f t="shared" si="26"/>
        <v>1000000</v>
      </c>
      <c r="N47" s="672">
        <f t="shared" si="27"/>
        <v>1000000</v>
      </c>
      <c r="O47" s="672">
        <f t="shared" si="28"/>
        <v>1000000</v>
      </c>
      <c r="P47" s="673">
        <f t="shared" si="29"/>
        <v>1000000</v>
      </c>
      <c r="Q47" s="689">
        <f t="shared" si="14"/>
        <v>2.7056277056277058</v>
      </c>
      <c r="R47" s="690">
        <f t="shared" si="15"/>
        <v>1.8037518037518037</v>
      </c>
      <c r="S47" s="690">
        <f t="shared" si="16"/>
        <v>1.3528138528138529</v>
      </c>
      <c r="T47" s="691">
        <f t="shared" si="17"/>
        <v>1.0822510822510822</v>
      </c>
      <c r="U47" s="708">
        <f t="shared" si="18"/>
        <v>0</v>
      </c>
      <c r="V47" s="709">
        <f t="shared" si="6"/>
        <v>0</v>
      </c>
      <c r="W47" s="709">
        <f t="shared" si="7"/>
        <v>0</v>
      </c>
      <c r="X47" s="710">
        <f t="shared" si="8"/>
        <v>0</v>
      </c>
      <c r="Y47" s="725">
        <f t="shared" si="19"/>
        <v>2.7056277056277058</v>
      </c>
      <c r="Z47" s="726">
        <f t="shared" si="20"/>
        <v>1.8037518037518037</v>
      </c>
      <c r="AA47" s="726">
        <f t="shared" si="21"/>
        <v>1.3528138528138529</v>
      </c>
      <c r="AB47" s="727">
        <f t="shared" si="22"/>
        <v>1.0822510822510822</v>
      </c>
      <c r="AC47" s="148">
        <f t="shared" si="23"/>
        <v>8.2106912586710481E-5</v>
      </c>
    </row>
    <row r="48" spans="2:33" ht="14.5" hidden="1" outlineLevel="1" x14ac:dyDescent="0.35">
      <c r="B48" s="156">
        <v>-14</v>
      </c>
      <c r="C48" s="128"/>
      <c r="D48" s="157" t="s">
        <v>154</v>
      </c>
      <c r="E48" s="632">
        <f>CPQL!C16</f>
        <v>500000</v>
      </c>
      <c r="F48" s="633">
        <f>CPQL!D16</f>
        <v>500000</v>
      </c>
      <c r="G48" s="633">
        <f>CPQL!E16</f>
        <v>500000</v>
      </c>
      <c r="H48" s="649">
        <f>CPQL!F16</f>
        <v>500000</v>
      </c>
      <c r="I48" s="656"/>
      <c r="J48" s="633"/>
      <c r="K48" s="633"/>
      <c r="L48" s="642"/>
      <c r="M48" s="671">
        <f t="shared" si="26"/>
        <v>500000</v>
      </c>
      <c r="N48" s="672">
        <f t="shared" si="27"/>
        <v>500000</v>
      </c>
      <c r="O48" s="672">
        <f t="shared" si="28"/>
        <v>500000</v>
      </c>
      <c r="P48" s="673">
        <f t="shared" si="29"/>
        <v>500000</v>
      </c>
      <c r="Q48" s="689">
        <f t="shared" si="14"/>
        <v>1.3528138528138529</v>
      </c>
      <c r="R48" s="690">
        <f t="shared" si="15"/>
        <v>0.90187590187590183</v>
      </c>
      <c r="S48" s="690">
        <f t="shared" si="16"/>
        <v>0.67640692640692646</v>
      </c>
      <c r="T48" s="691">
        <f t="shared" si="17"/>
        <v>0.54112554112554112</v>
      </c>
      <c r="U48" s="708">
        <f t="shared" si="18"/>
        <v>0</v>
      </c>
      <c r="V48" s="709">
        <f t="shared" si="6"/>
        <v>0</v>
      </c>
      <c r="W48" s="709">
        <f t="shared" si="7"/>
        <v>0</v>
      </c>
      <c r="X48" s="710">
        <f t="shared" si="8"/>
        <v>0</v>
      </c>
      <c r="Y48" s="725">
        <f t="shared" si="19"/>
        <v>1.3528138528138529</v>
      </c>
      <c r="Z48" s="726">
        <f t="shared" si="20"/>
        <v>0.90187590187590183</v>
      </c>
      <c r="AA48" s="726">
        <f t="shared" si="21"/>
        <v>0.67640692640692646</v>
      </c>
      <c r="AB48" s="727">
        <f t="shared" si="22"/>
        <v>0.54112554112554112</v>
      </c>
      <c r="AC48" s="148">
        <f t="shared" si="23"/>
        <v>4.105345629335524E-5</v>
      </c>
    </row>
    <row r="49" spans="2:33" ht="14.5" hidden="1" outlineLevel="1" x14ac:dyDescent="0.35">
      <c r="B49" s="156">
        <v>-15</v>
      </c>
      <c r="C49" s="128"/>
      <c r="D49" s="157" t="s">
        <v>103</v>
      </c>
      <c r="E49" s="632">
        <f>CPQL!C17</f>
        <v>250000</v>
      </c>
      <c r="F49" s="633">
        <f>CPQL!D17</f>
        <v>250000</v>
      </c>
      <c r="G49" s="633">
        <f>CPQL!E17</f>
        <v>250000</v>
      </c>
      <c r="H49" s="649">
        <f>CPQL!F17</f>
        <v>250000</v>
      </c>
      <c r="I49" s="656"/>
      <c r="J49" s="633"/>
      <c r="K49" s="633"/>
      <c r="L49" s="642"/>
      <c r="M49" s="671">
        <f t="shared" si="26"/>
        <v>250000</v>
      </c>
      <c r="N49" s="672">
        <f t="shared" si="27"/>
        <v>250000</v>
      </c>
      <c r="O49" s="672">
        <f t="shared" si="28"/>
        <v>250000</v>
      </c>
      <c r="P49" s="673">
        <f t="shared" si="29"/>
        <v>250000</v>
      </c>
      <c r="Q49" s="689">
        <f t="shared" si="14"/>
        <v>0.67640692640692646</v>
      </c>
      <c r="R49" s="690">
        <f t="shared" si="15"/>
        <v>0.45093795093795092</v>
      </c>
      <c r="S49" s="690">
        <f t="shared" si="16"/>
        <v>0.33820346320346323</v>
      </c>
      <c r="T49" s="691">
        <f t="shared" si="17"/>
        <v>0.27056277056277056</v>
      </c>
      <c r="U49" s="708">
        <f t="shared" si="18"/>
        <v>0</v>
      </c>
      <c r="V49" s="709">
        <f t="shared" si="6"/>
        <v>0</v>
      </c>
      <c r="W49" s="709">
        <f t="shared" si="7"/>
        <v>0</v>
      </c>
      <c r="X49" s="710">
        <f t="shared" si="8"/>
        <v>0</v>
      </c>
      <c r="Y49" s="725">
        <f t="shared" si="19"/>
        <v>0.67640692640692646</v>
      </c>
      <c r="Z49" s="726">
        <f t="shared" si="20"/>
        <v>0.45093795093795092</v>
      </c>
      <c r="AA49" s="726">
        <f t="shared" si="21"/>
        <v>0.33820346320346323</v>
      </c>
      <c r="AB49" s="727">
        <f t="shared" si="22"/>
        <v>0.27056277056277056</v>
      </c>
      <c r="AC49" s="148">
        <f t="shared" si="23"/>
        <v>2.052672814667762E-5</v>
      </c>
    </row>
    <row r="50" spans="2:33" ht="14.5" hidden="1" outlineLevel="1" x14ac:dyDescent="0.35">
      <c r="B50" s="156">
        <v>-16</v>
      </c>
      <c r="C50" s="128"/>
      <c r="D50" s="157" t="s">
        <v>93</v>
      </c>
      <c r="E50" s="632">
        <f>CPQL!C18</f>
        <v>1000000</v>
      </c>
      <c r="F50" s="633">
        <f>CPQL!D18</f>
        <v>1000000</v>
      </c>
      <c r="G50" s="633">
        <f>CPQL!E18</f>
        <v>1000000</v>
      </c>
      <c r="H50" s="649">
        <f>CPQL!F18</f>
        <v>1000000</v>
      </c>
      <c r="I50" s="656"/>
      <c r="J50" s="633"/>
      <c r="K50" s="633"/>
      <c r="L50" s="642"/>
      <c r="M50" s="671">
        <f t="shared" si="26"/>
        <v>1000000</v>
      </c>
      <c r="N50" s="672">
        <f t="shared" si="27"/>
        <v>1000000</v>
      </c>
      <c r="O50" s="672">
        <f t="shared" si="28"/>
        <v>1000000</v>
      </c>
      <c r="P50" s="673">
        <f t="shared" si="29"/>
        <v>1000000</v>
      </c>
      <c r="Q50" s="689">
        <f t="shared" si="14"/>
        <v>2.7056277056277058</v>
      </c>
      <c r="R50" s="690">
        <f t="shared" si="15"/>
        <v>1.8037518037518037</v>
      </c>
      <c r="S50" s="690">
        <f t="shared" si="16"/>
        <v>1.3528138528138529</v>
      </c>
      <c r="T50" s="691">
        <f t="shared" si="17"/>
        <v>1.0822510822510822</v>
      </c>
      <c r="U50" s="708">
        <f t="shared" si="18"/>
        <v>0</v>
      </c>
      <c r="V50" s="709">
        <f t="shared" si="6"/>
        <v>0</v>
      </c>
      <c r="W50" s="709">
        <f t="shared" si="7"/>
        <v>0</v>
      </c>
      <c r="X50" s="710">
        <f t="shared" si="8"/>
        <v>0</v>
      </c>
      <c r="Y50" s="725">
        <f t="shared" si="19"/>
        <v>2.7056277056277058</v>
      </c>
      <c r="Z50" s="726">
        <f t="shared" si="20"/>
        <v>1.8037518037518037</v>
      </c>
      <c r="AA50" s="726">
        <f t="shared" si="21"/>
        <v>1.3528138528138529</v>
      </c>
      <c r="AB50" s="727">
        <f t="shared" si="22"/>
        <v>1.0822510822510822</v>
      </c>
      <c r="AC50" s="148">
        <f t="shared" si="23"/>
        <v>8.2106912586710481E-5</v>
      </c>
    </row>
    <row r="51" spans="2:33" ht="14.5" hidden="1" outlineLevel="1" x14ac:dyDescent="0.35">
      <c r="B51" s="156">
        <v>-17</v>
      </c>
      <c r="C51" s="128"/>
      <c r="D51" s="157" t="s">
        <v>124</v>
      </c>
      <c r="E51" s="632">
        <f>CPQL!C19</f>
        <v>4416666.666666667</v>
      </c>
      <c r="F51" s="633">
        <f>CPQL!D19</f>
        <v>4416666.666666667</v>
      </c>
      <c r="G51" s="633">
        <f>CPQL!E19</f>
        <v>4416666.666666667</v>
      </c>
      <c r="H51" s="649">
        <f>CPQL!F19</f>
        <v>4416666.666666667</v>
      </c>
      <c r="I51" s="656"/>
      <c r="J51" s="633"/>
      <c r="K51" s="633"/>
      <c r="L51" s="642"/>
      <c r="M51" s="671">
        <f t="shared" si="26"/>
        <v>4416666.666666667</v>
      </c>
      <c r="N51" s="672">
        <f t="shared" si="27"/>
        <v>4416666.666666667</v>
      </c>
      <c r="O51" s="672">
        <f t="shared" si="28"/>
        <v>4416666.666666667</v>
      </c>
      <c r="P51" s="673">
        <f t="shared" si="29"/>
        <v>4416666.666666667</v>
      </c>
      <c r="Q51" s="689">
        <f t="shared" si="14"/>
        <v>11.9498556998557</v>
      </c>
      <c r="R51" s="690">
        <f t="shared" si="15"/>
        <v>7.9665704665704675</v>
      </c>
      <c r="S51" s="690">
        <f t="shared" si="16"/>
        <v>5.97492784992785</v>
      </c>
      <c r="T51" s="691">
        <f t="shared" si="17"/>
        <v>4.7799422799422802</v>
      </c>
      <c r="U51" s="708">
        <f t="shared" si="18"/>
        <v>0</v>
      </c>
      <c r="V51" s="709">
        <f t="shared" si="6"/>
        <v>0</v>
      </c>
      <c r="W51" s="709">
        <f t="shared" si="7"/>
        <v>0</v>
      </c>
      <c r="X51" s="710">
        <f t="shared" si="8"/>
        <v>0</v>
      </c>
      <c r="Y51" s="725">
        <f t="shared" si="19"/>
        <v>11.9498556998557</v>
      </c>
      <c r="Z51" s="726">
        <f t="shared" si="20"/>
        <v>7.9665704665704675</v>
      </c>
      <c r="AA51" s="726">
        <f t="shared" si="21"/>
        <v>5.97492784992785</v>
      </c>
      <c r="AB51" s="727">
        <f t="shared" si="22"/>
        <v>4.7799422799422802</v>
      </c>
      <c r="AC51" s="148">
        <f t="shared" si="23"/>
        <v>3.6263886392463797E-4</v>
      </c>
    </row>
    <row r="52" spans="2:33" s="137" customFormat="1" collapsed="1" x14ac:dyDescent="0.35">
      <c r="B52" s="154">
        <v>2.2999999999999998</v>
      </c>
      <c r="C52" s="136" t="s">
        <v>331</v>
      </c>
      <c r="D52" s="155"/>
      <c r="E52" s="630">
        <f>E53+E62</f>
        <v>500795833.33333331</v>
      </c>
      <c r="F52" s="631">
        <f t="shared" ref="F52:L52" si="33">F53+F62</f>
        <v>677895833.33333337</v>
      </c>
      <c r="G52" s="631">
        <f t="shared" si="33"/>
        <v>809606500</v>
      </c>
      <c r="H52" s="648">
        <f t="shared" si="33"/>
        <v>850673166.66666663</v>
      </c>
      <c r="I52" s="655">
        <f t="shared" si="33"/>
        <v>0</v>
      </c>
      <c r="J52" s="631">
        <f t="shared" si="33"/>
        <v>0</v>
      </c>
      <c r="K52" s="631">
        <f t="shared" si="33"/>
        <v>0</v>
      </c>
      <c r="L52" s="641">
        <f t="shared" si="33"/>
        <v>0</v>
      </c>
      <c r="M52" s="668">
        <f t="shared" si="26"/>
        <v>500795833.33333331</v>
      </c>
      <c r="N52" s="669">
        <f t="shared" si="27"/>
        <v>677895833.33333337</v>
      </c>
      <c r="O52" s="669">
        <f t="shared" si="28"/>
        <v>809606500</v>
      </c>
      <c r="P52" s="670">
        <f t="shared" si="29"/>
        <v>850673166.66666663</v>
      </c>
      <c r="Q52" s="686">
        <f t="shared" si="14"/>
        <v>1354.9670815295815</v>
      </c>
      <c r="R52" s="687">
        <f t="shared" si="15"/>
        <v>1222.7558321308322</v>
      </c>
      <c r="S52" s="687">
        <f t="shared" si="16"/>
        <v>1095.2468885281385</v>
      </c>
      <c r="T52" s="688">
        <f t="shared" si="17"/>
        <v>920.64195526695528</v>
      </c>
      <c r="U52" s="705">
        <f t="shared" si="18"/>
        <v>0</v>
      </c>
      <c r="V52" s="706">
        <f t="shared" si="6"/>
        <v>0</v>
      </c>
      <c r="W52" s="706">
        <f t="shared" si="7"/>
        <v>0</v>
      </c>
      <c r="X52" s="707">
        <f t="shared" si="8"/>
        <v>0</v>
      </c>
      <c r="Y52" s="722">
        <f t="shared" si="19"/>
        <v>1354.9670815295815</v>
      </c>
      <c r="Z52" s="723">
        <f t="shared" si="20"/>
        <v>1222.7558321308322</v>
      </c>
      <c r="AA52" s="723">
        <f t="shared" si="21"/>
        <v>1095.2468885281385</v>
      </c>
      <c r="AB52" s="724">
        <f t="shared" si="22"/>
        <v>920.64195526695528</v>
      </c>
      <c r="AC52" s="147">
        <f t="shared" si="23"/>
        <v>6.9846147335360195E-2</v>
      </c>
      <c r="AD52" s="770"/>
      <c r="AE52" s="770"/>
      <c r="AF52" s="770"/>
      <c r="AG52" s="770"/>
    </row>
    <row r="53" spans="2:33" s="142" customFormat="1" ht="14.5" x14ac:dyDescent="0.35">
      <c r="B53" s="161" t="s">
        <v>540</v>
      </c>
      <c r="C53" s="141" t="s">
        <v>332</v>
      </c>
      <c r="D53" s="162"/>
      <c r="E53" s="634">
        <f>SUM(E54:E61)</f>
        <v>482533333.33333331</v>
      </c>
      <c r="F53" s="635">
        <f t="shared" ref="F53:L53" si="34">SUM(F54:F61)</f>
        <v>659633333.33333337</v>
      </c>
      <c r="G53" s="635">
        <f t="shared" si="34"/>
        <v>777700000</v>
      </c>
      <c r="H53" s="650">
        <f t="shared" si="34"/>
        <v>818766666.66666663</v>
      </c>
      <c r="I53" s="657">
        <f t="shared" si="34"/>
        <v>0</v>
      </c>
      <c r="J53" s="635">
        <f t="shared" si="34"/>
        <v>0</v>
      </c>
      <c r="K53" s="635">
        <f t="shared" si="34"/>
        <v>0</v>
      </c>
      <c r="L53" s="643">
        <f t="shared" si="34"/>
        <v>0</v>
      </c>
      <c r="M53" s="674">
        <f t="shared" si="26"/>
        <v>482533333.33333331</v>
      </c>
      <c r="N53" s="675">
        <f t="shared" si="27"/>
        <v>659633333.33333337</v>
      </c>
      <c r="O53" s="675">
        <f t="shared" si="28"/>
        <v>777700000</v>
      </c>
      <c r="P53" s="676">
        <f t="shared" si="29"/>
        <v>818766666.66666663</v>
      </c>
      <c r="Q53" s="692">
        <f t="shared" si="14"/>
        <v>1305.5555555555554</v>
      </c>
      <c r="R53" s="693">
        <f t="shared" si="15"/>
        <v>1189.8148148148148</v>
      </c>
      <c r="S53" s="693">
        <f t="shared" si="16"/>
        <v>1052.0833333333333</v>
      </c>
      <c r="T53" s="694">
        <f t="shared" si="17"/>
        <v>886.11111111111109</v>
      </c>
      <c r="U53" s="711">
        <f t="shared" si="18"/>
        <v>0</v>
      </c>
      <c r="V53" s="712">
        <f t="shared" si="6"/>
        <v>0</v>
      </c>
      <c r="W53" s="712">
        <f t="shared" si="7"/>
        <v>0</v>
      </c>
      <c r="X53" s="713">
        <f t="shared" si="8"/>
        <v>0</v>
      </c>
      <c r="Y53" s="728">
        <f t="shared" si="19"/>
        <v>1305.5555555555554</v>
      </c>
      <c r="Z53" s="729">
        <f t="shared" si="20"/>
        <v>1189.8148148148148</v>
      </c>
      <c r="AA53" s="729">
        <f t="shared" si="21"/>
        <v>1052.0833333333333</v>
      </c>
      <c r="AB53" s="730">
        <f t="shared" si="22"/>
        <v>886.11111111111109</v>
      </c>
      <c r="AC53" s="149">
        <f t="shared" si="23"/>
        <v>6.7226403128912315E-2</v>
      </c>
      <c r="AD53" s="771"/>
      <c r="AE53" s="771"/>
      <c r="AF53" s="771"/>
      <c r="AG53" s="771"/>
    </row>
    <row r="54" spans="2:33" ht="14.5" hidden="1" outlineLevel="1" x14ac:dyDescent="0.35">
      <c r="B54" s="163">
        <v>-1</v>
      </c>
      <c r="C54" s="143"/>
      <c r="D54" s="164" t="s">
        <v>544</v>
      </c>
      <c r="E54" s="632">
        <f>'CP.NS'!C6+'CP.NS'!C15+'CP.NS'!C43</f>
        <v>376000000</v>
      </c>
      <c r="F54" s="633">
        <f>'CP.NS'!D6+'CP.NS'!D15+'CP.NS'!D43</f>
        <v>514000000</v>
      </c>
      <c r="G54" s="633">
        <f>'CP.NS'!E6+'CP.NS'!E15+'CP.NS'!E43</f>
        <v>606000000</v>
      </c>
      <c r="H54" s="649">
        <f>'CP.NS'!F6+'CP.NS'!F15+'CP.NS'!F43</f>
        <v>638000000</v>
      </c>
      <c r="I54" s="656">
        <f>'CP.NS'!C25+'CP.NS'!C34</f>
        <v>0</v>
      </c>
      <c r="J54" s="633">
        <f>'CP.NS'!D25+'CP.NS'!D34</f>
        <v>0</v>
      </c>
      <c r="K54" s="633">
        <f>'CP.NS'!E25+'CP.NS'!E34</f>
        <v>0</v>
      </c>
      <c r="L54" s="642">
        <f>'CP.NS'!F25+'CP.NS'!F34</f>
        <v>0</v>
      </c>
      <c r="M54" s="671">
        <f t="shared" si="26"/>
        <v>376000000</v>
      </c>
      <c r="N54" s="672">
        <f t="shared" si="27"/>
        <v>514000000</v>
      </c>
      <c r="O54" s="672">
        <f t="shared" si="28"/>
        <v>606000000</v>
      </c>
      <c r="P54" s="673">
        <f t="shared" si="29"/>
        <v>638000000</v>
      </c>
      <c r="Q54" s="689">
        <f t="shared" si="14"/>
        <v>1017.3160173160173</v>
      </c>
      <c r="R54" s="690">
        <f t="shared" si="15"/>
        <v>927.12842712842712</v>
      </c>
      <c r="S54" s="690">
        <f t="shared" si="16"/>
        <v>819.80519480519479</v>
      </c>
      <c r="T54" s="691">
        <f t="shared" si="17"/>
        <v>690.47619047619048</v>
      </c>
      <c r="U54" s="708">
        <f t="shared" si="18"/>
        <v>0</v>
      </c>
      <c r="V54" s="709">
        <f t="shared" si="6"/>
        <v>0</v>
      </c>
      <c r="W54" s="709">
        <f t="shared" si="7"/>
        <v>0</v>
      </c>
      <c r="X54" s="710">
        <f t="shared" si="8"/>
        <v>0</v>
      </c>
      <c r="Y54" s="725">
        <f t="shared" si="19"/>
        <v>1017.3160173160173</v>
      </c>
      <c r="Z54" s="726">
        <f t="shared" si="20"/>
        <v>927.12842712842712</v>
      </c>
      <c r="AA54" s="726">
        <f t="shared" si="21"/>
        <v>819.80519480519479</v>
      </c>
      <c r="AB54" s="727">
        <f t="shared" si="22"/>
        <v>690.47619047619048</v>
      </c>
      <c r="AC54" s="148">
        <f t="shared" si="23"/>
        <v>5.2384210230321283E-2</v>
      </c>
    </row>
    <row r="55" spans="2:33" ht="14.5" hidden="1" outlineLevel="1" x14ac:dyDescent="0.35">
      <c r="B55" s="163">
        <v>-2</v>
      </c>
      <c r="C55" s="143"/>
      <c r="D55" s="164" t="s">
        <v>405</v>
      </c>
      <c r="E55" s="632">
        <f>'CP.NS'!C7+'CP.NS'!C16+'CP.NS'!C44</f>
        <v>31333333.333333332</v>
      </c>
      <c r="F55" s="633">
        <f>'CP.NS'!D7+'CP.NS'!D16+'CP.NS'!D44</f>
        <v>42833333.333333328</v>
      </c>
      <c r="G55" s="633">
        <f>'CP.NS'!E7+'CP.NS'!E16+'CP.NS'!E44</f>
        <v>50500000</v>
      </c>
      <c r="H55" s="649">
        <f>'CP.NS'!F7+'CP.NS'!F16+'CP.NS'!F44</f>
        <v>53166666.666666664</v>
      </c>
      <c r="I55" s="656">
        <f>'CP.NS'!C26+'CP.NS'!C35</f>
        <v>0</v>
      </c>
      <c r="J55" s="633">
        <f>'CP.NS'!D26+'CP.NS'!D35</f>
        <v>0</v>
      </c>
      <c r="K55" s="633">
        <f>'CP.NS'!E26+'CP.NS'!E35</f>
        <v>0</v>
      </c>
      <c r="L55" s="642">
        <f>'CP.NS'!F26+'CP.NS'!F35</f>
        <v>0</v>
      </c>
      <c r="M55" s="671">
        <f t="shared" si="26"/>
        <v>31333333.333333332</v>
      </c>
      <c r="N55" s="672">
        <f t="shared" si="27"/>
        <v>42833333.333333328</v>
      </c>
      <c r="O55" s="672">
        <f t="shared" si="28"/>
        <v>50500000</v>
      </c>
      <c r="P55" s="673">
        <f t="shared" si="29"/>
        <v>53166666.666666664</v>
      </c>
      <c r="Q55" s="689">
        <f t="shared" si="14"/>
        <v>84.776334776334778</v>
      </c>
      <c r="R55" s="690">
        <f t="shared" si="15"/>
        <v>77.260702260702246</v>
      </c>
      <c r="S55" s="690">
        <f t="shared" si="16"/>
        <v>68.317099567099561</v>
      </c>
      <c r="T55" s="691">
        <f t="shared" si="17"/>
        <v>57.539682539682538</v>
      </c>
      <c r="U55" s="708">
        <f t="shared" si="18"/>
        <v>0</v>
      </c>
      <c r="V55" s="709">
        <f t="shared" si="6"/>
        <v>0</v>
      </c>
      <c r="W55" s="709">
        <f t="shared" si="7"/>
        <v>0</v>
      </c>
      <c r="X55" s="710">
        <f t="shared" si="8"/>
        <v>0</v>
      </c>
      <c r="Y55" s="725">
        <f t="shared" si="19"/>
        <v>84.776334776334778</v>
      </c>
      <c r="Z55" s="726">
        <f t="shared" si="20"/>
        <v>77.260702260702246</v>
      </c>
      <c r="AA55" s="726">
        <f t="shared" si="21"/>
        <v>68.317099567099561</v>
      </c>
      <c r="AB55" s="727">
        <f t="shared" si="22"/>
        <v>57.539682539682538</v>
      </c>
      <c r="AC55" s="148">
        <f t="shared" si="23"/>
        <v>4.3653508525267736E-3</v>
      </c>
    </row>
    <row r="56" spans="2:33" ht="14.5" hidden="1" outlineLevel="1" x14ac:dyDescent="0.35">
      <c r="B56" s="163">
        <v>-3</v>
      </c>
      <c r="C56" s="143"/>
      <c r="D56" s="164" t="s">
        <v>129</v>
      </c>
      <c r="E56" s="632">
        <f>'CP.NS'!C8+'CP.NS'!C17+'CP.NS'!C45</f>
        <v>11280000</v>
      </c>
      <c r="F56" s="633">
        <f>'CP.NS'!D8+'CP.NS'!D17+'CP.NS'!D45</f>
        <v>15420000</v>
      </c>
      <c r="G56" s="633">
        <f>'CP.NS'!E8+'CP.NS'!E17+'CP.NS'!E45</f>
        <v>18180000</v>
      </c>
      <c r="H56" s="649">
        <f>'CP.NS'!F8+'CP.NS'!F17+'CP.NS'!F45</f>
        <v>19140000</v>
      </c>
      <c r="I56" s="656">
        <f>'CP.NS'!C27+'CP.NS'!C36</f>
        <v>0</v>
      </c>
      <c r="J56" s="633">
        <f>'CP.NS'!D27+'CP.NS'!D36</f>
        <v>0</v>
      </c>
      <c r="K56" s="633">
        <f>'CP.NS'!E27+'CP.NS'!E36</f>
        <v>0</v>
      </c>
      <c r="L56" s="642">
        <f>'CP.NS'!F27+'CP.NS'!F36</f>
        <v>0</v>
      </c>
      <c r="M56" s="671">
        <f t="shared" si="26"/>
        <v>11280000</v>
      </c>
      <c r="N56" s="672">
        <f t="shared" si="27"/>
        <v>15420000</v>
      </c>
      <c r="O56" s="672">
        <f t="shared" si="28"/>
        <v>18180000</v>
      </c>
      <c r="P56" s="673">
        <f t="shared" si="29"/>
        <v>19140000</v>
      </c>
      <c r="Q56" s="689">
        <f t="shared" si="14"/>
        <v>30.519480519480521</v>
      </c>
      <c r="R56" s="690">
        <f t="shared" si="15"/>
        <v>27.813852813852815</v>
      </c>
      <c r="S56" s="690">
        <f t="shared" si="16"/>
        <v>24.594155844155843</v>
      </c>
      <c r="T56" s="691">
        <f t="shared" si="17"/>
        <v>20.714285714285715</v>
      </c>
      <c r="U56" s="708">
        <f t="shared" si="18"/>
        <v>0</v>
      </c>
      <c r="V56" s="709">
        <f t="shared" si="6"/>
        <v>0</v>
      </c>
      <c r="W56" s="709">
        <f t="shared" si="7"/>
        <v>0</v>
      </c>
      <c r="X56" s="710">
        <f t="shared" si="8"/>
        <v>0</v>
      </c>
      <c r="Y56" s="725">
        <f t="shared" si="19"/>
        <v>30.519480519480521</v>
      </c>
      <c r="Z56" s="726">
        <f t="shared" si="20"/>
        <v>27.813852813852815</v>
      </c>
      <c r="AA56" s="726">
        <f t="shared" si="21"/>
        <v>24.594155844155843</v>
      </c>
      <c r="AB56" s="727">
        <f t="shared" si="22"/>
        <v>20.714285714285715</v>
      </c>
      <c r="AC56" s="148">
        <f t="shared" si="23"/>
        <v>1.5715263069096385E-3</v>
      </c>
    </row>
    <row r="57" spans="2:33" ht="14.5" hidden="1" outlineLevel="1" x14ac:dyDescent="0.35">
      <c r="B57" s="163">
        <v>-4</v>
      </c>
      <c r="C57" s="143"/>
      <c r="D57" s="164" t="s">
        <v>132</v>
      </c>
      <c r="E57" s="632">
        <f>'CP.NS'!C9+'CP.NS'!C18+'CP.NS'!C46</f>
        <v>0</v>
      </c>
      <c r="F57" s="633">
        <f>'CP.NS'!D9+'CP.NS'!D18+'CP.NS'!D46</f>
        <v>0</v>
      </c>
      <c r="G57" s="633">
        <f>'CP.NS'!E9+'CP.NS'!E18+'CP.NS'!E46</f>
        <v>0</v>
      </c>
      <c r="H57" s="649">
        <f>'CP.NS'!F9+'CP.NS'!F18+'CP.NS'!F46</f>
        <v>0</v>
      </c>
      <c r="I57" s="656">
        <f>'CP.NS'!C28+'CP.NS'!C37</f>
        <v>0</v>
      </c>
      <c r="J57" s="633">
        <f>'CP.NS'!D28+'CP.NS'!D37</f>
        <v>0</v>
      </c>
      <c r="K57" s="633">
        <f>'CP.NS'!E28+'CP.NS'!E37</f>
        <v>0</v>
      </c>
      <c r="L57" s="642">
        <f>'CP.NS'!F28+'CP.NS'!F37</f>
        <v>0</v>
      </c>
      <c r="M57" s="671">
        <f t="shared" si="26"/>
        <v>0</v>
      </c>
      <c r="N57" s="672">
        <f t="shared" si="27"/>
        <v>0</v>
      </c>
      <c r="O57" s="672">
        <f t="shared" si="28"/>
        <v>0</v>
      </c>
      <c r="P57" s="673">
        <f t="shared" si="29"/>
        <v>0</v>
      </c>
      <c r="Q57" s="689">
        <f t="shared" si="14"/>
        <v>0</v>
      </c>
      <c r="R57" s="690">
        <f t="shared" si="15"/>
        <v>0</v>
      </c>
      <c r="S57" s="690">
        <f t="shared" si="16"/>
        <v>0</v>
      </c>
      <c r="T57" s="691">
        <f t="shared" si="17"/>
        <v>0</v>
      </c>
      <c r="U57" s="708">
        <f t="shared" si="18"/>
        <v>0</v>
      </c>
      <c r="V57" s="709">
        <f t="shared" si="6"/>
        <v>0</v>
      </c>
      <c r="W57" s="709">
        <f t="shared" si="7"/>
        <v>0</v>
      </c>
      <c r="X57" s="710">
        <f t="shared" si="8"/>
        <v>0</v>
      </c>
      <c r="Y57" s="725">
        <f t="shared" si="19"/>
        <v>0</v>
      </c>
      <c r="Z57" s="726">
        <f t="shared" si="20"/>
        <v>0</v>
      </c>
      <c r="AA57" s="726">
        <f t="shared" si="21"/>
        <v>0</v>
      </c>
      <c r="AB57" s="727">
        <f t="shared" si="22"/>
        <v>0</v>
      </c>
      <c r="AC57" s="148">
        <f t="shared" si="23"/>
        <v>0</v>
      </c>
    </row>
    <row r="58" spans="2:33" ht="14.5" hidden="1" outlineLevel="1" x14ac:dyDescent="0.35">
      <c r="B58" s="163">
        <v>-5</v>
      </c>
      <c r="C58" s="143"/>
      <c r="D58" s="164" t="s">
        <v>133</v>
      </c>
      <c r="E58" s="632">
        <f>'CP.NS'!C10+'CP.NS'!C19+'CP.NS'!C47</f>
        <v>18800000</v>
      </c>
      <c r="F58" s="633">
        <f>'CP.NS'!D10+'CP.NS'!D19+'CP.NS'!D47</f>
        <v>25700000</v>
      </c>
      <c r="G58" s="633">
        <f>'CP.NS'!E10+'CP.NS'!E19+'CP.NS'!E47</f>
        <v>30300000</v>
      </c>
      <c r="H58" s="649">
        <f>'CP.NS'!F10+'CP.NS'!F19+'CP.NS'!F47</f>
        <v>31900000</v>
      </c>
      <c r="I58" s="656">
        <f>'CP.NS'!C29+'CP.NS'!C38</f>
        <v>0</v>
      </c>
      <c r="J58" s="633">
        <f>'CP.NS'!D29+'CP.NS'!D38</f>
        <v>0</v>
      </c>
      <c r="K58" s="633">
        <f>'CP.NS'!E29+'CP.NS'!E38</f>
        <v>0</v>
      </c>
      <c r="L58" s="642">
        <f>'CP.NS'!F29+'CP.NS'!F38</f>
        <v>0</v>
      </c>
      <c r="M58" s="671">
        <f t="shared" si="26"/>
        <v>18800000</v>
      </c>
      <c r="N58" s="672">
        <f t="shared" si="27"/>
        <v>25700000</v>
      </c>
      <c r="O58" s="672">
        <f t="shared" si="28"/>
        <v>30300000</v>
      </c>
      <c r="P58" s="673">
        <f t="shared" si="29"/>
        <v>31900000</v>
      </c>
      <c r="Q58" s="689">
        <f t="shared" si="14"/>
        <v>50.865800865800864</v>
      </c>
      <c r="R58" s="690">
        <f t="shared" si="15"/>
        <v>46.356421356421357</v>
      </c>
      <c r="S58" s="690">
        <f t="shared" si="16"/>
        <v>40.990259740259738</v>
      </c>
      <c r="T58" s="691">
        <f t="shared" si="17"/>
        <v>34.523809523809526</v>
      </c>
      <c r="U58" s="708">
        <f t="shared" si="18"/>
        <v>0</v>
      </c>
      <c r="V58" s="709">
        <f t="shared" si="6"/>
        <v>0</v>
      </c>
      <c r="W58" s="709">
        <f t="shared" si="7"/>
        <v>0</v>
      </c>
      <c r="X58" s="710">
        <f t="shared" si="8"/>
        <v>0</v>
      </c>
      <c r="Y58" s="725">
        <f t="shared" si="19"/>
        <v>50.865800865800864</v>
      </c>
      <c r="Z58" s="726">
        <f t="shared" si="20"/>
        <v>46.356421356421357</v>
      </c>
      <c r="AA58" s="726">
        <f t="shared" si="21"/>
        <v>40.990259740259738</v>
      </c>
      <c r="AB58" s="727">
        <f t="shared" si="22"/>
        <v>34.523809523809526</v>
      </c>
      <c r="AC58" s="148">
        <f t="shared" si="23"/>
        <v>2.6192105115160642E-3</v>
      </c>
    </row>
    <row r="59" spans="2:33" ht="14.5" hidden="1" outlineLevel="1" x14ac:dyDescent="0.35">
      <c r="B59" s="163">
        <v>-6</v>
      </c>
      <c r="C59" s="143"/>
      <c r="D59" s="164" t="s">
        <v>134</v>
      </c>
      <c r="E59" s="632">
        <f>'CP.NS'!C11+'CP.NS'!C20+'CP.NS'!C48</f>
        <v>0</v>
      </c>
      <c r="F59" s="633">
        <f>'CP.NS'!D11+'CP.NS'!D20+'CP.NS'!D48</f>
        <v>0</v>
      </c>
      <c r="G59" s="633">
        <f>'CP.NS'!E11+'CP.NS'!E20+'CP.NS'!E48</f>
        <v>0</v>
      </c>
      <c r="H59" s="649">
        <f>'CP.NS'!F11+'CP.NS'!F20+'CP.NS'!F48</f>
        <v>0</v>
      </c>
      <c r="I59" s="656">
        <f>'CP.NS'!C30+'CP.NS'!C39</f>
        <v>0</v>
      </c>
      <c r="J59" s="633">
        <f>'CP.NS'!D30+'CP.NS'!D39</f>
        <v>0</v>
      </c>
      <c r="K59" s="633">
        <f>'CP.NS'!E30+'CP.NS'!E39</f>
        <v>0</v>
      </c>
      <c r="L59" s="642">
        <f>'CP.NS'!F30+'CP.NS'!F39</f>
        <v>0</v>
      </c>
      <c r="M59" s="671">
        <f t="shared" si="26"/>
        <v>0</v>
      </c>
      <c r="N59" s="672">
        <f t="shared" si="27"/>
        <v>0</v>
      </c>
      <c r="O59" s="672">
        <f t="shared" si="28"/>
        <v>0</v>
      </c>
      <c r="P59" s="673">
        <f t="shared" si="29"/>
        <v>0</v>
      </c>
      <c r="Q59" s="689">
        <f t="shared" si="14"/>
        <v>0</v>
      </c>
      <c r="R59" s="690">
        <f t="shared" si="15"/>
        <v>0</v>
      </c>
      <c r="S59" s="690">
        <f t="shared" si="16"/>
        <v>0</v>
      </c>
      <c r="T59" s="691">
        <f t="shared" si="17"/>
        <v>0</v>
      </c>
      <c r="U59" s="708">
        <f t="shared" si="18"/>
        <v>0</v>
      </c>
      <c r="V59" s="709">
        <f t="shared" si="6"/>
        <v>0</v>
      </c>
      <c r="W59" s="709">
        <f t="shared" si="7"/>
        <v>0</v>
      </c>
      <c r="X59" s="710">
        <f t="shared" si="8"/>
        <v>0</v>
      </c>
      <c r="Y59" s="725">
        <f t="shared" si="19"/>
        <v>0</v>
      </c>
      <c r="Z59" s="726">
        <f t="shared" si="20"/>
        <v>0</v>
      </c>
      <c r="AA59" s="726">
        <f t="shared" si="21"/>
        <v>0</v>
      </c>
      <c r="AB59" s="727">
        <f t="shared" si="22"/>
        <v>0</v>
      </c>
      <c r="AC59" s="148">
        <f t="shared" si="23"/>
        <v>0</v>
      </c>
    </row>
    <row r="60" spans="2:33" ht="14.5" hidden="1" outlineLevel="1" x14ac:dyDescent="0.35">
      <c r="B60" s="163">
        <v>-7</v>
      </c>
      <c r="C60" s="143"/>
      <c r="D60" s="164" t="s">
        <v>135</v>
      </c>
      <c r="E60" s="632">
        <f>'CP.NS'!C12+'CP.NS'!C21+'CP.NS'!C49</f>
        <v>45120000</v>
      </c>
      <c r="F60" s="633">
        <f>'CP.NS'!D12+'CP.NS'!D21+'CP.NS'!D49</f>
        <v>61680000</v>
      </c>
      <c r="G60" s="633">
        <f>'CP.NS'!E12+'CP.NS'!E21+'CP.NS'!E49</f>
        <v>72720000</v>
      </c>
      <c r="H60" s="649">
        <f>'CP.NS'!F12+'CP.NS'!F21+'CP.NS'!F49</f>
        <v>76560000</v>
      </c>
      <c r="I60" s="656">
        <f>'CP.NS'!C31+'CP.NS'!C40</f>
        <v>0</v>
      </c>
      <c r="J60" s="633">
        <f>'CP.NS'!D31+'CP.NS'!D40</f>
        <v>0</v>
      </c>
      <c r="K60" s="633">
        <f>'CP.NS'!E31+'CP.NS'!E40</f>
        <v>0</v>
      </c>
      <c r="L60" s="642">
        <f>'CP.NS'!F31+'CP.NS'!F40</f>
        <v>0</v>
      </c>
      <c r="M60" s="671">
        <f t="shared" si="26"/>
        <v>45120000</v>
      </c>
      <c r="N60" s="672">
        <f t="shared" si="27"/>
        <v>61680000</v>
      </c>
      <c r="O60" s="672">
        <f t="shared" si="28"/>
        <v>72720000</v>
      </c>
      <c r="P60" s="673">
        <f t="shared" si="29"/>
        <v>76560000</v>
      </c>
      <c r="Q60" s="689">
        <f t="shared" si="14"/>
        <v>122.07792207792208</v>
      </c>
      <c r="R60" s="690">
        <f t="shared" si="15"/>
        <v>111.25541125541126</v>
      </c>
      <c r="S60" s="690">
        <f t="shared" si="16"/>
        <v>98.376623376623371</v>
      </c>
      <c r="T60" s="691">
        <f t="shared" si="17"/>
        <v>82.857142857142861</v>
      </c>
      <c r="U60" s="708">
        <f t="shared" si="18"/>
        <v>0</v>
      </c>
      <c r="V60" s="709">
        <f t="shared" si="6"/>
        <v>0</v>
      </c>
      <c r="W60" s="709">
        <f t="shared" si="7"/>
        <v>0</v>
      </c>
      <c r="X60" s="710">
        <f t="shared" si="8"/>
        <v>0</v>
      </c>
      <c r="Y60" s="725">
        <f t="shared" si="19"/>
        <v>122.07792207792208</v>
      </c>
      <c r="Z60" s="726">
        <f t="shared" si="20"/>
        <v>111.25541125541126</v>
      </c>
      <c r="AA60" s="726">
        <f t="shared" si="21"/>
        <v>98.376623376623371</v>
      </c>
      <c r="AB60" s="727">
        <f t="shared" si="22"/>
        <v>82.857142857142861</v>
      </c>
      <c r="AC60" s="148">
        <f t="shared" si="23"/>
        <v>6.286105227638554E-3</v>
      </c>
    </row>
    <row r="61" spans="2:33" ht="14.5" hidden="1" outlineLevel="1" x14ac:dyDescent="0.35">
      <c r="B61" s="163">
        <v>-8</v>
      </c>
      <c r="C61" s="143"/>
      <c r="D61" s="164" t="s">
        <v>136</v>
      </c>
      <c r="E61" s="632">
        <f>'CP.NS'!C13+'CP.NS'!C22+'CP.NS'!C50</f>
        <v>0</v>
      </c>
      <c r="F61" s="633">
        <f>'CP.NS'!D13+'CP.NS'!D22+'CP.NS'!D50</f>
        <v>0</v>
      </c>
      <c r="G61" s="633">
        <f>'CP.NS'!E13+'CP.NS'!E22+'CP.NS'!E50</f>
        <v>0</v>
      </c>
      <c r="H61" s="649">
        <f>'CP.NS'!F13+'CP.NS'!F22+'CP.NS'!F50</f>
        <v>0</v>
      </c>
      <c r="I61" s="656">
        <f>'CP.NS'!C32+'CP.NS'!C41</f>
        <v>0</v>
      </c>
      <c r="J61" s="633">
        <f>'CP.NS'!D32+'CP.NS'!D41</f>
        <v>0</v>
      </c>
      <c r="K61" s="633">
        <f>'CP.NS'!E32+'CP.NS'!E41</f>
        <v>0</v>
      </c>
      <c r="L61" s="642">
        <f>'CP.NS'!F32+'CP.NS'!F41</f>
        <v>0</v>
      </c>
      <c r="M61" s="671">
        <f t="shared" si="26"/>
        <v>0</v>
      </c>
      <c r="N61" s="672">
        <f t="shared" si="27"/>
        <v>0</v>
      </c>
      <c r="O61" s="672">
        <f t="shared" si="28"/>
        <v>0</v>
      </c>
      <c r="P61" s="673">
        <f t="shared" si="29"/>
        <v>0</v>
      </c>
      <c r="Q61" s="689">
        <f t="shared" si="14"/>
        <v>0</v>
      </c>
      <c r="R61" s="690">
        <f t="shared" si="15"/>
        <v>0</v>
      </c>
      <c r="S61" s="690">
        <f t="shared" si="16"/>
        <v>0</v>
      </c>
      <c r="T61" s="691">
        <f t="shared" si="17"/>
        <v>0</v>
      </c>
      <c r="U61" s="708">
        <f t="shared" si="18"/>
        <v>0</v>
      </c>
      <c r="V61" s="709">
        <f t="shared" si="6"/>
        <v>0</v>
      </c>
      <c r="W61" s="709">
        <f t="shared" si="7"/>
        <v>0</v>
      </c>
      <c r="X61" s="710">
        <f t="shared" si="8"/>
        <v>0</v>
      </c>
      <c r="Y61" s="725">
        <f t="shared" si="19"/>
        <v>0</v>
      </c>
      <c r="Z61" s="726">
        <f t="shared" si="20"/>
        <v>0</v>
      </c>
      <c r="AA61" s="726">
        <f t="shared" si="21"/>
        <v>0</v>
      </c>
      <c r="AB61" s="727">
        <f t="shared" si="22"/>
        <v>0</v>
      </c>
      <c r="AC61" s="148">
        <f t="shared" si="23"/>
        <v>0</v>
      </c>
    </row>
    <row r="62" spans="2:33" s="142" customFormat="1" ht="14.5" collapsed="1" x14ac:dyDescent="0.35">
      <c r="B62" s="161" t="s">
        <v>541</v>
      </c>
      <c r="C62" s="141" t="s">
        <v>333</v>
      </c>
      <c r="D62" s="162"/>
      <c r="E62" s="634">
        <f>SUM(E63:E71)</f>
        <v>18262500</v>
      </c>
      <c r="F62" s="635">
        <f t="shared" ref="F62:L62" si="35">SUM(F63:F71)</f>
        <v>18262500</v>
      </c>
      <c r="G62" s="635">
        <f>SUM(G63:G71)</f>
        <v>31906500</v>
      </c>
      <c r="H62" s="650">
        <f>SUM(H63:H71)</f>
        <v>31906500</v>
      </c>
      <c r="I62" s="657">
        <f t="shared" si="35"/>
        <v>0</v>
      </c>
      <c r="J62" s="635">
        <f t="shared" si="35"/>
        <v>0</v>
      </c>
      <c r="K62" s="635">
        <f t="shared" si="35"/>
        <v>0</v>
      </c>
      <c r="L62" s="643">
        <f t="shared" si="35"/>
        <v>0</v>
      </c>
      <c r="M62" s="674">
        <f t="shared" si="26"/>
        <v>18262500</v>
      </c>
      <c r="N62" s="675">
        <f t="shared" si="27"/>
        <v>18262500</v>
      </c>
      <c r="O62" s="675">
        <f t="shared" si="28"/>
        <v>31906500</v>
      </c>
      <c r="P62" s="676">
        <f t="shared" si="29"/>
        <v>31906500</v>
      </c>
      <c r="Q62" s="692">
        <f t="shared" si="14"/>
        <v>49.411525974025977</v>
      </c>
      <c r="R62" s="693">
        <f t="shared" si="15"/>
        <v>32.941017316017316</v>
      </c>
      <c r="S62" s="693">
        <f t="shared" si="16"/>
        <v>43.163555194805198</v>
      </c>
      <c r="T62" s="694">
        <f t="shared" si="17"/>
        <v>34.530844155844157</v>
      </c>
      <c r="U62" s="711">
        <f t="shared" si="18"/>
        <v>0</v>
      </c>
      <c r="V62" s="712">
        <f t="shared" si="6"/>
        <v>0</v>
      </c>
      <c r="W62" s="712">
        <f t="shared" si="7"/>
        <v>0</v>
      </c>
      <c r="X62" s="713">
        <f t="shared" si="8"/>
        <v>0</v>
      </c>
      <c r="Y62" s="728">
        <f t="shared" si="19"/>
        <v>49.411525974025977</v>
      </c>
      <c r="Z62" s="729">
        <f t="shared" si="20"/>
        <v>32.941017316017316</v>
      </c>
      <c r="AA62" s="729">
        <f t="shared" si="21"/>
        <v>43.163555194805198</v>
      </c>
      <c r="AB62" s="730">
        <f t="shared" si="22"/>
        <v>34.530844155844157</v>
      </c>
      <c r="AC62" s="149">
        <f t="shared" si="23"/>
        <v>2.6197442064478777E-3</v>
      </c>
      <c r="AD62" s="771"/>
      <c r="AE62" s="771"/>
      <c r="AF62" s="771"/>
      <c r="AG62" s="771"/>
    </row>
    <row r="63" spans="2:33" ht="14.5" hidden="1" outlineLevel="1" x14ac:dyDescent="0.35">
      <c r="B63" s="156">
        <v>-1</v>
      </c>
      <c r="C63" s="130"/>
      <c r="D63" s="164" t="s">
        <v>138</v>
      </c>
      <c r="E63" s="632">
        <f>IF(G.Định!$E$5="x",'CP.NS'!C52*G.Định!$D$73,'CP.NS'!C52)</f>
        <v>1875000</v>
      </c>
      <c r="F63" s="633">
        <f>IF(G.Định!$E$5="x",'CP.NS'!D52*G.Định!$D$73,'CP.NS'!D52)</f>
        <v>1875000</v>
      </c>
      <c r="G63" s="633">
        <f>IF(G.Định!$E$5="x",'CP.NS'!E52*G.Định!$D$73,'CP.NS'!E52)</f>
        <v>3675000</v>
      </c>
      <c r="H63" s="649">
        <f>IF(G.Định!$E$5="x",'CP.NS'!F52*G.Định!$D$73,'CP.NS'!F52)</f>
        <v>3675000</v>
      </c>
      <c r="I63" s="656">
        <f>IF(G.Định!$E$5="x",'CP.NS'!C52*G.Định!$D$74,0)</f>
        <v>0</v>
      </c>
      <c r="J63" s="633">
        <f>IF(G.Định!$E$5="x",'CP.NS'!D52*G.Định!$D$74,0)</f>
        <v>0</v>
      </c>
      <c r="K63" s="633">
        <f>IF(G.Định!$E$5="x",'CP.NS'!E52*G.Định!$D$74,0)</f>
        <v>0</v>
      </c>
      <c r="L63" s="642">
        <f>IF(G.Định!$E$5="x",'CP.NS'!F52*G.Định!$D$74,0)</f>
        <v>0</v>
      </c>
      <c r="M63" s="671">
        <f t="shared" si="26"/>
        <v>1875000</v>
      </c>
      <c r="N63" s="672">
        <f t="shared" si="27"/>
        <v>1875000</v>
      </c>
      <c r="O63" s="672">
        <f t="shared" si="28"/>
        <v>3675000</v>
      </c>
      <c r="P63" s="673">
        <f t="shared" si="29"/>
        <v>3675000</v>
      </c>
      <c r="Q63" s="689">
        <f t="shared" si="14"/>
        <v>5.0730519480519485</v>
      </c>
      <c r="R63" s="690">
        <f t="shared" si="15"/>
        <v>3.3820346320346322</v>
      </c>
      <c r="S63" s="690">
        <f t="shared" si="16"/>
        <v>4.9715909090909092</v>
      </c>
      <c r="T63" s="691">
        <f t="shared" si="17"/>
        <v>3.9772727272727271</v>
      </c>
      <c r="U63" s="708">
        <f t="shared" si="18"/>
        <v>0</v>
      </c>
      <c r="V63" s="709">
        <f t="shared" si="6"/>
        <v>0</v>
      </c>
      <c r="W63" s="709">
        <f t="shared" si="7"/>
        <v>0</v>
      </c>
      <c r="X63" s="710">
        <f t="shared" si="8"/>
        <v>0</v>
      </c>
      <c r="Y63" s="725">
        <f t="shared" si="19"/>
        <v>5.0730519480519485</v>
      </c>
      <c r="Z63" s="726">
        <f t="shared" si="20"/>
        <v>3.3820346320346322</v>
      </c>
      <c r="AA63" s="726">
        <f t="shared" si="21"/>
        <v>4.9715909090909092</v>
      </c>
      <c r="AB63" s="727">
        <f t="shared" si="22"/>
        <v>3.9772727272727271</v>
      </c>
      <c r="AC63" s="148">
        <f t="shared" si="23"/>
        <v>3.0174290375616097E-4</v>
      </c>
    </row>
    <row r="64" spans="2:33" ht="14.5" hidden="1" outlineLevel="1" x14ac:dyDescent="0.35">
      <c r="B64" s="156">
        <v>-2</v>
      </c>
      <c r="C64" s="130"/>
      <c r="D64" s="164" t="s">
        <v>139</v>
      </c>
      <c r="E64" s="632">
        <f>IF(G.Định!$E$5="x",'CP.NS'!C53*G.Định!$D$73,'CP.NS'!C53)</f>
        <v>0</v>
      </c>
      <c r="F64" s="633">
        <f>IF(G.Định!$E$5="x",'CP.NS'!D53*G.Định!$D$73,'CP.NS'!D53)</f>
        <v>0</v>
      </c>
      <c r="G64" s="633">
        <f>IF(G.Định!$E$5="x",'CP.NS'!E53*G.Định!$D$73,'CP.NS'!E53)</f>
        <v>0</v>
      </c>
      <c r="H64" s="649">
        <f>IF(G.Định!$E$5="x",'CP.NS'!F53*G.Định!$D$73,'CP.NS'!F53)</f>
        <v>0</v>
      </c>
      <c r="I64" s="656">
        <f>IF(G.Định!$E$5="x",'CP.NS'!C53*G.Định!$D$74,0)</f>
        <v>0</v>
      </c>
      <c r="J64" s="633">
        <f>IF(G.Định!$E$5="x",'CP.NS'!D53*G.Định!$D$74,0)</f>
        <v>0</v>
      </c>
      <c r="K64" s="633">
        <f>IF(G.Định!$E$5="x",'CP.NS'!E53*G.Định!$D$74,0)</f>
        <v>0</v>
      </c>
      <c r="L64" s="642">
        <f>IF(G.Định!$E$5="x",'CP.NS'!F53*G.Định!$D$74,0)</f>
        <v>0</v>
      </c>
      <c r="M64" s="671">
        <f t="shared" si="26"/>
        <v>0</v>
      </c>
      <c r="N64" s="672">
        <f t="shared" si="27"/>
        <v>0</v>
      </c>
      <c r="O64" s="672">
        <f t="shared" si="28"/>
        <v>0</v>
      </c>
      <c r="P64" s="673">
        <f t="shared" si="29"/>
        <v>0</v>
      </c>
      <c r="Q64" s="689">
        <f t="shared" si="14"/>
        <v>0</v>
      </c>
      <c r="R64" s="690">
        <f t="shared" si="15"/>
        <v>0</v>
      </c>
      <c r="S64" s="690">
        <f t="shared" si="16"/>
        <v>0</v>
      </c>
      <c r="T64" s="691">
        <f t="shared" si="17"/>
        <v>0</v>
      </c>
      <c r="U64" s="708">
        <f t="shared" si="18"/>
        <v>0</v>
      </c>
      <c r="V64" s="709">
        <f t="shared" si="6"/>
        <v>0</v>
      </c>
      <c r="W64" s="709">
        <f t="shared" si="7"/>
        <v>0</v>
      </c>
      <c r="X64" s="710">
        <f t="shared" si="8"/>
        <v>0</v>
      </c>
      <c r="Y64" s="725">
        <f t="shared" si="19"/>
        <v>0</v>
      </c>
      <c r="Z64" s="726">
        <f t="shared" si="20"/>
        <v>0</v>
      </c>
      <c r="AA64" s="726">
        <f t="shared" si="21"/>
        <v>0</v>
      </c>
      <c r="AB64" s="727">
        <f t="shared" si="22"/>
        <v>0</v>
      </c>
      <c r="AC64" s="148">
        <f t="shared" si="23"/>
        <v>0</v>
      </c>
    </row>
    <row r="65" spans="2:33" ht="14.5" hidden="1" outlineLevel="1" x14ac:dyDescent="0.35">
      <c r="B65" s="156">
        <v>-3</v>
      </c>
      <c r="C65" s="130"/>
      <c r="D65" s="164" t="s">
        <v>140</v>
      </c>
      <c r="E65" s="632">
        <f>IF(G.Định!$E$5="x",'CP.NS'!C54*G.Định!$D$73,'CP.NS'!C54)</f>
        <v>1462500</v>
      </c>
      <c r="F65" s="633">
        <f>IF(G.Định!$E$5="x",'CP.NS'!D54*G.Định!$D$73,'CP.NS'!D54)</f>
        <v>1462500</v>
      </c>
      <c r="G65" s="633">
        <f>IF(G.Định!$E$5="x",'CP.NS'!E54*G.Định!$D$73,'CP.NS'!E54)</f>
        <v>2866500</v>
      </c>
      <c r="H65" s="649">
        <f>IF(G.Định!$E$5="x",'CP.NS'!F54*G.Định!$D$73,'CP.NS'!F54)</f>
        <v>2866500</v>
      </c>
      <c r="I65" s="656">
        <f>IF(G.Định!$E$5="x",'CP.NS'!C54*G.Định!$D$74,0)</f>
        <v>0</v>
      </c>
      <c r="J65" s="633">
        <f>IF(G.Định!$E$5="x",'CP.NS'!D54*G.Định!$D$74,0)</f>
        <v>0</v>
      </c>
      <c r="K65" s="633">
        <f>IF(G.Định!$E$5="x",'CP.NS'!E54*G.Định!$D$74,0)</f>
        <v>0</v>
      </c>
      <c r="L65" s="642">
        <f>IF(G.Định!$E$5="x",'CP.NS'!F54*G.Định!$D$74,0)</f>
        <v>0</v>
      </c>
      <c r="M65" s="671">
        <f t="shared" si="26"/>
        <v>1462500</v>
      </c>
      <c r="N65" s="672">
        <f t="shared" si="27"/>
        <v>1462500</v>
      </c>
      <c r="O65" s="672">
        <f t="shared" si="28"/>
        <v>2866500</v>
      </c>
      <c r="P65" s="673">
        <f t="shared" si="29"/>
        <v>2866500</v>
      </c>
      <c r="Q65" s="689">
        <f t="shared" si="14"/>
        <v>3.9569805194805197</v>
      </c>
      <c r="R65" s="690">
        <f t="shared" si="15"/>
        <v>2.6379870129870131</v>
      </c>
      <c r="S65" s="690">
        <f t="shared" si="16"/>
        <v>3.8778409090909092</v>
      </c>
      <c r="T65" s="691">
        <f t="shared" si="17"/>
        <v>3.1022727272727271</v>
      </c>
      <c r="U65" s="708">
        <f t="shared" si="18"/>
        <v>0</v>
      </c>
      <c r="V65" s="709">
        <f t="shared" si="6"/>
        <v>0</v>
      </c>
      <c r="W65" s="709">
        <f t="shared" si="7"/>
        <v>0</v>
      </c>
      <c r="X65" s="710">
        <f t="shared" si="8"/>
        <v>0</v>
      </c>
      <c r="Y65" s="725">
        <f t="shared" si="19"/>
        <v>3.9569805194805197</v>
      </c>
      <c r="Z65" s="726">
        <f t="shared" si="20"/>
        <v>2.6379870129870131</v>
      </c>
      <c r="AA65" s="726">
        <f t="shared" si="21"/>
        <v>3.8778409090909092</v>
      </c>
      <c r="AB65" s="727">
        <f t="shared" si="22"/>
        <v>3.1022727272727271</v>
      </c>
      <c r="AC65" s="148">
        <f t="shared" si="23"/>
        <v>2.3535946492980557E-4</v>
      </c>
    </row>
    <row r="66" spans="2:33" ht="14.5" hidden="1" outlineLevel="1" x14ac:dyDescent="0.35">
      <c r="B66" s="156">
        <v>-4</v>
      </c>
      <c r="C66" s="130"/>
      <c r="D66" s="164" t="s">
        <v>141</v>
      </c>
      <c r="E66" s="632">
        <f>IF(G.Định!$E$5="x",'CP.NS'!C55*G.Định!$D$73,'CP.NS'!C55)</f>
        <v>2850000.0000000005</v>
      </c>
      <c r="F66" s="633">
        <f>IF(G.Định!$E$5="x",'CP.NS'!D55*G.Định!$D$73,'CP.NS'!D55)</f>
        <v>2850000.0000000005</v>
      </c>
      <c r="G66" s="633">
        <f>IF(G.Định!$E$5="x",'CP.NS'!E55*G.Định!$D$73,'CP.NS'!E55)</f>
        <v>4290000</v>
      </c>
      <c r="H66" s="649">
        <f>IF(G.Định!$E$5="x",'CP.NS'!F55*G.Định!$D$73,'CP.NS'!F55)</f>
        <v>4290000</v>
      </c>
      <c r="I66" s="656">
        <f>IF(G.Định!$E$5="x",'CP.NS'!C55*G.Định!$D$74,0)</f>
        <v>0</v>
      </c>
      <c r="J66" s="633">
        <f>IF(G.Định!$E$5="x",'CP.NS'!D55*G.Định!$D$74,0)</f>
        <v>0</v>
      </c>
      <c r="K66" s="633">
        <f>IF(G.Định!$E$5="x",'CP.NS'!E55*G.Định!$D$74,0)</f>
        <v>0</v>
      </c>
      <c r="L66" s="642">
        <f>IF(G.Định!$E$5="x",'CP.NS'!F55*G.Định!$D$74,0)</f>
        <v>0</v>
      </c>
      <c r="M66" s="671">
        <f t="shared" si="26"/>
        <v>2850000.0000000005</v>
      </c>
      <c r="N66" s="672">
        <f t="shared" si="27"/>
        <v>2850000.0000000005</v>
      </c>
      <c r="O66" s="672">
        <f t="shared" si="28"/>
        <v>4290000</v>
      </c>
      <c r="P66" s="673">
        <f t="shared" si="29"/>
        <v>4290000</v>
      </c>
      <c r="Q66" s="689">
        <f t="shared" si="14"/>
        <v>7.7110389610389625</v>
      </c>
      <c r="R66" s="690">
        <f t="shared" si="15"/>
        <v>5.1406926406926416</v>
      </c>
      <c r="S66" s="690">
        <f t="shared" si="16"/>
        <v>5.8035714285714288</v>
      </c>
      <c r="T66" s="691">
        <f t="shared" si="17"/>
        <v>4.6428571428571432</v>
      </c>
      <c r="U66" s="708">
        <f t="shared" si="18"/>
        <v>0</v>
      </c>
      <c r="V66" s="709">
        <f t="shared" si="6"/>
        <v>0</v>
      </c>
      <c r="W66" s="709">
        <f t="shared" si="7"/>
        <v>0</v>
      </c>
      <c r="X66" s="710">
        <f t="shared" si="8"/>
        <v>0</v>
      </c>
      <c r="Y66" s="725">
        <f t="shared" si="19"/>
        <v>7.7110389610389625</v>
      </c>
      <c r="Z66" s="726">
        <f t="shared" si="20"/>
        <v>5.1406926406926416</v>
      </c>
      <c r="AA66" s="726">
        <f t="shared" si="21"/>
        <v>5.8035714285714288</v>
      </c>
      <c r="AB66" s="727">
        <f t="shared" si="22"/>
        <v>4.6428571428571432</v>
      </c>
      <c r="AC66" s="148">
        <f t="shared" si="23"/>
        <v>3.5223865499698796E-4</v>
      </c>
    </row>
    <row r="67" spans="2:33" ht="14.5" hidden="1" outlineLevel="1" x14ac:dyDescent="0.35">
      <c r="B67" s="156">
        <v>-5</v>
      </c>
      <c r="C67" s="130"/>
      <c r="D67" s="164" t="s">
        <v>143</v>
      </c>
      <c r="E67" s="632">
        <f>IF(G.Định!$E$5="x",'CP.NS'!C56*G.Định!$D$73,'CP.NS'!C56)</f>
        <v>1875000</v>
      </c>
      <c r="F67" s="633">
        <f>IF(G.Định!$E$5="x",'CP.NS'!D56*G.Định!$D$73,'CP.NS'!D56)</f>
        <v>1875000</v>
      </c>
      <c r="G67" s="633">
        <f>IF(G.Định!$E$5="x",'CP.NS'!E56*G.Định!$D$73,'CP.NS'!E56)</f>
        <v>3675000</v>
      </c>
      <c r="H67" s="649">
        <f>IF(G.Định!$E$5="x",'CP.NS'!F56*G.Định!$D$73,'CP.NS'!F56)</f>
        <v>3675000</v>
      </c>
      <c r="I67" s="656">
        <f>IF(G.Định!$E$5="x",'CP.NS'!C56*G.Định!$D$74,0)</f>
        <v>0</v>
      </c>
      <c r="J67" s="633">
        <f>IF(G.Định!$E$5="x",'CP.NS'!D56*G.Định!$D$74,0)</f>
        <v>0</v>
      </c>
      <c r="K67" s="633">
        <f>IF(G.Định!$E$5="x",'CP.NS'!E56*G.Định!$D$74,0)</f>
        <v>0</v>
      </c>
      <c r="L67" s="642">
        <f>IF(G.Định!$E$5="x",'CP.NS'!F56*G.Định!$D$74,0)</f>
        <v>0</v>
      </c>
      <c r="M67" s="671">
        <f t="shared" si="26"/>
        <v>1875000</v>
      </c>
      <c r="N67" s="672">
        <f t="shared" si="27"/>
        <v>1875000</v>
      </c>
      <c r="O67" s="672">
        <f t="shared" si="28"/>
        <v>3675000</v>
      </c>
      <c r="P67" s="673">
        <f t="shared" si="29"/>
        <v>3675000</v>
      </c>
      <c r="Q67" s="689">
        <f t="shared" si="14"/>
        <v>5.0730519480519485</v>
      </c>
      <c r="R67" s="690">
        <f t="shared" si="15"/>
        <v>3.3820346320346322</v>
      </c>
      <c r="S67" s="690">
        <f t="shared" si="16"/>
        <v>4.9715909090909092</v>
      </c>
      <c r="T67" s="691">
        <f t="shared" si="17"/>
        <v>3.9772727272727271</v>
      </c>
      <c r="U67" s="708">
        <f t="shared" si="18"/>
        <v>0</v>
      </c>
      <c r="V67" s="709">
        <f t="shared" si="6"/>
        <v>0</v>
      </c>
      <c r="W67" s="709">
        <f t="shared" si="7"/>
        <v>0</v>
      </c>
      <c r="X67" s="710">
        <f t="shared" si="8"/>
        <v>0</v>
      </c>
      <c r="Y67" s="725">
        <f t="shared" si="19"/>
        <v>5.0730519480519485</v>
      </c>
      <c r="Z67" s="726">
        <f t="shared" si="20"/>
        <v>3.3820346320346322</v>
      </c>
      <c r="AA67" s="726">
        <f t="shared" si="21"/>
        <v>4.9715909090909092</v>
      </c>
      <c r="AB67" s="727">
        <f t="shared" si="22"/>
        <v>3.9772727272727271</v>
      </c>
      <c r="AC67" s="148">
        <f t="shared" si="23"/>
        <v>3.0174290375616097E-4</v>
      </c>
    </row>
    <row r="68" spans="2:33" ht="14.5" hidden="1" outlineLevel="1" x14ac:dyDescent="0.35">
      <c r="B68" s="156">
        <v>-6</v>
      </c>
      <c r="C68" s="130"/>
      <c r="D68" s="164" t="s">
        <v>144</v>
      </c>
      <c r="E68" s="632">
        <f>IF(G.Định!$E$5="x",'CP.NS'!C57*G.Định!$D$73,'CP.NS'!C57)</f>
        <v>7500000</v>
      </c>
      <c r="F68" s="633">
        <f>IF(G.Định!$E$5="x",'CP.NS'!D57*G.Định!$D$73,'CP.NS'!D57)</f>
        <v>7500000</v>
      </c>
      <c r="G68" s="633">
        <f>IF(G.Định!$E$5="x",'CP.NS'!E57*G.Định!$D$73,'CP.NS'!E57)</f>
        <v>14700000</v>
      </c>
      <c r="H68" s="649">
        <f>IF(G.Định!$E$5="x",'CP.NS'!F57*G.Định!$D$73,'CP.NS'!F57)</f>
        <v>14700000</v>
      </c>
      <c r="I68" s="656">
        <f>IF(G.Định!$E$5="x",'CP.NS'!C57*G.Định!$D$74,0)</f>
        <v>0</v>
      </c>
      <c r="J68" s="633">
        <f>IF(G.Định!$E$5="x",'CP.NS'!D57*G.Định!$D$74,0)</f>
        <v>0</v>
      </c>
      <c r="K68" s="633">
        <f>IF(G.Định!$E$5="x",'CP.NS'!E57*G.Định!$D$74,0)</f>
        <v>0</v>
      </c>
      <c r="L68" s="642">
        <f>IF(G.Định!$E$5="x",'CP.NS'!F57*G.Định!$D$74,0)</f>
        <v>0</v>
      </c>
      <c r="M68" s="671">
        <f t="shared" si="26"/>
        <v>7500000</v>
      </c>
      <c r="N68" s="672">
        <f t="shared" si="27"/>
        <v>7500000</v>
      </c>
      <c r="O68" s="672">
        <f t="shared" si="28"/>
        <v>14700000</v>
      </c>
      <c r="P68" s="673">
        <f t="shared" si="29"/>
        <v>14700000</v>
      </c>
      <c r="Q68" s="689">
        <f t="shared" si="14"/>
        <v>20.292207792207794</v>
      </c>
      <c r="R68" s="690">
        <f t="shared" si="15"/>
        <v>13.528138528138529</v>
      </c>
      <c r="S68" s="690">
        <f t="shared" si="16"/>
        <v>19.886363636363637</v>
      </c>
      <c r="T68" s="691">
        <f t="shared" si="17"/>
        <v>15.909090909090908</v>
      </c>
      <c r="U68" s="708">
        <f t="shared" si="18"/>
        <v>0</v>
      </c>
      <c r="V68" s="709">
        <f t="shared" si="6"/>
        <v>0</v>
      </c>
      <c r="W68" s="709">
        <f t="shared" si="7"/>
        <v>0</v>
      </c>
      <c r="X68" s="710">
        <f t="shared" si="8"/>
        <v>0</v>
      </c>
      <c r="Y68" s="725">
        <f t="shared" si="19"/>
        <v>20.292207792207794</v>
      </c>
      <c r="Z68" s="726">
        <f t="shared" si="20"/>
        <v>13.528138528138529</v>
      </c>
      <c r="AA68" s="726">
        <f t="shared" si="21"/>
        <v>19.886363636363637</v>
      </c>
      <c r="AB68" s="727">
        <f t="shared" si="22"/>
        <v>15.909090909090908</v>
      </c>
      <c r="AC68" s="148">
        <f t="shared" si="23"/>
        <v>1.2069716150246439E-3</v>
      </c>
    </row>
    <row r="69" spans="2:33" ht="14.5" hidden="1" outlineLevel="1" x14ac:dyDescent="0.35">
      <c r="B69" s="156">
        <v>-7</v>
      </c>
      <c r="C69" s="130"/>
      <c r="D69" s="164" t="s">
        <v>145</v>
      </c>
      <c r="E69" s="632">
        <f>IF(G.Định!$E$5="x",'CP.NS'!C58*G.Định!$D$73,'CP.NS'!C58)</f>
        <v>0</v>
      </c>
      <c r="F69" s="633">
        <f>IF(G.Định!$E$5="x",'CP.NS'!D58*G.Định!$D$73,'CP.NS'!D58)</f>
        <v>0</v>
      </c>
      <c r="G69" s="633">
        <f>IF(G.Định!$E$5="x",'CP.NS'!E58*G.Định!$D$73,'CP.NS'!E58)</f>
        <v>0</v>
      </c>
      <c r="H69" s="649">
        <f>IF(G.Định!$E$5="x",'CP.NS'!F58*G.Định!$D$73,'CP.NS'!F58)</f>
        <v>0</v>
      </c>
      <c r="I69" s="656">
        <f>IF(G.Định!$E$5="x",'CP.NS'!C58*G.Định!$D$74,0)</f>
        <v>0</v>
      </c>
      <c r="J69" s="633">
        <f>IF(G.Định!$E$5="x",'CP.NS'!D58*G.Định!$D$74,0)</f>
        <v>0</v>
      </c>
      <c r="K69" s="633">
        <f>IF(G.Định!$E$5="x",'CP.NS'!E58*G.Định!$D$74,0)</f>
        <v>0</v>
      </c>
      <c r="L69" s="642">
        <f>IF(G.Định!$E$5="x",'CP.NS'!F58*G.Định!$D$74,0)</f>
        <v>0</v>
      </c>
      <c r="M69" s="671">
        <f t="shared" si="26"/>
        <v>0</v>
      </c>
      <c r="N69" s="672">
        <f t="shared" si="27"/>
        <v>0</v>
      </c>
      <c r="O69" s="672">
        <f t="shared" si="28"/>
        <v>0</v>
      </c>
      <c r="P69" s="673">
        <f t="shared" si="29"/>
        <v>0</v>
      </c>
      <c r="Q69" s="689">
        <f t="shared" si="14"/>
        <v>0</v>
      </c>
      <c r="R69" s="690">
        <f t="shared" si="15"/>
        <v>0</v>
      </c>
      <c r="S69" s="690">
        <f t="shared" si="16"/>
        <v>0</v>
      </c>
      <c r="T69" s="691">
        <f t="shared" si="17"/>
        <v>0</v>
      </c>
      <c r="U69" s="708">
        <f t="shared" si="18"/>
        <v>0</v>
      </c>
      <c r="V69" s="709">
        <f t="shared" si="6"/>
        <v>0</v>
      </c>
      <c r="W69" s="709">
        <f t="shared" si="7"/>
        <v>0</v>
      </c>
      <c r="X69" s="710">
        <f t="shared" si="8"/>
        <v>0</v>
      </c>
      <c r="Y69" s="725">
        <f t="shared" si="19"/>
        <v>0</v>
      </c>
      <c r="Z69" s="726">
        <f t="shared" si="20"/>
        <v>0</v>
      </c>
      <c r="AA69" s="726">
        <f t="shared" si="21"/>
        <v>0</v>
      </c>
      <c r="AB69" s="727">
        <f t="shared" si="22"/>
        <v>0</v>
      </c>
      <c r="AC69" s="148">
        <f t="shared" si="23"/>
        <v>0</v>
      </c>
    </row>
    <row r="70" spans="2:33" ht="14.5" hidden="1" outlineLevel="1" x14ac:dyDescent="0.35">
      <c r="B70" s="156">
        <v>-8</v>
      </c>
      <c r="C70" s="130"/>
      <c r="D70" s="164" t="s">
        <v>427</v>
      </c>
      <c r="E70" s="632">
        <f>IF(G.Định!$E$5="x",'CP.NS'!C59*G.Định!$D$73,'CP.NS'!C59)</f>
        <v>1800000</v>
      </c>
      <c r="F70" s="633">
        <f>IF(G.Định!$E$5="x",'CP.NS'!D59*G.Định!$D$73,'CP.NS'!D59)</f>
        <v>1800000</v>
      </c>
      <c r="G70" s="633">
        <f>IF(G.Định!$E$5="x",'CP.NS'!E59*G.Định!$D$73,'CP.NS'!E59)</f>
        <v>1800000</v>
      </c>
      <c r="H70" s="649">
        <f>IF(G.Định!$E$5="x",'CP.NS'!F59*G.Định!$D$73,'CP.NS'!F59)</f>
        <v>1800000</v>
      </c>
      <c r="I70" s="656">
        <f>IF(G.Định!$E$5="x",'CP.NS'!C59*G.Định!$D$74,0)</f>
        <v>0</v>
      </c>
      <c r="J70" s="633">
        <f>IF(G.Định!$E$5="x",'CP.NS'!D59*G.Định!$D$74,0)</f>
        <v>0</v>
      </c>
      <c r="K70" s="633">
        <f>IF(G.Định!$E$5="x",'CP.NS'!E59*G.Định!$D$74,0)</f>
        <v>0</v>
      </c>
      <c r="L70" s="642">
        <f>IF(G.Định!$E$5="x",'CP.NS'!F59*G.Định!$D$74,0)</f>
        <v>0</v>
      </c>
      <c r="M70" s="671">
        <f t="shared" si="26"/>
        <v>1800000</v>
      </c>
      <c r="N70" s="672">
        <f t="shared" si="27"/>
        <v>1800000</v>
      </c>
      <c r="O70" s="672">
        <f t="shared" si="28"/>
        <v>1800000</v>
      </c>
      <c r="P70" s="673">
        <f t="shared" si="29"/>
        <v>1800000</v>
      </c>
      <c r="Q70" s="689">
        <f t="shared" si="14"/>
        <v>4.8701298701298699</v>
      </c>
      <c r="R70" s="690">
        <f t="shared" si="15"/>
        <v>3.2467532467532467</v>
      </c>
      <c r="S70" s="690">
        <f t="shared" si="16"/>
        <v>2.4350649350649349</v>
      </c>
      <c r="T70" s="691">
        <f t="shared" si="17"/>
        <v>1.948051948051948</v>
      </c>
      <c r="U70" s="708">
        <f t="shared" si="18"/>
        <v>0</v>
      </c>
      <c r="V70" s="709">
        <f t="shared" ref="V70:V75" si="36">IFERROR(J70/J$5,0)</f>
        <v>0</v>
      </c>
      <c r="W70" s="709">
        <f t="shared" ref="W70:W75" si="37">IFERROR(K70/K$5,0)</f>
        <v>0</v>
      </c>
      <c r="X70" s="710">
        <f t="shared" ref="X70:X75" si="38">IFERROR(L70/L$5,0)</f>
        <v>0</v>
      </c>
      <c r="Y70" s="725">
        <f t="shared" si="19"/>
        <v>4.8701298701298699</v>
      </c>
      <c r="Z70" s="726">
        <f t="shared" si="20"/>
        <v>3.2467532467532467</v>
      </c>
      <c r="AA70" s="726">
        <f t="shared" si="21"/>
        <v>2.4350649350649349</v>
      </c>
      <c r="AB70" s="727">
        <f t="shared" si="22"/>
        <v>1.948051948051948</v>
      </c>
      <c r="AC70" s="148">
        <f t="shared" si="23"/>
        <v>1.4779244265607886E-4</v>
      </c>
    </row>
    <row r="71" spans="2:33" ht="14.5" hidden="1" outlineLevel="1" x14ac:dyDescent="0.35">
      <c r="B71" s="156">
        <v>-9</v>
      </c>
      <c r="C71" s="130"/>
      <c r="D71" s="164" t="s">
        <v>151</v>
      </c>
      <c r="E71" s="632">
        <f>IF(G.Định!$E$5="x",'CP.NS'!C60*G.Định!$D$73,'CP.NS'!C60)</f>
        <v>900000</v>
      </c>
      <c r="F71" s="633">
        <f>IF(G.Định!$E$5="x",'CP.NS'!D60*G.Định!$D$73,'CP.NS'!D60)</f>
        <v>900000</v>
      </c>
      <c r="G71" s="633">
        <f>IF(G.Định!$E$5="x",'CP.NS'!E60*G.Định!$D$73,'CP.NS'!E60)</f>
        <v>900000</v>
      </c>
      <c r="H71" s="649">
        <f>IF(G.Định!$E$5="x",'CP.NS'!F60*G.Định!$D$73,'CP.NS'!F60)</f>
        <v>900000</v>
      </c>
      <c r="I71" s="656">
        <f>IF(G.Định!$E$5="x",'CP.NS'!C60*G.Định!$D$74,0)</f>
        <v>0</v>
      </c>
      <c r="J71" s="633">
        <f>IF(G.Định!$E$5="x",'CP.NS'!D60*G.Định!$D$74,0)</f>
        <v>0</v>
      </c>
      <c r="K71" s="633">
        <f>IF(G.Định!$E$5="x",'CP.NS'!E60*G.Định!$D$74,0)</f>
        <v>0</v>
      </c>
      <c r="L71" s="642">
        <f>IF(G.Định!$E$5="x",'CP.NS'!F60*G.Định!$D$74,0)</f>
        <v>0</v>
      </c>
      <c r="M71" s="671">
        <f t="shared" si="26"/>
        <v>900000</v>
      </c>
      <c r="N71" s="672">
        <f t="shared" si="27"/>
        <v>900000</v>
      </c>
      <c r="O71" s="672">
        <f t="shared" si="28"/>
        <v>900000</v>
      </c>
      <c r="P71" s="673">
        <f t="shared" si="29"/>
        <v>900000</v>
      </c>
      <c r="Q71" s="689">
        <f t="shared" ref="Q71:Q74" si="39">E71/E$5</f>
        <v>2.4350649350649349</v>
      </c>
      <c r="R71" s="690">
        <f t="shared" ref="R71:R75" si="40">F71/F$5</f>
        <v>1.6233766233766234</v>
      </c>
      <c r="S71" s="690">
        <f t="shared" ref="S71:S75" si="41">G71/G$5</f>
        <v>1.2175324675324675</v>
      </c>
      <c r="T71" s="691">
        <f t="shared" ref="T71:T75" si="42">H71/H$5</f>
        <v>0.97402597402597402</v>
      </c>
      <c r="U71" s="708">
        <f t="shared" ref="U71:U75" si="43">IFERROR(I71/I$5,0)</f>
        <v>0</v>
      </c>
      <c r="V71" s="709">
        <f t="shared" si="36"/>
        <v>0</v>
      </c>
      <c r="W71" s="709">
        <f t="shared" si="37"/>
        <v>0</v>
      </c>
      <c r="X71" s="710">
        <f t="shared" si="38"/>
        <v>0</v>
      </c>
      <c r="Y71" s="725">
        <f t="shared" ref="Y71:Y75" si="44">M71/M$5</f>
        <v>2.4350649350649349</v>
      </c>
      <c r="Z71" s="726">
        <f t="shared" ref="Z71:Z75" si="45">N71/N$5</f>
        <v>1.6233766233766234</v>
      </c>
      <c r="AA71" s="726">
        <f t="shared" ref="AA71:AA75" si="46">O71/O$5</f>
        <v>1.2175324675324675</v>
      </c>
      <c r="AB71" s="727">
        <f t="shared" ref="AB71:AB75" si="47">P71/P$5</f>
        <v>0.97402597402597402</v>
      </c>
      <c r="AC71" s="148">
        <f t="shared" ref="AC71:AC75" si="48">AB71/$AB$74</f>
        <v>7.3896221328039431E-5</v>
      </c>
    </row>
    <row r="72" spans="2:33" s="137" customFormat="1" collapsed="1" x14ac:dyDescent="0.35">
      <c r="B72" s="154">
        <v>2.4</v>
      </c>
      <c r="C72" s="136" t="s">
        <v>538</v>
      </c>
      <c r="D72" s="155"/>
      <c r="E72" s="630">
        <f>'K.Hao, L.v'!C28</f>
        <v>90609191.166666687</v>
      </c>
      <c r="F72" s="631">
        <f>'K.Hao, L.v'!D28</f>
        <v>90609191.166666687</v>
      </c>
      <c r="G72" s="631">
        <f>'K.Hao, L.v'!E28</f>
        <v>90609191.166666687</v>
      </c>
      <c r="H72" s="648">
        <f>'K.Hao, L.v'!F28</f>
        <v>90609191.166666687</v>
      </c>
      <c r="I72" s="655">
        <f>'K.Hao, L.v'!C32</f>
        <v>0</v>
      </c>
      <c r="J72" s="631">
        <f>'K.Hao, L.v'!D32</f>
        <v>0</v>
      </c>
      <c r="K72" s="631">
        <f>'K.Hao, L.v'!E32</f>
        <v>0</v>
      </c>
      <c r="L72" s="641">
        <f>'K.Hao, L.v'!F32</f>
        <v>0</v>
      </c>
      <c r="M72" s="668">
        <f t="shared" si="26"/>
        <v>90609191.166666687</v>
      </c>
      <c r="N72" s="669">
        <f t="shared" si="27"/>
        <v>90609191.166666687</v>
      </c>
      <c r="O72" s="669">
        <f t="shared" si="28"/>
        <v>90609191.166666687</v>
      </c>
      <c r="P72" s="670">
        <f t="shared" si="29"/>
        <v>90609191.166666687</v>
      </c>
      <c r="Q72" s="686">
        <f t="shared" si="39"/>
        <v>245.15473800505055</v>
      </c>
      <c r="R72" s="687">
        <f t="shared" si="40"/>
        <v>163.43649200336705</v>
      </c>
      <c r="S72" s="687">
        <f t="shared" si="41"/>
        <v>122.57736900252527</v>
      </c>
      <c r="T72" s="688">
        <f t="shared" si="42"/>
        <v>98.061895202020224</v>
      </c>
      <c r="U72" s="705">
        <f t="shared" si="43"/>
        <v>0</v>
      </c>
      <c r="V72" s="706">
        <f t="shared" si="36"/>
        <v>0</v>
      </c>
      <c r="W72" s="706">
        <f t="shared" si="37"/>
        <v>0</v>
      </c>
      <c r="X72" s="707">
        <f t="shared" si="38"/>
        <v>0</v>
      </c>
      <c r="Y72" s="722">
        <f t="shared" si="44"/>
        <v>245.15473800505055</v>
      </c>
      <c r="Z72" s="723">
        <f t="shared" si="45"/>
        <v>163.43649200336705</v>
      </c>
      <c r="AA72" s="723">
        <f t="shared" si="46"/>
        <v>122.57736900252527</v>
      </c>
      <c r="AB72" s="724">
        <f t="shared" si="47"/>
        <v>98.061895202020224</v>
      </c>
      <c r="AC72" s="147">
        <f t="shared" si="48"/>
        <v>7.4396409386740404E-3</v>
      </c>
      <c r="AD72" s="770"/>
      <c r="AE72" s="770"/>
      <c r="AF72" s="770"/>
      <c r="AG72" s="770"/>
    </row>
    <row r="73" spans="2:33" s="137" customFormat="1" x14ac:dyDescent="0.35">
      <c r="B73" s="154">
        <v>2.5</v>
      </c>
      <c r="C73" s="136" t="s">
        <v>301</v>
      </c>
      <c r="D73" s="155"/>
      <c r="E73" s="630">
        <f>'K.Hao, L.v'!C16</f>
        <v>160781291.66666669</v>
      </c>
      <c r="F73" s="631">
        <f>'K.Hao, L.v'!D16</f>
        <v>160781291.66666669</v>
      </c>
      <c r="G73" s="631">
        <f>'K.Hao, L.v'!E16</f>
        <v>160781291.66666669</v>
      </c>
      <c r="H73" s="648">
        <f>'K.Hao, L.v'!F16</f>
        <v>160781291.66666669</v>
      </c>
      <c r="I73" s="655">
        <f>'K.Hao, L.v'!C20</f>
        <v>0</v>
      </c>
      <c r="J73" s="631">
        <f>'K.Hao, L.v'!D20</f>
        <v>0</v>
      </c>
      <c r="K73" s="631">
        <f>'K.Hao, L.v'!E20</f>
        <v>0</v>
      </c>
      <c r="L73" s="641">
        <f>'K.Hao, L.v'!F20</f>
        <v>0</v>
      </c>
      <c r="M73" s="668">
        <f t="shared" ref="M73:M75" si="49">E73+I73</f>
        <v>160781291.66666669</v>
      </c>
      <c r="N73" s="669">
        <f t="shared" ref="N73:N75" si="50">F73+J73</f>
        <v>160781291.66666669</v>
      </c>
      <c r="O73" s="669">
        <f t="shared" ref="O73:O75" si="51">G73+K73</f>
        <v>160781291.66666669</v>
      </c>
      <c r="P73" s="670">
        <f t="shared" ref="P73:P75" si="52">H73+L73</f>
        <v>160781291.66666669</v>
      </c>
      <c r="Q73" s="686">
        <f t="shared" si="39"/>
        <v>435.01431727994236</v>
      </c>
      <c r="R73" s="687">
        <f t="shared" si="40"/>
        <v>290.00954485329487</v>
      </c>
      <c r="S73" s="687">
        <f t="shared" si="41"/>
        <v>217.50715863997118</v>
      </c>
      <c r="T73" s="688">
        <f t="shared" si="42"/>
        <v>174.00572691197692</v>
      </c>
      <c r="U73" s="705">
        <f t="shared" si="43"/>
        <v>0</v>
      </c>
      <c r="V73" s="706">
        <f t="shared" si="36"/>
        <v>0</v>
      </c>
      <c r="W73" s="706">
        <f t="shared" si="37"/>
        <v>0</v>
      </c>
      <c r="X73" s="707">
        <f t="shared" si="38"/>
        <v>0</v>
      </c>
      <c r="Y73" s="722">
        <f t="shared" si="44"/>
        <v>435.01431727994236</v>
      </c>
      <c r="Z73" s="723">
        <f t="shared" si="45"/>
        <v>290.00954485329487</v>
      </c>
      <c r="AA73" s="723">
        <f t="shared" si="46"/>
        <v>217.50715863997118</v>
      </c>
      <c r="AB73" s="724">
        <f t="shared" si="47"/>
        <v>174.00572691197692</v>
      </c>
      <c r="AC73" s="147">
        <f t="shared" si="48"/>
        <v>1.3201255460453401E-2</v>
      </c>
      <c r="AD73" s="770"/>
      <c r="AE73" s="770"/>
      <c r="AF73" s="770"/>
      <c r="AG73" s="770"/>
    </row>
    <row r="74" spans="2:33" s="135" customFormat="1" x14ac:dyDescent="0.35">
      <c r="B74" s="152" t="s">
        <v>551</v>
      </c>
      <c r="C74" s="138" t="s">
        <v>539</v>
      </c>
      <c r="D74" s="165"/>
      <c r="E74" s="628">
        <f>E6+E21</f>
        <v>5517372893.8801556</v>
      </c>
      <c r="F74" s="629">
        <f t="shared" ref="F74:L74" si="53">F6+F21</f>
        <v>7798136987.5702343</v>
      </c>
      <c r="G74" s="629">
        <f t="shared" si="53"/>
        <v>10033511747.926979</v>
      </c>
      <c r="H74" s="647">
        <f t="shared" si="53"/>
        <v>12179242508.283722</v>
      </c>
      <c r="I74" s="654">
        <f t="shared" si="53"/>
        <v>0</v>
      </c>
      <c r="J74" s="629">
        <f t="shared" si="53"/>
        <v>0</v>
      </c>
      <c r="K74" s="629">
        <f t="shared" si="53"/>
        <v>0</v>
      </c>
      <c r="L74" s="640">
        <f t="shared" si="53"/>
        <v>0</v>
      </c>
      <c r="M74" s="665">
        <f t="shared" si="49"/>
        <v>5517372893.8801556</v>
      </c>
      <c r="N74" s="666">
        <f t="shared" si="50"/>
        <v>7798136987.5702343</v>
      </c>
      <c r="O74" s="666">
        <f t="shared" si="51"/>
        <v>10033511747.926979</v>
      </c>
      <c r="P74" s="667">
        <f t="shared" si="52"/>
        <v>12179242508.283722</v>
      </c>
      <c r="Q74" s="683">
        <f t="shared" si="39"/>
        <v>14927.95696396146</v>
      </c>
      <c r="R74" s="684">
        <f t="shared" si="40"/>
        <v>14065.903657233468</v>
      </c>
      <c r="S74" s="684">
        <f t="shared" si="41"/>
        <v>13573.473684966151</v>
      </c>
      <c r="T74" s="685">
        <f t="shared" si="42"/>
        <v>13180.998385588444</v>
      </c>
      <c r="U74" s="702">
        <f t="shared" si="43"/>
        <v>0</v>
      </c>
      <c r="V74" s="703">
        <f t="shared" si="36"/>
        <v>0</v>
      </c>
      <c r="W74" s="703">
        <f t="shared" si="37"/>
        <v>0</v>
      </c>
      <c r="X74" s="704">
        <f t="shared" si="38"/>
        <v>0</v>
      </c>
      <c r="Y74" s="719">
        <f t="shared" si="44"/>
        <v>14927.95696396146</v>
      </c>
      <c r="Z74" s="720">
        <f t="shared" si="45"/>
        <v>14065.903657233468</v>
      </c>
      <c r="AA74" s="720">
        <f t="shared" si="46"/>
        <v>13573.473684966151</v>
      </c>
      <c r="AB74" s="721">
        <f t="shared" si="47"/>
        <v>13180.998385588444</v>
      </c>
      <c r="AC74" s="833">
        <f t="shared" si="48"/>
        <v>1</v>
      </c>
      <c r="AD74" s="772"/>
      <c r="AE74" s="772"/>
      <c r="AF74" s="772"/>
      <c r="AG74" s="772"/>
    </row>
    <row r="75" spans="2:33" s="124" customFormat="1" ht="14.5" thickBot="1" x14ac:dyDescent="0.4">
      <c r="B75" s="166"/>
      <c r="C75" s="167" t="s">
        <v>553</v>
      </c>
      <c r="D75" s="168"/>
      <c r="E75" s="636">
        <f>E74-E10</f>
        <v>1517372893.8801556</v>
      </c>
      <c r="F75" s="637">
        <f t="shared" ref="F75:L75" si="54">F74-F10</f>
        <v>1798136987.5702343</v>
      </c>
      <c r="G75" s="637">
        <f t="shared" si="54"/>
        <v>2033511747.9269791</v>
      </c>
      <c r="H75" s="651">
        <f t="shared" si="54"/>
        <v>2179242508.2837219</v>
      </c>
      <c r="I75" s="658">
        <f t="shared" si="54"/>
        <v>0</v>
      </c>
      <c r="J75" s="637">
        <f t="shared" si="54"/>
        <v>0</v>
      </c>
      <c r="K75" s="637">
        <f t="shared" si="54"/>
        <v>0</v>
      </c>
      <c r="L75" s="644">
        <f t="shared" si="54"/>
        <v>0</v>
      </c>
      <c r="M75" s="677">
        <f t="shared" si="49"/>
        <v>1517372893.8801556</v>
      </c>
      <c r="N75" s="678">
        <f t="shared" si="50"/>
        <v>1798136987.5702343</v>
      </c>
      <c r="O75" s="678">
        <f t="shared" si="51"/>
        <v>2033511747.9269791</v>
      </c>
      <c r="P75" s="679">
        <f t="shared" si="52"/>
        <v>2179242508.2837219</v>
      </c>
      <c r="Q75" s="695">
        <f>E75/E$5</f>
        <v>4105.4461414506377</v>
      </c>
      <c r="R75" s="696">
        <f t="shared" si="40"/>
        <v>3243.3928347226447</v>
      </c>
      <c r="S75" s="696">
        <f t="shared" si="41"/>
        <v>2750.9628624553288</v>
      </c>
      <c r="T75" s="697">
        <f t="shared" si="42"/>
        <v>2358.487563077621</v>
      </c>
      <c r="U75" s="714">
        <f t="shared" si="43"/>
        <v>0</v>
      </c>
      <c r="V75" s="715">
        <f t="shared" si="36"/>
        <v>0</v>
      </c>
      <c r="W75" s="715">
        <f t="shared" si="37"/>
        <v>0</v>
      </c>
      <c r="X75" s="716">
        <f t="shared" si="38"/>
        <v>0</v>
      </c>
      <c r="Y75" s="731">
        <f t="shared" si="44"/>
        <v>4105.4461414506377</v>
      </c>
      <c r="Z75" s="732">
        <f t="shared" si="45"/>
        <v>3243.3928347226447</v>
      </c>
      <c r="AA75" s="732">
        <f t="shared" si="46"/>
        <v>2750.9628624553288</v>
      </c>
      <c r="AB75" s="733">
        <f t="shared" si="47"/>
        <v>2358.487563077621</v>
      </c>
      <c r="AC75" s="834">
        <f t="shared" si="48"/>
        <v>0.17893087413289521</v>
      </c>
      <c r="AD75" s="764"/>
      <c r="AE75" s="764"/>
      <c r="AF75" s="764"/>
      <c r="AG75" s="764"/>
    </row>
    <row r="76" spans="2:33" x14ac:dyDescent="0.35">
      <c r="L76" s="773" t="s">
        <v>620</v>
      </c>
      <c r="M76" s="774">
        <f>KQKD!D97-M74</f>
        <v>0</v>
      </c>
      <c r="N76" s="774">
        <f>KQKD!E97-N74</f>
        <v>0</v>
      </c>
      <c r="O76" s="774">
        <f>KQKD!F97-O74</f>
        <v>0</v>
      </c>
      <c r="P76" s="774">
        <f>KQKD!G97-P74</f>
        <v>0</v>
      </c>
    </row>
    <row r="77" spans="2:33" x14ac:dyDescent="0.35">
      <c r="M77" s="764"/>
      <c r="N77" s="764"/>
      <c r="O77" s="764"/>
      <c r="P77" s="764"/>
      <c r="Y77" s="847"/>
      <c r="Z77" s="847"/>
      <c r="AA77" s="847"/>
    </row>
    <row r="79" spans="2:33" x14ac:dyDescent="0.35">
      <c r="K79" s="777"/>
      <c r="L79" s="775"/>
    </row>
  </sheetData>
  <mergeCells count="12">
    <mergeCell ref="B2:B4"/>
    <mergeCell ref="Q2:AC2"/>
    <mergeCell ref="AC3:AC4"/>
    <mergeCell ref="Y3:AB3"/>
    <mergeCell ref="E2:P2"/>
    <mergeCell ref="C4:D4"/>
    <mergeCell ref="C2:D3"/>
    <mergeCell ref="E3:H3"/>
    <mergeCell ref="I3:L3"/>
    <mergeCell ref="M3:P3"/>
    <mergeCell ref="Q3:T3"/>
    <mergeCell ref="U3:X3"/>
  </mergeCells>
  <printOptions horizontalCentered="1"/>
  <pageMargins left="0" right="0" top="0" bottom="0" header="0.3" footer="0.3"/>
  <pageSetup paperSize="8" scale="7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33DB-4A46-445E-86A2-B9F5464F288E}">
  <sheetPr>
    <tabColor rgb="FFFFC000"/>
  </sheetPr>
  <dimension ref="B1:H32"/>
  <sheetViews>
    <sheetView topLeftCell="A25" zoomScale="85" zoomScaleNormal="85" workbookViewId="0">
      <selection activeCell="L24" sqref="L24"/>
    </sheetView>
  </sheetViews>
  <sheetFormatPr defaultRowHeight="14.5" x14ac:dyDescent="0.35"/>
  <cols>
    <col min="1" max="1" width="4.6328125" customWidth="1"/>
    <col min="2" max="2" width="6.1796875" customWidth="1"/>
    <col min="3" max="3" width="43.90625" customWidth="1"/>
    <col min="4" max="4" width="15.7265625" customWidth="1"/>
    <col min="5" max="8" width="12.54296875" customWidth="1"/>
  </cols>
  <sheetData>
    <row r="1" spans="2:8" ht="15" thickBot="1" x14ac:dyDescent="0.4">
      <c r="B1" s="380" t="s">
        <v>723</v>
      </c>
    </row>
    <row r="2" spans="2:8" x14ac:dyDescent="0.35">
      <c r="B2" s="393" t="s">
        <v>12</v>
      </c>
      <c r="C2" s="496" t="s">
        <v>692</v>
      </c>
      <c r="D2" s="496" t="s">
        <v>693</v>
      </c>
      <c r="E2" s="496" t="s">
        <v>777</v>
      </c>
      <c r="F2" s="496" t="s">
        <v>778</v>
      </c>
      <c r="G2" s="496" t="s">
        <v>779</v>
      </c>
      <c r="H2" s="497" t="s">
        <v>780</v>
      </c>
    </row>
    <row r="3" spans="2:8" x14ac:dyDescent="0.35">
      <c r="B3" s="893">
        <v>1</v>
      </c>
      <c r="C3" s="871" t="s">
        <v>705</v>
      </c>
      <c r="D3" s="872"/>
      <c r="E3" s="883"/>
      <c r="F3" s="883"/>
      <c r="G3" s="883"/>
      <c r="H3" s="894"/>
    </row>
    <row r="4" spans="2:8" s="878" customFormat="1" x14ac:dyDescent="0.35">
      <c r="B4" s="895"/>
      <c r="C4" s="869" t="s">
        <v>715</v>
      </c>
      <c r="D4" s="870" t="s">
        <v>587</v>
      </c>
      <c r="E4" s="886">
        <f>S.Lượng!C7*12</f>
        <v>4800000</v>
      </c>
      <c r="F4" s="886">
        <f>S.Lượng!D7*12</f>
        <v>7200000</v>
      </c>
      <c r="G4" s="886">
        <f>S.Lượng!E7*12</f>
        <v>9600000</v>
      </c>
      <c r="H4" s="896">
        <f>S.Lượng!F7*12</f>
        <v>12000000</v>
      </c>
    </row>
    <row r="5" spans="2:8" x14ac:dyDescent="0.35">
      <c r="B5" s="897"/>
      <c r="C5" s="873" t="s">
        <v>717</v>
      </c>
      <c r="D5" s="874" t="s">
        <v>695</v>
      </c>
      <c r="E5" s="889">
        <f>B.đồ!C68*1000</f>
        <v>10000000</v>
      </c>
      <c r="F5" s="889">
        <f>B.đồ!D68*1000</f>
        <v>10000000</v>
      </c>
      <c r="G5" s="889">
        <f>B.đồ!E68*1000</f>
        <v>10000000</v>
      </c>
      <c r="H5" s="898">
        <f>B.đồ!F68*1000</f>
        <v>10000000</v>
      </c>
    </row>
    <row r="6" spans="2:8" s="878" customFormat="1" x14ac:dyDescent="0.35">
      <c r="B6" s="899"/>
      <c r="C6" s="869" t="s">
        <v>706</v>
      </c>
      <c r="D6" s="870" t="s">
        <v>587</v>
      </c>
      <c r="E6" s="887">
        <f>KQKD!H4</f>
        <v>4435200</v>
      </c>
      <c r="F6" s="887">
        <f>KQKD!I4</f>
        <v>6652800</v>
      </c>
      <c r="G6" s="887">
        <f>KQKD!J4</f>
        <v>8870400</v>
      </c>
      <c r="H6" s="900">
        <f>KQKD!K4</f>
        <v>11088000</v>
      </c>
    </row>
    <row r="7" spans="2:8" x14ac:dyDescent="0.35">
      <c r="B7" s="897"/>
      <c r="C7" s="873" t="s">
        <v>718</v>
      </c>
      <c r="D7" s="874" t="s">
        <v>695</v>
      </c>
      <c r="E7" s="889">
        <f>KQKD!H6</f>
        <v>14272727.272727272</v>
      </c>
      <c r="F7" s="889">
        <f>KQKD!I6</f>
        <v>14272727.272727272</v>
      </c>
      <c r="G7" s="889">
        <f>KQKD!J6</f>
        <v>14272727.272727272</v>
      </c>
      <c r="H7" s="898">
        <f>KQKD!K6</f>
        <v>14272727.272727272</v>
      </c>
    </row>
    <row r="8" spans="2:8" x14ac:dyDescent="0.35">
      <c r="B8" s="893">
        <v>2</v>
      </c>
      <c r="C8" s="871" t="s">
        <v>694</v>
      </c>
      <c r="D8" s="872" t="s">
        <v>588</v>
      </c>
      <c r="E8" s="883">
        <f>KQKD!H5</f>
        <v>63302400000</v>
      </c>
      <c r="F8" s="883">
        <f>KQKD!I5</f>
        <v>94953600000</v>
      </c>
      <c r="G8" s="883">
        <f>KQKD!J5</f>
        <v>126604800000</v>
      </c>
      <c r="H8" s="894">
        <f>KQKD!K5</f>
        <v>158256000000</v>
      </c>
    </row>
    <row r="9" spans="2:8" x14ac:dyDescent="0.35">
      <c r="B9" s="954">
        <v>3</v>
      </c>
      <c r="C9" s="955" t="s">
        <v>724</v>
      </c>
      <c r="D9" s="956" t="s">
        <v>588</v>
      </c>
      <c r="E9" s="957">
        <f>KQKD!H28</f>
        <v>12982154059.130432</v>
      </c>
      <c r="F9" s="957">
        <f>KQKD!I28</f>
        <v>19473231088.695648</v>
      </c>
      <c r="G9" s="957">
        <f>KQKD!J28</f>
        <v>25964308118.260864</v>
      </c>
      <c r="H9" s="958">
        <f>KQKD!K28</f>
        <v>32455385147.82608</v>
      </c>
    </row>
    <row r="10" spans="2:8" x14ac:dyDescent="0.35">
      <c r="B10" s="897"/>
      <c r="C10" s="873" t="s">
        <v>707</v>
      </c>
      <c r="D10" s="874" t="s">
        <v>695</v>
      </c>
      <c r="E10" s="879">
        <f>E9/E$6</f>
        <v>2927.0729750925398</v>
      </c>
      <c r="F10" s="879">
        <f t="shared" ref="F10:H10" si="0">F9/F$6</f>
        <v>2927.0729750925398</v>
      </c>
      <c r="G10" s="879">
        <f t="shared" si="0"/>
        <v>2927.0729750925398</v>
      </c>
      <c r="H10" s="901">
        <f t="shared" si="0"/>
        <v>2927.0729750925398</v>
      </c>
    </row>
    <row r="11" spans="2:8" x14ac:dyDescent="0.35">
      <c r="B11" s="897"/>
      <c r="C11" s="873" t="s">
        <v>708</v>
      </c>
      <c r="D11" s="874" t="s">
        <v>390</v>
      </c>
      <c r="E11" s="880">
        <f>E9/E$8</f>
        <v>0.20508154602559195</v>
      </c>
      <c r="F11" s="880">
        <f t="shared" ref="F11:H11" si="1">F9/F$8</f>
        <v>0.20508154602559195</v>
      </c>
      <c r="G11" s="880">
        <f t="shared" si="1"/>
        <v>0.20508154602559195</v>
      </c>
      <c r="H11" s="902">
        <f t="shared" si="1"/>
        <v>0.20508154602559195</v>
      </c>
    </row>
    <row r="12" spans="2:8" x14ac:dyDescent="0.35">
      <c r="B12" s="893">
        <v>4</v>
      </c>
      <c r="C12" s="871" t="s">
        <v>510</v>
      </c>
      <c r="D12" s="872" t="s">
        <v>588</v>
      </c>
      <c r="E12" s="883">
        <f>'K.Hao, L.v'!C12</f>
        <v>22190006000</v>
      </c>
      <c r="F12" s="883">
        <f>'K.Hao, L.v'!D12</f>
        <v>22190006000</v>
      </c>
      <c r="G12" s="883">
        <f>'K.Hao, L.v'!E12</f>
        <v>22190006000</v>
      </c>
      <c r="H12" s="894">
        <f>'K.Hao, L.v'!F12</f>
        <v>22190006000</v>
      </c>
    </row>
    <row r="13" spans="2:8" x14ac:dyDescent="0.35">
      <c r="B13" s="897"/>
      <c r="C13" s="873" t="s">
        <v>712</v>
      </c>
      <c r="D13" s="874" t="s">
        <v>588</v>
      </c>
      <c r="E13" s="885">
        <f>HV!C32</f>
        <v>-22966054353.202</v>
      </c>
      <c r="F13" s="885">
        <f>HV!D32</f>
        <v>11981477722.092436</v>
      </c>
      <c r="G13" s="885">
        <f>HV!E32</f>
        <v>45660160868.842697</v>
      </c>
      <c r="H13" s="904">
        <f>HV!F32</f>
        <v>86844817222.756668</v>
      </c>
    </row>
    <row r="14" spans="2:8" x14ac:dyDescent="0.35">
      <c r="B14" s="897"/>
      <c r="C14" s="873" t="s">
        <v>713</v>
      </c>
      <c r="D14" s="874" t="s">
        <v>390</v>
      </c>
      <c r="E14" s="881">
        <f>HV!C33</f>
        <v>-0.18098752025544773</v>
      </c>
      <c r="F14" s="881">
        <f>HV!D33</f>
        <v>0.1530092538355714</v>
      </c>
      <c r="G14" s="881">
        <f>HV!E33</f>
        <v>0.32611480198312059</v>
      </c>
      <c r="H14" s="903">
        <f>HV!F33</f>
        <v>0.534343907675489</v>
      </c>
    </row>
    <row r="15" spans="2:8" x14ac:dyDescent="0.35">
      <c r="B15" s="897"/>
      <c r="C15" s="873" t="s">
        <v>714</v>
      </c>
      <c r="D15" s="874" t="s">
        <v>716</v>
      </c>
      <c r="E15" s="884" t="e">
        <f>HV!C34</f>
        <v>#N/A</v>
      </c>
      <c r="F15" s="884">
        <f>HV!D34</f>
        <v>9.4228130233318907</v>
      </c>
      <c r="G15" s="884">
        <f>HV!E34</f>
        <v>3.8089478270301975</v>
      </c>
      <c r="H15" s="905">
        <f>HV!F34</f>
        <v>2.1618267813785481</v>
      </c>
    </row>
    <row r="16" spans="2:8" x14ac:dyDescent="0.35">
      <c r="B16" s="893">
        <v>5</v>
      </c>
      <c r="C16" s="871" t="s">
        <v>722</v>
      </c>
      <c r="D16" s="872" t="s">
        <v>588</v>
      </c>
      <c r="E16" s="916">
        <f>KQKD!H47+KQKD!H92</f>
        <v>2506923906</v>
      </c>
      <c r="F16" s="916">
        <f>KQKD!I47+KQKD!I92</f>
        <v>2506923906</v>
      </c>
      <c r="G16" s="916">
        <f>KQKD!J47+KQKD!J92</f>
        <v>2506923906</v>
      </c>
      <c r="H16" s="917">
        <f>KQKD!K47+KQKD!K92</f>
        <v>2506923906</v>
      </c>
    </row>
    <row r="17" spans="2:8" x14ac:dyDescent="0.35">
      <c r="B17" s="897"/>
      <c r="C17" s="873" t="s">
        <v>709</v>
      </c>
      <c r="D17" s="874"/>
      <c r="E17" s="881">
        <f>E16/E$8</f>
        <v>3.9602351664391869E-2</v>
      </c>
      <c r="F17" s="881">
        <f t="shared" ref="F17:H17" si="2">F16/F$8</f>
        <v>2.6401567776261247E-2</v>
      </c>
      <c r="G17" s="881">
        <f t="shared" si="2"/>
        <v>1.9801175832195934E-2</v>
      </c>
      <c r="H17" s="903">
        <f t="shared" si="2"/>
        <v>1.584094066575675E-2</v>
      </c>
    </row>
    <row r="18" spans="2:8" x14ac:dyDescent="0.35">
      <c r="B18" s="893">
        <v>6</v>
      </c>
      <c r="C18" s="871" t="s">
        <v>696</v>
      </c>
      <c r="D18" s="872" t="s">
        <v>588</v>
      </c>
      <c r="E18" s="916">
        <f>KQKD!H66</f>
        <v>6009550000</v>
      </c>
      <c r="F18" s="916">
        <f>KQKD!I66</f>
        <v>8134750000</v>
      </c>
      <c r="G18" s="916">
        <f>KQKD!J66</f>
        <v>9715278000</v>
      </c>
      <c r="H18" s="917">
        <f>KQKD!K66</f>
        <v>10208078000</v>
      </c>
    </row>
    <row r="19" spans="2:8" x14ac:dyDescent="0.35">
      <c r="B19" s="906"/>
      <c r="C19" s="875" t="s">
        <v>697</v>
      </c>
      <c r="D19" s="876"/>
      <c r="E19" s="881">
        <f>E18/E$8</f>
        <v>9.4933999342836917E-2</v>
      </c>
      <c r="F19" s="881">
        <f t="shared" ref="F19" si="3">F18/F$8</f>
        <v>8.5670790786236642E-2</v>
      </c>
      <c r="G19" s="881">
        <f t="shared" ref="G19" si="4">G18/G$8</f>
        <v>7.6737043145283595E-2</v>
      </c>
      <c r="H19" s="903">
        <f t="shared" ref="H19" si="5">H18/H$8</f>
        <v>6.4503576483672026E-2</v>
      </c>
    </row>
    <row r="20" spans="2:8" x14ac:dyDescent="0.35">
      <c r="B20" s="906"/>
      <c r="C20" s="875" t="s">
        <v>698</v>
      </c>
      <c r="D20" s="874" t="s">
        <v>719</v>
      </c>
      <c r="E20" s="888">
        <f>E8/Đ.Biên!E57</f>
        <v>2532096000</v>
      </c>
      <c r="F20" s="888">
        <f>F8/Đ.Biên!F57</f>
        <v>2434707692.3076925</v>
      </c>
      <c r="G20" s="888">
        <f>G8/Đ.Biên!G57</f>
        <v>2583771428.5714288</v>
      </c>
      <c r="H20" s="907">
        <f>H8/Đ.Biên!H57</f>
        <v>2985962264.1509433</v>
      </c>
    </row>
    <row r="21" spans="2:8" x14ac:dyDescent="0.35">
      <c r="B21" s="906"/>
      <c r="C21" s="875" t="s">
        <v>699</v>
      </c>
      <c r="D21" s="876" t="s">
        <v>720</v>
      </c>
      <c r="E21" s="891">
        <f>E6/Đ.Biên!E57</f>
        <v>177408</v>
      </c>
      <c r="F21" s="891">
        <f>F6/Đ.Biên!F57</f>
        <v>170584.61538461538</v>
      </c>
      <c r="G21" s="891">
        <f>G6/Đ.Biên!G57</f>
        <v>181028.57142857142</v>
      </c>
      <c r="H21" s="908">
        <f>H6/Đ.Biên!H57</f>
        <v>209207.54716981133</v>
      </c>
    </row>
    <row r="22" spans="2:8" ht="16.5" customHeight="1" x14ac:dyDescent="0.35">
      <c r="B22" s="893">
        <v>7</v>
      </c>
      <c r="C22" s="871" t="s">
        <v>721</v>
      </c>
      <c r="D22" s="872" t="s">
        <v>588</v>
      </c>
      <c r="E22" s="918">
        <f>KQKD!H34+KQKD!H13-KQKD!H16</f>
        <v>6931025320.5618744</v>
      </c>
      <c r="F22" s="918">
        <f>KQKD!I34+KQKD!I13-KQKD!I16</f>
        <v>7759194444.8428192</v>
      </c>
      <c r="G22" s="918">
        <f>KQKD!J34+KQKD!J13-KQKD!J16</f>
        <v>8587363569.1237488</v>
      </c>
      <c r="H22" s="919">
        <f>KQKD!K34+KQKD!K13-KQKD!K16</f>
        <v>9427532693.4046936</v>
      </c>
    </row>
    <row r="23" spans="2:8" x14ac:dyDescent="0.35">
      <c r="B23" s="906"/>
      <c r="C23" s="877" t="s">
        <v>700</v>
      </c>
      <c r="D23" s="874" t="s">
        <v>695</v>
      </c>
      <c r="E23" s="892">
        <f>E22/E6*1000</f>
        <v>1562731.1779766129</v>
      </c>
      <c r="F23" s="892">
        <f>F22/F6*1000</f>
        <v>1166305.0812955175</v>
      </c>
      <c r="G23" s="892">
        <f>G22/G6*1000</f>
        <v>968092.03295496805</v>
      </c>
      <c r="H23" s="909">
        <f>H22/H6*1000</f>
        <v>850246.45503289078</v>
      </c>
    </row>
    <row r="24" spans="2:8" x14ac:dyDescent="0.35">
      <c r="B24" s="906"/>
      <c r="C24" s="875" t="s">
        <v>701</v>
      </c>
      <c r="D24" s="876"/>
      <c r="E24" s="882">
        <f>E22/E8</f>
        <v>0.10949071947606843</v>
      </c>
      <c r="F24" s="882">
        <f>F22/F8</f>
        <v>8.1715642638539449E-2</v>
      </c>
      <c r="G24" s="882">
        <f>G22/G8</f>
        <v>6.7828104219774837E-2</v>
      </c>
      <c r="H24" s="910">
        <f>H22/H8</f>
        <v>5.9571407677463689E-2</v>
      </c>
    </row>
    <row r="25" spans="2:8" x14ac:dyDescent="0.35">
      <c r="B25" s="893">
        <v>8</v>
      </c>
      <c r="C25" s="871" t="s">
        <v>702</v>
      </c>
      <c r="D25" s="872" t="s">
        <v>588</v>
      </c>
      <c r="E25" s="918">
        <f>KQKD!H105</f>
        <v>-976699226.56187415</v>
      </c>
      <c r="F25" s="918">
        <f>KQKD!I105</f>
        <v>3030140419.325748</v>
      </c>
      <c r="G25" s="918">
        <f>KQKD!J105</f>
        <v>6891502719.9009981</v>
      </c>
      <c r="H25" s="919">
        <f>KQKD!K105</f>
        <v>11613447420.476248</v>
      </c>
    </row>
    <row r="26" spans="2:8" x14ac:dyDescent="0.35">
      <c r="B26" s="906"/>
      <c r="C26" s="873" t="s">
        <v>703</v>
      </c>
      <c r="D26" s="876"/>
      <c r="E26" s="881">
        <f>E25/E$8</f>
        <v>-1.5429102633737018E-2</v>
      </c>
      <c r="F26" s="881">
        <f t="shared" ref="F26" si="6">F25/F$8</f>
        <v>3.1911801335870869E-2</v>
      </c>
      <c r="G26" s="881">
        <f t="shared" ref="G26" si="7">G25/G$8</f>
        <v>5.4433186734634056E-2</v>
      </c>
      <c r="H26" s="903">
        <f t="shared" ref="H26" si="8">H25/H$8</f>
        <v>7.3383931228365729E-2</v>
      </c>
    </row>
    <row r="27" spans="2:8" x14ac:dyDescent="0.35">
      <c r="B27" s="893">
        <v>9</v>
      </c>
      <c r="C27" s="871" t="s">
        <v>301</v>
      </c>
      <c r="D27" s="872" t="s">
        <v>588</v>
      </c>
      <c r="E27" s="918">
        <f>KQKD!H95</f>
        <v>1929375500.0000002</v>
      </c>
      <c r="F27" s="918">
        <f>KQKD!I95</f>
        <v>1929375500.0000002</v>
      </c>
      <c r="G27" s="918">
        <f>KQKD!J95</f>
        <v>1929375500.0000002</v>
      </c>
      <c r="H27" s="919">
        <f>KQKD!K95</f>
        <v>1929375500.0000002</v>
      </c>
    </row>
    <row r="28" spans="2:8" x14ac:dyDescent="0.35">
      <c r="B28" s="897"/>
      <c r="C28" s="873" t="s">
        <v>710</v>
      </c>
      <c r="D28" s="874"/>
      <c r="E28" s="881">
        <f>E27/E$8</f>
        <v>3.0478710127894049E-2</v>
      </c>
      <c r="F28" s="881">
        <f t="shared" ref="F28" si="9">F27/F$8</f>
        <v>2.0319140085262699E-2</v>
      </c>
      <c r="G28" s="881">
        <f t="shared" ref="G28" si="10">G27/G$8</f>
        <v>1.5239355063947024E-2</v>
      </c>
      <c r="H28" s="903">
        <f t="shared" ref="H28" si="11">H27/H$8</f>
        <v>1.2191484051157619E-2</v>
      </c>
    </row>
    <row r="29" spans="2:8" x14ac:dyDescent="0.35">
      <c r="B29" s="893">
        <v>10</v>
      </c>
      <c r="C29" s="871" t="s">
        <v>704</v>
      </c>
      <c r="D29" s="872" t="s">
        <v>588</v>
      </c>
      <c r="E29" s="918">
        <f>KQKD!H103</f>
        <v>-2906074726.5618744</v>
      </c>
      <c r="F29" s="918">
        <f>KQKD!I103</f>
        <v>1100764919.3257477</v>
      </c>
      <c r="G29" s="918">
        <f>KQKD!J103</f>
        <v>4962127219.9009981</v>
      </c>
      <c r="H29" s="919">
        <f>KQKD!K103</f>
        <v>9684071920.4762478</v>
      </c>
    </row>
    <row r="30" spans="2:8" ht="15" thickBot="1" x14ac:dyDescent="0.4">
      <c r="B30" s="911"/>
      <c r="C30" s="912" t="s">
        <v>711</v>
      </c>
      <c r="D30" s="913"/>
      <c r="E30" s="914">
        <f>E29/E$8</f>
        <v>-4.5907812761631063E-2</v>
      </c>
      <c r="F30" s="914">
        <f t="shared" ref="F30" si="12">F29/F$8</f>
        <v>1.1592661250608169E-2</v>
      </c>
      <c r="G30" s="914">
        <f t="shared" ref="G30" si="13">G29/G$8</f>
        <v>3.9193831670687039E-2</v>
      </c>
      <c r="H30" s="915">
        <f t="shared" ref="H30" si="14">H29/H$8</f>
        <v>6.119244717720812E-2</v>
      </c>
    </row>
    <row r="32" spans="2:8" x14ac:dyDescent="0.35">
      <c r="E32" s="890"/>
      <c r="F32" s="890"/>
      <c r="G32" s="890"/>
      <c r="H32" s="89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73AA-023A-413C-AB2E-D94AC057C2C7}">
  <sheetPr>
    <tabColor rgb="FFFFC000"/>
  </sheetPr>
  <dimension ref="B1:H16"/>
  <sheetViews>
    <sheetView topLeftCell="A2" workbookViewId="0">
      <selection activeCell="C9" sqref="C9"/>
    </sheetView>
  </sheetViews>
  <sheetFormatPr defaultRowHeight="14.5" x14ac:dyDescent="0.35"/>
  <cols>
    <col min="1" max="1" width="2.08984375" style="976" customWidth="1"/>
    <col min="2" max="2" width="11.453125" style="976" customWidth="1"/>
    <col min="3" max="3" width="22" style="976" customWidth="1"/>
    <col min="4" max="4" width="24.54296875" style="976" customWidth="1"/>
    <col min="5" max="5" width="23.81640625" style="976" customWidth="1"/>
    <col min="6" max="6" width="25.81640625" style="976" customWidth="1"/>
    <col min="7" max="8" width="24" style="976" customWidth="1"/>
    <col min="9" max="9" width="8.7265625" style="976"/>
    <col min="10" max="10" width="12.81640625" style="976" customWidth="1"/>
    <col min="11" max="11" width="14.7265625" style="976" customWidth="1"/>
    <col min="12" max="16384" width="8.7265625" style="976"/>
  </cols>
  <sheetData>
    <row r="1" spans="2:8" ht="15" thickBot="1" x14ac:dyDescent="0.35">
      <c r="B1" s="482" t="s">
        <v>771</v>
      </c>
    </row>
    <row r="2" spans="2:8" s="986" customFormat="1" ht="26.5" thickBot="1" x14ac:dyDescent="0.4">
      <c r="B2" s="989" t="s">
        <v>755</v>
      </c>
      <c r="C2" s="987" t="s">
        <v>728</v>
      </c>
      <c r="D2" s="987" t="s">
        <v>732</v>
      </c>
      <c r="E2" s="987" t="s">
        <v>745</v>
      </c>
      <c r="F2" s="987" t="s">
        <v>746</v>
      </c>
      <c r="G2" s="988" t="s">
        <v>729</v>
      </c>
      <c r="H2" s="976"/>
    </row>
    <row r="3" spans="2:8" ht="34.5" customHeight="1" x14ac:dyDescent="0.35">
      <c r="B3" s="1186" t="s">
        <v>731</v>
      </c>
      <c r="C3" s="977" t="s">
        <v>761</v>
      </c>
      <c r="D3" s="1026" t="s">
        <v>770</v>
      </c>
      <c r="E3" s="1026" t="s">
        <v>754</v>
      </c>
      <c r="F3" s="1026" t="s">
        <v>734</v>
      </c>
      <c r="G3" s="978" t="s">
        <v>742</v>
      </c>
    </row>
    <row r="4" spans="2:8" ht="37.5" x14ac:dyDescent="0.35">
      <c r="B4" s="1187"/>
      <c r="C4" s="990" t="s">
        <v>763</v>
      </c>
      <c r="D4" s="979" t="s">
        <v>733</v>
      </c>
      <c r="E4" s="979" t="s">
        <v>730</v>
      </c>
      <c r="F4" s="979" t="s">
        <v>735</v>
      </c>
      <c r="G4" s="980" t="s">
        <v>768</v>
      </c>
    </row>
    <row r="5" spans="2:8" ht="31" customHeight="1" x14ac:dyDescent="0.35">
      <c r="B5" s="1187"/>
      <c r="C5" s="990" t="s">
        <v>762</v>
      </c>
      <c r="D5" s="979" t="s">
        <v>766</v>
      </c>
      <c r="E5" s="979" t="s">
        <v>753</v>
      </c>
      <c r="F5" s="979" t="s">
        <v>736</v>
      </c>
      <c r="G5" s="1027" t="s">
        <v>767</v>
      </c>
    </row>
    <row r="6" spans="2:8" ht="25" x14ac:dyDescent="0.35">
      <c r="B6" s="1187"/>
      <c r="C6" s="990" t="s">
        <v>765</v>
      </c>
      <c r="D6" s="981"/>
      <c r="E6" s="981"/>
      <c r="F6" s="979" t="s">
        <v>747</v>
      </c>
      <c r="G6" s="982"/>
    </row>
    <row r="7" spans="2:8" ht="20.5" customHeight="1" thickBot="1" x14ac:dyDescent="0.4">
      <c r="B7" s="1188"/>
      <c r="C7" s="983"/>
      <c r="D7" s="984"/>
      <c r="E7" s="984"/>
      <c r="F7" s="1028" t="s">
        <v>756</v>
      </c>
      <c r="G7" s="985"/>
    </row>
    <row r="8" spans="2:8" ht="43.5" x14ac:dyDescent="0.35">
      <c r="B8" s="1184" t="s">
        <v>828</v>
      </c>
      <c r="C8" s="991" t="s">
        <v>764</v>
      </c>
      <c r="D8" s="992" t="s">
        <v>757</v>
      </c>
      <c r="E8" s="992" t="s">
        <v>829</v>
      </c>
      <c r="F8" s="993" t="s">
        <v>737</v>
      </c>
      <c r="G8" s="994" t="s">
        <v>743</v>
      </c>
    </row>
    <row r="9" spans="2:8" ht="43.5" x14ac:dyDescent="0.35">
      <c r="B9" s="1184"/>
      <c r="C9" s="995"/>
      <c r="D9" s="996" t="s">
        <v>758</v>
      </c>
      <c r="E9" s="997" t="s">
        <v>749</v>
      </c>
      <c r="F9" s="997" t="s">
        <v>738</v>
      </c>
      <c r="G9" s="998" t="s">
        <v>744</v>
      </c>
    </row>
    <row r="10" spans="2:8" ht="50" x14ac:dyDescent="0.35">
      <c r="B10" s="1184"/>
      <c r="C10" s="995"/>
      <c r="D10" s="999" t="s">
        <v>759</v>
      </c>
      <c r="E10" s="997" t="s">
        <v>750</v>
      </c>
      <c r="F10" s="997" t="s">
        <v>739</v>
      </c>
      <c r="G10" s="998" t="s">
        <v>769</v>
      </c>
    </row>
    <row r="11" spans="2:8" ht="25" x14ac:dyDescent="0.35">
      <c r="B11" s="1184"/>
      <c r="C11" s="995"/>
      <c r="D11" s="999" t="s">
        <v>760</v>
      </c>
      <c r="E11" s="997" t="s">
        <v>825</v>
      </c>
      <c r="F11" s="997" t="s">
        <v>740</v>
      </c>
      <c r="G11" s="998" t="s">
        <v>827</v>
      </c>
    </row>
    <row r="12" spans="2:8" ht="25" x14ac:dyDescent="0.35">
      <c r="B12" s="1184"/>
      <c r="C12" s="995"/>
      <c r="D12" s="999"/>
      <c r="E12" s="997" t="s">
        <v>751</v>
      </c>
      <c r="F12" s="997" t="s">
        <v>741</v>
      </c>
      <c r="G12" s="998" t="s">
        <v>826</v>
      </c>
    </row>
    <row r="13" spans="2:8" ht="15" thickBot="1" x14ac:dyDescent="0.4">
      <c r="B13" s="1185"/>
      <c r="C13" s="1000"/>
      <c r="D13" s="1001"/>
      <c r="E13" s="1002" t="s">
        <v>752</v>
      </c>
      <c r="F13" s="1002" t="s">
        <v>748</v>
      </c>
      <c r="G13" s="1003"/>
    </row>
    <row r="15" spans="2:8" x14ac:dyDescent="0.35">
      <c r="B15" s="1189" t="s">
        <v>772</v>
      </c>
      <c r="C15" s="1004"/>
      <c r="D15" s="1005" t="s">
        <v>773</v>
      </c>
    </row>
    <row r="16" spans="2:8" x14ac:dyDescent="0.35">
      <c r="B16" s="1189"/>
      <c r="C16" s="1006"/>
      <c r="D16" s="1005" t="s">
        <v>774</v>
      </c>
    </row>
  </sheetData>
  <mergeCells count="3">
    <mergeCell ref="B8:B13"/>
    <mergeCell ref="B3:B7"/>
    <mergeCell ref="B15:B16"/>
  </mergeCells>
  <printOptions horizontalCentered="1"/>
  <pageMargins left="0" right="0" top="0.5" bottom="0.5" header="0.3" footer="0.3"/>
  <pageSetup paperSize="9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6074-FD26-4025-83C4-F0C27B1C2D6C}">
  <sheetPr>
    <tabColor rgb="FFFFFF00"/>
  </sheetPr>
  <dimension ref="A1:H55"/>
  <sheetViews>
    <sheetView workbookViewId="0">
      <selection activeCell="E7" sqref="E7"/>
    </sheetView>
  </sheetViews>
  <sheetFormatPr defaultRowHeight="14" outlineLevelRow="1" x14ac:dyDescent="0.35"/>
  <cols>
    <col min="1" max="1" width="1.36328125" style="71" customWidth="1"/>
    <col min="2" max="2" width="41.6328125" style="33" customWidth="1"/>
    <col min="3" max="6" width="10.90625" style="33" customWidth="1"/>
    <col min="7" max="16384" width="8.7265625" style="33"/>
  </cols>
  <sheetData>
    <row r="1" spans="1:8" x14ac:dyDescent="0.35">
      <c r="B1" s="283" t="s">
        <v>564</v>
      </c>
    </row>
    <row r="2" spans="1:8" s="134" customFormat="1" x14ac:dyDescent="0.3">
      <c r="A2" s="140"/>
      <c r="B2" s="134" t="s">
        <v>570</v>
      </c>
      <c r="F2" s="266" t="s">
        <v>565</v>
      </c>
    </row>
    <row r="3" spans="1:8" x14ac:dyDescent="0.35">
      <c r="B3" s="132" t="s">
        <v>381</v>
      </c>
      <c r="C3" s="132" t="s">
        <v>777</v>
      </c>
      <c r="D3" s="132" t="s">
        <v>778</v>
      </c>
      <c r="E3" s="132" t="s">
        <v>779</v>
      </c>
      <c r="F3" s="132" t="s">
        <v>780</v>
      </c>
    </row>
    <row r="4" spans="1:8" x14ac:dyDescent="0.35">
      <c r="B4" s="267" t="s">
        <v>269</v>
      </c>
      <c r="C4" s="284">
        <f>C$7*HLOOKUP("x",G.Định!$M$29:$P$33,ROWS(G.Định!$M$29:$M30),0)</f>
        <v>320000</v>
      </c>
      <c r="D4" s="284">
        <f>D$7*HLOOKUP("x",G.Định!$M$29:$P$33,ROWS(G.Định!$M$29:$M30),0)</f>
        <v>480000</v>
      </c>
      <c r="E4" s="284">
        <f>E$7*HLOOKUP("x",G.Định!$M$29:$P$33,ROWS(G.Định!$M$29:$M30),0)</f>
        <v>640000</v>
      </c>
      <c r="F4" s="284">
        <f>F$7*HLOOKUP("x",G.Định!$M$29:$P$33,ROWS(G.Định!$M$29:$M30),0)</f>
        <v>800000</v>
      </c>
    </row>
    <row r="5" spans="1:8" x14ac:dyDescent="0.35">
      <c r="B5" s="268" t="s">
        <v>270</v>
      </c>
      <c r="C5" s="285">
        <f>C$7*HLOOKUP("x",G.Định!$M$29:$P$33,ROWS(G.Định!$M$29:$M31),0)</f>
        <v>80000</v>
      </c>
      <c r="D5" s="285">
        <f>D$7*HLOOKUP("x",G.Định!$M$29:$P$33,ROWS(G.Định!$M$29:$M31),0)</f>
        <v>120000</v>
      </c>
      <c r="E5" s="285">
        <f>E$7*HLOOKUP("x",G.Định!$M$29:$P$33,ROWS(G.Định!$M$29:$M31),0)</f>
        <v>160000</v>
      </c>
      <c r="F5" s="285">
        <f>F$7*HLOOKUP("x",G.Định!$M$29:$P$33,ROWS(G.Định!$M$29:$M31),0)</f>
        <v>200000</v>
      </c>
    </row>
    <row r="6" spans="1:8" x14ac:dyDescent="0.35">
      <c r="B6" s="268" t="s">
        <v>271</v>
      </c>
      <c r="C6" s="285">
        <f>C$7*HLOOKUP("x",G.Định!$M$29:$P$33,ROWS(G.Định!$M$29:$M32),0)</f>
        <v>0</v>
      </c>
      <c r="D6" s="285">
        <f>D$7*HLOOKUP("x",G.Định!$M$29:$P$33,ROWS(G.Định!$M$29:$M32),0)</f>
        <v>0</v>
      </c>
      <c r="E6" s="285">
        <f>E$7*HLOOKUP("x",G.Định!$M$29:$P$33,ROWS(G.Định!$M$29:$M32),0)</f>
        <v>0</v>
      </c>
      <c r="F6" s="285">
        <f>F$7*HLOOKUP("x",G.Định!$M$29:$P$33,ROWS(G.Định!$M$29:$M32),0)</f>
        <v>0</v>
      </c>
    </row>
    <row r="7" spans="1:8" s="269" customFormat="1" x14ac:dyDescent="0.35">
      <c r="A7" s="140"/>
      <c r="B7" s="253" t="s">
        <v>273</v>
      </c>
      <c r="C7" s="286">
        <f>HLOOKUP(C$3,G.Định!$E$8:$H$9,2,0)*HLOOKUP("x",G.Định!$E$13:$L$17,5,0)</f>
        <v>400000</v>
      </c>
      <c r="D7" s="286">
        <f>HLOOKUP(D$3,G.Định!$E$8:$H$9,2,0)*HLOOKUP("x",G.Định!$E$14:$L$17,4,0)</f>
        <v>600000</v>
      </c>
      <c r="E7" s="286">
        <f>HLOOKUP(E$3,G.Định!$E$8:$H$9,2,0)*HLOOKUP("x",G.Định!E15:L17,3,0)</f>
        <v>800000</v>
      </c>
      <c r="F7" s="286">
        <f>HLOOKUP(F$3,G.Định!$E$8:$H$9,2,0)*HLOOKUP("x",G.Định!E16:L17,2,0)</f>
        <v>1000000</v>
      </c>
    </row>
    <row r="9" spans="1:8" s="134" customFormat="1" x14ac:dyDescent="0.35">
      <c r="A9" s="140"/>
      <c r="B9" s="133" t="s">
        <v>566</v>
      </c>
    </row>
    <row r="10" spans="1:8" x14ac:dyDescent="0.35">
      <c r="B10" s="132" t="s">
        <v>381</v>
      </c>
      <c r="C10" s="132" t="s">
        <v>777</v>
      </c>
      <c r="D10" s="132" t="s">
        <v>778</v>
      </c>
      <c r="E10" s="132" t="s">
        <v>779</v>
      </c>
      <c r="F10" s="132" t="s">
        <v>780</v>
      </c>
    </row>
    <row r="11" spans="1:8" x14ac:dyDescent="0.35">
      <c r="B11" s="267" t="s">
        <v>274</v>
      </c>
      <c r="C11" s="287">
        <f>C$4*HLOOKUP("x",G.Định!$D$49:$F$57,ROWS(G.Định!$D$49:$D50),0)+C$5*HLOOKUP("x",G.Định!$G$49:$I$57,ROWS(G.Định!$G$49:$G50),0)+C$6*HLOOKUP("x",G.Định!$J$49:$L$57,ROWS(G.Định!$J$49:$J50),0)</f>
        <v>218799.99999999997</v>
      </c>
      <c r="D11" s="287">
        <f>D$4*HLOOKUP("x",G.Định!$D$49:$F$57,ROWS(G.Định!$D$49:$D50),0)+D$5*HLOOKUP("x",G.Định!$G$49:$I$57,ROWS(G.Định!$G$49:$G50),0)+D$6*HLOOKUP("x",G.Định!$J$49:$L$57,ROWS(G.Định!$J$49:$J50),0)</f>
        <v>328200</v>
      </c>
      <c r="E11" s="287">
        <f>E$4*HLOOKUP("x",G.Định!$D$49:$F$57,ROWS(G.Định!$D$49:$D50),0)+E$5*HLOOKUP("x",G.Định!$G$49:$I$57,ROWS(G.Định!$G$49:$G50),0)+E$6*HLOOKUP("x",G.Định!$J$49:$L$57,ROWS(G.Định!$J$49:$J50),0)</f>
        <v>437599.99999999994</v>
      </c>
      <c r="F11" s="287">
        <f>F$4*HLOOKUP("x",G.Định!$D$49:$F$57,ROWS(G.Định!$D$49:$D50),0)+F$5*HLOOKUP("x",G.Định!$G$49:$I$57,ROWS(G.Định!$G$49:$G50),0)+F$6*HLOOKUP("x",G.Định!$J$49:$L$57,ROWS(G.Định!$J$49:$J50),0)</f>
        <v>547000</v>
      </c>
      <c r="G11" s="74"/>
      <c r="H11" s="73"/>
    </row>
    <row r="12" spans="1:8" x14ac:dyDescent="0.35">
      <c r="B12" s="268" t="s">
        <v>275</v>
      </c>
      <c r="C12" s="288">
        <f>C$4*HLOOKUP("x",G.Định!$D$49:$F$57,ROWS(G.Định!$D$49:$D51),0)+C$5*HLOOKUP("x",G.Định!$G$49:$I$57,ROWS(G.Định!$G$49:$G51),0)+C$6*HLOOKUP("x",G.Định!$J$49:$L$57,ROWS(G.Định!$J$49:$J51),0)</f>
        <v>29600.000000000004</v>
      </c>
      <c r="D12" s="288">
        <f>D$4*HLOOKUP("x",G.Định!$D$49:$F$57,ROWS(G.Định!$D$49:$D51),0)+D$5*HLOOKUP("x",G.Định!$G$49:$I$57,ROWS(G.Định!$G$49:$G51),0)+D$6*HLOOKUP("x",G.Định!$J$49:$L$57,ROWS(G.Định!$J$49:$J51),0)</f>
        <v>44400</v>
      </c>
      <c r="E12" s="288">
        <f>E$4*HLOOKUP("x",G.Định!$D$49:$F$57,ROWS(G.Định!$D$49:$D51),0)+E$5*HLOOKUP("x",G.Định!$G$49:$I$57,ROWS(G.Định!$G$49:$G51),0)+E$6*HLOOKUP("x",G.Định!$J$49:$L$57,ROWS(G.Định!$J$49:$J51),0)</f>
        <v>59200.000000000007</v>
      </c>
      <c r="F12" s="288">
        <f>F$4*HLOOKUP("x",G.Định!$D$49:$F$57,ROWS(G.Định!$D$49:$D51),0)+F$5*HLOOKUP("x",G.Định!$G$49:$I$57,ROWS(G.Định!$G$49:$G51),0)+F$6*HLOOKUP("x",G.Định!$J$49:$L$57,ROWS(G.Định!$J$49:$J51),0)</f>
        <v>74000</v>
      </c>
      <c r="G12" s="74"/>
      <c r="H12" s="74"/>
    </row>
    <row r="13" spans="1:8" x14ac:dyDescent="0.35">
      <c r="B13" s="268" t="s">
        <v>276</v>
      </c>
      <c r="C13" s="288">
        <f>C$4*HLOOKUP("x",G.Định!$D$49:$F$57,ROWS(G.Định!$D$49:$D52),0)+C$5*HLOOKUP("x",G.Định!$G$49:$I$57,ROWS(G.Định!$G$49:$G52),0)+C$6*HLOOKUP("x",G.Định!$J$49:$L$57,ROWS(G.Định!$J$49:$J52),0)</f>
        <v>4000</v>
      </c>
      <c r="D13" s="288">
        <f>D$4*HLOOKUP("x",G.Định!$D$49:$F$57,ROWS(G.Định!$D$49:$D52),0)+D$5*HLOOKUP("x",G.Định!$G$49:$I$57,ROWS(G.Định!$G$49:$G52),0)+D$6*HLOOKUP("x",G.Định!$J$49:$L$57,ROWS(G.Định!$J$49:$J52),0)</f>
        <v>6000</v>
      </c>
      <c r="E13" s="288">
        <f>E$4*HLOOKUP("x",G.Định!$D$49:$F$57,ROWS(G.Định!$D$49:$D52),0)+E$5*HLOOKUP("x",G.Định!$G$49:$I$57,ROWS(G.Định!$G$49:$G52),0)+E$6*HLOOKUP("x",G.Định!$J$49:$L$57,ROWS(G.Định!$J$49:$J52),0)</f>
        <v>8000</v>
      </c>
      <c r="F13" s="288">
        <f>F$4*HLOOKUP("x",G.Định!$D$49:$F$57,ROWS(G.Định!$D$49:$D52),0)+F$5*HLOOKUP("x",G.Định!$G$49:$I$57,ROWS(G.Định!$G$49:$G52),0)+F$6*HLOOKUP("x",G.Định!$J$49:$L$57,ROWS(G.Định!$J$49:$J52),0)</f>
        <v>10000</v>
      </c>
      <c r="G13" s="74"/>
    </row>
    <row r="14" spans="1:8" x14ac:dyDescent="0.35">
      <c r="B14" s="268" t="s">
        <v>277</v>
      </c>
      <c r="C14" s="288">
        <f>C$4*HLOOKUP("x",G.Định!$D$49:$F$57,ROWS(G.Định!$D$49:$D53),0)+C$5*HLOOKUP("x",G.Định!$G$49:$I$57,ROWS(G.Định!$G$49:$G53),0)+C$6*HLOOKUP("x",G.Định!$J$49:$L$57,ROWS(G.Định!$J$49:$J53),0)</f>
        <v>2400</v>
      </c>
      <c r="D14" s="288">
        <f>D$4*HLOOKUP("x",G.Định!$D$49:$F$57,ROWS(G.Định!$D$49:$D53),0)+D$5*HLOOKUP("x",G.Định!$G$49:$I$57,ROWS(G.Định!$G$49:$G53),0)+D$6*HLOOKUP("x",G.Định!$J$49:$L$57,ROWS(G.Định!$J$49:$J53),0)</f>
        <v>3600</v>
      </c>
      <c r="E14" s="288">
        <f>E$4*HLOOKUP("x",G.Định!$D$49:$F$57,ROWS(G.Định!$D$49:$D53),0)+E$5*HLOOKUP("x",G.Định!$G$49:$I$57,ROWS(G.Định!$G$49:$G53),0)+E$6*HLOOKUP("x",G.Định!$J$49:$L$57,ROWS(G.Định!$J$49:$J53),0)</f>
        <v>4800</v>
      </c>
      <c r="F14" s="288">
        <f>F$4*HLOOKUP("x",G.Định!$D$49:$F$57,ROWS(G.Định!$D$49:$D53),0)+F$5*HLOOKUP("x",G.Định!$G$49:$I$57,ROWS(G.Định!$G$49:$G53),0)+F$6*HLOOKUP("x",G.Định!$J$49:$L$57,ROWS(G.Định!$J$49:$J53),0)</f>
        <v>6000</v>
      </c>
      <c r="G14" s="74"/>
    </row>
    <row r="15" spans="1:8" x14ac:dyDescent="0.35">
      <c r="B15" s="268" t="s">
        <v>278</v>
      </c>
      <c r="C15" s="288">
        <f>C$4*HLOOKUP("x",G.Định!$D$49:$F$57,ROWS(G.Định!$D$49:$D54),0)+C$5*HLOOKUP("x",G.Định!$G$49:$I$57,ROWS(G.Định!$G$49:$G54),0)+C$6*HLOOKUP("x",G.Định!$J$49:$L$57,ROWS(G.Định!$J$49:$J54),0)</f>
        <v>108800</v>
      </c>
      <c r="D15" s="288">
        <f>D$4*HLOOKUP("x",G.Định!$D$49:$F$57,ROWS(G.Định!$D$49:$D54),0)+D$5*HLOOKUP("x",G.Định!$G$49:$I$57,ROWS(G.Định!$G$49:$G54),0)+D$6*HLOOKUP("x",G.Định!$J$49:$L$57,ROWS(G.Định!$J$49:$J54),0)</f>
        <v>163200</v>
      </c>
      <c r="E15" s="288">
        <f>E$4*HLOOKUP("x",G.Định!$D$49:$F$57,ROWS(G.Định!$D$49:$D54),0)+E$5*HLOOKUP("x",G.Định!$G$49:$I$57,ROWS(G.Định!$G$49:$G54),0)+E$6*HLOOKUP("x",G.Định!$J$49:$L$57,ROWS(G.Định!$J$49:$J54),0)</f>
        <v>217600</v>
      </c>
      <c r="F15" s="288">
        <f>F$4*HLOOKUP("x",G.Định!$D$49:$F$57,ROWS(G.Định!$D$49:$D54),0)+F$5*HLOOKUP("x",G.Định!$G$49:$I$57,ROWS(G.Định!$G$49:$G54),0)+F$6*HLOOKUP("x",G.Định!$J$49:$L$57,ROWS(G.Định!$J$49:$J54),0)</f>
        <v>272000</v>
      </c>
      <c r="G15" s="74"/>
    </row>
    <row r="16" spans="1:8" x14ac:dyDescent="0.35">
      <c r="B16" s="268" t="s">
        <v>279</v>
      </c>
      <c r="C16" s="288">
        <f>C$4*HLOOKUP("x",G.Định!$D$49:$F$57,ROWS(G.Định!$D$49:$D55),0)+C$5*HLOOKUP("x",G.Định!$G$49:$I$57,ROWS(G.Định!$G$49:$G55),0)+C$6*HLOOKUP("x",G.Định!$J$49:$L$57,ROWS(G.Định!$J$49:$J55),0)</f>
        <v>2000</v>
      </c>
      <c r="D16" s="288">
        <f>D$4*HLOOKUP("x",G.Định!$D$49:$F$57,ROWS(G.Định!$D$49:$D55),0)+D$5*HLOOKUP("x",G.Định!$G$49:$I$57,ROWS(G.Định!$G$49:$G55),0)+D$6*HLOOKUP("x",G.Định!$J$49:$L$57,ROWS(G.Định!$J$49:$J55),0)</f>
        <v>3000</v>
      </c>
      <c r="E16" s="288">
        <f>E$4*HLOOKUP("x",G.Định!$D$49:$F$57,ROWS(G.Định!$D$49:$D55),0)+E$5*HLOOKUP("x",G.Định!$G$49:$I$57,ROWS(G.Định!$G$49:$G55),0)+E$6*HLOOKUP("x",G.Định!$J$49:$L$57,ROWS(G.Định!$J$49:$J55),0)</f>
        <v>4000</v>
      </c>
      <c r="F16" s="288">
        <f>F$4*HLOOKUP("x",G.Định!$D$49:$F$57,ROWS(G.Định!$D$49:$D55),0)+F$5*HLOOKUP("x",G.Định!$G$49:$I$57,ROWS(G.Định!$G$49:$G55),0)+F$6*HLOOKUP("x",G.Định!$J$49:$L$57,ROWS(G.Định!$J$49:$J55),0)</f>
        <v>5000</v>
      </c>
      <c r="G16" s="74"/>
    </row>
    <row r="17" spans="1:8" x14ac:dyDescent="0.35">
      <c r="B17" s="268" t="s">
        <v>280</v>
      </c>
      <c r="C17" s="288">
        <f>C$4*HLOOKUP("x",G.Định!$D$49:$F$57,ROWS(G.Định!$D$49:$D56),0)+C$5*HLOOKUP("x",G.Định!$G$49:$I$57,ROWS(G.Định!$G$49:$G56),0)+C$6*HLOOKUP("x",G.Định!$J$49:$L$57,ROWS(G.Định!$J$49:$J56),0)</f>
        <v>4000</v>
      </c>
      <c r="D17" s="288">
        <f>D$4*HLOOKUP("x",G.Định!$D$49:$F$57,ROWS(G.Định!$D$49:$D56),0)+D$5*HLOOKUP("x",G.Định!$G$49:$I$57,ROWS(G.Định!$G$49:$G56),0)+D$6*HLOOKUP("x",G.Định!$J$49:$L$57,ROWS(G.Định!$J$49:$J56),0)</f>
        <v>6000</v>
      </c>
      <c r="E17" s="288">
        <f>E$4*HLOOKUP("x",G.Định!$D$49:$F$57,ROWS(G.Định!$D$49:$D56),0)+E$5*HLOOKUP("x",G.Định!$G$49:$I$57,ROWS(G.Định!$G$49:$G56),0)+E$6*HLOOKUP("x",G.Định!$J$49:$L$57,ROWS(G.Định!$J$49:$J56),0)</f>
        <v>8000</v>
      </c>
      <c r="F17" s="288">
        <f>F$4*HLOOKUP("x",G.Định!$D$49:$F$57,ROWS(G.Định!$D$49:$D56),0)+F$5*HLOOKUP("x",G.Định!$G$49:$I$57,ROWS(G.Định!$G$49:$G56),0)+F$6*HLOOKUP("x",G.Định!$J$49:$L$57,ROWS(G.Định!$J$49:$J56),0)</f>
        <v>10000</v>
      </c>
      <c r="G17" s="74"/>
    </row>
    <row r="18" spans="1:8" s="269" customFormat="1" x14ac:dyDescent="0.35">
      <c r="A18" s="140"/>
      <c r="B18" s="253" t="s">
        <v>273</v>
      </c>
      <c r="C18" s="289">
        <f>SUM(C11:C17)</f>
        <v>369600</v>
      </c>
      <c r="D18" s="289">
        <f t="shared" ref="D18:F18" si="0">SUM(D11:D17)</f>
        <v>554400</v>
      </c>
      <c r="E18" s="289">
        <f t="shared" si="0"/>
        <v>739200</v>
      </c>
      <c r="F18" s="289">
        <f t="shared" si="0"/>
        <v>924000</v>
      </c>
    </row>
    <row r="19" spans="1:8" s="269" customFormat="1" x14ac:dyDescent="0.35">
      <c r="A19" s="140"/>
      <c r="B19" s="276"/>
      <c r="C19" s="282"/>
      <c r="D19" s="282"/>
      <c r="E19" s="282"/>
      <c r="F19" s="282"/>
    </row>
    <row r="20" spans="1:8" s="134" customFormat="1" x14ac:dyDescent="0.35">
      <c r="A20" s="140"/>
      <c r="B20" s="134" t="s">
        <v>567</v>
      </c>
    </row>
    <row r="21" spans="1:8" s="36" customFormat="1" x14ac:dyDescent="0.35">
      <c r="A21" s="71"/>
      <c r="B21" s="132" t="s">
        <v>563</v>
      </c>
      <c r="C21" s="132" t="s">
        <v>777</v>
      </c>
      <c r="D21" s="132" t="s">
        <v>778</v>
      </c>
      <c r="E21" s="132" t="s">
        <v>779</v>
      </c>
      <c r="F21" s="132" t="s">
        <v>780</v>
      </c>
    </row>
    <row r="22" spans="1:8" x14ac:dyDescent="0.35">
      <c r="B22" s="267" t="s">
        <v>274</v>
      </c>
      <c r="C22" s="290">
        <f>C11*HLOOKUP("x",G.Định!$M$49:$O$56,ROWS(G.Định!$M$49:$M50),0)*(1-HLOOKUP("x",G.Định!$P$49:$R$56,ROWS(G.Định!$P$49:$P50),0))</f>
        <v>0</v>
      </c>
      <c r="D22" s="290">
        <f>D11*HLOOKUP("x",G.Định!$M$49:$O$56,ROWS(G.Định!$M$49:$M50),0)*(1-HLOOKUP("x",G.Định!$P$49:$R$56,ROWS(G.Định!$P$49:$P50),0))</f>
        <v>0</v>
      </c>
      <c r="E22" s="290">
        <f>E11*HLOOKUP("x",G.Định!$M$49:$O$56,ROWS(G.Định!$M$49:$M50),0)*(1-HLOOKUP("x",G.Định!$P$49:$R$56,ROWS(G.Định!$P$49:$P50),0))</f>
        <v>0</v>
      </c>
      <c r="F22" s="290">
        <f>F11*HLOOKUP("x",G.Định!$M$49:$O$56,ROWS(G.Định!$M$49:$M50),0)*(1-HLOOKUP("x",G.Định!$P$49:$R$56,ROWS(G.Định!$P$49:$P50),0))</f>
        <v>0</v>
      </c>
    </row>
    <row r="23" spans="1:8" x14ac:dyDescent="0.35">
      <c r="B23" s="268" t="s">
        <v>275</v>
      </c>
      <c r="C23" s="291">
        <f>C12*HLOOKUP("x",G.Định!$M$49:$O$56,ROWS(G.Định!$M$49:$M51),0)*(1-HLOOKUP("x",G.Định!$P$49:$R$56,ROWS(G.Định!$P$49:$P51),0))</f>
        <v>0</v>
      </c>
      <c r="D23" s="291">
        <f>D12*HLOOKUP("x",G.Định!$M$49:$O$56,ROWS(G.Định!$M$49:$M51),0)*(1-HLOOKUP("x",G.Định!$P$49:$R$56,ROWS(G.Định!$P$49:$P51),0))</f>
        <v>0</v>
      </c>
      <c r="E23" s="291">
        <f>E12*HLOOKUP("x",G.Định!$M$49:$O$56,ROWS(G.Định!$M$49:$M51),0)*(1-HLOOKUP("x",G.Định!$P$49:$R$56,ROWS(G.Định!$P$49:$P51),0))</f>
        <v>0</v>
      </c>
      <c r="F23" s="291">
        <f>F12*HLOOKUP("x",G.Định!$M$49:$O$56,ROWS(G.Định!$M$49:$M51),0)*(1-HLOOKUP("x",G.Định!$P$49:$R$56,ROWS(G.Định!$P$49:$P51),0))</f>
        <v>0</v>
      </c>
    </row>
    <row r="24" spans="1:8" x14ac:dyDescent="0.35">
      <c r="B24" s="268" t="s">
        <v>276</v>
      </c>
      <c r="C24" s="291">
        <f>C13*HLOOKUP("x",G.Định!$M$49:$O$56,ROWS(G.Định!$M$49:$M52),0)*(1-HLOOKUP("x",G.Định!$P$49:$R$56,ROWS(G.Định!$P$49:$P52),0))</f>
        <v>0</v>
      </c>
      <c r="D24" s="291">
        <f>D13*HLOOKUP("x",G.Định!$M$49:$O$56,ROWS(G.Định!$M$49:$M52),0)*(1-HLOOKUP("x",G.Định!$P$49:$R$56,ROWS(G.Định!$P$49:$P52),0))</f>
        <v>0</v>
      </c>
      <c r="E24" s="291">
        <f>E13*HLOOKUP("x",G.Định!$M$49:$O$56,ROWS(G.Định!$M$49:$M52),0)*(1-HLOOKUP("x",G.Định!$P$49:$R$56,ROWS(G.Định!$P$49:$P52),0))</f>
        <v>0</v>
      </c>
      <c r="F24" s="291">
        <f>F13*HLOOKUP("x",G.Định!$M$49:$O$56,ROWS(G.Định!$M$49:$M52),0)*(1-HLOOKUP("x",G.Định!$P$49:$R$56,ROWS(G.Định!$P$49:$P52),0))</f>
        <v>0</v>
      </c>
    </row>
    <row r="25" spans="1:8" x14ac:dyDescent="0.35">
      <c r="B25" s="268" t="s">
        <v>277</v>
      </c>
      <c r="C25" s="291">
        <f>C14*HLOOKUP("x",G.Định!$M$49:$O$56,ROWS(G.Định!$M$49:$M53),0)*(1-HLOOKUP("x",G.Định!$P$49:$R$56,ROWS(G.Định!$P$49:$P53),0))</f>
        <v>0</v>
      </c>
      <c r="D25" s="291">
        <f>D14*HLOOKUP("x",G.Định!$M$49:$O$56,ROWS(G.Định!$M$49:$M53),0)*(1-HLOOKUP("x",G.Định!$P$49:$R$56,ROWS(G.Định!$P$49:$P53),0))</f>
        <v>0</v>
      </c>
      <c r="E25" s="291">
        <f>E14*HLOOKUP("x",G.Định!$M$49:$O$56,ROWS(G.Định!$M$49:$M53),0)*(1-HLOOKUP("x",G.Định!$P$49:$R$56,ROWS(G.Định!$P$49:$P53),0))</f>
        <v>0</v>
      </c>
      <c r="F25" s="291">
        <f>F14*HLOOKUP("x",G.Định!$M$49:$O$56,ROWS(G.Định!$M$49:$M53),0)*(1-HLOOKUP("x",G.Định!$P$49:$R$56,ROWS(G.Định!$P$49:$P53),0))</f>
        <v>0</v>
      </c>
    </row>
    <row r="26" spans="1:8" x14ac:dyDescent="0.35">
      <c r="B26" s="268" t="s">
        <v>278</v>
      </c>
      <c r="C26" s="291">
        <f>C15*HLOOKUP("x",G.Định!$M$49:$O$56,ROWS(G.Định!$M$49:$M54),0)*(1-HLOOKUP("x",G.Định!$P$49:$R$56,ROWS(G.Định!$P$49:$P54),0))</f>
        <v>0</v>
      </c>
      <c r="D26" s="291">
        <f>D15*HLOOKUP("x",G.Định!$M$49:$O$56,ROWS(G.Định!$M$49:$M54),0)*(1-HLOOKUP("x",G.Định!$P$49:$R$56,ROWS(G.Định!$P$49:$P54),0))</f>
        <v>0</v>
      </c>
      <c r="E26" s="291">
        <f>E15*HLOOKUP("x",G.Định!$M$49:$O$56,ROWS(G.Định!$M$49:$M54),0)*(1-HLOOKUP("x",G.Định!$P$49:$R$56,ROWS(G.Định!$P$49:$P54),0))</f>
        <v>0</v>
      </c>
      <c r="F26" s="291">
        <f>F15*HLOOKUP("x",G.Định!$M$49:$O$56,ROWS(G.Định!$M$49:$M54),0)*(1-HLOOKUP("x",G.Định!$P$49:$R$56,ROWS(G.Định!$P$49:$P54),0))</f>
        <v>0</v>
      </c>
    </row>
    <row r="27" spans="1:8" x14ac:dyDescent="0.35">
      <c r="B27" s="268" t="s">
        <v>279</v>
      </c>
      <c r="C27" s="291">
        <f>C16*HLOOKUP("x",G.Định!$M$49:$O$56,ROWS(G.Định!$M$49:$M55),0)*(1-HLOOKUP("x",G.Định!$P$49:$R$56,ROWS(G.Định!$P$49:$P55),0))</f>
        <v>0</v>
      </c>
      <c r="D27" s="291">
        <f>D16*HLOOKUP("x",G.Định!$M$49:$O$56,ROWS(G.Định!$M$49:$M55),0)*(1-HLOOKUP("x",G.Định!$P$49:$R$56,ROWS(G.Định!$P$49:$P55),0))</f>
        <v>0</v>
      </c>
      <c r="E27" s="291">
        <f>E16*HLOOKUP("x",G.Định!$M$49:$O$56,ROWS(G.Định!$M$49:$M55),0)*(1-HLOOKUP("x",G.Định!$P$49:$R$56,ROWS(G.Định!$P$49:$P55),0))</f>
        <v>0</v>
      </c>
      <c r="F27" s="291">
        <f>F16*HLOOKUP("x",G.Định!$M$49:$O$56,ROWS(G.Định!$M$49:$M55),0)*(1-HLOOKUP("x",G.Định!$P$49:$R$56,ROWS(G.Định!$P$49:$P55),0))</f>
        <v>0</v>
      </c>
    </row>
    <row r="28" spans="1:8" x14ac:dyDescent="0.35">
      <c r="B28" s="268" t="s">
        <v>280</v>
      </c>
      <c r="C28" s="291">
        <f>C17*HLOOKUP("x",G.Định!$M$49:$O$56,ROWS(G.Định!$M$49:$M56),0)*(1-HLOOKUP("x",G.Định!$P$49:$R$56,ROWS(G.Định!$P$49:$P56),0))</f>
        <v>0</v>
      </c>
      <c r="D28" s="291">
        <f>D17*HLOOKUP("x",G.Định!$M$49:$O$56,ROWS(G.Định!$M$49:$M56),0)*(1-HLOOKUP("x",G.Định!$P$49:$R$56,ROWS(G.Định!$P$49:$P56),0))</f>
        <v>0</v>
      </c>
      <c r="E28" s="291">
        <f>E17*HLOOKUP("x",G.Định!$M$49:$O$56,ROWS(G.Định!$M$49:$M56),0)*(1-HLOOKUP("x",G.Định!$P$49:$R$56,ROWS(G.Định!$P$49:$P56),0))</f>
        <v>0</v>
      </c>
      <c r="F28" s="291">
        <f>F17*HLOOKUP("x",G.Định!$M$49:$O$56,ROWS(G.Định!$M$49:$M56),0)*(1-HLOOKUP("x",G.Định!$P$49:$R$56,ROWS(G.Định!$P$49:$P56),0))</f>
        <v>0</v>
      </c>
    </row>
    <row r="29" spans="1:8" s="269" customFormat="1" x14ac:dyDescent="0.35">
      <c r="A29" s="140"/>
      <c r="B29" s="253" t="s">
        <v>273</v>
      </c>
      <c r="C29" s="289">
        <f>SUM(C22:C28)</f>
        <v>0</v>
      </c>
      <c r="D29" s="289">
        <f t="shared" ref="D29" si="1">SUM(D22:D28)</f>
        <v>0</v>
      </c>
      <c r="E29" s="289">
        <f t="shared" ref="E29" si="2">SUM(E22:E28)</f>
        <v>0</v>
      </c>
      <c r="F29" s="289">
        <f t="shared" ref="F29" si="3">SUM(F22:F28)</f>
        <v>0</v>
      </c>
      <c r="H29" s="275"/>
    </row>
    <row r="31" spans="1:8" s="134" customFormat="1" x14ac:dyDescent="0.35">
      <c r="A31" s="140"/>
      <c r="B31" s="133" t="s">
        <v>568</v>
      </c>
    </row>
    <row r="32" spans="1:8" s="36" customFormat="1" x14ac:dyDescent="0.35">
      <c r="A32" s="71"/>
      <c r="B32" s="132" t="s">
        <v>381</v>
      </c>
      <c r="C32" s="132" t="s">
        <v>777</v>
      </c>
      <c r="D32" s="132" t="s">
        <v>778</v>
      </c>
      <c r="E32" s="132" t="s">
        <v>779</v>
      </c>
      <c r="F32" s="132" t="s">
        <v>780</v>
      </c>
    </row>
    <row r="33" spans="1:8" x14ac:dyDescent="0.35">
      <c r="B33" s="267" t="s">
        <v>274</v>
      </c>
      <c r="C33" s="290">
        <f>C11-C11*HLOOKUP("x",G.Định!$M$49:$O$56,ROWS(G.Định!$M$49:$M50),0)</f>
        <v>218799.99999999997</v>
      </c>
      <c r="D33" s="290">
        <f>D11-D11*HLOOKUP("x",G.Định!$M$49:$O$56,ROWS(G.Định!$M$49:$M50),0)</f>
        <v>328200</v>
      </c>
      <c r="E33" s="290">
        <f>E11-E11*HLOOKUP("x",G.Định!$M$49:$O$56,ROWS(G.Định!$M$49:$M50),0)</f>
        <v>437599.99999999994</v>
      </c>
      <c r="F33" s="290">
        <f>F11-F11*HLOOKUP("x",G.Định!$M$49:$O$56,ROWS(G.Định!$M$49:$M50),0)</f>
        <v>547000</v>
      </c>
    </row>
    <row r="34" spans="1:8" x14ac:dyDescent="0.35">
      <c r="B34" s="268" t="s">
        <v>275</v>
      </c>
      <c r="C34" s="291">
        <f>C12-C12*HLOOKUP("x",G.Định!$M$49:$O$56,ROWS(G.Định!$M$49:$M51),0)</f>
        <v>29600.000000000004</v>
      </c>
      <c r="D34" s="291">
        <f>D12-D12*HLOOKUP("x",G.Định!$M$49:$O$56,ROWS(G.Định!$M$49:$M51),0)</f>
        <v>44400</v>
      </c>
      <c r="E34" s="291">
        <f>E12-E12*HLOOKUP("x",G.Định!$M$49:$O$56,ROWS(G.Định!$M$49:$M51),0)</f>
        <v>59200.000000000007</v>
      </c>
      <c r="F34" s="291">
        <f>F12-F12*HLOOKUP("x",G.Định!$M$49:$O$56,ROWS(G.Định!$M$49:$M51),0)</f>
        <v>74000</v>
      </c>
    </row>
    <row r="35" spans="1:8" x14ac:dyDescent="0.35">
      <c r="B35" s="268" t="s">
        <v>276</v>
      </c>
      <c r="C35" s="291">
        <f>C13-C13*HLOOKUP("x",G.Định!$M$49:$O$56,ROWS(G.Định!$M$49:$M52),0)</f>
        <v>4000</v>
      </c>
      <c r="D35" s="291">
        <f>D13-D13*HLOOKUP("x",G.Định!$M$49:$O$56,ROWS(G.Định!$M$49:$M52),0)</f>
        <v>6000</v>
      </c>
      <c r="E35" s="291">
        <f>E13-E13*HLOOKUP("x",G.Định!$M$49:$O$56,ROWS(G.Định!$M$49:$M52),0)</f>
        <v>8000</v>
      </c>
      <c r="F35" s="291">
        <f>F13-F13*HLOOKUP("x",G.Định!$M$49:$O$56,ROWS(G.Định!$M$49:$M52),0)</f>
        <v>10000</v>
      </c>
    </row>
    <row r="36" spans="1:8" x14ac:dyDescent="0.35">
      <c r="B36" s="268" t="s">
        <v>277</v>
      </c>
      <c r="C36" s="291">
        <f>C14-C14*HLOOKUP("x",G.Định!$M$49:$O$56,ROWS(G.Định!$M$49:$M53),0)</f>
        <v>2400</v>
      </c>
      <c r="D36" s="291">
        <f>D14-D14*HLOOKUP("x",G.Định!$M$49:$O$56,ROWS(G.Định!$M$49:$M53),0)</f>
        <v>3600</v>
      </c>
      <c r="E36" s="291">
        <f>E14-E14*HLOOKUP("x",G.Định!$M$49:$O$56,ROWS(G.Định!$M$49:$M53),0)</f>
        <v>4800</v>
      </c>
      <c r="F36" s="291">
        <f>F14-F14*HLOOKUP("x",G.Định!$M$49:$O$56,ROWS(G.Định!$M$49:$M53),0)</f>
        <v>6000</v>
      </c>
    </row>
    <row r="37" spans="1:8" x14ac:dyDescent="0.35">
      <c r="B37" s="268" t="s">
        <v>278</v>
      </c>
      <c r="C37" s="291">
        <f>C15-C15*HLOOKUP("x",G.Định!$M$49:$O$56,ROWS(G.Định!$M$49:$M54),0)</f>
        <v>108800</v>
      </c>
      <c r="D37" s="291">
        <f>D15-D15*HLOOKUP("x",G.Định!$M$49:$O$56,ROWS(G.Định!$M$49:$M54),0)</f>
        <v>163200</v>
      </c>
      <c r="E37" s="291">
        <f>E15-E15*HLOOKUP("x",G.Định!$M$49:$O$56,ROWS(G.Định!$M$49:$M54),0)</f>
        <v>217600</v>
      </c>
      <c r="F37" s="291">
        <f>F15-F15*HLOOKUP("x",G.Định!$M$49:$O$56,ROWS(G.Định!$M$49:$M54),0)</f>
        <v>272000</v>
      </c>
    </row>
    <row r="38" spans="1:8" x14ac:dyDescent="0.35">
      <c r="B38" s="268" t="s">
        <v>279</v>
      </c>
      <c r="C38" s="291">
        <f>C16-C16*HLOOKUP("x",G.Định!$M$49:$O$56,ROWS(G.Định!$M$49:$M55),0)</f>
        <v>2000</v>
      </c>
      <c r="D38" s="291">
        <f>D16-D16*HLOOKUP("x",G.Định!$M$49:$O$56,ROWS(G.Định!$M$49:$M55),0)</f>
        <v>3000</v>
      </c>
      <c r="E38" s="291">
        <f>E16-E16*HLOOKUP("x",G.Định!$M$49:$O$56,ROWS(G.Định!$M$49:$M55),0)</f>
        <v>4000</v>
      </c>
      <c r="F38" s="291">
        <f>F16-F16*HLOOKUP("x",G.Định!$M$49:$O$56,ROWS(G.Định!$M$49:$M55),0)</f>
        <v>5000</v>
      </c>
    </row>
    <row r="39" spans="1:8" x14ac:dyDescent="0.35">
      <c r="B39" s="268" t="s">
        <v>280</v>
      </c>
      <c r="C39" s="291">
        <f>C17-C17*HLOOKUP("x",G.Định!$M$49:$O$56,ROWS(G.Định!$M$49:$M56),0)</f>
        <v>4000</v>
      </c>
      <c r="D39" s="291">
        <f>D17-D17*HLOOKUP("x",G.Định!$M$49:$O$56,ROWS(G.Định!$M$49:$M56),0)</f>
        <v>6000</v>
      </c>
      <c r="E39" s="291">
        <f>E17-E17*HLOOKUP("x",G.Định!$M$49:$O$56,ROWS(G.Định!$M$49:$M56),0)</f>
        <v>8000</v>
      </c>
      <c r="F39" s="291">
        <f>F17-F17*HLOOKUP("x",G.Định!$M$49:$O$56,ROWS(G.Định!$M$49:$M56),0)</f>
        <v>10000</v>
      </c>
    </row>
    <row r="40" spans="1:8" s="269" customFormat="1" x14ac:dyDescent="0.35">
      <c r="A40" s="140"/>
      <c r="B40" s="253" t="s">
        <v>273</v>
      </c>
      <c r="C40" s="289">
        <f>SUM(C33:C39)</f>
        <v>369600</v>
      </c>
      <c r="D40" s="289">
        <f t="shared" ref="D40" si="4">SUM(D33:D39)</f>
        <v>554400</v>
      </c>
      <c r="E40" s="289">
        <f>SUM(E33:E39)</f>
        <v>739200</v>
      </c>
      <c r="F40" s="289">
        <f>SUM(F33:F39)</f>
        <v>924000</v>
      </c>
      <c r="H40" s="275"/>
    </row>
    <row r="41" spans="1:8" x14ac:dyDescent="0.35">
      <c r="C41" s="272"/>
      <c r="D41" s="272"/>
      <c r="E41" s="272"/>
      <c r="F41" s="272"/>
    </row>
    <row r="42" spans="1:8" s="134" customFormat="1" x14ac:dyDescent="0.35">
      <c r="B42" s="280" t="s">
        <v>569</v>
      </c>
      <c r="C42" s="292">
        <f>C29+C40</f>
        <v>369600</v>
      </c>
      <c r="D42" s="292">
        <f>D29+D40</f>
        <v>554400</v>
      </c>
      <c r="E42" s="292">
        <f>E29+E40</f>
        <v>739200</v>
      </c>
      <c r="F42" s="292">
        <f>F29+F40</f>
        <v>924000</v>
      </c>
    </row>
    <row r="45" spans="1:8" s="134" customFormat="1" hidden="1" outlineLevel="1" x14ac:dyDescent="0.35">
      <c r="A45" s="140"/>
      <c r="B45" s="808" t="s">
        <v>626</v>
      </c>
    </row>
    <row r="46" spans="1:8" s="36" customFormat="1" hidden="1" outlineLevel="1" x14ac:dyDescent="0.35">
      <c r="A46" s="71"/>
      <c r="B46" s="132" t="s">
        <v>563</v>
      </c>
      <c r="C46" s="132" t="s">
        <v>546</v>
      </c>
      <c r="D46" s="132" t="s">
        <v>547</v>
      </c>
      <c r="E46" s="132" t="s">
        <v>548</v>
      </c>
      <c r="F46" s="132" t="s">
        <v>549</v>
      </c>
    </row>
    <row r="47" spans="1:8" hidden="1" outlineLevel="1" x14ac:dyDescent="0.35">
      <c r="B47" s="809" t="s">
        <v>274</v>
      </c>
      <c r="C47" s="810">
        <f>C11*HLOOKUP("x",G.Định!$M$49:$O$56,ROWS(G.Định!$M$49:$M50),0)</f>
        <v>0</v>
      </c>
      <c r="D47" s="810">
        <f>D11*HLOOKUP("x",G.Định!$M$49:$O$56,ROWS(G.Định!$M$49:$M50),0)</f>
        <v>0</v>
      </c>
      <c r="E47" s="810">
        <f>E11*HLOOKUP("x",G.Định!$M$49:$O$56,ROWS(G.Định!$M$49:$M50),0)</f>
        <v>0</v>
      </c>
      <c r="F47" s="810">
        <f>F11*HLOOKUP("x",G.Định!$M$49:$O$56,ROWS(G.Định!$M$49:$M50),0)</f>
        <v>0</v>
      </c>
    </row>
    <row r="48" spans="1:8" hidden="1" outlineLevel="1" x14ac:dyDescent="0.35">
      <c r="B48" s="811" t="s">
        <v>275</v>
      </c>
      <c r="C48" s="812">
        <f>C12*HLOOKUP("x",G.Định!$M$49:$O$56,ROWS(G.Định!$M$49:$M51),0)</f>
        <v>0</v>
      </c>
      <c r="D48" s="812">
        <f>D12*HLOOKUP("x",G.Định!$M$49:$O$56,ROWS(G.Định!$M$49:$M51),0)</f>
        <v>0</v>
      </c>
      <c r="E48" s="812">
        <f>E12*HLOOKUP("x",G.Định!$M$49:$O$56,ROWS(G.Định!$M$49:$M51),0)</f>
        <v>0</v>
      </c>
      <c r="F48" s="812">
        <f>F12*HLOOKUP("x",G.Định!$M$49:$O$56,ROWS(G.Định!$M$49:$M51),0)</f>
        <v>0</v>
      </c>
    </row>
    <row r="49" spans="1:8" hidden="1" outlineLevel="1" x14ac:dyDescent="0.35">
      <c r="B49" s="811" t="s">
        <v>276</v>
      </c>
      <c r="C49" s="812">
        <f>C13*HLOOKUP("x",G.Định!$M$49:$O$56,ROWS(G.Định!$M$49:$M52),0)</f>
        <v>0</v>
      </c>
      <c r="D49" s="812">
        <f>D13*HLOOKUP("x",G.Định!$M$49:$O$56,ROWS(G.Định!$M$49:$M52),0)</f>
        <v>0</v>
      </c>
      <c r="E49" s="812">
        <f>E13*HLOOKUP("x",G.Định!$M$49:$O$56,ROWS(G.Định!$M$49:$M52),0)</f>
        <v>0</v>
      </c>
      <c r="F49" s="812">
        <f>F13*HLOOKUP("x",G.Định!$M$49:$O$56,ROWS(G.Định!$M$49:$M52),0)</f>
        <v>0</v>
      </c>
    </row>
    <row r="50" spans="1:8" hidden="1" outlineLevel="1" x14ac:dyDescent="0.35">
      <c r="B50" s="811" t="s">
        <v>277</v>
      </c>
      <c r="C50" s="812">
        <f>C14*HLOOKUP("x",G.Định!$M$49:$O$56,ROWS(G.Định!$M$49:$M53),0)</f>
        <v>0</v>
      </c>
      <c r="D50" s="812">
        <f>D14*HLOOKUP("x",G.Định!$M$49:$O$56,ROWS(G.Định!$M$49:$M53),0)</f>
        <v>0</v>
      </c>
      <c r="E50" s="812">
        <f>E14*HLOOKUP("x",G.Định!$M$49:$O$56,ROWS(G.Định!$M$49:$M53),0)</f>
        <v>0</v>
      </c>
      <c r="F50" s="812">
        <f>F14*HLOOKUP("x",G.Định!$M$49:$O$56,ROWS(G.Định!$M$49:$M53),0)</f>
        <v>0</v>
      </c>
    </row>
    <row r="51" spans="1:8" hidden="1" outlineLevel="1" x14ac:dyDescent="0.35">
      <c r="B51" s="811" t="s">
        <v>278</v>
      </c>
      <c r="C51" s="812">
        <f>C15*HLOOKUP("x",G.Định!$M$49:$O$56,ROWS(G.Định!$M$49:$M54),0)</f>
        <v>0</v>
      </c>
      <c r="D51" s="812">
        <f>D15*HLOOKUP("x",G.Định!$M$49:$O$56,ROWS(G.Định!$M$49:$M54),0)</f>
        <v>0</v>
      </c>
      <c r="E51" s="812">
        <f>E15*HLOOKUP("x",G.Định!$M$49:$O$56,ROWS(G.Định!$M$49:$M54),0)</f>
        <v>0</v>
      </c>
      <c r="F51" s="812">
        <f>F15*HLOOKUP("x",G.Định!$M$49:$O$56,ROWS(G.Định!$M$49:$M54),0)</f>
        <v>0</v>
      </c>
    </row>
    <row r="52" spans="1:8" hidden="1" outlineLevel="1" x14ac:dyDescent="0.35">
      <c r="B52" s="811" t="s">
        <v>279</v>
      </c>
      <c r="C52" s="812">
        <f>C16*HLOOKUP("x",G.Định!$M$49:$O$56,ROWS(G.Định!$M$49:$M55),0)</f>
        <v>0</v>
      </c>
      <c r="D52" s="812">
        <f>D16*HLOOKUP("x",G.Định!$M$49:$O$56,ROWS(G.Định!$M$49:$M55),0)</f>
        <v>0</v>
      </c>
      <c r="E52" s="812">
        <f>E16*HLOOKUP("x",G.Định!$M$49:$O$56,ROWS(G.Định!$M$49:$M55),0)</f>
        <v>0</v>
      </c>
      <c r="F52" s="812">
        <f>F16*HLOOKUP("x",G.Định!$M$49:$O$56,ROWS(G.Định!$M$49:$M55),0)</f>
        <v>0</v>
      </c>
    </row>
    <row r="53" spans="1:8" hidden="1" outlineLevel="1" x14ac:dyDescent="0.35">
      <c r="B53" s="811" t="s">
        <v>280</v>
      </c>
      <c r="C53" s="812">
        <f>C17*HLOOKUP("x",G.Định!$M$49:$O$56,ROWS(G.Định!$M$49:$M56),0)</f>
        <v>0</v>
      </c>
      <c r="D53" s="812">
        <f>D17*HLOOKUP("x",G.Định!$M$49:$O$56,ROWS(G.Định!$M$49:$M56),0)</f>
        <v>0</v>
      </c>
      <c r="E53" s="812">
        <f>E17*HLOOKUP("x",G.Định!$M$49:$O$56,ROWS(G.Định!$M$49:$M56),0)</f>
        <v>0</v>
      </c>
      <c r="F53" s="812">
        <f>F17*HLOOKUP("x",G.Định!$M$49:$O$56,ROWS(G.Định!$M$49:$M56),0)</f>
        <v>0</v>
      </c>
    </row>
    <row r="54" spans="1:8" s="269" customFormat="1" hidden="1" outlineLevel="1" x14ac:dyDescent="0.35">
      <c r="A54" s="140"/>
      <c r="B54" s="813" t="s">
        <v>273</v>
      </c>
      <c r="C54" s="814">
        <f>SUM(C47:C53)</f>
        <v>0</v>
      </c>
      <c r="D54" s="814">
        <f t="shared" ref="D54:F54" si="5">SUM(D47:D53)</f>
        <v>0</v>
      </c>
      <c r="E54" s="814">
        <f t="shared" si="5"/>
        <v>0</v>
      </c>
      <c r="F54" s="814">
        <f t="shared" si="5"/>
        <v>0</v>
      </c>
      <c r="H54" s="275"/>
    </row>
    <row r="55" spans="1:8" collapsed="1" x14ac:dyDescent="0.35">
      <c r="B55" s="846"/>
      <c r="C55" s="846"/>
      <c r="D55" s="846"/>
      <c r="E55" s="846"/>
      <c r="F55" s="846"/>
    </row>
  </sheetData>
  <printOptions horizontalCentered="1"/>
  <pageMargins left="0" right="0" top="0.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A101-9EA7-485E-9020-47BFFF4C52D3}">
  <sheetPr>
    <tabColor rgb="FFFFFF00"/>
  </sheetPr>
  <dimension ref="B1:F24"/>
  <sheetViews>
    <sheetView workbookViewId="0">
      <selection activeCell="I13" sqref="I13"/>
    </sheetView>
  </sheetViews>
  <sheetFormatPr defaultRowHeight="14" x14ac:dyDescent="0.35"/>
  <cols>
    <col min="1" max="1" width="0.81640625" style="33" customWidth="1"/>
    <col min="2" max="2" width="35.6328125" style="33" bestFit="1" customWidth="1"/>
    <col min="3" max="3" width="11.08984375" style="33" customWidth="1"/>
    <col min="4" max="6" width="11.90625" style="33" customWidth="1"/>
    <col min="7" max="16384" width="8.7265625" style="33"/>
  </cols>
  <sheetData>
    <row r="1" spans="2:6" x14ac:dyDescent="0.35">
      <c r="B1" s="250" t="s">
        <v>562</v>
      </c>
    </row>
    <row r="2" spans="2:6" s="269" customFormat="1" x14ac:dyDescent="0.3">
      <c r="B2" s="278" t="s">
        <v>559</v>
      </c>
      <c r="F2" s="266" t="s">
        <v>558</v>
      </c>
    </row>
    <row r="3" spans="2:6" s="36" customFormat="1" x14ac:dyDescent="0.35">
      <c r="B3" s="132" t="s">
        <v>381</v>
      </c>
      <c r="C3" s="132" t="s">
        <v>777</v>
      </c>
      <c r="D3" s="132" t="s">
        <v>778</v>
      </c>
      <c r="E3" s="132" t="s">
        <v>779</v>
      </c>
      <c r="F3" s="132" t="s">
        <v>780</v>
      </c>
    </row>
    <row r="4" spans="2:6" x14ac:dyDescent="0.35">
      <c r="B4" s="267" t="s">
        <v>274</v>
      </c>
      <c r="C4" s="270">
        <f>S.Lượng!C33*HLOOKUP("x",G.Định!$D$38:$F$45,ROWS(G.Định!$D$38:$D39),0)</f>
        <v>3281999999.9999995</v>
      </c>
      <c r="D4" s="270">
        <f>S.Lượng!D33*HLOOKUP("x",G.Định!$D$38:$F$45,ROWS(G.Định!$D$38:$D39),0)</f>
        <v>4923000000</v>
      </c>
      <c r="E4" s="270">
        <f>S.Lượng!E33*HLOOKUP("x",G.Định!$D$38:$F$45,ROWS(G.Định!$D$38:$D39),0)</f>
        <v>6563999999.999999</v>
      </c>
      <c r="F4" s="270">
        <f>S.Lượng!F33*HLOOKUP("x",G.Định!$D$38:$F$45,ROWS(G.Định!$D$38:$D39),0)</f>
        <v>8205000000</v>
      </c>
    </row>
    <row r="5" spans="2:6" x14ac:dyDescent="0.35">
      <c r="B5" s="268" t="s">
        <v>275</v>
      </c>
      <c r="C5" s="271">
        <f>S.Lượng!C34*HLOOKUP("x",G.Định!$D$38:$F$45,ROWS(G.Định!$D$38:$D40),0)</f>
        <v>399600000.00000006</v>
      </c>
      <c r="D5" s="271">
        <f>S.Lượng!D34*HLOOKUP("x",G.Định!$D$38:$F$45,ROWS(G.Định!$D$38:$D40),0)</f>
        <v>599400000</v>
      </c>
      <c r="E5" s="271">
        <f>S.Lượng!E34*HLOOKUP("x",G.Định!$D$38:$F$45,ROWS(G.Định!$D$38:$D40),0)</f>
        <v>799200000.00000012</v>
      </c>
      <c r="F5" s="271">
        <f>S.Lượng!F34*HLOOKUP("x",G.Định!$D$38:$F$45,ROWS(G.Định!$D$38:$D40),0)</f>
        <v>999000000</v>
      </c>
    </row>
    <row r="6" spans="2:6" x14ac:dyDescent="0.35">
      <c r="B6" s="268" t="s">
        <v>276</v>
      </c>
      <c r="C6" s="271">
        <f>S.Lượng!C35*HLOOKUP("x",G.Định!$D$38:$F$45,ROWS(G.Định!$D$38:$D41),0)</f>
        <v>48000000</v>
      </c>
      <c r="D6" s="271">
        <f>S.Lượng!D35*HLOOKUP("x",G.Định!$D$38:$F$45,ROWS(G.Định!$D$38:$D41),0)</f>
        <v>72000000</v>
      </c>
      <c r="E6" s="271">
        <f>S.Lượng!E35*HLOOKUP("x",G.Định!$D$38:$F$45,ROWS(G.Định!$D$38:$D41),0)</f>
        <v>96000000</v>
      </c>
      <c r="F6" s="271">
        <f>S.Lượng!F35*HLOOKUP("x",G.Định!$D$38:$F$45,ROWS(G.Định!$D$38:$D41),0)</f>
        <v>120000000</v>
      </c>
    </row>
    <row r="7" spans="2:6" x14ac:dyDescent="0.35">
      <c r="B7" s="268" t="s">
        <v>277</v>
      </c>
      <c r="C7" s="271">
        <f>S.Lượng!C36*HLOOKUP("x",G.Định!$D$38:$F$45,ROWS(G.Định!$D$38:$D42),0)</f>
        <v>28800000</v>
      </c>
      <c r="D7" s="271">
        <f>S.Lượng!D36*HLOOKUP("x",G.Định!$D$38:$F$45,ROWS(G.Định!$D$38:$D42),0)</f>
        <v>43200000</v>
      </c>
      <c r="E7" s="271">
        <f>S.Lượng!E36*HLOOKUP("x",G.Định!$D$38:$F$45,ROWS(G.Định!$D$38:$D42),0)</f>
        <v>57600000</v>
      </c>
      <c r="F7" s="271">
        <f>S.Lượng!F36*HLOOKUP("x",G.Định!$D$38:$F$45,ROWS(G.Định!$D$38:$D42),0)</f>
        <v>72000000</v>
      </c>
    </row>
    <row r="8" spans="2:6" x14ac:dyDescent="0.35">
      <c r="B8" s="268" t="s">
        <v>278</v>
      </c>
      <c r="C8" s="271">
        <f>S.Lượng!C37*HLOOKUP("x",G.Định!$D$38:$F$45,ROWS(G.Định!$D$38:$D43),0)</f>
        <v>1468800000</v>
      </c>
      <c r="D8" s="271">
        <f>S.Lượng!D37*HLOOKUP("x",G.Định!$D$38:$F$45,ROWS(G.Định!$D$38:$D43),0)</f>
        <v>2203200000</v>
      </c>
      <c r="E8" s="271">
        <f>S.Lượng!E37*HLOOKUP("x",G.Định!$D$38:$F$45,ROWS(G.Định!$D$38:$D43),0)</f>
        <v>2937600000</v>
      </c>
      <c r="F8" s="271">
        <f>S.Lượng!F37*HLOOKUP("x",G.Định!$D$38:$F$45,ROWS(G.Định!$D$38:$D43),0)</f>
        <v>3672000000</v>
      </c>
    </row>
    <row r="9" spans="2:6" x14ac:dyDescent="0.35">
      <c r="B9" s="268" t="s">
        <v>279</v>
      </c>
      <c r="C9" s="271">
        <f>S.Lượng!C38*HLOOKUP("x",G.Định!$D$38:$F$45,ROWS(G.Định!$D$38:$D44),0)</f>
        <v>16000000</v>
      </c>
      <c r="D9" s="271">
        <f>S.Lượng!D38*HLOOKUP("x",G.Định!$D$38:$F$45,ROWS(G.Định!$D$38:$D44),0)</f>
        <v>24000000</v>
      </c>
      <c r="E9" s="271">
        <f>S.Lượng!E38*HLOOKUP("x",G.Định!$D$38:$F$45,ROWS(G.Định!$D$38:$D44),0)</f>
        <v>32000000</v>
      </c>
      <c r="F9" s="271">
        <f>S.Lượng!F38*HLOOKUP("x",G.Định!$D$38:$F$45,ROWS(G.Định!$D$38:$D44),0)</f>
        <v>40000000</v>
      </c>
    </row>
    <row r="10" spans="2:6" x14ac:dyDescent="0.35">
      <c r="B10" s="268" t="s">
        <v>280</v>
      </c>
      <c r="C10" s="271">
        <f>S.Lượng!C39*HLOOKUP("x",G.Định!$D$38:$F$45,ROWS(G.Định!$D$38:$D45),0)</f>
        <v>32000000</v>
      </c>
      <c r="D10" s="271">
        <f>S.Lượng!D39*HLOOKUP("x",G.Định!$D$38:$F$45,ROWS(G.Định!$D$38:$D45),0)</f>
        <v>48000000</v>
      </c>
      <c r="E10" s="271">
        <f>S.Lượng!E39*HLOOKUP("x",G.Định!$D$38:$F$45,ROWS(G.Định!$D$38:$D45),0)</f>
        <v>64000000</v>
      </c>
      <c r="F10" s="271">
        <f>S.Lượng!F39*HLOOKUP("x",G.Định!$D$38:$F$45,ROWS(G.Định!$D$38:$D45),0)</f>
        <v>80000000</v>
      </c>
    </row>
    <row r="11" spans="2:6" s="134" customFormat="1" x14ac:dyDescent="0.35">
      <c r="B11" s="253" t="s">
        <v>273</v>
      </c>
      <c r="C11" s="274">
        <f>SUM(C4:C10)</f>
        <v>5275200000</v>
      </c>
      <c r="D11" s="274">
        <f t="shared" ref="D11:F11" si="0">SUM(D4:D10)</f>
        <v>7912800000</v>
      </c>
      <c r="E11" s="274">
        <f t="shared" si="0"/>
        <v>10550400000</v>
      </c>
      <c r="F11" s="274">
        <f t="shared" si="0"/>
        <v>13188000000</v>
      </c>
    </row>
    <row r="12" spans="2:6" s="134" customFormat="1" x14ac:dyDescent="0.35">
      <c r="B12" s="276"/>
      <c r="C12" s="277"/>
      <c r="D12" s="277"/>
      <c r="E12" s="277"/>
      <c r="F12" s="277"/>
    </row>
    <row r="13" spans="2:6" s="134" customFormat="1" x14ac:dyDescent="0.35">
      <c r="B13" s="134" t="s">
        <v>560</v>
      </c>
      <c r="C13" s="279"/>
      <c r="D13" s="279"/>
      <c r="E13" s="279"/>
      <c r="F13" s="279"/>
    </row>
    <row r="14" spans="2:6" s="36" customFormat="1" x14ac:dyDescent="0.35">
      <c r="B14" s="132" t="s">
        <v>563</v>
      </c>
      <c r="C14" s="273" t="s">
        <v>777</v>
      </c>
      <c r="D14" s="273" t="s">
        <v>778</v>
      </c>
      <c r="E14" s="273" t="s">
        <v>779</v>
      </c>
      <c r="F14" s="273" t="s">
        <v>780</v>
      </c>
    </row>
    <row r="15" spans="2:6" x14ac:dyDescent="0.35">
      <c r="B15" s="267" t="s">
        <v>274</v>
      </c>
      <c r="C15" s="270">
        <f>S.Lượng!C22*HLOOKUP("x",G.Định!$H$38:$J$45,ROWS(G.Định!$H$38:$H39),0)</f>
        <v>0</v>
      </c>
      <c r="D15" s="270">
        <f>S.Lượng!D22*HLOOKUP("x",G.Định!$H$38:$J$45,ROWS(G.Định!$H$38:$H39),0)</f>
        <v>0</v>
      </c>
      <c r="E15" s="270">
        <f>S.Lượng!E22*HLOOKUP("x",G.Định!$H$38:$J$45,ROWS(G.Định!$H$38:$H39),0)</f>
        <v>0</v>
      </c>
      <c r="F15" s="270">
        <f>S.Lượng!F22*HLOOKUP("x",G.Định!$H$38:$J$45,ROWS(G.Định!$H$38:$H39),0)</f>
        <v>0</v>
      </c>
    </row>
    <row r="16" spans="2:6" x14ac:dyDescent="0.35">
      <c r="B16" s="268" t="s">
        <v>275</v>
      </c>
      <c r="C16" s="271">
        <f>S.Lượng!C23*HLOOKUP("x",G.Định!$H$38:$J$45,ROWS(G.Định!$H$38:$H40),0)</f>
        <v>0</v>
      </c>
      <c r="D16" s="271">
        <f>S.Lượng!D23*HLOOKUP("x",G.Định!$H$38:$J$45,ROWS(G.Định!$H$38:$H40),0)</f>
        <v>0</v>
      </c>
      <c r="E16" s="271">
        <f>S.Lượng!E23*HLOOKUP("x",G.Định!$H$38:$J$45,ROWS(G.Định!$H$38:$H40),0)</f>
        <v>0</v>
      </c>
      <c r="F16" s="271">
        <f>S.Lượng!F23*HLOOKUP("x",G.Định!$H$38:$J$45,ROWS(G.Định!$H$38:$H40),0)</f>
        <v>0</v>
      </c>
    </row>
    <row r="17" spans="2:6" x14ac:dyDescent="0.35">
      <c r="B17" s="268" t="s">
        <v>276</v>
      </c>
      <c r="C17" s="271">
        <f>S.Lượng!C24*HLOOKUP("x",G.Định!$H$38:$J$45,ROWS(G.Định!$H$38:$H41),0)</f>
        <v>0</v>
      </c>
      <c r="D17" s="271">
        <f>S.Lượng!D24*HLOOKUP("x",G.Định!$H$38:$J$45,ROWS(G.Định!$H$38:$H41),0)</f>
        <v>0</v>
      </c>
      <c r="E17" s="271">
        <f>S.Lượng!E24*HLOOKUP("x",G.Định!$H$38:$J$45,ROWS(G.Định!$H$38:$H41),0)</f>
        <v>0</v>
      </c>
      <c r="F17" s="271">
        <f>S.Lượng!F24*HLOOKUP("x",G.Định!$H$38:$J$45,ROWS(G.Định!$H$38:$H41),0)</f>
        <v>0</v>
      </c>
    </row>
    <row r="18" spans="2:6" x14ac:dyDescent="0.35">
      <c r="B18" s="268" t="s">
        <v>277</v>
      </c>
      <c r="C18" s="271">
        <f>S.Lượng!C25*HLOOKUP("x",G.Định!$H$38:$J$45,ROWS(G.Định!$H$38:$H42),0)</f>
        <v>0</v>
      </c>
      <c r="D18" s="271">
        <f>S.Lượng!D25*HLOOKUP("x",G.Định!$H$38:$J$45,ROWS(G.Định!$H$38:$H42),0)</f>
        <v>0</v>
      </c>
      <c r="E18" s="271">
        <f>S.Lượng!E25*HLOOKUP("x",G.Định!$H$38:$J$45,ROWS(G.Định!$H$38:$H42),0)</f>
        <v>0</v>
      </c>
      <c r="F18" s="271">
        <f>S.Lượng!F25*HLOOKUP("x",G.Định!$H$38:$J$45,ROWS(G.Định!$H$38:$H42),0)</f>
        <v>0</v>
      </c>
    </row>
    <row r="19" spans="2:6" x14ac:dyDescent="0.35">
      <c r="B19" s="268" t="s">
        <v>278</v>
      </c>
      <c r="C19" s="271">
        <f>S.Lượng!C26*HLOOKUP("x",G.Định!$H$38:$J$45,ROWS(G.Định!$H$38:$H43),0)</f>
        <v>0</v>
      </c>
      <c r="D19" s="271">
        <f>S.Lượng!D26*HLOOKUP("x",G.Định!$H$38:$J$45,ROWS(G.Định!$H$38:$H43),0)</f>
        <v>0</v>
      </c>
      <c r="E19" s="271">
        <f>S.Lượng!E26*HLOOKUP("x",G.Định!$H$38:$J$45,ROWS(G.Định!$H$38:$H43),0)</f>
        <v>0</v>
      </c>
      <c r="F19" s="271">
        <f>S.Lượng!F26*HLOOKUP("x",G.Định!$H$38:$J$45,ROWS(G.Định!$H$38:$H43),0)</f>
        <v>0</v>
      </c>
    </row>
    <row r="20" spans="2:6" x14ac:dyDescent="0.35">
      <c r="B20" s="268" t="s">
        <v>279</v>
      </c>
      <c r="C20" s="271">
        <f>S.Lượng!C27*HLOOKUP("x",G.Định!$H$38:$J$45,ROWS(G.Định!$H$38:$H44),0)</f>
        <v>0</v>
      </c>
      <c r="D20" s="271">
        <f>S.Lượng!D27*HLOOKUP("x",G.Định!$H$38:$J$45,ROWS(G.Định!$H$38:$H44),0)</f>
        <v>0</v>
      </c>
      <c r="E20" s="271">
        <f>S.Lượng!E27*HLOOKUP("x",G.Định!$H$38:$J$45,ROWS(G.Định!$H$38:$H44),0)</f>
        <v>0</v>
      </c>
      <c r="F20" s="271">
        <f>S.Lượng!F27*HLOOKUP("x",G.Định!$H$38:$J$45,ROWS(G.Định!$H$38:$H44),0)</f>
        <v>0</v>
      </c>
    </row>
    <row r="21" spans="2:6" x14ac:dyDescent="0.35">
      <c r="B21" s="268" t="s">
        <v>280</v>
      </c>
      <c r="C21" s="271">
        <f>S.Lượng!C28*HLOOKUP("x",G.Định!$H$38:$J$45,ROWS(G.Định!$H$38:$H45),0)</f>
        <v>0</v>
      </c>
      <c r="D21" s="271">
        <f>S.Lượng!D28*HLOOKUP("x",G.Định!$H$38:$J$45,ROWS(G.Định!$H$38:$H45),0)</f>
        <v>0</v>
      </c>
      <c r="E21" s="271">
        <f>S.Lượng!E28*HLOOKUP("x",G.Định!$H$38:$J$45,ROWS(G.Định!$H$38:$H45),0)</f>
        <v>0</v>
      </c>
      <c r="F21" s="271">
        <f>S.Lượng!F28*HLOOKUP("x",G.Định!$H$38:$J$45,ROWS(G.Định!$H$38:$H45),0)</f>
        <v>0</v>
      </c>
    </row>
    <row r="22" spans="2:6" s="134" customFormat="1" x14ac:dyDescent="0.35">
      <c r="B22" s="253" t="s">
        <v>273</v>
      </c>
      <c r="C22" s="274">
        <f>SUM(C15:C21)</f>
        <v>0</v>
      </c>
      <c r="D22" s="274">
        <f t="shared" ref="D22" si="1">SUM(D15:D21)</f>
        <v>0</v>
      </c>
      <c r="E22" s="274">
        <f t="shared" ref="E22" si="2">SUM(E15:E21)</f>
        <v>0</v>
      </c>
      <c r="F22" s="274">
        <f t="shared" ref="F22" si="3">SUM(F15:F21)</f>
        <v>0</v>
      </c>
    </row>
    <row r="23" spans="2:6" x14ac:dyDescent="0.35">
      <c r="C23" s="272"/>
      <c r="D23" s="272"/>
      <c r="E23" s="272"/>
      <c r="F23" s="272"/>
    </row>
    <row r="24" spans="2:6" s="134" customFormat="1" x14ac:dyDescent="0.35">
      <c r="B24" s="280" t="s">
        <v>561</v>
      </c>
      <c r="C24" s="281">
        <f>C11+C22</f>
        <v>5275200000</v>
      </c>
      <c r="D24" s="281">
        <f t="shared" ref="D24:F24" si="4">D11+D22</f>
        <v>7912800000</v>
      </c>
      <c r="E24" s="281">
        <f t="shared" si="4"/>
        <v>10550400000</v>
      </c>
      <c r="F24" s="281">
        <f t="shared" si="4"/>
        <v>13188000000</v>
      </c>
    </row>
  </sheetData>
  <printOptions horizontalCentered="1"/>
  <pageMargins left="0" right="0" top="0.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E59F-DDCB-4019-89DB-23787EC847B8}">
  <sheetPr>
    <tabColor rgb="FFFFFF00"/>
  </sheetPr>
  <dimension ref="A1:F27"/>
  <sheetViews>
    <sheetView workbookViewId="0">
      <selection activeCell="C2" sqref="C2:F2"/>
    </sheetView>
  </sheetViews>
  <sheetFormatPr defaultRowHeight="14" x14ac:dyDescent="0.3"/>
  <cols>
    <col min="1" max="1" width="7" style="54" customWidth="1"/>
    <col min="2" max="2" width="46" style="43" bestFit="1" customWidth="1"/>
    <col min="3" max="6" width="10.7265625" style="10" customWidth="1"/>
    <col min="7" max="7" width="8.7265625" style="10"/>
    <col min="8" max="8" width="32.6328125" style="10" customWidth="1"/>
    <col min="9" max="16384" width="8.7265625" style="10"/>
  </cols>
  <sheetData>
    <row r="1" spans="1:6" x14ac:dyDescent="0.3">
      <c r="A1" s="249" t="s">
        <v>345</v>
      </c>
      <c r="F1" s="266" t="s">
        <v>558</v>
      </c>
    </row>
    <row r="2" spans="1:6" x14ac:dyDescent="0.3">
      <c r="A2" s="132" t="s">
        <v>12</v>
      </c>
      <c r="B2" s="132" t="s">
        <v>157</v>
      </c>
      <c r="C2" s="132" t="s">
        <v>777</v>
      </c>
      <c r="D2" s="132" t="s">
        <v>778</v>
      </c>
      <c r="E2" s="132" t="s">
        <v>779</v>
      </c>
      <c r="F2" s="132" t="s">
        <v>780</v>
      </c>
    </row>
    <row r="3" spans="1:6" s="242" customFormat="1" x14ac:dyDescent="0.3">
      <c r="A3" s="171" t="s">
        <v>186</v>
      </c>
      <c r="B3" s="171" t="s">
        <v>290</v>
      </c>
      <c r="C3" s="179">
        <f>SUM(C4:C14)</f>
        <v>4124053828.405797</v>
      </c>
      <c r="D3" s="179">
        <f t="shared" ref="D3:F3" si="0">SUM(D4:D14)</f>
        <v>6186080742.608696</v>
      </c>
      <c r="E3" s="179">
        <f t="shared" si="0"/>
        <v>8248107656.811594</v>
      </c>
      <c r="F3" s="179">
        <f t="shared" si="0"/>
        <v>10310134571.014492</v>
      </c>
    </row>
    <row r="4" spans="1:6" x14ac:dyDescent="0.3">
      <c r="A4" s="45">
        <v>1</v>
      </c>
      <c r="B4" s="46" t="s">
        <v>328</v>
      </c>
      <c r="C4" s="302">
        <f>S.Lượng!C$4*HLOOKUP("x",G.Định!$D$29:$K$32,2,0)+S.Lượng!C$5*HLOOKUP("x",G.Định!$D$29:$K$32,3,0)+S.Lượng!C$6*HLOOKUP("x",G.Định!$D$29:$K$32,4,0)</f>
        <v>4000000000</v>
      </c>
      <c r="D4" s="302">
        <f>S.Lượng!D$4*HLOOKUP("x",G.Định!$D$29:$K$32,2,0)+S.Lượng!D$5*HLOOKUP("x",G.Định!$D$29:$K$32,3,0)+S.Lượng!D$6*HLOOKUP("x",G.Định!$D$29:$K$32,4,0)</f>
        <v>6000000000</v>
      </c>
      <c r="E4" s="302">
        <f>S.Lượng!E$4*HLOOKUP("x",G.Định!$D$29:$K$32,2,0)+S.Lượng!E$5*HLOOKUP("x",G.Định!$D$29:$K$32,3,0)+S.Lượng!E$6*HLOOKUP("x",G.Định!$D$29:$K$32,4,0)</f>
        <v>8000000000</v>
      </c>
      <c r="F4" s="302">
        <f>S.Lượng!F$4*HLOOKUP("x",G.Định!$D$29:$K$32,2,0)+S.Lượng!F$5*HLOOKUP("x",G.Định!$D$29:$K$32,3,0)+S.Lượng!F$6*HLOOKUP("x",G.Định!$D$29:$K$32,4,0)</f>
        <v>10000000000</v>
      </c>
    </row>
    <row r="5" spans="1:6" x14ac:dyDescent="0.3">
      <c r="A5" s="45">
        <v>2</v>
      </c>
      <c r="B5" s="46" t="s">
        <v>325</v>
      </c>
      <c r="C5" s="182">
        <f>SUM(S.Lượng!C16:C17)*DMSX!$H$18</f>
        <v>946666.66666666663</v>
      </c>
      <c r="D5" s="182">
        <f>SUM(S.Lượng!D16:D17)*DMSX!$H$18</f>
        <v>1420000</v>
      </c>
      <c r="E5" s="182">
        <f>SUM(S.Lượng!E16:E17)*DMSX!$H$18</f>
        <v>1893333.3333333333</v>
      </c>
      <c r="F5" s="182">
        <f>SUM(S.Lượng!F16:F17)*DMSX!$H$18</f>
        <v>2366666.6666666665</v>
      </c>
    </row>
    <row r="6" spans="1:6" x14ac:dyDescent="0.3">
      <c r="A6" s="45">
        <v>3</v>
      </c>
      <c r="B6" s="46" t="s">
        <v>86</v>
      </c>
      <c r="C6" s="182">
        <f>SUM(S.Lượng!C$11:C$15)*DMSX!$H$7</f>
        <v>28218521.739130434</v>
      </c>
      <c r="D6" s="182">
        <f>SUM(S.Lượng!D$11:D$15)*DMSX!$H$7</f>
        <v>42327782.608695649</v>
      </c>
      <c r="E6" s="182">
        <f>SUM(S.Lượng!E$11:E$15)*DMSX!$H$7</f>
        <v>56437043.478260867</v>
      </c>
      <c r="F6" s="182">
        <f>SUM(S.Lượng!F$11:F$15)*DMSX!$H$7</f>
        <v>70546304.347826079</v>
      </c>
    </row>
    <row r="7" spans="1:6" x14ac:dyDescent="0.3">
      <c r="A7" s="45">
        <v>4</v>
      </c>
      <c r="B7" s="46" t="s">
        <v>87</v>
      </c>
      <c r="C7" s="182">
        <f>S.Lượng!C$18*DMSX!$H$6</f>
        <v>37600639.999999993</v>
      </c>
      <c r="D7" s="182">
        <f>S.Lượng!D$18*DMSX!$H$6</f>
        <v>56400959.999999985</v>
      </c>
      <c r="E7" s="182">
        <f>S.Lượng!E$18*DMSX!$H$6</f>
        <v>75201279.999999985</v>
      </c>
      <c r="F7" s="182">
        <f>S.Lượng!F$18*DMSX!$H$6</f>
        <v>94001599.99999997</v>
      </c>
    </row>
    <row r="8" spans="1:6" x14ac:dyDescent="0.3">
      <c r="A8" s="45">
        <v>5</v>
      </c>
      <c r="B8" s="46" t="s">
        <v>313</v>
      </c>
      <c r="C8" s="182"/>
      <c r="D8" s="182"/>
      <c r="E8" s="182"/>
      <c r="F8" s="182"/>
    </row>
    <row r="9" spans="1:6" x14ac:dyDescent="0.3">
      <c r="A9" s="45">
        <v>6</v>
      </c>
      <c r="B9" s="46" t="s">
        <v>90</v>
      </c>
      <c r="C9" s="182">
        <f>S.Lượng!C$18*DMSX!$H$10</f>
        <v>11088000</v>
      </c>
      <c r="D9" s="182">
        <f>S.Lượng!D$18*DMSX!$H$10</f>
        <v>16632000</v>
      </c>
      <c r="E9" s="182">
        <f>S.Lượng!E$18*DMSX!$H$10</f>
        <v>22176000</v>
      </c>
      <c r="F9" s="182">
        <f>S.Lượng!F$18*DMSX!$H$10</f>
        <v>27720000</v>
      </c>
    </row>
    <row r="10" spans="1:6" x14ac:dyDescent="0.3">
      <c r="A10" s="45">
        <v>7</v>
      </c>
      <c r="B10" s="46" t="s">
        <v>91</v>
      </c>
      <c r="C10" s="182"/>
      <c r="D10" s="182"/>
      <c r="E10" s="182"/>
      <c r="F10" s="182"/>
    </row>
    <row r="11" spans="1:6" x14ac:dyDescent="0.3">
      <c r="A11" s="45">
        <v>8</v>
      </c>
      <c r="B11" s="46" t="s">
        <v>92</v>
      </c>
      <c r="C11" s="182"/>
      <c r="D11" s="182"/>
      <c r="E11" s="182"/>
      <c r="F11" s="182"/>
    </row>
    <row r="12" spans="1:6" x14ac:dyDescent="0.3">
      <c r="A12" s="45">
        <v>9</v>
      </c>
      <c r="B12" s="46" t="s">
        <v>314</v>
      </c>
      <c r="C12" s="182">
        <f>S.Lượng!C$18*DMSX!$H$11</f>
        <v>5544000</v>
      </c>
      <c r="D12" s="182">
        <f>S.Lượng!D$18*DMSX!$H$11</f>
        <v>8316000</v>
      </c>
      <c r="E12" s="182">
        <f>S.Lượng!E$18*DMSX!$H$11</f>
        <v>11088000</v>
      </c>
      <c r="F12" s="182">
        <f>S.Lượng!F$18*DMSX!$H$11</f>
        <v>13860000</v>
      </c>
    </row>
    <row r="13" spans="1:6" x14ac:dyDescent="0.3">
      <c r="A13" s="45">
        <v>10</v>
      </c>
      <c r="B13" s="46" t="s">
        <v>324</v>
      </c>
      <c r="C13" s="182">
        <f>S.Lượng!C$18*DMSX!$H$8</f>
        <v>40656000</v>
      </c>
      <c r="D13" s="182">
        <f>S.Lượng!D$18*DMSX!$H$8</f>
        <v>60984000</v>
      </c>
      <c r="E13" s="182">
        <f>S.Lượng!E$18*DMSX!$H$8</f>
        <v>81312000</v>
      </c>
      <c r="F13" s="182">
        <f>S.Lượng!F$18*DMSX!$H$8</f>
        <v>101640000</v>
      </c>
    </row>
    <row r="14" spans="1:6" x14ac:dyDescent="0.3">
      <c r="A14" s="45">
        <v>11</v>
      </c>
      <c r="B14" s="46" t="s">
        <v>312</v>
      </c>
      <c r="C14" s="182">
        <f>S.Lượng!C$18*DMSX!$H$12</f>
        <v>0</v>
      </c>
      <c r="D14" s="182">
        <f>S.Lượng!D$18*DMSX!$H$12</f>
        <v>0</v>
      </c>
      <c r="E14" s="182">
        <f>S.Lượng!E$18*DMSX!$H$12</f>
        <v>0</v>
      </c>
      <c r="F14" s="182">
        <f>S.Lượng!F$18*DMSX!$H$12</f>
        <v>0</v>
      </c>
    </row>
    <row r="15" spans="1:6" s="170" customFormat="1" x14ac:dyDescent="0.3">
      <c r="A15" s="175" t="s">
        <v>187</v>
      </c>
      <c r="B15" s="175" t="s">
        <v>329</v>
      </c>
      <c r="C15" s="303">
        <f>SUM(C16:C25)</f>
        <v>450531614.97435898</v>
      </c>
      <c r="D15" s="303">
        <f t="shared" ref="D15:F15" si="1">SUM(D16:D25)</f>
        <v>455518794.46153843</v>
      </c>
      <c r="E15" s="303">
        <f t="shared" si="1"/>
        <v>459505973.94871795</v>
      </c>
      <c r="F15" s="303">
        <f t="shared" si="1"/>
        <v>465493153.43589747</v>
      </c>
    </row>
    <row r="16" spans="1:6" x14ac:dyDescent="0.3">
      <c r="A16" s="45">
        <v>1</v>
      </c>
      <c r="B16" s="46" t="s">
        <v>315</v>
      </c>
      <c r="C16" s="182">
        <f>'K.Hao, L.v'!C4*0.1%</f>
        <v>22190006</v>
      </c>
      <c r="D16" s="182">
        <f>'K.Hao, L.v'!D4*0.1%</f>
        <v>22190006</v>
      </c>
      <c r="E16" s="182">
        <f>'K.Hao, L.v'!E4*0.1%</f>
        <v>22190006</v>
      </c>
      <c r="F16" s="182">
        <f>'K.Hao, L.v'!F4*0.1%</f>
        <v>22190006</v>
      </c>
    </row>
    <row r="17" spans="1:6" x14ac:dyDescent="0.3">
      <c r="A17" s="45">
        <v>2</v>
      </c>
      <c r="B17" s="46" t="s">
        <v>316</v>
      </c>
      <c r="C17" s="182">
        <f>S.Lượng!C$18*DMSX!$H$13</f>
        <v>1974358.9743589743</v>
      </c>
      <c r="D17" s="182">
        <f>S.Lượng!D$18*DMSX!$H$13</f>
        <v>2961538.4615384615</v>
      </c>
      <c r="E17" s="182">
        <f>S.Lượng!E$18*DMSX!$H$13</f>
        <v>3948717.9487179485</v>
      </c>
      <c r="F17" s="182">
        <f>S.Lượng!F$18*DMSX!$H$13</f>
        <v>4935897.435897436</v>
      </c>
    </row>
    <row r="18" spans="1:6" ht="28" x14ac:dyDescent="0.3">
      <c r="A18" s="45">
        <v>3</v>
      </c>
      <c r="B18" s="46" t="s">
        <v>323</v>
      </c>
      <c r="C18" s="182">
        <f>'CPSX-Chai'!C22*1%</f>
        <v>4142250</v>
      </c>
      <c r="D18" s="182">
        <f>'CPSX-Chai'!D22*1%</f>
        <v>4142250</v>
      </c>
      <c r="E18" s="182">
        <f>'CPSX-Chai'!E22*1%</f>
        <v>4142250</v>
      </c>
      <c r="F18" s="182">
        <f>'CPSX-Chai'!F22*1%</f>
        <v>4142250</v>
      </c>
    </row>
    <row r="19" spans="1:6" x14ac:dyDescent="0.3">
      <c r="A19" s="45">
        <v>4</v>
      </c>
      <c r="B19" s="46" t="s">
        <v>317</v>
      </c>
      <c r="C19" s="182"/>
      <c r="D19" s="182"/>
      <c r="E19" s="182"/>
      <c r="F19" s="182"/>
    </row>
    <row r="20" spans="1:6" x14ac:dyDescent="0.3">
      <c r="A20" s="45">
        <v>5</v>
      </c>
      <c r="B20" s="46" t="s">
        <v>318</v>
      </c>
      <c r="C20" s="182">
        <v>3000000</v>
      </c>
      <c r="D20" s="182">
        <v>5000000</v>
      </c>
      <c r="E20" s="182">
        <v>7000000</v>
      </c>
      <c r="F20" s="182">
        <v>10000000</v>
      </c>
    </row>
    <row r="21" spans="1:6" x14ac:dyDescent="0.3">
      <c r="A21" s="45">
        <v>6</v>
      </c>
      <c r="B21" s="46" t="s">
        <v>319</v>
      </c>
      <c r="C21" s="182">
        <v>5000000</v>
      </c>
      <c r="D21" s="182">
        <v>7000000</v>
      </c>
      <c r="E21" s="182">
        <v>8000000</v>
      </c>
      <c r="F21" s="182">
        <v>10000000</v>
      </c>
    </row>
    <row r="22" spans="1:6" x14ac:dyDescent="0.3">
      <c r="A22" s="45">
        <v>7</v>
      </c>
      <c r="B22" s="46" t="s">
        <v>195</v>
      </c>
      <c r="C22" s="182">
        <f>G.Định!E$23*HLOOKUP("x",G.Định!$I$22:$M$25,4,0)*(HLOOKUP("x",G.Định!$N$22:$S$25,4,0))</f>
        <v>414225000</v>
      </c>
      <c r="D22" s="182">
        <f>G.Định!F$23*HLOOKUP("x",G.Định!$I$22:$M$25,4,0)*(HLOOKUP("x",G.Định!$N$22:$S$25,4,0))</f>
        <v>414225000</v>
      </c>
      <c r="E22" s="182">
        <f>G.Định!G$23*HLOOKUP("x",G.Định!$I$22:$M$25,4,0)*(HLOOKUP("x",G.Định!$N$22:$S$25,4,0))</f>
        <v>414225000</v>
      </c>
      <c r="F22" s="182">
        <f>G.Định!H$23*HLOOKUP("x",G.Định!$I$22:$M$25,4,0)*(HLOOKUP("x",G.Định!$N$22:$S$25,4,0))</f>
        <v>414225000</v>
      </c>
    </row>
    <row r="23" spans="1:6" x14ac:dyDescent="0.3">
      <c r="A23" s="45">
        <v>8</v>
      </c>
      <c r="B23" s="46" t="s">
        <v>320</v>
      </c>
      <c r="C23" s="182"/>
      <c r="D23" s="182"/>
      <c r="E23" s="182"/>
      <c r="F23" s="182"/>
    </row>
    <row r="24" spans="1:6" x14ac:dyDescent="0.3">
      <c r="A24" s="45">
        <v>9</v>
      </c>
      <c r="B24" s="46" t="s">
        <v>321</v>
      </c>
      <c r="C24" s="182"/>
      <c r="D24" s="182"/>
      <c r="E24" s="182"/>
      <c r="F24" s="182"/>
    </row>
    <row r="25" spans="1:6" x14ac:dyDescent="0.3">
      <c r="A25" s="45">
        <v>10</v>
      </c>
      <c r="B25" s="46" t="s">
        <v>322</v>
      </c>
      <c r="C25" s="182"/>
      <c r="D25" s="182"/>
      <c r="E25" s="182"/>
      <c r="F25" s="182"/>
    </row>
    <row r="26" spans="1:6" x14ac:dyDescent="0.3">
      <c r="A26" s="45">
        <v>11</v>
      </c>
      <c r="B26" s="46" t="s">
        <v>429</v>
      </c>
      <c r="C26" s="182">
        <v>3000000</v>
      </c>
      <c r="D26" s="182">
        <v>5000000</v>
      </c>
      <c r="E26" s="182">
        <v>8000000</v>
      </c>
      <c r="F26" s="182">
        <v>10000000</v>
      </c>
    </row>
    <row r="27" spans="1:6" s="170" customFormat="1" x14ac:dyDescent="0.3">
      <c r="A27" s="300"/>
      <c r="B27" s="301" t="s">
        <v>536</v>
      </c>
      <c r="C27" s="304">
        <f>C3+C15</f>
        <v>4574585443.3801556</v>
      </c>
      <c r="D27" s="304">
        <f t="shared" ref="D27:F27" si="2">D3+D15</f>
        <v>6641599537.0702343</v>
      </c>
      <c r="E27" s="304">
        <f t="shared" si="2"/>
        <v>8707613630.7603111</v>
      </c>
      <c r="F27" s="304">
        <f t="shared" si="2"/>
        <v>10775627724.45039</v>
      </c>
    </row>
  </sheetData>
  <printOptions horizontalCentered="1"/>
  <pageMargins left="0" right="0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4F5C-D0A8-45F2-8D50-A49A75578693}">
  <sheetPr>
    <tabColor rgb="FFFFFF00"/>
  </sheetPr>
  <dimension ref="A1:G27"/>
  <sheetViews>
    <sheetView topLeftCell="A20" workbookViewId="0">
      <selection activeCell="C2" sqref="C2:F2"/>
    </sheetView>
  </sheetViews>
  <sheetFormatPr defaultRowHeight="14" x14ac:dyDescent="0.3"/>
  <cols>
    <col min="1" max="1" width="7" style="54" customWidth="1"/>
    <col min="2" max="2" width="49.81640625" style="43" customWidth="1"/>
    <col min="3" max="6" width="10.453125" style="10" customWidth="1"/>
    <col min="7" max="7" width="18.6328125" style="10" bestFit="1" customWidth="1"/>
    <col min="8" max="16384" width="8.7265625" style="10"/>
  </cols>
  <sheetData>
    <row r="1" spans="1:6" x14ac:dyDescent="0.3">
      <c r="A1" s="249" t="s">
        <v>345</v>
      </c>
      <c r="F1" s="266" t="s">
        <v>558</v>
      </c>
    </row>
    <row r="2" spans="1:6" x14ac:dyDescent="0.3">
      <c r="A2" s="132" t="s">
        <v>12</v>
      </c>
      <c r="B2" s="132" t="s">
        <v>157</v>
      </c>
      <c r="C2" s="132" t="s">
        <v>777</v>
      </c>
      <c r="D2" s="132" t="s">
        <v>778</v>
      </c>
      <c r="E2" s="132" t="s">
        <v>779</v>
      </c>
      <c r="F2" s="132" t="s">
        <v>780</v>
      </c>
    </row>
    <row r="3" spans="1:6" s="170" customFormat="1" x14ac:dyDescent="0.3">
      <c r="A3" s="171" t="s">
        <v>186</v>
      </c>
      <c r="B3" s="171" t="s">
        <v>290</v>
      </c>
      <c r="C3" s="179">
        <f>SUM(C4:C14)</f>
        <v>0</v>
      </c>
      <c r="D3" s="179">
        <f t="shared" ref="D3:F3" si="0">SUM(D4:D14)</f>
        <v>0</v>
      </c>
      <c r="E3" s="179">
        <f t="shared" si="0"/>
        <v>0</v>
      </c>
      <c r="F3" s="179">
        <f t="shared" si="0"/>
        <v>0</v>
      </c>
    </row>
    <row r="4" spans="1:6" x14ac:dyDescent="0.3">
      <c r="A4" s="45">
        <v>1</v>
      </c>
      <c r="B4" s="46" t="s">
        <v>311</v>
      </c>
      <c r="C4" s="302"/>
      <c r="D4" s="302"/>
      <c r="E4" s="302"/>
      <c r="F4" s="302"/>
    </row>
    <row r="5" spans="1:6" x14ac:dyDescent="0.3">
      <c r="A5" s="45">
        <v>2</v>
      </c>
      <c r="B5" s="46" t="s">
        <v>325</v>
      </c>
      <c r="C5" s="182">
        <f>S.Lượng!C$29*DMSX!$H$17</f>
        <v>0</v>
      </c>
      <c r="D5" s="182">
        <f>S.Lượng!D$29*DMSX!$H$17</f>
        <v>0</v>
      </c>
      <c r="E5" s="182">
        <f>S.Lượng!E$29*DMSX!$H$17</f>
        <v>0</v>
      </c>
      <c r="F5" s="182">
        <f>S.Lượng!F$29*DMSX!$H$17</f>
        <v>0</v>
      </c>
    </row>
    <row r="6" spans="1:6" x14ac:dyDescent="0.3">
      <c r="A6" s="45">
        <v>3</v>
      </c>
      <c r="B6" s="46" t="s">
        <v>86</v>
      </c>
      <c r="C6" s="182"/>
      <c r="D6" s="182"/>
      <c r="E6" s="182"/>
      <c r="F6" s="182"/>
    </row>
    <row r="7" spans="1:6" x14ac:dyDescent="0.3">
      <c r="A7" s="45">
        <v>4</v>
      </c>
      <c r="B7" s="46" t="s">
        <v>87</v>
      </c>
      <c r="C7" s="182">
        <f>S.Lượng!C$29*DMSX!$H$15</f>
        <v>0</v>
      </c>
      <c r="D7" s="182">
        <f>S.Lượng!D$29*DMSX!$H$15</f>
        <v>0</v>
      </c>
      <c r="E7" s="182">
        <f>S.Lượng!E$29*DMSX!$H$15</f>
        <v>0</v>
      </c>
      <c r="F7" s="182">
        <f>S.Lượng!F$29*DMSX!$H$15</f>
        <v>0</v>
      </c>
    </row>
    <row r="8" spans="1:6" x14ac:dyDescent="0.3">
      <c r="A8" s="45">
        <v>5</v>
      </c>
      <c r="B8" s="46" t="s">
        <v>313</v>
      </c>
      <c r="C8" s="182">
        <f>S.Lượng!C$29*DMSX!$H$20</f>
        <v>0</v>
      </c>
      <c r="D8" s="182">
        <f>S.Lượng!D$29*DMSX!$H$20</f>
        <v>0</v>
      </c>
      <c r="E8" s="182">
        <f>S.Lượng!E$29*DMSX!$H$20</f>
        <v>0</v>
      </c>
      <c r="F8" s="182">
        <f>S.Lượng!F$29*DMSX!$H$20</f>
        <v>0</v>
      </c>
    </row>
    <row r="9" spans="1:6" x14ac:dyDescent="0.3">
      <c r="A9" s="45">
        <v>6</v>
      </c>
      <c r="B9" s="46" t="s">
        <v>90</v>
      </c>
      <c r="C9" s="182">
        <f>S.Lượng!C$29*DMSX!$H$21</f>
        <v>0</v>
      </c>
      <c r="D9" s="182">
        <f>S.Lượng!D$29*DMSX!$H$21</f>
        <v>0</v>
      </c>
      <c r="E9" s="182">
        <f>S.Lượng!E$29*DMSX!$H$21</f>
        <v>0</v>
      </c>
      <c r="F9" s="182">
        <f>S.Lượng!F$29*DMSX!$H$21</f>
        <v>0</v>
      </c>
    </row>
    <row r="10" spans="1:6" x14ac:dyDescent="0.3">
      <c r="A10" s="45">
        <v>7</v>
      </c>
      <c r="B10" s="46" t="s">
        <v>91</v>
      </c>
      <c r="C10" s="182">
        <f>S.Lượng!C$29*DMSX!$H$22</f>
        <v>0</v>
      </c>
      <c r="D10" s="182">
        <f>S.Lượng!D$29*DMSX!$H$22</f>
        <v>0</v>
      </c>
      <c r="E10" s="182">
        <f>S.Lượng!E$29*DMSX!$H$22</f>
        <v>0</v>
      </c>
      <c r="F10" s="182">
        <f>S.Lượng!F$29*DMSX!$H$22</f>
        <v>0</v>
      </c>
    </row>
    <row r="11" spans="1:6" x14ac:dyDescent="0.3">
      <c r="A11" s="45">
        <v>8</v>
      </c>
      <c r="B11" s="46" t="s">
        <v>92</v>
      </c>
      <c r="C11" s="182">
        <f>S.Lượng!C$29*DMSX!$H$23</f>
        <v>0</v>
      </c>
      <c r="D11" s="182">
        <f>S.Lượng!D$29*DMSX!$H$23</f>
        <v>0</v>
      </c>
      <c r="E11" s="182">
        <f>S.Lượng!E$29*DMSX!$H$23</f>
        <v>0</v>
      </c>
      <c r="F11" s="182">
        <f>S.Lượng!F$29*DMSX!$H$23</f>
        <v>0</v>
      </c>
    </row>
    <row r="12" spans="1:6" x14ac:dyDescent="0.3">
      <c r="A12" s="45">
        <v>9</v>
      </c>
      <c r="B12" s="46" t="s">
        <v>314</v>
      </c>
      <c r="C12" s="182"/>
      <c r="D12" s="182"/>
      <c r="E12" s="182"/>
      <c r="F12" s="182"/>
    </row>
    <row r="13" spans="1:6" x14ac:dyDescent="0.3">
      <c r="A13" s="45">
        <v>10</v>
      </c>
      <c r="B13" s="46" t="s">
        <v>324</v>
      </c>
      <c r="C13" s="182">
        <f>S.Lượng!C$29*DMSX!$H$17</f>
        <v>0</v>
      </c>
      <c r="D13" s="182">
        <f>S.Lượng!D$29*DMSX!$H$17</f>
        <v>0</v>
      </c>
      <c r="E13" s="182">
        <f>S.Lượng!E$29*DMSX!$H$17</f>
        <v>0</v>
      </c>
      <c r="F13" s="182">
        <f>S.Lượng!F$29*DMSX!$H$17</f>
        <v>0</v>
      </c>
    </row>
    <row r="14" spans="1:6" x14ac:dyDescent="0.3">
      <c r="A14" s="45">
        <v>11</v>
      </c>
      <c r="B14" s="46" t="s">
        <v>312</v>
      </c>
      <c r="C14" s="182">
        <f>S.Lượng!C$29*DMSX!$H$24</f>
        <v>0</v>
      </c>
      <c r="D14" s="182">
        <f>S.Lượng!D$29*DMSX!$H$24</f>
        <v>0</v>
      </c>
      <c r="E14" s="182">
        <f>S.Lượng!E$29*DMSX!$H$24</f>
        <v>0</v>
      </c>
      <c r="F14" s="182">
        <f>S.Lượng!F$29*DMSX!$H$24</f>
        <v>0</v>
      </c>
    </row>
    <row r="15" spans="1:6" s="170" customFormat="1" x14ac:dyDescent="0.3">
      <c r="A15" s="175" t="s">
        <v>187</v>
      </c>
      <c r="B15" s="175" t="s">
        <v>329</v>
      </c>
      <c r="C15" s="303">
        <f>SUM(C16:C26)</f>
        <v>0</v>
      </c>
      <c r="D15" s="303">
        <f t="shared" ref="D15:F15" si="1">SUM(D16:D26)</f>
        <v>0</v>
      </c>
      <c r="E15" s="303">
        <f t="shared" si="1"/>
        <v>0</v>
      </c>
      <c r="F15" s="303">
        <f t="shared" si="1"/>
        <v>0</v>
      </c>
    </row>
    <row r="16" spans="1:6" x14ac:dyDescent="0.3">
      <c r="A16" s="45">
        <v>1</v>
      </c>
      <c r="B16" s="46" t="s">
        <v>315</v>
      </c>
      <c r="C16" s="182"/>
      <c r="D16" s="182"/>
      <c r="E16" s="182"/>
      <c r="F16" s="182"/>
    </row>
    <row r="17" spans="1:7" x14ac:dyDescent="0.3">
      <c r="A17" s="45">
        <v>2</v>
      </c>
      <c r="B17" s="46" t="s">
        <v>316</v>
      </c>
      <c r="C17" s="182">
        <f>S.Lượng!C$29*DMSX!$H$25</f>
        <v>0</v>
      </c>
      <c r="D17" s="182">
        <f>S.Lượng!D$29*DMSX!$H$25</f>
        <v>0</v>
      </c>
      <c r="E17" s="182">
        <f>S.Lượng!E$29*DMSX!$H$25</f>
        <v>0</v>
      </c>
      <c r="F17" s="182">
        <f>S.Lượng!F$29*DMSX!$H$25</f>
        <v>0</v>
      </c>
    </row>
    <row r="18" spans="1:7" ht="28" x14ac:dyDescent="0.3">
      <c r="A18" s="45">
        <v>3</v>
      </c>
      <c r="B18" s="46" t="s">
        <v>323</v>
      </c>
      <c r="C18" s="182"/>
      <c r="D18" s="182"/>
      <c r="E18" s="182"/>
      <c r="F18" s="182"/>
    </row>
    <row r="19" spans="1:7" x14ac:dyDescent="0.3">
      <c r="A19" s="45">
        <v>4</v>
      </c>
      <c r="B19" s="46" t="s">
        <v>317</v>
      </c>
      <c r="C19" s="182"/>
      <c r="D19" s="182"/>
      <c r="E19" s="182"/>
      <c r="F19" s="182"/>
    </row>
    <row r="20" spans="1:7" x14ac:dyDescent="0.3">
      <c r="A20" s="45">
        <v>5</v>
      </c>
      <c r="B20" s="46" t="s">
        <v>318</v>
      </c>
      <c r="C20" s="182"/>
      <c r="D20" s="182"/>
      <c r="E20" s="182"/>
      <c r="F20" s="182"/>
    </row>
    <row r="21" spans="1:7" x14ac:dyDescent="0.3">
      <c r="A21" s="45">
        <v>6</v>
      </c>
      <c r="B21" s="46" t="s">
        <v>319</v>
      </c>
      <c r="C21" s="182"/>
      <c r="D21" s="182"/>
      <c r="E21" s="182"/>
      <c r="F21" s="182"/>
    </row>
    <row r="22" spans="1:7" x14ac:dyDescent="0.3">
      <c r="A22" s="45">
        <v>7</v>
      </c>
      <c r="B22" s="46" t="s">
        <v>195</v>
      </c>
      <c r="C22" s="182">
        <f>IF(G.Định!$E$5="x",G.Định!E$24*HLOOKUP("x",G.Định!$I$22:$M$25,4,0)*(HLOOKUP("x",G.Định!$N$22:$S$25,4,0)),0)</f>
        <v>0</v>
      </c>
      <c r="D22" s="182">
        <f>IF(G.Định!$E$5="x",G.Định!F$24*HLOOKUP("x",G.Định!$I$22:$M$25,4,0)*(HLOOKUP("x",G.Định!$N$22:$S$25,4,0)),0)</f>
        <v>0</v>
      </c>
      <c r="E22" s="182">
        <f>IF(G.Định!$E$5="x",G.Định!G$24*HLOOKUP("x",G.Định!$I$22:$M$25,4,0)*(HLOOKUP("x",G.Định!$N$22:$S$25,4,0)),0)</f>
        <v>0</v>
      </c>
      <c r="F22" s="182">
        <f>IF(G.Định!$E$5="x",G.Định!H$24*HLOOKUP("x",G.Định!$I$22:$M$25,4,0)*(HLOOKUP("x",G.Định!$N$22:$S$25,4,0)),0)</f>
        <v>0</v>
      </c>
    </row>
    <row r="23" spans="1:7" x14ac:dyDescent="0.3">
      <c r="A23" s="45">
        <v>8</v>
      </c>
      <c r="B23" s="46" t="s">
        <v>320</v>
      </c>
      <c r="C23" s="182"/>
      <c r="D23" s="182"/>
      <c r="E23" s="182"/>
      <c r="F23" s="182"/>
    </row>
    <row r="24" spans="1:7" x14ac:dyDescent="0.3">
      <c r="A24" s="45">
        <v>9</v>
      </c>
      <c r="B24" s="46" t="s">
        <v>321</v>
      </c>
      <c r="C24" s="182"/>
      <c r="D24" s="182"/>
      <c r="E24" s="182"/>
      <c r="F24" s="182"/>
    </row>
    <row r="25" spans="1:7" x14ac:dyDescent="0.3">
      <c r="A25" s="45">
        <v>10</v>
      </c>
      <c r="B25" s="46" t="s">
        <v>322</v>
      </c>
      <c r="C25" s="182"/>
      <c r="D25" s="182"/>
      <c r="E25" s="182"/>
      <c r="F25" s="182"/>
    </row>
    <row r="26" spans="1:7" x14ac:dyDescent="0.3">
      <c r="A26" s="45">
        <v>11</v>
      </c>
      <c r="B26" s="46" t="s">
        <v>429</v>
      </c>
      <c r="C26" s="182"/>
      <c r="D26" s="182"/>
      <c r="E26" s="182"/>
      <c r="F26" s="182"/>
    </row>
    <row r="27" spans="1:7" s="242" customFormat="1" x14ac:dyDescent="0.3">
      <c r="A27" s="300"/>
      <c r="B27" s="301" t="s">
        <v>535</v>
      </c>
      <c r="C27" s="304">
        <f>C3+C15</f>
        <v>0</v>
      </c>
      <c r="D27" s="304">
        <f t="shared" ref="D27:F27" si="2">D3+D15</f>
        <v>0</v>
      </c>
      <c r="E27" s="304">
        <f t="shared" si="2"/>
        <v>0</v>
      </c>
      <c r="F27" s="304">
        <f t="shared" si="2"/>
        <v>0</v>
      </c>
      <c r="G27" s="776"/>
    </row>
  </sheetData>
  <printOptions horizontalCentered="1"/>
  <pageMargins left="0" right="0" top="0.5" bottom="0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59F6-4C81-4EA6-95C3-EB14AE2D4022}">
  <sheetPr>
    <tabColor rgb="FFFFFF00"/>
  </sheetPr>
  <dimension ref="A1:F21"/>
  <sheetViews>
    <sheetView workbookViewId="0">
      <selection activeCell="C6" sqref="C6"/>
    </sheetView>
  </sheetViews>
  <sheetFormatPr defaultRowHeight="14" x14ac:dyDescent="0.3"/>
  <cols>
    <col min="1" max="1" width="6.54296875" style="35" customWidth="1"/>
    <col min="2" max="2" width="38.26953125" style="33" customWidth="1"/>
    <col min="3" max="6" width="11.90625" style="3" customWidth="1"/>
    <col min="7" max="7" width="13.90625" style="3" customWidth="1"/>
    <col min="8" max="16384" width="8.7265625" style="3"/>
  </cols>
  <sheetData>
    <row r="1" spans="1:6" s="265" customFormat="1" x14ac:dyDescent="0.3">
      <c r="A1" s="250" t="s">
        <v>346</v>
      </c>
      <c r="B1" s="264"/>
      <c r="F1" s="266" t="s">
        <v>558</v>
      </c>
    </row>
    <row r="2" spans="1:6" x14ac:dyDescent="0.3">
      <c r="A2" s="132" t="s">
        <v>12</v>
      </c>
      <c r="B2" s="132" t="s">
        <v>157</v>
      </c>
      <c r="C2" s="132" t="s">
        <v>777</v>
      </c>
      <c r="D2" s="132" t="s">
        <v>778</v>
      </c>
      <c r="E2" s="132" t="s">
        <v>779</v>
      </c>
      <c r="F2" s="132" t="s">
        <v>780</v>
      </c>
    </row>
    <row r="3" spans="1:6" x14ac:dyDescent="0.3">
      <c r="A3" s="84">
        <v>1</v>
      </c>
      <c r="B3" s="37" t="s">
        <v>88</v>
      </c>
      <c r="C3" s="260">
        <f>SUMIF(DMQL!$F:$F,CPQL!$B3,DMQL!$G:$G)+SUMIF(DMQL!$F:$F,CPQL!$B3,DMQL!$H:$H)/12</f>
        <v>2000000</v>
      </c>
      <c r="D3" s="260">
        <f>SUMIF(DMQL!$F:$F,CPQL!$B3,DMQL!$I:$I)+SUMIF(DMQL!$F:$F,CPQL!$B3,DMQL!$J:$J)/12</f>
        <v>2000000</v>
      </c>
      <c r="E3" s="260">
        <f>SUMIF(DMQL!$F:$F,CPQL!$B3,DMQL!$K:$K)+SUMIF(DMQL!$F:$F,CPQL!$B3,DMQL!$L:$L)/12</f>
        <v>2000000</v>
      </c>
      <c r="F3" s="260">
        <f>SUMIF(DMQL!$F:$F,CPQL!$B3,DMQL!$M:$M)+SUMIF(DMQL!$F:$F,CPQL!$B3,DMQL!$N:$N)/12</f>
        <v>2000000</v>
      </c>
    </row>
    <row r="4" spans="1:6" x14ac:dyDescent="0.3">
      <c r="A4" s="34">
        <v>2</v>
      </c>
      <c r="B4" s="11" t="s">
        <v>89</v>
      </c>
      <c r="C4" s="261">
        <f>SUMIF(DMQL!$F:$F,CPQL!$B4,DMQL!$G:$G)+SUMIF(DMQL!$F:$F,CPQL!$B4,DMQL!$H:$H)/12</f>
        <v>3000000</v>
      </c>
      <c r="D4" s="261">
        <f>SUMIF(DMQL!$F:$F,CPQL!$B4,DMQL!$I:$I)+SUMIF(DMQL!$F:$F,CPQL!$B4,DMQL!$J:$J)/12</f>
        <v>3000000</v>
      </c>
      <c r="E4" s="261">
        <f>SUMIF(DMQL!$F:$F,CPQL!$B4,DMQL!$K:$K)+SUMIF(DMQL!$F:$F,CPQL!$B4,DMQL!$L:$L)/12</f>
        <v>3000000</v>
      </c>
      <c r="F4" s="261">
        <f>SUMIF(DMQL!$F:$F,CPQL!$B4,DMQL!$M:$M)+SUMIF(DMQL!$F:$F,CPQL!$B4,DMQL!$N:$N)/12</f>
        <v>3000000</v>
      </c>
    </row>
    <row r="5" spans="1:6" x14ac:dyDescent="0.3">
      <c r="A5" s="34">
        <v>3</v>
      </c>
      <c r="B5" s="11" t="s">
        <v>96</v>
      </c>
      <c r="C5" s="261">
        <f>SUMIF(DMQL!$F:$F,CPQL!$B5,DMQL!$G:$G)+SUMIF(DMQL!$F:$F,CPQL!$B5,DMQL!$H:$H)/12</f>
        <v>36000000</v>
      </c>
      <c r="D5" s="261">
        <f>SUMIF(DMQL!$F:$F,CPQL!$B5,DMQL!$I:$I)+SUMIF(DMQL!$F:$F,CPQL!$B5,DMQL!$J:$J)/12</f>
        <v>36000000</v>
      </c>
      <c r="E5" s="261">
        <f>SUMIF(DMQL!$F:$F,CPQL!$B5,DMQL!$K:$K)+SUMIF(DMQL!$F:$F,CPQL!$B5,DMQL!$L:$L)/12</f>
        <v>36000000</v>
      </c>
      <c r="F5" s="261">
        <f>SUMIF(DMQL!$F:$F,CPQL!$B5,DMQL!$M:$M)+SUMIF(DMQL!$F:$F,CPQL!$B5,DMQL!$N:$N)/12</f>
        <v>36000000</v>
      </c>
    </row>
    <row r="6" spans="1:6" x14ac:dyDescent="0.3">
      <c r="A6" s="34">
        <v>4</v>
      </c>
      <c r="B6" s="11" t="s">
        <v>106</v>
      </c>
      <c r="C6" s="261">
        <f>SUMIF(DMQL!$F:$F,CPQL!$B6,DMQL!$G:$G)+SUMIF(DMQL!$F:$F,CPQL!$B6,DMQL!$H:$H)/12</f>
        <v>3698334.3333333335</v>
      </c>
      <c r="D6" s="261">
        <f>SUMIF(DMQL!$F:$F,CPQL!$B6,DMQL!$I:$I)+SUMIF(DMQL!$F:$F,CPQL!$B6,DMQL!$J:$J)/12</f>
        <v>3698334.3333333335</v>
      </c>
      <c r="E6" s="261">
        <f>SUMIF(DMQL!$F:$F,CPQL!$B6,DMQL!$K:$K)+SUMIF(DMQL!$F:$F,CPQL!$B6,DMQL!$L:$L)/12</f>
        <v>3698334.3333333335</v>
      </c>
      <c r="F6" s="261">
        <f>SUMIF(DMQL!$F:$F,CPQL!$B6,DMQL!$M:$M)+SUMIF(DMQL!$F:$F,CPQL!$B6,DMQL!$N:$N)/12</f>
        <v>3698334.3333333335</v>
      </c>
    </row>
    <row r="7" spans="1:6" x14ac:dyDescent="0.3">
      <c r="A7" s="34">
        <v>5</v>
      </c>
      <c r="B7" s="11" t="s">
        <v>423</v>
      </c>
      <c r="C7" s="261">
        <f>SUMIF(DMQL!$F:$F,CPQL!$B7,DMQL!$G:$G)+SUMIF(DMQL!$F:$F,CPQL!$B7,DMQL!$H:$H)/12</f>
        <v>0</v>
      </c>
      <c r="D7" s="261">
        <f>SUMIF(DMQL!$F:$F,CPQL!$B7,DMQL!$I:$I)+SUMIF(DMQL!$F:$F,CPQL!$B7,DMQL!$J:$J)/12</f>
        <v>0</v>
      </c>
      <c r="E7" s="261">
        <f>SUMIF(DMQL!$F:$F,CPQL!$B7,DMQL!$K:$K)+SUMIF(DMQL!$F:$F,CPQL!$B7,DMQL!$L:$L)/12</f>
        <v>0</v>
      </c>
      <c r="F7" s="261">
        <f>SUMIF(DMQL!$F:$F,CPQL!$B7,DMQL!$M:$M)+SUMIF(DMQL!$F:$F,CPQL!$B7,DMQL!$N:$N)/12</f>
        <v>0</v>
      </c>
    </row>
    <row r="8" spans="1:6" x14ac:dyDescent="0.3">
      <c r="A8" s="34">
        <v>6</v>
      </c>
      <c r="B8" s="11" t="s">
        <v>94</v>
      </c>
      <c r="C8" s="261">
        <f>SUMIF(DMQL!$F:$F,CPQL!$B8,DMQL!$G:$G)+SUMIF(DMQL!$F:$F,CPQL!$B8,DMQL!$H:$H)/12</f>
        <v>48102800</v>
      </c>
      <c r="D8" s="261">
        <f>SUMIF(DMQL!$F:$F,CPQL!$B8,DMQL!$I:$I)+SUMIF(DMQL!$F:$F,CPQL!$B8,DMQL!$J:$J)/12</f>
        <v>48102800</v>
      </c>
      <c r="E8" s="261">
        <f>SUMIF(DMQL!$F:$F,CPQL!$B8,DMQL!$K:$K)+SUMIF(DMQL!$F:$F,CPQL!$B8,DMQL!$L:$L)/12</f>
        <v>48102800</v>
      </c>
      <c r="F8" s="261">
        <f>SUMIF(DMQL!$F:$F,CPQL!$B8,DMQL!$M:$M)+SUMIF(DMQL!$F:$F,CPQL!$B8,DMQL!$N:$N)/12</f>
        <v>48102800</v>
      </c>
    </row>
    <row r="9" spans="1:6" x14ac:dyDescent="0.3">
      <c r="A9" s="34">
        <v>7</v>
      </c>
      <c r="B9" s="11" t="s">
        <v>107</v>
      </c>
      <c r="C9" s="261">
        <f>SUMIF(DMQL!$F:$F,CPQL!$B9,DMQL!$G:$G)+SUMIF(DMQL!$F:$F,CPQL!$B9,DMQL!$H:$H)/12</f>
        <v>2000000</v>
      </c>
      <c r="D9" s="261">
        <f>SUMIF(DMQL!$F:$F,CPQL!$B9,DMQL!$I:$I)+SUMIF(DMQL!$F:$F,CPQL!$B9,DMQL!$J:$J)/12</f>
        <v>2000000</v>
      </c>
      <c r="E9" s="261">
        <f>SUMIF(DMQL!$F:$F,CPQL!$B9,DMQL!$K:$K)+SUMIF(DMQL!$F:$F,CPQL!$B9,DMQL!$L:$L)/12</f>
        <v>2000000</v>
      </c>
      <c r="F9" s="261">
        <f>SUMIF(DMQL!$F:$F,CPQL!$B9,DMQL!$M:$M)+SUMIF(DMQL!$F:$F,CPQL!$B9,DMQL!$N:$N)/12</f>
        <v>2000000</v>
      </c>
    </row>
    <row r="10" spans="1:6" x14ac:dyDescent="0.3">
      <c r="A10" s="34">
        <v>8</v>
      </c>
      <c r="B10" s="11" t="s">
        <v>95</v>
      </c>
      <c r="C10" s="261">
        <f>SUMIF(DMQL!$F:$F,CPQL!$B10,DMQL!$G:$G)+SUMIF(DMQL!$F:$F,CPQL!$B10,DMQL!$H:$H)/12</f>
        <v>1500000</v>
      </c>
      <c r="D10" s="261">
        <f>SUMIF(DMQL!$F:$F,CPQL!$B10,DMQL!$I:$I)+SUMIF(DMQL!$F:$F,CPQL!$B10,DMQL!$J:$J)/12</f>
        <v>1500000</v>
      </c>
      <c r="E10" s="261">
        <f>SUMIF(DMQL!$F:$F,CPQL!$B10,DMQL!$K:$K)+SUMIF(DMQL!$F:$F,CPQL!$B10,DMQL!$L:$L)/12</f>
        <v>1500000</v>
      </c>
      <c r="F10" s="261">
        <f>SUMIF(DMQL!$F:$F,CPQL!$B10,DMQL!$M:$M)+SUMIF(DMQL!$F:$F,CPQL!$B10,DMQL!$N:$N)/12</f>
        <v>1500000</v>
      </c>
    </row>
    <row r="11" spans="1:6" x14ac:dyDescent="0.3">
      <c r="A11" s="34">
        <v>9</v>
      </c>
      <c r="B11" s="11" t="s">
        <v>108</v>
      </c>
      <c r="C11" s="261">
        <f>SUMIF(DMQL!$F:$F,CPQL!$B11,DMQL!$G:$G)+SUMIF(DMQL!$F:$F,CPQL!$B11,DMQL!$H:$H)/12</f>
        <v>3833333.3333333335</v>
      </c>
      <c r="D11" s="261">
        <f>SUMIF(DMQL!$F:$F,CPQL!$B11,DMQL!$I:$I)+SUMIF(DMQL!$F:$F,CPQL!$B11,DMQL!$J:$J)/12</f>
        <v>3833333.3333333335</v>
      </c>
      <c r="E11" s="261">
        <f>SUMIF(DMQL!$F:$F,CPQL!$B11,DMQL!$K:$K)+SUMIF(DMQL!$F:$F,CPQL!$B11,DMQL!$L:$L)/12</f>
        <v>3833333.3333333335</v>
      </c>
      <c r="F11" s="261">
        <f>SUMIF(DMQL!$F:$F,CPQL!$B11,DMQL!$M:$M)+SUMIF(DMQL!$F:$F,CPQL!$B11,DMQL!$N:$N)/12</f>
        <v>3833333.3333333335</v>
      </c>
    </row>
    <row r="12" spans="1:6" x14ac:dyDescent="0.3">
      <c r="A12" s="34">
        <v>10</v>
      </c>
      <c r="B12" s="11" t="s">
        <v>97</v>
      </c>
      <c r="C12" s="261">
        <f>SUMIF(DMQL!$F:$F,CPQL!$B12,DMQL!$G:$G)+SUMIF(DMQL!$F:$F,CPQL!$B12,DMQL!$H:$H)/12</f>
        <v>4500000</v>
      </c>
      <c r="D12" s="261">
        <f>SUMIF(DMQL!$F:$F,CPQL!$B12,DMQL!$I:$I)+SUMIF(DMQL!$F:$F,CPQL!$B12,DMQL!$J:$J)/12</f>
        <v>4500000</v>
      </c>
      <c r="E12" s="261">
        <f>SUMIF(DMQL!$F:$F,CPQL!$B12,DMQL!$K:$K)+SUMIF(DMQL!$F:$F,CPQL!$B12,DMQL!$L:$L)/12</f>
        <v>4500000</v>
      </c>
      <c r="F12" s="261">
        <f>SUMIF(DMQL!$F:$F,CPQL!$B12,DMQL!$M:$M)+SUMIF(DMQL!$F:$F,CPQL!$B12,DMQL!$N:$N)/12</f>
        <v>4500000</v>
      </c>
    </row>
    <row r="13" spans="1:6" x14ac:dyDescent="0.3">
      <c r="A13" s="34">
        <v>11</v>
      </c>
      <c r="B13" s="39" t="s">
        <v>111</v>
      </c>
      <c r="C13" s="261">
        <f>SUMIF(DMQL!$F:$F,CPQL!$B13,DMQL!$G:$G)+SUMIF(DMQL!$F:$F,CPQL!$B13,DMQL!$H:$H)/12</f>
        <v>1500000</v>
      </c>
      <c r="D13" s="261">
        <f>SUMIF(DMQL!$F:$F,CPQL!$B13,DMQL!$I:$I)+SUMIF(DMQL!$F:$F,CPQL!$B13,DMQL!$J:$J)/12</f>
        <v>1500000</v>
      </c>
      <c r="E13" s="261">
        <f>SUMIF(DMQL!$F:$F,CPQL!$B13,DMQL!$K:$K)+SUMIF(DMQL!$F:$F,CPQL!$B13,DMQL!$L:$L)/12</f>
        <v>1500000</v>
      </c>
      <c r="F13" s="261">
        <f>SUMIF(DMQL!$F:$F,CPQL!$B13,DMQL!$M:$M)+SUMIF(DMQL!$F:$F,CPQL!$B13,DMQL!$N:$N)/12</f>
        <v>1500000</v>
      </c>
    </row>
    <row r="14" spans="1:6" x14ac:dyDescent="0.3">
      <c r="A14" s="34">
        <v>12</v>
      </c>
      <c r="B14" s="11" t="s">
        <v>116</v>
      </c>
      <c r="C14" s="261">
        <f>SUMIF(DMQL!$F:$F,CPQL!$B14,DMQL!$G:$G)+SUMIF(DMQL!$F:$F,CPQL!$B14,DMQL!$H:$H)/12</f>
        <v>5000000</v>
      </c>
      <c r="D14" s="261">
        <f>SUMIF(DMQL!$F:$F,CPQL!$B14,DMQL!$I:$I)+SUMIF(DMQL!$F:$F,CPQL!$B14,DMQL!$J:$J)/12</f>
        <v>5000000</v>
      </c>
      <c r="E14" s="261">
        <f>SUMIF(DMQL!$F:$F,CPQL!$B14,DMQL!$K:$K)+SUMIF(DMQL!$F:$F,CPQL!$B14,DMQL!$L:$L)/12</f>
        <v>5000000</v>
      </c>
      <c r="F14" s="261">
        <f>SUMIF(DMQL!$F:$F,CPQL!$B14,DMQL!$M:$M)+SUMIF(DMQL!$F:$F,CPQL!$B14,DMQL!$N:$N)/12</f>
        <v>5000000</v>
      </c>
    </row>
    <row r="15" spans="1:6" x14ac:dyDescent="0.3">
      <c r="A15" s="34">
        <v>13</v>
      </c>
      <c r="B15" s="11" t="s">
        <v>119</v>
      </c>
      <c r="C15" s="261">
        <f>SUMIF(DMQL!$F:$F,CPQL!$B15,DMQL!$G:$G)+SUMIF(DMQL!$F:$F,CPQL!$B15,DMQL!$H:$H)/12</f>
        <v>1000000</v>
      </c>
      <c r="D15" s="261">
        <f>SUMIF(DMQL!$F:$F,CPQL!$B15,DMQL!$I:$I)+SUMIF(DMQL!$F:$F,CPQL!$B15,DMQL!$J:$J)/12</f>
        <v>1000000</v>
      </c>
      <c r="E15" s="261">
        <f>SUMIF(DMQL!$F:$F,CPQL!$B15,DMQL!$K:$K)+SUMIF(DMQL!$F:$F,CPQL!$B15,DMQL!$L:$L)/12</f>
        <v>1000000</v>
      </c>
      <c r="F15" s="261">
        <f>SUMIF(DMQL!$F:$F,CPQL!$B15,DMQL!$M:$M)+SUMIF(DMQL!$F:$F,CPQL!$B15,DMQL!$N:$N)/12</f>
        <v>1000000</v>
      </c>
    </row>
    <row r="16" spans="1:6" x14ac:dyDescent="0.3">
      <c r="A16" s="34">
        <v>14</v>
      </c>
      <c r="B16" s="11" t="s">
        <v>154</v>
      </c>
      <c r="C16" s="261">
        <f>SUMIF(DMQL!$F:$F,CPQL!$B16,DMQL!$G:$G)+SUMIF(DMQL!$F:$F,CPQL!$B16,DMQL!$H:$H)/12</f>
        <v>500000</v>
      </c>
      <c r="D16" s="261">
        <f>SUMIF(DMQL!$F:$F,CPQL!$B16,DMQL!$I:$I)+SUMIF(DMQL!$F:$F,CPQL!$B16,DMQL!$J:$J)/12</f>
        <v>500000</v>
      </c>
      <c r="E16" s="261">
        <f>SUMIF(DMQL!$F:$F,CPQL!$B16,DMQL!$K:$K)+SUMIF(DMQL!$F:$F,CPQL!$B16,DMQL!$L:$L)/12</f>
        <v>500000</v>
      </c>
      <c r="F16" s="261">
        <f>SUMIF(DMQL!$F:$F,CPQL!$B16,DMQL!$M:$M)+SUMIF(DMQL!$F:$F,CPQL!$B16,DMQL!$N:$N)/12</f>
        <v>500000</v>
      </c>
    </row>
    <row r="17" spans="1:6" x14ac:dyDescent="0.3">
      <c r="A17" s="34">
        <v>15</v>
      </c>
      <c r="B17" s="46" t="s">
        <v>103</v>
      </c>
      <c r="C17" s="261">
        <f>SUMIF(DMQL!$F:$F,CPQL!$B17,DMQL!$G:$G)+SUMIF(DMQL!$F:$F,CPQL!$B17,DMQL!$H:$H)/12</f>
        <v>250000</v>
      </c>
      <c r="D17" s="261">
        <f>SUMIF(DMQL!$F:$F,CPQL!$B17,DMQL!$I:$I)+SUMIF(DMQL!$F:$F,CPQL!$B17,DMQL!$J:$J)/12</f>
        <v>250000</v>
      </c>
      <c r="E17" s="261">
        <f>SUMIF(DMQL!$F:$F,CPQL!$B17,DMQL!$K:$K)+SUMIF(DMQL!$F:$F,CPQL!$B17,DMQL!$L:$L)/12</f>
        <v>250000</v>
      </c>
      <c r="F17" s="261">
        <f>SUMIF(DMQL!$F:$F,CPQL!$B17,DMQL!$M:$M)+SUMIF(DMQL!$F:$F,CPQL!$B17,DMQL!$N:$N)/12</f>
        <v>250000</v>
      </c>
    </row>
    <row r="18" spans="1:6" x14ac:dyDescent="0.3">
      <c r="A18" s="34">
        <v>16</v>
      </c>
      <c r="B18" s="11" t="s">
        <v>93</v>
      </c>
      <c r="C18" s="261">
        <f>SUMIF(DMQL!$F:$F,CPQL!$B18,DMQL!$G:$G)+SUMIF(DMQL!$F:$F,CPQL!$B18,DMQL!$H:$H)/12</f>
        <v>1000000</v>
      </c>
      <c r="D18" s="261">
        <f>SUMIF(DMQL!$F:$F,CPQL!$B18,DMQL!$I:$I)+SUMIF(DMQL!$F:$F,CPQL!$B18,DMQL!$J:$J)/12</f>
        <v>1000000</v>
      </c>
      <c r="E18" s="261">
        <f>SUMIF(DMQL!$F:$F,CPQL!$B18,DMQL!$K:$K)+SUMIF(DMQL!$F:$F,CPQL!$B18,DMQL!$L:$L)/12</f>
        <v>1000000</v>
      </c>
      <c r="F18" s="261">
        <f>SUMIF(DMQL!$F:$F,CPQL!$B18,DMQL!$M:$M)+SUMIF(DMQL!$F:$F,CPQL!$B18,DMQL!$N:$N)/12</f>
        <v>1000000</v>
      </c>
    </row>
    <row r="19" spans="1:6" x14ac:dyDescent="0.3">
      <c r="A19" s="34">
        <v>17</v>
      </c>
      <c r="B19" s="11" t="s">
        <v>124</v>
      </c>
      <c r="C19" s="261">
        <f>SUMIF(DMQL!$F:$F,CPQL!$B19,DMQL!$G:$G)+SUMIF(DMQL!$F:$F,CPQL!$B19,DMQL!$H:$H)/12</f>
        <v>4416666.666666667</v>
      </c>
      <c r="D19" s="261">
        <f>SUMIF(DMQL!$F:$F,CPQL!$B19,DMQL!$I:$I)+SUMIF(DMQL!$F:$F,CPQL!$B19,DMQL!$J:$J)/12</f>
        <v>4416666.666666667</v>
      </c>
      <c r="E19" s="261">
        <f>SUMIF(DMQL!$F:$F,CPQL!$B19,DMQL!$K:$K)+SUMIF(DMQL!$F:$F,CPQL!$B19,DMQL!$L:$L)/12</f>
        <v>4416666.666666667</v>
      </c>
      <c r="F19" s="261">
        <f>SUMIF(DMQL!$F:$F,CPQL!$B19,DMQL!$M:$M)+SUMIF(DMQL!$F:$F,CPQL!$B19,DMQL!$N:$N)/12</f>
        <v>4416666.666666667</v>
      </c>
    </row>
    <row r="20" spans="1:6" s="255" customFormat="1" x14ac:dyDescent="0.3">
      <c r="A20" s="262"/>
      <c r="B20" s="253" t="s">
        <v>273</v>
      </c>
      <c r="C20" s="263">
        <f>SUM(C3:C19)</f>
        <v>118301134.33333334</v>
      </c>
      <c r="D20" s="263">
        <f>SUM(D3:D19)</f>
        <v>118301134.33333334</v>
      </c>
      <c r="E20" s="263">
        <f>SUM(E3:E19)</f>
        <v>118301134.33333334</v>
      </c>
      <c r="F20" s="263">
        <f>SUM(F3:F19)</f>
        <v>118301134.33333334</v>
      </c>
    </row>
    <row r="21" spans="1:6" x14ac:dyDescent="0.3">
      <c r="C21" s="83"/>
    </row>
  </sheetData>
  <printOptions horizontalCentered="1"/>
  <pageMargins left="0" right="0" top="0.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8A5E-6540-42AB-9B7E-ED95C2DA465E}">
  <sheetPr>
    <tabColor rgb="FFFFFF00"/>
  </sheetPr>
  <dimension ref="A1:F5"/>
  <sheetViews>
    <sheetView workbookViewId="0">
      <selection activeCell="H15" sqref="H15"/>
    </sheetView>
  </sheetViews>
  <sheetFormatPr defaultRowHeight="14" x14ac:dyDescent="0.3"/>
  <cols>
    <col min="1" max="1" width="8.7265625" style="3"/>
    <col min="2" max="2" width="37.453125" style="3" customWidth="1"/>
    <col min="3" max="6" width="11" style="3" customWidth="1"/>
    <col min="7" max="7" width="13.6328125" style="3" customWidth="1"/>
    <col min="8" max="16384" width="8.7265625" style="3"/>
  </cols>
  <sheetData>
    <row r="1" spans="1:6" x14ac:dyDescent="0.3">
      <c r="A1" s="250" t="s">
        <v>397</v>
      </c>
      <c r="B1" s="33"/>
      <c r="F1" s="266" t="s">
        <v>558</v>
      </c>
    </row>
    <row r="2" spans="1:6" x14ac:dyDescent="0.3">
      <c r="A2" s="132" t="s">
        <v>12</v>
      </c>
      <c r="B2" s="132" t="s">
        <v>157</v>
      </c>
      <c r="C2" s="132" t="s">
        <v>777</v>
      </c>
      <c r="D2" s="132" t="s">
        <v>778</v>
      </c>
      <c r="E2" s="132" t="s">
        <v>779</v>
      </c>
      <c r="F2" s="132" t="s">
        <v>780</v>
      </c>
    </row>
    <row r="3" spans="1:6" x14ac:dyDescent="0.3">
      <c r="A3" s="256">
        <v>1</v>
      </c>
      <c r="B3" s="251" t="s">
        <v>158</v>
      </c>
      <c r="C3" s="252">
        <f>S.Lượng!C40*DMSX!$H$27</f>
        <v>69300000</v>
      </c>
      <c r="D3" s="252">
        <f>S.Lượng!D40*DMSX!$H$27</f>
        <v>103950000</v>
      </c>
      <c r="E3" s="252">
        <f>S.Lượng!E40*DMSX!$H$27</f>
        <v>138600000</v>
      </c>
      <c r="F3" s="252">
        <f>S.Lượng!F40*DMSX!$H$27</f>
        <v>173250000</v>
      </c>
    </row>
    <row r="4" spans="1:6" x14ac:dyDescent="0.3">
      <c r="A4" s="257">
        <v>2</v>
      </c>
      <c r="B4" s="46" t="s">
        <v>159</v>
      </c>
      <c r="C4" s="174">
        <f>S.Lượng!C29*DMSX!$H$28</f>
        <v>0</v>
      </c>
      <c r="D4" s="174">
        <f>S.Lượng!D29*DMSX!$H$28</f>
        <v>0</v>
      </c>
      <c r="E4" s="174">
        <f>S.Lượng!E29*DMSX!$H$28</f>
        <v>0</v>
      </c>
      <c r="F4" s="174">
        <f>S.Lượng!F29*DMSX!$H$28</f>
        <v>0</v>
      </c>
    </row>
    <row r="5" spans="1:6" s="255" customFormat="1" x14ac:dyDescent="0.3">
      <c r="A5" s="258"/>
      <c r="B5" s="253" t="s">
        <v>273</v>
      </c>
      <c r="C5" s="254">
        <f>SUM(C3:C4)</f>
        <v>69300000</v>
      </c>
      <c r="D5" s="254">
        <f t="shared" ref="D5:F5" si="0">SUM(D3:D4)</f>
        <v>103950000</v>
      </c>
      <c r="E5" s="254">
        <f t="shared" si="0"/>
        <v>138600000</v>
      </c>
      <c r="F5" s="254">
        <f t="shared" si="0"/>
        <v>173250000</v>
      </c>
    </row>
  </sheetData>
  <printOptions horizontalCentered="1"/>
  <pageMargins left="0" right="0" top="0.5" bottom="0.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41DB-BA5B-4C82-A277-8CB304DD2029}">
  <sheetPr>
    <tabColor rgb="FFFFFF00"/>
  </sheetPr>
  <dimension ref="A1:F61"/>
  <sheetViews>
    <sheetView topLeftCell="A51" zoomScale="85" zoomScaleNormal="85" workbookViewId="0">
      <selection activeCell="I68" sqref="I68"/>
    </sheetView>
  </sheetViews>
  <sheetFormatPr defaultRowHeight="14" outlineLevelRow="1" x14ac:dyDescent="0.3"/>
  <cols>
    <col min="1" max="1" width="8.1796875" style="54" customWidth="1"/>
    <col min="2" max="2" width="55" style="43" customWidth="1"/>
    <col min="3" max="6" width="10" style="10" customWidth="1"/>
    <col min="7" max="16384" width="8.7265625" style="10"/>
  </cols>
  <sheetData>
    <row r="1" spans="1:6" s="170" customFormat="1" x14ac:dyDescent="0.3">
      <c r="A1" s="249" t="s">
        <v>334</v>
      </c>
      <c r="B1" s="247"/>
      <c r="F1" s="245" t="s">
        <v>558</v>
      </c>
    </row>
    <row r="2" spans="1:6" x14ac:dyDescent="0.3">
      <c r="A2" s="132" t="s">
        <v>12</v>
      </c>
      <c r="B2" s="132" t="s">
        <v>157</v>
      </c>
      <c r="C2" s="169" t="s">
        <v>777</v>
      </c>
      <c r="D2" s="169" t="s">
        <v>778</v>
      </c>
      <c r="E2" s="169" t="s">
        <v>779</v>
      </c>
      <c r="F2" s="169" t="s">
        <v>780</v>
      </c>
    </row>
    <row r="3" spans="1:6" s="170" customFormat="1" x14ac:dyDescent="0.3">
      <c r="A3" s="171" t="s">
        <v>398</v>
      </c>
      <c r="B3" s="171" t="s">
        <v>326</v>
      </c>
      <c r="C3" s="179">
        <f>C4+C23+C42</f>
        <v>482533333.33333337</v>
      </c>
      <c r="D3" s="179">
        <f t="shared" ref="D3:F3" si="0">D4+D23+D42</f>
        <v>659633333.33333325</v>
      </c>
      <c r="E3" s="179">
        <f t="shared" si="0"/>
        <v>777700000</v>
      </c>
      <c r="F3" s="179">
        <f t="shared" si="0"/>
        <v>818766666.66666663</v>
      </c>
    </row>
    <row r="4" spans="1:6" x14ac:dyDescent="0.3">
      <c r="A4" s="172" t="s">
        <v>186</v>
      </c>
      <c r="B4" s="172" t="s">
        <v>400</v>
      </c>
      <c r="C4" s="180">
        <f>C5+C14</f>
        <v>241266666.66666669</v>
      </c>
      <c r="D4" s="180">
        <f t="shared" ref="D4:F4" si="1">D5+D14</f>
        <v>372166666.66666663</v>
      </c>
      <c r="E4" s="180">
        <f t="shared" si="1"/>
        <v>490233333.33333337</v>
      </c>
      <c r="F4" s="180">
        <f t="shared" si="1"/>
        <v>531300000</v>
      </c>
    </row>
    <row r="5" spans="1:6" x14ac:dyDescent="0.3">
      <c r="A5" s="178" t="s">
        <v>402</v>
      </c>
      <c r="B5" s="177" t="s">
        <v>343</v>
      </c>
      <c r="C5" s="181">
        <f>SUM(C6:C13)</f>
        <v>92400000</v>
      </c>
      <c r="D5" s="181">
        <f t="shared" ref="D5:F5" si="2">SUM(D6:D13)</f>
        <v>164266666.66666666</v>
      </c>
      <c r="E5" s="181">
        <f t="shared" si="2"/>
        <v>215600000</v>
      </c>
      <c r="F5" s="181">
        <f t="shared" si="2"/>
        <v>256666666.66666666</v>
      </c>
    </row>
    <row r="6" spans="1:6" outlineLevel="1" x14ac:dyDescent="0.3">
      <c r="A6" s="45">
        <v>1</v>
      </c>
      <c r="B6" s="173" t="s">
        <v>125</v>
      </c>
      <c r="C6" s="182">
        <f>SUMPRODUCT(Đ.Biên!E$40:E$41,Đ.Biên!$I$40:$I$41,Đ.Biên!$J$40:$J$41)</f>
        <v>72000000</v>
      </c>
      <c r="D6" s="182">
        <f>SUMPRODUCT(Đ.Biên!F$40:F$41,Đ.Biên!$I$40:$I$41,Đ.Biên!$J$40:$J$41)</f>
        <v>128000000</v>
      </c>
      <c r="E6" s="182">
        <f>SUMPRODUCT(Đ.Biên!G$40:G$41,Đ.Biên!$I$40:$I$41,Đ.Biên!$J$40:$J$41)</f>
        <v>168000000</v>
      </c>
      <c r="F6" s="182">
        <f>SUMPRODUCT(Đ.Biên!H$40:H$41,Đ.Biên!$I$40:$I$41,Đ.Biên!$J$40:$J$41)</f>
        <v>200000000</v>
      </c>
    </row>
    <row r="7" spans="1:6" outlineLevel="1" x14ac:dyDescent="0.3">
      <c r="A7" s="45">
        <v>2</v>
      </c>
      <c r="B7" s="173" t="s">
        <v>127</v>
      </c>
      <c r="C7" s="182">
        <f>C$6*G.Định!$D62</f>
        <v>6000000</v>
      </c>
      <c r="D7" s="182">
        <f>D$6*G.Định!$D62</f>
        <v>10666666.666666666</v>
      </c>
      <c r="E7" s="182">
        <f>E$6*G.Định!$D62</f>
        <v>14000000</v>
      </c>
      <c r="F7" s="182">
        <f>F$6*G.Định!$D62</f>
        <v>16666666.666666666</v>
      </c>
    </row>
    <row r="8" spans="1:6" outlineLevel="1" x14ac:dyDescent="0.3">
      <c r="A8" s="45">
        <v>3</v>
      </c>
      <c r="B8" s="173" t="s">
        <v>130</v>
      </c>
      <c r="C8" s="182">
        <f>C$6*G.Định!$D63</f>
        <v>2160000</v>
      </c>
      <c r="D8" s="182">
        <f>D$6*G.Định!$D63</f>
        <v>3840000</v>
      </c>
      <c r="E8" s="182">
        <f>E$6*G.Định!$D63</f>
        <v>5040000</v>
      </c>
      <c r="F8" s="182">
        <f>F$6*G.Định!$D63</f>
        <v>6000000</v>
      </c>
    </row>
    <row r="9" spans="1:6" outlineLevel="1" x14ac:dyDescent="0.3">
      <c r="A9" s="45">
        <v>4</v>
      </c>
      <c r="B9" s="173" t="s">
        <v>132</v>
      </c>
      <c r="C9" s="182">
        <f>C$6*G.Định!$D64</f>
        <v>0</v>
      </c>
      <c r="D9" s="182">
        <f>D$6*G.Định!$D64</f>
        <v>0</v>
      </c>
      <c r="E9" s="182">
        <f>E$6*G.Định!$D64</f>
        <v>0</v>
      </c>
      <c r="F9" s="182">
        <f>F$6*G.Định!$D64</f>
        <v>0</v>
      </c>
    </row>
    <row r="10" spans="1:6" outlineLevel="1" x14ac:dyDescent="0.3">
      <c r="A10" s="45">
        <v>5</v>
      </c>
      <c r="B10" s="173" t="s">
        <v>133</v>
      </c>
      <c r="C10" s="182">
        <f>C$6*G.Định!$D65</f>
        <v>3600000</v>
      </c>
      <c r="D10" s="182">
        <f>D$6*G.Định!$D65</f>
        <v>6400000</v>
      </c>
      <c r="E10" s="182">
        <f>E$6*G.Định!$D65</f>
        <v>8400000</v>
      </c>
      <c r="F10" s="182">
        <f>F$6*G.Định!$D65</f>
        <v>10000000</v>
      </c>
    </row>
    <row r="11" spans="1:6" outlineLevel="1" x14ac:dyDescent="0.3">
      <c r="A11" s="45">
        <v>6</v>
      </c>
      <c r="B11" s="46" t="s">
        <v>134</v>
      </c>
      <c r="C11" s="182">
        <f>C$6*G.Định!$D66</f>
        <v>0</v>
      </c>
      <c r="D11" s="182">
        <f>D$6*G.Định!$D66</f>
        <v>0</v>
      </c>
      <c r="E11" s="182">
        <f>E$6*G.Định!$D66</f>
        <v>0</v>
      </c>
      <c r="F11" s="182">
        <f>F$6*G.Định!$D66</f>
        <v>0</v>
      </c>
    </row>
    <row r="12" spans="1:6" outlineLevel="1" x14ac:dyDescent="0.3">
      <c r="A12" s="45">
        <v>7</v>
      </c>
      <c r="B12" s="173" t="s">
        <v>135</v>
      </c>
      <c r="C12" s="182">
        <f>C$6*G.Định!$D67</f>
        <v>8640000</v>
      </c>
      <c r="D12" s="182">
        <f>D$6*G.Định!$D67</f>
        <v>15360000</v>
      </c>
      <c r="E12" s="182">
        <f>E$6*G.Định!$D67</f>
        <v>20160000</v>
      </c>
      <c r="F12" s="182">
        <f>F$6*G.Định!$D67</f>
        <v>24000000</v>
      </c>
    </row>
    <row r="13" spans="1:6" outlineLevel="1" x14ac:dyDescent="0.3">
      <c r="A13" s="45">
        <v>8</v>
      </c>
      <c r="B13" s="173" t="s">
        <v>136</v>
      </c>
      <c r="C13" s="182">
        <f>C$6*G.Định!$D68</f>
        <v>0</v>
      </c>
      <c r="D13" s="182">
        <f>D$6*G.Định!$D68</f>
        <v>0</v>
      </c>
      <c r="E13" s="182">
        <f>E$6*G.Định!$D68</f>
        <v>0</v>
      </c>
      <c r="F13" s="182">
        <f>F$6*G.Định!$D68</f>
        <v>0</v>
      </c>
    </row>
    <row r="14" spans="1:6" x14ac:dyDescent="0.3">
      <c r="A14" s="178" t="s">
        <v>403</v>
      </c>
      <c r="B14" s="177" t="s">
        <v>344</v>
      </c>
      <c r="C14" s="181">
        <f>SUM(C15:C22)</f>
        <v>148866666.66666669</v>
      </c>
      <c r="D14" s="181">
        <f t="shared" ref="D14:F14" si="3">SUM(D15:D22)</f>
        <v>207900000</v>
      </c>
      <c r="E14" s="181">
        <f t="shared" si="3"/>
        <v>274633333.33333337</v>
      </c>
      <c r="F14" s="181">
        <f t="shared" si="3"/>
        <v>274633333.33333337</v>
      </c>
    </row>
    <row r="15" spans="1:6" outlineLevel="1" x14ac:dyDescent="0.3">
      <c r="A15" s="45">
        <v>1</v>
      </c>
      <c r="B15" s="173" t="s">
        <v>126</v>
      </c>
      <c r="C15" s="182">
        <f>SUMPRODUCT(Đ.Biên!E$25:E$38,Đ.Biên!$I$25:$I$38,Đ.Biên!$J$25:$J$38)</f>
        <v>116000000</v>
      </c>
      <c r="D15" s="182">
        <f>SUMPRODUCT(Đ.Biên!F$25:F$38,Đ.Biên!$I$25:$I$38,Đ.Biên!$J$25:$J$38)</f>
        <v>162000000</v>
      </c>
      <c r="E15" s="182">
        <f>SUMPRODUCT(Đ.Biên!G$25:G$38,Đ.Biên!$I$25:$I$38,Đ.Biên!$J$25:$J$38)</f>
        <v>214000000</v>
      </c>
      <c r="F15" s="182">
        <f>SUMPRODUCT(Đ.Biên!H$25:H$38,Đ.Biên!$I$25:$I$38,Đ.Biên!$J$25:$J$38)</f>
        <v>214000000</v>
      </c>
    </row>
    <row r="16" spans="1:6" outlineLevel="1" x14ac:dyDescent="0.3">
      <c r="A16" s="45">
        <v>2</v>
      </c>
      <c r="B16" s="173" t="s">
        <v>128</v>
      </c>
      <c r="C16" s="182">
        <f>C$15*G.Định!$D62</f>
        <v>9666666.666666666</v>
      </c>
      <c r="D16" s="182">
        <f>D$15*G.Định!$D62</f>
        <v>13500000</v>
      </c>
      <c r="E16" s="182">
        <f>E$15*G.Định!$D62</f>
        <v>17833333.333333332</v>
      </c>
      <c r="F16" s="182">
        <f>F$15*G.Định!$D62</f>
        <v>17833333.333333332</v>
      </c>
    </row>
    <row r="17" spans="1:6" outlineLevel="1" x14ac:dyDescent="0.3">
      <c r="A17" s="45">
        <v>3</v>
      </c>
      <c r="B17" s="173" t="s">
        <v>131</v>
      </c>
      <c r="C17" s="182">
        <f>C$15*G.Định!$D63</f>
        <v>3480000</v>
      </c>
      <c r="D17" s="182">
        <f>D$15*G.Định!$D63</f>
        <v>4860000</v>
      </c>
      <c r="E17" s="182">
        <f>E$15*G.Định!$D63</f>
        <v>6420000</v>
      </c>
      <c r="F17" s="182">
        <f>F$15*G.Định!$D63</f>
        <v>6420000</v>
      </c>
    </row>
    <row r="18" spans="1:6" outlineLevel="1" x14ac:dyDescent="0.3">
      <c r="A18" s="45">
        <v>4</v>
      </c>
      <c r="B18" s="173" t="s">
        <v>132</v>
      </c>
      <c r="C18" s="182">
        <f>C$15*G.Định!$D64</f>
        <v>0</v>
      </c>
      <c r="D18" s="182">
        <f>D$15*G.Định!$D64</f>
        <v>0</v>
      </c>
      <c r="E18" s="182">
        <f>E$15*G.Định!$D64</f>
        <v>0</v>
      </c>
      <c r="F18" s="182">
        <f>F$15*G.Định!$D64</f>
        <v>0</v>
      </c>
    </row>
    <row r="19" spans="1:6" outlineLevel="1" x14ac:dyDescent="0.3">
      <c r="A19" s="45">
        <v>5</v>
      </c>
      <c r="B19" s="173" t="s">
        <v>133</v>
      </c>
      <c r="C19" s="182">
        <f>C$15*G.Định!$D65</f>
        <v>5800000</v>
      </c>
      <c r="D19" s="182">
        <f>D$15*G.Định!$D65</f>
        <v>8100000</v>
      </c>
      <c r="E19" s="182">
        <f>E$15*G.Định!$D65</f>
        <v>10700000</v>
      </c>
      <c r="F19" s="182">
        <f>F$15*G.Định!$D65</f>
        <v>10700000</v>
      </c>
    </row>
    <row r="20" spans="1:6" outlineLevel="1" x14ac:dyDescent="0.3">
      <c r="A20" s="45">
        <v>6</v>
      </c>
      <c r="B20" s="46" t="s">
        <v>134</v>
      </c>
      <c r="C20" s="182">
        <f>C$15*G.Định!$D66</f>
        <v>0</v>
      </c>
      <c r="D20" s="182">
        <f>D$15*G.Định!$D66</f>
        <v>0</v>
      </c>
      <c r="E20" s="182">
        <f>E$15*G.Định!$D66</f>
        <v>0</v>
      </c>
      <c r="F20" s="182">
        <f>F$15*G.Định!$D66</f>
        <v>0</v>
      </c>
    </row>
    <row r="21" spans="1:6" outlineLevel="1" x14ac:dyDescent="0.3">
      <c r="A21" s="45">
        <v>7</v>
      </c>
      <c r="B21" s="173" t="s">
        <v>135</v>
      </c>
      <c r="C21" s="182">
        <f>C$15*G.Định!$D67</f>
        <v>13920000</v>
      </c>
      <c r="D21" s="182">
        <f>D$15*G.Định!$D67</f>
        <v>19440000</v>
      </c>
      <c r="E21" s="182">
        <f>E$15*G.Định!$D67</f>
        <v>25680000</v>
      </c>
      <c r="F21" s="182">
        <f>F$15*G.Định!$D67</f>
        <v>25680000</v>
      </c>
    </row>
    <row r="22" spans="1:6" outlineLevel="1" x14ac:dyDescent="0.3">
      <c r="A22" s="45">
        <v>8</v>
      </c>
      <c r="B22" s="173" t="s">
        <v>136</v>
      </c>
      <c r="C22" s="182">
        <f>C$15*G.Định!$D68</f>
        <v>0</v>
      </c>
      <c r="D22" s="182">
        <f>D$15*G.Định!$D68</f>
        <v>0</v>
      </c>
      <c r="E22" s="182">
        <f>E$15*G.Định!$D68</f>
        <v>0</v>
      </c>
      <c r="F22" s="182">
        <f>F$15*G.Định!$D68</f>
        <v>0</v>
      </c>
    </row>
    <row r="23" spans="1:6" s="170" customFormat="1" x14ac:dyDescent="0.3">
      <c r="A23" s="172" t="s">
        <v>187</v>
      </c>
      <c r="B23" s="172" t="s">
        <v>401</v>
      </c>
      <c r="C23" s="180">
        <f>C24+C33</f>
        <v>0</v>
      </c>
      <c r="D23" s="180">
        <f t="shared" ref="D23:E23" si="4">D24+D33</f>
        <v>0</v>
      </c>
      <c r="E23" s="180">
        <f t="shared" si="4"/>
        <v>0</v>
      </c>
      <c r="F23" s="180">
        <f>F24+F33</f>
        <v>0</v>
      </c>
    </row>
    <row r="24" spans="1:6" x14ac:dyDescent="0.3">
      <c r="A24" s="178" t="s">
        <v>402</v>
      </c>
      <c r="B24" s="177" t="s">
        <v>343</v>
      </c>
      <c r="C24" s="181">
        <f>SUM(C25:C32)</f>
        <v>0</v>
      </c>
      <c r="D24" s="181">
        <f t="shared" ref="D24:F24" si="5">SUM(D25:D32)</f>
        <v>0</v>
      </c>
      <c r="E24" s="181">
        <f t="shared" si="5"/>
        <v>0</v>
      </c>
      <c r="F24" s="181">
        <f t="shared" si="5"/>
        <v>0</v>
      </c>
    </row>
    <row r="25" spans="1:6" outlineLevel="1" x14ac:dyDescent="0.3">
      <c r="A25" s="45">
        <v>1</v>
      </c>
      <c r="B25" s="173" t="s">
        <v>125</v>
      </c>
      <c r="C25" s="182"/>
      <c r="D25" s="182"/>
      <c r="E25" s="182"/>
      <c r="F25" s="182"/>
    </row>
    <row r="26" spans="1:6" outlineLevel="1" x14ac:dyDescent="0.3">
      <c r="A26" s="45">
        <v>2</v>
      </c>
      <c r="B26" s="173" t="s">
        <v>127</v>
      </c>
      <c r="C26" s="182"/>
      <c r="D26" s="182"/>
      <c r="E26" s="182"/>
      <c r="F26" s="182"/>
    </row>
    <row r="27" spans="1:6" outlineLevel="1" x14ac:dyDescent="0.3">
      <c r="A27" s="45">
        <v>3</v>
      </c>
      <c r="B27" s="173" t="s">
        <v>130</v>
      </c>
      <c r="C27" s="182"/>
      <c r="D27" s="182"/>
      <c r="E27" s="182"/>
      <c r="F27" s="182"/>
    </row>
    <row r="28" spans="1:6" outlineLevel="1" x14ac:dyDescent="0.3">
      <c r="A28" s="45">
        <v>4</v>
      </c>
      <c r="B28" s="173" t="s">
        <v>132</v>
      </c>
      <c r="C28" s="182"/>
      <c r="D28" s="182"/>
      <c r="E28" s="182"/>
      <c r="F28" s="182"/>
    </row>
    <row r="29" spans="1:6" outlineLevel="1" x14ac:dyDescent="0.3">
      <c r="A29" s="45">
        <v>5</v>
      </c>
      <c r="B29" s="173" t="s">
        <v>133</v>
      </c>
      <c r="C29" s="182"/>
      <c r="D29" s="182"/>
      <c r="E29" s="182"/>
      <c r="F29" s="182"/>
    </row>
    <row r="30" spans="1:6" outlineLevel="1" x14ac:dyDescent="0.3">
      <c r="A30" s="45">
        <v>6</v>
      </c>
      <c r="B30" s="46" t="s">
        <v>134</v>
      </c>
      <c r="C30" s="182"/>
      <c r="D30" s="182"/>
      <c r="E30" s="182"/>
      <c r="F30" s="182"/>
    </row>
    <row r="31" spans="1:6" outlineLevel="1" x14ac:dyDescent="0.3">
      <c r="A31" s="45">
        <v>7</v>
      </c>
      <c r="B31" s="173" t="s">
        <v>135</v>
      </c>
      <c r="C31" s="182"/>
      <c r="D31" s="182"/>
      <c r="E31" s="182"/>
      <c r="F31" s="182"/>
    </row>
    <row r="32" spans="1:6" outlineLevel="1" x14ac:dyDescent="0.3">
      <c r="A32" s="45">
        <v>8</v>
      </c>
      <c r="B32" s="173" t="s">
        <v>136</v>
      </c>
      <c r="C32" s="182"/>
      <c r="D32" s="182"/>
      <c r="E32" s="182"/>
      <c r="F32" s="182"/>
    </row>
    <row r="33" spans="1:6" x14ac:dyDescent="0.3">
      <c r="A33" s="178" t="s">
        <v>403</v>
      </c>
      <c r="B33" s="177" t="s">
        <v>344</v>
      </c>
      <c r="C33" s="181">
        <f>SUM(C34:C41)</f>
        <v>0</v>
      </c>
      <c r="D33" s="181">
        <f t="shared" ref="D33" si="6">SUM(D34:D41)</f>
        <v>0</v>
      </c>
      <c r="E33" s="181">
        <f t="shared" ref="E33" si="7">SUM(E34:E41)</f>
        <v>0</v>
      </c>
      <c r="F33" s="181">
        <f t="shared" ref="F33" si="8">SUM(F34:F41)</f>
        <v>0</v>
      </c>
    </row>
    <row r="34" spans="1:6" outlineLevel="1" x14ac:dyDescent="0.3">
      <c r="A34" s="45">
        <v>1</v>
      </c>
      <c r="B34" s="173" t="s">
        <v>126</v>
      </c>
      <c r="C34" s="182">
        <f>SUMPRODUCT(Đ.Biên!E$46:E$52,Đ.Biên!$I$46:$I$52,Đ.Biên!$J$46:$J$52)</f>
        <v>0</v>
      </c>
      <c r="D34" s="182">
        <f>SUMPRODUCT(Đ.Biên!F$46:F$52,Đ.Biên!$I$46:$I$52,Đ.Biên!$J$46:$J$52)</f>
        <v>0</v>
      </c>
      <c r="E34" s="182">
        <f>SUMPRODUCT(Đ.Biên!G$46:G$52,Đ.Biên!$I$46:$I$52,Đ.Biên!$J$46:$J$52)</f>
        <v>0</v>
      </c>
      <c r="F34" s="182">
        <f>SUMPRODUCT(Đ.Biên!H$46:H$52,Đ.Biên!$I$46:$I$52,Đ.Biên!$J$46:$J$52)</f>
        <v>0</v>
      </c>
    </row>
    <row r="35" spans="1:6" outlineLevel="1" x14ac:dyDescent="0.3">
      <c r="A35" s="45">
        <v>2</v>
      </c>
      <c r="B35" s="173" t="s">
        <v>128</v>
      </c>
      <c r="C35" s="182">
        <f>C$34*G.Định!$D62</f>
        <v>0</v>
      </c>
      <c r="D35" s="182">
        <f>D$34*G.Định!$D62</f>
        <v>0</v>
      </c>
      <c r="E35" s="182">
        <f>E$34*G.Định!$D62</f>
        <v>0</v>
      </c>
      <c r="F35" s="182">
        <f>F$34*G.Định!$D62</f>
        <v>0</v>
      </c>
    </row>
    <row r="36" spans="1:6" outlineLevel="1" x14ac:dyDescent="0.3">
      <c r="A36" s="45">
        <v>3</v>
      </c>
      <c r="B36" s="173" t="s">
        <v>131</v>
      </c>
      <c r="C36" s="182">
        <f>C$34*G.Định!$D63</f>
        <v>0</v>
      </c>
      <c r="D36" s="182">
        <f>D$34*G.Định!$D63</f>
        <v>0</v>
      </c>
      <c r="E36" s="182">
        <f>E$34*G.Định!$D63</f>
        <v>0</v>
      </c>
      <c r="F36" s="182">
        <f>F$34*G.Định!$D63</f>
        <v>0</v>
      </c>
    </row>
    <row r="37" spans="1:6" outlineLevel="1" x14ac:dyDescent="0.3">
      <c r="A37" s="45">
        <v>4</v>
      </c>
      <c r="B37" s="173" t="s">
        <v>132</v>
      </c>
      <c r="C37" s="182">
        <f>C$34*G.Định!$D64</f>
        <v>0</v>
      </c>
      <c r="D37" s="182">
        <f>D$34*G.Định!$D64</f>
        <v>0</v>
      </c>
      <c r="E37" s="182">
        <f>E$34*G.Định!$D64</f>
        <v>0</v>
      </c>
      <c r="F37" s="182">
        <f>F$34*G.Định!$D64</f>
        <v>0</v>
      </c>
    </row>
    <row r="38" spans="1:6" outlineLevel="1" x14ac:dyDescent="0.3">
      <c r="A38" s="45">
        <v>5</v>
      </c>
      <c r="B38" s="173" t="s">
        <v>133</v>
      </c>
      <c r="C38" s="182">
        <f>C$34*G.Định!$D65</f>
        <v>0</v>
      </c>
      <c r="D38" s="182">
        <f>D$34*G.Định!$D65</f>
        <v>0</v>
      </c>
      <c r="E38" s="182">
        <f>E$34*G.Định!$D65</f>
        <v>0</v>
      </c>
      <c r="F38" s="182">
        <f>F$34*G.Định!$D65</f>
        <v>0</v>
      </c>
    </row>
    <row r="39" spans="1:6" outlineLevel="1" x14ac:dyDescent="0.3">
      <c r="A39" s="45">
        <v>6</v>
      </c>
      <c r="B39" s="46" t="s">
        <v>134</v>
      </c>
      <c r="C39" s="182">
        <f>C$34*G.Định!$D66</f>
        <v>0</v>
      </c>
      <c r="D39" s="182">
        <f>D$34*G.Định!$D66</f>
        <v>0</v>
      </c>
      <c r="E39" s="182">
        <f>E$34*G.Định!$D66</f>
        <v>0</v>
      </c>
      <c r="F39" s="182">
        <f>F$34*G.Định!$D66</f>
        <v>0</v>
      </c>
    </row>
    <row r="40" spans="1:6" outlineLevel="1" x14ac:dyDescent="0.3">
      <c r="A40" s="45">
        <v>7</v>
      </c>
      <c r="B40" s="173" t="s">
        <v>135</v>
      </c>
      <c r="C40" s="182">
        <f>C$34*G.Định!$D67</f>
        <v>0</v>
      </c>
      <c r="D40" s="182">
        <f>D$34*G.Định!$D67</f>
        <v>0</v>
      </c>
      <c r="E40" s="182">
        <f>E$34*G.Định!$D67</f>
        <v>0</v>
      </c>
      <c r="F40" s="182">
        <f>F$34*G.Định!$D67</f>
        <v>0</v>
      </c>
    </row>
    <row r="41" spans="1:6" outlineLevel="1" x14ac:dyDescent="0.3">
      <c r="A41" s="45">
        <v>8</v>
      </c>
      <c r="B41" s="173" t="s">
        <v>136</v>
      </c>
      <c r="C41" s="182">
        <f>C$34*G.Định!$D68</f>
        <v>0</v>
      </c>
      <c r="D41" s="182">
        <f>D$34*G.Định!$D68</f>
        <v>0</v>
      </c>
      <c r="E41" s="182">
        <f>E$34*G.Định!$D68</f>
        <v>0</v>
      </c>
      <c r="F41" s="182">
        <f>F$34*G.Định!$D68</f>
        <v>0</v>
      </c>
    </row>
    <row r="42" spans="1:6" s="170" customFormat="1" x14ac:dyDescent="0.3">
      <c r="A42" s="172" t="s">
        <v>188</v>
      </c>
      <c r="B42" s="172" t="s">
        <v>542</v>
      </c>
      <c r="C42" s="180">
        <f>SUM(C43:C50)</f>
        <v>241266666.66666666</v>
      </c>
      <c r="D42" s="180">
        <f t="shared" ref="D42" si="9">SUM(D43:D50)</f>
        <v>287466666.66666663</v>
      </c>
      <c r="E42" s="180">
        <f t="shared" ref="E42" si="10">SUM(E43:E50)</f>
        <v>287466666.66666663</v>
      </c>
      <c r="F42" s="180">
        <f t="shared" ref="F42" si="11">SUM(F43:F50)</f>
        <v>287466666.66666663</v>
      </c>
    </row>
    <row r="43" spans="1:6" outlineLevel="1" x14ac:dyDescent="0.3">
      <c r="A43" s="45">
        <v>1</v>
      </c>
      <c r="B43" s="173" t="s">
        <v>126</v>
      </c>
      <c r="C43" s="182">
        <f>SUMPRODUCT(Đ.Biên!E$5:E$24,Đ.Biên!$I$5:$I$24,Đ.Biên!$J$5:$J$24)</f>
        <v>188000000</v>
      </c>
      <c r="D43" s="182">
        <f>SUMPRODUCT(Đ.Biên!F$5:F$24,Đ.Biên!$I$5:$I$24,Đ.Biên!$J$5:$J$24)</f>
        <v>224000000</v>
      </c>
      <c r="E43" s="182">
        <f>SUMPRODUCT(Đ.Biên!G$5:G$24,Đ.Biên!$I$5:$I$24,Đ.Biên!$J$5:$J$24)</f>
        <v>224000000</v>
      </c>
      <c r="F43" s="182">
        <f>SUMPRODUCT(Đ.Biên!H$5:H$24,Đ.Biên!$I$5:$I$24,Đ.Biên!$J$5:$J$24)</f>
        <v>224000000</v>
      </c>
    </row>
    <row r="44" spans="1:6" outlineLevel="1" x14ac:dyDescent="0.3">
      <c r="A44" s="45">
        <v>2</v>
      </c>
      <c r="B44" s="173" t="s">
        <v>128</v>
      </c>
      <c r="C44" s="182">
        <f>C$43*G.Định!$D62</f>
        <v>15666666.666666666</v>
      </c>
      <c r="D44" s="182">
        <f>D$43*G.Định!$D62</f>
        <v>18666666.666666664</v>
      </c>
      <c r="E44" s="182">
        <f>E$43*G.Định!$D62</f>
        <v>18666666.666666664</v>
      </c>
      <c r="F44" s="182">
        <f>F$43*G.Định!$D62</f>
        <v>18666666.666666664</v>
      </c>
    </row>
    <row r="45" spans="1:6" outlineLevel="1" x14ac:dyDescent="0.3">
      <c r="A45" s="45">
        <v>3</v>
      </c>
      <c r="B45" s="173" t="s">
        <v>131</v>
      </c>
      <c r="C45" s="182">
        <f>C$43*G.Định!$D63</f>
        <v>5640000</v>
      </c>
      <c r="D45" s="182">
        <f>D$43*G.Định!$D63</f>
        <v>6720000</v>
      </c>
      <c r="E45" s="182">
        <f>E$43*G.Định!$D63</f>
        <v>6720000</v>
      </c>
      <c r="F45" s="182">
        <f>F$43*G.Định!$D63</f>
        <v>6720000</v>
      </c>
    </row>
    <row r="46" spans="1:6" outlineLevel="1" x14ac:dyDescent="0.3">
      <c r="A46" s="45">
        <v>4</v>
      </c>
      <c r="B46" s="173" t="s">
        <v>132</v>
      </c>
      <c r="C46" s="182">
        <f>C$43*G.Định!$D64</f>
        <v>0</v>
      </c>
      <c r="D46" s="182">
        <f>D$43*G.Định!$D64</f>
        <v>0</v>
      </c>
      <c r="E46" s="182">
        <f>E$43*G.Định!$D64</f>
        <v>0</v>
      </c>
      <c r="F46" s="182">
        <f>F$43*G.Định!$D64</f>
        <v>0</v>
      </c>
    </row>
    <row r="47" spans="1:6" outlineLevel="1" x14ac:dyDescent="0.3">
      <c r="A47" s="45">
        <v>5</v>
      </c>
      <c r="B47" s="173" t="s">
        <v>133</v>
      </c>
      <c r="C47" s="182">
        <f>C$43*G.Định!$D65</f>
        <v>9400000</v>
      </c>
      <c r="D47" s="182">
        <f>D$43*G.Định!$D65</f>
        <v>11200000</v>
      </c>
      <c r="E47" s="182">
        <f>E$43*G.Định!$D65</f>
        <v>11200000</v>
      </c>
      <c r="F47" s="182">
        <f>F$43*G.Định!$D65</f>
        <v>11200000</v>
      </c>
    </row>
    <row r="48" spans="1:6" outlineLevel="1" x14ac:dyDescent="0.3">
      <c r="A48" s="45">
        <v>6</v>
      </c>
      <c r="B48" s="46" t="s">
        <v>134</v>
      </c>
      <c r="C48" s="182">
        <f>C$43*G.Định!$D66</f>
        <v>0</v>
      </c>
      <c r="D48" s="182">
        <f>D$43*G.Định!$D66</f>
        <v>0</v>
      </c>
      <c r="E48" s="182">
        <f>E$43*G.Định!$D66</f>
        <v>0</v>
      </c>
      <c r="F48" s="182">
        <f>F$43*G.Định!$D66</f>
        <v>0</v>
      </c>
    </row>
    <row r="49" spans="1:6" outlineLevel="1" x14ac:dyDescent="0.3">
      <c r="A49" s="45">
        <v>7</v>
      </c>
      <c r="B49" s="173" t="s">
        <v>135</v>
      </c>
      <c r="C49" s="182">
        <f>C$43*G.Định!$D67</f>
        <v>22560000</v>
      </c>
      <c r="D49" s="182">
        <f>D$43*G.Định!$D67</f>
        <v>26880000</v>
      </c>
      <c r="E49" s="182">
        <f>E$43*G.Định!$D67</f>
        <v>26880000</v>
      </c>
      <c r="F49" s="182">
        <f>F$43*G.Định!$D67</f>
        <v>26880000</v>
      </c>
    </row>
    <row r="50" spans="1:6" outlineLevel="1" x14ac:dyDescent="0.3">
      <c r="A50" s="45">
        <v>8</v>
      </c>
      <c r="B50" s="173" t="s">
        <v>136</v>
      </c>
      <c r="C50" s="182">
        <f>C$43*G.Định!$D68</f>
        <v>0</v>
      </c>
      <c r="D50" s="182">
        <f>D$43*G.Định!$D68</f>
        <v>0</v>
      </c>
      <c r="E50" s="182">
        <f>E$43*G.Định!$D68</f>
        <v>0</v>
      </c>
      <c r="F50" s="182">
        <f>F$43*G.Định!$D68</f>
        <v>0</v>
      </c>
    </row>
    <row r="51" spans="1:6" s="170" customFormat="1" x14ac:dyDescent="0.3">
      <c r="A51" s="175" t="s">
        <v>399</v>
      </c>
      <c r="B51" s="175" t="s">
        <v>335</v>
      </c>
      <c r="C51" s="303">
        <f>SUM(C52:C60)</f>
        <v>18262500</v>
      </c>
      <c r="D51" s="303">
        <f t="shared" ref="D51:F51" si="12">SUM(D52:D60)</f>
        <v>18262500</v>
      </c>
      <c r="E51" s="303">
        <f t="shared" si="12"/>
        <v>31906500</v>
      </c>
      <c r="F51" s="303">
        <f t="shared" si="12"/>
        <v>31906500</v>
      </c>
    </row>
    <row r="52" spans="1:6" outlineLevel="1" x14ac:dyDescent="0.3">
      <c r="A52" s="45">
        <v>1</v>
      </c>
      <c r="B52" s="173" t="s">
        <v>138</v>
      </c>
      <c r="C52" s="182">
        <f>IF(G.Định!$E$5="x",SUMIF(DMQL!$F:$F,$B52,DMQL!$G:$G)+SUMIF(DMQL!$F:$F,$B52,DMQL!$H:$H)/12,(SUMIF(DMQL!$F:$F,$B52,DMQL!$G:$G)+SUMIF(DMQL!$F:$F,$B52,DMQL!$H:$H)/12)*G.Định!$D$73)</f>
        <v>1875000</v>
      </c>
      <c r="D52" s="182">
        <f>IF(G.Định!$E$5="x",SUMIF(DMQL!$F:$F,$B52,DMQL!$G:$G)+SUMIF(DMQL!$F:$F,$B52,DMQL!$H:$H)/12,(SUMIF(DMQL!$F:$F,$B52,DMQL!$G:$G)+SUMIF(DMQL!$F:$F,$B52,DMQL!$H:$H)/12)*G.Định!$D$73)</f>
        <v>1875000</v>
      </c>
      <c r="E52" s="182">
        <f>IF(G.Định!$E$5="x",SUMIF(DMQL!$F:$F,$B52,DMQL!$K:$K)+SUMIF(DMQL!$F:$F,$B52,DMQL!$L:$L)/12,(SUMIF(DMQL!$F:$F,$B52,DMQL!$K:$K)+SUMIF(DMQL!$F:$F,$B52,DMQL!$L:$L)/12)*G.Định!$D$73)</f>
        <v>3675000</v>
      </c>
      <c r="F52" s="182">
        <f>IF(G.Định!$E$5="x",SUMIF(DMQL!$F:$F,$B52,DMQL!$K:$K)+SUMIF(DMQL!$F:$F,$B52,DMQL!$L:$L)/12,(SUMIF(DMQL!$F:$F,$B52,DMQL!$K:$K)+SUMIF(DMQL!$F:$F,$B52,DMQL!$L:$L)/12)*G.Định!$D$73)</f>
        <v>3675000</v>
      </c>
    </row>
    <row r="53" spans="1:6" outlineLevel="1" x14ac:dyDescent="0.3">
      <c r="A53" s="45">
        <v>2</v>
      </c>
      <c r="B53" s="173" t="s">
        <v>139</v>
      </c>
      <c r="C53" s="182">
        <f>IF(G.Định!$E$5="x",SUMIF(DMQL!$F:$F,$B53,DMQL!$G:$G)+SUMIF(DMQL!$F:$F,$B53,DMQL!$H:$H)/12,(SUMIF(DMQL!$F:$F,$B53,DMQL!$G:$G)+SUMIF(DMQL!$F:$F,$B53,DMQL!$H:$H)/12)*G.Định!$D$73)</f>
        <v>0</v>
      </c>
      <c r="D53" s="182">
        <f>IF(G.Định!$E$5="x",SUMIF(DMQL!$F:$F,$B53,DMQL!$G:$G)+SUMIF(DMQL!$F:$F,$B53,DMQL!$H:$H)/12,(SUMIF(DMQL!$F:$F,$B53,DMQL!$G:$G)+SUMIF(DMQL!$F:$F,$B53,DMQL!$H:$H)/12)*G.Định!$D$73)</f>
        <v>0</v>
      </c>
      <c r="E53" s="182">
        <f>IF(G.Định!$E$5="x",SUMIF(DMQL!$F:$F,$B53,DMQL!$K:$K)+SUMIF(DMQL!$F:$F,$B53,DMQL!$L:$L)/12,(SUMIF(DMQL!$F:$F,$B53,DMQL!$K:$K)+SUMIF(DMQL!$F:$F,$B53,DMQL!$L:$L)/12)*G.Định!$D$73)</f>
        <v>0</v>
      </c>
      <c r="F53" s="182">
        <f>IF(G.Định!$E$5="x",SUMIF(DMQL!$F:$F,$B53,DMQL!$K:$K)+SUMIF(DMQL!$F:$F,$B53,DMQL!$L:$L)/12,(SUMIF(DMQL!$F:$F,$B53,DMQL!$K:$K)+SUMIF(DMQL!$F:$F,$B53,DMQL!$L:$L)/12)*G.Định!$D$73)</f>
        <v>0</v>
      </c>
    </row>
    <row r="54" spans="1:6" outlineLevel="1" x14ac:dyDescent="0.3">
      <c r="A54" s="45">
        <v>3</v>
      </c>
      <c r="B54" s="173" t="s">
        <v>140</v>
      </c>
      <c r="C54" s="182">
        <f>IF(G.Định!$E$5="x",SUMIF(DMQL!$F:$F,$B54,DMQL!$G:$G)+SUMIF(DMQL!$F:$F,$B54,DMQL!$H:$H)/12,(SUMIF(DMQL!$F:$F,$B54,DMQL!$G:$G)+SUMIF(DMQL!$F:$F,$B54,DMQL!$H:$H)/12)*G.Định!$D$73)</f>
        <v>1462500</v>
      </c>
      <c r="D54" s="182">
        <f>IF(G.Định!$E$5="x",SUMIF(DMQL!$F:$F,$B54,DMQL!$G:$G)+SUMIF(DMQL!$F:$F,$B54,DMQL!$H:$H)/12,(SUMIF(DMQL!$F:$F,$B54,DMQL!$G:$G)+SUMIF(DMQL!$F:$F,$B54,DMQL!$H:$H)/12)*G.Định!$D$73)</f>
        <v>1462500</v>
      </c>
      <c r="E54" s="182">
        <f>IF(G.Định!$E$5="x",SUMIF(DMQL!$F:$F,$B54,DMQL!$K:$K)+SUMIF(DMQL!$F:$F,$B54,DMQL!$L:$L)/12,(SUMIF(DMQL!$F:$F,$B54,DMQL!$K:$K)+SUMIF(DMQL!$F:$F,$B54,DMQL!$L:$L)/12)*G.Định!$D$73)</f>
        <v>2866500</v>
      </c>
      <c r="F54" s="182">
        <f>IF(G.Định!$E$5="x",SUMIF(DMQL!$F:$F,$B54,DMQL!$K:$K)+SUMIF(DMQL!$F:$F,$B54,DMQL!$L:$L)/12,(SUMIF(DMQL!$F:$F,$B54,DMQL!$K:$K)+SUMIF(DMQL!$F:$F,$B54,DMQL!$L:$L)/12)*G.Định!$D$73)</f>
        <v>2866500</v>
      </c>
    </row>
    <row r="55" spans="1:6" outlineLevel="1" x14ac:dyDescent="0.3">
      <c r="A55" s="45">
        <v>4</v>
      </c>
      <c r="B55" s="173" t="s">
        <v>141</v>
      </c>
      <c r="C55" s="182">
        <f>IF(G.Định!$E$5="x",SUMIF(DMQL!$F:$F,$B55,DMQL!$G:$G)+SUMIF(DMQL!$F:$F,$B55,DMQL!$H:$H)/12,(SUMIF(DMQL!$F:$F,$B55,DMQL!$G:$G)+SUMIF(DMQL!$F:$F,$B55,DMQL!$H:$H)/12)*G.Định!$D$73)</f>
        <v>2850000.0000000005</v>
      </c>
      <c r="D55" s="182">
        <f>IF(G.Định!$E$5="x",SUMIF(DMQL!$F:$F,$B55,DMQL!$G:$G)+SUMIF(DMQL!$F:$F,$B55,DMQL!$H:$H)/12,(SUMIF(DMQL!$F:$F,$B55,DMQL!$G:$G)+SUMIF(DMQL!$F:$F,$B55,DMQL!$H:$H)/12)*G.Định!$D$73)</f>
        <v>2850000.0000000005</v>
      </c>
      <c r="E55" s="182">
        <f>IF(G.Định!$E$5="x",SUMIF(DMQL!$F:$F,$B55,DMQL!$K:$K)+SUMIF(DMQL!$F:$F,$B55,DMQL!$L:$L)/12,(SUMIF(DMQL!$F:$F,$B55,DMQL!$K:$K)+SUMIF(DMQL!$F:$F,$B55,DMQL!$L:$L)/12)*G.Định!$D$73)</f>
        <v>4290000</v>
      </c>
      <c r="F55" s="182">
        <f>IF(G.Định!$E$5="x",SUMIF(DMQL!$F:$F,$B55,DMQL!$K:$K)+SUMIF(DMQL!$F:$F,$B55,DMQL!$L:$L)/12,(SUMIF(DMQL!$F:$F,$B55,DMQL!$K:$K)+SUMIF(DMQL!$F:$F,$B55,DMQL!$L:$L)/12)*G.Định!$D$73)</f>
        <v>4290000</v>
      </c>
    </row>
    <row r="56" spans="1:6" outlineLevel="1" x14ac:dyDescent="0.3">
      <c r="A56" s="45">
        <v>5</v>
      </c>
      <c r="B56" s="173" t="s">
        <v>143</v>
      </c>
      <c r="C56" s="182">
        <f>IF(G.Định!$E$5="x",SUMIF(DMQL!$F:$F,$B56,DMQL!$G:$G)+SUMIF(DMQL!$F:$F,$B56,DMQL!$H:$H)/12,(SUMIF(DMQL!$F:$F,$B56,DMQL!$G:$G)+SUMIF(DMQL!$F:$F,$B56,DMQL!$H:$H)/12)*G.Định!$D$73)</f>
        <v>1875000</v>
      </c>
      <c r="D56" s="182">
        <f>IF(G.Định!$E$5="x",SUMIF(DMQL!$F:$F,$B56,DMQL!$G:$G)+SUMIF(DMQL!$F:$F,$B56,DMQL!$H:$H)/12,(SUMIF(DMQL!$F:$F,$B56,DMQL!$G:$G)+SUMIF(DMQL!$F:$F,$B56,DMQL!$H:$H)/12)*G.Định!$D$73)</f>
        <v>1875000</v>
      </c>
      <c r="E56" s="182">
        <f>IF(G.Định!$E$5="x",SUMIF(DMQL!$F:$F,$B56,DMQL!$K:$K)+SUMIF(DMQL!$F:$F,$B56,DMQL!$L:$L)/12,(SUMIF(DMQL!$F:$F,$B56,DMQL!$K:$K)+SUMIF(DMQL!$F:$F,$B56,DMQL!$L:$L)/12)*G.Định!$D$73)</f>
        <v>3675000</v>
      </c>
      <c r="F56" s="182">
        <f>IF(G.Định!$E$5="x",SUMIF(DMQL!$F:$F,$B56,DMQL!$K:$K)+SUMIF(DMQL!$F:$F,$B56,DMQL!$L:$L)/12,(SUMIF(DMQL!$F:$F,$B56,DMQL!$K:$K)+SUMIF(DMQL!$F:$F,$B56,DMQL!$L:$L)/12)*G.Định!$D$73)</f>
        <v>3675000</v>
      </c>
    </row>
    <row r="57" spans="1:6" outlineLevel="1" x14ac:dyDescent="0.3">
      <c r="A57" s="45">
        <v>6</v>
      </c>
      <c r="B57" s="173" t="s">
        <v>144</v>
      </c>
      <c r="C57" s="182">
        <f>IF(G.Định!$E$5="x",SUMIF(DMQL!$F:$F,$B57,DMQL!$G:$G)+SUMIF(DMQL!$F:$F,$B57,DMQL!$H:$H)/12,(SUMIF(DMQL!$F:$F,$B57,DMQL!$G:$G)+SUMIF(DMQL!$F:$F,$B57,DMQL!$H:$H)/12)*G.Định!$D$73)</f>
        <v>7500000</v>
      </c>
      <c r="D57" s="182">
        <f>IF(G.Định!$E$5="x",SUMIF(DMQL!$F:$F,$B57,DMQL!$G:$G)+SUMIF(DMQL!$F:$F,$B57,DMQL!$H:$H)/12,(SUMIF(DMQL!$F:$F,$B57,DMQL!$G:$G)+SUMIF(DMQL!$F:$F,$B57,DMQL!$H:$H)/12)*G.Định!$D$73)</f>
        <v>7500000</v>
      </c>
      <c r="E57" s="182">
        <f>IF(G.Định!$E$5="x",SUMIF(DMQL!$F:$F,$B57,DMQL!$K:$K)+SUMIF(DMQL!$F:$F,$B57,DMQL!$L:$L)/12,(SUMIF(DMQL!$F:$F,$B57,DMQL!$K:$K)+SUMIF(DMQL!$F:$F,$B57,DMQL!$L:$L)/12)*G.Định!$D$73)</f>
        <v>14700000</v>
      </c>
      <c r="F57" s="182">
        <f>IF(G.Định!$E$5="x",SUMIF(DMQL!$F:$F,$B57,DMQL!$K:$K)+SUMIF(DMQL!$F:$F,$B57,DMQL!$L:$L)/12,(SUMIF(DMQL!$F:$F,$B57,DMQL!$K:$K)+SUMIF(DMQL!$F:$F,$B57,DMQL!$L:$L)/12)*G.Định!$D$73)</f>
        <v>14700000</v>
      </c>
    </row>
    <row r="58" spans="1:6" outlineLevel="1" x14ac:dyDescent="0.3">
      <c r="A58" s="45">
        <v>7</v>
      </c>
      <c r="B58" s="173" t="s">
        <v>145</v>
      </c>
      <c r="C58" s="182">
        <f>IF(G.Định!$E$5="x",SUMIF(DMQL!$F:$F,$B58,DMQL!$G:$G)+SUMIF(DMQL!$F:$F,$B58,DMQL!$H:$H)/12,(SUMIF(DMQL!$F:$F,$B58,DMQL!$G:$G)+SUMIF(DMQL!$F:$F,$B58,DMQL!$H:$H)/12)*G.Định!$D$73)</f>
        <v>0</v>
      </c>
      <c r="D58" s="182">
        <f>IF(G.Định!$E$5="x",SUMIF(DMQL!$F:$F,$B58,DMQL!$G:$G)+SUMIF(DMQL!$F:$F,$B58,DMQL!$H:$H)/12,(SUMIF(DMQL!$F:$F,$B58,DMQL!$G:$G)+SUMIF(DMQL!$F:$F,$B58,DMQL!$H:$H)/12)*G.Định!$D$73)</f>
        <v>0</v>
      </c>
      <c r="E58" s="182">
        <f>IF(G.Định!$E$5="x",SUMIF(DMQL!$F:$F,$B58,DMQL!$K:$K)+SUMIF(DMQL!$F:$F,$B58,DMQL!$L:$L)/12,(SUMIF(DMQL!$F:$F,$B58,DMQL!$K:$K)+SUMIF(DMQL!$F:$F,$B58,DMQL!$L:$L)/12)*G.Định!$D$73)</f>
        <v>0</v>
      </c>
      <c r="F58" s="182">
        <f>IF(G.Định!$E$5="x",SUMIF(DMQL!$F:$F,$B58,DMQL!$K:$K)+SUMIF(DMQL!$F:$F,$B58,DMQL!$L:$L)/12,(SUMIF(DMQL!$F:$F,$B58,DMQL!$K:$K)+SUMIF(DMQL!$F:$F,$B58,DMQL!$L:$L)/12)*G.Định!$D$73)</f>
        <v>0</v>
      </c>
    </row>
    <row r="59" spans="1:6" outlineLevel="1" x14ac:dyDescent="0.3">
      <c r="A59" s="45">
        <v>8</v>
      </c>
      <c r="B59" s="46" t="s">
        <v>427</v>
      </c>
      <c r="C59" s="182">
        <f>IF(G.Định!$E$5="x",SUMIF(DMQL!$F:$F,$B59,DMQL!$G:$G)+SUMIF(DMQL!$F:$F,$B59,DMQL!$H:$H)/12,(SUMIF(DMQL!$F:$F,$B59,DMQL!$G:$G)+SUMIF(DMQL!$F:$F,$B59,DMQL!$H:$H)/12)*G.Định!$D$73)</f>
        <v>1800000</v>
      </c>
      <c r="D59" s="182">
        <f>IF(G.Định!$E$5="x",SUMIF(DMQL!$F:$F,$B59,DMQL!$G:$G)+SUMIF(DMQL!$F:$F,$B59,DMQL!$H:$H)/12,(SUMIF(DMQL!$F:$F,$B59,DMQL!$G:$G)+SUMIF(DMQL!$F:$F,$B59,DMQL!$H:$H)/12)*G.Định!$D$73)</f>
        <v>1800000</v>
      </c>
      <c r="E59" s="182">
        <f>IF(G.Định!$E$5="x",SUMIF(DMQL!$F:$F,$B59,DMQL!$K:$K)+SUMIF(DMQL!$F:$F,$B59,DMQL!$L:$L)/12,(SUMIF(DMQL!$F:$F,$B59,DMQL!$K:$K)+SUMIF(DMQL!$F:$F,$B59,DMQL!$L:$L)/12)*G.Định!$D$73)</f>
        <v>1800000</v>
      </c>
      <c r="F59" s="182">
        <f>IF(G.Định!$E$5="x",SUMIF(DMQL!$F:$F,$B59,DMQL!$K:$K)+SUMIF(DMQL!$F:$F,$B59,DMQL!$L:$L)/12,(SUMIF(DMQL!$F:$F,$B59,DMQL!$K:$K)+SUMIF(DMQL!$F:$F,$B59,DMQL!$L:$L)/12)*G.Định!$D$73)</f>
        <v>1800000</v>
      </c>
    </row>
    <row r="60" spans="1:6" outlineLevel="1" x14ac:dyDescent="0.3">
      <c r="A60" s="45">
        <v>9</v>
      </c>
      <c r="B60" s="173" t="s">
        <v>151</v>
      </c>
      <c r="C60" s="182">
        <f>IF(G.Định!$E$5="x",SUMIF(DMQL!$F:$F,$B60,DMQL!$G:$G)+SUMIF(DMQL!$F:$F,$B60,DMQL!$H:$H)/12,(SUMIF(DMQL!$F:$F,$B60,DMQL!$G:$G)+SUMIF(DMQL!$F:$F,$B60,DMQL!$H:$H)/12)*G.Định!$D$73)</f>
        <v>900000</v>
      </c>
      <c r="D60" s="182">
        <f>IF(G.Định!$E$5="x",SUMIF(DMQL!$F:$F,$B60,DMQL!$G:$G)+SUMIF(DMQL!$F:$F,$B60,DMQL!$H:$H)/12,(SUMIF(DMQL!$F:$F,$B60,DMQL!$G:$G)+SUMIF(DMQL!$F:$F,$B60,DMQL!$H:$H)/12)*G.Định!$D$73)</f>
        <v>900000</v>
      </c>
      <c r="E60" s="182">
        <f>IF(G.Định!$E$5="x",SUMIF(DMQL!$F:$F,$B60,DMQL!$K:$K)+SUMIF(DMQL!$F:$F,$B60,DMQL!$L:$L)/12,(SUMIF(DMQL!$F:$F,$B60,DMQL!$K:$K)+SUMIF(DMQL!$F:$F,$B60,DMQL!$L:$L)/12)*G.Định!$D$73)</f>
        <v>900000</v>
      </c>
      <c r="F60" s="182">
        <f>IF(G.Định!$E$5="x",SUMIF(DMQL!$F:$F,$B60,DMQL!$K:$K)+SUMIF(DMQL!$F:$F,$B60,DMQL!$L:$L)/12,(SUMIF(DMQL!$F:$F,$B60,DMQL!$K:$K)+SUMIF(DMQL!$F:$F,$B60,DMQL!$L:$L)/12)*G.Định!$D$73)</f>
        <v>900000</v>
      </c>
    </row>
    <row r="61" spans="1:6" s="170" customFormat="1" x14ac:dyDescent="0.3">
      <c r="A61" s="176" t="s">
        <v>555</v>
      </c>
      <c r="B61" s="176" t="s">
        <v>554</v>
      </c>
      <c r="C61" s="183">
        <f>C3+C51</f>
        <v>500795833.33333337</v>
      </c>
      <c r="D61" s="183">
        <f t="shared" ref="D61:F61" si="13">D3+D51</f>
        <v>677895833.33333325</v>
      </c>
      <c r="E61" s="183">
        <f t="shared" si="13"/>
        <v>809606500</v>
      </c>
      <c r="F61" s="183">
        <f t="shared" si="13"/>
        <v>850673166.66666663</v>
      </c>
    </row>
  </sheetData>
  <printOptions horizontalCentered="1"/>
  <pageMargins left="0" right="0" top="0" bottom="0" header="0.3" footer="0.3"/>
  <pageSetup paperSize="9" scale="9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B301-7F7F-4A46-92AF-0C226ADA2349}">
  <sheetPr>
    <tabColor rgb="FFFFFF00"/>
  </sheetPr>
  <dimension ref="B1:G59"/>
  <sheetViews>
    <sheetView workbookViewId="0">
      <selection activeCell="F12" sqref="F12"/>
    </sheetView>
  </sheetViews>
  <sheetFormatPr defaultRowHeight="14" x14ac:dyDescent="0.3"/>
  <cols>
    <col min="1" max="1" width="0.7265625" style="3" customWidth="1"/>
    <col min="2" max="2" width="40.08984375" style="3" customWidth="1"/>
    <col min="3" max="6" width="13.81640625" style="3" customWidth="1"/>
    <col min="7" max="16384" width="8.7265625" style="3"/>
  </cols>
  <sheetData>
    <row r="1" spans="2:6" x14ac:dyDescent="0.3">
      <c r="B1" s="482" t="s">
        <v>601</v>
      </c>
    </row>
    <row r="2" spans="2:6" x14ac:dyDescent="0.3">
      <c r="B2" s="381" t="s">
        <v>602</v>
      </c>
      <c r="F2" s="266" t="s">
        <v>558</v>
      </c>
    </row>
    <row r="3" spans="2:6" x14ac:dyDescent="0.3">
      <c r="B3" s="132" t="s">
        <v>267</v>
      </c>
      <c r="C3" s="132" t="s">
        <v>777</v>
      </c>
      <c r="D3" s="132" t="s">
        <v>778</v>
      </c>
      <c r="E3" s="132" t="s">
        <v>779</v>
      </c>
      <c r="F3" s="132" t="s">
        <v>780</v>
      </c>
    </row>
    <row r="4" spans="2:6" s="255" customFormat="1" x14ac:dyDescent="0.3">
      <c r="B4" s="483" t="s">
        <v>489</v>
      </c>
      <c r="C4" s="485">
        <f>SUM(C5:C7)</f>
        <v>22190006000</v>
      </c>
      <c r="D4" s="485">
        <f t="shared" ref="D4:F4" si="0">SUM(D5:D7)</f>
        <v>22190006000</v>
      </c>
      <c r="E4" s="485">
        <f t="shared" si="0"/>
        <v>22190006000</v>
      </c>
      <c r="F4" s="485">
        <f t="shared" si="0"/>
        <v>22190006000</v>
      </c>
    </row>
    <row r="5" spans="2:6" x14ac:dyDescent="0.3">
      <c r="B5" s="387" t="s">
        <v>603</v>
      </c>
      <c r="C5" s="486">
        <f>'CAP.Chính'!G51</f>
        <v>20265006000</v>
      </c>
      <c r="D5" s="486">
        <f>'CAP.Chính'!I51</f>
        <v>20265006000</v>
      </c>
      <c r="E5" s="486">
        <f>'CAP.Chính'!K51</f>
        <v>20265006000</v>
      </c>
      <c r="F5" s="486">
        <f>'CAP.Chính'!M51</f>
        <v>20265006000</v>
      </c>
    </row>
    <row r="6" spans="2:6" x14ac:dyDescent="0.3">
      <c r="B6" s="387" t="s">
        <v>604</v>
      </c>
      <c r="C6" s="486">
        <f>'CAP.Phụ'!G9</f>
        <v>1724000000</v>
      </c>
      <c r="D6" s="486">
        <f>'CAP.Phụ'!I9</f>
        <v>1724000000</v>
      </c>
      <c r="E6" s="486">
        <f>'CAP.Phụ'!K9</f>
        <v>1724000000</v>
      </c>
      <c r="F6" s="486">
        <f>'CAP.Phụ'!M9</f>
        <v>1724000000</v>
      </c>
    </row>
    <row r="7" spans="2:6" x14ac:dyDescent="0.3">
      <c r="B7" s="387" t="s">
        <v>605</v>
      </c>
      <c r="C7" s="486">
        <f>'CAP.Phụ'!G14</f>
        <v>201000000</v>
      </c>
      <c r="D7" s="486">
        <f>'CAP.Phụ'!I14</f>
        <v>201000000</v>
      </c>
      <c r="E7" s="486">
        <f>'CAP.Phụ'!K14</f>
        <v>201000000</v>
      </c>
      <c r="F7" s="486">
        <f>'CAP.Phụ'!M14</f>
        <v>201000000</v>
      </c>
    </row>
    <row r="8" spans="2:6" s="255" customFormat="1" x14ac:dyDescent="0.3">
      <c r="B8" s="484" t="s">
        <v>490</v>
      </c>
      <c r="C8" s="487">
        <f>SUM(C9:C11)</f>
        <v>0</v>
      </c>
      <c r="D8" s="487">
        <f t="shared" ref="D8:F8" si="1">SUM(D9:D11)</f>
        <v>0</v>
      </c>
      <c r="E8" s="487">
        <f t="shared" si="1"/>
        <v>0</v>
      </c>
      <c r="F8" s="487">
        <f t="shared" si="1"/>
        <v>0</v>
      </c>
    </row>
    <row r="9" spans="2:6" s="8" customFormat="1" x14ac:dyDescent="0.3">
      <c r="B9" s="387" t="s">
        <v>603</v>
      </c>
      <c r="C9" s="486">
        <f>IF(G.Định!$E$5="x",'CAP.Chính'!G56,0)</f>
        <v>0</v>
      </c>
      <c r="D9" s="486">
        <f>IF(G.Định!$E$5="x",'CAP.Chính'!I56,0)</f>
        <v>0</v>
      </c>
      <c r="E9" s="486">
        <f>IF(G.Định!$E$5="x",'CAP.Chính'!K56,0)</f>
        <v>0</v>
      </c>
      <c r="F9" s="486">
        <f>IF(G.Định!$E$5="x",'CAP.Chính'!M56,0)</f>
        <v>0</v>
      </c>
    </row>
    <row r="10" spans="2:6" x14ac:dyDescent="0.3">
      <c r="B10" s="387" t="s">
        <v>604</v>
      </c>
      <c r="C10" s="486">
        <f>IF(G.Định!$E$5="x",'CAP.Phụ'!G25,0)</f>
        <v>0</v>
      </c>
      <c r="D10" s="486">
        <f>IF(G.Định!$E$5="x",'CAP.Phụ'!I25,0)</f>
        <v>0</v>
      </c>
      <c r="E10" s="486">
        <f>IF(G.Định!$E$5="x",'CAP.Phụ'!K25,0)</f>
        <v>0</v>
      </c>
      <c r="F10" s="486">
        <f>IF(G.Định!$E$5="x",'CAP.Phụ'!M25,0)</f>
        <v>0</v>
      </c>
    </row>
    <row r="11" spans="2:6" x14ac:dyDescent="0.3">
      <c r="B11" s="387" t="s">
        <v>606</v>
      </c>
      <c r="C11" s="486">
        <f>IF(G.Định!$E$5="x",'CAP.Chính'!G62,0)</f>
        <v>0</v>
      </c>
      <c r="D11" s="486">
        <f>IF(G.Định!$E$5="x",'CAP.Chính'!I62,0)</f>
        <v>0</v>
      </c>
      <c r="E11" s="486">
        <f>IF(G.Định!$E$5="x",'CAP.Chính'!K62,0)</f>
        <v>0</v>
      </c>
      <c r="F11" s="486">
        <f>IF(G.Định!$E$5="x",'CAP.Chính'!M62,0)</f>
        <v>0</v>
      </c>
    </row>
    <row r="12" spans="2:6" s="255" customFormat="1" x14ac:dyDescent="0.3">
      <c r="B12" s="253" t="s">
        <v>273</v>
      </c>
      <c r="C12" s="488">
        <f>C4+C8</f>
        <v>22190006000</v>
      </c>
      <c r="D12" s="488">
        <f t="shared" ref="D12:F12" si="2">D4+D8</f>
        <v>22190006000</v>
      </c>
      <c r="E12" s="488">
        <f t="shared" si="2"/>
        <v>22190006000</v>
      </c>
      <c r="F12" s="488">
        <f t="shared" si="2"/>
        <v>22190006000</v>
      </c>
    </row>
    <row r="13" spans="2:6" s="8" customFormat="1" x14ac:dyDescent="0.3"/>
    <row r="14" spans="2:6" s="8" customFormat="1" x14ac:dyDescent="0.3">
      <c r="B14" s="381" t="s">
        <v>618</v>
      </c>
      <c r="F14" s="266"/>
    </row>
    <row r="15" spans="2:6" x14ac:dyDescent="0.3">
      <c r="B15" s="132" t="s">
        <v>267</v>
      </c>
      <c r="C15" s="132" t="s">
        <v>777</v>
      </c>
      <c r="D15" s="132" t="s">
        <v>778</v>
      </c>
      <c r="E15" s="132" t="s">
        <v>779</v>
      </c>
      <c r="F15" s="132" t="s">
        <v>780</v>
      </c>
    </row>
    <row r="16" spans="2:6" x14ac:dyDescent="0.3">
      <c r="B16" s="483" t="s">
        <v>489</v>
      </c>
      <c r="C16" s="485">
        <f>SUM(C17:C19)</f>
        <v>160781291.66666669</v>
      </c>
      <c r="D16" s="485">
        <f t="shared" ref="D16" si="3">SUM(D17:D19)</f>
        <v>160781291.66666669</v>
      </c>
      <c r="E16" s="485">
        <f t="shared" ref="E16" si="4">SUM(E17:E19)</f>
        <v>160781291.66666669</v>
      </c>
      <c r="F16" s="485">
        <f t="shared" ref="F16" si="5">SUM(F17:F19)</f>
        <v>160781291.66666669</v>
      </c>
    </row>
    <row r="17" spans="2:6" x14ac:dyDescent="0.3">
      <c r="B17" s="387" t="s">
        <v>603</v>
      </c>
      <c r="C17" s="486">
        <f>C5/G.Định!$D$91/12</f>
        <v>140729208.33333334</v>
      </c>
      <c r="D17" s="486">
        <f>D5/G.Định!$D$91/12</f>
        <v>140729208.33333334</v>
      </c>
      <c r="E17" s="486">
        <f>E5/G.Định!$D$91/12</f>
        <v>140729208.33333334</v>
      </c>
      <c r="F17" s="486">
        <f>F5/G.Định!$D$91/12</f>
        <v>140729208.33333334</v>
      </c>
    </row>
    <row r="18" spans="2:6" x14ac:dyDescent="0.3">
      <c r="B18" s="387" t="s">
        <v>604</v>
      </c>
      <c r="C18" s="486">
        <f>C6/G.Định!$D$92/12</f>
        <v>17958333.333333332</v>
      </c>
      <c r="D18" s="486">
        <f>D6/G.Định!$D$92/12</f>
        <v>17958333.333333332</v>
      </c>
      <c r="E18" s="486">
        <f>E6/G.Định!$D$92/12</f>
        <v>17958333.333333332</v>
      </c>
      <c r="F18" s="486">
        <f>F6/G.Định!$D$92/12</f>
        <v>17958333.333333332</v>
      </c>
    </row>
    <row r="19" spans="2:6" x14ac:dyDescent="0.3">
      <c r="B19" s="387" t="s">
        <v>605</v>
      </c>
      <c r="C19" s="486">
        <f>C7/G.Định!$D$92/12</f>
        <v>2093750</v>
      </c>
      <c r="D19" s="486">
        <f>D7/G.Định!$D$92/12</f>
        <v>2093750</v>
      </c>
      <c r="E19" s="486">
        <f>E7/G.Định!$D$92/12</f>
        <v>2093750</v>
      </c>
      <c r="F19" s="486">
        <f>F7/G.Định!$D$92/12</f>
        <v>2093750</v>
      </c>
    </row>
    <row r="20" spans="2:6" x14ac:dyDescent="0.3">
      <c r="B20" s="484" t="s">
        <v>490</v>
      </c>
      <c r="C20" s="487">
        <f>SUM(C21:C23)</f>
        <v>0</v>
      </c>
      <c r="D20" s="487">
        <f t="shared" ref="D20" si="6">SUM(D21:D23)</f>
        <v>0</v>
      </c>
      <c r="E20" s="487">
        <f t="shared" ref="E20" si="7">SUM(E21:E23)</f>
        <v>0</v>
      </c>
      <c r="F20" s="487">
        <f t="shared" ref="F20" si="8">SUM(F21:F23)</f>
        <v>0</v>
      </c>
    </row>
    <row r="21" spans="2:6" x14ac:dyDescent="0.3">
      <c r="B21" s="387" t="s">
        <v>603</v>
      </c>
      <c r="C21" s="486">
        <f>C9/G.Định!$D$91/12</f>
        <v>0</v>
      </c>
      <c r="D21" s="486">
        <f>D9/G.Định!$D$91/12</f>
        <v>0</v>
      </c>
      <c r="E21" s="486">
        <f>E9/G.Định!$D$91/12</f>
        <v>0</v>
      </c>
      <c r="F21" s="486">
        <f>F9/G.Định!$D$91/12</f>
        <v>0</v>
      </c>
    </row>
    <row r="22" spans="2:6" x14ac:dyDescent="0.3">
      <c r="B22" s="387" t="s">
        <v>604</v>
      </c>
      <c r="C22" s="486">
        <f>C10/G.Định!$D$92/12</f>
        <v>0</v>
      </c>
      <c r="D22" s="486">
        <f>D10/G.Định!$D$92/12</f>
        <v>0</v>
      </c>
      <c r="E22" s="486">
        <f>E10/G.Định!$D$92/12</f>
        <v>0</v>
      </c>
      <c r="F22" s="486">
        <f>F10/G.Định!$D$92/12</f>
        <v>0</v>
      </c>
    </row>
    <row r="23" spans="2:6" x14ac:dyDescent="0.3">
      <c r="B23" s="387" t="s">
        <v>606</v>
      </c>
      <c r="C23" s="486">
        <f>C11/G.Định!$D$93/12</f>
        <v>0</v>
      </c>
      <c r="D23" s="486">
        <f>D11/G.Định!$D$93/12</f>
        <v>0</v>
      </c>
      <c r="E23" s="486">
        <f>E11/G.Định!$D$93/12</f>
        <v>0</v>
      </c>
      <c r="F23" s="486">
        <f>F11/G.Định!$D$93/12</f>
        <v>0</v>
      </c>
    </row>
    <row r="24" spans="2:6" x14ac:dyDescent="0.3">
      <c r="B24" s="253" t="s">
        <v>273</v>
      </c>
      <c r="C24" s="488">
        <f>C16+C20</f>
        <v>160781291.66666669</v>
      </c>
      <c r="D24" s="488">
        <f>D16+D20</f>
        <v>160781291.66666669</v>
      </c>
      <c r="E24" s="488">
        <f>E16+E20</f>
        <v>160781291.66666669</v>
      </c>
      <c r="F24" s="488">
        <f>F16+F20</f>
        <v>160781291.66666669</v>
      </c>
    </row>
    <row r="26" spans="2:6" x14ac:dyDescent="0.3">
      <c r="B26" s="381" t="s">
        <v>619</v>
      </c>
      <c r="F26" s="266"/>
    </row>
    <row r="27" spans="2:6" x14ac:dyDescent="0.3">
      <c r="B27" s="132" t="s">
        <v>267</v>
      </c>
      <c r="C27" s="132" t="s">
        <v>777</v>
      </c>
      <c r="D27" s="132" t="s">
        <v>778</v>
      </c>
      <c r="E27" s="132" t="s">
        <v>779</v>
      </c>
      <c r="F27" s="132" t="s">
        <v>780</v>
      </c>
    </row>
    <row r="28" spans="2:6" x14ac:dyDescent="0.3">
      <c r="B28" s="483" t="s">
        <v>489</v>
      </c>
      <c r="C28" s="485">
        <f>SUM(C29:C31)</f>
        <v>90609191.166666687</v>
      </c>
      <c r="D28" s="485">
        <f t="shared" ref="D28" si="9">SUM(D29:D31)</f>
        <v>90609191.166666687</v>
      </c>
      <c r="E28" s="485">
        <f t="shared" ref="E28" si="10">SUM(E29:E31)</f>
        <v>90609191.166666687</v>
      </c>
      <c r="F28" s="485">
        <f t="shared" ref="F28" si="11">SUM(F29:F31)</f>
        <v>90609191.166666687</v>
      </c>
    </row>
    <row r="29" spans="2:6" x14ac:dyDescent="0.3">
      <c r="B29" s="387" t="s">
        <v>603</v>
      </c>
      <c r="C29" s="486">
        <f>C5*G.Định!$D$78*G.Định!$D$81/12</f>
        <v>82748774.500000015</v>
      </c>
      <c r="D29" s="486">
        <f>D5*G.Định!$D$78*G.Định!$D$81/12</f>
        <v>82748774.500000015</v>
      </c>
      <c r="E29" s="486">
        <f>E5*G.Định!$D$78*G.Định!$D$81/12</f>
        <v>82748774.500000015</v>
      </c>
      <c r="F29" s="486">
        <f>F5*G.Định!$D$78*G.Định!$D$81/12</f>
        <v>82748774.500000015</v>
      </c>
    </row>
    <row r="30" spans="2:6" x14ac:dyDescent="0.3">
      <c r="B30" s="387" t="s">
        <v>604</v>
      </c>
      <c r="C30" s="486">
        <f>C6*G.Định!$D$78*G.Định!$D$81/12</f>
        <v>7039666.6666666679</v>
      </c>
      <c r="D30" s="486">
        <f>D6*G.Định!$D$78*G.Định!$D$81/12</f>
        <v>7039666.6666666679</v>
      </c>
      <c r="E30" s="486">
        <f>E6*G.Định!$D$78*G.Định!$D$81/12</f>
        <v>7039666.6666666679</v>
      </c>
      <c r="F30" s="486">
        <f>F6*G.Định!$D$78*G.Định!$D$81/12</f>
        <v>7039666.6666666679</v>
      </c>
    </row>
    <row r="31" spans="2:6" x14ac:dyDescent="0.3">
      <c r="B31" s="387" t="s">
        <v>605</v>
      </c>
      <c r="C31" s="486">
        <f>C7*G.Định!$D$78*G.Định!$D$81/12</f>
        <v>820750.00000000012</v>
      </c>
      <c r="D31" s="486">
        <f>D7*G.Định!$D$78*G.Định!$D$81/12</f>
        <v>820750.00000000012</v>
      </c>
      <c r="E31" s="486">
        <f>E7*G.Định!$D$78*G.Định!$D$81/12</f>
        <v>820750.00000000012</v>
      </c>
      <c r="F31" s="486">
        <f>F7*G.Định!$D$78*G.Định!$D$81/12</f>
        <v>820750.00000000012</v>
      </c>
    </row>
    <row r="32" spans="2:6" x14ac:dyDescent="0.3">
      <c r="B32" s="484" t="s">
        <v>490</v>
      </c>
      <c r="C32" s="487">
        <f>SUM(C33:C35)</f>
        <v>0</v>
      </c>
      <c r="D32" s="487">
        <f t="shared" ref="D32" si="12">SUM(D33:D35)</f>
        <v>0</v>
      </c>
      <c r="E32" s="487">
        <f t="shared" ref="E32" si="13">SUM(E33:E35)</f>
        <v>0</v>
      </c>
      <c r="F32" s="487">
        <f t="shared" ref="F32" si="14">SUM(F33:F35)</f>
        <v>0</v>
      </c>
    </row>
    <row r="33" spans="2:6" x14ac:dyDescent="0.3">
      <c r="B33" s="387" t="s">
        <v>603</v>
      </c>
      <c r="C33" s="486">
        <f>C9*G.Định!$D$78*G.Định!$D$81/12</f>
        <v>0</v>
      </c>
      <c r="D33" s="486">
        <f>D9*G.Định!$D$78*G.Định!$D$81/12</f>
        <v>0</v>
      </c>
      <c r="E33" s="486">
        <f>E9*G.Định!$D$78*G.Định!$D$81/12</f>
        <v>0</v>
      </c>
      <c r="F33" s="486">
        <f>F9*G.Định!$D$78*G.Định!$D$81/12</f>
        <v>0</v>
      </c>
    </row>
    <row r="34" spans="2:6" x14ac:dyDescent="0.3">
      <c r="B34" s="387" t="s">
        <v>604</v>
      </c>
      <c r="C34" s="486">
        <f>C10*G.Định!$D$78*G.Định!$D$81/12</f>
        <v>0</v>
      </c>
      <c r="D34" s="486">
        <f>D10*G.Định!$D$78*G.Định!$D$81/12</f>
        <v>0</v>
      </c>
      <c r="E34" s="486">
        <f>E10*G.Định!$D$78*G.Định!$D$81/12</f>
        <v>0</v>
      </c>
      <c r="F34" s="486">
        <f>F10*G.Định!$D$78*G.Định!$D$81/12</f>
        <v>0</v>
      </c>
    </row>
    <row r="35" spans="2:6" x14ac:dyDescent="0.3">
      <c r="B35" s="387" t="s">
        <v>606</v>
      </c>
      <c r="C35" s="486">
        <f>C11*G.Định!$D$78*G.Định!$D$81/12</f>
        <v>0</v>
      </c>
      <c r="D35" s="486">
        <f>D11*G.Định!$D$78*G.Định!$D$81/12</f>
        <v>0</v>
      </c>
      <c r="E35" s="486">
        <f>E11*G.Định!$D$78*G.Định!$D$81/12</f>
        <v>0</v>
      </c>
      <c r="F35" s="486">
        <f>F11*G.Định!$D$78*G.Định!$D$81/12</f>
        <v>0</v>
      </c>
    </row>
    <row r="36" spans="2:6" x14ac:dyDescent="0.3">
      <c r="B36" s="253" t="s">
        <v>273</v>
      </c>
      <c r="C36" s="488">
        <f>C28+C32</f>
        <v>90609191.166666687</v>
      </c>
      <c r="D36" s="488">
        <f>D28+D32</f>
        <v>90609191.166666687</v>
      </c>
      <c r="E36" s="488">
        <f>E28+E32</f>
        <v>90609191.166666687</v>
      </c>
      <c r="F36" s="488">
        <f>F28+F32</f>
        <v>90609191.166666687</v>
      </c>
    </row>
    <row r="59" spans="7:7" x14ac:dyDescent="0.3">
      <c r="G59" s="377"/>
    </row>
  </sheetData>
  <printOptions horizontalCentered="1"/>
  <pageMargins left="0" right="0" top="0.5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5</vt:i4>
      </vt:variant>
    </vt:vector>
  </HeadingPairs>
  <TitlesOfParts>
    <vt:vector size="29" baseType="lpstr">
      <vt:lpstr>QTSX</vt:lpstr>
      <vt:lpstr>CĐSX</vt:lpstr>
      <vt:lpstr>CAP.Chính</vt:lpstr>
      <vt:lpstr>CAP.Phụ</vt:lpstr>
      <vt:lpstr>C.Suất</vt:lpstr>
      <vt:lpstr>Đ.Biên</vt:lpstr>
      <vt:lpstr>DMSX</vt:lpstr>
      <vt:lpstr>DMSX C.tiết</vt:lpstr>
      <vt:lpstr>DMQL</vt:lpstr>
      <vt:lpstr>G.Định</vt:lpstr>
      <vt:lpstr>B.đồ</vt:lpstr>
      <vt:lpstr>KQKD</vt:lpstr>
      <vt:lpstr>HV</vt:lpstr>
      <vt:lpstr>CP 1kg</vt:lpstr>
      <vt:lpstr>Chỉ số TC</vt:lpstr>
      <vt:lpstr>QL rủi ro</vt:lpstr>
      <vt:lpstr>S.Lượng</vt:lpstr>
      <vt:lpstr>D.Thu</vt:lpstr>
      <vt:lpstr>CPSX-Chai</vt:lpstr>
      <vt:lpstr>CPSX-Vảy</vt:lpstr>
      <vt:lpstr>CPQL</vt:lpstr>
      <vt:lpstr>CPBH</vt:lpstr>
      <vt:lpstr>CP.NS</vt:lpstr>
      <vt:lpstr>K.Hao, L.v</vt:lpstr>
      <vt:lpstr>'CP 1kg'!Print_Titles</vt:lpstr>
      <vt:lpstr>CP.NS!Print_Titles</vt:lpstr>
      <vt:lpstr>Đ.Biên!Print_Titles</vt:lpstr>
      <vt:lpstr>DMQL!Print_Titles</vt:lpstr>
      <vt:lpstr>KQKD!Print_Titles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Hoàng, Phạm Đình</dc:creator>
  <cp:lastModifiedBy>Hoàng, Phạm Đình</cp:lastModifiedBy>
  <cp:lastPrinted>2026-04-06T10:14:08Z</cp:lastPrinted>
  <dcterms:created xsi:type="dcterms:W3CDTF">2015-06-05T18:17:20Z</dcterms:created>
  <dcterms:modified xsi:type="dcterms:W3CDTF">2026-04-14T08:31:35Z</dcterms:modified>
</cp:coreProperties>
</file>