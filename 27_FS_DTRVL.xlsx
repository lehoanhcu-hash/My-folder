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tg.sharepoint.com/sites/duytan-holding/fad/FIR/00.BI REPORT/DataFS/DTRVL/"/>
    </mc:Choice>
  </mc:AlternateContent>
  <xr:revisionPtr revIDLastSave="904" documentId="8_{C6A24D4E-3DDF-4EB2-BDF8-318E417E606F}" xr6:coauthVersionLast="47" xr6:coauthVersionMax="47" xr10:uidLastSave="{C72E91A5-E7C3-4CD5-86D9-89538AD5C5E4}"/>
  <workbookProtection workbookAlgorithmName="SHA-512" workbookHashValue="JNFa+i+l4R9SqT/XbZWPRzHKp87rpM/SE9mZPQCz4Vhr1rgHUQl9BXczrOV/F+msE3zuz8G96kJemhqCcB/6nw==" workbookSaltValue="VH6hyHhooRNvH6dkBlHu+w==" workbookSpinCount="100000" lockStructure="1"/>
  <bookViews>
    <workbookView xWindow="-108" yWindow="-108" windowWidth="23256" windowHeight="12456" tabRatio="900" activeTab="4" xr2:uid="{FDB491AC-D798-4649-8EAC-8912D14986B7}"/>
  </bookViews>
  <sheets>
    <sheet name="Thong tin" sheetId="6" r:id="rId1"/>
    <sheet name="BIA" sheetId="7" r:id="rId2"/>
    <sheet name="Index" sheetId="8" r:id="rId3"/>
    <sheet name="THTC in" sheetId="9" r:id="rId4"/>
    <sheet name="KQKD in" sheetId="10" r:id="rId5"/>
    <sheet name="LCTT_GT in" sheetId="11" r:id="rId6"/>
    <sheet name="Tinh hinh tai chinh" sheetId="1" r:id="rId7"/>
    <sheet name="Ket qua kinh doanh" sheetId="2" r:id="rId8"/>
    <sheet name="Luu chuyen tien te" sheetId="3" r:id="rId9"/>
    <sheet name="KQKD theo yeu to" sheetId="4" r:id="rId10"/>
    <sheet name="No vay" sheetId="5" r:id="rId11"/>
    <sheet name="Giao dich voi BLQ" sheetId="12" r:id="rId12"/>
  </sheets>
  <definedNames>
    <definedName name="_" hidden="1">#N/A</definedName>
    <definedName name="_?" localSheetId="11" hidden="1">{"revable",#N/A,FALSE,"REVABLE"}</definedName>
    <definedName name="_?" hidden="1">{"revable",#N/A,FALSE,"REVABLE"}</definedName>
    <definedName name="_??" localSheetId="11" hidden="1">{"sales",#N/A,FALSE,"SALES"}</definedName>
    <definedName name="_??" hidden="1">{"sales",#N/A,FALSE,"SALES"}</definedName>
    <definedName name="_????" localSheetId="11" hidden="1">{"hilight1",#N/A,FALSE,"HILIGHT1"}</definedName>
    <definedName name="_????" hidden="1">{"hilight1",#N/A,FALSE,"HILIGHT1"}</definedName>
    <definedName name="_?????" localSheetId="11" hidden="1">{"PRINT_EST",#N/A,FALSE,"ESTMON"}</definedName>
    <definedName name="_?????" hidden="1">{"PRINT_EST",#N/A,FALSE,"ESTMON"}</definedName>
    <definedName name="_??????" localSheetId="11" hidden="1">{"lev1bt",#N/A,FALSE,"1_LEVB-T"}</definedName>
    <definedName name="_??????" hidden="1">{"lev1bt",#N/A,FALSE,"1_LEVB-T"}</definedName>
    <definedName name="_??????????" localSheetId="11" hidden="1">{"revsale",#N/A,FALSE,"REV-?????"}</definedName>
    <definedName name="_??????????" hidden="1">{"revsale",#N/A,FALSE,"REV-?????"}</definedName>
    <definedName name="_????????????????????_0904" localSheetId="11" hidden="1">{"balance",#N/A,FALSE,"BALANCE"}</definedName>
    <definedName name="_????????????????????_0904" hidden="1">{"balance",#N/A,FALSE,"BALANCE"}</definedName>
    <definedName name="_?7" localSheetId="11" hidden="1">{"PRINT_EST",#N/A,FALSE,"ESTMON"}</definedName>
    <definedName name="_?7" hidden="1">{"PRINT_EST",#N/A,FALSE,"ESTMON"}</definedName>
    <definedName name="__" hidden="1">#N/A</definedName>
    <definedName name="__?" localSheetId="11" hidden="1">{"revable",#N/A,FALSE,"REVABLE"}</definedName>
    <definedName name="__?" hidden="1">{"revable",#N/A,FALSE,"REVABLE"}</definedName>
    <definedName name="__??" localSheetId="11" hidden="1">{"sales",#N/A,FALSE,"SALES"}</definedName>
    <definedName name="__??" hidden="1">{"sales",#N/A,FALSE,"SALES"}</definedName>
    <definedName name="__????" localSheetId="11" hidden="1">{"hilight1",#N/A,FALSE,"HILIGHT1"}</definedName>
    <definedName name="__????" hidden="1">{"hilight1",#N/A,FALSE,"HILIGHT1"}</definedName>
    <definedName name="__?????" localSheetId="11" hidden="1">{"PRINT_EST",#N/A,FALSE,"ESTMON"}</definedName>
    <definedName name="__?????" hidden="1">{"PRINT_EST",#N/A,FALSE,"ESTMON"}</definedName>
    <definedName name="__??????" localSheetId="11" hidden="1">{"lev1bt",#N/A,FALSE,"1_LEVB-T"}</definedName>
    <definedName name="__??????" hidden="1">{"lev1bt",#N/A,FALSE,"1_LEVB-T"}</definedName>
    <definedName name="__??????????" localSheetId="11" hidden="1">{"revsale",#N/A,FALSE,"REV-?????"}</definedName>
    <definedName name="__??????????" hidden="1">{"revsale",#N/A,FALSE,"REV-?????"}</definedName>
    <definedName name="__????????????????????_0904" localSheetId="11" hidden="1">{"balance",#N/A,FALSE,"BALANCE"}</definedName>
    <definedName name="__????????????????????_0904" hidden="1">{"balance",#N/A,FALSE,"BALANCE"}</definedName>
    <definedName name="__?7" localSheetId="11" hidden="1">{"PRINT_EST",#N/A,FALSE,"ESTMON"}</definedName>
    <definedName name="__?7" hidden="1">{"PRINT_EST",#N/A,FALSE,"ESTMON"}</definedName>
    <definedName name="___???" localSheetId="11" hidden="1">{"revable",#N/A,FALSE,"REVABLE"}</definedName>
    <definedName name="___???" hidden="1">{"revable",#N/A,FALSE,"REVABLE"}</definedName>
    <definedName name="____???" localSheetId="11" hidden="1">{"revable",#N/A,FALSE,"REVABLE"}</definedName>
    <definedName name="____???" hidden="1">{"revable",#N/A,FALSE,"REVABLE"}</definedName>
    <definedName name="_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a10" localSheetId="11" hidden="1">{"sales",#N/A,FALSE,"SALES"}</definedName>
    <definedName name="_____a10" hidden="1">{"sales",#N/A,FALSE,"SALES"}</definedName>
    <definedName name="_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a1" localSheetId="11" hidden="1">{"cashflow",#N/A,FALSE,"CASHFLOW "}</definedName>
    <definedName name="____a1" hidden="1">{"cashflow",#N/A,FALSE,"CASHFLOW "}</definedName>
    <definedName name="____a10" localSheetId="11" hidden="1">{"sales",#N/A,FALSE,"SALES"}</definedName>
    <definedName name="____a10" hidden="1">{"sales",#N/A,FALSE,"SALES"}</definedName>
    <definedName name="____a2" localSheetId="11" hidden="1">{"hilight1",#N/A,FALSE,"HILIGHT1"}</definedName>
    <definedName name="____a2" hidden="1">{"hilight1",#N/A,FALSE,"HILIGHT1"}</definedName>
    <definedName name="____a3" localSheetId="11" hidden="1">{"hilight2",#N/A,FALSE,"HILIGHT2"}</definedName>
    <definedName name="____a3" hidden="1">{"hilight2",#N/A,FALSE,"HILIGHT2"}</definedName>
    <definedName name="____a4" localSheetId="11" hidden="1">{"hilight3",#N/A,FALSE,"HILIGHT3"}</definedName>
    <definedName name="____a4" hidden="1">{"hilight3",#N/A,FALSE,"HILIGHT3"}</definedName>
    <definedName name="____a5" localSheetId="11" hidden="1">{"income",#N/A,FALSE,"INCOME"}</definedName>
    <definedName name="____a5" hidden="1">{"income",#N/A,FALSE,"INCOME"}</definedName>
    <definedName name="____a6" localSheetId="11" hidden="1">{"index",#N/A,FALSE,"INDEX"}</definedName>
    <definedName name="____a6" hidden="1">{"index",#N/A,FALSE,"INDEX"}</definedName>
    <definedName name="____a7" localSheetId="11" hidden="1">{"PRINT_EST",#N/A,FALSE,"ESTMON"}</definedName>
    <definedName name="____a7" hidden="1">{"PRINT_EST",#N/A,FALSE,"ESTMON"}</definedName>
    <definedName name="____a8" localSheetId="11" hidden="1">{"revsale",#N/A,FALSE,"REV-?????"}</definedName>
    <definedName name="____a8" hidden="1">{"revsale",#N/A,FALSE,"REV-?????"}</definedName>
    <definedName name="____a9" localSheetId="11" hidden="1">{"revable",#N/A,FALSE,"REVABLE"}</definedName>
    <definedName name="____a9" hidden="1">{"revable",#N/A,FALSE,"REVABLE"}</definedName>
    <definedName name="_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_NSO2" localSheetId="11" hidden="1">{"'Sheet1'!$L$16"}</definedName>
    <definedName name="____NSO2" localSheetId="6" hidden="1">{"'Sheet1'!$L$16"}</definedName>
    <definedName name="____NSO2" hidden="1">{"'Sheet1'!$L$16"}</definedName>
    <definedName name="___a1" localSheetId="11" hidden="1">{"cashflow",#N/A,FALSE,"CASHFLOW "}</definedName>
    <definedName name="___a1" hidden="1">{"cashflow",#N/A,FALSE,"CASHFLOW "}</definedName>
    <definedName name="___a10" localSheetId="11" hidden="1">{"sales",#N/A,FALSE,"SALES"}</definedName>
    <definedName name="___a10" hidden="1">{"sales",#N/A,FALSE,"SALES"}</definedName>
    <definedName name="___a2" localSheetId="11" hidden="1">{"hilight1",#N/A,FALSE,"HILIGHT1"}</definedName>
    <definedName name="___a2" hidden="1">{"hilight1",#N/A,FALSE,"HILIGHT1"}</definedName>
    <definedName name="___a3" localSheetId="11" hidden="1">{"hilight2",#N/A,FALSE,"HILIGHT2"}</definedName>
    <definedName name="___a3" hidden="1">{"hilight2",#N/A,FALSE,"HILIGHT2"}</definedName>
    <definedName name="___a4" localSheetId="11" hidden="1">{"hilight3",#N/A,FALSE,"HILIGHT3"}</definedName>
    <definedName name="___a4" hidden="1">{"hilight3",#N/A,FALSE,"HILIGHT3"}</definedName>
    <definedName name="___a5" localSheetId="11" hidden="1">{"income",#N/A,FALSE,"INCOME"}</definedName>
    <definedName name="___a5" hidden="1">{"income",#N/A,FALSE,"INCOME"}</definedName>
    <definedName name="___a6" localSheetId="11" hidden="1">{"index",#N/A,FALSE,"INDEX"}</definedName>
    <definedName name="___a6" hidden="1">{"index",#N/A,FALSE,"INDEX"}</definedName>
    <definedName name="___a7" localSheetId="11" hidden="1">{"PRINT_EST",#N/A,FALSE,"ESTMON"}</definedName>
    <definedName name="___a7" hidden="1">{"PRINT_EST",#N/A,FALSE,"ESTMON"}</definedName>
    <definedName name="___a8" localSheetId="11" hidden="1">{"revsale",#N/A,FALSE,"REV-?????"}</definedName>
    <definedName name="___a8" hidden="1">{"revsale",#N/A,FALSE,"REV-?????"}</definedName>
    <definedName name="___a9" localSheetId="11" hidden="1">{"revable",#N/A,FALSE,"REVABLE"}</definedName>
    <definedName name="___a9" hidden="1">{"revable",#N/A,FALSE,"REVABLE"}</definedName>
    <definedName name="___h2" localSheetId="11" hidden="1">{"'Sheet1'!$L$16"}</definedName>
    <definedName name="___h2" localSheetId="6" hidden="1">{"'Sheet1'!$L$16"}</definedName>
    <definedName name="___h2" hidden="1">{"'Sheet1'!$L$16"}</definedName>
    <definedName name="_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_NSO2" localSheetId="11" hidden="1">{"'Sheet1'!$L$16"}</definedName>
    <definedName name="___NSO2" localSheetId="6" hidden="1">{"'Sheet1'!$L$16"}</definedName>
    <definedName name="___NSO2" hidden="1">{"'Sheet1'!$L$16"}</definedName>
    <definedName name="___tm2" localSheetId="11" hidden="1">{#N/A,#N/A,FALSE,"Chi tiÆt"}</definedName>
    <definedName name="___tm2" localSheetId="5" hidden="1">{#N/A,#N/A,FALSE,"Chi tiÆt"}</definedName>
    <definedName name="___tm2" localSheetId="6" hidden="1">{#N/A,#N/A,FALSE,"Chi tiÆt"}</definedName>
    <definedName name="___tm2" hidden="1">{#N/A,#N/A,FALSE,"Chi tiÆt"}</definedName>
    <definedName name="__16_???" localSheetId="11" hidden="1">{"revable",#N/A,FALSE,"REVABLE"}</definedName>
    <definedName name="__16_???" hidden="1">{"revable",#N/A,FALSE,"REVABLE"}</definedName>
    <definedName name="__17_????" localSheetId="11" hidden="1">{"hilight1",#N/A,FALSE,"HILIGHT1"}</definedName>
    <definedName name="__17_????" hidden="1">{"hilight1",#N/A,FALSE,"HILIGHT1"}</definedName>
    <definedName name="__18_?????" localSheetId="11" hidden="1">{"PRINT_EST",#N/A,FALSE,"ESTMON"}</definedName>
    <definedName name="__18_?????" hidden="1">{"PRINT_EST",#N/A,FALSE,"ESTMON"}</definedName>
    <definedName name="__19_??????" localSheetId="11" hidden="1">{"lev1bt",#N/A,FALSE,"1_LEVB-T"}</definedName>
    <definedName name="__19_??????" hidden="1">{"lev1bt",#N/A,FALSE,"1_LEVB-T"}</definedName>
    <definedName name="__20_??????????" localSheetId="11" hidden="1">{"revsale",#N/A,FALSE,"REV-?????"}</definedName>
    <definedName name="__20_??????????" hidden="1">{"revsale",#N/A,FALSE,"REV-?????"}</definedName>
    <definedName name="__23_????????????????????_0904" localSheetId="11" hidden="1">{"balance",#N/A,FALSE,"BALANCE"}</definedName>
    <definedName name="__23_????????????????????_0904" hidden="1">{"balance",#N/A,FALSE,"BALANCE"}</definedName>
    <definedName name="__32_?7" localSheetId="11" hidden="1">{"PRINT_EST",#N/A,FALSE,"ESTMON"}</definedName>
    <definedName name="__32_?7" hidden="1">{"PRINT_EST",#N/A,FALSE,"ESTMON"}</definedName>
    <definedName name="__a1" localSheetId="11" hidden="1">{"cashflow",#N/A,FALSE,"CASHFLOW "}</definedName>
    <definedName name="__a1" hidden="1">{"cashflow",#N/A,FALSE,"CASHFLOW "}</definedName>
    <definedName name="__a10" localSheetId="11" hidden="1">{"sales",#N/A,FALSE,"SALES"}</definedName>
    <definedName name="__a10" hidden="1">{"sales",#N/A,FALSE,"SALES"}</definedName>
    <definedName name="__A123" hidden="1">#REF!</definedName>
    <definedName name="__a2" localSheetId="11" hidden="1">{"hilight1",#N/A,FALSE,"HILIGHT1"}</definedName>
    <definedName name="__a2" hidden="1">{"hilight1",#N/A,FALSE,"HILIGHT1"}</definedName>
    <definedName name="__a3" localSheetId="11" hidden="1">{"hilight2",#N/A,FALSE,"HILIGHT2"}</definedName>
    <definedName name="__a3" hidden="1">{"hilight2",#N/A,FALSE,"HILIGHT2"}</definedName>
    <definedName name="__a4" localSheetId="11" hidden="1">{"hilight3",#N/A,FALSE,"HILIGHT3"}</definedName>
    <definedName name="__a4" hidden="1">{"hilight3",#N/A,FALSE,"HILIGHT3"}</definedName>
    <definedName name="__a5" localSheetId="11" hidden="1">{"income",#N/A,FALSE,"INCOME"}</definedName>
    <definedName name="__a5" hidden="1">{"income",#N/A,FALSE,"INCOME"}</definedName>
    <definedName name="__a6" localSheetId="11" hidden="1">{"index",#N/A,FALSE,"INDEX"}</definedName>
    <definedName name="__a6" hidden="1">{"index",#N/A,FALSE,"INDEX"}</definedName>
    <definedName name="__a7" localSheetId="11" hidden="1">{"PRINT_EST",#N/A,FALSE,"ESTMON"}</definedName>
    <definedName name="__a7" hidden="1">{"PRINT_EST",#N/A,FALSE,"ESTMON"}</definedName>
    <definedName name="__a8" localSheetId="11" hidden="1">{"revsale",#N/A,FALSE,"REV-ยุพดี"}</definedName>
    <definedName name="__a8" hidden="1">{"revsale",#N/A,FALSE,"REV-ยุพดี"}</definedName>
    <definedName name="__a9" localSheetId="11" hidden="1">{"revable",#N/A,FALSE,"REVABLE"}</definedName>
    <definedName name="__a9" hidden="1">{"revable",#N/A,FALSE,"REVABLE"}</definedName>
    <definedName name="__cad2" localSheetId="11" hidden="1">{#N/A,#N/A,TRUE,"BT M200 da 10x20"}</definedName>
    <definedName name="__cad2" localSheetId="6" hidden="1">{#N/A,#N/A,TRUE,"BT M200 da 10x20"}</definedName>
    <definedName name="__cad2" hidden="1">{#N/A,#N/A,TRUE,"BT M200 da 10x20"}</definedName>
    <definedName name="__f5" localSheetId="11" hidden="1">{"'Sheet1'!$L$16"}</definedName>
    <definedName name="__f5" localSheetId="6" hidden="1">{"'Sheet1'!$L$16"}</definedName>
    <definedName name="__f5" hidden="1">{"'Sheet1'!$L$16"}</definedName>
    <definedName name="__FDS_HYPERLINK_TOGGLE_STATE__" hidden="1">"ON"</definedName>
    <definedName name="__h2" localSheetId="11" hidden="1">{"'Sheet1'!$L$16"}</definedName>
    <definedName name="__h2" localSheetId="6" hidden="1">{"'Sheet1'!$L$16"}</definedName>
    <definedName name="__h2" hidden="1">{"'Sheet1'!$L$16"}</definedName>
    <definedName name="__huy1" localSheetId="11" hidden="1">{"'Sheet1'!$L$16"}</definedName>
    <definedName name="__huy1" localSheetId="6" hidden="1">{"'Sheet1'!$L$16"}</definedName>
    <definedName name="__huy1" hidden="1">{"'Sheet1'!$L$16"}</definedName>
    <definedName name="__IntlFixup" hidden="1">TRUE</definedName>
    <definedName name="_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_NS03" localSheetId="11" hidden="1">{"'Sheet1'!$L$16"}</definedName>
    <definedName name="__NS03" localSheetId="6" hidden="1">{"'Sheet1'!$L$16"}</definedName>
    <definedName name="__NS03" hidden="1">{"'Sheet1'!$L$16"}</definedName>
    <definedName name="__NSO2" localSheetId="11" hidden="1">{"'Sheet1'!$L$16"}</definedName>
    <definedName name="__NSO2" localSheetId="6" hidden="1">{"'Sheet1'!$L$16"}</definedName>
    <definedName name="__NSO2" hidden="1">{"'Sheet1'!$L$16"}</definedName>
    <definedName name="__T01" hidden="1">#REF!</definedName>
    <definedName name="__tm2" localSheetId="11" hidden="1">{#N/A,#N/A,FALSE,"Chi tiÆt"}</definedName>
    <definedName name="__tm2" localSheetId="5" hidden="1">{#N/A,#N/A,FALSE,"Chi tiÆt"}</definedName>
    <definedName name="__tm2" localSheetId="6" hidden="1">{#N/A,#N/A,FALSE,"Chi tiÆt"}</definedName>
    <definedName name="__tm2" hidden="1">{#N/A,#N/A,FALSE,"Chi tiÆt"}</definedName>
    <definedName name="__xlfn.BAHTTEXT" hidden="1">#NAME?</definedName>
    <definedName name="_1_" hidden="1">#REF!</definedName>
    <definedName name="_10_0_0_F" hidden="1">#REF!</definedName>
    <definedName name="_100_????????????????????_0904" localSheetId="11" hidden="1">{"balance",#N/A,FALSE,"BALANCE"}</definedName>
    <definedName name="_100_????????????????????_0904" hidden="1">{"balance",#N/A,FALSE,"BALANCE"}</definedName>
    <definedName name="_10F" hidden="1">#REF!</definedName>
    <definedName name="_11_?" localSheetId="11" hidden="1">{"revable",#N/A,FALSE,"REVABLE"}</definedName>
    <definedName name="_11_?" hidden="1">{"revable",#N/A,FALSE,"REVABLE"}</definedName>
    <definedName name="_11_0_0_F" hidden="1">#REF!</definedName>
    <definedName name="_115_?7" localSheetId="11" hidden="1">{"PRINT_EST",#N/A,FALSE,"ESTMON"}</definedName>
    <definedName name="_115_?7" hidden="1">{"PRINT_EST",#N/A,FALSE,"ESTMON"}</definedName>
    <definedName name="_119_?7" localSheetId="11" hidden="1">{"PRINT_EST",#N/A,FALSE,"ESTMON"}</definedName>
    <definedName name="_119_?7" hidden="1">{"PRINT_EST",#N/A,FALSE,"ESTMON"}</definedName>
    <definedName name="_119F" hidden="1">#REF!</definedName>
    <definedName name="_12_??" localSheetId="11" hidden="1">{"sales",#N/A,FALSE,"SALES"}</definedName>
    <definedName name="_12_??" hidden="1">{"sales",#N/A,FALSE,"SALES"}</definedName>
    <definedName name="_12_0_0_F" hidden="1">#REF!</definedName>
    <definedName name="_132_0_0_F" hidden="1">#REF!</definedName>
    <definedName name="_133_0_0_F" hidden="1">#REF!</definedName>
    <definedName name="_139____0_0_F" hidden="1">#REF!</definedName>
    <definedName name="_14_?" localSheetId="11" hidden="1">{"revable",#N/A,FALSE,"REVABLE"}</definedName>
    <definedName name="_14_?" hidden="1">{"revable",#N/A,FALSE,"REVABLE"}</definedName>
    <definedName name="_143___0_0_F" hidden="1">#REF!</definedName>
    <definedName name="_14F" hidden="1">#REF!</definedName>
    <definedName name="_15_??" localSheetId="11" hidden="1">{"sales",#N/A,FALSE,"SALES"}</definedName>
    <definedName name="_15_??" hidden="1">{"sales",#N/A,FALSE,"SALES"}</definedName>
    <definedName name="_15_0_0_F" hidden="1">#REF!</definedName>
    <definedName name="_16_???" localSheetId="11" hidden="1">{"revable",#N/A,FALSE,"REVABLE"}</definedName>
    <definedName name="_16_???" hidden="1">{"revable",#N/A,FALSE,"REVABLE"}</definedName>
    <definedName name="_17_????" localSheetId="11" hidden="1">{"hilight1",#N/A,FALSE,"HILIGHT1"}</definedName>
    <definedName name="_17_????" hidden="1">{"hilight1",#N/A,FALSE,"HILIGHT1"}</definedName>
    <definedName name="_18_?????" localSheetId="11" hidden="1">{"PRINT_EST",#N/A,FALSE,"ESTMON"}</definedName>
    <definedName name="_18_?????" hidden="1">{"PRINT_EST",#N/A,FALSE,"ESTMON"}</definedName>
    <definedName name="_19_??????" localSheetId="11" hidden="1">{"lev1bt",#N/A,FALSE,"1_LEVB-T"}</definedName>
    <definedName name="_19_??????" hidden="1">{"lev1bt",#N/A,FALSE,"1_LEVB-T"}</definedName>
    <definedName name="_2_0_0_F" hidden="1">#REF!</definedName>
    <definedName name="_20_???" localSheetId="11" hidden="1">{"revable",#N/A,FALSE,"REVABLE"}</definedName>
    <definedName name="_20_???" hidden="1">{"revable",#N/A,FALSE,"REVABLE"}</definedName>
    <definedName name="_20_??????????" localSheetId="11" hidden="1">{"revsale",#N/A,FALSE,"REV-?????"}</definedName>
    <definedName name="_20_??????????" hidden="1">{"revsale",#N/A,FALSE,"REV-?????"}</definedName>
    <definedName name="_23_????????????????????_0904" localSheetId="11" hidden="1">{"balance",#N/A,FALSE,"BALANCE"}</definedName>
    <definedName name="_23_????????????????????_0904" hidden="1">{"balance",#N/A,FALSE,"BALANCE"}</definedName>
    <definedName name="_26_????" localSheetId="11" hidden="1">{"hilight1",#N/A,FALSE,"HILIGHT1"}</definedName>
    <definedName name="_26_????" hidden="1">{"hilight1",#N/A,FALSE,"HILIGHT1"}</definedName>
    <definedName name="_32_?????" localSheetId="11" hidden="1">{"PRINT_EST",#N/A,FALSE,"ESTMON"}</definedName>
    <definedName name="_32_?????" hidden="1">{"PRINT_EST",#N/A,FALSE,"ESTMON"}</definedName>
    <definedName name="_32_?7" localSheetId="11" hidden="1">{"PRINT_EST",#N/A,FALSE,"ESTMON"}</definedName>
    <definedName name="_32_?7" hidden="1">{"PRINT_EST",#N/A,FALSE,"ESTMON"}</definedName>
    <definedName name="_35F" hidden="1">#REF!</definedName>
    <definedName name="_38_??????" localSheetId="11" hidden="1">{"lev1bt",#N/A,FALSE,"1_LEVB-T"}</definedName>
    <definedName name="_38_??????" hidden="1">{"lev1bt",#N/A,FALSE,"1_LEVB-T"}</definedName>
    <definedName name="_38_0_0_F" hidden="1">#REF!</definedName>
    <definedName name="_40_0_0_F" hidden="1">#REF!</definedName>
    <definedName name="_41_0_0_F" hidden="1">#REF!</definedName>
    <definedName name="_43_?" localSheetId="11" hidden="1">{"revable",#N/A,FALSE,"REVABLE"}</definedName>
    <definedName name="_43_?" hidden="1">{"revable",#N/A,FALSE,"REVABLE"}</definedName>
    <definedName name="_44_??????????" localSheetId="11" hidden="1">{"revsale",#N/A,FALSE,"REV-?????"}</definedName>
    <definedName name="_44_??????????" hidden="1">{"revsale",#N/A,FALSE,"REV-?????"}</definedName>
    <definedName name="_44_______F" hidden="1">#REF!</definedName>
    <definedName name="_47___0_0_F" hidden="1">#REF!</definedName>
    <definedName name="_5__0_0_F" hidden="1">#REF!</definedName>
    <definedName name="_50_??" localSheetId="11" hidden="1">{"sales",#N/A,FALSE,"SALES"}</definedName>
    <definedName name="_50_??" hidden="1">{"sales",#N/A,FALSE,"SALES"}</definedName>
    <definedName name="_50F" hidden="1">#REF!</definedName>
    <definedName name="_53_0_0_F" hidden="1">#REF!</definedName>
    <definedName name="_57_???" localSheetId="11" hidden="1">{"revable",#N/A,FALSE,"REVABLE"}</definedName>
    <definedName name="_57_???" hidden="1">{"revable",#N/A,FALSE,"REVABLE"}</definedName>
    <definedName name="_6_?" localSheetId="11" hidden="1">{"revable",#N/A,FALSE,"REVABLE"}</definedName>
    <definedName name="_6_?" hidden="1">{"revable",#N/A,FALSE,"REVABLE"}</definedName>
    <definedName name="_6_____F" hidden="1">#REF!</definedName>
    <definedName name="_64_????" localSheetId="11" hidden="1">{"hilight1",#N/A,FALSE,"HILIGHT1"}</definedName>
    <definedName name="_64_????" hidden="1">{"hilight1",#N/A,FALSE,"HILIGHT1"}</definedName>
    <definedName name="_65_????????????????????_0904" localSheetId="11" hidden="1">{"balance",#N/A,FALSE,"BALANCE"}</definedName>
    <definedName name="_65_????????????????????_0904" hidden="1">{"balance",#N/A,FALSE,"BALANCE"}</definedName>
    <definedName name="_7_0_0_F" hidden="1">#REF!</definedName>
    <definedName name="_71_?????" localSheetId="11" hidden="1">{"PRINT_EST",#N/A,FALSE,"ESTMON"}</definedName>
    <definedName name="_71_?????" hidden="1">{"PRINT_EST",#N/A,FALSE,"ESTMON"}</definedName>
    <definedName name="_78_??????" localSheetId="11" hidden="1">{"lev1bt",#N/A,FALSE,"1_LEVB-T"}</definedName>
    <definedName name="_78_??????" hidden="1">{"lev1bt",#N/A,FALSE,"1_LEVB-T"}</definedName>
    <definedName name="_85_??????????" localSheetId="11" hidden="1">{"revsale",#N/A,FALSE,"REV-?????"}</definedName>
    <definedName name="_85_??????????" hidden="1">{"revsale",#N/A,FALSE,"REV-?????"}</definedName>
    <definedName name="_8F" hidden="1">#REF!</definedName>
    <definedName name="_a1" localSheetId="11" hidden="1">{"'Sheet1'!$L$16"}</definedName>
    <definedName name="_a1" localSheetId="5" hidden="1">{"'Sheet1'!$L$16"}</definedName>
    <definedName name="_a1" localSheetId="6" hidden="1">{"'Sheet1'!$L$16"}</definedName>
    <definedName name="_a1" hidden="1">{"'Sheet1'!$L$16"}</definedName>
    <definedName name="_a10" localSheetId="11" hidden="1">{"sales",#N/A,FALSE,"SALES"}</definedName>
    <definedName name="_a10" hidden="1">{"sales",#N/A,FALSE,"SALES"}</definedName>
    <definedName name="_A123" hidden="1">#REF!</definedName>
    <definedName name="_a2" localSheetId="11" hidden="1">{"'Sheet1'!$L$16"}</definedName>
    <definedName name="_a2" localSheetId="6" hidden="1">{"'Sheet1'!$L$16"}</definedName>
    <definedName name="_a2" hidden="1">{"'Sheet1'!$L$16"}</definedName>
    <definedName name="_a3" localSheetId="11" hidden="1">{"hilight2",#N/A,FALSE,"HILIGHT2"}</definedName>
    <definedName name="_a3" hidden="1">{"hilight2",#N/A,FALSE,"HILIGHT2"}</definedName>
    <definedName name="_a4" localSheetId="11" hidden="1">{"hilight3",#N/A,FALSE,"HILIGHT3"}</definedName>
    <definedName name="_a4" hidden="1">{"hilight3",#N/A,FALSE,"HILIGHT3"}</definedName>
    <definedName name="_a5" localSheetId="11" hidden="1">{"income",#N/A,FALSE,"INCOME"}</definedName>
    <definedName name="_a5" hidden="1">{"income",#N/A,FALSE,"INCOME"}</definedName>
    <definedName name="_a6" localSheetId="11" hidden="1">{"index",#N/A,FALSE,"INDEX"}</definedName>
    <definedName name="_a6" hidden="1">{"index",#N/A,FALSE,"INDEX"}</definedName>
    <definedName name="_a7" localSheetId="11" hidden="1">{"PRINT_EST",#N/A,FALSE,"ESTMON"}</definedName>
    <definedName name="_a7" hidden="1">{"PRINT_EST",#N/A,FALSE,"ESTMON"}</definedName>
    <definedName name="_a8" localSheetId="11" hidden="1">{"revsale",#N/A,FALSE,"REV-ยุพดี"}</definedName>
    <definedName name="_a8" hidden="1">{"revsale",#N/A,FALSE,"REV-ยุพดี"}</definedName>
    <definedName name="_a9" localSheetId="11" hidden="1">{"revable",#N/A,FALSE,"REVABLE"}</definedName>
    <definedName name="_a9" hidden="1">{"revable",#N/A,FALSE,"REVABLE"}</definedName>
    <definedName name="_Builtin155" hidden="1">#N/A</definedName>
    <definedName name="_cad2" localSheetId="11" hidden="1">{#N/A,#N/A,TRUE,"BT M200 da 10x20"}</definedName>
    <definedName name="_cad2" localSheetId="6" hidden="1">{#N/A,#N/A,TRUE,"BT M200 da 10x20"}</definedName>
    <definedName name="_cad2" hidden="1">{#N/A,#N/A,TRUE,"BT M200 da 10x20"}</definedName>
    <definedName name="_CD2" localSheetId="11" hidden="1">{"'Sheet1'!$L$16"}</definedName>
    <definedName name="_CD2" localSheetId="5" hidden="1">{"'Sheet1'!$L$16"}</definedName>
    <definedName name="_CD2" localSheetId="6" hidden="1">{"'Sheet1'!$L$16"}</definedName>
    <definedName name="_CD2" hidden="1">{"'Sheet1'!$L$16"}</definedName>
    <definedName name="_f5" localSheetId="11" hidden="1">{"'Sheet1'!$L$16"}</definedName>
    <definedName name="_f5" localSheetId="6" hidden="1">{"'Sheet1'!$L$16"}</definedName>
    <definedName name="_f5" hidden="1">{"'Sheet1'!$L$16"}</definedName>
    <definedName name="_Fill" localSheetId="5" hidden="1">#REF!</definedName>
    <definedName name="_Fill" localSheetId="6" hidden="1">#REF!</definedName>
    <definedName name="_Fill" hidden="1">#REF!</definedName>
    <definedName name="_xlnm._FilterDatabase" localSheetId="11" hidden="1">'Giao dich voi BLQ'!$A$8:$R$8</definedName>
    <definedName name="_xlnm._FilterDatabase" localSheetId="6" hidden="1">'Tinh hinh tai chinh'!$B$3:$AY$174</definedName>
    <definedName name="_xlnm._FilterDatabase" hidden="1">#REF!</definedName>
    <definedName name="_Goi8" localSheetId="11" hidden="1">{"'Sheet1'!$L$16"}</definedName>
    <definedName name="_Goi8" localSheetId="5" hidden="1">{"'Sheet1'!$L$16"}</definedName>
    <definedName name="_Goi8" localSheetId="6" hidden="1">{"'Sheet1'!$L$16"}</definedName>
    <definedName name="_Goi8" hidden="1">{"'Sheet1'!$L$16"}</definedName>
    <definedName name="_h2" localSheetId="11" hidden="1">{"'Sheet1'!$L$16"}</definedName>
    <definedName name="_h2" localSheetId="6" hidden="1">{"'Sheet1'!$L$16"}</definedName>
    <definedName name="_h2" hidden="1">{"'Sheet1'!$L$16"}</definedName>
    <definedName name="_huy1" localSheetId="11" hidden="1">{"'Sheet1'!$L$16"}</definedName>
    <definedName name="_huy1" localSheetId="6" hidden="1">{"'Sheet1'!$L$16"}</definedName>
    <definedName name="_huy1" hidden="1">{"'Sheet1'!$L$16"}</definedName>
    <definedName name="_Key1" localSheetId="5" hidden="1">#REF!</definedName>
    <definedName name="_Key1" localSheetId="6" hidden="1">#REF!</definedName>
    <definedName name="_Key1" hidden="1">#REF!</definedName>
    <definedName name="_Key2" localSheetId="5" hidden="1">#REF!</definedName>
    <definedName name="_Key2" localSheetId="6" hidden="1">#REF!</definedName>
    <definedName name="_Key2" hidden="1">#REF!</definedName>
    <definedName name="_key3" hidden="1">#REF!</definedName>
    <definedName name="_key4" hidden="1">#REF!</definedName>
    <definedName name="_mar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mar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_nnn2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nn2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_NS03" localSheetId="11" hidden="1">{"'Sheet1'!$L$16"}</definedName>
    <definedName name="_NS03" localSheetId="6" hidden="1">{"'Sheet1'!$L$16"}</definedName>
    <definedName name="_NS03" hidden="1">{"'Sheet1'!$L$16"}</definedName>
    <definedName name="_NSO2" localSheetId="11" hidden="1">{"'Sheet1'!$L$16"}</definedName>
    <definedName name="_NSO2" localSheetId="5" hidden="1">{"'Sheet1'!$L$16"}</definedName>
    <definedName name="_NSO2" localSheetId="6" hidden="1">{"'Sheet1'!$L$16"}</definedName>
    <definedName name="_NSO2" hidden="1">{"'Sheet1'!$L$16"}</definedName>
    <definedName name="_Order1" hidden="1">255</definedName>
    <definedName name="_Order2" hidden="1">255</definedName>
    <definedName name="_Parse_In" localSheetId="5" hidden="1">#REF!</definedName>
    <definedName name="_Parse_In" hidden="1">#REF!</definedName>
    <definedName name="_Parse_Out" localSheetId="5" hidden="1">#REF!</definedName>
    <definedName name="_Parse_Out" hidden="1">#REF!</definedName>
    <definedName name="_PL3" localSheetId="11" hidden="1">{"'Sheet1'!$L$16"}</definedName>
    <definedName name="_PL3" localSheetId="5" hidden="1">{"'Sheet1'!$L$16"}</definedName>
    <definedName name="_PL3" localSheetId="6" hidden="1">{"'Sheet1'!$L$16"}</definedName>
    <definedName name="_PL3" hidden="1">{"'Sheet1'!$L$16"}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Sort" localSheetId="5" hidden="1">#REF!</definedName>
    <definedName name="_Sort" localSheetId="6" hidden="1">#REF!</definedName>
    <definedName name="_Sort" hidden="1">#REF!</definedName>
    <definedName name="_T01" hidden="1">#REF!</definedName>
    <definedName name="_Table1_In1" localSheetId="6" hidden="1">#REF!</definedName>
    <definedName name="_Table1_In1" hidden="1">#REF!</definedName>
    <definedName name="_Table1_Out" localSheetId="6" hidden="1">#REF!</definedName>
    <definedName name="_Table1_Out" hidden="1">#REF!</definedName>
    <definedName name="_Table2_In1" localSheetId="6" hidden="1">#REF!</definedName>
    <definedName name="_Table2_In1" hidden="1">#REF!</definedName>
    <definedName name="_Table2_In2" localSheetId="6" hidden="1">#REF!</definedName>
    <definedName name="_Table2_In2" hidden="1">#REF!</definedName>
    <definedName name="_Table2_Out" localSheetId="6" hidden="1">#REF!</definedName>
    <definedName name="_Table2_Out" hidden="1">#REF!</definedName>
    <definedName name="_tm2" localSheetId="11" hidden="1">{#N/A,#N/A,FALSE,"Chi tiÆt"}</definedName>
    <definedName name="_tm2" localSheetId="5" hidden="1">{#N/A,#N/A,FALSE,"Chi tiÆt"}</definedName>
    <definedName name="_tm2" localSheetId="6" hidden="1">{#N/A,#N/A,FALSE,"Chi tiÆt"}</definedName>
    <definedName name="_tm2" hidden="1">{#N/A,#N/A,FALSE,"Chi tiÆt"}</definedName>
    <definedName name="_tr" hidden="1">#REF!</definedName>
    <definedName name="_ww2" localSheetId="11" hidden="1">{#N/A,#N/A,FALSE,"Admin";#N/A,#N/A,FALSE,"Other"}</definedName>
    <definedName name="_ww2" localSheetId="5" hidden="1">{#N/A,#N/A,FALSE,"Admin";#N/A,#N/A,FALSE,"Other"}</definedName>
    <definedName name="_ww2" localSheetId="6" hidden="1">{#N/A,#N/A,FALSE,"Admin";#N/A,#N/A,FALSE,"Other"}</definedName>
    <definedName name="_ww2" hidden="1">{#N/A,#N/A,FALSE,"Admin";#N/A,#N/A,FALSE,"Other"}</definedName>
    <definedName name="â" localSheetId="11" hidden="1">{"'Sheet1'!$L$16"}</definedName>
    <definedName name="â" localSheetId="5" hidden="1">{"'Sheet1'!$L$16"}</definedName>
    <definedName name="â" localSheetId="6" hidden="1">{"'Sheet1'!$L$16"}</definedName>
    <definedName name="â" hidden="1">{"'Sheet1'!$L$16"}</definedName>
    <definedName name="AA" localSheetId="11" hidden="1">{"F3 detail",#N/A,FALSE,"F1";"F3 Presentation",#N/A,FALSE,"F3 "}</definedName>
    <definedName name="AA" localSheetId="6" hidden="1">{"F3 detail",#N/A,FALSE,"F1";"F3 Presentation",#N/A,FALSE,"F3 "}</definedName>
    <definedName name="AA" hidden="1">{"F3 detail",#N/A,FALSE,"F1";"F3 Presentation",#N/A,FALSE,"F3 "}</definedName>
    <definedName name="aaa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localSheetId="11" hidden="1">{"Profit",#N/A,FALSE,"448k";"Capital",#N/A,FALSE,"448k"}</definedName>
    <definedName name="aaaaa" localSheetId="6" hidden="1">{"Profit",#N/A,FALSE,"448k";"Capital",#N/A,FALSE,"448k"}</definedName>
    <definedName name="aaaaa" hidden="1">{"Profit",#N/A,FALSE,"448k";"Capital",#N/A,FALSE,"448k"}</definedName>
    <definedName name="AAAAAAAAAAAAA" hidden="1">#REF!</definedName>
    <definedName name="AccessOpt" hidden="1">"Yes"</definedName>
    <definedName name="anscount" hidden="1">2</definedName>
    <definedName name="AS2DocOpenMode" hidden="1">"AS2DocumentEdit"</definedName>
    <definedName name="asdf" hidden="1">#REF!</definedName>
    <definedName name="ass" localSheetId="11" hidden="1">{"revable",#N/A,FALSE,"REVABLE"}</definedName>
    <definedName name="ass" hidden="1">{"revable",#N/A,FALSE,"REVABLE"}</definedName>
    <definedName name="banking1" localSheetId="11" hidden="1">{"'Sheet1'!$L$16"}</definedName>
    <definedName name="banking1" localSheetId="5" hidden="1">{"'Sheet1'!$L$16"}</definedName>
    <definedName name="banking1" localSheetId="6" hidden="1">{"'Sheet1'!$L$16"}</definedName>
    <definedName name="banking1" hidden="1">{"'Sheet1'!$L$16"}</definedName>
    <definedName name="BBB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i" localSheetId="11" hidden="1">{"HK PR",#N/A,FALSE,"HK";"SUMMARY",#N/A,FALSE,"PAYROLL";"SUMMARY",#N/A,FALSE,"PAYROLL";"HK PR",#N/A,FALSE,"HK"}</definedName>
    <definedName name="bi" localSheetId="5" hidden="1">{"HK PR",#N/A,FALSE,"HK";"SUMMARY",#N/A,FALSE,"PAYROLL";"SUMMARY",#N/A,FALSE,"PAYROLL";"HK PR",#N/A,FALSE,"HK"}</definedName>
    <definedName name="bi" localSheetId="6" hidden="1">{"HK PR",#N/A,FALSE,"HK";"SUMMARY",#N/A,FALSE,"PAYROLL";"SUMMARY",#N/A,FALSE,"PAYROLL";"HK PR",#N/A,FALSE,"HK"}</definedName>
    <definedName name="bi" hidden="1">{"HK PR",#N/A,FALSE,"HK";"SUMMARY",#N/A,FALSE,"PAYROLL";"SUMMARY",#N/A,FALSE,"PAYROLL";"HK PR",#N/A,FALSE,"HK"}</definedName>
    <definedName name="bieudo" localSheetId="11" hidden="1">{"'Sheet1'!$L$16"}</definedName>
    <definedName name="bieudo" localSheetId="6" hidden="1">{"'Sheet1'!$L$16"}</definedName>
    <definedName name="bieudo" hidden="1">{"'Sheet1'!$L$16"}</definedName>
    <definedName name="bieudo1" localSheetId="11" hidden="1">{"'Sheet1'!$L$16"}</definedName>
    <definedName name="bieudo1" localSheetId="6" hidden="1">{"'Sheet1'!$L$16"}</definedName>
    <definedName name="bieudo1" hidden="1">{"'Sheet1'!$L$16"}</definedName>
    <definedName name="binh1" localSheetId="11" hidden="1">{"'Sheet1'!$L$16"}</definedName>
    <definedName name="binh1" localSheetId="6" hidden="1">{"'Sheet1'!$L$16"}</definedName>
    <definedName name="binh1" hidden="1">{"'Sheet1'!$L$16"}</definedName>
    <definedName name="BO005BDC81E98343A093AADEF94EB59FAF" hidden="1">#REF!</definedName>
    <definedName name="BO00D8F3CF7CD2475BB9B1385DA290D0F5" hidden="1">#REF!</definedName>
    <definedName name="BO01D0E16CBD0C473996504B44510A2B25" localSheetId="6" hidden="1">#REF!</definedName>
    <definedName name="BO01D0E16CBD0C473996504B44510A2B25" hidden="1">#REF!</definedName>
    <definedName name="BO02DC581C85D44A4389CC4C44151E1DB0" hidden="1">#REF!</definedName>
    <definedName name="BO048C4D3FE93F49AA8198D2880A899608" localSheetId="6" hidden="1">#REF!</definedName>
    <definedName name="BO048C4D3FE93F49AA8198D2880A899608" hidden="1">#REF!</definedName>
    <definedName name="BO05995E7AB6704082ADAB4A0B58C5CEEF" hidden="1">#REF!</definedName>
    <definedName name="BO069278A1412F47DE85C43EB68CAF717F" hidden="1">#REF!</definedName>
    <definedName name="BO0789E5305658448CB66B462D6CE4F4BA" hidden="1">#REF!</definedName>
    <definedName name="BO08108BE3901A43B4BB727284F0DE1350" hidden="1">#REF!</definedName>
    <definedName name="BO096CE2A90C4A41B5B366879C41DFCDAA" hidden="1">#REF!</definedName>
    <definedName name="BO099F887F9C5F4068BA6B8F1084394257" localSheetId="6" hidden="1">#REF!</definedName>
    <definedName name="BO099F887F9C5F4068BA6B8F1084394257" hidden="1">#REF!</definedName>
    <definedName name="BO09B01FBE487D42169A0B01DC62FE7DDC" localSheetId="6" hidden="1">#REF!</definedName>
    <definedName name="BO09B01FBE487D42169A0B01DC62FE7DDC" hidden="1">#REF!</definedName>
    <definedName name="BO09C3E790E8D9462BAE7754E47C08E4E9" localSheetId="6" hidden="1">#REF!</definedName>
    <definedName name="BO09C3E790E8D9462BAE7754E47C08E4E9" hidden="1">#REF!</definedName>
    <definedName name="BO0C6EB03FCF5943CFBD625011881D07ED" hidden="1">#REF!</definedName>
    <definedName name="BO0DBD8E3011484F65BB422F97E0DD5E0F" hidden="1">#REF!</definedName>
    <definedName name="BO0E1E2F80FC8D4C0DB3564683D16EEFC1" localSheetId="6" hidden="1">#REF!</definedName>
    <definedName name="BO0E1E2F80FC8D4C0DB3564683D16EEFC1" hidden="1">#REF!</definedName>
    <definedName name="BO0F40139F378C4754978E7B648F5EF76C" hidden="1">#REF!</definedName>
    <definedName name="BO100DAFF26E56419D9A8CFC5AE2565CB4" localSheetId="6" hidden="1">#REF!</definedName>
    <definedName name="BO100DAFF26E56419D9A8CFC5AE2565CB4" hidden="1">#REF!</definedName>
    <definedName name="BO1011EFDB7313475AB25630C77E2CD7FB" hidden="1">#REF!</definedName>
    <definedName name="BO10494918D7FB4CDC81288D2F49DA6940" hidden="1">#REF!</definedName>
    <definedName name="BO107CF8CCC73047BAA48A0F3417125FB3" hidden="1">#REF!</definedName>
    <definedName name="BO113AADB3EE164AB287BD823572C08C85" hidden="1">#REF!</definedName>
    <definedName name="BO113DBA7EFF8042ED8AB3ECF88DF64EDF" hidden="1">#REF!</definedName>
    <definedName name="BO113E1DCC2AFC49139CF1B61A6B72D8D0" hidden="1">#REF!</definedName>
    <definedName name="BO115150121C404B92B8292215FD47A676" hidden="1">#REF!</definedName>
    <definedName name="BO142B466C524B45059DA17FB555951F6C" hidden="1">#REF!</definedName>
    <definedName name="BO195858CCF4FE4B8BB30D59A947338D91" hidden="1">#REF!</definedName>
    <definedName name="BO1B5944B18CAE4F4EA64888896EA98CE3" hidden="1">#REF!</definedName>
    <definedName name="BO1B88135960FA42718BA4F85F97379171" hidden="1">#REF!</definedName>
    <definedName name="BO1BB6877A87E34858B9490BC9C17E86A9" hidden="1">#REF!</definedName>
    <definedName name="BO1BD3FB86C9A0455BB37599C94BB564CE" localSheetId="6" hidden="1">#REF!</definedName>
    <definedName name="BO1BD3FB86C9A0455BB37599C94BB564CE" hidden="1">#REF!</definedName>
    <definedName name="BO1FCF13EA22DA4A34A96BB43C0482914C" hidden="1">#REF!</definedName>
    <definedName name="BO225AD737FABD40FEB1BD400F18DAFD79" hidden="1">#REF!</definedName>
    <definedName name="BO23C787C3A9AF4D63ADA1DC818379D5A3" hidden="1">#REF!</definedName>
    <definedName name="BO24A8918ECB1C4B1EAAC4F1A0663C1145" hidden="1">#REF!</definedName>
    <definedName name="BO24BA25EDB1A44A8E8DBB72F1D4D29577" hidden="1">#REF!</definedName>
    <definedName name="BO260C75EB0FE34E039A2639B39BA79B3D" hidden="1">#REF!</definedName>
    <definedName name="BO2672883EFAC5493481EFB4B31BDD63E6" localSheetId="6" hidden="1">#REF!</definedName>
    <definedName name="BO2672883EFAC5493481EFB4B31BDD63E6" hidden="1">#REF!</definedName>
    <definedName name="BO276A19D8C2B04DC29C9152E8680B3A3A" localSheetId="6" hidden="1">#REF!</definedName>
    <definedName name="BO276A19D8C2B04DC29C9152E8680B3A3A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EA5B2BE6EF4D02A0D124032B2C74A3" hidden="1">#REF!</definedName>
    <definedName name="BO2BA86B254A414DDB8F10CD94B5839C2C" hidden="1">#REF!</definedName>
    <definedName name="BO2C8C60696A424B1EACBBFDDE272D0A50" hidden="1">#REF!</definedName>
    <definedName name="BO2C9B63E184774916BE8749B98B8AE796" localSheetId="6" hidden="1">#REF!</definedName>
    <definedName name="BO2C9B63E184774916BE8749B98B8AE796" hidden="1">#REF!</definedName>
    <definedName name="BO2DDB0BD841F340A8880296264AC1AD09" hidden="1">#REF!</definedName>
    <definedName name="BO2EC6D26CDEB347D78EAE0F11E5C52867" hidden="1">#REF!</definedName>
    <definedName name="BO2FB9B240E0EA492F83769264D9892D15" hidden="1">#REF!</definedName>
    <definedName name="BO3289F49EFC034457B8AB42EB6E44BB67" hidden="1">#REF!</definedName>
    <definedName name="BO33D5D2E635444CE09A98AAF2ADA7433D" hidden="1">#REF!</definedName>
    <definedName name="BO35264F09D5384B21A7EBC93B5F190AEB" hidden="1">#REF!</definedName>
    <definedName name="BO3728122716B1408E8B7F370B9BBFDADD" localSheetId="6" hidden="1">#REF!</definedName>
    <definedName name="BO3728122716B1408E8B7F370B9BBFDADD" hidden="1">#REF!</definedName>
    <definedName name="BO375D335D9054414FAE3AF4C765CD8FED" hidden="1">#REF!</definedName>
    <definedName name="BO37987DC4E7E64BA0A01C92162B351132" hidden="1">#REF!</definedName>
    <definedName name="BO37A8522087C146439B47E95567DA2B00" localSheetId="6" hidden="1">#REF!</definedName>
    <definedName name="BO37A8522087C146439B47E95567DA2B00" hidden="1">#REF!</definedName>
    <definedName name="BO38ACFF41E1054C7884A26494448FE045" hidden="1">#REF!</definedName>
    <definedName name="BO3909BFA3143A4B58B6B8CEB581E9528C" localSheetId="6" hidden="1">#REF!</definedName>
    <definedName name="BO3909BFA3143A4B58B6B8CEB581E9528C" hidden="1">#REF!</definedName>
    <definedName name="BO3B6144B377CE45D39F7399D88759882F" hidden="1">#REF!</definedName>
    <definedName name="BO3C82848169FA4D11A8672F7A9FE72C51" hidden="1">#REF!</definedName>
    <definedName name="BO3CCC9B2BC38C4D488D8B1493A73B781B" hidden="1">#REF!</definedName>
    <definedName name="BO3D4564B23F3B4C9895009145888A42D0" hidden="1">#REF!</definedName>
    <definedName name="BO3E0B648F64D242B6B9E0CABA98A66A26" hidden="1">#REF!</definedName>
    <definedName name="BO4057EC314CEC47798B0627DC202DE337" localSheetId="6" hidden="1">#REF!</definedName>
    <definedName name="BO4057EC314CEC47798B0627DC202DE337" hidden="1">#REF!</definedName>
    <definedName name="BO4325C4CE5A6A40EDB239CE3FEA93D616" localSheetId="6" hidden="1">#REF!</definedName>
    <definedName name="BO4325C4CE5A6A40EDB239CE3FEA93D616" hidden="1">#REF!</definedName>
    <definedName name="BO434317F8DA9741658242E88E107EFF2F" hidden="1">#REF!</definedName>
    <definedName name="BO448A7EE0DCBB4BDF9A056D395A4E5D46" hidden="1">#REF!</definedName>
    <definedName name="BO4654F35AE4A94B88914D5564F493E506" hidden="1">#REF!</definedName>
    <definedName name="BO48158C876A054053A8BF1B1066B5769F" hidden="1">#REF!</definedName>
    <definedName name="BO481EEF2746434CA3955011739E810936" hidden="1">#REF!</definedName>
    <definedName name="BO492FF71352564A0B906D969350494321" hidden="1">#REF!</definedName>
    <definedName name="BO4989BD6C49D9472F9577212E5508BA42" hidden="1">#REF!</definedName>
    <definedName name="BO4AAF3ED43D1F4BA0A617F05B5FA98022" localSheetId="6" hidden="1">#REF!</definedName>
    <definedName name="BO4AAF3ED43D1F4BA0A617F05B5FA98022" hidden="1">#REF!</definedName>
    <definedName name="BO4B85FA2CA3EB4164B387DE75A013145C" hidden="1">#REF!</definedName>
    <definedName name="BO4CBA748CA1904ABEAC4916C51F3632CD" hidden="1">#REF!</definedName>
    <definedName name="BO4D312C5249F84A419336714CC3247A5D" hidden="1">#REF!</definedName>
    <definedName name="BO4DD3E06B30D0453591537146FB44B655" hidden="1">#REF!</definedName>
    <definedName name="BO5060B8055B22479FB2B032CFBC156B9A" hidden="1">#REF!</definedName>
    <definedName name="BO5124F12717414DAC96ABA4A8269ECB84" hidden="1">#REF!</definedName>
    <definedName name="BO51F608F52D8F4C42869432170B976399" hidden="1">#REF!</definedName>
    <definedName name="BO535460E4AB39414AB1F623062720C048" hidden="1">#REF!</definedName>
    <definedName name="BO53C1AD7020A246D19C492B988C284605" hidden="1">#REF!</definedName>
    <definedName name="BO54DB55663F334C03B8ADD851DEA5C745" hidden="1">#REF!</definedName>
    <definedName name="BO5625EF84032E4129A4F1C26C707CB6A3" hidden="1">#REF!</definedName>
    <definedName name="BO563FCE97DF97426EB7D91F44C76515D6" hidden="1">#REF!</definedName>
    <definedName name="BO58B0760CD8F245CEA3CCE06D7CF1481E" hidden="1">#REF!</definedName>
    <definedName name="BO58C4AC72229D4A05A6B102FC5BA2C9B0" hidden="1">#REF!</definedName>
    <definedName name="BO590F0D7F6F8D46C29B2EED8932DD87BD" hidden="1">#REF!</definedName>
    <definedName name="BO59D768DCFA394415A9FA22D804593B67" hidden="1">#REF!</definedName>
    <definedName name="BO5C902D60CF47456FA169B1087280482B" localSheetId="6" hidden="1">#REF!</definedName>
    <definedName name="BO5C902D60CF47456FA169B1087280482B" hidden="1">#REF!</definedName>
    <definedName name="BO5C93DD374DC2423B967014357CA2D571" hidden="1">#REF!</definedName>
    <definedName name="BO5D05E09EECF5457DA33727FC8D15191F" hidden="1">#REF!</definedName>
    <definedName name="BO5D45774D31BA47B8AE1E174DE6B88DC5" localSheetId="6" hidden="1">#REF!</definedName>
    <definedName name="BO5D45774D31BA47B8AE1E174DE6B88DC5" hidden="1">#REF!</definedName>
    <definedName name="BO5D9DFDE61A224480A6661F17796BBA5F" hidden="1">#REF!</definedName>
    <definedName name="BO5E15162F9C004ABAA5599FEAD7B0B618" localSheetId="6" hidden="1">#REF!</definedName>
    <definedName name="BO5E15162F9C004ABAA5599FEAD7B0B618" hidden="1">#REF!</definedName>
    <definedName name="BO5EB0027199674D819EBA32CE0557D9DA" hidden="1">#REF!</definedName>
    <definedName name="BO627607EF9B44464A878AD3A742DE38FE" hidden="1">#REF!</definedName>
    <definedName name="BO63ED429219D8463DABEF3E421AFA5D2E" hidden="1">#REF!</definedName>
    <definedName name="BO6469F20DC373405B993702B81D5913A5" hidden="1">#REF!</definedName>
    <definedName name="BO650C13AE83C343EBACC8BB1D5111021D" hidden="1">#REF!</definedName>
    <definedName name="BO65A8281E60C44053BCA2C62905C7294C" localSheetId="6" hidden="1">#REF!</definedName>
    <definedName name="BO65A8281E60C44053BCA2C62905C7294C" hidden="1">#REF!</definedName>
    <definedName name="BO67533EA6D04240D48B3A9395CDECDB8D" localSheetId="6" hidden="1">#REF!</definedName>
    <definedName name="BO67533EA6D04240D48B3A9395CDECDB8D" hidden="1">#REF!</definedName>
    <definedName name="BO68983402BEF841C6A14B8790F2BB14F3" hidden="1">#REF!</definedName>
    <definedName name="BO6918ADAA8D3B4DDAB0A5DA0166130D2D" hidden="1">#REF!</definedName>
    <definedName name="BO693FC971D6ED4A55A86888919A9DB0CF" hidden="1">#REF!</definedName>
    <definedName name="BO69BDD9E0EAF141A0AE757EC95ED2148A" hidden="1">#REF!</definedName>
    <definedName name="BO69FC4A14559D4FC7A82396779DCCF87F" hidden="1">#REF!</definedName>
    <definedName name="BO6AD23BDF244147F8AF7DA4DDD31EE46C" hidden="1">#REF!</definedName>
    <definedName name="BO6B2CF716FD1A4BC3928BCB0EC72E3B0D" hidden="1">#REF!</definedName>
    <definedName name="BO6B9770CD5DD64888A71AF866E1317654" hidden="1">#REF!</definedName>
    <definedName name="BO6CAC87F339424FCBA71C90521188D9F3" hidden="1">#REF!</definedName>
    <definedName name="BO6D170E9FBADE4FC38A06EEAB1545E1EA" hidden="1">#REF!</definedName>
    <definedName name="BO6F3A5D1BC4944DBFBC8CE1F552DF33DA" hidden="1">#REF!</definedName>
    <definedName name="BO6F5267EB45D64C5F926243284B69BCA6" hidden="1">#REF!</definedName>
    <definedName name="BO6FC857D8CD534A2BBA93AA618401DDF0" hidden="1">#REF!</definedName>
    <definedName name="BO7061C029DB7E4C3CB5AA4DDE2460392C" hidden="1">#REF!</definedName>
    <definedName name="BO71A1222E47594EE5868DB4CC220999C8" hidden="1">#REF!</definedName>
    <definedName name="BO720382D08E8E4C7CA64CA1B2D5DF0FB5" hidden="1">#REF!</definedName>
    <definedName name="BO7307D59A4B214EAE86562607C85423E4" hidden="1">#REF!</definedName>
    <definedName name="BO733E15FC2902430994339FF32CD32B87" localSheetId="6" hidden="1">#REF!</definedName>
    <definedName name="BO733E15FC2902430994339FF32CD32B87" hidden="1">#REF!</definedName>
    <definedName name="BO760478BC3AC541D48B8B653180858CA8" hidden="1">#REF!</definedName>
    <definedName name="BO7700E20E746149E291ACCD677C9D0766" hidden="1">#REF!</definedName>
    <definedName name="BO7764E7B14F1F4E928E4376007F22ABAF" hidden="1">#REF!</definedName>
    <definedName name="BO78B26688225A431E92C72662FBF21F94" hidden="1">#REF!</definedName>
    <definedName name="BO7A14BDFD5B2841A8BDFFCCE11C18BE90" hidden="1">#REF!</definedName>
    <definedName name="BO7A77E7DD81CB4CC68FEEABE2F3743C94" hidden="1">#REF!</definedName>
    <definedName name="BO7C7DABCD75A7494CA0243D508880E90D" hidden="1">#REF!</definedName>
    <definedName name="BO7CB713453E414A90B10F3550A0F253EC" hidden="1">#REF!</definedName>
    <definedName name="BO7D74CA4352B94CADA69060B858A229A7" hidden="1">#REF!</definedName>
    <definedName name="BO8140CB8CB4934D52A45138EFCF43482F" hidden="1">#REF!</definedName>
    <definedName name="BO81EB4DF8F6194B6D99943B71E32D1F8E" hidden="1">#REF!</definedName>
    <definedName name="BO849DAABD57DE400C976DE83FBD70852D" hidden="1">#REF!</definedName>
    <definedName name="BO86D1438E23664D2B9FCD09512F3A93F8" hidden="1">#REF!</definedName>
    <definedName name="BO8703EEC12706416FB6ED04E179922738" hidden="1">#REF!</definedName>
    <definedName name="BO879CBD59307A43159AF2A4CED84C7472" hidden="1">#REF!</definedName>
    <definedName name="BO8B0E799EB2E747E08CC00A5CB7983720" hidden="1">#REF!</definedName>
    <definedName name="BO8C2C15F699E14EDC94E42D4D15367A0D" hidden="1">#REF!</definedName>
    <definedName name="BO8CC5B39B3E324C918A32819C9A07A727" hidden="1">#REF!</definedName>
    <definedName name="BO8D4A19F885E642D98251152558F518D0" hidden="1">#REF!</definedName>
    <definedName name="BO8E9F198DEB16434A9D0753A88CDF5215" hidden="1">#REF!</definedName>
    <definedName name="BO8F69E36AA533438FB255DE448D2F78C1" localSheetId="6" hidden="1">#REF!</definedName>
    <definedName name="BO8F69E36AA533438FB255DE448D2F78C1" hidden="1">#REF!</definedName>
    <definedName name="BO8FB6EDE92460437DB46269B760A9FF87" hidden="1">#REF!</definedName>
    <definedName name="BO904BCFDAB4C44A96A1BAD24E7B5C4CFB" localSheetId="6" hidden="1">#REF!</definedName>
    <definedName name="BO904BCFDAB4C44A96A1BAD24E7B5C4CFB" hidden="1">#REF!</definedName>
    <definedName name="BO91B1C71622B84DC09FCF82790CCC6703" localSheetId="6" hidden="1">#REF!</definedName>
    <definedName name="BO91B1C71622B84DC09FCF82790CCC6703" hidden="1">#REF!</definedName>
    <definedName name="BO9268349F1CCF49DEB0561574CF57C558" localSheetId="6" hidden="1">#REF!</definedName>
    <definedName name="BO9268349F1CCF49DEB0561574CF57C558" hidden="1">#REF!</definedName>
    <definedName name="BO930FD1E9B9EB478BBAD94346BAE68338" hidden="1">#REF!</definedName>
    <definedName name="BO93E74F3970FD46C489BC2A92AE9C7404" hidden="1">#REF!</definedName>
    <definedName name="BO94ACFBA87DCA4A049A7A7B2CF5A0099B" hidden="1">#REF!</definedName>
    <definedName name="BO985BAF614F20419688C24910DA7EDD6A" hidden="1">#REF!</definedName>
    <definedName name="BO99F730DA3CE3438682559D78DBEB1137" hidden="1">#REF!</definedName>
    <definedName name="BO9A2A567F0CC545CC9043BF9A4C5F101F" hidden="1">#REF!</definedName>
    <definedName name="BO9B3B4252A5054C8AA9BB04D57CE43C60" hidden="1">#REF!</definedName>
    <definedName name="BO9B3B6F3CBDDD4CB0B98E9DAC2E6DFBB4" hidden="1">#REF!</definedName>
    <definedName name="BO9B9AF7C9673C48CD8E8EAE4AC4E281CA" hidden="1">#REF!</definedName>
    <definedName name="BO9BCF658BBEEB42C89189AA47132AC73A" hidden="1">#REF!</definedName>
    <definedName name="BO9DBFA7A314A14358A1BDB1236CC63047" hidden="1">#REF!</definedName>
    <definedName name="BO9F8DFCDB096345B68BCF462FC11B9706" hidden="1">#REF!</definedName>
    <definedName name="BO9FDB53228D304274A31FEEB51F85A06C" hidden="1">#REF!</definedName>
    <definedName name="BOA12F3EEDA20B4FD9B8C4F5748C7E15C6" localSheetId="6" hidden="1">#REF!</definedName>
    <definedName name="BOA12F3EEDA20B4FD9B8C4F5748C7E15C6" hidden="1">#REF!</definedName>
    <definedName name="BOA1352C67E57F45F18A3132F095B04042" hidden="1">#REF!</definedName>
    <definedName name="BOA3C4CE09FB0449E9B7E9CA671975ACCF" hidden="1">#REF!</definedName>
    <definedName name="BOA57BAACC082A40159BEF18E4E3DB2ACD" hidden="1">#REF!</definedName>
    <definedName name="BOA71E9E0A6B654860B10DCBA2CFBBCEE1" hidden="1">#REF!</definedName>
    <definedName name="BOA879FFE6ECBE4F8ABCD12D7BCBA427F4" hidden="1">#REF!</definedName>
    <definedName name="BOA8B6E7E580EC46D5A167ECCE259105F9" hidden="1">#REF!</definedName>
    <definedName name="BOA8D1E2E64BB645C680E24AB89AEDFCE3" hidden="1">#REF!</definedName>
    <definedName name="BOAAB11C84339D4299BFC1AA6D04698F2A" localSheetId="6" hidden="1">#REF!</definedName>
    <definedName name="BOAAB11C84339D4299BFC1AA6D04698F2A" hidden="1">#REF!</definedName>
    <definedName name="BOAC589E242BED4D2782DB5354106024F8" hidden="1">#REF!</definedName>
    <definedName name="BOAC99D26F3C3749C0B07E837B64380195" hidden="1">#REF!</definedName>
    <definedName name="BOAD616A0644E843968166BAAF341567A8" hidden="1">#REF!</definedName>
    <definedName name="BOAE62644DF78A4A79879DE7E6C0CC7E80" hidden="1">#REF!</definedName>
    <definedName name="BOAECC4E2710DA49978423665B98EFB884" hidden="1">#REF!</definedName>
    <definedName name="BOAF8E97A633AE4FB7BA6538C295FFDAB0" hidden="1">#REF!</definedName>
    <definedName name="BOB2121768159748418F929263EFA12598" hidden="1">#REF!</definedName>
    <definedName name="BOB49D75FC4F944B8BA43274A1AC9F7C6C" hidden="1">#REF!</definedName>
    <definedName name="BOB596E9268DED478AB9C99865ADF4A688" hidden="1">#REF!</definedName>
    <definedName name="BOB61F1D7767114687812A69756748869E" localSheetId="6" hidden="1">#REF!</definedName>
    <definedName name="BOB61F1D7767114687812A69756748869E" hidden="1">#REF!</definedName>
    <definedName name="BOB6870DB4AF074130A54E1277C2C63A76" hidden="1">#REF!</definedName>
    <definedName name="BOBAE47B872A5345298D6CFC1292FF0229" hidden="1">#REF!</definedName>
    <definedName name="BOBB2CD22C468846029AA7E79B86A82CEF" hidden="1">#REF!</definedName>
    <definedName name="BOBC7C71DE64364CBC9244EA234BE295B4" hidden="1">#REF!</definedName>
    <definedName name="BOBD17ACF591A04BA2A7F3EA73A1F5EFD0" localSheetId="6" hidden="1">#REF!</definedName>
    <definedName name="BOBD17ACF591A04BA2A7F3EA73A1F5EFD0" hidden="1">#REF!</definedName>
    <definedName name="BOBE9E067C7210472B81073CBDC8230580" localSheetId="6" hidden="1">#REF!</definedName>
    <definedName name="BOBE9E067C7210472B81073CBDC8230580" hidden="1">#REF!</definedName>
    <definedName name="BOBEA7B5BBB87048D49DF67B697A931813" hidden="1">#REF!</definedName>
    <definedName name="BOC156AACB264943ED8DE9584787C81FE3" hidden="1">#REF!</definedName>
    <definedName name="BOC2A368458B8C466A8EAB350D814B6553" hidden="1">#REF!</definedName>
    <definedName name="BOC4A6BB89CD2B435293F191D82C0F58C9" hidden="1">#REF!</definedName>
    <definedName name="BOC54204551F1D42B9BD6174DBDD9D741F" hidden="1">#REF!</definedName>
    <definedName name="BOC5B50A3B093A4281A75D4209F6A75893" hidden="1">#REF!</definedName>
    <definedName name="BOC5FB79A4E3E540F8AE42FE861B1410EC" hidden="1">#REF!</definedName>
    <definedName name="BOC96D8191DBAE4D6183DEA37F46B8436D" hidden="1">#REF!</definedName>
    <definedName name="BOCCF334A9BDB64C2697AE9352A937B6E5" localSheetId="6" hidden="1">#REF!</definedName>
    <definedName name="BOCCF334A9BDB64C2697AE9352A937B6E5" hidden="1">#REF!</definedName>
    <definedName name="BOCDED67C8566647ED9C954DE6FCEBFBFF" hidden="1">#REF!</definedName>
    <definedName name="BOD0382903153C4298A06C72FB4C2F82BC" localSheetId="6" hidden="1">#REF!</definedName>
    <definedName name="BOD0382903153C4298A06C72FB4C2F82BC" hidden="1">#REF!</definedName>
    <definedName name="BOD14638B491F746CA808EE455711E2DFA" hidden="1">#REF!</definedName>
    <definedName name="BOD3AC1AE62968479AA5A373821C711DA4" hidden="1">#REF!</definedName>
    <definedName name="BOD4D26CA1C52F43BDBE4F64A3B560F6ED" localSheetId="6" hidden="1">#REF!</definedName>
    <definedName name="BOD4D26CA1C52F43BDBE4F64A3B560F6ED" hidden="1">#REF!</definedName>
    <definedName name="BOD5FBDB6792ED490294B58B91280CB793" hidden="1">#REF!</definedName>
    <definedName name="BOD7619C4CBE234EA9ACB18176025ACAF4" hidden="1">#REF!</definedName>
    <definedName name="BOD789790B96514DC59042719B5805E3D6" localSheetId="6" hidden="1">#REF!</definedName>
    <definedName name="BOD789790B96514DC59042719B5805E3D6" hidden="1">#REF!</definedName>
    <definedName name="BODCACB442AFF147DA8534A6D75C35399F" hidden="1">#REF!</definedName>
    <definedName name="BODEC00C0FE625435EAB16BBF3CF5423FA" hidden="1">#REF!</definedName>
    <definedName name="BODFAFE6B7B5DD494DA46E02F336EB4451" hidden="1">#REF!</definedName>
    <definedName name="BOE026125E78E5458981F88E04737F5FDD" hidden="1">#REF!</definedName>
    <definedName name="BOE51DFD1C9562469194F32690B232F3D3" hidden="1">#REF!</definedName>
    <definedName name="BOE798598350E04FBFAF7A6A194F1568BE" hidden="1">#REF!</definedName>
    <definedName name="BOE84FCC406C184191AFE42CCF04997FEE" localSheetId="6" hidden="1">#REF!</definedName>
    <definedName name="BOE84FCC406C184191AFE42CCF04997FEE" hidden="1">#REF!</definedName>
    <definedName name="BOE8C9C3ED265B48589109A08A9505A1D1" localSheetId="6" hidden="1">#REF!</definedName>
    <definedName name="BOE8C9C3ED265B48589109A08A9505A1D1" hidden="1">#REF!</definedName>
    <definedName name="BOEAFDF322262145CB86BF48DC1DB6B5A2" localSheetId="6" hidden="1">#REF!</definedName>
    <definedName name="BOEAFDF322262145CB86BF48DC1DB6B5A2" hidden="1">#REF!</definedName>
    <definedName name="BOEB217BD039004C72ABA77A436DA8A424" hidden="1">#REF!</definedName>
    <definedName name="BOEF3940E6E677491BAE23FF17364EF17E" hidden="1">#REF!</definedName>
    <definedName name="BOEFFA9E855A8D4352994E68849AF48905" hidden="1">#REF!</definedName>
    <definedName name="BOF02333F78A05422AA5A1F733A8834CD6" hidden="1">#REF!</definedName>
    <definedName name="BOF0CBC11E611C46CAA732EB2558A413AB" hidden="1">#REF!</definedName>
    <definedName name="BOF0DBB60FBA7B487483C6404113C66C6E" hidden="1">#REF!</definedName>
    <definedName name="BOF15E20C21B1C4680B293AE7291F7DD0F" hidden="1">#REF!</definedName>
    <definedName name="BOF28675E81D624568B83E5006EE4DAB41" hidden="1">#REF!</definedName>
    <definedName name="BOF2EBB03F32CB43D982795A06A0CE7F14" localSheetId="6" hidden="1">#REF!</definedName>
    <definedName name="BOF2EBB03F32CB43D982795A06A0CE7F14" hidden="1">#REF!</definedName>
    <definedName name="BOF37F793DBD86486CB8F124C4A5B4790A" hidden="1">#REF!</definedName>
    <definedName name="BOF3F8EC36F0584B21B040E4FAE9B8810F" localSheetId="6" hidden="1">#REF!</definedName>
    <definedName name="BOF3F8EC36F0584B21B040E4FAE9B8810F" hidden="1">#REF!</definedName>
    <definedName name="BOF4F541C0A6C94B61A4CE373A6C565169" hidden="1">#REF!</definedName>
    <definedName name="BOF5497173AE06489E9550275FB325A5AD" hidden="1">#REF!</definedName>
    <definedName name="BOF6AE8BD0902148AA869657E40D971E11" hidden="1">#REF!</definedName>
    <definedName name="BOF6C9B9EED16443ED8CB7FF99A5DBCC26" localSheetId="6" hidden="1">#REF!</definedName>
    <definedName name="BOF6C9B9EED16443ED8CB7FF99A5DBCC26" hidden="1">#REF!</definedName>
    <definedName name="BOF770BE81EB0647A29E9CE4D634384356" hidden="1">#REF!</definedName>
    <definedName name="BOF7C0B15686234EACBE0FB09FC35AFFF4" hidden="1">#REF!</definedName>
    <definedName name="BOF9A745490A1F4A0695067659AAAB07E4" hidden="1">#REF!</definedName>
    <definedName name="BOFA2F87762DFD484D94075FC95CB64240" hidden="1">#REF!</definedName>
    <definedName name="BOFB8FF5299BAC4A3980A0C9D97B2C2A8F" hidden="1">#REF!</definedName>
    <definedName name="BOFC3CE9B777E942BF8427BC366D3B0A70" localSheetId="6" hidden="1">#REF!</definedName>
    <definedName name="BOFC3CE9B777E942BF8427BC366D3B0A70" hidden="1">#REF!</definedName>
    <definedName name="BOFC9287FB937E45768ACB07545CEEA2D9" hidden="1">#REF!</definedName>
    <definedName name="BOFCBD10D75B584C3B8A3E8226942B145A" hidden="1">#REF!</definedName>
    <definedName name="BOFEBB355536364ED8B2C1BF3DA875F9C0" hidden="1">#REF!</definedName>
    <definedName name="caccccc" localSheetId="11" hidden="1">{"'Sheet1'!$L$16"}</definedName>
    <definedName name="caccccc" localSheetId="6" hidden="1">{"'Sheet1'!$L$16"}</definedName>
    <definedName name="caccccc" hidden="1">{"'Sheet1'!$L$16"}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cc" localSheetId="11" hidden="1">{"PRINT_EST",#N/A,FALSE,"ESTMON"}</definedName>
    <definedName name="ccc" hidden="1">{"PRINT_EST",#N/A,FALSE,"ESTMON"}</definedName>
    <definedName name="CCÑCangdung10.2" localSheetId="11" hidden="1">{"'Sheet1'!$L$16"}</definedName>
    <definedName name="CCÑCangdung10.2" localSheetId="5" hidden="1">{"'Sheet1'!$L$16"}</definedName>
    <definedName name="CCÑCangdung10.2" localSheetId="6" hidden="1">{"'Sheet1'!$L$16"}</definedName>
    <definedName name="CCÑCangdung10.2" hidden="1">{"'Sheet1'!$L$16"}</definedName>
    <definedName name="Chart3" localSheetId="11" hidden="1">{"'Sheet1'!$L$16"}</definedName>
    <definedName name="Chart3" localSheetId="5" hidden="1">{"'Sheet1'!$L$16"}</definedName>
    <definedName name="Chart3" localSheetId="6" hidden="1">{"'Sheet1'!$L$16"}</definedName>
    <definedName name="Chart3" hidden="1">{"'Sheet1'!$L$16"}</definedName>
    <definedName name="Chiphi" localSheetId="11" hidden="1">{"'Sheet1'!$L$16"}</definedName>
    <definedName name="Chiphi" localSheetId="5" hidden="1">{"'Sheet1'!$L$16"}</definedName>
    <definedName name="Chiphi" localSheetId="6" hidden="1">{"'Sheet1'!$L$16"}</definedName>
    <definedName name="Chiphi" hidden="1">{"'Sheet1'!$L$16"}</definedName>
    <definedName name="CIQWBGuid" hidden="1">"31f98984-787e-48fc-adc8-ee1c3151ce60"</definedName>
    <definedName name="Code" localSheetId="5" hidden="1">#REF!</definedName>
    <definedName name="Code" hidden="1">#REF!</definedName>
    <definedName name="CP" localSheetId="11" hidden="1">{"'Sheet1'!$L$16"}</definedName>
    <definedName name="CP" localSheetId="5" hidden="1">{"'Sheet1'!$L$16"}</definedName>
    <definedName name="CP" localSheetId="6" hidden="1">{"'Sheet1'!$L$16"}</definedName>
    <definedName name="CP" hidden="1">{"'Sheet1'!$L$16"}</definedName>
    <definedName name="CT" localSheetId="11" hidden="1">{#N/A,#N/A,TRUE,"BT M200 da 10x20"}</definedName>
    <definedName name="CT" localSheetId="6" hidden="1">{#N/A,#N/A,TRUE,"BT M200 da 10x20"}</definedName>
    <definedName name="CT" hidden="1">{#N/A,#N/A,TRUE,"BT M200 da 10x20"}</definedName>
    <definedName name="d" localSheetId="5" hidden="1">#REF!</definedName>
    <definedName name="d" hidden="1">#REF!</definedName>
    <definedName name="da" localSheetId="11" hidden="1">{"'Sheet1'!$L$16"}</definedName>
    <definedName name="da" localSheetId="6" hidden="1">{"'Sheet1'!$L$16"}</definedName>
    <definedName name="da" hidden="1">{"'Sheet1'!$L$16"}</definedName>
    <definedName name="data1" hidden="1">#REF!</definedName>
    <definedName name="data2" localSheetId="5" hidden="1">#REF!</definedName>
    <definedName name="data2" hidden="1">#REF!</definedName>
    <definedName name="data3" localSheetId="5" hidden="1">#REF!</definedName>
    <definedName name="data3" hidden="1">#REF!</definedName>
    <definedName name="d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d" localSheetId="11" hidden="1">{"'Sheet1'!$L$16"}</definedName>
    <definedName name="ddd" localSheetId="6" hidden="1">{"'Sheet1'!$L$16"}</definedName>
    <definedName name="ddd" hidden="1">{"'Sheet1'!$L$16"}</definedName>
    <definedName name="DenDK" localSheetId="11" hidden="1">{"'Sheet1'!$L$16"}</definedName>
    <definedName name="DenDK" localSheetId="5" hidden="1">{"'Sheet1'!$L$16"}</definedName>
    <definedName name="DenDK" localSheetId="6" hidden="1">{"'Sheet1'!$L$16"}</definedName>
    <definedName name="DenDK" hidden="1">{"'Sheet1'!$L$16"}</definedName>
    <definedName name="deryhrfm" localSheetId="11" hidden="1">{"'Sheet1'!$L$16"}</definedName>
    <definedName name="deryhrfm" localSheetId="6" hidden="1">{"'Sheet1'!$L$16"}</definedName>
    <definedName name="deryhrfm" hidden="1">{"'Sheet1'!$L$16"}</definedName>
    <definedName name="df" localSheetId="5" hidden="1">#REF!</definedName>
    <definedName name="df" hidden="1">#REF!</definedName>
    <definedName name="dfdsfsdfds" localSheetId="11" hidden="1">{"HK PR",#N/A,FALSE,"HK";"SUMMARY",#N/A,FALSE,"PAYROLL";"SUMMARY",#N/A,FALSE,"PAYROLL";"HK PR",#N/A,FALSE,"HK"}</definedName>
    <definedName name="dfdsfsdfds" localSheetId="5" hidden="1">{"HK PR",#N/A,FALSE,"HK";"SUMMARY",#N/A,FALSE,"PAYROLL";"SUMMARY",#N/A,FALSE,"PAYROLL";"HK PR",#N/A,FALSE,"HK"}</definedName>
    <definedName name="dfdsfsdfds" localSheetId="6" hidden="1">{"HK PR",#N/A,FALSE,"HK";"SUMMARY",#N/A,FALSE,"PAYROLL";"SUMMARY",#N/A,FALSE,"PAYROLL";"HK PR",#N/A,FALSE,"HK"}</definedName>
    <definedName name="dfdsfsdfds" hidden="1">{"HK PR",#N/A,FALSE,"HK";"SUMMARY",#N/A,FALSE,"PAYROLL";"SUMMARY",#N/A,FALSE,"PAYROLL";"HK PR",#N/A,FALSE,"HK"}</definedName>
    <definedName name="dfsd" localSheetId="11" hidden="1">{"HK PR",#N/A,FALSE,"HK";"SUMMARY",#N/A,FALSE,"PAYROLL";"SUMMARY",#N/A,FALSE,"PAYROLL";"HK PR",#N/A,FALSE,"HK"}</definedName>
    <definedName name="dfsd" localSheetId="5" hidden="1">{"HK PR",#N/A,FALSE,"HK";"SUMMARY",#N/A,FALSE,"PAYROLL";"SUMMARY",#N/A,FALSE,"PAYROLL";"HK PR",#N/A,FALSE,"HK"}</definedName>
    <definedName name="dfsd" localSheetId="6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localSheetId="11" hidden="1">{"HK PR",#N/A,FALSE,"HK";"SUMMARY",#N/A,FALSE,"PAYROLL";"SUMMARY",#N/A,FALSE,"PAYROLL";"HK PR",#N/A,FALSE,"HK"}</definedName>
    <definedName name="dfsdfsdf" localSheetId="5" hidden="1">{"HK PR",#N/A,FALSE,"HK";"SUMMARY",#N/A,FALSE,"PAYROLL";"SUMMARY",#N/A,FALSE,"PAYROLL";"HK PR",#N/A,FALSE,"HK"}</definedName>
    <definedName name="dfsdfsdf" localSheetId="6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localSheetId="11" hidden="1">{"HK PR",#N/A,FALSE,"HK";"SUMMARY",#N/A,FALSE,"PAYROLL";"SUMMARY",#N/A,FALSE,"PAYROLL";"HK PR",#N/A,FALSE,"HK"}</definedName>
    <definedName name="dfsdsd" localSheetId="5" hidden="1">{"HK PR",#N/A,FALSE,"HK";"SUMMARY",#N/A,FALSE,"PAYROLL";"SUMMARY",#N/A,FALSE,"PAYROLL";"HK PR",#N/A,FALSE,"HK"}</definedName>
    <definedName name="dfsdsd" localSheetId="6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DGJEROYTMHTRH" localSheetId="11" hidden="1">{#N/A,#N/A,TRUE,"BT M200 da 10x20"}</definedName>
    <definedName name="DGFDGJEROYTMHTRH" localSheetId="6" hidden="1">{#N/A,#N/A,TRUE,"BT M200 da 10x20"}</definedName>
    <definedName name="DGFDGJEROYTMHTRH" hidden="1">{#N/A,#N/A,TRUE,"BT M200 da 10x20"}</definedName>
    <definedName name="Discount" localSheetId="5" hidden="1">#REF!</definedName>
    <definedName name="Discount" hidden="1">#REF!</definedName>
    <definedName name="display_area_2" localSheetId="5" hidden="1">#REF!</definedName>
    <definedName name="display_area_2" hidden="1">#REF!</definedName>
    <definedName name="djt" localSheetId="11" hidden="1">{"'Sheet1'!$L$16"}</definedName>
    <definedName name="djt" localSheetId="6" hidden="1">{"'Sheet1'!$L$16"}</definedName>
    <definedName name="djt" hidden="1">{"'Sheet1'!$L$16"}</definedName>
    <definedName name="DN" hidden="1">#REF!</definedName>
    <definedName name="ds\" hidden="1">#REF!</definedName>
    <definedName name="dsad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ovd" localSheetId="11" hidden="1">{"'Sheet1'!$L$16"}</definedName>
    <definedName name="dsovd" localSheetId="5" hidden="1">{"'Sheet1'!$L$16"}</definedName>
    <definedName name="dsovd" localSheetId="6" hidden="1">{"'Sheet1'!$L$16"}</definedName>
    <definedName name="dsovd" hidden="1">{"'Sheet1'!$L$16"}</definedName>
    <definedName name="DWPRICE" localSheetId="6" hidden="1">#REF!</definedName>
    <definedName name="DWPRICE" hidden="1">#REF!</definedName>
    <definedName name="eee" localSheetId="11" hidden="1">{"revsale",#N/A,FALSE,"REV-ยุพดี"}</definedName>
    <definedName name="eee" hidden="1">{"revsale",#N/A,FALSE,"REV-ยุพดี"}</definedName>
    <definedName name="EVOLUTION_DES_ROI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f" localSheetId="11" hidden="1">{"index",#N/A,FALSE,"INDEX"}</definedName>
    <definedName name="f" hidden="1">{"index",#N/A,FALSE,"INDEX"}</definedName>
    <definedName name="FCode" localSheetId="5" hidden="1">#REF!</definedName>
    <definedName name="FCode" hidden="1">#REF!</definedName>
    <definedName name="fdfdf" localSheetId="11" hidden="1">{"HK PR",#N/A,FALSE,"HK";"SUMMARY",#N/A,FALSE,"PAYROLL";"SUMMARY",#N/A,FALSE,"PAYROLL";"HK PR",#N/A,FALSE,"HK"}</definedName>
    <definedName name="fdfdf" localSheetId="5" hidden="1">{"HK PR",#N/A,FALSE,"HK";"SUMMARY",#N/A,FALSE,"PAYROLL";"SUMMARY",#N/A,FALSE,"PAYROLL";"HK PR",#N/A,FALSE,"HK"}</definedName>
    <definedName name="fdfdf" localSheetId="6" hidden="1">{"HK PR",#N/A,FALSE,"HK";"SUMMARY",#N/A,FALSE,"PAYROLL";"SUMMARY",#N/A,FALSE,"PAYROLL";"HK PR",#N/A,FALSE,"HK"}</definedName>
    <definedName name="fdfdf" hidden="1">{"HK PR",#N/A,FALSE,"HK";"SUMMARY",#N/A,FALSE,"PAYROLL";"SUMMARY",#N/A,FALSE,"PAYROLL";"HK PR",#N/A,FALSE,"HK"}</definedName>
    <definedName name="ff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ffff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afg" hidden="1">#REF!</definedName>
    <definedName name="fgfgfgfg" localSheetId="5" hidden="1">#REF!</definedName>
    <definedName name="fgfgfgfg" hidden="1">#REF!</definedName>
    <definedName name="fggdfg" localSheetId="11" hidden="1">{"HK PR",#N/A,FALSE,"HK";"SUMMARY",#N/A,FALSE,"PAYROLL";"SUMMARY",#N/A,FALSE,"PAYROLL";"HK PR",#N/A,FALSE,"HK"}</definedName>
    <definedName name="fggdfg" localSheetId="5" hidden="1">{"HK PR",#N/A,FALSE,"HK";"SUMMARY",#N/A,FALSE,"PAYROLL";"SUMMARY",#N/A,FALSE,"PAYROLL";"HK PR",#N/A,FALSE,"HK"}</definedName>
    <definedName name="fggdfg" localSheetId="6" hidden="1">{"HK PR",#N/A,FALSE,"HK";"SUMMARY",#N/A,FALSE,"PAYROLL";"SUMMARY",#N/A,FALSE,"PAYROLL";"HK PR",#N/A,FALSE,"HK"}</definedName>
    <definedName name="fggdfg" hidden="1">{"HK PR",#N/A,FALSE,"HK";"SUMMARY",#N/A,FALSE,"PAYROLL";"SUMMARY",#N/A,FALSE,"PAYROLL";"HK PR",#N/A,FALSE,"HK"}</definedName>
    <definedName name="FiCo" hidden="1">#REF!</definedName>
    <definedName name="FOREVER" localSheetId="11" hidden="1">{#N/A,#N/A,FALSE,"Chi tiÆt"}</definedName>
    <definedName name="FOREVER" localSheetId="5" hidden="1">{#N/A,#N/A,FALSE,"Chi tiÆt"}</definedName>
    <definedName name="FOREVER" localSheetId="6" hidden="1">{#N/A,#N/A,FALSE,"Chi tiÆt"}</definedName>
    <definedName name="FOREVER" hidden="1">{#N/A,#N/A,FALSE,"Chi tiÆt"}</definedName>
    <definedName name="fre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sdfdsf" localSheetId="11" hidden="1">{"HK PR",#N/A,FALSE,"HK";"SUMMARY",#N/A,FALSE,"PAYROLL";"SUMMARY",#N/A,FALSE,"PAYROLL";"HK PR",#N/A,FALSE,"HK"}</definedName>
    <definedName name="fsdfdsf" localSheetId="5" hidden="1">{"HK PR",#N/A,FALSE,"HK";"SUMMARY",#N/A,FALSE,"PAYROLL";"SUMMARY",#N/A,FALSE,"PAYROLL";"HK PR",#N/A,FALSE,"HK"}</definedName>
    <definedName name="fsdfdsf" localSheetId="6" hidden="1">{"HK PR",#N/A,FALSE,"HK";"SUMMARY",#N/A,FALSE,"PAYROLL";"SUMMARY",#N/A,FALSE,"PAYROLL";"HK PR",#N/A,FALSE,"HK"}</definedName>
    <definedName name="fsdfdsf" hidden="1">{"HK PR",#N/A,FALSE,"HK";"SUMMARY",#N/A,FALSE,"PAYROLL";"SUMMARY",#N/A,FALSE,"PAYROLL";"HK PR",#N/A,FALSE,"HK"}</definedName>
    <definedName name="g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ggg" localSheetId="11" hidden="1">{"index",#N/A,FALSE,"INDEX"}</definedName>
    <definedName name="ggg" hidden="1">{"index",#N/A,FALSE,"INDEX"}</definedName>
    <definedName name="ghdfgdf" localSheetId="11" hidden="1">{"HK PR",#N/A,FALSE,"HK";"SUMMARY",#N/A,FALSE,"PAYROLL";"SUMMARY",#N/A,FALSE,"PAYROLL";"HK PR",#N/A,FALSE,"HK"}</definedName>
    <definedName name="ghdfgdf" localSheetId="5" hidden="1">{"HK PR",#N/A,FALSE,"HK";"SUMMARY",#N/A,FALSE,"PAYROLL";"SUMMARY",#N/A,FALSE,"PAYROLL";"HK PR",#N/A,FALSE,"HK"}</definedName>
    <definedName name="ghdfgdf" localSheetId="6" hidden="1">{"HK PR",#N/A,FALSE,"HK";"SUMMARY",#N/A,FALSE,"PAYROLL";"SUMMARY",#N/A,FALSE,"PAYROLL";"HK PR",#N/A,FALSE,"HK"}</definedName>
    <definedName name="ghdfgdf" hidden="1">{"HK PR",#N/A,FALSE,"HK";"SUMMARY",#N/A,FALSE,"PAYROLL";"SUMMARY",#N/A,FALSE,"PAYROLL";"HK PR",#N/A,FALSE,"HK"}</definedName>
    <definedName name="GHF" localSheetId="11" hidden="1">{#N/A,#N/A,FALSE,"sum";#N/A,#N/A,FALSE,"MARTV";#N/A,#N/A,FALSE,"APRTV"}</definedName>
    <definedName name="GHF" localSheetId="6" hidden="1">{#N/A,#N/A,FALSE,"sum";#N/A,#N/A,FALSE,"MARTV";#N/A,#N/A,FALSE,"APRTV"}</definedName>
    <definedName name="GHF" hidden="1">{#N/A,#N/A,FALSE,"sum";#N/A,#N/A,FALSE,"MARTV";#N/A,#N/A,FALSE,"APRTV"}</definedName>
    <definedName name="GJVIF" localSheetId="11" hidden="1">{"Profit",#N/A,FALSE,"4500(12)";"Capital",#N/A,FALSE,"4500(12)";"Profit",#N/A,FALSE,"Cisco4000";"Capital",#N/A,FALSE,"Cisco4000"}</definedName>
    <definedName name="GJVIF" localSheetId="6" hidden="1">{"Profit",#N/A,FALSE,"4500(12)";"Capital",#N/A,FALSE,"4500(12)";"Profit",#N/A,FALSE,"Cisco4000";"Capital",#N/A,FALSE,"Cisco4000"}</definedName>
    <definedName name="GJVIF" hidden="1">{"Profit",#N/A,FALSE,"4500(12)";"Capital",#N/A,FALSE,"4500(12)";"Profit",#N/A,FALSE,"Cisco4000";"Capital",#N/A,FALSE,"Cisco4000"}</definedName>
    <definedName name="gnfg" localSheetId="11" hidden="1">{"HK PR",#N/A,FALSE,"HK";"SUMMARY",#N/A,FALSE,"PAYROLL";"SUMMARY",#N/A,FALSE,"PAYROLL";"HK PR",#N/A,FALSE,"HK"}</definedName>
    <definedName name="gnfg" localSheetId="5" hidden="1">{"HK PR",#N/A,FALSE,"HK";"SUMMARY",#N/A,FALSE,"PAYROLL";"SUMMARY",#N/A,FALSE,"PAYROLL";"HK PR",#N/A,FALSE,"HK"}</definedName>
    <definedName name="gnfg" localSheetId="6" hidden="1">{"HK PR",#N/A,FALSE,"HK";"SUMMARY",#N/A,FALSE,"PAYROLL";"SUMMARY",#N/A,FALSE,"PAYROLL";"HK PR",#N/A,FALSE,"HK"}</definedName>
    <definedName name="gnfg" hidden="1">{"HK PR",#N/A,FALSE,"HK";"SUMMARY",#N/A,FALSE,"PAYROLL";"SUMMARY",#N/A,FALSE,"PAYROLL";"HK PR",#N/A,FALSE,"HK"}</definedName>
    <definedName name="GTM" localSheetId="11" hidden="1">{"'Sheet1'!$L$16"}</definedName>
    <definedName name="GTM" localSheetId="5" hidden="1">{"'Sheet1'!$L$16"}</definedName>
    <definedName name="GTM" localSheetId="6" hidden="1">{"'Sheet1'!$L$16"}</definedName>
    <definedName name="GTM" hidden="1">{"'Sheet1'!$L$16"}</definedName>
    <definedName name="h" localSheetId="11" hidden="1">{"'Sheet1'!$L$16"}</definedName>
    <definedName name="h" localSheetId="6" hidden="1">{"'Sheet1'!$L$16"}</definedName>
    <definedName name="h" hidden="1">{"'Sheet1'!$L$16"}</definedName>
    <definedName name="ha" localSheetId="11" hidden="1">{"Reader",#N/A,FALSE,"Summary";"Reader",#N/A,FALSE,"Buildup";"Reader",#N/A,FALSE,"Financials";"Reader",#N/A,FALSE,"Debt &amp; Other"}</definedName>
    <definedName name="ha" localSheetId="5" hidden="1">{"Reader",#N/A,FALSE,"Summary";"Reader",#N/A,FALSE,"Buildup";"Reader",#N/A,FALSE,"Financials";"Reader",#N/A,FALSE,"Debt &amp; Other"}</definedName>
    <definedName name="ha" localSheetId="6" hidden="1">{"Reader",#N/A,FALSE,"Summary";"Reader",#N/A,FALSE,"Buildup";"Reader",#N/A,FALSE,"Financials";"Reader",#N/A,FALSE,"Debt &amp; Other"}</definedName>
    <definedName name="ha" hidden="1">{"Reader",#N/A,FALSE,"Summary";"Reader",#N/A,FALSE,"Buildup";"Reader",#N/A,FALSE,"Financials";"Reader",#N/A,FALSE,"Debt &amp; Other"}</definedName>
    <definedName name="hanh" localSheetId="11" hidden="1">{"'Sheet1'!$L$16"}</definedName>
    <definedName name="hanh" localSheetId="6" hidden="1">{"'Sheet1'!$L$16"}</definedName>
    <definedName name="hanh" hidden="1">{"'Sheet1'!$L$16"}</definedName>
    <definedName name="hbbbbbb" localSheetId="11" hidden="1">{"'Sheet1'!$L$16"}</definedName>
    <definedName name="hbbbbbb" localSheetId="5" hidden="1">{"'Sheet1'!$L$16"}</definedName>
    <definedName name="hbbbbbb" localSheetId="6" hidden="1">{"'Sheet1'!$L$16"}</definedName>
    <definedName name="hbbbbbb" hidden="1">{"'Sheet1'!$L$16"}</definedName>
    <definedName name="hfgdas" hidden="1">#REF!</definedName>
    <definedName name="hghghg" localSheetId="11" hidden="1">{"HK PR",#N/A,FALSE,"HK";"SUMMARY",#N/A,FALSE,"PAYROLL";"SUMMARY",#N/A,FALSE,"PAYROLL";"HK PR",#N/A,FALSE,"HK"}</definedName>
    <definedName name="hghghg" localSheetId="5" hidden="1">{"HK PR",#N/A,FALSE,"HK";"SUMMARY",#N/A,FALSE,"PAYROLL";"SUMMARY",#N/A,FALSE,"PAYROLL";"HK PR",#N/A,FALSE,"HK"}</definedName>
    <definedName name="hghghg" localSheetId="6" hidden="1">{"HK PR",#N/A,FALSE,"HK";"SUMMARY",#N/A,FALSE,"PAYROLL";"SUMMARY",#N/A,FALSE,"PAYROLL";"HK PR",#N/A,FALSE,"HK"}</definedName>
    <definedName name="hghghg" hidden="1">{"HK PR",#N/A,FALSE,"HK";"SUMMARY",#N/A,FALSE,"PAYROLL";"SUMMARY",#N/A,FALSE,"PAYROLL";"HK PR",#N/A,FALSE,"HK"}</definedName>
    <definedName name="hghghghg" localSheetId="11" hidden="1">{"'Sheet1'!$L$16"}</definedName>
    <definedName name="hghghghg" localSheetId="5" hidden="1">{"'Sheet1'!$L$16"}</definedName>
    <definedName name="hghghghg" localSheetId="6" hidden="1">{"'Sheet1'!$L$16"}</definedName>
    <definedName name="hghghghg" hidden="1">{"'Sheet1'!$L$16"}</definedName>
    <definedName name="hh" localSheetId="11" hidden="1">{"'Sheet1'!$L$16"}</definedName>
    <definedName name="hh" localSheetId="6" hidden="1">{"'Sheet1'!$L$16"}</definedName>
    <definedName name="hh" hidden="1">{"'Sheet1'!$L$16"}</definedName>
    <definedName name="hhh" localSheetId="11" hidden="1">{"'Sheet1'!$L$16"}</definedName>
    <definedName name="hhh" localSheetId="5" hidden="1">{"'Sheet1'!$L$16"}</definedName>
    <definedName name="hhh" localSheetId="6" hidden="1">{"'Sheet1'!$L$16"}</definedName>
    <definedName name="hhh" hidden="1">{"'Sheet1'!$L$16"}</definedName>
    <definedName name="hhhh" localSheetId="11" hidden="1">{"'Sheet1'!$L$16"}</definedName>
    <definedName name="hhhh" localSheetId="5" hidden="1">{"'Sheet1'!$L$16"}</definedName>
    <definedName name="hhhh" localSheetId="6" hidden="1">{"'Sheet1'!$L$16"}</definedName>
    <definedName name="hhhh" hidden="1">{"'Sheet1'!$L$16"}</definedName>
    <definedName name="hhhhh" localSheetId="11" hidden="1">{"'Sheet1'!$L$16"}</definedName>
    <definedName name="hhhhh" localSheetId="5" hidden="1">{"'Sheet1'!$L$16"}</definedName>
    <definedName name="hhhhh" localSheetId="6" hidden="1">{"'Sheet1'!$L$16"}</definedName>
    <definedName name="hhhhh" hidden="1">{"'Sheet1'!$L$16"}</definedName>
    <definedName name="hhhhhh" localSheetId="11" hidden="1">{"'Sheet1'!$L$16"}</definedName>
    <definedName name="hhhhhh" localSheetId="5" hidden="1">{"'Sheet1'!$L$16"}</definedName>
    <definedName name="hhhhhh" localSheetId="6" hidden="1">{"'Sheet1'!$L$16"}</definedName>
    <definedName name="hhhhhh" hidden="1">{"'Sheet1'!$L$16"}</definedName>
    <definedName name="HiddenRows" localSheetId="5" hidden="1">#REF!</definedName>
    <definedName name="HiddenRows" hidden="1">#REF!</definedName>
    <definedName name="HIEU" localSheetId="11" hidden="1">{"'Sheet1'!$L$16"}</definedName>
    <definedName name="HIEU" localSheetId="5" hidden="1">{"'Sheet1'!$L$16"}</definedName>
    <definedName name="HIEU" localSheetId="6" hidden="1">{"'Sheet1'!$L$16"}</definedName>
    <definedName name="HIEU" hidden="1">{"'Sheet1'!$L$16"}</definedName>
    <definedName name="hjjkl" localSheetId="11" hidden="1">{"'Sheet1'!$L$16"}</definedName>
    <definedName name="hjjkl" localSheetId="6" hidden="1">{"'Sheet1'!$L$16"}</definedName>
    <definedName name="hjjkl" hidden="1">{"'Sheet1'!$L$16"}</definedName>
    <definedName name="HK" localSheetId="11" hidden="1">{"Reader",#N/A,FALSE,"Summary";"Reader",#N/A,FALSE,"Buildup";"Reader",#N/A,FALSE,"Financials";"Reader",#N/A,FALSE,"Debt &amp; Other"}</definedName>
    <definedName name="HK" localSheetId="5" hidden="1">{"Reader",#N/A,FALSE,"Summary";"Reader",#N/A,FALSE,"Buildup";"Reader",#N/A,FALSE,"Financials";"Reader",#N/A,FALSE,"Debt &amp; Other"}</definedName>
    <definedName name="HK" localSheetId="6" hidden="1">{"Reader",#N/A,FALSE,"Summary";"Reader",#N/A,FALSE,"Buildup";"Reader",#N/A,FALSE,"Financials";"Reader",#N/A,FALSE,"Debt &amp; Other"}</definedName>
    <definedName name="HK" hidden="1">{"Reader",#N/A,FALSE,"Summary";"Reader",#N/A,FALSE,"Buildup";"Reader",#N/A,FALSE,"Financials";"Reader",#N/A,FALSE,"Debt &amp; Other"}</definedName>
    <definedName name="hka" localSheetId="11" hidden="1">{"Reader",#N/A,FALSE,"Summary";"Reader",#N/A,FALSE,"Buildup";"Reader",#N/A,FALSE,"Financials";"Reader",#N/A,FALSE,"Debt &amp; Other"}</definedName>
    <definedName name="hka" localSheetId="5" hidden="1">{"Reader",#N/A,FALSE,"Summary";"Reader",#N/A,FALSE,"Buildup";"Reader",#N/A,FALSE,"Financials";"Reader",#N/A,FALSE,"Debt &amp; Other"}</definedName>
    <definedName name="hka" localSheetId="6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p" localSheetId="11" hidden="1">{"Reader",#N/A,FALSE,"Summary";"Reader",#N/A,FALSE,"Buildup";"Reader",#N/A,FALSE,"Financials";"Reader",#N/A,FALSE,"Debt &amp; Other"}</definedName>
    <definedName name="hp" localSheetId="5" hidden="1">{"Reader",#N/A,FALSE,"Summary";"Reader",#N/A,FALSE,"Buildup";"Reader",#N/A,FALSE,"Financials";"Reader",#N/A,FALSE,"Debt &amp; Other"}</definedName>
    <definedName name="hp" localSheetId="6" hidden="1">{"Reader",#N/A,FALSE,"Summary";"Reader",#N/A,FALSE,"Buildup";"Reader",#N/A,FALSE,"Financials";"Reader",#N/A,FALSE,"Debt &amp; Other"}</definedName>
    <definedName name="hp" hidden="1">{"Reader",#N/A,FALSE,"Summary";"Reader",#N/A,FALSE,"Buildup";"Reader",#N/A,FALSE,"Financials";"Reader",#N/A,FALSE,"Debt &amp; Other"}</definedName>
    <definedName name="htg" localSheetId="11" hidden="1">{#N/A,#N/A,TRUE,"BT M200 da 10x20"}</definedName>
    <definedName name="htg" localSheetId="6" hidden="1">{#N/A,#N/A,TRUE,"BT M200 da 10x20"}</definedName>
    <definedName name="htg" hidden="1">{#N/A,#N/A,TRUE,"BT M200 da 10x20"}</definedName>
    <definedName name="html" localSheetId="11" hidden="1">{"'Sheet1'!$L$16"}</definedName>
    <definedName name="html" localSheetId="5" hidden="1">{"'Sheet1'!$L$16"}</definedName>
    <definedName name="html" localSheetId="6" hidden="1">{"'Sheet1'!$L$16"}</definedName>
    <definedName name="html" hidden="1">{"'Sheet1'!$L$16"}</definedName>
    <definedName name="HTML_CodePage" hidden="1">950</definedName>
    <definedName name="HTML_Control" localSheetId="11" hidden="1">{"'Sheet1'!$L$16"}</definedName>
    <definedName name="HTML_Control" localSheetId="5" hidden="1">{"'Sheet1'!$L$16"}</definedName>
    <definedName name="HTML_Control" localSheetId="6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localSheetId="6" hidden="1">"C:\2689\Q\國內\00q3961台化龍德PTA3建造\MyHTML.htm"</definedName>
    <definedName name="HTML_PathFile" hidden="1">"C:\2689\Q\??\00q3961????PTA3??\MyHTML.htm"</definedName>
    <definedName name="HTML_Title" hidden="1">"00Q3961-SUM"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localSheetId="11" hidden="1">{"'Sheet1'!$L$16"}</definedName>
    <definedName name="htmll" localSheetId="5" hidden="1">{"'Sheet1'!$L$16"}</definedName>
    <definedName name="htmll" localSheetId="6" hidden="1">{"'Sheet1'!$L$16"}</definedName>
    <definedName name="htmll" hidden="1">{"'Sheet1'!$L$16"}</definedName>
    <definedName name="huong" localSheetId="11" hidden="1">{"HK PR",#N/A,FALSE,"HK";"SUMMARY",#N/A,FALSE,"PAYROLL";"SUMMARY",#N/A,FALSE,"PAYROLL";"HK PR",#N/A,FALSE,"HK"}</definedName>
    <definedName name="huong" localSheetId="5" hidden="1">{"HK PR",#N/A,FALSE,"HK";"SUMMARY",#N/A,FALSE,"PAYROLL";"SUMMARY",#N/A,FALSE,"PAYROLL";"HK PR",#N/A,FALSE,"HK"}</definedName>
    <definedName name="huong" localSheetId="6" hidden="1">{"HK PR",#N/A,FALSE,"HK";"SUMMARY",#N/A,FALSE,"PAYROLL";"SUMMARY",#N/A,FALSE,"PAYROLL";"HK PR",#N/A,FALSE,"HK"}</definedName>
    <definedName name="huong" hidden="1">{"HK PR",#N/A,FALSE,"HK";"SUMMARY",#N/A,FALSE,"PAYROLL";"SUMMARY",#N/A,FALSE,"PAYROLL";"HK PR",#N/A,FALSE,"HK"}</definedName>
    <definedName name="huongu" localSheetId="11" hidden="1">{"HK PR",#N/A,FALSE,"HK";"SUMMARY",#N/A,FALSE,"PAYROLL";"SUMMARY",#N/A,FALSE,"PAYROLL";"HK PR",#N/A,FALSE,"HK"}</definedName>
    <definedName name="huongu" localSheetId="5" hidden="1">{"HK PR",#N/A,FALSE,"HK";"SUMMARY",#N/A,FALSE,"PAYROLL";"SUMMARY",#N/A,FALSE,"PAYROLL";"HK PR",#N/A,FALSE,"HK"}</definedName>
    <definedName name="huongu" localSheetId="6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localSheetId="11" hidden="1">{"'Sheet1'!$L$16"}</definedName>
    <definedName name="huy" localSheetId="5" hidden="1">{"'Sheet1'!$L$16"}</definedName>
    <definedName name="huy" localSheetId="6" hidden="1">{"'Sheet1'!$L$16"}</definedName>
    <definedName name="huy" hidden="1">{"'Sheet1'!$L$16"}</definedName>
    <definedName name="huyy" localSheetId="11" hidden="1">{"'Sheet1'!$L$16"}</definedName>
    <definedName name="huyy" localSheetId="5" hidden="1">{"'Sheet1'!$L$16"}</definedName>
    <definedName name="huyy" localSheetId="6" hidden="1">{"'Sheet1'!$L$16"}</definedName>
    <definedName name="huyy" hidden="1">{"'Sheet1'!$L$16"}</definedName>
    <definedName name="huyyy" localSheetId="11" hidden="1">{"'Sheet1'!$L$16"}</definedName>
    <definedName name="huyyy" localSheetId="5" hidden="1">{"'Sheet1'!$L$16"}</definedName>
    <definedName name="huyyy" localSheetId="6" hidden="1">{"'Sheet1'!$L$16"}</definedName>
    <definedName name="huyyy" hidden="1">{"'Sheet1'!$L$16"}</definedName>
    <definedName name="i" localSheetId="11" hidden="1">{"hilight3",#N/A,FALSE,"HILIGHT3"}</definedName>
    <definedName name="i" hidden="1">{"hilight3",#N/A,FALSE,"HILIGHT3"}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n" localSheetId="5" hidden="1">#REF!</definedName>
    <definedName name="in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11" hidden="1">{"HK PR",#N/A,FALSE,"HK";"SUMMARY",#N/A,FALSE,"PAYROLL";"SUMMARY",#N/A,FALSE,"PAYROLL";"HK PR",#N/A,FALSE,"HK"}</definedName>
    <definedName name="IS" localSheetId="5" hidden="1">{"HK PR",#N/A,FALSE,"HK";"SUMMARY",#N/A,FALSE,"PAYROLL";"SUMMARY",#N/A,FALSE,"PAYROLL";"HK PR",#N/A,FALSE,"HK"}</definedName>
    <definedName name="IS" localSheetId="6" hidden="1">{"HK PR",#N/A,FALSE,"HK";"SUMMARY",#N/A,FALSE,"PAYROLL";"SUMMARY",#N/A,FALSE,"PAYROLL";"HK PR",#N/A,FALSE,"HK"}</definedName>
    <definedName name="IS" hidden="1">{"HK PR",#N/A,FALSE,"HK";"SUMMARY",#N/A,FALSE,"PAYROLL";"SUMMARY",#N/A,FALSE,"PAYROLL";"HK PR",#N/A,FALSE,"HK"}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localSheetId="11" hidden="1">{"'Sheet1'!$L$16"}</definedName>
    <definedName name="jjj" localSheetId="6" hidden="1">{"'Sheet1'!$L$16"}</definedName>
    <definedName name="jjj" hidden="1">{"'Sheet1'!$L$16"}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u" localSheetId="11" hidden="1">{"'Sheet1'!$L$16"}</definedName>
    <definedName name="ju" localSheetId="5" hidden="1">{"'Sheet1'!$L$16"}</definedName>
    <definedName name="ju" localSheetId="6" hidden="1">{"'Sheet1'!$L$16"}</definedName>
    <definedName name="ju" hidden="1">{"'Sheet1'!$L$16"}</definedName>
    <definedName name="K" localSheetId="11" hidden="1">{"'Sheet1'!$L$16"}</definedName>
    <definedName name="k" localSheetId="6" hidden="1">{"'Sheet1'!$L$16"}</definedName>
    <definedName name="K" hidden="1">{"'Sheet1'!$L$16"}</definedName>
    <definedName name="kk" hidden="1">#REF!</definedName>
    <definedName name="kkk" localSheetId="11" hidden="1">{"lev2monbt",#N/A,FALSE,"2_levmonB-T"}</definedName>
    <definedName name="kkk" hidden="1">{"lev2monbt",#N/A,FALSE,"2_levmonB-T"}</definedName>
    <definedName name="KU" localSheetId="11" hidden="1">{"'Sheet1'!$L$16"}</definedName>
    <definedName name="KU" localSheetId="5" hidden="1">{"'Sheet1'!$L$16"}</definedName>
    <definedName name="KU" localSheetId="6" hidden="1">{"'Sheet1'!$L$16"}</definedName>
    <definedName name="KU" hidden="1">{"'Sheet1'!$L$16"}</definedName>
    <definedName name="kyd.ChngCell.01." localSheetId="6" hidden="1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localSheetId="6" hidden="1">#REF!</definedName>
    <definedName name="kyd.ElementList.01." hidden="1">#REF!</definedName>
    <definedName name="kyd.ElementType.01." hidden="1">3</definedName>
    <definedName name="kyd.ItemType.01." hidden="1">2</definedName>
    <definedName name="kyd.NumLevels.01." hidden="1">1</definedName>
    <definedName name="kyd.ParentName.01." hidden="1">""</definedName>
    <definedName name="kyd.PrintParent.01." hidden="1">TRUE</definedName>
    <definedName name="kyd.SelectString.01." hidden="1">"*"</definedName>
    <definedName name="l" localSheetId="11" hidden="1">{"revable",#N/A,FALSE,"REVABLE"}</definedName>
    <definedName name="l" hidden="1">{"revable",#N/A,FALSE,"REVABLE"}</definedName>
    <definedName name="Lai" localSheetId="11" hidden="1">{"'Sheet1'!$L$16"}</definedName>
    <definedName name="Lai" localSheetId="5" hidden="1">{"'Sheet1'!$L$16"}</definedName>
    <definedName name="Lai" localSheetId="6" hidden="1">{"'Sheet1'!$L$16"}</definedName>
    <definedName name="Lai" hidden="1">{"'Sheet1'!$L$16"}</definedName>
    <definedName name="LAM" localSheetId="11" hidden="1">{#N/A,#N/A,TRUE,"BT M200 da 10x20"}</definedName>
    <definedName name="LAM" localSheetId="6" hidden="1">{#N/A,#N/A,TRUE,"BT M200 da 10x20"}</definedName>
    <definedName name="LAM" hidden="1">{#N/A,#N/A,TRUE,"BT M200 da 10x20"}</definedName>
    <definedName name="lan" localSheetId="11" hidden="1">{#N/A,#N/A,TRUE,"BT M200 da 10x20"}</definedName>
    <definedName name="lan" localSheetId="5" hidden="1">{#N/A,#N/A,TRUE,"BT M200 da 10x20"}</definedName>
    <definedName name="lan" localSheetId="6" hidden="1">{#N/A,#N/A,TRUE,"BT M200 da 10x20"}</definedName>
    <definedName name="lan" hidden="1">{#N/A,#N/A,TRUE,"BT M200 da 10x20"}</definedName>
    <definedName name="limcount" hidden="1">1</definedName>
    <definedName name="lll" localSheetId="11" hidden="1">{"sales",#N/A,FALSE,"SALES"}</definedName>
    <definedName name="lll" hidden="1">{"sales",#N/A,FALSE,"SALES"}</definedName>
    <definedName name="LLLL" localSheetId="11" hidden="1">{#N/A,#N/A,FALSE,"Chi tiÆt"}</definedName>
    <definedName name="LLLL" localSheetId="5" hidden="1">{#N/A,#N/A,FALSE,"Chi tiÆt"}</definedName>
    <definedName name="LLLL" localSheetId="6" hidden="1">{#N/A,#N/A,FALSE,"Chi tiÆt"}</definedName>
    <definedName name="LLLL" hidden="1">{#N/A,#N/A,FALSE,"Chi tiÆt"}</definedName>
    <definedName name="LLLLL" localSheetId="11" hidden="1">{#N/A,#N/A,FALSE,"Chi tiÆt"}</definedName>
    <definedName name="LLLLL" localSheetId="5" hidden="1">{#N/A,#N/A,FALSE,"Chi tiÆt"}</definedName>
    <definedName name="LLLLL" localSheetId="6" hidden="1">{#N/A,#N/A,FALSE,"Chi tiÆt"}</definedName>
    <definedName name="LLLLL" hidden="1">{#N/A,#N/A,FALSE,"Chi tiÆt"}</definedName>
    <definedName name="Loan" localSheetId="5" hidden="1">#REF!</definedName>
    <definedName name="Loan" hidden="1">#REF!</definedName>
    <definedName name="m" localSheetId="11" hidden="1">{"income",#N/A,FALSE,"INCOME"}</definedName>
    <definedName name="m" hidden="1">{"income",#N/A,FALSE,"INCOME"}</definedName>
    <definedName name="mco" localSheetId="11" hidden="1">{"'Sheet1'!$L$16"}</definedName>
    <definedName name="mco" localSheetId="5" hidden="1">{"'Sheet1'!$L$16"}</definedName>
    <definedName name="mco" localSheetId="6" hidden="1">{"'Sheet1'!$L$16"}</definedName>
    <definedName name="mco" hidden="1">{"'Sheet1'!$L$16"}</definedName>
    <definedName name="mg" localSheetId="11" hidden="1">{#N/A,#N/A,FALSE,"Chi tiÆt"}</definedName>
    <definedName name="mg" localSheetId="6" hidden="1">{#N/A,#N/A,FALSE,"Chi tiÆt"}</definedName>
    <definedName name="mg" hidden="1">{#N/A,#N/A,FALSE,"Chi tiÆt"}</definedName>
    <definedName name="mmm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mm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moi" localSheetId="11" hidden="1">{"'Sheet1'!$L$16"}</definedName>
    <definedName name="moi" localSheetId="5" hidden="1">{"'Sheet1'!$L$16"}</definedName>
    <definedName name="moi" localSheetId="6" hidden="1">{"'Sheet1'!$L$16"}</definedName>
    <definedName name="moi" hidden="1">{"'Sheet1'!$L$16"}</definedName>
    <definedName name="monthly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onthly_sep03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mua" localSheetId="11" hidden="1">{"'Sheet1'!$L$16"}</definedName>
    <definedName name="mua" localSheetId="5" hidden="1">{"'Sheet1'!$L$16"}</definedName>
    <definedName name="mua" localSheetId="6" hidden="1">{"'Sheet1'!$L$16"}</definedName>
    <definedName name="mua" hidden="1">{"'Sheet1'!$L$16"}</definedName>
    <definedName name="n" localSheetId="11" hidden="1">{"F3 detail",#N/A,FALSE,"F1";"F3 Presentation",#N/A,FALSE,"F3 "}</definedName>
    <definedName name="N" localSheetId="6" hidden="1">{"'Sheet1'!$L$16"}</definedName>
    <definedName name="n" hidden="1">{"F3 detail",#N/A,FALSE,"F1";"F3 Presentation",#N/A,FALSE,"F3 "}</definedName>
    <definedName name="nn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n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n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PP" hidden="1">#REF!</definedName>
    <definedName name="nwe" localSheetId="11" hidden="1">{"'Sheet1'!$L$16"}</definedName>
    <definedName name="nwe" localSheetId="6" hidden="1">{"'Sheet1'!$L$16"}</definedName>
    <definedName name="nwe" hidden="1">{"'Sheet1'!$L$16"}</definedName>
    <definedName name="o" localSheetId="11" hidden="1">{"index",#N/A,FALSE,"INDEX"}</definedName>
    <definedName name="o" hidden="1">{"index",#N/A,FALSE,"INDEX"}</definedName>
    <definedName name="ooo" localSheetId="11" hidden="1">{"PRINT_EST",#N/A,FALSE,"ESTMON"}</definedName>
    <definedName name="ooo" hidden="1">{"PRINT_EST",#N/A,FALSE,"ESTMON"}</definedName>
    <definedName name="OrderTable" localSheetId="5" hidden="1">#REF!</definedName>
    <definedName name="OrderTable" hidden="1">#REF!</definedName>
    <definedName name="p" localSheetId="11" hidden="1">{"revsale",#N/A,FALSE,"REV-ยุพดี"}</definedName>
    <definedName name="p" hidden="1">{"revsale",#N/A,FALSE,"REV-ยุพดี"}</definedName>
    <definedName name="PC_msg" hidden="1">"Yes"</definedName>
    <definedName name="PHUONG" localSheetId="11" hidden="1">{#N/A,#N/A,TRUE,"BT M200 da 10x20"}</definedName>
    <definedName name="PHUONG" localSheetId="6" hidden="1">{#N/A,#N/A,TRUE,"BT M200 da 10x20"}</definedName>
    <definedName name="PHUONG" hidden="1">{#N/A,#N/A,TRUE,"BT M200 da 10x20"}</definedName>
    <definedName name="PKTN." localSheetId="11" hidden="1">{"'Sheet1'!$L$16"}</definedName>
    <definedName name="PKTN." localSheetId="5" hidden="1">{"'Sheet1'!$L$16"}</definedName>
    <definedName name="PKTN." localSheetId="6" hidden="1">{"'Sheet1'!$L$16"}</definedName>
    <definedName name="PKTN." hidden="1">{"'Sheet1'!$L$16"}</definedName>
    <definedName name="PKTNN" localSheetId="11" hidden="1">{"'Sheet1'!$L$16"}</definedName>
    <definedName name="PKTNN" localSheetId="6" hidden="1">{"'Sheet1'!$L$16"}</definedName>
    <definedName name="PKTNN" hidden="1">{"'Sheet1'!$L$16"}</definedName>
    <definedName name="PP" localSheetId="11" hidden="1">{"'Model'!$A$1:$N$53"}</definedName>
    <definedName name="PP" hidden="1">{"'Model'!$A$1:$N$53"}</definedName>
    <definedName name="ppp" localSheetId="11" hidden="1">{"revsale",#N/A,FALSE,"REV-ยุพดี"}</definedName>
    <definedName name="ppp" hidden="1">{"revsale",#N/A,FALSE,"REV-ยุพดี"}</definedName>
    <definedName name="_xlnm.Print_Titles" localSheetId="5">'LCTT_GT in'!$1:$7</definedName>
    <definedName name="_xlnm.Print_Titles" localSheetId="3">'THTC in'!$1:$6</definedName>
    <definedName name="ProdForm" localSheetId="5" hidden="1">#REF!</definedName>
    <definedName name="ProdForm" hidden="1">#REF!</definedName>
    <definedName name="Product" localSheetId="5" hidden="1">#REF!</definedName>
    <definedName name="Product" hidden="1">#REF!</definedName>
    <definedName name="q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qeqe" localSheetId="11" hidden="1">{"'Sheet1'!$L$16"}</definedName>
    <definedName name="qeqe" localSheetId="6" hidden="1">{"'Sheet1'!$L$16"}</definedName>
    <definedName name="qeqe" hidden="1">{"'Sheet1'!$L$16"}</definedName>
    <definedName name="qqq" localSheetId="11" hidden="1">{"sales",#N/A,FALSE,"SALES"}</definedName>
    <definedName name="qqq" hidden="1">{"sales",#N/A,FALSE,"SALES"}</definedName>
    <definedName name="RCArea" localSheetId="5" hidden="1">#REF!</definedName>
    <definedName name="RCArea" hidden="1">#REF!</definedName>
    <definedName name="rfju" localSheetId="11" hidden="1">{"'Sheet1'!$L$16"}</definedName>
    <definedName name="rfju" localSheetId="6" hidden="1">{"'Sheet1'!$L$16"}</definedName>
    <definedName name="rfju" hidden="1">{"'Sheet1'!$L$16"}</definedName>
    <definedName name="rrr" localSheetId="11" hidden="1">{"lev2tytbt",#N/A,FALSE,"2_LEVYTDB-T"}</definedName>
    <definedName name="rrr" hidden="1">{"lev2tytbt",#N/A,FALSE,"2_LEVYTDB-T"}</definedName>
    <definedName name="rter" localSheetId="11" hidden="1">{#N/A,#N/A,FALSE,"sum";#N/A,#N/A,FALSE,"MARTV";#N/A,#N/A,FALSE,"APRTV"}</definedName>
    <definedName name="rter" localSheetId="6" hidden="1">{#N/A,#N/A,FALSE,"sum";#N/A,#N/A,FALSE,"MARTV";#N/A,#N/A,FALSE,"APRTV"}</definedName>
    <definedName name="rter" hidden="1">{#N/A,#N/A,FALSE,"sum";#N/A,#N/A,FALSE,"MARTV";#N/A,#N/A,FALSE,"APRTV"}</definedName>
    <definedName name="ru" localSheetId="11" hidden="1">{"'Sheet1'!$L$16"}</definedName>
    <definedName name="ru" localSheetId="6" hidden="1">{"'Sheet1'!$L$16"}</definedName>
    <definedName name="ru" hidden="1">{"'Sheet1'!$L$16"}</definedName>
    <definedName name="S" localSheetId="11" hidden="1">{"'Sheet1'!$L$16"}</definedName>
    <definedName name="S" localSheetId="6" hidden="1">{"'Sheet1'!$L$16"}</definedName>
    <definedName name="S" hidden="1">{"'Sheet1'!$L$16"}</definedName>
    <definedName name="sad" localSheetId="11" hidden="1">{0}</definedName>
    <definedName name="sad" localSheetId="5" hidden="1">{0}</definedName>
    <definedName name="sad" localSheetId="6" hidden="1">{0}</definedName>
    <definedName name="sad" hidden="1">{0}</definedName>
    <definedName name="SANG" localSheetId="11" hidden="1">{#N/A,#N/A,FALSE,"sum";#N/A,#N/A,FALSE,"MARTV";#N/A,#N/A,FALSE,"APRTV"}</definedName>
    <definedName name="SANG" localSheetId="6" hidden="1">{#N/A,#N/A,FALSE,"sum";#N/A,#N/A,FALSE,"MARTV";#N/A,#N/A,FALSE,"APRTV"}</definedName>
    <definedName name="SANG" hidden="1">{#N/A,#N/A,FALSE,"sum";#N/A,#N/A,FALSE,"MARTV";#N/A,#N/A,FALSE,"APRTV"}</definedName>
    <definedName name="SAPBEXrevision" hidden="1">3</definedName>
    <definedName name="SAPBEXsysID" hidden="1">"EPB"</definedName>
    <definedName name="SAPBEXwbID" hidden="1">"3UK6UXLZHQ3KXE93XFRP3AZAH"</definedName>
    <definedName name="SC" localSheetId="11" hidden="1">{"'Sheet1'!$L$16"}</definedName>
    <definedName name="SC" localSheetId="5" hidden="1">{"'Sheet1'!$L$16"}</definedName>
    <definedName name="SC" localSheetId="6" hidden="1">{"'Sheet1'!$L$16"}</definedName>
    <definedName name="SC" hidden="1">{"'Sheet1'!$L$16"}</definedName>
    <definedName name="sdadss" localSheetId="11" hidden="1">{"HK PR",#N/A,FALSE,"HK";"SUMMARY",#N/A,FALSE,"PAYROLL";"SUMMARY",#N/A,FALSE,"PAYROLL";"HK PR",#N/A,FALSE,"HK"}</definedName>
    <definedName name="sdadss" localSheetId="5" hidden="1">{"HK PR",#N/A,FALSE,"HK";"SUMMARY",#N/A,FALSE,"PAYROLL";"SUMMARY",#N/A,FALSE,"PAYROLL";"HK PR",#N/A,FALSE,"HK"}</definedName>
    <definedName name="sdadss" localSheetId="6" hidden="1">{"HK PR",#N/A,FALSE,"HK";"SUMMARY",#N/A,FALSE,"PAYROLL";"SUMMARY",#N/A,FALSE,"PAYROLL";"HK PR",#N/A,FALSE,"HK"}</definedName>
    <definedName name="sdadss" hidden="1">{"HK PR",#N/A,FALSE,"HK";"SUMMARY",#N/A,FALSE,"PAYROLL";"SUMMARY",#N/A,FALSE,"PAYROLL";"HK PR",#N/A,FALSE,"HK"}</definedName>
    <definedName name="sdsdasd" localSheetId="11" hidden="1">{"HK PR",#N/A,FALSE,"HK";"SUMMARY",#N/A,FALSE,"PAYROLL";"SUMMARY",#N/A,FALSE,"PAYROLL";"HK PR",#N/A,FALSE,"HK"}</definedName>
    <definedName name="sdsdasd" localSheetId="5" hidden="1">{"HK PR",#N/A,FALSE,"HK";"SUMMARY",#N/A,FALSE,"PAYROLL";"SUMMARY",#N/A,FALSE,"PAYROLL";"HK PR",#N/A,FALSE,"HK"}</definedName>
    <definedName name="sdsdasd" localSheetId="6" hidden="1">{"HK PR",#N/A,FALSE,"HK";"SUMMARY",#N/A,FALSE,"PAYROLL";"SUMMARY",#N/A,FALSE,"PAYROLL";"HK PR",#N/A,FALSE,"HK"}</definedName>
    <definedName name="sdsdasd" hidden="1">{"HK PR",#N/A,FALSE,"HK";"SUMMARY",#N/A,FALSE,"PAYROLL";"SUMMARY",#N/A,FALSE,"PAYROLL";"HK PR",#N/A,FALSE,"HK"}</definedName>
    <definedName name="sdsds" localSheetId="11" hidden="1">{"HK PR",#N/A,FALSE,"HK";"SUMMARY",#N/A,FALSE,"PAYROLL";"SUMMARY",#N/A,FALSE,"PAYROLL";"HK PR",#N/A,FALSE,"HK"}</definedName>
    <definedName name="sdsds" localSheetId="5" hidden="1">{"HK PR",#N/A,FALSE,"HK";"SUMMARY",#N/A,FALSE,"PAYROLL";"SUMMARY",#N/A,FALSE,"PAYROLL";"HK PR",#N/A,FALSE,"HK"}</definedName>
    <definedName name="sdsds" localSheetId="6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ncount" hidden="1">1</definedName>
    <definedName name="sheet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L" localSheetId="11" hidden="1">{"Profit",#N/A,FALSE,"Cisco4500";"Capital",#N/A,FALSE,"Cisco4500"}</definedName>
    <definedName name="SL" localSheetId="6" hidden="1">{"Profit",#N/A,FALSE,"Cisco4500";"Capital",#N/A,FALSE,"Cisco4500"}</definedName>
    <definedName name="SL" hidden="1">{"Profit",#N/A,FALSE,"Cisco4500";"Capital",#N/A,FALSE,"Cisco4500"}</definedName>
    <definedName name="solver_adj" localSheetId="6" hidden="1">#REF!</definedName>
    <definedName name="solver_adj" hidden="1">#REF!</definedName>
    <definedName name="solver_lhs1" localSheetId="6" hidden="1">#REF!</definedName>
    <definedName name="solver_lhs1" hidden="1">#REF!</definedName>
    <definedName name="solver_lin" hidden="1">0</definedName>
    <definedName name="solver_num" hidden="1">1</definedName>
    <definedName name="solver_opt" localSheetId="6" hidden="1">#REF!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pecialPrice" localSheetId="5" hidden="1">#REF!</definedName>
    <definedName name="SpecialPrice" hidden="1">#REF!</definedName>
    <definedName name="srgsaergfsergaerg" localSheetId="11" hidden="1">{"month_a",#N/A,FALSE,"ACTUALS";"ytd_a",#N/A,FALSE,"ACTUALS"}</definedName>
    <definedName name="srgsaergfsergaerg" localSheetId="6" hidden="1">{"month_a",#N/A,FALSE,"ACTUALS";"ytd_a",#N/A,FALSE,"ACTUALS"}</definedName>
    <definedName name="srgsaergfsergaerg" hidden="1">{"month_a",#N/A,FALSE,"ACTUALS";"ytd_a",#N/A,FALSE,"ACTUALS"}</definedName>
    <definedName name="SS" localSheetId="11" hidden="1">{"'Sheet1'!$L$16"}</definedName>
    <definedName name="SS" localSheetId="5" hidden="1">{"'Sheet1'!$L$16"}</definedName>
    <definedName name="SS" localSheetId="6" hidden="1">{"'Sheet1'!$L$16"}</definedName>
    <definedName name="SS" hidden="1">{"'Sheet1'!$L$16"}</definedName>
    <definedName name="ssxsdcdsfcdsf" localSheetId="11" hidden="1">{"HK PR",#N/A,FALSE,"HK";"SUMMARY",#N/A,FALSE,"PAYROLL";"SUMMARY",#N/A,FALSE,"PAYROLL";"HK PR",#N/A,FALSE,"HK"}</definedName>
    <definedName name="ssxsdcdsfcdsf" localSheetId="5" hidden="1">{"HK PR",#N/A,FALSE,"HK";"SUMMARY",#N/A,FALSE,"PAYROLL";"SUMMARY",#N/A,FALSE,"PAYROLL";"HK PR",#N/A,FALSE,"HK"}</definedName>
    <definedName name="ssxsdcdsfcdsf" localSheetId="6" hidden="1">{"HK PR",#N/A,FALSE,"HK";"SUMMARY",#N/A,FALSE,"PAYROLL";"SUMMARY",#N/A,FALSE,"PAYROLL";"HK PR",#N/A,FALSE,"HK"}</definedName>
    <definedName name="ssxsdcdsfcdsf" hidden="1">{"HK PR",#N/A,FALSE,"HK";"SUMMARY",#N/A,FALSE,"PAYROLL";"SUMMARY",#N/A,FALSE,"PAYROLL";"HK PR",#N/A,FALSE,"HK"}</definedName>
    <definedName name="SuperUser" hidden="1">FALSE</definedName>
    <definedName name="t" localSheetId="11" hidden="1">{"F3 Presentation",#N/A,FALSE,"F3 ";"F3 detail",#N/A,FALSE,"F3 "}</definedName>
    <definedName name="t" localSheetId="6" hidden="1">{"F3 Presentation",#N/A,FALSE,"F3 ";"F3 detail",#N/A,FALSE,"F3 "}</definedName>
    <definedName name="t" hidden="1">{"F3 Presentation",#N/A,FALSE,"F3 ";"F3 detail",#N/A,FALSE,"F3 "}</definedName>
    <definedName name="taisan" localSheetId="11" hidden="1">{"'Sheet1'!$L$16"}</definedName>
    <definedName name="taisan" localSheetId="6" hidden="1">{"'Sheet1'!$L$16"}</definedName>
    <definedName name="taisan" hidden="1">{"'Sheet1'!$L$16"}</definedName>
    <definedName name="Tan" localSheetId="11" hidden="1">{"'Sheet1'!$L$16"}</definedName>
    <definedName name="Tan" localSheetId="5" hidden="1">{"'Sheet1'!$L$16"}</definedName>
    <definedName name="Tan" localSheetId="6" hidden="1">{"'Sheet1'!$L$16"}</definedName>
    <definedName name="Tan" hidden="1">{"'Sheet1'!$L$16"}</definedName>
    <definedName name="tbl_ProdInfo" localSheetId="5" hidden="1">#REF!</definedName>
    <definedName name="tbl_ProdInfo" hidden="1">#REF!</definedName>
    <definedName name="TH" localSheetId="11" hidden="1">{"'Sheet1'!$L$16"}</definedName>
    <definedName name="TH" localSheetId="6" hidden="1">{"'Sheet1'!$L$16"}</definedName>
    <definedName name="TH" hidden="1">{"'Sheet1'!$L$16"}</definedName>
    <definedName name="tha" localSheetId="11" hidden="1">{"'Sheet1'!$L$16"}</definedName>
    <definedName name="tha" localSheetId="6" hidden="1">{"'Sheet1'!$L$16"}</definedName>
    <definedName name="tha" hidden="1">{"'Sheet1'!$L$16"}</definedName>
    <definedName name="thanh" localSheetId="11" hidden="1">{"'Sheet1'!$L$16"}</definedName>
    <definedName name="thanh" localSheetId="6" hidden="1">{"'Sheet1'!$L$16"}</definedName>
    <definedName name="thanh" hidden="1">{"'Sheet1'!$L$16"}</definedName>
    <definedName name="thanhthao" localSheetId="11" hidden="1">{#N/A,#N/A,FALSE,"Chi tiÆt"}</definedName>
    <definedName name="thanhthao" localSheetId="6" hidden="1">{#N/A,#N/A,FALSE,"Chi tiÆt"}</definedName>
    <definedName name="thanhthao" hidden="1">{#N/A,#N/A,FALSE,"Chi tiÆt"}</definedName>
    <definedName name="THCP2" localSheetId="11" hidden="1">{"'Sheet1'!$L$16"}</definedName>
    <definedName name="THCP2" localSheetId="5" hidden="1">{"'Sheet1'!$L$16"}</definedName>
    <definedName name="THCP2" localSheetId="6" hidden="1">{"'Sheet1'!$L$16"}</definedName>
    <definedName name="THCP2" hidden="1">{"'Sheet1'!$L$16"}</definedName>
    <definedName name="THCPCTD" localSheetId="11" hidden="1">{"'Sheet1'!$L$16"}</definedName>
    <definedName name="THCPCTD" localSheetId="5" hidden="1">{"'Sheet1'!$L$16"}</definedName>
    <definedName name="THCPCTD" localSheetId="6" hidden="1">{"'Sheet1'!$L$16"}</definedName>
    <definedName name="THCPCTD" hidden="1">{"'Sheet1'!$L$16"}</definedName>
    <definedName name="Thepsan" localSheetId="11" hidden="1">{"'Sheet1'!$L$16"}</definedName>
    <definedName name="Thepsan" localSheetId="6" hidden="1">{"'Sheet1'!$L$16"}</definedName>
    <definedName name="Thepsan" hidden="1">{"'Sheet1'!$L$16"}</definedName>
    <definedName name="thepsan2" localSheetId="11" hidden="1">{"'Sheet1'!$L$16"}</definedName>
    <definedName name="thepsan2" localSheetId="6" hidden="1">{"'Sheet1'!$L$16"}</definedName>
    <definedName name="thepsan2" hidden="1">{"'Sheet1'!$L$16"}</definedName>
    <definedName name="thu" localSheetId="11" hidden="1">{"'Sheet1'!$L$16"}</definedName>
    <definedName name="thu" localSheetId="5" hidden="1">{"'Sheet1'!$L$16"}</definedName>
    <definedName name="thu" localSheetId="6" hidden="1">{"'Sheet1'!$L$16"}</definedName>
    <definedName name="thu" hidden="1">{"'Sheet1'!$L$16"}</definedName>
    <definedName name="TM" localSheetId="11" hidden="1">{"'Sheet1'!$L$16"}</definedName>
    <definedName name="TM" localSheetId="6" hidden="1">{"'Sheet1'!$L$16"}</definedName>
    <definedName name="TM" hidden="1">{"'Sheet1'!$L$16"}</definedName>
    <definedName name="Tonghop" localSheetId="11" hidden="1">{"'Sheet1'!$L$16"}</definedName>
    <definedName name="Tonghop" localSheetId="5" hidden="1">{"'Sheet1'!$L$16"}</definedName>
    <definedName name="Tonghop" localSheetId="6" hidden="1">{"'Sheet1'!$L$16"}</definedName>
    <definedName name="Tonghop" hidden="1">{"'Sheet1'!$L$16"}</definedName>
    <definedName name="trygmdgdh" localSheetId="11" hidden="1">{"'Sheet1'!$L$16"}</definedName>
    <definedName name="trygmdgdh" localSheetId="6" hidden="1">{"'Sheet1'!$L$16"}</definedName>
    <definedName name="trygmdgdh" hidden="1">{"'Sheet1'!$L$16"}</definedName>
    <definedName name="TTSC" localSheetId="11" hidden="1">{"'Sheet1'!$L$16"}</definedName>
    <definedName name="TTSC" localSheetId="5" hidden="1">{"'Sheet1'!$L$16"}</definedName>
    <definedName name="TTSC" localSheetId="6" hidden="1">{"'Sheet1'!$L$16"}</definedName>
    <definedName name="TTSC" hidden="1">{"'Sheet1'!$L$16"}</definedName>
    <definedName name="ttt" localSheetId="11" hidden="1">{"Teacher",#N/A,FALSE,"Summary";"Teacher",#N/A,FALSE,"Assumptions";"Teacher",#N/A,FALSE,"Buildup";"Teacher",#N/A,FALSE,"Financials";"Teacher",#N/A,FALSE,"Debt &amp; Other"}</definedName>
    <definedName name="ttt" localSheetId="5" hidden="1">{"Teacher",#N/A,FALSE,"Summary";"Teacher",#N/A,FALSE,"Assumptions";"Teacher",#N/A,FALSE,"Buildup";"Teacher",#N/A,FALSE,"Financials";"Teacher",#N/A,FALSE,"Debt &amp; Other"}</definedName>
    <definedName name="ttt" localSheetId="6" hidden="1">{"Teacher",#N/A,FALSE,"Summary";"Teacher",#N/A,FALSE,"Assumptions";"Teacher",#N/A,FALSE,"Buildup";"Teacher",#N/A,FALSE,"Financials";"Teacher",#N/A,FALSE,"Debt &amp; Other"}</definedName>
    <definedName name="ttt" hidden="1">{"Teacher",#N/A,FALSE,"Summary";"Teacher",#N/A,FALSE,"Assumptions";"Teacher",#N/A,FALSE,"Buildup";"Teacher",#N/A,FALSE,"Financials";"Teacher",#N/A,FALSE,"Debt &amp; Other"}</definedName>
    <definedName name="tttt" localSheetId="5" hidden="1">#REF!</definedName>
    <definedName name="tttt" hidden="1">#REF!</definedName>
    <definedName name="ttttt" localSheetId="11" hidden="1">{"Reader",#N/A,FALSE,"Summary";"Reader",#N/A,FALSE,"Buildup";"Reader",#N/A,FALSE,"Financials";"Reader",#N/A,FALSE,"Debt &amp; Other"}</definedName>
    <definedName name="ttttt" localSheetId="5" hidden="1">{"Reader",#N/A,FALSE,"Summary";"Reader",#N/A,FALSE,"Buildup";"Reader",#N/A,FALSE,"Financials";"Reader",#N/A,FALSE,"Debt &amp; Other"}</definedName>
    <definedName name="ttttt" localSheetId="6" hidden="1">{"Reader",#N/A,FALSE,"Summary";"Reader",#N/A,FALSE,"Buildup";"Reader",#N/A,FALSE,"Financials";"Reader",#N/A,FALSE,"Debt &amp; Other"}</definedName>
    <definedName name="ttttt" hidden="1">{"Reader",#N/A,FALSE,"Summary";"Reader",#N/A,FALSE,"Buildup";"Reader",#N/A,FALSE,"Financials";"Reader",#N/A,FALSE,"Debt &amp; Other"}</definedName>
    <definedName name="tuy" localSheetId="11" hidden="1">{"'Sheet1'!$L$16"}</definedName>
    <definedName name="tuy" localSheetId="5" hidden="1">{"'Sheet1'!$L$16"}</definedName>
    <definedName name="tuy" localSheetId="6" hidden="1">{"'Sheet1'!$L$16"}</definedName>
    <definedName name="tuy" hidden="1">{"'Sheet1'!$L$16"}</definedName>
    <definedName name="ty" hidden="1">#REF!</definedName>
    <definedName name="Types" localSheetId="5" hidden="1">#REF!</definedName>
    <definedName name="Types" hidden="1">#REF!</definedName>
    <definedName name="u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UGVG" localSheetId="11" hidden="1">{#N/A,#N/A,TRUE,"BT M200 da 10x20"}</definedName>
    <definedName name="UGVG" localSheetId="6" hidden="1">{#N/A,#N/A,TRUE,"BT M200 da 10x20"}</definedName>
    <definedName name="UGVG" hidden="1">{#N/A,#N/A,TRUE,"BT M200 da 10x20"}</definedName>
    <definedName name="vvv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vvv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" localSheetId="11" hidden="1">{"PRINT_EST",#N/A,FALSE,"ESTMON"}</definedName>
    <definedName name="w" hidden="1">{"PRINT_EST",#N/A,FALSE,"ESTMON"}</definedName>
    <definedName name="wf" localSheetId="6" hidden="1">#REF!</definedName>
    <definedName name="wf" hidden="1">#REF!</definedName>
    <definedName name="wrn" localSheetId="11" hidden="1">{"lev2ytd",#N/A,FALSE,"2_LEVYTD"}</definedName>
    <definedName name="wrn" hidden="1">{"lev2ytd",#N/A,FALSE,"2_LEVYTD"}</definedName>
    <definedName name="wrn.1_lev." localSheetId="11" hidden="1">{"level1",#N/A,FALSE,"1_LEV";"LEVEL1",#N/A,FALSE,"1_LEV"}</definedName>
    <definedName name="wrn.1_lev." hidden="1">{"level1",#N/A,FALSE,"1_LEV";"LEVEL1",#N/A,FALSE,"1_LEV"}</definedName>
    <definedName name="wrn.1_levbt." localSheetId="11" hidden="1">{"lev1bt",#N/A,FALSE,"1_LEVB-T"}</definedName>
    <definedName name="wrn.1_levbt." hidden="1">{"lev1bt",#N/A,FALSE,"1_LEVB-T"}</definedName>
    <definedName name="wrn.2_levmon." localSheetId="11" hidden="1">{"lev2mon",#N/A,FALSE,"2_levmon"}</definedName>
    <definedName name="wrn.2_levmon." hidden="1">{"lev2mon",#N/A,FALSE,"2_levmon"}</definedName>
    <definedName name="wrn.2_levmonbt." localSheetId="11" hidden="1">{"lev2monbt",#N/A,FALSE,"2_levmonB-T"}</definedName>
    <definedName name="wrn.2_levmonbt." hidden="1">{"lev2monbt",#N/A,FALSE,"2_levmonB-T"}</definedName>
    <definedName name="wrn.2_levytd." localSheetId="11" hidden="1">{"lev2ytd",#N/A,FALSE,"2_LEVYTD"}</definedName>
    <definedName name="wrn.2_levytd." hidden="1">{"lev2ytd",#N/A,FALSE,"2_LEVYTD"}</definedName>
    <definedName name="wrn.2_levytdbt." localSheetId="11" hidden="1">{"lev2tytbt",#N/A,FALSE,"2_LEVYTDB-T"}</definedName>
    <definedName name="wrn.2_levytdbt." hidden="1">{"lev2tytbt",#N/A,FALSE,"2_LEVYTDB-T"}</definedName>
    <definedName name="wrn.448k." localSheetId="11" hidden="1">{"Profit",#N/A,FALSE,"448k";"Capital",#N/A,FALSE,"448k"}</definedName>
    <definedName name="wrn.448k." localSheetId="6" hidden="1">{"Profit",#N/A,FALSE,"448k";"Capital",#N/A,FALSE,"448k"}</definedName>
    <definedName name="wrn.448k." hidden="1">{"Profit",#N/A,FALSE,"448k";"Capital",#N/A,FALSE,"448k"}</definedName>
    <definedName name="wrn.4500_4P." localSheetId="11" hidden="1">{"Profit",#N/A,FALSE,"4500(4P)";"Capital",#N/A,FALSE,"4500(4P)"}</definedName>
    <definedName name="wrn.4500_4P." localSheetId="6" hidden="1">{"Profit",#N/A,FALSE,"4500(4P)";"Capital",#N/A,FALSE,"4500(4P)"}</definedName>
    <definedName name="wrn.4500_4P." hidden="1">{"Profit",#N/A,FALSE,"4500(4P)";"Capital",#N/A,FALSE,"4500(4P)"}</definedName>
    <definedName name="wrn.4500_6P." localSheetId="11" hidden="1">{"Profit",#N/A,FALSE,"4500(6P)";"Capital",#N/A,FALSE,"4500(6P)"}</definedName>
    <definedName name="wrn.4500_6P." localSheetId="6" hidden="1">{"Profit",#N/A,FALSE,"4500(6P)";"Capital",#N/A,FALSE,"4500(6P)"}</definedName>
    <definedName name="wrn.4500_6P." hidden="1">{"Profit",#N/A,FALSE,"4500(6P)";"Capital",#N/A,FALSE,"4500(6P)"}</definedName>
    <definedName name="wrn.4500_8P." localSheetId="11" hidden="1">{"Profit",#N/A,FALSE,"4500(8P)";"Capital",#N/A,FALSE,"4500(8P)"}</definedName>
    <definedName name="wrn.4500_8P." localSheetId="6" hidden="1">{"Profit",#N/A,FALSE,"4500(8P)";"Capital",#N/A,FALSE,"4500(8P)"}</definedName>
    <definedName name="wrn.4500_8P." hidden="1">{"Profit",#N/A,FALSE,"4500(8P)";"Capital",#N/A,FALSE,"4500(8P)"}</definedName>
    <definedName name="wrn.ACCRUE._.PAYROLL." localSheetId="11" hidden="1">{"HK PR",#N/A,FALSE,"HK";"SUMMARY",#N/A,FALSE,"PAYROLL";"SUMMARY",#N/A,FALSE,"PAYROLL";"HK PR",#N/A,FALSE,"HK"}</definedName>
    <definedName name="wrn.ACCRUE._.PAYROLL." localSheetId="5" hidden="1">{"HK PR",#N/A,FALSE,"HK";"SUMMARY",#N/A,FALSE,"PAYROLL";"SUMMARY",#N/A,FALSE,"PAYROLL";"HK PR",#N/A,FALSE,"HK"}</definedName>
    <definedName name="wrn.ACCRUE._.PAYROLL." localSheetId="6" hidden="1">{"HK PR",#N/A,FALSE,"HK";"SUMMARY",#N/A,FALSE,"PAYROLL";"SUMMARY",#N/A,FALSE,"PAYROLL";"HK PR",#N/A,FALSE,"HK"}</definedName>
    <definedName name="wrn.ACCRUE._.PAYROLL." hidden="1">{"HK PR",#N/A,FALSE,"HK";"SUMMARY",#N/A,FALSE,"PAYROLL";"SUMMARY",#N/A,FALSE,"PAYROLL";"HK PR",#N/A,FALSE,"HK"}</definedName>
    <definedName name="wrn.Acquisition_matrix." localSheetId="11" hidden="1">{"Acq_matrix",#N/A,FALSE,"Acquisition Matrix"}</definedName>
    <definedName name="wrn.Acquisition_matrix." localSheetId="5" hidden="1">{"Acq_matrix",#N/A,FALSE,"Acquisition Matrix"}</definedName>
    <definedName name="wrn.Acquisition_matrix." localSheetId="6" hidden="1">{"Acq_matrix",#N/A,FALSE,"Acquisition Matrix"}</definedName>
    <definedName name="wrn.Acquisition_matrix." hidden="1">{"Acq_matrix",#N/A,FALSE,"Acquisition Matrix"}</definedName>
    <definedName name="wrn.adj95." localSheetId="11" hidden="1">{"adj95mult",#N/A,FALSE,"COMPCO";"adj95est",#N/A,FALSE,"COMPCO"}</definedName>
    <definedName name="wrn.adj95." localSheetId="5" hidden="1">{"adj95mult",#N/A,FALSE,"COMPCO";"adj95est",#N/A,FALSE,"COMPCO"}</definedName>
    <definedName name="wrn.adj95." localSheetId="6" hidden="1">{"adj95mult",#N/A,FALSE,"COMPCO";"adj95est",#N/A,FALSE,"COMPCO"}</definedName>
    <definedName name="wrn.adj95." hidden="1">{"adj95mult",#N/A,FALSE,"COMPCO";"adj95est",#N/A,FALSE,"COMPCO"}</definedName>
    <definedName name="wrn.ALL." localSheetId="11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5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localSheetId="6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" hidden="1">{"WHOLE",#N/A,FALSE,"Roll-Up";"DCF",#N/A,FALSE,"SLC ";"DCF",#N/A,FALSE,"El Paso";"DCF",#N/A,FALSE,"Phoenix";"DCF",#N/A,FALSE,"Boise";"DCF",#N/A,FALSE,"Albuquerque";"DCF",#N/A,FALSE,"SLC -- Peter and Idaho Falls";"DCF",#N/A,FALSE,"Great Way";"DCF",#N/A,FALSE,"Great Way-Leavitt Ins.";"DCF",#N/A,FALSE,"Sapp Brothers"}</definedName>
    <definedName name="wrn.all._.print." localSheetId="11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5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localSheetId="6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localSheetId="11" hidden="1">{"AQUIRORDCF",#N/A,FALSE,"Merger consequences";"Acquirorassns",#N/A,FALSE,"Merger consequences"}</definedName>
    <definedName name="wrn.AQUIROR._.DCF." localSheetId="5" hidden="1">{"AQUIRORDCF",#N/A,FALSE,"Merger consequences";"Acquirorassns",#N/A,FALSE,"Merger consequences"}</definedName>
    <definedName name="wrn.AQUIROR._.DCF." localSheetId="6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SSDEPART2.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localSheetId="11" hidden="1">{"balance",#N/A,FALSE,"BALANCE"}</definedName>
    <definedName name="wrn.BALANCE." hidden="1">{"balance",#N/A,FALSE,"BALANCE"}</definedName>
    <definedName name="wrn.BAOCAO." localSheetId="11" hidden="1">{#N/A,#N/A,FALSE,"sum";#N/A,#N/A,FALSE,"MARTV";#N/A,#N/A,FALSE,"APRTV"}</definedName>
    <definedName name="wrn.BAOCAO." localSheetId="6" hidden="1">{#N/A,#N/A,FALSE,"sum";#N/A,#N/A,FALSE,"MARTV";#N/A,#N/A,FALSE,"APRTV"}</definedName>
    <definedName name="wrn.BAOCAO." hidden="1">{#N/A,#N/A,FALSE,"sum";#N/A,#N/A,FALSE,"MARTV";#N/A,#N/A,FALSE,"APRTV"}</definedName>
    <definedName name="wrn.BidReview." localSheetId="11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localSheetId="6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localSheetId="11" hidden="1">{"CapitalInput",#N/A,FALSE,"Equipt Input";"Capital Profile",#N/A,FALSE,"Equipt Input"}</definedName>
    <definedName name="wrn.Capital." localSheetId="6" hidden="1">{"CapitalInput",#N/A,FALSE,"Equipt Input";"Capital Profile",#N/A,FALSE,"Equipt Input"}</definedName>
    <definedName name="wrn.Capital." hidden="1">{"CapitalInput",#N/A,FALSE,"Equipt Input";"Capital Profile",#N/A,FALSE,"Equipt Input"}</definedName>
    <definedName name="wrn.cashflow." localSheetId="11" hidden="1">{"cashflow",#N/A,FALSE,"CASHFLOW "}</definedName>
    <definedName name="wrn.cashflow." hidden="1">{"cashflow",#N/A,FALSE,"CASHFLOW "}</definedName>
    <definedName name="wrn.chi._.tiÆt." localSheetId="11" hidden="1">{#N/A,#N/A,FALSE,"Chi tiÆt"}</definedName>
    <definedName name="wrn.chi._.tiÆt." localSheetId="5" hidden="1">{#N/A,#N/A,FALSE,"Chi tiÆt"}</definedName>
    <definedName name="wrn.chi._.tiÆt." localSheetId="6" hidden="1">{#N/A,#N/A,FALSE,"Chi tiÆt"}</definedName>
    <definedName name="wrn.chi._.tiÆt." hidden="1">{#N/A,#N/A,FALSE,"Chi tiÆt"}</definedName>
    <definedName name="wrn.cisco2501." localSheetId="11" hidden="1">{"Profit",#N/A,FALSE,"cisco2501";"Capital",#N/A,FALSE,"cisco2501"}</definedName>
    <definedName name="wrn.cisco2501." localSheetId="6" hidden="1">{"Profit",#N/A,FALSE,"cisco2501";"Capital",#N/A,FALSE,"cisco2501"}</definedName>
    <definedName name="wrn.cisco2501." hidden="1">{"Profit",#N/A,FALSE,"cisco2501";"Capital",#N/A,FALSE,"cisco2501"}</definedName>
    <definedName name="wrn.cisco2501a." localSheetId="11" hidden="1">{"Profit",#N/A,FALSE,"Cisco2501a";"Capital",#N/A,FALSE,"Cisco2501a"}</definedName>
    <definedName name="wrn.cisco2501a." localSheetId="6" hidden="1">{"Profit",#N/A,FALSE,"Cisco2501a";"Capital",#N/A,FALSE,"Cisco2501a"}</definedName>
    <definedName name="wrn.cisco2501a." hidden="1">{"Profit",#N/A,FALSE,"Cisco2501a";"Capital",#N/A,FALSE,"Cisco2501a"}</definedName>
    <definedName name="wrn.cisco2514." localSheetId="11" hidden="1">{"Profit",#N/A,FALSE,"Cisco2514";"Capital",#N/A,FALSE,"Cisco2514"}</definedName>
    <definedName name="wrn.cisco2514." localSheetId="6" hidden="1">{"Profit",#N/A,FALSE,"Cisco2514";"Capital",#N/A,FALSE,"Cisco2514"}</definedName>
    <definedName name="wrn.cisco2514." hidden="1">{"Profit",#N/A,FALSE,"Cisco2514";"Capital",#N/A,FALSE,"Cisco2514"}</definedName>
    <definedName name="wrn.cisco4000." localSheetId="11" hidden="1">{"Profit",#N/A,FALSE,"4500(12)";"Capital",#N/A,FALSE,"4500(12)";"Profit",#N/A,FALSE,"Cisco4000";"Capital",#N/A,FALSE,"Cisco4000"}</definedName>
    <definedName name="wrn.cisco4000." localSheetId="6" hidden="1">{"Profit",#N/A,FALSE,"4500(12)";"Capital",#N/A,FALSE,"4500(12)";"Profit",#N/A,FALSE,"Cisco4000";"Capital",#N/A,FALSE,"Cisco4000"}</definedName>
    <definedName name="wrn.cisco4000." hidden="1">{"Profit",#N/A,FALSE,"4500(12)";"Capital",#N/A,FALSE,"4500(12)";"Profit",#N/A,FALSE,"Cisco4000";"Capital",#N/A,FALSE,"Cisco4000"}</definedName>
    <definedName name="wrn.cisco4500." localSheetId="11" hidden="1">{"Profit",#N/A,FALSE,"Cisco4500";"Capital",#N/A,FALSE,"Cisco4500"}</definedName>
    <definedName name="wrn.cisco4500." localSheetId="6" hidden="1">{"Profit",#N/A,FALSE,"Cisco4500";"Capital",#N/A,FALSE,"Cisco4500"}</definedName>
    <definedName name="wrn.cisco4500." hidden="1">{"Profit",#N/A,FALSE,"Cisco4500";"Capital",#N/A,FALSE,"Cisco4500"}</definedName>
    <definedName name="wrn.Cisco4500p." localSheetId="11" hidden="1">{"Profit",#N/A,FALSE,"Cisco 4500p";"Capital",#N/A,FALSE,"Cisco 4500p"}</definedName>
    <definedName name="wrn.Cisco4500p." localSheetId="6" hidden="1">{"Profit",#N/A,FALSE,"Cisco 4500p";"Capital",#N/A,FALSE,"Cisco 4500p"}</definedName>
    <definedName name="wrn.Cisco4500p." hidden="1">{"Profit",#N/A,FALSE,"Cisco 4500p";"Capital",#N/A,FALSE,"Cisco 4500p"}</definedName>
    <definedName name="wrn.cisco7000a." localSheetId="11" hidden="1">{"Profit",#N/A,FALSE,"Cisco7000a";"Capital",#N/A,FALSE,"Cisco7000a"}</definedName>
    <definedName name="wrn.cisco7000a." localSheetId="6" hidden="1">{"Profit",#N/A,FALSE,"Cisco7000a";"Capital",#N/A,FALSE,"Cisco7000a"}</definedName>
    <definedName name="wrn.cisco7000a." hidden="1">{"Profit",#N/A,FALSE,"Cisco7000a";"Capital",#N/A,FALSE,"Cisco7000a"}</definedName>
    <definedName name="wrn.CiscoAGS." localSheetId="11" hidden="1">{"Profit",#N/A,FALSE,"ciscoags+";"Capital",#N/A,FALSE,"ciscoags+"}</definedName>
    <definedName name="wrn.CiscoAGS." localSheetId="6" hidden="1">{"Profit",#N/A,FALSE,"ciscoags+";"Capital",#N/A,FALSE,"ciscoags+"}</definedName>
    <definedName name="wrn.CiscoAGS." hidden="1">{"Profit",#N/A,FALSE,"ciscoags+";"Capital",#N/A,FALSE,"ciscoags+"}</definedName>
    <definedName name="wrn.compco." localSheetId="11" hidden="1">{"mult96",#N/A,FALSE,"PETCOMP";"est96",#N/A,FALSE,"PETCOMP";"mult95",#N/A,FALSE,"PETCOMP";"est95",#N/A,FALSE,"PETCOMP";"multltm",#N/A,FALSE,"PETCOMP";"resultltm",#N/A,FALSE,"PETCOMP"}</definedName>
    <definedName name="wrn.compco." localSheetId="5" hidden="1">{"mult96",#N/A,FALSE,"PETCOMP";"est96",#N/A,FALSE,"PETCOMP";"mult95",#N/A,FALSE,"PETCOMP";"est95",#N/A,FALSE,"PETCOMP";"multltm",#N/A,FALSE,"PETCOMP";"resultltm",#N/A,FALSE,"PETCOMP"}</definedName>
    <definedName name="wrn.compco." localSheetId="6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localSheetId="11" hidden="1">{"PLCustom",#N/A,FALSE,"P&amp;L summary"}</definedName>
    <definedName name="wrn.CustomPrice." localSheetId="6" hidden="1">{"PLCustom",#N/A,FALSE,"P&amp;L summary"}</definedName>
    <definedName name="wrn.CustomPrice." hidden="1">{"PLCustom",#N/A,FALSE,"P&amp;L summary"}</definedName>
    <definedName name="wrn.DCF." localSheetId="11" hidden="1">{"DCF1",#N/A,FALSE,"SIERRA DCF";"MATRIX1",#N/A,FALSE,"SIERRA DCF"}</definedName>
    <definedName name="wrn.DCF." localSheetId="5" hidden="1">{"DCF1",#N/A,FALSE,"SIERRA DCF";"MATRIX1",#N/A,FALSE,"SIERRA DCF"}</definedName>
    <definedName name="wrn.DCF." localSheetId="6" hidden="1">{"DCF1",#N/A,FALSE,"SIERRA DCF";"MATRIX1",#N/A,FALSE,"SIERRA DCF"}</definedName>
    <definedName name="wrn.DCF." hidden="1">{"DCF1",#N/A,FALSE,"SIERRA DCF";"MATRIX1",#N/A,FALSE,"SIERRA DCF"}</definedName>
    <definedName name="wrn.DCF_Terminal_Value_qchm." localSheetId="11" hidden="1">{"qchm_dcf",#N/A,FALSE,"QCHMDCF2";"qchm_terminal",#N/A,FALSE,"QCHMDCF2"}</definedName>
    <definedName name="wrn.DCF_Terminal_Value_qchm." localSheetId="5" hidden="1">{"qchm_dcf",#N/A,FALSE,"QCHMDCF2";"qchm_terminal",#N/A,FALSE,"QCHMDCF2"}</definedName>
    <definedName name="wrn.DCF_Terminal_Value_qchm." localSheetId="6" hidden="1">{"qchm_dcf",#N/A,FALSE,"QCHMDCF2";"qchm_terminal",#N/A,FALSE,"QCHMDCF2"}</definedName>
    <definedName name="wrn.DCF_Terminal_Value_qchm." hidden="1">{"qchm_dcf",#N/A,FALSE,"QCHMDCF2";"qchm_terminal",#N/A,FALSE,"QCHMDCF2"}</definedName>
    <definedName name="wrn.dep12." localSheetId="11" hidden="1">{#N/A,#N/A,FALSE,"PM1";#N/A,#N/A,FALSE,"PM2";#N/A,#N/A,FALSE,"PM3";#N/A,#N/A,FALSE,"PM4";#N/A,#N/A,FALSE,"PM5";#N/A,#N/A,FALSE,"PM6";#N/A,#N/A,FALSE,"CM1"}</definedName>
    <definedName name="wrn.dep12." hidden="1">{#N/A,#N/A,FALSE,"PM1";#N/A,#N/A,FALSE,"PM2";#N/A,#N/A,FALSE,"PM3";#N/A,#N/A,FALSE,"PM4";#N/A,#N/A,FALSE,"PM5";#N/A,#N/A,FALSE,"PM6";#N/A,#N/A,FALSE,"CM1"}</definedName>
    <definedName name="wrn.Depn." localSheetId="11" hidden="1">{"Depn",#N/A,TRUE,"Equipt Input"}</definedName>
    <definedName name="wrn.Depn." localSheetId="6" hidden="1">{"Depn",#N/A,TRUE,"Equipt Input"}</definedName>
    <definedName name="wrn.Depn." hidden="1">{"Depn",#N/A,TRUE,"Equipt Input"}</definedName>
    <definedName name="wrn.Economic._.Value._.Added._.Analysis." localSheetId="11" hidden="1">{"EVA",#N/A,FALSE,"EVA";"WACC",#N/A,FALSE,"WACC"}</definedName>
    <definedName name="wrn.Economic._.Value._.Added._.Analysis." localSheetId="5" hidden="1">{"EVA",#N/A,FALSE,"EVA";"WACC",#N/A,FALSE,"WACC"}</definedName>
    <definedName name="wrn.Economic._.Value._.Added._.Analysis." localSheetId="6" hidden="1">{"EVA",#N/A,FALSE,"EVA";"WACC",#N/A,FALSE,"WACC"}</definedName>
    <definedName name="wrn.Economic._.Value._.Added._.Analysis." hidden="1">{"EVA",#N/A,FALSE,"EVA";"WACC",#N/A,FALSE,"WACC"}</definedName>
    <definedName name="wrn.extn_2501." localSheetId="11" hidden="1">{"Profit",#N/A,FALSE,"extn_2501";"Capital",#N/A,FALSE,"extn_2501"}</definedName>
    <definedName name="wrn.extn_2501." localSheetId="6" hidden="1">{"Profit",#N/A,FALSE,"extn_2501";"Capital",#N/A,FALSE,"extn_2501"}</definedName>
    <definedName name="wrn.extn_2501." hidden="1">{"Profit",#N/A,FALSE,"extn_2501";"Capital",#N/A,FALSE,"extn_2501"}</definedName>
    <definedName name="wrn.Financials." localSheetId="11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localSheetId="6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localSheetId="11" hidden="1">{"finsumm",#N/A,FALSE,"Finsumm";"graph",#N/A,FALSE,"Finsumm";"costgraph",#N/A,FALSE,"Finsumm";"costbreakdown",#N/A,FALSE,"Finsumm"}</definedName>
    <definedName name="wrn.finsummary." localSheetId="6" hidden="1">{"finsumm",#N/A,FALSE,"Finsumm";"graph",#N/A,FALSE,"Finsumm";"costgraph",#N/A,FALSE,"Finsumm";"costbreakdown",#N/A,FALSE,"Finsumm"}</definedName>
    <definedName name="wrn.finsummary." hidden="1">{"finsumm",#N/A,FALSE,"Finsumm";"graph",#N/A,FALSE,"Finsumm";"costgraph",#N/A,FALSE,"Finsumm";"costbreakdown",#N/A,FALSE,"Finsumm"}</definedName>
    <definedName name="wrn.Full._.without._.data." localSheetId="11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5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localSheetId="6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localSheetId="1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5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localSheetId="6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localSheetId="11" hidden="1">{"hilight1",#N/A,FALSE,"HILIGHT1"}</definedName>
    <definedName name="wrn.hilight1." hidden="1">{"hilight1",#N/A,FALSE,"HILIGHT1"}</definedName>
    <definedName name="wrn.hilight2." localSheetId="11" hidden="1">{"hilight2",#N/A,FALSE,"HILIGHT2"}</definedName>
    <definedName name="wrn.hilight2." hidden="1">{"hilight2",#N/A,FALSE,"HILIGHT2"}</definedName>
    <definedName name="wrn.hilight3." localSheetId="11" hidden="1">{"hilight3",#N/A,FALSE,"HILIGHT3"}</definedName>
    <definedName name="wrn.hilight3." hidden="1">{"hilight3",#N/A,FALSE,"HILIGHT3"}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localSheetId="11" hidden="1">{"income",#N/A,FALSE,"INCOME"}</definedName>
    <definedName name="wrn.income." hidden="1">{"income",#N/A,FALSE,"INCOME"}</definedName>
    <definedName name="wrn.index." localSheetId="11" hidden="1">{"index",#N/A,FALSE,"INDEX"}</definedName>
    <definedName name="wrn.index." hidden="1">{"index",#N/A,FALSE,"INDEX"}</definedName>
    <definedName name="wrn.Inputs." localSheetId="11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localSheetId="6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localSheetId="11" hidden="1">{"month_a",#N/A,FALSE,"ACTUALS";"ytd_a",#N/A,FALSE,"ACTUALS"}</definedName>
    <definedName name="wrn.MONTH._.YTD." localSheetId="6" hidden="1">{"month_a",#N/A,FALSE,"ACTUALS";"ytd_a",#N/A,FALSE,"ACTUALS"}</definedName>
    <definedName name="wrn.MONTH._.YTD." hidden="1">{"month_a",#N/A,FALSE,"ACTUALS";"ytd_a",#N/A,FALSE,"ACTUALS"}</definedName>
    <definedName name="wrn.MONTHLY.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localSheetId="11" hidden="1">{#N/A,#N/A,FALSE,"Tabelle2";#N/A,#N/A,FALSE,"Tabelle1"}</definedName>
    <definedName name="wrn.Monthly._.Statement." localSheetId="5" hidden="1">{#N/A,#N/A,FALSE,"Tabelle2";#N/A,#N/A,FALSE,"Tabelle1"}</definedName>
    <definedName name="wrn.Monthly._.Statement." localSheetId="6" hidden="1">{#N/A,#N/A,FALSE,"Tabelle2";#N/A,#N/A,FALSE,"Tabelle1"}</definedName>
    <definedName name="wrn.Monthly._.Statement." hidden="1">{#N/A,#N/A,FALSE,"Tabelle2";#N/A,#N/A,FALSE,"Tabelle1"}</definedName>
    <definedName name="wrn.NonPay.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.NonPay." localSheetId="6" hidden="1">{"ResourceNonPay",#N/A,FALSE,"pay_non pay input";"CapMaint",#N/A,FALSE,"Equipt Input";"CurrEqptProfile",#N/A,FALSE,"Equipt Input";"Curr Eqpt Mtce",#N/A,FALSE,"Equipt Input";"Miscellaneous",#N/A,FALSE,"Misc."}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localSheetId="11" hidden="1">{#N/A,#N/A,FALSE,"Assumptions";"Basedata",#N/A,FALSE,"BASEINPUT";"Checklist",#N/A,FALSE,"BASEINPUT"}</definedName>
    <definedName name="wrn.Notes." localSheetId="6" hidden="1">{#N/A,#N/A,FALSE,"Assumptions";"Basedata",#N/A,FALSE,"BASEINPUT";"Checklist",#N/A,FALSE,"BASEINPUT"}</definedName>
    <definedName name="wrn.Notes." hidden="1">{#N/A,#N/A,FALSE,"Assumptions";"Basedata",#N/A,FALSE,"BASEINPUT";"Checklist",#N/A,FALSE,"BASEINPUT"}</definedName>
    <definedName name="wrn.OUTPUT." localSheetId="11" hidden="1">{"DCF","UPSIDE CASE",FALSE,"Sheet1";"DCF","BASE CASE",FALSE,"Sheet1";"DCF","DOWNSIDE CASE",FALSE,"Sheet1"}</definedName>
    <definedName name="wrn.OUTPUT." localSheetId="5" hidden="1">{"DCF","UPSIDE CASE",FALSE,"Sheet1";"DCF","BASE CASE",FALSE,"Sheet1";"DCF","DOWNSIDE CASE",FALSE,"Sheet1"}</definedName>
    <definedName name="wrn.OUTPUT." localSheetId="6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phak." localSheetId="11" hidden="1">{#N/A,#N/A,TRUE,"Tæng hîp"}</definedName>
    <definedName name="wrn.phak." localSheetId="5" hidden="1">{#N/A,#N/A,TRUE,"Tæng hîp"}</definedName>
    <definedName name="wrn.phak." localSheetId="6" hidden="1">{#N/A,#N/A,TRUE,"Tæng hîp"}</definedName>
    <definedName name="wrn.phak." hidden="1">{#N/A,#N/A,TRUE,"Tæng hîp"}</definedName>
    <definedName name="wrn.PMDEPAER2." localSheetId="11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localSheetId="11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localSheetId="6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localSheetId="11" hidden="1">{#N/A,#N/A,FALSE,"Admin";#N/A,#N/A,FALSE,"Other"}</definedName>
    <definedName name="wrn.print." localSheetId="5" hidden="1">{#N/A,#N/A,FALSE,"Admin";#N/A,#N/A,FALSE,"Other"}</definedName>
    <definedName name="wrn.print." localSheetId="6" hidden="1">{#N/A,#N/A,FALSE,"Admin";#N/A,#N/A,FALSE,"Other"}</definedName>
    <definedName name="wrn.print." hidden="1">{#N/A,#N/A,FALSE,"Admin";#N/A,#N/A,FALSE,"Other"}</definedName>
    <definedName name="wrn.Reader." localSheetId="11" hidden="1">{"Reader",#N/A,FALSE,"Summary";"Reader",#N/A,FALSE,"Buildup";"Reader",#N/A,FALSE,"Financials";"Reader",#N/A,FALSE,"Debt &amp; Other"}</definedName>
    <definedName name="wrn.Reader." localSheetId="5" hidden="1">{"Reader",#N/A,FALSE,"Summary";"Reader",#N/A,FALSE,"Buildup";"Reader",#N/A,FALSE,"Financials";"Reader",#N/A,FALSE,"Debt &amp; Other"}</definedName>
    <definedName name="wrn.Reader." localSheetId="6" hidden="1">{"Reader",#N/A,FALSE,"Summary";"Reader",#N/A,FALSE,"Buildup";"Reader",#N/A,FALSE,"Financials";"Reader",#N/A,FALSE,"Debt &amp; Other"}</definedName>
    <definedName name="wrn.Reader." hidden="1">{"Reader",#N/A,FALSE,"Summary";"Reader",#N/A,FALSE,"Buildup";"Reader",#N/A,FALSE,"Financials";"Reader",#N/A,FALSE,"Debt &amp; Other"}</definedName>
    <definedName name="wrn.Report." localSheetId="1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6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localSheetId="11" hidden="1">{"PRINT_EST",#N/A,FALSE,"ESTMON"}</definedName>
    <definedName name="wrn.REPORT_EST." hidden="1">{"PRINT_EST",#N/A,FALSE,"ESTMON"}</definedName>
    <definedName name="wrn.rev_sale._.report." localSheetId="11" hidden="1">{"revsale",#N/A,FALSE,"REV-ยุพดี"}</definedName>
    <definedName name="wrn.rev_sale._.report." hidden="1">{"revsale",#N/A,FALSE,"REV-ยุพดี"}</definedName>
    <definedName name="wrn.revable." localSheetId="11" hidden="1">{"revable",#N/A,FALSE,"REVABLE"}</definedName>
    <definedName name="wrn.revable." hidden="1">{"revable",#N/A,FALSE,"REVABLE"}</definedName>
    <definedName name="wrn.RLDEPART2.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localSheetId="11" hidden="1">{"sales",#N/A,FALSE,"SALES"}</definedName>
    <definedName name="wrn.sales._.report." hidden="1">{"sales",#N/A,FALSE,"SALES"}</definedName>
    <definedName name="wrn.SOCIEDAD." localSheetId="11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localSheetId="6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localSheetId="11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rn.TARGET._.DCF." localSheetId="11" hidden="1">{"targetdcf",#N/A,FALSE,"Merger consequences";"TARGETASSU",#N/A,FALSE,"Merger consequences";"TERMINAL VALUE",#N/A,FALSE,"Merger consequences"}</definedName>
    <definedName name="wrn.TARGET._.DCF." localSheetId="5" hidden="1">{"targetdcf",#N/A,FALSE,"Merger consequences";"TARGETASSU",#N/A,FALSE,"Merger consequences";"TERMINAL VALUE",#N/A,FALSE,"Merger consequences"}</definedName>
    <definedName name="wrn.TARGET._.DCF." localSheetId="6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t." localSheetId="11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5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localSheetId="6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localSheetId="11" hidden="1">{"Teacher",#N/A,FALSE,"Summary";"Teacher",#N/A,FALSE,"Assumptions";"Teacher",#N/A,FALSE,"Buildup";"Teacher",#N/A,FALSE,"Financials";"Teacher",#N/A,FALSE,"Debt &amp; Other"}</definedName>
    <definedName name="wrn.Teacher." localSheetId="5" hidden="1">{"Teacher",#N/A,FALSE,"Summary";"Teacher",#N/A,FALSE,"Assumptions";"Teacher",#N/A,FALSE,"Buildup";"Teacher",#N/A,FALSE,"Financials";"Teacher",#N/A,FALSE,"Debt &amp; Other"}</definedName>
    <definedName name="wrn.Teacher." localSheetId="6" hidden="1">{"Teacher",#N/A,FALSE,"Summary";"Teacher",#N/A,FALSE,"Assumptions";"Teacher",#N/A,FALSE,"Buildup";"Teacher",#N/A,FALSE,"Financials";"Teacher",#N/A,FALSE,"Debt &amp; Other"}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localSheetId="11" hidden="1">{"F3 Presentation",#N/A,FALSE,"F3 ";"F3 detail",#N/A,FALSE,"F3 "}</definedName>
    <definedName name="wrn.test." localSheetId="6" hidden="1">{"F3 Presentation",#N/A,FALSE,"F3 ";"F3 detail",#N/A,FALSE,"F3 "}</definedName>
    <definedName name="wrn.test." hidden="1">{"F3 Presentation",#N/A,FALSE,"F3 ";"F3 detail",#N/A,FALSE,"F3 "}</definedName>
    <definedName name="wrn.test2." localSheetId="11" hidden="1">{"F3 detail",#N/A,FALSE,"F3 ";"F3 Presentation",#N/A,FALSE,"F3 "}</definedName>
    <definedName name="wrn.test2." localSheetId="6" hidden="1">{"F3 detail",#N/A,FALSE,"F3 ";"F3 Presentation",#N/A,FALSE,"F3 "}</definedName>
    <definedName name="wrn.test2." hidden="1">{"F3 detail",#N/A,FALSE,"F3 ";"F3 Presentation",#N/A,FALSE,"F3 "}</definedName>
    <definedName name="wrn.test3." localSheetId="11" hidden="1">{"F3 detail",#N/A,FALSE,"F1";"F3 Presentation",#N/A,FALSE,"F3 "}</definedName>
    <definedName name="wrn.test3." localSheetId="6" hidden="1">{"F3 detail",#N/A,FALSE,"F1";"F3 Presentation",#N/A,FALSE,"F3 "}</definedName>
    <definedName name="wrn.test3." hidden="1">{"F3 detail",#N/A,FALSE,"F1";"F3 Presentation",#N/A,FALSE,"F3 "}</definedName>
    <definedName name="wrn.vd." localSheetId="11" hidden="1">{#N/A,#N/A,TRUE,"BT M200 da 10x20"}</definedName>
    <definedName name="wrn.vd." localSheetId="5" hidden="1">{#N/A,#N/A,TRUE,"BT M200 da 10x20"}</definedName>
    <definedName name="wrn.vd." localSheetId="6" hidden="1">{#N/A,#N/A,TRUE,"BT M200 da 10x20"}</definedName>
    <definedName name="wrn.vd." hidden="1">{#N/A,#N/A,TRUE,"BT M200 da 10x20"}</definedName>
    <definedName name="WRN2.NONPAY" localSheetId="11" hidden="1">{"ResourceNonPay",#N/A,FALSE,"pay_non pay input";"CapMaint",#N/A,FALSE,"Equipt Input";"CurrEqptProfile",#N/A,FALSE,"Equipt Input";"Curr Eqpt Mtce",#N/A,FALSE,"Equipt Input";"Miscellaneous",#N/A,FALSE,"Misc."}</definedName>
    <definedName name="WRN2.NONPAY" localSheetId="6" hidden="1">{"ResourceNonPay",#N/A,FALSE,"pay_non pay input";"CapMaint",#N/A,FALSE,"Equipt Input";"CurrEqptProfile",#N/A,FALSE,"Equipt Input";"Curr Eqpt Mtce",#N/A,FALSE,"Equipt Input";"Miscellaneous",#N/A,FALSE,"Misc."}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ww" localSheetId="11" hidden="1">{"revable",#N/A,FALSE,"REVABLE"}</definedName>
    <definedName name="www" hidden="1">{"revable",#N/A,FALSE,"REVABLE"}</definedName>
    <definedName name="x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Xadas" localSheetId="5" hidden="1">#REF!</definedName>
    <definedName name="Xadas" hidden="1">#REF!</definedName>
    <definedName name="xdfgsg" localSheetId="11" hidden="1">{"Profit",#N/A,FALSE,"Cisco7000a";"Capital",#N/A,FALSE,"Cisco7000a"}</definedName>
    <definedName name="xdfgsg" localSheetId="6" hidden="1">{"Profit",#N/A,FALSE,"Cisco7000a";"Capital",#N/A,FALSE,"Cisco7000a"}</definedName>
    <definedName name="xdfgsg" hidden="1">{"Profit",#N/A,FALSE,"Cisco7000a";"Capital",#N/A,FALSE,"Cisco7000a"}</definedName>
    <definedName name="xkeogjana" localSheetId="11" hidden="1">{"Reader",#N/A,FALSE,"Summary";"Reader",#N/A,FALSE,"Buildup";"Reader",#N/A,FALSE,"Financials";"Reader",#N/A,FALSE,"Debt &amp; Other"}</definedName>
    <definedName name="xkeogjana" localSheetId="5" hidden="1">{"Reader",#N/A,FALSE,"Summary";"Reader",#N/A,FALSE,"Buildup";"Reader",#N/A,FALSE,"Financials";"Reader",#N/A,FALSE,"Debt &amp; Other"}</definedName>
    <definedName name="xkeogjana" localSheetId="6" hidden="1">{"Reader",#N/A,FALSE,"Summary";"Reader",#N/A,FALSE,"Buildup";"Reader",#N/A,FALSE,"Financials";"Reader",#N/A,FALSE,"Debt &amp; Other"}</definedName>
    <definedName name="xkeogjana" hidden="1">{"Reader",#N/A,FALSE,"Summary";"Reader",#N/A,FALSE,"Buildup";"Reader",#N/A,FALSE,"Financials";"Reader",#N/A,FALSE,"Debt &amp; Other"}</definedName>
    <definedName name="xls" localSheetId="11" hidden="1">{"F3 detail",#N/A,FALSE,"F1";"F3 Presentation",#N/A,FALSE,"F3 "}</definedName>
    <definedName name="xls" localSheetId="6" hidden="1">{"F3 detail",#N/A,FALSE,"F1";"F3 Presentation",#N/A,FALSE,"F3 "}</definedName>
    <definedName name="xls" hidden="1">{"F3 detail",#N/A,FALSE,"F1";"F3 Presentation",#N/A,FALSE,"F3 "}</definedName>
    <definedName name="xx" hidden="1">#REF!</definedName>
    <definedName name="xxxx" localSheetId="11" hidden="1">{"HK PR",#N/A,FALSE,"HK";"SUMMARY",#N/A,FALSE,"PAYROLL";"SUMMARY",#N/A,FALSE,"PAYROLL";"HK PR",#N/A,FALSE,"HK"}</definedName>
    <definedName name="xxxx" localSheetId="5" hidden="1">{"HK PR",#N/A,FALSE,"HK";"SUMMARY",#N/A,FALSE,"PAYROLL";"SUMMARY",#N/A,FALSE,"PAYROLL";"HK PR",#N/A,FALSE,"HK"}</definedName>
    <definedName name="xxxx" localSheetId="6" hidden="1">{"HK PR",#N/A,FALSE,"HK";"SUMMARY",#N/A,FALSE,"PAYROLL";"SUMMARY",#N/A,FALSE,"PAYROLL";"HK PR",#N/A,FALSE,"HK"}</definedName>
    <definedName name="xxxx" hidden="1">{"HK PR",#N/A,FALSE,"HK";"SUMMARY",#N/A,FALSE,"PAYROLL";"SUMMARY",#N/A,FALSE,"PAYROLL";"HK PR",#N/A,FALSE,"HK"}</definedName>
    <definedName name="xxxxx" localSheetId="11" hidden="1">{"HK PR",#N/A,FALSE,"HK";"SUMMARY",#N/A,FALSE,"PAYROLL";"SUMMARY",#N/A,FALSE,"PAYROLL";"HK PR",#N/A,FALSE,"HK"}</definedName>
    <definedName name="xxxxx" localSheetId="5" hidden="1">{"HK PR",#N/A,FALSE,"HK";"SUMMARY",#N/A,FALSE,"PAYROLL";"SUMMARY",#N/A,FALSE,"PAYROLL";"HK PR",#N/A,FALSE,"HK"}</definedName>
    <definedName name="xxxxx" localSheetId="6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y" localSheetId="11" hidden="1">{"revsale",#N/A,FALSE,"REV-ยุพดี"}</definedName>
    <definedName name="y" hidden="1">{"revsale",#N/A,FALSE,"REV-ยุพดี"}</definedName>
    <definedName name="yjui\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jui\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yu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" localSheetId="11" hidden="1">{"hilight3",#N/A,FALSE,"HILIGHT3"}</definedName>
    <definedName name="z" hidden="1">{"hilight3",#N/A,FALSE,"HILIGHT3"}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เกินวงเงิน" localSheetId="11" hidden="1">{"revsale",#N/A,FALSE,"REV-ยุพดี"}</definedName>
    <definedName name="เกินวงเงิน" hidden="1">{"revsale",#N/A,FALSE,"REV-ยุพดี"}</definedName>
    <definedName name="เงินสด" localSheetId="11" hidden="1">{"lev1bt",#N/A,FALSE,"1_LEVB-T"}</definedName>
    <definedName name="เงินสด" hidden="1">{"lev1bt",#N/A,FALSE,"1_LEVB-T"}</definedName>
    <definedName name="แ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แนว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แนว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ไ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ไ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กกก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กกก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ข" localSheetId="11" hidden="1">{"lev2ytd",#N/A,FALSE,"2_LEVYTD"}</definedName>
    <definedName name="ข" hidden="1">{"lev2ytd",#N/A,FALSE,"2_LEVYTD"}</definedName>
    <definedName name="ฃ" localSheetId="11" hidden="1">{"cashflow",#N/A,FALSE,"CASHFLOW "}</definedName>
    <definedName name="ฃ" hidden="1">{"cashflow",#N/A,FALSE,"CASHFLOW "}</definedName>
    <definedName name="ค" localSheetId="11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ครจจจ" localSheetId="11" hidden="1">{"revsale",#N/A,FALSE,"REV-ยุพดี"}</definedName>
    <definedName name="ครจจจ" hidden="1">{"revsale",#N/A,FALSE,"REV-ยุพดี"}</definedName>
    <definedName name="ง" localSheetId="11" hidden="1">{"level1",#N/A,FALSE,"1_LEV";"LEVEL1",#N/A,FALSE,"1_LEV"}</definedName>
    <definedName name="ง" hidden="1">{"level1",#N/A,FALSE,"1_LEV";"LEVEL1",#N/A,FALSE,"1_LEV"}</definedName>
    <definedName name="จ" localSheetId="11" hidden="1">{"lev2mon",#N/A,FALSE,"2_levmon"}</definedName>
    <definedName name="จ" hidden="1">{"lev2mon",#N/A,FALSE,"2_levmon"}</definedName>
    <definedName name="จจจ" localSheetId="11" hidden="1">{"revsale",#N/A,FALSE,"REV-ยุพดี"}</definedName>
    <definedName name="จจจ" hidden="1">{"revsale",#N/A,FALSE,"REV-ยุพดี"}</definedName>
    <definedName name="ชชช" localSheetId="11" hidden="1">{"income",#N/A,FALSE,"INCOME"}</definedName>
    <definedName name="ชชช" hidden="1">{"income",#N/A,FALSE,"INCOME"}</definedName>
    <definedName name="ด" localSheetId="11" hidden="1">{"lev2tytbt",#N/A,FALSE,"2_LEVYTDB-T"}</definedName>
    <definedName name="ด" hidden="1">{"lev2tytbt",#N/A,FALSE,"2_LEVYTDB-T"}</definedName>
    <definedName name="ดดดด" localSheetId="11" hidden="1">{"lev1bt",#N/A,FALSE,"1_LEVB-T"}</definedName>
    <definedName name="ดดดด" hidden="1">{"lev1bt",#N/A,FALSE,"1_LEVB-T"}</definedName>
    <definedName name="ต" localSheetId="11" hidden="1">{"cashflow",#N/A,FALSE,"CASHFLOW "}</definedName>
    <definedName name="ต" hidden="1">{"cashflow",#N/A,FALSE,"CASHFLOW "}</definedName>
    <definedName name="ถ" localSheetId="11" hidden="1">{"balance",#N/A,FALSE,"BALANCE"}</definedName>
    <definedName name="ถ" hidden="1">{"balance",#N/A,FALSE,"BALANCE"}</definedName>
    <definedName name="ท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ท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นยบ" localSheetId="11" hidden="1">{"revable",#N/A,FALSE,"REVABLE"}</definedName>
    <definedName name="นยบ" hidden="1">{"revable",#N/A,FALSE,"REVABLE"}</definedName>
    <definedName name="นารรร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นารรร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บ" localSheetId="11" hidden="1">{"hilight1",#N/A,FALSE,"HILIGHT1"}</definedName>
    <definedName name="บ" hidden="1">{"hilight1",#N/A,FALSE,"HILIGHT1"}</definedName>
    <definedName name="บบบ" localSheetId="11" hidden="1">{"lev2mon",#N/A,FALSE,"2_levmon"}</definedName>
    <definedName name="บบบ" hidden="1">{"lev2mon",#N/A,FALSE,"2_levmon"}</definedName>
    <definedName name="พ" localSheetId="11" hidden="1">{"sales",#N/A,FALSE,"SALES"}</definedName>
    <definedName name="พ" hidden="1">{"sales",#N/A,FALSE,"SALES"}</definedName>
    <definedName name="พพพ" localSheetId="11" hidden="1">{"revsale",#N/A,FALSE,"REV-ยุพดี"}</definedName>
    <definedName name="พพพ" hidden="1">{"revsale",#N/A,FALSE,"REV-ยุพดี"}</definedName>
    <definedName name="ฟ7" localSheetId="11" hidden="1">{"PRINT_EST",#N/A,FALSE,"ESTMON"}</definedName>
    <definedName name="ฟ7" hidden="1">{"PRINT_EST",#N/A,FALSE,"ESTMON"}</definedName>
    <definedName name="ภ" localSheetId="11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ภ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ม" localSheetId="11" hidden="1">{"hilight2",#N/A,FALSE,"HILIGHT2"}</definedName>
    <definedName name="ม" hidden="1">{"hilight2",#N/A,FALSE,"HILIGHT2"}</definedName>
    <definedName name="ย" localSheetId="11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ยบบ" localSheetId="11" hidden="1">{"sales",#N/A,FALSE,"SALES"}</definedName>
    <definedName name="ยบบ" hidden="1">{"sales",#N/A,FALSE,"SALES"}</definedName>
    <definedName name="ยยย" localSheetId="11" hidden="1">{"sales",#N/A,FALSE,"SALES"}</definedName>
    <definedName name="ยยย" hidden="1">{"sales",#N/A,FALSE,"SALES"}</definedName>
    <definedName name="รรร" localSheetId="11" hidden="1">{"revable",#N/A,FALSE,"REVABLE"}</definedName>
    <definedName name="รรร" hidden="1">{"revable",#N/A,FALSE,"REVABLE"}</definedName>
    <definedName name="รา" localSheetId="11" hidden="1">{"hilight1",#N/A,FALSE,"HILIGHT1"}</definedName>
    <definedName name="รา" hidden="1">{"hilight1",#N/A,FALSE,"HILIGHT1"}</definedName>
    <definedName name="รายงานประชุมสินเชื่อ_0904" localSheetId="11" hidden="1">{"balance",#N/A,FALSE,"BALANCE"}</definedName>
    <definedName name="รายงานประชุมสินเชื่อ_0904" hidden="1">{"balance",#N/A,FALSE,"BALANCE"}</definedName>
    <definedName name="ล" localSheetId="11" hidden="1">{"lev2monbt",#N/A,FALSE,"2_levmonB-T"}</definedName>
    <definedName name="ล" hidden="1">{"lev2monbt",#N/A,FALSE,"2_levmonB-T"}</definedName>
    <definedName name="ว" localSheetId="11" hidden="1">{"lev1bt",#N/A,FALSE,"1_LEVB-T"}</definedName>
    <definedName name="ว" hidden="1">{"lev1bt",#N/A,FALSE,"1_LEVB-T"}</definedName>
    <definedName name="วยนบ" localSheetId="11" hidden="1">{"sales",#N/A,FALSE,"SALES"}</definedName>
    <definedName name="วยนบ" hidden="1">{"sales",#N/A,FALSE,"SALES"}</definedName>
    <definedName name="วววว" localSheetId="11" hidden="1">{"hilight1",#N/A,FALSE,"HILIGHT1"}</definedName>
    <definedName name="วววว" hidden="1">{"hilight1",#N/A,FALSE,"HILIGHT1"}</definedName>
    <definedName name="ววววว" localSheetId="11" hidden="1">{"PRINT_EST",#N/A,FALSE,"ESTMON"}</definedName>
    <definedName name="ววววว" hidden="1">{"PRINT_EST",#N/A,FALSE,"ESTMON"}</definedName>
    <definedName name="วาระประชุม1004" localSheetId="11" hidden="1">{"lev1bt",#N/A,FALSE,"1_LEVB-T"}</definedName>
    <definedName name="วาระประชุม1004" hidden="1">{"lev1bt",#N/A,FALSE,"1_LEVB-T"}</definedName>
    <definedName name="ศูนย์พัฒนา" localSheetId="11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ส" localSheetId="11" hidden="1">{"revsale",#N/A,FALSE,"REV-ยุพดี"}</definedName>
    <definedName name="ส" hidden="1">{"revsale",#N/A,FALSE,"REV-ยุพดี"}</definedName>
    <definedName name="สสส" localSheetId="11" hidden="1">{"sales",#N/A,FALSE,"SALES"}</definedName>
    <definedName name="สสส" hidden="1">{"sales",#N/A,FALSE,"SALES"}</definedName>
    <definedName name="ห" localSheetId="11" hidden="1">{"revable",#N/A,FALSE,"REVABLE"}</definedName>
    <definedName name="ห" hidden="1">{"revable",#N/A,FALSE,"REVABLE"}</definedName>
    <definedName name="หห" localSheetId="11" hidden="1">{"sales",#N/A,FALSE,"SALES"}</definedName>
    <definedName name="หห" hidden="1">{"sales",#N/A,FALSE,"SALES"}</definedName>
    <definedName name="หหห" localSheetId="11" hidden="1">{"revable",#N/A,FALSE,"REVABLE"}</definedName>
    <definedName name="หหห" hidden="1">{"revable",#N/A,FALSE,"REVABLE"}</definedName>
    <definedName name="อ" localSheetId="11" hidden="1">{"balance",#N/A,FALSE,"BALANCE"}</definedName>
    <definedName name="อ" hidden="1">{"balance",#N/A,FALSE,"BALANCE"}</definedName>
    <definedName name="อออ" localSheetId="11" hidden="1">{"PRINT_EST",#N/A,FALSE,"ESTMON"}</definedName>
    <definedName name="อออ" hidden="1">{"PRINT_EST",#N/A,FALSE,"ESTMON"}</definedName>
    <definedName name="ๆ" localSheetId="11" hidden="1">{"lev2monbt",#N/A,FALSE,"2_levmonB-T"}</definedName>
    <definedName name="ๆ" hidden="1">{"lev2monbt",#N/A,FALSE,"2_levmonB-T"}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67" i="5" l="1"/>
  <c r="BP13" i="3"/>
  <c r="BP23" i="3"/>
  <c r="BP82" i="1"/>
  <c r="BP83" i="1"/>
  <c r="BP68" i="1"/>
  <c r="BP66" i="1" s="1"/>
  <c r="BP36" i="1" s="1"/>
  <c r="BP32" i="1"/>
  <c r="BP30" i="1"/>
  <c r="BP128" i="1"/>
  <c r="BP127" i="1"/>
  <c r="BP15" i="1"/>
  <c r="BP8" i="1"/>
  <c r="BP5" i="1"/>
  <c r="BP42" i="3"/>
  <c r="BP41" i="3"/>
  <c r="BP44" i="3" s="1"/>
  <c r="BP40" i="3"/>
  <c r="BP32" i="3"/>
  <c r="BP5" i="3"/>
  <c r="BP19" i="2"/>
  <c r="BP20" i="2" s="1"/>
  <c r="BP23" i="2" s="1"/>
  <c r="BP16" i="2"/>
  <c r="BO67" i="5"/>
  <c r="BO19" i="2"/>
  <c r="BO16" i="2"/>
  <c r="BO20" i="2" s="1"/>
  <c r="BO23" i="2" s="1"/>
  <c r="BO68" i="1"/>
  <c r="BO66" i="1" s="1"/>
  <c r="BO36" i="1" s="1"/>
  <c r="BO32" i="1"/>
  <c r="BO30" i="1" s="1"/>
  <c r="BO15" i="1"/>
  <c r="BO8" i="1"/>
  <c r="BO5" i="1"/>
  <c r="BN67" i="5"/>
  <c r="BN53" i="4"/>
  <c r="BN15" i="2"/>
  <c r="BN16" i="2" s="1"/>
  <c r="BN20" i="2" s="1"/>
  <c r="BN23" i="2" s="1"/>
  <c r="BN68" i="1"/>
  <c r="BN66" i="1" s="1"/>
  <c r="BN36" i="1" s="1"/>
  <c r="BN32" i="1"/>
  <c r="BN30" i="1"/>
  <c r="BN15" i="1"/>
  <c r="BN4" i="1" s="1"/>
  <c r="BN8" i="1"/>
  <c r="BN5" i="1"/>
  <c r="BM67" i="5"/>
  <c r="BM58" i="5"/>
  <c r="BM42" i="3"/>
  <c r="BM40" i="3"/>
  <c r="BM32" i="3"/>
  <c r="BM13" i="3"/>
  <c r="BM23" i="3" s="1"/>
  <c r="BM16" i="2"/>
  <c r="BM20" i="2" s="1"/>
  <c r="BM23" i="2" s="1"/>
  <c r="BM68" i="1"/>
  <c r="BM66" i="1" s="1"/>
  <c r="BM36" i="1" s="1"/>
  <c r="BM32" i="1"/>
  <c r="BM30" i="1" s="1"/>
  <c r="BM8" i="1"/>
  <c r="BM5" i="1"/>
  <c r="BM4" i="1" s="1"/>
  <c r="BM81" i="1" s="1"/>
  <c r="BP126" i="1" l="1"/>
  <c r="BP114" i="1" s="1"/>
  <c r="BP129" i="1" s="1"/>
  <c r="BP4" i="1"/>
  <c r="BP81" i="1" s="1"/>
  <c r="BO4" i="1"/>
  <c r="BO81" i="1" s="1"/>
  <c r="BN81" i="1"/>
  <c r="BM41" i="3"/>
  <c r="BM44" i="3" s="1"/>
  <c r="BK8" i="1" l="1"/>
  <c r="BK6" i="1"/>
  <c r="BK5" i="1"/>
  <c r="BK44" i="3"/>
  <c r="BK41" i="3"/>
  <c r="BK32" i="3"/>
  <c r="BL8" i="1"/>
  <c r="BL5" i="1"/>
  <c r="BL6" i="1"/>
  <c r="BK58" i="5"/>
  <c r="BJ58" i="5" l="1"/>
  <c r="BL67" i="5" l="1"/>
  <c r="BK67" i="5"/>
  <c r="BL41" i="3"/>
  <c r="D59" i="11"/>
  <c r="F41" i="10"/>
  <c r="B166" i="9"/>
  <c r="BL23" i="3"/>
  <c r="BL32" i="3"/>
  <c r="BL13" i="3"/>
  <c r="BL42" i="3"/>
  <c r="BL5" i="3"/>
  <c r="BL127" i="1"/>
  <c r="BK127" i="1"/>
  <c r="BL44" i="3" l="1"/>
  <c r="BL126" i="1"/>
  <c r="BL36" i="1"/>
  <c r="BL30" i="1"/>
  <c r="BL32" i="1"/>
  <c r="BL4" i="1"/>
  <c r="BL81" i="1" s="1"/>
  <c r="BM127" i="1" l="1"/>
  <c r="BM126" i="1" s="1"/>
  <c r="BL114" i="1"/>
  <c r="BL129" i="1" s="1"/>
  <c r="E49" i="11"/>
  <c r="D49" i="11"/>
  <c r="C49" i="11"/>
  <c r="B49" i="11"/>
  <c r="E48" i="11"/>
  <c r="D48" i="11"/>
  <c r="C48" i="11"/>
  <c r="B48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1" i="11"/>
  <c r="D11" i="11"/>
  <c r="C11" i="11"/>
  <c r="B11" i="11"/>
  <c r="G28" i="10"/>
  <c r="F28" i="10"/>
  <c r="E28" i="10"/>
  <c r="D28" i="10"/>
  <c r="G27" i="10"/>
  <c r="F27" i="10"/>
  <c r="E27" i="10"/>
  <c r="D27" i="10"/>
  <c r="G26" i="10"/>
  <c r="F26" i="10"/>
  <c r="E26" i="10"/>
  <c r="D26" i="10"/>
  <c r="G25" i="10"/>
  <c r="F25" i="10"/>
  <c r="E25" i="10"/>
  <c r="D25" i="10"/>
  <c r="G24" i="10"/>
  <c r="F24" i="10"/>
  <c r="E24" i="10"/>
  <c r="D24" i="10"/>
  <c r="G23" i="10"/>
  <c r="F23" i="10"/>
  <c r="E23" i="10"/>
  <c r="D23" i="10"/>
  <c r="G22" i="10"/>
  <c r="F22" i="10"/>
  <c r="E22" i="10"/>
  <c r="D22" i="10"/>
  <c r="G21" i="10"/>
  <c r="F21" i="10"/>
  <c r="E21" i="10"/>
  <c r="D21" i="10"/>
  <c r="G20" i="10"/>
  <c r="F20" i="10"/>
  <c r="E20" i="10"/>
  <c r="D20" i="10"/>
  <c r="G19" i="10"/>
  <c r="F19" i="10"/>
  <c r="E19" i="10"/>
  <c r="D19" i="10"/>
  <c r="G18" i="10"/>
  <c r="F18" i="10"/>
  <c r="E18" i="10"/>
  <c r="D18" i="10"/>
  <c r="G17" i="10"/>
  <c r="F17" i="10"/>
  <c r="E17" i="10"/>
  <c r="D17" i="10"/>
  <c r="G16" i="10"/>
  <c r="F16" i="10"/>
  <c r="E16" i="10"/>
  <c r="D16" i="10"/>
  <c r="G15" i="10"/>
  <c r="F15" i="10"/>
  <c r="E15" i="10"/>
  <c r="D15" i="10"/>
  <c r="G14" i="10"/>
  <c r="F14" i="10"/>
  <c r="E14" i="10"/>
  <c r="D14" i="10"/>
  <c r="G13" i="10"/>
  <c r="F13" i="10"/>
  <c r="E13" i="10"/>
  <c r="D13" i="10"/>
  <c r="G12" i="10"/>
  <c r="F12" i="10"/>
  <c r="E12" i="10"/>
  <c r="D12" i="10"/>
  <c r="G11" i="10"/>
  <c r="F11" i="10"/>
  <c r="E11" i="10"/>
  <c r="D11" i="10"/>
  <c r="G10" i="10"/>
  <c r="F10" i="10"/>
  <c r="E10" i="10"/>
  <c r="D10" i="10"/>
  <c r="C152" i="9"/>
  <c r="C151" i="9"/>
  <c r="C149" i="9"/>
  <c r="C148" i="9"/>
  <c r="C147" i="9"/>
  <c r="C146" i="9"/>
  <c r="C145" i="9"/>
  <c r="C144" i="9"/>
  <c r="C143" i="9"/>
  <c r="C142" i="9"/>
  <c r="C141" i="9"/>
  <c r="C140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99" i="9"/>
  <c r="C98" i="9"/>
  <c r="C97" i="9"/>
  <c r="C96" i="9"/>
  <c r="C93" i="9"/>
  <c r="C92" i="9"/>
  <c r="C91" i="9"/>
  <c r="C90" i="9"/>
  <c r="C89" i="9"/>
  <c r="C88" i="9"/>
  <c r="C85" i="9"/>
  <c r="C84" i="9"/>
  <c r="C81" i="9"/>
  <c r="C80" i="9"/>
  <c r="C77" i="9"/>
  <c r="C76" i="9"/>
  <c r="C75" i="9"/>
  <c r="C74" i="9"/>
  <c r="C73" i="9"/>
  <c r="C72" i="9"/>
  <c r="C71" i="9"/>
  <c r="C70" i="9"/>
  <c r="C67" i="9"/>
  <c r="C66" i="9"/>
  <c r="C64" i="9"/>
  <c r="C63" i="9"/>
  <c r="C61" i="9"/>
  <c r="C60" i="9"/>
  <c r="C54" i="9"/>
  <c r="C53" i="9"/>
  <c r="C52" i="9"/>
  <c r="C51" i="9"/>
  <c r="C50" i="9"/>
  <c r="C49" i="9"/>
  <c r="C45" i="9"/>
  <c r="C44" i="9"/>
  <c r="C43" i="9"/>
  <c r="C42" i="9"/>
  <c r="C41" i="9"/>
  <c r="C38" i="9"/>
  <c r="C37" i="9"/>
  <c r="C36" i="9"/>
  <c r="C33" i="9"/>
  <c r="C32" i="9"/>
  <c r="C29" i="9"/>
  <c r="C28" i="9"/>
  <c r="C27" i="9"/>
  <c r="C26" i="9"/>
  <c r="C25" i="9"/>
  <c r="C24" i="9"/>
  <c r="C23" i="9"/>
  <c r="C20" i="9"/>
  <c r="C19" i="9"/>
  <c r="C18" i="9"/>
  <c r="C17" i="9"/>
  <c r="C16" i="9"/>
  <c r="C15" i="9"/>
  <c r="C12" i="9"/>
  <c r="C11" i="9"/>
  <c r="BM114" i="1" l="1"/>
  <c r="BM129" i="1" s="1"/>
  <c r="BN127" i="1"/>
  <c r="BN126" i="1" s="1"/>
  <c r="R279" i="12"/>
  <c r="R278" i="12"/>
  <c r="R277" i="12"/>
  <c r="R276" i="12"/>
  <c r="R275" i="12"/>
  <c r="R274" i="12"/>
  <c r="R273" i="12"/>
  <c r="R272" i="12"/>
  <c r="R270" i="12"/>
  <c r="R269" i="12"/>
  <c r="R268" i="12"/>
  <c r="R267" i="12"/>
  <c r="R266" i="12"/>
  <c r="R264" i="12"/>
  <c r="R263" i="12"/>
  <c r="R262" i="12"/>
  <c r="R261" i="12"/>
  <c r="R260" i="12"/>
  <c r="R259" i="12"/>
  <c r="R258" i="12"/>
  <c r="R257" i="12"/>
  <c r="R256" i="12"/>
  <c r="R254" i="12"/>
  <c r="R253" i="12"/>
  <c r="R252" i="12"/>
  <c r="R250" i="12"/>
  <c r="R249" i="12"/>
  <c r="R248" i="12"/>
  <c r="R246" i="12"/>
  <c r="R245" i="12"/>
  <c r="R244" i="12"/>
  <c r="R243" i="12"/>
  <c r="R242" i="12"/>
  <c r="R241" i="12"/>
  <c r="R239" i="12"/>
  <c r="R238" i="12"/>
  <c r="R237" i="12"/>
  <c r="R236" i="12"/>
  <c r="R235" i="12"/>
  <c r="R234" i="12"/>
  <c r="R233" i="12"/>
  <c r="R232" i="12"/>
  <c r="R230" i="12"/>
  <c r="R229" i="12"/>
  <c r="R228" i="12"/>
  <c r="R227" i="12"/>
  <c r="R226" i="12"/>
  <c r="R225" i="12"/>
  <c r="R224" i="12"/>
  <c r="R223" i="12"/>
  <c r="R222" i="12"/>
  <c r="R221" i="12"/>
  <c r="R220" i="12"/>
  <c r="R219" i="12"/>
  <c r="R218" i="12"/>
  <c r="R217" i="12"/>
  <c r="R216" i="12"/>
  <c r="R215" i="12"/>
  <c r="R214" i="12"/>
  <c r="R213" i="12"/>
  <c r="R212" i="12"/>
  <c r="R211" i="12"/>
  <c r="R210" i="12"/>
  <c r="R209" i="12"/>
  <c r="R208" i="12"/>
  <c r="R207" i="12"/>
  <c r="R206" i="12"/>
  <c r="R205" i="12"/>
  <c r="R204" i="12"/>
  <c r="R203" i="12"/>
  <c r="R202" i="12"/>
  <c r="R201" i="12"/>
  <c r="R200" i="12"/>
  <c r="R199" i="12"/>
  <c r="R198" i="12"/>
  <c r="R197" i="12"/>
  <c r="R196" i="12"/>
  <c r="R195" i="12"/>
  <c r="R194" i="12"/>
  <c r="R193" i="12"/>
  <c r="R192" i="12"/>
  <c r="R191" i="12"/>
  <c r="R190" i="12"/>
  <c r="R189" i="12"/>
  <c r="R188" i="12"/>
  <c r="R187" i="12"/>
  <c r="R186" i="12"/>
  <c r="R185" i="12"/>
  <c r="R184" i="12"/>
  <c r="R183" i="12"/>
  <c r="R182" i="12"/>
  <c r="R181" i="12"/>
  <c r="R180" i="12"/>
  <c r="R179" i="12"/>
  <c r="R178" i="12"/>
  <c r="R177" i="12"/>
  <c r="R176" i="12"/>
  <c r="R175" i="12"/>
  <c r="R174" i="12"/>
  <c r="R173" i="12"/>
  <c r="R172" i="12"/>
  <c r="R171" i="12"/>
  <c r="R170" i="12"/>
  <c r="R169" i="12"/>
  <c r="R168" i="12"/>
  <c r="R167" i="12"/>
  <c r="R166" i="12"/>
  <c r="R165" i="12"/>
  <c r="R164" i="12"/>
  <c r="R163" i="12"/>
  <c r="R162" i="12"/>
  <c r="R161" i="12"/>
  <c r="R160" i="12"/>
  <c r="R159" i="12"/>
  <c r="R158" i="12"/>
  <c r="R157" i="12"/>
  <c r="R156" i="12"/>
  <c r="R155" i="12"/>
  <c r="R154" i="12"/>
  <c r="R153" i="12"/>
  <c r="R152" i="12"/>
  <c r="R151" i="12"/>
  <c r="R150" i="12"/>
  <c r="R149" i="12"/>
  <c r="R148" i="12"/>
  <c r="R147" i="12"/>
  <c r="R146" i="12"/>
  <c r="R145" i="12"/>
  <c r="R144" i="12"/>
  <c r="R143" i="12"/>
  <c r="R142" i="12"/>
  <c r="R141" i="12"/>
  <c r="R140" i="12"/>
  <c r="R139" i="12"/>
  <c r="R138" i="12"/>
  <c r="R137" i="12"/>
  <c r="R136" i="12"/>
  <c r="R135" i="12"/>
  <c r="R134" i="12"/>
  <c r="R133" i="12"/>
  <c r="R132" i="12"/>
  <c r="R131" i="12"/>
  <c r="R130" i="12"/>
  <c r="R129" i="12"/>
  <c r="R128" i="12"/>
  <c r="R126" i="12"/>
  <c r="R125" i="12"/>
  <c r="R124" i="12"/>
  <c r="R123" i="12"/>
  <c r="R122" i="12"/>
  <c r="R121" i="12"/>
  <c r="R120" i="12"/>
  <c r="R119" i="12"/>
  <c r="R118" i="12"/>
  <c r="R117" i="12"/>
  <c r="R116" i="12"/>
  <c r="R115" i="12"/>
  <c r="R114" i="12"/>
  <c r="R113" i="12"/>
  <c r="R112" i="12"/>
  <c r="R111" i="12"/>
  <c r="R110" i="12"/>
  <c r="R109" i="12"/>
  <c r="R108" i="12"/>
  <c r="R107" i="12"/>
  <c r="R106" i="12"/>
  <c r="R105" i="12"/>
  <c r="R104" i="12"/>
  <c r="R103" i="12"/>
  <c r="R102" i="12"/>
  <c r="R101" i="12"/>
  <c r="R100" i="12"/>
  <c r="R99" i="12"/>
  <c r="R98" i="12"/>
  <c r="R97" i="12"/>
  <c r="R96" i="12"/>
  <c r="R95" i="12"/>
  <c r="R94" i="12"/>
  <c r="R93" i="12"/>
  <c r="R92" i="12"/>
  <c r="R91" i="12"/>
  <c r="R90" i="12"/>
  <c r="R89" i="12"/>
  <c r="R88" i="12"/>
  <c r="R87" i="12"/>
  <c r="R86" i="12"/>
  <c r="R85" i="12"/>
  <c r="R84" i="12"/>
  <c r="R83" i="12"/>
  <c r="R82" i="12"/>
  <c r="R81" i="12"/>
  <c r="R80" i="12"/>
  <c r="R79" i="12"/>
  <c r="R78" i="12"/>
  <c r="R77" i="12"/>
  <c r="R76" i="12"/>
  <c r="R75" i="12"/>
  <c r="R74" i="12"/>
  <c r="R73" i="12"/>
  <c r="R72" i="12"/>
  <c r="R71" i="12"/>
  <c r="R70" i="12"/>
  <c r="R69" i="12"/>
  <c r="R68" i="12"/>
  <c r="R67" i="12"/>
  <c r="R66" i="12"/>
  <c r="R65" i="12"/>
  <c r="R64" i="12"/>
  <c r="R63" i="12"/>
  <c r="R62" i="12"/>
  <c r="R61" i="12"/>
  <c r="R60" i="12"/>
  <c r="R59" i="12"/>
  <c r="R58" i="12"/>
  <c r="R57" i="12"/>
  <c r="R56" i="12"/>
  <c r="R55" i="12"/>
  <c r="R54" i="12"/>
  <c r="R53" i="12"/>
  <c r="R52" i="12"/>
  <c r="R51" i="12"/>
  <c r="R50" i="12"/>
  <c r="R49" i="12"/>
  <c r="R48" i="12"/>
  <c r="R47" i="12"/>
  <c r="R46" i="12"/>
  <c r="R45" i="12"/>
  <c r="R44" i="12"/>
  <c r="R43" i="12"/>
  <c r="R42" i="12"/>
  <c r="R41" i="12"/>
  <c r="R40" i="12"/>
  <c r="R39" i="12"/>
  <c r="R38" i="12"/>
  <c r="R37" i="12"/>
  <c r="R36" i="12"/>
  <c r="R35" i="12"/>
  <c r="R34" i="12"/>
  <c r="R33" i="12"/>
  <c r="R32" i="12"/>
  <c r="R31" i="12"/>
  <c r="R30" i="12"/>
  <c r="R29" i="12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A1" i="12"/>
  <c r="A59" i="11"/>
  <c r="D52" i="11"/>
  <c r="D9" i="11"/>
  <c r="B9" i="11"/>
  <c r="D8" i="11"/>
  <c r="B8" i="11"/>
  <c r="E7" i="11"/>
  <c r="A6" i="11"/>
  <c r="A2" i="11"/>
  <c r="A1" i="11"/>
  <c r="B41" i="10"/>
  <c r="F34" i="10"/>
  <c r="G29" i="10"/>
  <c r="F29" i="10"/>
  <c r="F9" i="10"/>
  <c r="D9" i="10"/>
  <c r="F8" i="10"/>
  <c r="D8" i="10"/>
  <c r="A5" i="10"/>
  <c r="A2" i="10"/>
  <c r="A1" i="10"/>
  <c r="A166" i="9"/>
  <c r="B159" i="9"/>
  <c r="B157" i="9"/>
  <c r="C150" i="9"/>
  <c r="C139" i="9"/>
  <c r="C137" i="9"/>
  <c r="C121" i="9"/>
  <c r="C104" i="9"/>
  <c r="C103" i="9" s="1"/>
  <c r="C95" i="9"/>
  <c r="C87" i="9"/>
  <c r="C83" i="9"/>
  <c r="C79" i="9"/>
  <c r="C69" i="9"/>
  <c r="C65" i="9"/>
  <c r="C62" i="9"/>
  <c r="C59" i="9"/>
  <c r="C58" i="9" s="1"/>
  <c r="C48" i="9"/>
  <c r="C40" i="9"/>
  <c r="C35" i="9"/>
  <c r="C31" i="9"/>
  <c r="C22" i="9"/>
  <c r="C14" i="9"/>
  <c r="C10" i="9"/>
  <c r="D7" i="9"/>
  <c r="C7" i="9"/>
  <c r="C102" i="9" s="1"/>
  <c r="C6" i="9"/>
  <c r="A5" i="9"/>
  <c r="A2" i="9"/>
  <c r="A1" i="9"/>
  <c r="A10" i="8"/>
  <c r="A2" i="8"/>
  <c r="A1" i="8"/>
  <c r="C7" i="6"/>
  <c r="E9" i="10" s="1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P9" i="4"/>
  <c r="Q9" i="4"/>
  <c r="R9" i="4"/>
  <c r="R11" i="4" s="1"/>
  <c r="S9" i="4"/>
  <c r="T9" i="4"/>
  <c r="U9" i="4"/>
  <c r="V9" i="4"/>
  <c r="W9" i="4"/>
  <c r="X9" i="4"/>
  <c r="Y9" i="4"/>
  <c r="Z9" i="4"/>
  <c r="Z11" i="4" s="1"/>
  <c r="AA9" i="4"/>
  <c r="AB9" i="4"/>
  <c r="AC9" i="4"/>
  <c r="AD9" i="4"/>
  <c r="AE9" i="4"/>
  <c r="AF9" i="4"/>
  <c r="AG9" i="4"/>
  <c r="AH9" i="4"/>
  <c r="AH11" i="4" s="1"/>
  <c r="AI9" i="4"/>
  <c r="AJ9" i="4"/>
  <c r="AK9" i="4"/>
  <c r="AL9" i="4"/>
  <c r="AM9" i="4"/>
  <c r="AN9" i="4"/>
  <c r="AO9" i="4"/>
  <c r="AP9" i="4"/>
  <c r="AP11" i="4" s="1"/>
  <c r="AQ9" i="4"/>
  <c r="AR9" i="4"/>
  <c r="AS9" i="4"/>
  <c r="AT9" i="4"/>
  <c r="AU9" i="4"/>
  <c r="AV9" i="4"/>
  <c r="AW9" i="4"/>
  <c r="AX9" i="4"/>
  <c r="AX11" i="4" s="1"/>
  <c r="AY9" i="4"/>
  <c r="AZ9" i="4"/>
  <c r="BA9" i="4"/>
  <c r="BB9" i="4"/>
  <c r="BC9" i="4"/>
  <c r="BD9" i="4"/>
  <c r="BE9" i="4"/>
  <c r="BF9" i="4"/>
  <c r="BF11" i="4" s="1"/>
  <c r="BG9" i="4"/>
  <c r="BH9" i="4"/>
  <c r="BI9" i="4"/>
  <c r="BJ9" i="4"/>
  <c r="P10" i="4"/>
  <c r="Q10" i="4"/>
  <c r="Q11" i="4" s="1"/>
  <c r="R10" i="4"/>
  <c r="S10" i="4"/>
  <c r="S11" i="4" s="1"/>
  <c r="T10" i="4"/>
  <c r="U10" i="4"/>
  <c r="V10" i="4"/>
  <c r="V11" i="4" s="1"/>
  <c r="W10" i="4"/>
  <c r="W11" i="4" s="1"/>
  <c r="X10" i="4"/>
  <c r="Y10" i="4"/>
  <c r="Y11" i="4" s="1"/>
  <c r="Z10" i="4"/>
  <c r="AA10" i="4"/>
  <c r="AA11" i="4" s="1"/>
  <c r="AB10" i="4"/>
  <c r="AC10" i="4"/>
  <c r="AD10" i="4"/>
  <c r="AD11" i="4" s="1"/>
  <c r="AE10" i="4"/>
  <c r="AE11" i="4" s="1"/>
  <c r="AF10" i="4"/>
  <c r="AG10" i="4"/>
  <c r="AG11" i="4" s="1"/>
  <c r="AH10" i="4"/>
  <c r="AI10" i="4"/>
  <c r="AI11" i="4" s="1"/>
  <c r="AJ10" i="4"/>
  <c r="AK10" i="4"/>
  <c r="AL10" i="4"/>
  <c r="AL11" i="4" s="1"/>
  <c r="AM10" i="4"/>
  <c r="AM11" i="4" s="1"/>
  <c r="AN10" i="4"/>
  <c r="AO10" i="4"/>
  <c r="AO11" i="4" s="1"/>
  <c r="AP10" i="4"/>
  <c r="AQ10" i="4"/>
  <c r="AQ11" i="4" s="1"/>
  <c r="AR10" i="4"/>
  <c r="AS10" i="4"/>
  <c r="AT10" i="4"/>
  <c r="AT11" i="4" s="1"/>
  <c r="AU10" i="4"/>
  <c r="AU11" i="4" s="1"/>
  <c r="AV10" i="4"/>
  <c r="AW10" i="4"/>
  <c r="AW11" i="4" s="1"/>
  <c r="AX10" i="4"/>
  <c r="AY10" i="4"/>
  <c r="AY11" i="4" s="1"/>
  <c r="AZ10" i="4"/>
  <c r="BA10" i="4"/>
  <c r="BB10" i="4"/>
  <c r="BB11" i="4" s="1"/>
  <c r="BC10" i="4"/>
  <c r="BC11" i="4" s="1"/>
  <c r="BD10" i="4"/>
  <c r="BE10" i="4"/>
  <c r="BE11" i="4" s="1"/>
  <c r="BF10" i="4"/>
  <c r="BG10" i="4"/>
  <c r="BG11" i="4" s="1"/>
  <c r="BH10" i="4"/>
  <c r="BI10" i="4"/>
  <c r="BJ10" i="4"/>
  <c r="BJ11" i="4" s="1"/>
  <c r="P11" i="4"/>
  <c r="T11" i="4"/>
  <c r="U11" i="4"/>
  <c r="X11" i="4"/>
  <c r="AB11" i="4"/>
  <c r="AC11" i="4"/>
  <c r="AF11" i="4"/>
  <c r="AJ11" i="4"/>
  <c r="AK11" i="4"/>
  <c r="AN11" i="4"/>
  <c r="AR11" i="4"/>
  <c r="AS11" i="4"/>
  <c r="AV11" i="4"/>
  <c r="AZ11" i="4"/>
  <c r="BA11" i="4"/>
  <c r="BD11" i="4"/>
  <c r="BH11" i="4"/>
  <c r="BI11" i="4"/>
  <c r="P12" i="4"/>
  <c r="Q12" i="4"/>
  <c r="R12" i="4"/>
  <c r="S12" i="4"/>
  <c r="T12" i="4"/>
  <c r="U12" i="4"/>
  <c r="U31" i="4" s="1"/>
  <c r="V12" i="4"/>
  <c r="V57" i="4" s="1"/>
  <c r="W12" i="4"/>
  <c r="X12" i="4"/>
  <c r="Y12" i="4"/>
  <c r="Z12" i="4"/>
  <c r="AA12" i="4"/>
  <c r="AB12" i="4"/>
  <c r="AC12" i="4"/>
  <c r="AC31" i="4" s="1"/>
  <c r="AD12" i="4"/>
  <c r="AD57" i="4" s="1"/>
  <c r="AE12" i="4"/>
  <c r="AF12" i="4"/>
  <c r="AG12" i="4"/>
  <c r="AH12" i="4"/>
  <c r="AI12" i="4"/>
  <c r="AJ12" i="4"/>
  <c r="AK12" i="4"/>
  <c r="AK31" i="4" s="1"/>
  <c r="AL12" i="4"/>
  <c r="AL57" i="4" s="1"/>
  <c r="AM12" i="4"/>
  <c r="AN12" i="4"/>
  <c r="AO12" i="4"/>
  <c r="AP12" i="4"/>
  <c r="AQ12" i="4"/>
  <c r="AR12" i="4"/>
  <c r="AS12" i="4"/>
  <c r="AS31" i="4" s="1"/>
  <c r="AT12" i="4"/>
  <c r="AT57" i="4" s="1"/>
  <c r="AU12" i="4"/>
  <c r="AV12" i="4"/>
  <c r="AW12" i="4"/>
  <c r="AX12" i="4"/>
  <c r="AY12" i="4"/>
  <c r="AZ12" i="4"/>
  <c r="BA12" i="4"/>
  <c r="BA31" i="4" s="1"/>
  <c r="BB12" i="4"/>
  <c r="BB57" i="4" s="1"/>
  <c r="BC12" i="4"/>
  <c r="BD12" i="4"/>
  <c r="BE12" i="4"/>
  <c r="BF12" i="4"/>
  <c r="BG12" i="4"/>
  <c r="BH12" i="4"/>
  <c r="BI12" i="4"/>
  <c r="BI39" i="4" s="1"/>
  <c r="BJ12" i="4"/>
  <c r="BJ57" i="4" s="1"/>
  <c r="P16" i="4"/>
  <c r="Q16" i="4"/>
  <c r="Q29" i="4" s="1"/>
  <c r="R16" i="4"/>
  <c r="R29" i="4" s="1"/>
  <c r="S16" i="4"/>
  <c r="T16" i="4"/>
  <c r="T29" i="4" s="1"/>
  <c r="U16" i="4"/>
  <c r="V16" i="4"/>
  <c r="V29" i="4" s="1"/>
  <c r="W16" i="4"/>
  <c r="W29" i="4" s="1"/>
  <c r="X16" i="4"/>
  <c r="Y16" i="4"/>
  <c r="Y29" i="4" s="1"/>
  <c r="Z16" i="4"/>
  <c r="Z29" i="4" s="1"/>
  <c r="AA16" i="4"/>
  <c r="AB16" i="4"/>
  <c r="AB29" i="4" s="1"/>
  <c r="AC16" i="4"/>
  <c r="AD16" i="4"/>
  <c r="AD29" i="4" s="1"/>
  <c r="AE16" i="4"/>
  <c r="AE29" i="4" s="1"/>
  <c r="AF16" i="4"/>
  <c r="AG16" i="4"/>
  <c r="AG29" i="4" s="1"/>
  <c r="AH16" i="4"/>
  <c r="AH29" i="4" s="1"/>
  <c r="AI16" i="4"/>
  <c r="AJ16" i="4"/>
  <c r="AJ29" i="4" s="1"/>
  <c r="AK16" i="4"/>
  <c r="AL16" i="4"/>
  <c r="AL29" i="4" s="1"/>
  <c r="AM16" i="4"/>
  <c r="AM29" i="4" s="1"/>
  <c r="AN16" i="4"/>
  <c r="AO16" i="4"/>
  <c r="AO29" i="4" s="1"/>
  <c r="AP16" i="4"/>
  <c r="AP29" i="4" s="1"/>
  <c r="AQ16" i="4"/>
  <c r="AR16" i="4"/>
  <c r="AR29" i="4" s="1"/>
  <c r="AS16" i="4"/>
  <c r="AT16" i="4"/>
  <c r="AT29" i="4" s="1"/>
  <c r="AU16" i="4"/>
  <c r="AU29" i="4" s="1"/>
  <c r="AV16" i="4"/>
  <c r="AW16" i="4"/>
  <c r="AW29" i="4" s="1"/>
  <c r="AX16" i="4"/>
  <c r="AX29" i="4" s="1"/>
  <c r="AY16" i="4"/>
  <c r="AZ16" i="4"/>
  <c r="AZ29" i="4" s="1"/>
  <c r="BA16" i="4"/>
  <c r="BB16" i="4"/>
  <c r="BB29" i="4" s="1"/>
  <c r="BC16" i="4"/>
  <c r="BC29" i="4" s="1"/>
  <c r="BD16" i="4"/>
  <c r="BE16" i="4"/>
  <c r="BE29" i="4" s="1"/>
  <c r="BF16" i="4"/>
  <c r="BF29" i="4" s="1"/>
  <c r="BG16" i="4"/>
  <c r="BH16" i="4"/>
  <c r="BH29" i="4" s="1"/>
  <c r="BI16" i="4"/>
  <c r="BJ16" i="4"/>
  <c r="BJ29" i="4" s="1"/>
  <c r="P29" i="4"/>
  <c r="S29" i="4"/>
  <c r="X29" i="4"/>
  <c r="AA29" i="4"/>
  <c r="AF29" i="4"/>
  <c r="AI29" i="4"/>
  <c r="AN29" i="4"/>
  <c r="AQ29" i="4"/>
  <c r="AV29" i="4"/>
  <c r="AY29" i="4"/>
  <c r="BD29" i="4"/>
  <c r="BG29" i="4"/>
  <c r="P30" i="4"/>
  <c r="P31" i="4" s="1"/>
  <c r="Q30" i="4"/>
  <c r="Q31" i="4" s="1"/>
  <c r="R30" i="4"/>
  <c r="S30" i="4"/>
  <c r="S31" i="4" s="1"/>
  <c r="T30" i="4"/>
  <c r="T31" i="4" s="1"/>
  <c r="U30" i="4"/>
  <c r="V30" i="4"/>
  <c r="V31" i="4" s="1"/>
  <c r="W30" i="4"/>
  <c r="X30" i="4"/>
  <c r="X31" i="4" s="1"/>
  <c r="Y30" i="4"/>
  <c r="Y31" i="4" s="1"/>
  <c r="Z30" i="4"/>
  <c r="AA30" i="4"/>
  <c r="AA31" i="4" s="1"/>
  <c r="AB30" i="4"/>
  <c r="AB31" i="4" s="1"/>
  <c r="AC30" i="4"/>
  <c r="AD30" i="4"/>
  <c r="AD31" i="4" s="1"/>
  <c r="AE30" i="4"/>
  <c r="AF30" i="4"/>
  <c r="AF31" i="4" s="1"/>
  <c r="AG30" i="4"/>
  <c r="AG31" i="4" s="1"/>
  <c r="AH30" i="4"/>
  <c r="AI30" i="4"/>
  <c r="AI31" i="4" s="1"/>
  <c r="AJ30" i="4"/>
  <c r="AJ31" i="4" s="1"/>
  <c r="AK30" i="4"/>
  <c r="AL30" i="4"/>
  <c r="AL31" i="4" s="1"/>
  <c r="AM30" i="4"/>
  <c r="AN30" i="4"/>
  <c r="AN31" i="4" s="1"/>
  <c r="AO30" i="4"/>
  <c r="AO31" i="4" s="1"/>
  <c r="AP30" i="4"/>
  <c r="AQ30" i="4"/>
  <c r="AQ31" i="4" s="1"/>
  <c r="AR30" i="4"/>
  <c r="AR31" i="4" s="1"/>
  <c r="AS30" i="4"/>
  <c r="AT30" i="4"/>
  <c r="AT31" i="4" s="1"/>
  <c r="AU30" i="4"/>
  <c r="AV30" i="4"/>
  <c r="AV31" i="4" s="1"/>
  <c r="AW30" i="4"/>
  <c r="AW31" i="4" s="1"/>
  <c r="AX30" i="4"/>
  <c r="AY30" i="4"/>
  <c r="AY31" i="4" s="1"/>
  <c r="AZ30" i="4"/>
  <c r="AZ31" i="4" s="1"/>
  <c r="BA30" i="4"/>
  <c r="BB30" i="4"/>
  <c r="BB31" i="4" s="1"/>
  <c r="BC30" i="4"/>
  <c r="BD30" i="4"/>
  <c r="BD31" i="4" s="1"/>
  <c r="BE30" i="4"/>
  <c r="BE31" i="4" s="1"/>
  <c r="BF30" i="4"/>
  <c r="BG30" i="4"/>
  <c r="BG31" i="4" s="1"/>
  <c r="BH30" i="4"/>
  <c r="BH31" i="4" s="1"/>
  <c r="BI30" i="4"/>
  <c r="BJ30" i="4"/>
  <c r="BJ31" i="4" s="1"/>
  <c r="R31" i="4"/>
  <c r="W31" i="4"/>
  <c r="Z31" i="4"/>
  <c r="AE31" i="4"/>
  <c r="AH31" i="4"/>
  <c r="AM31" i="4"/>
  <c r="AP31" i="4"/>
  <c r="AU31" i="4"/>
  <c r="AX31" i="4"/>
  <c r="BC31" i="4"/>
  <c r="BF31" i="4"/>
  <c r="P32" i="4"/>
  <c r="P33" i="4" s="1"/>
  <c r="Q32" i="4"/>
  <c r="R32" i="4"/>
  <c r="R33" i="4" s="1"/>
  <c r="S32" i="4"/>
  <c r="S33" i="4" s="1"/>
  <c r="T32" i="4"/>
  <c r="U32" i="4"/>
  <c r="U33" i="4" s="1"/>
  <c r="V32" i="4"/>
  <c r="V33" i="4" s="1"/>
  <c r="W32" i="4"/>
  <c r="X32" i="4"/>
  <c r="X33" i="4" s="1"/>
  <c r="Y32" i="4"/>
  <c r="Z32" i="4"/>
  <c r="Z33" i="4" s="1"/>
  <c r="AA32" i="4"/>
  <c r="AA33" i="4" s="1"/>
  <c r="AB32" i="4"/>
  <c r="AC32" i="4"/>
  <c r="AC33" i="4" s="1"/>
  <c r="AD32" i="4"/>
  <c r="AD33" i="4" s="1"/>
  <c r="AE32" i="4"/>
  <c r="AF32" i="4"/>
  <c r="AF33" i="4" s="1"/>
  <c r="AG32" i="4"/>
  <c r="AH32" i="4"/>
  <c r="AH33" i="4" s="1"/>
  <c r="AI32" i="4"/>
  <c r="AI33" i="4" s="1"/>
  <c r="AJ32" i="4"/>
  <c r="AK32" i="4"/>
  <c r="AK33" i="4" s="1"/>
  <c r="AL32" i="4"/>
  <c r="AL33" i="4" s="1"/>
  <c r="AM32" i="4"/>
  <c r="AN32" i="4"/>
  <c r="AN33" i="4" s="1"/>
  <c r="AO32" i="4"/>
  <c r="AP32" i="4"/>
  <c r="AP33" i="4" s="1"/>
  <c r="AQ32" i="4"/>
  <c r="AQ33" i="4" s="1"/>
  <c r="AR32" i="4"/>
  <c r="AS32" i="4"/>
  <c r="AS33" i="4" s="1"/>
  <c r="AT32" i="4"/>
  <c r="AT33" i="4" s="1"/>
  <c r="AU32" i="4"/>
  <c r="AV32" i="4"/>
  <c r="AV33" i="4" s="1"/>
  <c r="AW32" i="4"/>
  <c r="AX32" i="4"/>
  <c r="AX33" i="4" s="1"/>
  <c r="AY32" i="4"/>
  <c r="AY33" i="4" s="1"/>
  <c r="AZ32" i="4"/>
  <c r="BA32" i="4"/>
  <c r="BA33" i="4" s="1"/>
  <c r="BB32" i="4"/>
  <c r="BB33" i="4" s="1"/>
  <c r="BC32" i="4"/>
  <c r="BD32" i="4"/>
  <c r="BD33" i="4" s="1"/>
  <c r="BE32" i="4"/>
  <c r="BF32" i="4"/>
  <c r="BF33" i="4" s="1"/>
  <c r="BG32" i="4"/>
  <c r="BG33" i="4" s="1"/>
  <c r="BH32" i="4"/>
  <c r="BI32" i="4"/>
  <c r="BI33" i="4" s="1"/>
  <c r="BJ32" i="4"/>
  <c r="BJ33" i="4" s="1"/>
  <c r="Q33" i="4"/>
  <c r="T33" i="4"/>
  <c r="W33" i="4"/>
  <c r="Y33" i="4"/>
  <c r="AB33" i="4"/>
  <c r="AE33" i="4"/>
  <c r="AG33" i="4"/>
  <c r="AJ33" i="4"/>
  <c r="AM33" i="4"/>
  <c r="AO33" i="4"/>
  <c r="AR33" i="4"/>
  <c r="AU33" i="4"/>
  <c r="AW33" i="4"/>
  <c r="AZ33" i="4"/>
  <c r="BC33" i="4"/>
  <c r="BE33" i="4"/>
  <c r="BH33" i="4"/>
  <c r="P34" i="4"/>
  <c r="P35" i="4" s="1"/>
  <c r="Q34" i="4"/>
  <c r="R34" i="4"/>
  <c r="R35" i="4" s="1"/>
  <c r="S34" i="4"/>
  <c r="T34" i="4"/>
  <c r="T35" i="4" s="1"/>
  <c r="U34" i="4"/>
  <c r="U35" i="4" s="1"/>
  <c r="V34" i="4"/>
  <c r="W34" i="4"/>
  <c r="W35" i="4" s="1"/>
  <c r="X34" i="4"/>
  <c r="X35" i="4" s="1"/>
  <c r="Y34" i="4"/>
  <c r="Z34" i="4"/>
  <c r="Z35" i="4" s="1"/>
  <c r="AA34" i="4"/>
  <c r="AB34" i="4"/>
  <c r="AB35" i="4" s="1"/>
  <c r="AC34" i="4"/>
  <c r="AC35" i="4" s="1"/>
  <c r="AD34" i="4"/>
  <c r="AE34" i="4"/>
  <c r="AE35" i="4" s="1"/>
  <c r="AF34" i="4"/>
  <c r="AF35" i="4" s="1"/>
  <c r="AG34" i="4"/>
  <c r="AH34" i="4"/>
  <c r="AH35" i="4" s="1"/>
  <c r="AI34" i="4"/>
  <c r="AJ34" i="4"/>
  <c r="AJ35" i="4" s="1"/>
  <c r="AK34" i="4"/>
  <c r="AK35" i="4" s="1"/>
  <c r="AL34" i="4"/>
  <c r="AM34" i="4"/>
  <c r="AM35" i="4" s="1"/>
  <c r="AN34" i="4"/>
  <c r="AN35" i="4" s="1"/>
  <c r="AO34" i="4"/>
  <c r="AP34" i="4"/>
  <c r="AP35" i="4" s="1"/>
  <c r="AQ34" i="4"/>
  <c r="AR34" i="4"/>
  <c r="AR35" i="4" s="1"/>
  <c r="AS34" i="4"/>
  <c r="AS35" i="4" s="1"/>
  <c r="AT34" i="4"/>
  <c r="AU34" i="4"/>
  <c r="AU35" i="4" s="1"/>
  <c r="AV34" i="4"/>
  <c r="AV35" i="4" s="1"/>
  <c r="AW34" i="4"/>
  <c r="AX34" i="4"/>
  <c r="AX35" i="4" s="1"/>
  <c r="AY34" i="4"/>
  <c r="AZ34" i="4"/>
  <c r="AZ35" i="4" s="1"/>
  <c r="BA34" i="4"/>
  <c r="BA35" i="4" s="1"/>
  <c r="BB34" i="4"/>
  <c r="BC34" i="4"/>
  <c r="BC35" i="4" s="1"/>
  <c r="BD34" i="4"/>
  <c r="BD35" i="4" s="1"/>
  <c r="BE34" i="4"/>
  <c r="BF34" i="4"/>
  <c r="BF35" i="4" s="1"/>
  <c r="BG34" i="4"/>
  <c r="BH34" i="4"/>
  <c r="BH35" i="4" s="1"/>
  <c r="BI34" i="4"/>
  <c r="BI35" i="4" s="1"/>
  <c r="BJ34" i="4"/>
  <c r="BJ35" i="4" s="1"/>
  <c r="Q35" i="4"/>
  <c r="S35" i="4"/>
  <c r="V35" i="4"/>
  <c r="Y35" i="4"/>
  <c r="AA35" i="4"/>
  <c r="AD35" i="4"/>
  <c r="AG35" i="4"/>
  <c r="AI35" i="4"/>
  <c r="AL35" i="4"/>
  <c r="AO35" i="4"/>
  <c r="AQ35" i="4"/>
  <c r="AT35" i="4"/>
  <c r="AW35" i="4"/>
  <c r="AY35" i="4"/>
  <c r="BB35" i="4"/>
  <c r="BE35" i="4"/>
  <c r="BG35" i="4"/>
  <c r="P36" i="4"/>
  <c r="Q36" i="4"/>
  <c r="Q37" i="4" s="1"/>
  <c r="R36" i="4"/>
  <c r="R37" i="4" s="1"/>
  <c r="S36" i="4"/>
  <c r="T36" i="4"/>
  <c r="T37" i="4" s="1"/>
  <c r="U36" i="4"/>
  <c r="V36" i="4"/>
  <c r="V37" i="4" s="1"/>
  <c r="W36" i="4"/>
  <c r="W37" i="4" s="1"/>
  <c r="X36" i="4"/>
  <c r="Y36" i="4"/>
  <c r="Y37" i="4" s="1"/>
  <c r="Z36" i="4"/>
  <c r="Z37" i="4" s="1"/>
  <c r="AA36" i="4"/>
  <c r="AB36" i="4"/>
  <c r="AB37" i="4" s="1"/>
  <c r="AC36" i="4"/>
  <c r="AD36" i="4"/>
  <c r="AD37" i="4" s="1"/>
  <c r="AE36" i="4"/>
  <c r="AE37" i="4" s="1"/>
  <c r="AF36" i="4"/>
  <c r="AG36" i="4"/>
  <c r="AG37" i="4" s="1"/>
  <c r="AH36" i="4"/>
  <c r="AH37" i="4" s="1"/>
  <c r="AI36" i="4"/>
  <c r="AJ36" i="4"/>
  <c r="AJ37" i="4" s="1"/>
  <c r="AK36" i="4"/>
  <c r="AL36" i="4"/>
  <c r="AL37" i="4" s="1"/>
  <c r="AM36" i="4"/>
  <c r="AM37" i="4" s="1"/>
  <c r="AN36" i="4"/>
  <c r="AO36" i="4"/>
  <c r="AO37" i="4" s="1"/>
  <c r="AP36" i="4"/>
  <c r="AP37" i="4" s="1"/>
  <c r="AQ36" i="4"/>
  <c r="AR36" i="4"/>
  <c r="AR37" i="4" s="1"/>
  <c r="AS36" i="4"/>
  <c r="AT36" i="4"/>
  <c r="AT37" i="4" s="1"/>
  <c r="AU36" i="4"/>
  <c r="AU37" i="4" s="1"/>
  <c r="AV36" i="4"/>
  <c r="AW36" i="4"/>
  <c r="AW37" i="4" s="1"/>
  <c r="AX36" i="4"/>
  <c r="AX37" i="4" s="1"/>
  <c r="AY36" i="4"/>
  <c r="AZ36" i="4"/>
  <c r="AZ37" i="4" s="1"/>
  <c r="BA36" i="4"/>
  <c r="BB36" i="4"/>
  <c r="BB37" i="4" s="1"/>
  <c r="BC36" i="4"/>
  <c r="BC37" i="4" s="1"/>
  <c r="BD36" i="4"/>
  <c r="BE36" i="4"/>
  <c r="BE37" i="4" s="1"/>
  <c r="BF36" i="4"/>
  <c r="BF37" i="4" s="1"/>
  <c r="BG36" i="4"/>
  <c r="BH36" i="4"/>
  <c r="BH37" i="4" s="1"/>
  <c r="BI36" i="4"/>
  <c r="BJ36" i="4"/>
  <c r="BJ37" i="4" s="1"/>
  <c r="P37" i="4"/>
  <c r="S37" i="4"/>
  <c r="X37" i="4"/>
  <c r="AA37" i="4"/>
  <c r="AF37" i="4"/>
  <c r="AI37" i="4"/>
  <c r="AN37" i="4"/>
  <c r="AQ37" i="4"/>
  <c r="AV37" i="4"/>
  <c r="AY37" i="4"/>
  <c r="BD37" i="4"/>
  <c r="BG37" i="4"/>
  <c r="P38" i="4"/>
  <c r="P39" i="4" s="1"/>
  <c r="Q38" i="4"/>
  <c r="Q39" i="4" s="1"/>
  <c r="R38" i="4"/>
  <c r="S38" i="4"/>
  <c r="S39" i="4" s="1"/>
  <c r="T38" i="4"/>
  <c r="T39" i="4" s="1"/>
  <c r="U38" i="4"/>
  <c r="V38" i="4"/>
  <c r="V39" i="4" s="1"/>
  <c r="W38" i="4"/>
  <c r="X38" i="4"/>
  <c r="X39" i="4" s="1"/>
  <c r="Y38" i="4"/>
  <c r="Y39" i="4" s="1"/>
  <c r="Z38" i="4"/>
  <c r="AA38" i="4"/>
  <c r="AA39" i="4" s="1"/>
  <c r="AB38" i="4"/>
  <c r="AB39" i="4" s="1"/>
  <c r="AC38" i="4"/>
  <c r="AD38" i="4"/>
  <c r="AD39" i="4" s="1"/>
  <c r="AE38" i="4"/>
  <c r="AF38" i="4"/>
  <c r="AF39" i="4" s="1"/>
  <c r="AG38" i="4"/>
  <c r="AG39" i="4" s="1"/>
  <c r="AH38" i="4"/>
  <c r="AI38" i="4"/>
  <c r="AI39" i="4" s="1"/>
  <c r="AJ38" i="4"/>
  <c r="AJ39" i="4" s="1"/>
  <c r="AK38" i="4"/>
  <c r="AL38" i="4"/>
  <c r="AL39" i="4" s="1"/>
  <c r="AM38" i="4"/>
  <c r="AN38" i="4"/>
  <c r="AN39" i="4" s="1"/>
  <c r="AO38" i="4"/>
  <c r="AO39" i="4" s="1"/>
  <c r="AP38" i="4"/>
  <c r="AQ38" i="4"/>
  <c r="AQ39" i="4" s="1"/>
  <c r="AR38" i="4"/>
  <c r="AR39" i="4" s="1"/>
  <c r="AS38" i="4"/>
  <c r="AT38" i="4"/>
  <c r="AT39" i="4" s="1"/>
  <c r="AU38" i="4"/>
  <c r="AV38" i="4"/>
  <c r="AV39" i="4" s="1"/>
  <c r="AW38" i="4"/>
  <c r="AW39" i="4" s="1"/>
  <c r="AX38" i="4"/>
  <c r="AY38" i="4"/>
  <c r="AY39" i="4" s="1"/>
  <c r="AZ38" i="4"/>
  <c r="AZ39" i="4" s="1"/>
  <c r="BA38" i="4"/>
  <c r="BB38" i="4"/>
  <c r="BB39" i="4" s="1"/>
  <c r="BC38" i="4"/>
  <c r="BD38" i="4"/>
  <c r="BD39" i="4" s="1"/>
  <c r="BE38" i="4"/>
  <c r="BE39" i="4" s="1"/>
  <c r="BF38" i="4"/>
  <c r="BG38" i="4"/>
  <c r="BG39" i="4" s="1"/>
  <c r="BH38" i="4"/>
  <c r="BH39" i="4" s="1"/>
  <c r="BI38" i="4"/>
  <c r="BJ38" i="4"/>
  <c r="BJ39" i="4" s="1"/>
  <c r="R39" i="4"/>
  <c r="W39" i="4"/>
  <c r="Z39" i="4"/>
  <c r="AE39" i="4"/>
  <c r="AH39" i="4"/>
  <c r="AM39" i="4"/>
  <c r="AP39" i="4"/>
  <c r="AU39" i="4"/>
  <c r="AX39" i="4"/>
  <c r="BC39" i="4"/>
  <c r="BF39" i="4"/>
  <c r="P40" i="4"/>
  <c r="P48" i="4" s="1"/>
  <c r="Q40" i="4"/>
  <c r="R40" i="4"/>
  <c r="R48" i="4" s="1"/>
  <c r="S40" i="4"/>
  <c r="S48" i="4" s="1"/>
  <c r="T40" i="4"/>
  <c r="U40" i="4"/>
  <c r="U48" i="4" s="1"/>
  <c r="V40" i="4"/>
  <c r="V48" i="4" s="1"/>
  <c r="W40" i="4"/>
  <c r="X40" i="4"/>
  <c r="X48" i="4" s="1"/>
  <c r="Y40" i="4"/>
  <c r="Z40" i="4"/>
  <c r="Z48" i="4" s="1"/>
  <c r="AA40" i="4"/>
  <c r="AA48" i="4" s="1"/>
  <c r="AB40" i="4"/>
  <c r="AC40" i="4"/>
  <c r="AC48" i="4" s="1"/>
  <c r="AD40" i="4"/>
  <c r="AD48" i="4" s="1"/>
  <c r="AE40" i="4"/>
  <c r="AF40" i="4"/>
  <c r="AF48" i="4" s="1"/>
  <c r="AG40" i="4"/>
  <c r="AH40" i="4"/>
  <c r="AH48" i="4" s="1"/>
  <c r="AI40" i="4"/>
  <c r="AI48" i="4" s="1"/>
  <c r="AJ40" i="4"/>
  <c r="AK40" i="4"/>
  <c r="AK48" i="4" s="1"/>
  <c r="AL40" i="4"/>
  <c r="AL48" i="4" s="1"/>
  <c r="AM40" i="4"/>
  <c r="AN40" i="4"/>
  <c r="AN48" i="4" s="1"/>
  <c r="AO40" i="4"/>
  <c r="AP40" i="4"/>
  <c r="AP48" i="4" s="1"/>
  <c r="AQ40" i="4"/>
  <c r="AQ48" i="4" s="1"/>
  <c r="AR40" i="4"/>
  <c r="AS40" i="4"/>
  <c r="AS48" i="4" s="1"/>
  <c r="AT40" i="4"/>
  <c r="AT48" i="4" s="1"/>
  <c r="AU40" i="4"/>
  <c r="AV40" i="4"/>
  <c r="AV48" i="4" s="1"/>
  <c r="AW40" i="4"/>
  <c r="AX40" i="4"/>
  <c r="AX48" i="4" s="1"/>
  <c r="AY40" i="4"/>
  <c r="AY48" i="4" s="1"/>
  <c r="AZ40" i="4"/>
  <c r="BA40" i="4"/>
  <c r="BA48" i="4" s="1"/>
  <c r="BB40" i="4"/>
  <c r="BB48" i="4" s="1"/>
  <c r="BC40" i="4"/>
  <c r="BD40" i="4"/>
  <c r="BD48" i="4" s="1"/>
  <c r="BE40" i="4"/>
  <c r="BF40" i="4"/>
  <c r="BF48" i="4" s="1"/>
  <c r="BG40" i="4"/>
  <c r="BG48" i="4" s="1"/>
  <c r="BH40" i="4"/>
  <c r="BI40" i="4"/>
  <c r="BI48" i="4" s="1"/>
  <c r="BJ40" i="4"/>
  <c r="BJ48" i="4" s="1"/>
  <c r="Q48" i="4"/>
  <c r="T48" i="4"/>
  <c r="W48" i="4"/>
  <c r="Y48" i="4"/>
  <c r="AB48" i="4"/>
  <c r="AE48" i="4"/>
  <c r="AG48" i="4"/>
  <c r="AJ48" i="4"/>
  <c r="AM48" i="4"/>
  <c r="AO48" i="4"/>
  <c r="AR48" i="4"/>
  <c r="AU48" i="4"/>
  <c r="AW48" i="4"/>
  <c r="AZ48" i="4"/>
  <c r="BC48" i="4"/>
  <c r="BE48" i="4"/>
  <c r="BH48" i="4"/>
  <c r="P49" i="4"/>
  <c r="P54" i="4" s="1"/>
  <c r="Q49" i="4"/>
  <c r="R49" i="4"/>
  <c r="R54" i="4" s="1"/>
  <c r="S49" i="4"/>
  <c r="T49" i="4"/>
  <c r="T54" i="4" s="1"/>
  <c r="U49" i="4"/>
  <c r="U54" i="4" s="1"/>
  <c r="V49" i="4"/>
  <c r="W49" i="4"/>
  <c r="W54" i="4" s="1"/>
  <c r="X49" i="4"/>
  <c r="X54" i="4" s="1"/>
  <c r="Y49" i="4"/>
  <c r="Z49" i="4"/>
  <c r="Z54" i="4" s="1"/>
  <c r="AA49" i="4"/>
  <c r="AB49" i="4"/>
  <c r="AB54" i="4" s="1"/>
  <c r="AC49" i="4"/>
  <c r="AC54" i="4" s="1"/>
  <c r="AD49" i="4"/>
  <c r="AE49" i="4"/>
  <c r="AE54" i="4" s="1"/>
  <c r="AF49" i="4"/>
  <c r="AF54" i="4" s="1"/>
  <c r="AG49" i="4"/>
  <c r="AH49" i="4"/>
  <c r="AH54" i="4" s="1"/>
  <c r="AI49" i="4"/>
  <c r="AJ49" i="4"/>
  <c r="AJ54" i="4" s="1"/>
  <c r="AK49" i="4"/>
  <c r="AK54" i="4" s="1"/>
  <c r="AL49" i="4"/>
  <c r="AM49" i="4"/>
  <c r="AM54" i="4" s="1"/>
  <c r="AN49" i="4"/>
  <c r="AN54" i="4" s="1"/>
  <c r="AO49" i="4"/>
  <c r="AP49" i="4"/>
  <c r="AP54" i="4" s="1"/>
  <c r="AQ49" i="4"/>
  <c r="AR49" i="4"/>
  <c r="AR54" i="4" s="1"/>
  <c r="AS49" i="4"/>
  <c r="AS54" i="4" s="1"/>
  <c r="AT49" i="4"/>
  <c r="AU49" i="4"/>
  <c r="AU54" i="4" s="1"/>
  <c r="AV49" i="4"/>
  <c r="AV54" i="4" s="1"/>
  <c r="AW49" i="4"/>
  <c r="AX49" i="4"/>
  <c r="AX54" i="4" s="1"/>
  <c r="AY49" i="4"/>
  <c r="AZ49" i="4"/>
  <c r="AZ54" i="4" s="1"/>
  <c r="BA49" i="4"/>
  <c r="BA54" i="4" s="1"/>
  <c r="BB49" i="4"/>
  <c r="BC49" i="4"/>
  <c r="BC54" i="4" s="1"/>
  <c r="BD49" i="4"/>
  <c r="BD54" i="4" s="1"/>
  <c r="BE49" i="4"/>
  <c r="BF49" i="4"/>
  <c r="BF54" i="4" s="1"/>
  <c r="BG49" i="4"/>
  <c r="BH49" i="4"/>
  <c r="BH54" i="4" s="1"/>
  <c r="BI49" i="4"/>
  <c r="BI54" i="4" s="1"/>
  <c r="BJ49" i="4"/>
  <c r="Q54" i="4"/>
  <c r="S54" i="4"/>
  <c r="V54" i="4"/>
  <c r="Y54" i="4"/>
  <c r="AA54" i="4"/>
  <c r="AD54" i="4"/>
  <c r="AG54" i="4"/>
  <c r="AI54" i="4"/>
  <c r="AL54" i="4"/>
  <c r="AO54" i="4"/>
  <c r="AQ54" i="4"/>
  <c r="AT54" i="4"/>
  <c r="AW54" i="4"/>
  <c r="AY54" i="4"/>
  <c r="BB54" i="4"/>
  <c r="BE54" i="4"/>
  <c r="BG54" i="4"/>
  <c r="BJ54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Z55" i="4"/>
  <c r="BA55" i="4"/>
  <c r="BB55" i="4"/>
  <c r="BC55" i="4"/>
  <c r="BD55" i="4"/>
  <c r="BE55" i="4"/>
  <c r="BF55" i="4"/>
  <c r="BG55" i="4"/>
  <c r="BH55" i="4"/>
  <c r="BI55" i="4"/>
  <c r="BJ55" i="4"/>
  <c r="P56" i="4"/>
  <c r="P57" i="4" s="1"/>
  <c r="Q56" i="4"/>
  <c r="R56" i="4"/>
  <c r="R57" i="4" s="1"/>
  <c r="S56" i="4"/>
  <c r="S57" i="4" s="1"/>
  <c r="T56" i="4"/>
  <c r="U56" i="4"/>
  <c r="U57" i="4" s="1"/>
  <c r="V56" i="4"/>
  <c r="W56" i="4"/>
  <c r="W57" i="4" s="1"/>
  <c r="X56" i="4"/>
  <c r="X57" i="4" s="1"/>
  <c r="Y56" i="4"/>
  <c r="Z56" i="4"/>
  <c r="Z57" i="4" s="1"/>
  <c r="AA56" i="4"/>
  <c r="AA57" i="4" s="1"/>
  <c r="AB56" i="4"/>
  <c r="AC56" i="4"/>
  <c r="AC57" i="4" s="1"/>
  <c r="AD56" i="4"/>
  <c r="AE56" i="4"/>
  <c r="AE57" i="4" s="1"/>
  <c r="AF56" i="4"/>
  <c r="AF57" i="4" s="1"/>
  <c r="AG56" i="4"/>
  <c r="AH56" i="4"/>
  <c r="AH57" i="4" s="1"/>
  <c r="AI56" i="4"/>
  <c r="AI57" i="4" s="1"/>
  <c r="AJ56" i="4"/>
  <c r="AK56" i="4"/>
  <c r="AK57" i="4" s="1"/>
  <c r="AL56" i="4"/>
  <c r="AM56" i="4"/>
  <c r="AM57" i="4" s="1"/>
  <c r="AN56" i="4"/>
  <c r="AN57" i="4" s="1"/>
  <c r="AO56" i="4"/>
  <c r="AP56" i="4"/>
  <c r="AP57" i="4" s="1"/>
  <c r="AQ56" i="4"/>
  <c r="AQ57" i="4" s="1"/>
  <c r="AR56" i="4"/>
  <c r="AS56" i="4"/>
  <c r="AS57" i="4" s="1"/>
  <c r="AT56" i="4"/>
  <c r="AU56" i="4"/>
  <c r="AU57" i="4" s="1"/>
  <c r="AV56" i="4"/>
  <c r="AV57" i="4" s="1"/>
  <c r="AW56" i="4"/>
  <c r="AX56" i="4"/>
  <c r="AX57" i="4" s="1"/>
  <c r="AY56" i="4"/>
  <c r="AY57" i="4" s="1"/>
  <c r="AZ56" i="4"/>
  <c r="BA56" i="4"/>
  <c r="BA57" i="4" s="1"/>
  <c r="BB56" i="4"/>
  <c r="BC56" i="4"/>
  <c r="BC57" i="4" s="1"/>
  <c r="BD56" i="4"/>
  <c r="BD57" i="4" s="1"/>
  <c r="BE56" i="4"/>
  <c r="BF56" i="4"/>
  <c r="BF57" i="4" s="1"/>
  <c r="BG56" i="4"/>
  <c r="BG57" i="4" s="1"/>
  <c r="BH56" i="4"/>
  <c r="BI56" i="4"/>
  <c r="BI57" i="4" s="1"/>
  <c r="BJ56" i="4"/>
  <c r="Q57" i="4"/>
  <c r="T57" i="4"/>
  <c r="Y57" i="4"/>
  <c r="AB57" i="4"/>
  <c r="AG57" i="4"/>
  <c r="AJ57" i="4"/>
  <c r="AO57" i="4"/>
  <c r="AR57" i="4"/>
  <c r="AW57" i="4"/>
  <c r="AZ57" i="4"/>
  <c r="BE57" i="4"/>
  <c r="BH57" i="4"/>
  <c r="BL8" i="4"/>
  <c r="BM8" i="4"/>
  <c r="BN8" i="4"/>
  <c r="BO8" i="4"/>
  <c r="BP8" i="4"/>
  <c r="BQ8" i="4"/>
  <c r="BR8" i="4"/>
  <c r="BS8" i="4"/>
  <c r="BT8" i="4"/>
  <c r="BU8" i="4"/>
  <c r="BV8" i="4"/>
  <c r="BW8" i="4"/>
  <c r="BL9" i="4"/>
  <c r="BM9" i="4"/>
  <c r="BN9" i="4"/>
  <c r="BO9" i="4"/>
  <c r="BP9" i="4"/>
  <c r="BQ9" i="4"/>
  <c r="BR9" i="4"/>
  <c r="BS9" i="4"/>
  <c r="BT9" i="4"/>
  <c r="BU9" i="4"/>
  <c r="BV9" i="4"/>
  <c r="BW9" i="4"/>
  <c r="BL10" i="4"/>
  <c r="BM10" i="4"/>
  <c r="BM11" i="4" s="1"/>
  <c r="BN10" i="4"/>
  <c r="BO10" i="4"/>
  <c r="BP10" i="4"/>
  <c r="BQ10" i="4"/>
  <c r="BQ11" i="4" s="1"/>
  <c r="BR10" i="4"/>
  <c r="BR11" i="4" s="1"/>
  <c r="BS10" i="4"/>
  <c r="BS11" i="4" s="1"/>
  <c r="BT10" i="4"/>
  <c r="BU10" i="4"/>
  <c r="BV10" i="4"/>
  <c r="BW10" i="4"/>
  <c r="BN11" i="4"/>
  <c r="BO11" i="4"/>
  <c r="BP11" i="4"/>
  <c r="BT11" i="4"/>
  <c r="BU11" i="4"/>
  <c r="BV11" i="4"/>
  <c r="BW11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L16" i="4"/>
  <c r="BM16" i="4"/>
  <c r="BM29" i="4" s="1"/>
  <c r="BN16" i="4"/>
  <c r="BN29" i="4" s="1"/>
  <c r="BO16" i="4"/>
  <c r="BO29" i="4" s="1"/>
  <c r="BP16" i="4"/>
  <c r="BQ16" i="4"/>
  <c r="BR16" i="4"/>
  <c r="BS16" i="4"/>
  <c r="BT16" i="4"/>
  <c r="BU16" i="4"/>
  <c r="BU29" i="4" s="1"/>
  <c r="BV16" i="4"/>
  <c r="BV29" i="4" s="1"/>
  <c r="BW16" i="4"/>
  <c r="BW29" i="4" s="1"/>
  <c r="BP29" i="4"/>
  <c r="BQ29" i="4"/>
  <c r="BR29" i="4"/>
  <c r="BS29" i="4"/>
  <c r="BT29" i="4"/>
  <c r="BL30" i="4"/>
  <c r="BM30" i="4"/>
  <c r="BM31" i="4" s="1"/>
  <c r="BN30" i="4"/>
  <c r="BN31" i="4" s="1"/>
  <c r="BO30" i="4"/>
  <c r="BO31" i="4" s="1"/>
  <c r="BP30" i="4"/>
  <c r="BQ30" i="4"/>
  <c r="BR30" i="4"/>
  <c r="BS30" i="4"/>
  <c r="BT30" i="4"/>
  <c r="BU30" i="4"/>
  <c r="BU31" i="4" s="1"/>
  <c r="BV30" i="4"/>
  <c r="BV31" i="4" s="1"/>
  <c r="BW30" i="4"/>
  <c r="BW31" i="4" s="1"/>
  <c r="BP31" i="4"/>
  <c r="BQ31" i="4"/>
  <c r="BR31" i="4"/>
  <c r="BS31" i="4"/>
  <c r="BT31" i="4"/>
  <c r="BL32" i="4"/>
  <c r="BL33" i="4" s="1"/>
  <c r="BM32" i="4"/>
  <c r="BM33" i="4" s="1"/>
  <c r="BN32" i="4"/>
  <c r="BN33" i="4" s="1"/>
  <c r="BO32" i="4"/>
  <c r="BO33" i="4" s="1"/>
  <c r="BP32" i="4"/>
  <c r="BP33" i="4" s="1"/>
  <c r="BQ32" i="4"/>
  <c r="BR32" i="4"/>
  <c r="BS32" i="4"/>
  <c r="BT32" i="4"/>
  <c r="BU32" i="4"/>
  <c r="BU33" i="4" s="1"/>
  <c r="BV32" i="4"/>
  <c r="BV33" i="4" s="1"/>
  <c r="BW32" i="4"/>
  <c r="BW33" i="4" s="1"/>
  <c r="BQ33" i="4"/>
  <c r="BR33" i="4"/>
  <c r="BS33" i="4"/>
  <c r="BT33" i="4"/>
  <c r="BL34" i="4"/>
  <c r="BM34" i="4"/>
  <c r="BM35" i="4" s="1"/>
  <c r="BN34" i="4"/>
  <c r="BN35" i="4" s="1"/>
  <c r="BO34" i="4"/>
  <c r="BO35" i="4" s="1"/>
  <c r="BP34" i="4"/>
  <c r="BP35" i="4" s="1"/>
  <c r="BQ34" i="4"/>
  <c r="BR34" i="4"/>
  <c r="BS34" i="4"/>
  <c r="BT34" i="4"/>
  <c r="BU34" i="4"/>
  <c r="BU35" i="4" s="1"/>
  <c r="BV34" i="4"/>
  <c r="BV35" i="4" s="1"/>
  <c r="BW34" i="4"/>
  <c r="BW35" i="4" s="1"/>
  <c r="BQ35" i="4"/>
  <c r="BR35" i="4"/>
  <c r="BS35" i="4"/>
  <c r="BT35" i="4"/>
  <c r="BL36" i="4"/>
  <c r="BL37" i="4" s="1"/>
  <c r="BM36" i="4"/>
  <c r="BM37" i="4" s="1"/>
  <c r="BN36" i="4"/>
  <c r="BN37" i="4" s="1"/>
  <c r="BO36" i="4"/>
  <c r="BO37" i="4" s="1"/>
  <c r="BP36" i="4"/>
  <c r="BP37" i="4" s="1"/>
  <c r="BQ36" i="4"/>
  <c r="BR36" i="4"/>
  <c r="BS36" i="4"/>
  <c r="BT36" i="4"/>
  <c r="BU36" i="4"/>
  <c r="BU37" i="4" s="1"/>
  <c r="BV36" i="4"/>
  <c r="BV37" i="4" s="1"/>
  <c r="BW36" i="4"/>
  <c r="BW37" i="4" s="1"/>
  <c r="BQ37" i="4"/>
  <c r="BR37" i="4"/>
  <c r="BS37" i="4"/>
  <c r="BT37" i="4"/>
  <c r="BL38" i="4"/>
  <c r="BL39" i="4" s="1"/>
  <c r="BM38" i="4"/>
  <c r="BM39" i="4" s="1"/>
  <c r="BN38" i="4"/>
  <c r="BN39" i="4" s="1"/>
  <c r="BO38" i="4"/>
  <c r="BO39" i="4" s="1"/>
  <c r="BP38" i="4"/>
  <c r="BP39" i="4" s="1"/>
  <c r="BQ38" i="4"/>
  <c r="BR38" i="4"/>
  <c r="BS38" i="4"/>
  <c r="BT38" i="4"/>
  <c r="BU38" i="4"/>
  <c r="BU39" i="4" s="1"/>
  <c r="BV38" i="4"/>
  <c r="BV39" i="4" s="1"/>
  <c r="BW38" i="4"/>
  <c r="BW39" i="4" s="1"/>
  <c r="BQ39" i="4"/>
  <c r="BR39" i="4"/>
  <c r="BS39" i="4"/>
  <c r="BT39" i="4"/>
  <c r="BL40" i="4"/>
  <c r="BL48" i="4" s="1"/>
  <c r="BM40" i="4"/>
  <c r="BM48" i="4" s="1"/>
  <c r="BN40" i="4"/>
  <c r="BN48" i="4" s="1"/>
  <c r="BO40" i="4"/>
  <c r="BO48" i="4" s="1"/>
  <c r="BP40" i="4"/>
  <c r="BP48" i="4" s="1"/>
  <c r="BQ40" i="4"/>
  <c r="BR40" i="4"/>
  <c r="BS40" i="4"/>
  <c r="BT40" i="4"/>
  <c r="BU40" i="4"/>
  <c r="BU48" i="4" s="1"/>
  <c r="BV40" i="4"/>
  <c r="BV48" i="4" s="1"/>
  <c r="BW40" i="4"/>
  <c r="BW48" i="4" s="1"/>
  <c r="BQ48" i="4"/>
  <c r="BR48" i="4"/>
  <c r="BS48" i="4"/>
  <c r="BT48" i="4"/>
  <c r="BL49" i="4"/>
  <c r="BL54" i="4" s="1"/>
  <c r="BM49" i="4"/>
  <c r="BM54" i="4" s="1"/>
  <c r="BN49" i="4"/>
  <c r="BN54" i="4" s="1"/>
  <c r="BO49" i="4"/>
  <c r="BO54" i="4" s="1"/>
  <c r="BP49" i="4"/>
  <c r="BP54" i="4" s="1"/>
  <c r="BQ49" i="4"/>
  <c r="BR49" i="4"/>
  <c r="BS49" i="4"/>
  <c r="BT49" i="4"/>
  <c r="BU49" i="4"/>
  <c r="BU54" i="4" s="1"/>
  <c r="BV49" i="4"/>
  <c r="BV54" i="4" s="1"/>
  <c r="BW49" i="4"/>
  <c r="BW54" i="4" s="1"/>
  <c r="BQ54" i="4"/>
  <c r="BR54" i="4"/>
  <c r="BS54" i="4"/>
  <c r="BT54" i="4"/>
  <c r="BL55" i="4"/>
  <c r="BM55" i="4"/>
  <c r="BN55" i="4"/>
  <c r="BO55" i="4"/>
  <c r="BP55" i="4"/>
  <c r="BQ55" i="4"/>
  <c r="BR55" i="4"/>
  <c r="BS55" i="4"/>
  <c r="BT55" i="4"/>
  <c r="BU55" i="4"/>
  <c r="BV55" i="4"/>
  <c r="BW55" i="4"/>
  <c r="BL56" i="4"/>
  <c r="BM56" i="4"/>
  <c r="BN56" i="4"/>
  <c r="BN57" i="4" s="1"/>
  <c r="BO56" i="4"/>
  <c r="BO57" i="4" s="1"/>
  <c r="BP56" i="4"/>
  <c r="BQ56" i="4"/>
  <c r="BQ57" i="4" s="1"/>
  <c r="BR56" i="4"/>
  <c r="BR57" i="4" s="1"/>
  <c r="BS56" i="4"/>
  <c r="BS57" i="4" s="1"/>
  <c r="BT56" i="4"/>
  <c r="BT57" i="4" s="1"/>
  <c r="BU56" i="4"/>
  <c r="BV56" i="4"/>
  <c r="BW56" i="4"/>
  <c r="BM57" i="4"/>
  <c r="BP57" i="4"/>
  <c r="BU57" i="4"/>
  <c r="BV57" i="4"/>
  <c r="BW57" i="4"/>
  <c r="BK56" i="4"/>
  <c r="BK55" i="4"/>
  <c r="BK49" i="4"/>
  <c r="BK54" i="4" s="1"/>
  <c r="BK40" i="4"/>
  <c r="BK48" i="4" s="1"/>
  <c r="BK38" i="4"/>
  <c r="BK39" i="4" s="1"/>
  <c r="BK36" i="4"/>
  <c r="BK34" i="4"/>
  <c r="BK32" i="4"/>
  <c r="BK30" i="4"/>
  <c r="BK16" i="4"/>
  <c r="BK29" i="4" s="1"/>
  <c r="BK12" i="4"/>
  <c r="BK10" i="4"/>
  <c r="BK11" i="4" s="1"/>
  <c r="BK9" i="4"/>
  <c r="BK8" i="4"/>
  <c r="BN114" i="1" l="1"/>
  <c r="BN129" i="1" s="1"/>
  <c r="BO127" i="1"/>
  <c r="BO126" i="1" s="1"/>
  <c r="BO114" i="1" s="1"/>
  <c r="BO129" i="1" s="1"/>
  <c r="C9" i="11"/>
  <c r="B143" i="9"/>
  <c r="B105" i="9"/>
  <c r="B90" i="9"/>
  <c r="B84" i="9"/>
  <c r="B72" i="9"/>
  <c r="B60" i="9"/>
  <c r="B44" i="9"/>
  <c r="B32" i="9"/>
  <c r="B20" i="9"/>
  <c r="B25" i="9"/>
  <c r="B53" i="9"/>
  <c r="B42" i="9"/>
  <c r="B12" i="9"/>
  <c r="B152" i="9"/>
  <c r="B147" i="9"/>
  <c r="B135" i="9"/>
  <c r="B131" i="9"/>
  <c r="B127" i="9"/>
  <c r="B123" i="9"/>
  <c r="B117" i="9"/>
  <c r="B113" i="9"/>
  <c r="B109" i="9"/>
  <c r="B96" i="9"/>
  <c r="B76" i="9"/>
  <c r="B66" i="9"/>
  <c r="B51" i="9"/>
  <c r="B38" i="9"/>
  <c r="B26" i="9"/>
  <c r="B16" i="9"/>
  <c r="B15" i="9"/>
  <c r="B36" i="9"/>
  <c r="B19" i="9"/>
  <c r="B151" i="9"/>
  <c r="B146" i="9"/>
  <c r="B142" i="9"/>
  <c r="B134" i="9"/>
  <c r="B130" i="9"/>
  <c r="B126" i="9"/>
  <c r="B122" i="9"/>
  <c r="B116" i="9"/>
  <c r="B112" i="9"/>
  <c r="B108" i="9"/>
  <c r="B99" i="9"/>
  <c r="B93" i="9"/>
  <c r="B89" i="9"/>
  <c r="B81" i="9"/>
  <c r="B75" i="9"/>
  <c r="B71" i="9"/>
  <c r="B64" i="9"/>
  <c r="B54" i="9"/>
  <c r="B50" i="9"/>
  <c r="B43" i="9"/>
  <c r="B37" i="9"/>
  <c r="B29" i="9"/>
  <c r="B63" i="9"/>
  <c r="B24" i="9"/>
  <c r="B145" i="9"/>
  <c r="B141" i="9"/>
  <c r="B129" i="9"/>
  <c r="B119" i="9"/>
  <c r="B111" i="9"/>
  <c r="B98" i="9"/>
  <c r="B88" i="9"/>
  <c r="B74" i="9"/>
  <c r="B28" i="9"/>
  <c r="B149" i="9"/>
  <c r="B133" i="9"/>
  <c r="B125" i="9"/>
  <c r="B115" i="9"/>
  <c r="B107" i="9"/>
  <c r="B92" i="9"/>
  <c r="B80" i="9"/>
  <c r="B70" i="9"/>
  <c r="B49" i="9"/>
  <c r="B18" i="9"/>
  <c r="B148" i="9"/>
  <c r="B144" i="9"/>
  <c r="B140" i="9"/>
  <c r="B139" i="9" s="1"/>
  <c r="B132" i="9"/>
  <c r="B128" i="9"/>
  <c r="B124" i="9"/>
  <c r="B118" i="9"/>
  <c r="B114" i="9"/>
  <c r="B110" i="9"/>
  <c r="B106" i="9"/>
  <c r="B97" i="9"/>
  <c r="B91" i="9"/>
  <c r="B85" i="9"/>
  <c r="B77" i="9"/>
  <c r="B73" i="9"/>
  <c r="B67" i="9"/>
  <c r="B61" i="9"/>
  <c r="B52" i="9"/>
  <c r="B45" i="9"/>
  <c r="B41" i="9"/>
  <c r="B33" i="9"/>
  <c r="B27" i="9"/>
  <c r="B23" i="9"/>
  <c r="B17" i="9"/>
  <c r="B11" i="9"/>
  <c r="E9" i="11"/>
  <c r="C56" i="9"/>
  <c r="G9" i="10"/>
  <c r="BK37" i="4"/>
  <c r="E19" i="11"/>
  <c r="E29" i="11" s="1"/>
  <c r="D46" i="11"/>
  <c r="E46" i="11"/>
  <c r="B19" i="11"/>
  <c r="B29" i="11" s="1"/>
  <c r="B38" i="11"/>
  <c r="D19" i="11"/>
  <c r="D29" i="11" s="1"/>
  <c r="D38" i="11"/>
  <c r="B46" i="11"/>
  <c r="C19" i="11"/>
  <c r="C29" i="11" s="1"/>
  <c r="C38" i="11"/>
  <c r="C46" i="11"/>
  <c r="E38" i="11"/>
  <c r="C8" i="9"/>
  <c r="C47" i="9"/>
  <c r="C138" i="9"/>
  <c r="C154" i="9" s="1"/>
  <c r="B7" i="9"/>
  <c r="BI37" i="4"/>
  <c r="BA37" i="4"/>
  <c r="AS37" i="4"/>
  <c r="AK37" i="4"/>
  <c r="AC37" i="4"/>
  <c r="U37" i="4"/>
  <c r="BI29" i="4"/>
  <c r="BA29" i="4"/>
  <c r="AS29" i="4"/>
  <c r="AK29" i="4"/>
  <c r="AC29" i="4"/>
  <c r="U29" i="4"/>
  <c r="AS39" i="4"/>
  <c r="U39" i="4"/>
  <c r="BA39" i="4"/>
  <c r="AC39" i="4"/>
  <c r="BI31" i="4"/>
  <c r="AK39" i="4"/>
  <c r="BK31" i="4"/>
  <c r="BK57" i="4"/>
  <c r="BL35" i="4"/>
  <c r="BK33" i="4"/>
  <c r="BK35" i="4"/>
  <c r="BL31" i="4"/>
  <c r="BL57" i="4"/>
  <c r="BL29" i="4"/>
  <c r="BL11" i="4"/>
  <c r="B55" i="5"/>
  <c r="B53" i="5"/>
  <c r="B47" i="5"/>
  <c r="B46" i="5"/>
  <c r="B44" i="5"/>
  <c r="B36" i="5"/>
  <c r="B54" i="5" s="1"/>
  <c r="B34" i="5"/>
  <c r="B52" i="5" s="1"/>
  <c r="B33" i="5"/>
  <c r="B42" i="5" s="1"/>
  <c r="B32" i="5"/>
  <c r="B41" i="5" s="1"/>
  <c r="B29" i="5"/>
  <c r="B28" i="5"/>
  <c r="B27" i="5"/>
  <c r="B26" i="5"/>
  <c r="B25" i="5"/>
  <c r="B24" i="5"/>
  <c r="B23" i="5"/>
  <c r="B59" i="9" l="1"/>
  <c r="B10" i="9"/>
  <c r="B31" i="9"/>
  <c r="B14" i="9"/>
  <c r="B79" i="9"/>
  <c r="B83" i="9"/>
  <c r="B40" i="9"/>
  <c r="B62" i="9"/>
  <c r="B35" i="9"/>
  <c r="B48" i="9"/>
  <c r="B22" i="9"/>
  <c r="B65" i="9"/>
  <c r="E47" i="11"/>
  <c r="E50" i="11" s="1"/>
  <c r="B47" i="11"/>
  <c r="B50" i="11" s="1"/>
  <c r="C47" i="11"/>
  <c r="C50" i="11" s="1"/>
  <c r="D47" i="11"/>
  <c r="D50" i="11" s="1"/>
  <c r="B150" i="9"/>
  <c r="B138" i="9" s="1"/>
  <c r="B104" i="9"/>
  <c r="C100" i="9"/>
  <c r="C155" i="9" s="1"/>
  <c r="B87" i="9"/>
  <c r="B137" i="9"/>
  <c r="B56" i="9"/>
  <c r="B102" i="9"/>
  <c r="B95" i="9"/>
  <c r="B121" i="9"/>
  <c r="B63" i="5"/>
  <c r="B72" i="5"/>
  <c r="B61" i="5"/>
  <c r="B70" i="5"/>
  <c r="B62" i="5"/>
  <c r="B71" i="5"/>
  <c r="B64" i="5"/>
  <c r="B73" i="5"/>
  <c r="B43" i="5"/>
  <c r="B50" i="5"/>
  <c r="B51" i="5"/>
  <c r="B45" i="5"/>
  <c r="B8" i="9" l="1"/>
  <c r="B58" i="9"/>
  <c r="B47" i="9" s="1"/>
  <c r="B103" i="9"/>
  <c r="B154" i="9" s="1"/>
  <c r="B60" i="5"/>
  <c r="B69" i="5"/>
  <c r="B59" i="5"/>
  <c r="B68" i="5"/>
  <c r="B100" i="9" l="1"/>
  <c r="B155" i="9" s="1"/>
  <c r="BL5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P11" authorId="0" shapeId="0" xr:uid="{FCF0FF7C-E69C-43F6-A5DA-823A379E037B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CHỈNH </t>
        </r>
      </text>
    </comment>
    <comment ref="AX29" authorId="0" shapeId="0" xr:uid="{BD2C894C-DCE1-4876-A883-15E7EF5885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Chuyển vốn Plascene</t>
        </r>
      </text>
    </comment>
  </commentList>
</comments>
</file>

<file path=xl/sharedStrings.xml><?xml version="1.0" encoding="utf-8"?>
<sst xmlns="http://schemas.openxmlformats.org/spreadsheetml/2006/main" count="1733" uniqueCount="627">
  <si>
    <t>VND</t>
  </si>
  <si>
    <t>Index BS</t>
  </si>
  <si>
    <t>PHẦN I-BÁO CÁO TÌNH HÌNH TÀI CHÍNH</t>
  </si>
  <si>
    <t>TenCongTyID</t>
  </si>
  <si>
    <t>T1.2021</t>
  </si>
  <si>
    <t>T02.2021</t>
  </si>
  <si>
    <t>T03.2021</t>
  </si>
  <si>
    <t>T04.2021</t>
  </si>
  <si>
    <t>T05.2021</t>
  </si>
  <si>
    <t>T06.2021</t>
  </si>
  <si>
    <t>T07.2021</t>
  </si>
  <si>
    <t>T08.2021</t>
  </si>
  <si>
    <t>T09.2021</t>
  </si>
  <si>
    <t>T10.2021</t>
  </si>
  <si>
    <t>T11.2021</t>
  </si>
  <si>
    <t>T12.2021</t>
  </si>
  <si>
    <t>T1.2022</t>
  </si>
  <si>
    <t>T02.2022</t>
  </si>
  <si>
    <t>T03.2022</t>
  </si>
  <si>
    <t>T04.2022</t>
  </si>
  <si>
    <t>T05.2022</t>
  </si>
  <si>
    <t>T06.2022</t>
  </si>
  <si>
    <t>T07.2022</t>
  </si>
  <si>
    <t>T08.2022</t>
  </si>
  <si>
    <t>T09.2022</t>
  </si>
  <si>
    <t>T10.2022</t>
  </si>
  <si>
    <t>T11.2022</t>
  </si>
  <si>
    <t>T12.2022</t>
  </si>
  <si>
    <t>T1.2023</t>
  </si>
  <si>
    <t>T02.2023</t>
  </si>
  <si>
    <t>T03.2023</t>
  </si>
  <si>
    <t>T04.2023</t>
  </si>
  <si>
    <t>T05.2023</t>
  </si>
  <si>
    <t>T06.2023</t>
  </si>
  <si>
    <t>T07.2023</t>
  </si>
  <si>
    <t>T08.2023</t>
  </si>
  <si>
    <t>T09.2023</t>
  </si>
  <si>
    <t>T10.2023</t>
  </si>
  <si>
    <t>T11.2023</t>
  </si>
  <si>
    <t>T12.2023</t>
  </si>
  <si>
    <t>T01.2024</t>
  </si>
  <si>
    <t>T02.2024</t>
  </si>
  <si>
    <t>T03.2024</t>
  </si>
  <si>
    <t>T04.2024</t>
  </si>
  <si>
    <t>T05.2024</t>
  </si>
  <si>
    <t>T06.2024</t>
  </si>
  <si>
    <t>T07.2024</t>
  </si>
  <si>
    <t>T08.2024</t>
  </si>
  <si>
    <t>T09.2024</t>
  </si>
  <si>
    <t>T10.2024</t>
  </si>
  <si>
    <t>T11.2024</t>
  </si>
  <si>
    <t>T12.2024</t>
  </si>
  <si>
    <t>T01.2025</t>
  </si>
  <si>
    <t>T02.2025</t>
  </si>
  <si>
    <t>T03.2025</t>
  </si>
  <si>
    <t>T04.2025</t>
  </si>
  <si>
    <t>T05.2025</t>
  </si>
  <si>
    <t>T06.2025</t>
  </si>
  <si>
    <t>T07.2025</t>
  </si>
  <si>
    <t>T08.2025</t>
  </si>
  <si>
    <t>T09.2025</t>
  </si>
  <si>
    <t>T10.2025</t>
  </si>
  <si>
    <t>T11.2025</t>
  </si>
  <si>
    <t>T12.2025</t>
  </si>
  <si>
    <t>T01.2026</t>
  </si>
  <si>
    <t>T02.2026</t>
  </si>
  <si>
    <t>T03.2026</t>
  </si>
  <si>
    <t>T04.2026</t>
  </si>
  <si>
    <t>T05.2026</t>
  </si>
  <si>
    <t>T06.2026</t>
  </si>
  <si>
    <t>T07.2026</t>
  </si>
  <si>
    <t>T08.2026</t>
  </si>
  <si>
    <t>T09.2026</t>
  </si>
  <si>
    <t>T10.2026</t>
  </si>
  <si>
    <t>T11.2026</t>
  </si>
  <si>
    <t>T12.2026</t>
  </si>
  <si>
    <t>A-TÀI SẢN NGẮN HẠN</t>
  </si>
  <si>
    <t>I.Tiền và các khoản tương đương tiền</t>
  </si>
  <si>
    <t xml:space="preserve">1.Tiền </t>
  </si>
  <si>
    <t>2.Các khoản tương đương tiền</t>
  </si>
  <si>
    <t>II.Đầu tư tài chính ngắn hạn</t>
  </si>
  <si>
    <t>1.Chứng khoán kinh doanh</t>
  </si>
  <si>
    <t xml:space="preserve">2.Dự phòng giảm giá chứng khoán kinh doanh (*) </t>
  </si>
  <si>
    <t>3.Đầu tư nắm giữ đến ngày đáo hạn ngắn hạn</t>
  </si>
  <si>
    <t>4.Dự phòng đầu tư nắm giữ đến ngày đáo hạn ngắn hạn (*)</t>
  </si>
  <si>
    <t>5.Đầu tư ngắn hạn khác</t>
  </si>
  <si>
    <t>6.Dự phòng tổn thất các khoản đầu tư ngắn hạn khác (*)</t>
  </si>
  <si>
    <t>III.Các khoản phải thu ngắn hạn</t>
  </si>
  <si>
    <t>1.Phải thu ngắn hạn của khách hàng</t>
  </si>
  <si>
    <t>2.Trả trước cho người bán ngắn hạn</t>
  </si>
  <si>
    <t>3.Phải thu nội bộ ngắn hạn</t>
  </si>
  <si>
    <t>4.Phải thu theo tiến độ hợp đồng xây dựng</t>
  </si>
  <si>
    <t>5.Phải thu ngắn hạn khác</t>
  </si>
  <si>
    <t>6.Dự phòng phải thu ngắn hạn khó đòi (*)</t>
  </si>
  <si>
    <t>7.Tài sản thiếu chờ xử lý</t>
  </si>
  <si>
    <t>IV. Hàng tồn kho</t>
  </si>
  <si>
    <t>1.Hàng tồn kho</t>
  </si>
  <si>
    <t>2.Dự phòng giảm giá hàng tồn kho (*)</t>
  </si>
  <si>
    <t>V. Tài sản sinh học ngắn hạn</t>
  </si>
  <si>
    <t>1.Súc vật nuôi lấy sản phẩm một lần ngắn hạn</t>
  </si>
  <si>
    <t>2.Cây trồng theo mùa vụ hoặc lấy sản phẩm một lần ngắn hạn</t>
  </si>
  <si>
    <t>3.Dự phòng tổn thất tài sản sinh học ngắn hạn (*)</t>
  </si>
  <si>
    <t>VI. Tài sản ngắn hạn khác</t>
  </si>
  <si>
    <t>1.Chi phí chờ phân bổ ngắn hạn</t>
  </si>
  <si>
    <t>2.Thuế GTGT được khấu trừ</t>
  </si>
  <si>
    <t>3.Thuế và các khoản khác phải thu Nhà nước</t>
  </si>
  <si>
    <t>4.Giao dịch mua bán lại trái phiếu Chính phủ</t>
  </si>
  <si>
    <t>5.Tài sản ngắn hạn khác</t>
  </si>
  <si>
    <t>B-TÀI SẢN DÀI HẠN</t>
  </si>
  <si>
    <t>1.Phải thu dài hạn của khách hàng</t>
  </si>
  <si>
    <t>2.Trả trước cho người bán dài hạn</t>
  </si>
  <si>
    <t>3.Vốn kinh doanh ở đơn vị trực thuộc</t>
  </si>
  <si>
    <t>4.Phải thu nội bộ dài hạn</t>
  </si>
  <si>
    <t>5.Phải thu dài hạn khác</t>
  </si>
  <si>
    <t>6.Dự phòng phải thu dài hạn khó đòi (*)</t>
  </si>
  <si>
    <t>II.Tài sản cố định</t>
  </si>
  <si>
    <t>1.Tài sản cố định hữu hình</t>
  </si>
  <si>
    <t>Nguyên giá TSCĐ HH</t>
  </si>
  <si>
    <t>Giá trị hao mòn luỹ kế TSCĐ HH(*)</t>
  </si>
  <si>
    <t>2. Tài sản cố định thuê tài chính</t>
  </si>
  <si>
    <t>Nguyên giá TSCĐ thuê tài chính</t>
  </si>
  <si>
    <t>Giá trị hao mòn luỹ kế TSCĐ thuê tài chính</t>
  </si>
  <si>
    <t>3. Tài sản cố định vô hình</t>
  </si>
  <si>
    <t>Nguyên giá TSCĐ vô hình</t>
  </si>
  <si>
    <t>Giá trị hao mòn luỹ kế TSCĐ vô hình(*)</t>
  </si>
  <si>
    <t>III.Tài sản sinh học dài hạn</t>
  </si>
  <si>
    <t>1.Súc vật nuôi cho sản phẩm định kỳ</t>
  </si>
  <si>
    <t>a)Súc vật nuôi cho sản phẩm định kỳ chưa đến giai đoạn trưởng thành</t>
  </si>
  <si>
    <t>b)Súc vật nuôi cho sản phẩm định kỳ đến giai đoạn trưởng thành</t>
  </si>
  <si>
    <t>Nguyên giá</t>
  </si>
  <si>
    <t>Giá trị khấu hao lũy kế (*)</t>
  </si>
  <si>
    <t>2.Súc vật nuôi lấy sản phẩm một lần dài hạn</t>
  </si>
  <si>
    <t>3.Cây trồng theo mùa vụ hoặc lấy sản phẩm một lần dài hạn</t>
  </si>
  <si>
    <t>4.Dự phòng tổn thất tài sản sinh học dài hạn</t>
  </si>
  <si>
    <t>IV. Bất động sản đầu tư</t>
  </si>
  <si>
    <t>Nguyên giá bất động sản đầu tư</t>
  </si>
  <si>
    <t>Giá trị hao mòn luỹ kế BĐSĐT(*)</t>
  </si>
  <si>
    <t>V.Tài sản dở dang dài hạn</t>
  </si>
  <si>
    <t>1.Chi phí sản xuất, kinh doanh dở dang dài hạn</t>
  </si>
  <si>
    <t>2.Chi phí xây dựng cơ bản dở dang</t>
  </si>
  <si>
    <t>VI.Đầu tư tài chính dài hạn</t>
  </si>
  <si>
    <t xml:space="preserve">1.Đầu tư vào công ty con </t>
  </si>
  <si>
    <t>2.Đầu tư vào công ty liên doanh, liên kết</t>
  </si>
  <si>
    <t>3.Đầu tư góp vốn vào đơn vị khác</t>
  </si>
  <si>
    <t>4.Dự phòng tổn thất đầu tư vào đơn vị khác dài hạn(*)</t>
  </si>
  <si>
    <t>5.Đầu tư nắm giữ đến ngày đáo hạn dài hạn</t>
  </si>
  <si>
    <t>6.Dự phòng đầu tư nắm giữ đến ngày đáo hạn dài hạn (*)</t>
  </si>
  <si>
    <t>VII.Tài sản dài hạn khác</t>
  </si>
  <si>
    <t>1.Chi phí chờ phân bổ dài hạn</t>
  </si>
  <si>
    <t>2.Tài sản thuế thu nhập hoãn lại</t>
  </si>
  <si>
    <t>3.Thiết bị, vật tư, phụ tùng thay thế dài hạn</t>
  </si>
  <si>
    <t>4.Tài sản dài hạn khác</t>
  </si>
  <si>
    <t>TỔNG TÀI SẢN</t>
  </si>
  <si>
    <t>C-NỢ PHẢI TRẢ</t>
  </si>
  <si>
    <t>I.Nợ ngắn hạn</t>
  </si>
  <si>
    <t>1.Phải trả người bán ngắn hạn</t>
  </si>
  <si>
    <t>2.Người mua trả tiền trước ngắn hạn</t>
  </si>
  <si>
    <t>3.Phải trả cổ tức, lợi nhuận</t>
  </si>
  <si>
    <t>4.Thuế và các khoản phải nộp Nhà nước ngắn hạn</t>
  </si>
  <si>
    <t>5.Phải trả người lao động</t>
  </si>
  <si>
    <t>6.Chi phí phải trả ngắn hạn</t>
  </si>
  <si>
    <t>7.Phải trả nội bộ ngắn hạn</t>
  </si>
  <si>
    <t>8.Phải trả theo tiến độ hợp đồng xây dựng ngắn hạn</t>
  </si>
  <si>
    <t>9.Doanh thu chờ phân bổ ngắn hạn</t>
  </si>
  <si>
    <t>10.Phải trả ngắn hạn khác</t>
  </si>
  <si>
    <t>11.Vay và nợ thuê tài chính ngắn hạn</t>
  </si>
  <si>
    <t xml:space="preserve">12.Dự phòng phải trả ngắn hạn </t>
  </si>
  <si>
    <t>13.Quỹ khen thưởng, phúc lợi</t>
  </si>
  <si>
    <t>14.Quỹ bình ổn giá</t>
  </si>
  <si>
    <t>15.Giao dịch mua bán lại trái phiếu Chính phủ</t>
  </si>
  <si>
    <t>II.Nợ dài hạn</t>
  </si>
  <si>
    <t>1.Phải trả người bán dài hạn</t>
  </si>
  <si>
    <t>2.Người mua trả tiền trước dài hạn</t>
  </si>
  <si>
    <t>3.Thuế và các khoản phải nộp Nhà nước dài hạn</t>
  </si>
  <si>
    <t>4.Chi phí phải trả dài hạn</t>
  </si>
  <si>
    <t>5.Phải trả nội bộ về vốn kinh doanh</t>
  </si>
  <si>
    <t>6.Phải trả nội bộ dài hạn</t>
  </si>
  <si>
    <t>7.Doanh thu chờ phân bổ dài hạn</t>
  </si>
  <si>
    <t>8.Phải trả dài hạn khác</t>
  </si>
  <si>
    <t xml:space="preserve">8.Vay và nợ thuê tài chính dài hạn </t>
  </si>
  <si>
    <t>10.Trái phiếu chuyển đổi</t>
  </si>
  <si>
    <t>11.Cổ phiếu ưu đãi</t>
  </si>
  <si>
    <t xml:space="preserve">12.Thuế thu nhập hoãn lại phải trả </t>
  </si>
  <si>
    <t xml:space="preserve">13.Dự phòng phải trả dài hạn </t>
  </si>
  <si>
    <t>14.Quỹ phát triển khoa học và công nghệ</t>
  </si>
  <si>
    <t>D-VỐN CHỦ SỞ HỮU</t>
  </si>
  <si>
    <t>1.Vốn góp của chủ sở hữu</t>
  </si>
  <si>
    <t>-Cổ phiếu phổ thông có quyền biểu quyết</t>
  </si>
  <si>
    <t>-Cổ phiếu ưu đãi</t>
  </si>
  <si>
    <t>2.Thặng dư vốn</t>
  </si>
  <si>
    <t>3.Quyền chọn chuyển đổi trái phiếu</t>
  </si>
  <si>
    <t xml:space="preserve">4.Vốn khác của chủ sở hữu </t>
  </si>
  <si>
    <t>5.Cổ phiếu mua lại của chính mình (*)</t>
  </si>
  <si>
    <t>6.Chênh lệch đánh giá lại tài sản</t>
  </si>
  <si>
    <t>7.Chênh lệch tỷ giá hối đoái</t>
  </si>
  <si>
    <t>8.Quỹ đầu tư phát triển</t>
  </si>
  <si>
    <t>9.Quỹ khác thuộc vốn chủ sở hữu</t>
  </si>
  <si>
    <t>10.Lợi nhuận sau thuế chưa phân phối</t>
  </si>
  <si>
    <t>-LNST chưa phân phối lũy kế đến cuối kỳ trước</t>
  </si>
  <si>
    <t>-LNST chưa phân phối kỳ này</t>
  </si>
  <si>
    <t>TỔNG NGUỒN VỐN</t>
  </si>
  <si>
    <t>Index PL</t>
  </si>
  <si>
    <t>PHẦN II-KẾT QUẢ HOẠT ĐỘNG KINH DOANH</t>
  </si>
  <si>
    <t>Sản lượng (kg)</t>
  </si>
  <si>
    <t>1.Doanh thu bán hàng và cung cấp dịch vụ</t>
  </si>
  <si>
    <t>2.Các khoản giảm trừ doanh thu</t>
  </si>
  <si>
    <t>3.Doanh thu thuần về bán hàng và cung cấp dịch vụ</t>
  </si>
  <si>
    <t>4.Giá vốn hàng bán</t>
  </si>
  <si>
    <t>6.Lãi/lỗ của hoạt động bán, thanh lý bất động sản đầu tư</t>
  </si>
  <si>
    <t>7.Doanh thu hoạt động tài chính</t>
  </si>
  <si>
    <t>8.Chi phí tài chính</t>
  </si>
  <si>
    <t>Trong đó: Chi phí lãi vay</t>
  </si>
  <si>
    <t>9.Chi phí bán hàng</t>
  </si>
  <si>
    <t>10.Chi phí quản lý doanh nghiệp</t>
  </si>
  <si>
    <t>11.Lợi nhuận thuần từ hoạt động kinh doanh</t>
  </si>
  <si>
    <t>12.Thu nhập khác</t>
  </si>
  <si>
    <t>13.Chi phí khác</t>
  </si>
  <si>
    <t>14.Lợi nhuận khác</t>
  </si>
  <si>
    <t xml:space="preserve">15.Tổng lợi nhuận kế toán trước thuế </t>
  </si>
  <si>
    <t>16.Chi phí thuế TNDN hiện hành</t>
  </si>
  <si>
    <t>17.Chi phí thuế TNDN hoãn lại</t>
  </si>
  <si>
    <t>18.Lợi nhuận sau thuế thu nhập doanh nghiệp</t>
  </si>
  <si>
    <t>Index CF</t>
  </si>
  <si>
    <t>PHẦN III- LƯU CHUYỂN TIỀN TỆ</t>
  </si>
  <si>
    <t>I. Lưu chuyển tiền từ hoạt động kinh doanh</t>
  </si>
  <si>
    <t>Lợi nhuận trước thuế</t>
  </si>
  <si>
    <t>Điều chỉnh cho các khoản:</t>
  </si>
  <si>
    <t>Khấu hao tài sản cố định và BĐSĐT</t>
  </si>
  <si>
    <t>Các khoản dự phòng</t>
  </si>
  <si>
    <t>Lãi, lỗ chênh lệch tỷ giá do đánh giá lại các khoản mục tiền tệ có gốc ngoại tệ</t>
  </si>
  <si>
    <t>Lãi, lỗ từ hoạt động đầu tư, tài chính</t>
  </si>
  <si>
    <t>Chi phí đi vay</t>
  </si>
  <si>
    <t>Các khoản điều chỉnh khác</t>
  </si>
  <si>
    <t>Lợi nhuận từ hoạt động kinh doanh trước thay đổi vốn lưu động</t>
  </si>
  <si>
    <t xml:space="preserve">Tăng / giảm các khoản phải thu </t>
  </si>
  <si>
    <t>Tăng / giảm hàng tồn kho</t>
  </si>
  <si>
    <t>Tăng / giảm chi phí chờ phân bổ</t>
  </si>
  <si>
    <t>Tăng / giảm chứng khoán kinh doanh</t>
  </si>
  <si>
    <t>Chi phí đi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</si>
  <si>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</si>
  <si>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</si>
  <si>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</si>
  <si>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kinh doanh</t>
  </si>
  <si>
    <t>II. Lưu chuyển tiền từ hoạt động đầu tư</t>
  </si>
  <si>
    <t>Tiền chi để mua sắm, xây dựng,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</si>
  <si>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</si>
  <si>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</si>
  <si>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</si>
  <si>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</si>
  <si>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</si>
  <si>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tức, và lợi nhuận được chia</t>
  </si>
  <si>
    <t>Lưu chuyển tiền thuần từ hoạt động đầu tư</t>
  </si>
  <si>
    <t>III. Lưu chuyển tiền từ hoạt động tài chính</t>
  </si>
  <si>
    <t>Tiền thu từ phát hành cổ phiếu, nhận vốn góp của chủ sở hữu</t>
  </si>
  <si>
    <t>Tiền trả lại vốn góp cho các chủ sở hữu, mua lại cổ phiểu đã phát hành</t>
  </si>
  <si>
    <t>Tiền thu từ đi vay</t>
  </si>
  <si>
    <t>Tiền trả nợ gốc vay</t>
  </si>
  <si>
    <t>Tiền trả nợ gốc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</si>
  <si>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</si>
  <si>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</si>
  <si>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</si>
  <si>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</si>
  <si>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</si>
  <si>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</si>
  <si>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Index PL Element</t>
  </si>
  <si>
    <t>PHẦN IV: CHI PHÍ THEO YẾU TỐ</t>
  </si>
  <si>
    <t>Tổng nhân sự</t>
  </si>
  <si>
    <t>Nhân sự nhóm sản xuất</t>
  </si>
  <si>
    <t>Số ngày công (8 hrs)</t>
  </si>
  <si>
    <t>Sản lượng sản xuất (Ton)</t>
  </si>
  <si>
    <t>Sản lượng bán (Ton)</t>
  </si>
  <si>
    <t>Doanh thu bán hàng</t>
  </si>
  <si>
    <t>Các khoản giảm trừ doanh thu</t>
  </si>
  <si>
    <t xml:space="preserve">% Các khoản giảm trừ </t>
  </si>
  <si>
    <t>Doanh thu thuần</t>
  </si>
  <si>
    <t>Xuất khẩu</t>
  </si>
  <si>
    <t>Nội địa</t>
  </si>
  <si>
    <t>Khác</t>
  </si>
  <si>
    <t>Giá vốn hàng bán</t>
  </si>
  <si>
    <t xml:space="preserve">Chi phí nguyên vật liệu </t>
  </si>
  <si>
    <t>Chi phí điện</t>
  </si>
  <si>
    <t>Chi phí lương ngoài giờ sản xuất</t>
  </si>
  <si>
    <t>Chi phí nhân công trực tiếp sản xuất (622)</t>
  </si>
  <si>
    <t>Chi phí nhân công gián tiếp sản xuất (6271)</t>
  </si>
  <si>
    <t>Phúc lợi nhân viên sản xuất (BHXH,thưởng,…)</t>
  </si>
  <si>
    <t>Chi phí sửa chữa, bảo trì</t>
  </si>
  <si>
    <t>Chi phí xưởng (các khoản còn lại ngoài các mục trên)</t>
  </si>
  <si>
    <t>Chi phí khấu hao sản xuất (6274)</t>
  </si>
  <si>
    <t>Chi phí gia công ngoài (nếu có)</t>
  </si>
  <si>
    <t>Giá vốn khác</t>
  </si>
  <si>
    <t>Giá vốn trong hàng tồn kho</t>
  </si>
  <si>
    <t>% Giá vốn hàng bán</t>
  </si>
  <si>
    <t>Lợi nhuận gộp</t>
  </si>
  <si>
    <t>% Lợi nhuận gộp</t>
  </si>
  <si>
    <t>Lợi nhuận trước thuế</t>
  </si>
  <si>
    <t>% Lợi nhuận trước thuế</t>
  </si>
  <si>
    <t>EBITDA</t>
  </si>
  <si>
    <t>% EBITDA</t>
  </si>
  <si>
    <t>Thuế TNDN</t>
  </si>
  <si>
    <t>% Thuế TNDN</t>
  </si>
  <si>
    <t>Lợi nhuận sau thuế</t>
  </si>
  <si>
    <t>% Lợi nhuận sau thuế</t>
  </si>
  <si>
    <t>Chi phí bán hàng</t>
  </si>
  <si>
    <t>Chi phí lương bán hàng</t>
  </si>
  <si>
    <t>Phúc lợi nhân viên bán hàng (BHXH, thưởng,…)</t>
  </si>
  <si>
    <t>Chi phí hoa hồng</t>
  </si>
  <si>
    <t>Chi phí vận chuyển trong nước</t>
  </si>
  <si>
    <t>Chi phí vận chuyển xuất khẩu</t>
  </si>
  <si>
    <t>Chi phí khấu hao bán hàng (6414)</t>
  </si>
  <si>
    <t>Chi phí hoạt động bán hàng (phần còn lại)</t>
  </si>
  <si>
    <t>% Chi phí bán hàng</t>
  </si>
  <si>
    <t>Chi phí quản lý</t>
  </si>
  <si>
    <t>Chi phí nhân viên quản lý</t>
  </si>
  <si>
    <t>Phúc lợi nhân viên quản lý (BHXH, thưởng,…)</t>
  </si>
  <si>
    <t>Chi phí khấu hao quản lý (6424)</t>
  </si>
  <si>
    <t>Chi phí hoạt động quản lý (phần còn lại)</t>
  </si>
  <si>
    <t>% Chi phí quản lý</t>
  </si>
  <si>
    <t>Chi phí tài chính</t>
  </si>
  <si>
    <t>Chi phí lãi vay</t>
  </si>
  <si>
    <t>% Chi phí lãi vay</t>
  </si>
  <si>
    <t>Index Loan</t>
  </si>
  <si>
    <t>PHẦN V: CHI TIẾT NỢ VAY NGÂN HÀNG</t>
  </si>
  <si>
    <t>Vay ngắn hạn ngân hàng</t>
  </si>
  <si>
    <t>ACB</t>
  </si>
  <si>
    <t>VietinBank</t>
  </si>
  <si>
    <t>Vietcombank</t>
  </si>
  <si>
    <t>BIDV</t>
  </si>
  <si>
    <t>Standard Chartered</t>
  </si>
  <si>
    <t>VILC</t>
  </si>
  <si>
    <t>IVB</t>
  </si>
  <si>
    <t>Lãi suất vay ngắn hạn (%)</t>
  </si>
  <si>
    <t>Vay trung hạn Ngân hàng</t>
  </si>
  <si>
    <t>Lãi suất vay trung hạn (%)</t>
  </si>
  <si>
    <t>TỔNG SỐ DƯ NỢ VAY NGÂN HÀNG</t>
  </si>
  <si>
    <t>SỐ DƯ TIỀN TẠI CÁC NGÂN HÀNG</t>
  </si>
  <si>
    <t>SỐ DƯ TIỀN GỬI TIẾT KIỆM TẠI CÁC NGÂN HÀNG</t>
  </si>
  <si>
    <t>Hạn mức vay ngắn hạn</t>
  </si>
  <si>
    <t>CTY CỔ PHẦN TÁI CHẾ DUY TÂN VĨNH LONG</t>
  </si>
  <si>
    <t>Deadline ngày 5 tây hàng tháng</t>
  </si>
  <si>
    <t>Năm tài chính hiện tại</t>
  </si>
  <si>
    <t>Năm trước</t>
  </si>
  <si>
    <t>Tháng báo cáo hiện tại</t>
  </si>
  <si>
    <t>KẾ TOÁN TRƯỞNG</t>
  </si>
  <si>
    <t>GIÁM ĐỐC TÀI CHÍNH</t>
  </si>
  <si>
    <t xml:space="preserve">BÁO CÁO TÀI CHÍNH </t>
  </si>
  <si>
    <t>Trang</t>
  </si>
  <si>
    <t>BÁO CÁO CỦA BAN  GIÁM ĐỐC</t>
  </si>
  <si>
    <t>2 - 3</t>
  </si>
  <si>
    <t>BÁO CÁO  KIỂM TOÁN</t>
  </si>
  <si>
    <t>4 - 4</t>
  </si>
  <si>
    <t xml:space="preserve">- Bảng cân đối kế toán </t>
  </si>
  <si>
    <t>1 - 4</t>
  </si>
  <si>
    <t>- Báo cáo kết quả hoạt động kinh doanh</t>
  </si>
  <si>
    <t>5</t>
  </si>
  <si>
    <t>- Báo cáo lưu chuyển tiền tệ</t>
  </si>
  <si>
    <t>6 - 7</t>
  </si>
  <si>
    <t>- Bản thuyết minh báo cáo tài chính</t>
  </si>
  <si>
    <t>11 - 31</t>
  </si>
  <si>
    <t>(Báo cáo tài chính được lập và trình bày theo Quyết định số 15/2006/QĐ-BTC ngày 20/03/2006</t>
  </si>
  <si>
    <t>của Bộ trưởng Bộ Tài Chính)</t>
  </si>
  <si>
    <t>BÁO CÁO TÌNH HÌNH TÀI CHÍNH</t>
  </si>
  <si>
    <t>TÀI SẢN</t>
  </si>
  <si>
    <t>A . TÀI SẢN NGẮN HẠN</t>
  </si>
  <si>
    <t>I. Tiền và các khoản tương đương tiền</t>
  </si>
  <si>
    <t xml:space="preserve">1. Tiền </t>
  </si>
  <si>
    <t xml:space="preserve">2. Các khoản tương đương tiền </t>
  </si>
  <si>
    <t>II. Các khoản đầu tư tài chính ngắn hạn</t>
  </si>
  <si>
    <t>III. Các khoản phải thu ngắn hạn</t>
  </si>
  <si>
    <t>1. Hàng tồn kho</t>
  </si>
  <si>
    <t>2. Dự phòng giảm giá hàng tồn kho (*)</t>
  </si>
  <si>
    <t>B. TÀI SẢN DÀI HẠN</t>
  </si>
  <si>
    <t>I.Các khoản phải thu dài hạn</t>
  </si>
  <si>
    <t>II. Tài sản cố định</t>
  </si>
  <si>
    <t>1. Tài sản cố định hữu hình</t>
  </si>
  <si>
    <t xml:space="preserve">    - Nguyên giá</t>
  </si>
  <si>
    <t xml:space="preserve">    - Giá trị hao mòn luỹ kế (*)</t>
  </si>
  <si>
    <t>III. Tài sản sinh học dài hạn</t>
  </si>
  <si>
    <t>- Nguyên giá</t>
  </si>
  <si>
    <t>- Giá trị khấu hao lũy kế (*)</t>
  </si>
  <si>
    <t>- Giá trị hao mòn luỹ kế (*)</t>
  </si>
  <si>
    <t xml:space="preserve">V. Tài sản dở dang dài hạn </t>
  </si>
  <si>
    <t>VI. Đầu tư tài chính dài hạn</t>
  </si>
  <si>
    <t>VII. Tài sản dài hạn khác</t>
  </si>
  <si>
    <t>TỔNG CỘNG TÀI SẢN</t>
  </si>
  <si>
    <t>NGUỒN VỐN</t>
  </si>
  <si>
    <t>C . NỢ PHẢI TRẢ</t>
  </si>
  <si>
    <t>I. Nợ ngắn hạn</t>
  </si>
  <si>
    <t>II. Nợ dài hạn</t>
  </si>
  <si>
    <t>D . VỐN CHỦ SỞ HỮU</t>
  </si>
  <si>
    <t>TỔNG CỘNG NGUỒN VỐN</t>
  </si>
  <si>
    <t>Nguyễn Bảo Quốc</t>
  </si>
  <si>
    <t>BÁO CÁO KẾT QUẢ HOẠT ĐỘNG KINH DOANH</t>
  </si>
  <si>
    <t>ĐVT: VNĐ</t>
  </si>
  <si>
    <t>Chỉ tiêu</t>
  </si>
  <si>
    <t>1.</t>
  </si>
  <si>
    <t>Doanh thu bán hàng và cung cấp dịch vụ</t>
  </si>
  <si>
    <t>2.</t>
  </si>
  <si>
    <t>Các khoản giảm trừ doanh thu</t>
  </si>
  <si>
    <t>3.</t>
  </si>
  <si>
    <t>Doanh thu thuần về bán hàng và cung cấp dịch vụ</t>
  </si>
  <si>
    <t>4.</t>
  </si>
  <si>
    <t>Giá vốn hàng bán</t>
  </si>
  <si>
    <t>5.</t>
  </si>
  <si>
    <t>Lợi nhuận gộp về bán hàng và cung cấp dịch vụ</t>
  </si>
  <si>
    <t>6.</t>
  </si>
  <si>
    <t>Lãi/lỗ của hoạt động bán, thanh lý bất động sản đầu tư</t>
  </si>
  <si>
    <t>7.</t>
  </si>
  <si>
    <t>Doanh thu hoạt động tài chính</t>
  </si>
  <si>
    <t>8.</t>
  </si>
  <si>
    <t>Chi phí tài chính</t>
  </si>
  <si>
    <t xml:space="preserve">Trong đó:  chi phí lãi vay </t>
  </si>
  <si>
    <t>9.</t>
  </si>
  <si>
    <t>Chi phí bán hàng</t>
  </si>
  <si>
    <t>10.</t>
  </si>
  <si>
    <t>Chi phí quản lý doanh nghiệp</t>
  </si>
  <si>
    <t>11.</t>
  </si>
  <si>
    <t>Lợi nhuận thuần từ hoạt động kinh doanh</t>
  </si>
  <si>
    <t>12.</t>
  </si>
  <si>
    <t>Thu nhập khác</t>
  </si>
  <si>
    <t>13.</t>
  </si>
  <si>
    <t xml:space="preserve">Chi phí khác </t>
  </si>
  <si>
    <t>14.</t>
  </si>
  <si>
    <t>Lợi nhuận khác</t>
  </si>
  <si>
    <t>15.</t>
  </si>
  <si>
    <t xml:space="preserve">Tổng lợi nhuận kế toán trước thuế </t>
  </si>
  <si>
    <t>16.</t>
  </si>
  <si>
    <t>Chi phí thuế TNDN hiện hành (*)</t>
  </si>
  <si>
    <t>17.</t>
  </si>
  <si>
    <t>Chi phí thuế TNDN hoãn lại</t>
  </si>
  <si>
    <t>18.</t>
  </si>
  <si>
    <t xml:space="preserve">Lợi nhuận sau thuế </t>
  </si>
  <si>
    <t>19.</t>
  </si>
  <si>
    <t xml:space="preserve">Lãi cơ bản trên cổ phiếu </t>
  </si>
  <si>
    <t>BÁO CÁO LƯU CHUYỂN TIỀN TỆ</t>
  </si>
  <si>
    <t>(Theo phương pháp gián tiếp)</t>
  </si>
  <si>
    <t>1. Lợi nhuận trước thuế</t>
  </si>
  <si>
    <t>2. Điều chỉnh cho các khoản</t>
  </si>
  <si>
    <t>- Khấu hao tài sản cố định và BĐSĐT</t>
  </si>
  <si>
    <t>- Các khoản dự phòng</t>
  </si>
  <si>
    <t>- Lãi, lỗ chênh lệch tỷ giá hối đoái do đánh giá lại các khoản mục tiền tệ có gốc ngoại tệ</t>
  </si>
  <si>
    <t>- Lãi lỗ từ hoạt động đầu tư, tài chính</t>
  </si>
  <si>
    <t>- Chi phí đi vay</t>
  </si>
  <si>
    <t>- Các khoản điều chỉnh khác</t>
  </si>
  <si>
    <t>3. Lợi nhuận từ hoạt động kinh doanh trước thay đổi vốn lưu động</t>
  </si>
  <si>
    <t>- Tăng giảm các khoản phải thu</t>
  </si>
  <si>
    <t>- Tăng giảm hàng tồn kho</t>
  </si>
  <si>
    <t xml:space="preserve">- Tăng giảm các khoản phải trả (Không bao gồm lãi vay phải trả, thuế TNDN phải nộp) </t>
  </si>
  <si>
    <t>- Tăng giảm chi phí chờ phân bổ</t>
  </si>
  <si>
    <t>- Tăng, giảm chứng khoán kinh doanh</t>
  </si>
  <si>
    <t>- Chi phí đi vay đã trả</t>
  </si>
  <si>
    <t>- Thuế thu nhập doanh nghiệp đã nộp</t>
  </si>
  <si>
    <t>- Tiền thu khác từ hoạt động kinh doanh</t>
  </si>
  <si>
    <t>- Tiền chi khác cho hoạt động kinh doanh</t>
  </si>
  <si>
    <t>1. Tiền chi để mua sắm, xây dựng TSCĐ và các tài sản dài hạn khác</t>
  </si>
  <si>
    <t>2. Tiền thu từ thanh lý, nhượng bán TSCĐ và các tài sản dài hạn khác</t>
  </si>
  <si>
    <t>3. Tiền chi cho vay, mua các công cụ nợ của đơn vị khác</t>
  </si>
  <si>
    <t>4. Tiền thu hồi cho vay, bán lại các công cụ nợ của đơn vị khác</t>
  </si>
  <si>
    <t>5. Tiền chi đầu tư góp vốn vào đơn vị khác</t>
  </si>
  <si>
    <t>6. Tiền thu hồi đầu tư góp vốn vào đơn vị khác</t>
  </si>
  <si>
    <t>7. Tiền thu lãi cho vay, cổ tức và lợi nhuận được chia</t>
  </si>
  <si>
    <t>1. Tiền thu từ phát hành cố phiếu, nhận vốn góp của chủ sở hữu</t>
  </si>
  <si>
    <t>2. Tiền trả lại vốn góp cho các chủ sở hữu, mua lại cổ phiểu đã phát hành</t>
  </si>
  <si>
    <t>3. Tiền thu từ đi vay</t>
  </si>
  <si>
    <t>4. Tiền trả nợ gốc vay</t>
  </si>
  <si>
    <t xml:space="preserve">5. Tiền trả nợ gốc thuê tài chính </t>
  </si>
  <si>
    <t xml:space="preserve">6. Cổ tức, lợi nhuận đã trả cho chủ sở hữu </t>
  </si>
  <si>
    <t xml:space="preserve">Lưu chuyển tiền thuần từ hoạt động tài chính </t>
  </si>
  <si>
    <t>GIÁM ĐỐC</t>
  </si>
  <si>
    <t>TỔNG HỢP THÔNG TIN GIAO DỊCH VỚI CÁC BÊN LIÊN QUAN NĂM 2026</t>
  </si>
  <si>
    <t>A</t>
  </si>
  <si>
    <t>GIÁ TRỊ GIAO DỊCH VỚI CÁC BÊN LIÊN QUAN</t>
  </si>
  <si>
    <t>Số tiền chưa VAT</t>
  </si>
  <si>
    <t>Công ty thành viên</t>
  </si>
  <si>
    <t>Diễn giải</t>
  </si>
  <si>
    <t>TK hạch toán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</si>
  <si>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</si>
  <si>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</si>
  <si>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</si>
  <si>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</si>
  <si>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</si>
  <si>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</si>
  <si>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</si>
  <si>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</si>
  <si>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</si>
  <si>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</si>
  <si>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</si>
  <si>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</si>
  <si>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Lũy kế năm 2026</t>
  </si>
  <si>
    <t>I.</t>
  </si>
  <si>
    <t>DOANH THU BÁN HÀNG VÀ DỊCH VỤ, TÀI SẢN….</t>
  </si>
  <si>
    <t>Công ty TNHH Nhựa Duy Tân</t>
  </si>
  <si>
    <t>Bán hàng nhựa</t>
  </si>
  <si>
    <t>Bán vật tư</t>
  </si>
  <si>
    <t>Bán TSCĐ</t>
  </si>
  <si>
    <t>Lãi vay</t>
  </si>
  <si>
    <t>Thu tiền lãi vay</t>
  </si>
  <si>
    <t>DV TS24</t>
  </si>
  <si>
    <t>Bán khác</t>
  </si>
  <si>
    <t>7118</t>
  </si>
  <si>
    <t>Công ty CP Nhựa Tái Chế Duy Tân</t>
  </si>
  <si>
    <t>Bán nguyên vật liệu</t>
  </si>
  <si>
    <t>Cho thuê máy móc</t>
  </si>
  <si>
    <t>Bán Laptop</t>
  </si>
  <si>
    <t>CP công tác</t>
  </si>
  <si>
    <t>Công ty TNHH Thu mua phế liệu Đại Lộc</t>
  </si>
  <si>
    <t>Cho thuê nhà xưởng</t>
  </si>
  <si>
    <t>Công ty TNHH MTV Đồng Lâm</t>
  </si>
  <si>
    <t>Công ty TNHH Thu mua phế liệu Khánh Nga</t>
  </si>
  <si>
    <t>Chi Phí Hỗ Trợ Kỹ Thuật</t>
  </si>
  <si>
    <t xml:space="preserve">Công ty Cổ phần Tái chế Tân Đại Phát </t>
  </si>
  <si>
    <t>Cho thuê xe</t>
  </si>
  <si>
    <t>Bán CCDC</t>
  </si>
  <si>
    <t>Công ty TNHH Khuôn Chính xác Minh Đạt</t>
  </si>
  <si>
    <t>Bán khuôn</t>
  </si>
  <si>
    <t>Công ty TNHH MTV Sản Xuất Và XNK Cơ Khí Duy Phong</t>
  </si>
  <si>
    <t>Công ty TNHH Khuôn Chính Xác Natec</t>
  </si>
  <si>
    <t>Công ty TNHH Plenma</t>
  </si>
  <si>
    <t>Plascene Inc</t>
  </si>
  <si>
    <t>Công ty Cổ phần Cát Vân</t>
  </si>
  <si>
    <t>Công ty Cổ phần Tân Bình Group</t>
  </si>
  <si>
    <t>Công ty TNHH SX &amp; TM Thạnh Phát</t>
  </si>
  <si>
    <t>Công ty TNHH Nội Thất Tân Lợi Phát</t>
  </si>
  <si>
    <t>Công ty TNHH MTV Trung tâm Thính học Đà Nẵng</t>
  </si>
  <si>
    <t>Công ty TNHH SX-TM-XNK Yến Nhất Vương</t>
  </si>
  <si>
    <t>Công ty TNHH Duytan Xanh</t>
  </si>
  <si>
    <t>Công ty TNHH Duy Tân</t>
  </si>
  <si>
    <t>Công ty Cổ phần Tập đoàn DTG</t>
  </si>
  <si>
    <t>II.</t>
  </si>
  <si>
    <t>MUA HÀNG VÀ DỊCH VỤ, TÀI SẢN….</t>
  </si>
  <si>
    <t>Thuê nhà xưởng</t>
  </si>
  <si>
    <t>Mua TSCĐ</t>
  </si>
  <si>
    <t>Mua CCDC</t>
  </si>
  <si>
    <t>Chuyển nhượng NH,KDCN</t>
  </si>
  <si>
    <t>Mua khác</t>
  </si>
  <si>
    <t>Phí gia công</t>
  </si>
  <si>
    <t>Mua nguyên vật liệu</t>
  </si>
  <si>
    <t>Mua vật tư</t>
  </si>
  <si>
    <t>152/153</t>
  </si>
  <si>
    <t>Thuê kho</t>
  </si>
  <si>
    <t>Mua hàng hóa</t>
  </si>
  <si>
    <t>Thuê kho thành phẩm</t>
  </si>
  <si>
    <t>Thuê máy móc</t>
  </si>
  <si>
    <t>Phí sửa khuôn</t>
  </si>
  <si>
    <t>Mua thùng giấy</t>
  </si>
  <si>
    <t>151/152</t>
  </si>
  <si>
    <t>III.</t>
  </si>
  <si>
    <t>CHO VAY</t>
  </si>
  <si>
    <t>Mối liên hệ</t>
  </si>
  <si>
    <t>Tài khoản hạch toán</t>
  </si>
  <si>
    <t>Công ty mẹ</t>
  </si>
  <si>
    <t>Ông Trần Duy Hy</t>
  </si>
  <si>
    <t>Chủ tịch HĐQT</t>
  </si>
  <si>
    <t>Phải thu khác</t>
  </si>
  <si>
    <t>Lãi cho chú Hy vay</t>
  </si>
  <si>
    <t>IV.</t>
  </si>
  <si>
    <t>THU TIỀN CHO VAY</t>
  </si>
  <si>
    <t>V</t>
  </si>
  <si>
    <t>NHẬN VAY</t>
  </si>
  <si>
    <t>VI</t>
  </si>
  <si>
    <t>TRẢ NỢ VAY</t>
  </si>
  <si>
    <t>VII</t>
  </si>
  <si>
    <t>LỢI NHUẬN ĐƯỢC CHIA</t>
  </si>
  <si>
    <t>Công ty con</t>
  </si>
  <si>
    <t>VIII</t>
  </si>
  <si>
    <t>CHIA CỔ TỨC</t>
  </si>
  <si>
    <t>4211/338</t>
  </si>
  <si>
    <t>421/338</t>
  </si>
  <si>
    <t>Bà Nguyễn Thị Huệ Thu</t>
  </si>
  <si>
    <t>Bà Dương Phương Thảo</t>
  </si>
  <si>
    <t>IX</t>
  </si>
  <si>
    <t>CHI TRẢ CỔ TỨC</t>
  </si>
  <si>
    <t>338/112</t>
  </si>
  <si>
    <t>338/33351</t>
  </si>
  <si>
    <t>Phó TGĐ</t>
  </si>
  <si>
    <t>B</t>
  </si>
  <si>
    <t>SỐ DƯ CUỐI THÁNG VỚI CÁC BÊN LIÊN QUAN</t>
  </si>
  <si>
    <t>Số tiền gồm VAT</t>
  </si>
  <si>
    <t>SỐ DƯ PHẢI THU</t>
  </si>
  <si>
    <t>SỐ DƯ NGƯỜI MUA TRẢ TIỀN TRƯỚC</t>
  </si>
  <si>
    <t>SỐ DƯ PHẢI TRẢ NGƯỜI BÁN</t>
  </si>
  <si>
    <t>SỐ DƯ TRẢ TRƯỚC CHO NGƯỜI BÁN</t>
  </si>
  <si>
    <t>V.</t>
  </si>
  <si>
    <t>SỐ DƯ CHO VAY</t>
  </si>
  <si>
    <t>CÔNG TY</t>
  </si>
  <si>
    <t>CÁ NHÂN</t>
  </si>
  <si>
    <t>VI.</t>
  </si>
  <si>
    <t>SỐ DƯ ĐI VAY</t>
  </si>
  <si>
    <t>Bà…</t>
  </si>
  <si>
    <t>VII.</t>
  </si>
  <si>
    <t>CHUYỂN NHƯỢNG VỐN GÓP CỦA</t>
  </si>
  <si>
    <t>N221/Có 338</t>
  </si>
  <si>
    <t>Tăng / giảm các khoản phải trả (Không bao gồm lãi vay phải trả, thuế TNDN phải nộp)</t>
  </si>
  <si>
    <t xml:space="preserve">9.Vay và nợ thuê tài chính dài hạn </t>
  </si>
  <si>
    <t>Mã số thuế</t>
  </si>
  <si>
    <t>0301417196</t>
  </si>
  <si>
    <t>1100676611</t>
  </si>
  <si>
    <t>3603813473</t>
  </si>
  <si>
    <t>1501075079</t>
  </si>
  <si>
    <t>1201638316</t>
  </si>
  <si>
    <t>1102066435</t>
  </si>
  <si>
    <t>Công ty Cổ phần Nhựa Tái chế Duy Tân Vĩnh Long</t>
  </si>
  <si>
    <t>1501162229</t>
  </si>
  <si>
    <t>1100673882</t>
  </si>
  <si>
    <t>0308309915</t>
  </si>
  <si>
    <t>0313783944</t>
  </si>
  <si>
    <t>0316224817</t>
  </si>
  <si>
    <t>45-3042526</t>
  </si>
  <si>
    <t>0304259773</t>
  </si>
  <si>
    <t>1501147679</t>
  </si>
  <si>
    <t>1100140919</t>
  </si>
  <si>
    <t>1101806126</t>
  </si>
  <si>
    <t>0401524699</t>
  </si>
  <si>
    <t>3401182514</t>
  </si>
  <si>
    <t>Công ty Cổ phần Duytan Group</t>
  </si>
  <si>
    <t>0317929753</t>
  </si>
  <si>
    <t>0318602662</t>
  </si>
  <si>
    <t>0303816206</t>
  </si>
  <si>
    <t>0317356492</t>
  </si>
  <si>
    <t>CÔNG TY CỔ PHẦN NHỰA TÁI CHẾ DUY TÂN VĨNH LONG</t>
  </si>
  <si>
    <t>Địa chỉ: Thửa đất số 838, tờ bản đồ số 6, tổ 4, ấp Tân Thuận, phường Tân Hạnh, tỉnh Vĩnh Long</t>
  </si>
  <si>
    <t>Mã số thuế: 1501162229</t>
  </si>
  <si>
    <t>Lê Thùy Ngân</t>
  </si>
  <si>
    <t>Trần Thị Kim Thanh</t>
  </si>
  <si>
    <t>5.Lợi nhuận gộp về bán hàng</t>
  </si>
  <si>
    <t xml:space="preserve"> THÁNG 05 NĂM 2026</t>
  </si>
  <si>
    <t>Vĩnh Long, Ngày 31 tháng 05 năm 2026</t>
  </si>
  <si>
    <t>Lập, ngày 06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</si>
</sst>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#,##0;[Red]#,##0"/>
    <numFmt numFmtId="168" formatCode="#,##0,,"/>
    <numFmt numFmtId="169" formatCode="0.0%"/>
    <numFmt numFmtId="170" formatCode="_-* #,##0\ _₫_-;\-* #,##0\ _₫_-;_-* &quot;-&quot;\ _₫_-;_-@_-"/>
    <numFmt numFmtId="171" formatCode="_(* #,##0_);[Red]_(* \(#,##0\);_(* &quot;-&quot;??_);_(@_)"/>
    <numFmt numFmtId="172" formatCode="_-* #,##0.00\ _₫_-;\-* #,##0.00\ _₫_-;_-* &quot;-&quot;??\ _₫_-;_-@_-"/>
    <numFmt numFmtId="173" formatCode="#,###"/>
    <numFmt numFmtId="174" formatCode="_-* #,##0\ _₫_-;\-* #,##0\ _₫_-;_-* &quot;-&quot;??\ _₫_-;_-@_-"/>
    <numFmt numFmtId="175" formatCode="_-* #,##0.0\ _₫_-;\-* #,##0.0\ _₫_-;_-* &quot;-&quot;??\ _₫_-;_-@_-"/>
  </numFmts>
  <fonts count="10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0000FF"/>
      <name val="Times New Roman"/>
      <family val="1"/>
    </font>
    <font>
      <sz val="10"/>
      <name val="VNI-Times"/>
    </font>
    <font>
      <sz val="11"/>
      <name val="Times New Roman"/>
      <family val="1"/>
    </font>
    <font>
      <sz val="10"/>
      <name val="Times New Roman"/>
      <family val="1"/>
    </font>
    <font>
      <b/>
      <sz val="11"/>
      <color indexed="12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008000"/>
      <name val="Times New Roman"/>
      <family val="1"/>
      <charset val="163"/>
    </font>
    <font>
      <b/>
      <sz val="11"/>
      <color indexed="17"/>
      <name val="Times New Roman"/>
      <family val="1"/>
    </font>
    <font>
      <b/>
      <sz val="11"/>
      <color rgb="FF0000FF"/>
      <name val="Times New Roman"/>
      <family val="1"/>
      <charset val="163"/>
    </font>
    <font>
      <sz val="11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12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Times New Roman"/>
      <family val="1"/>
    </font>
    <font>
      <b/>
      <sz val="10"/>
      <color rgb="FF0000FF"/>
      <name val="VNI-Times"/>
    </font>
    <font>
      <b/>
      <u/>
      <sz val="11"/>
      <color rgb="FF0000FF"/>
      <name val="Times New Roman"/>
      <family val="1"/>
      <charset val="163"/>
    </font>
    <font>
      <b/>
      <u/>
      <sz val="11"/>
      <color rgb="FF0000FF"/>
      <name val="Times New Roman"/>
      <family val="1"/>
    </font>
    <font>
      <u/>
      <sz val="10"/>
      <name val="VNI-Times"/>
    </font>
    <font>
      <sz val="11"/>
      <color indexed="8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2"/>
      <name val="VNI-Times"/>
    </font>
    <font>
      <b/>
      <u/>
      <sz val="11"/>
      <color rgb="FFFF0000"/>
      <name val="Times New Roman"/>
      <family val="1"/>
      <charset val="163"/>
    </font>
    <font>
      <b/>
      <sz val="11"/>
      <color rgb="FFFF0000"/>
      <name val="Arial"/>
      <family val="2"/>
      <charset val="163"/>
    </font>
    <font>
      <sz val="11"/>
      <color rgb="FF0000FF"/>
      <name val="Times New Roman"/>
      <family val="1"/>
      <charset val="163"/>
    </font>
    <font>
      <sz val="12"/>
      <name val="Times New Roman"/>
      <family val="1"/>
    </font>
    <font>
      <sz val="11"/>
      <color indexed="12"/>
      <name val="Times New Roman"/>
      <family val="1"/>
    </font>
    <font>
      <sz val="10"/>
      <color theme="1"/>
      <name val="Times New Roman"/>
      <family val="1"/>
    </font>
    <font>
      <sz val="10"/>
      <color rgb="FF0000FF"/>
      <name val="Arial"/>
      <family val="2"/>
      <charset val="163"/>
    </font>
    <font>
      <b/>
      <sz val="11"/>
      <color indexed="8"/>
      <name val="Times New Roman"/>
      <family val="1"/>
      <charset val="163"/>
    </font>
    <font>
      <b/>
      <sz val="10"/>
      <color theme="1"/>
      <name val="Arial"/>
      <family val="2"/>
      <charset val="163"/>
    </font>
    <font>
      <sz val="11"/>
      <color rgb="FFFF0000"/>
      <name val="Arial"/>
      <family val="2"/>
    </font>
    <font>
      <sz val="11"/>
      <color rgb="FF0000FF"/>
      <name val="Times New Roman"/>
      <family val="1"/>
    </font>
    <font>
      <sz val="11"/>
      <color rgb="FF0000FF"/>
      <name val="Arial"/>
      <family val="2"/>
    </font>
    <font>
      <b/>
      <sz val="11"/>
      <color indexed="12"/>
      <name val="Arial Nova"/>
      <family val="2"/>
    </font>
    <font>
      <b/>
      <sz val="11"/>
      <color rgb="FF0000FF"/>
      <name val="Arial Nova"/>
      <family val="2"/>
    </font>
    <font>
      <sz val="11"/>
      <color theme="5" tint="-0.249977111117893"/>
      <name val="Arial Nova"/>
      <family val="2"/>
    </font>
    <font>
      <sz val="10"/>
      <color theme="5" tint="-0.249977111117893"/>
      <name val="Arial Nova"/>
      <family val="2"/>
    </font>
    <font>
      <b/>
      <sz val="10"/>
      <name val="Arial Nova"/>
      <family val="2"/>
    </font>
    <font>
      <sz val="11"/>
      <color rgb="FF0000FF"/>
      <name val="Arial Nova"/>
      <family val="2"/>
    </font>
    <font>
      <sz val="10"/>
      <name val="Arial Nova"/>
      <family val="2"/>
    </font>
    <font>
      <b/>
      <sz val="10"/>
      <color rgb="FF0000FF"/>
      <name val="Arial Nova"/>
      <family val="2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indexed="18"/>
      <name val="Times New Roman"/>
      <family val="1"/>
    </font>
    <font>
      <sz val="12"/>
      <color indexed="18"/>
      <name val="Times New Roman"/>
      <family val="1"/>
    </font>
    <font>
      <i/>
      <sz val="12"/>
      <color indexed="18"/>
      <name val="Times New Roman"/>
      <family val="1"/>
    </font>
    <font>
      <sz val="10"/>
      <color rgb="FFFF0000"/>
      <name val="Times New Roman"/>
      <family val="1"/>
    </font>
    <font>
      <b/>
      <i/>
      <sz val="1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rgb="FF0033CC"/>
      <name val="Arial"/>
      <family val="2"/>
    </font>
    <font>
      <b/>
      <sz val="12"/>
      <name val="Times New Roman"/>
      <family val="1"/>
    </font>
    <font>
      <b/>
      <u/>
      <sz val="16"/>
      <color indexed="21"/>
      <name val="Times New Roman"/>
      <family val="1"/>
    </font>
    <font>
      <sz val="12"/>
      <color indexed="9"/>
      <name val="Times New Roman"/>
      <family val="1"/>
    </font>
    <font>
      <sz val="16"/>
      <color indexed="12"/>
      <name val="Times New Roman"/>
      <family val="1"/>
    </font>
    <font>
      <sz val="12"/>
      <color indexed="12"/>
      <name val="Times New Roman"/>
      <family val="1"/>
    </font>
    <font>
      <sz val="16"/>
      <color indexed="16"/>
      <name val="Times New Roman"/>
      <family val="1"/>
    </font>
    <font>
      <sz val="12"/>
      <color indexed="16"/>
      <name val="Times New Roman"/>
      <family val="1"/>
    </font>
    <font>
      <sz val="16"/>
      <color indexed="20"/>
      <name val="Times New Roman"/>
      <family val="1"/>
    </font>
    <font>
      <sz val="12"/>
      <color indexed="20"/>
      <name val="Times New Roman"/>
      <family val="1"/>
    </font>
    <font>
      <sz val="16"/>
      <name val="Times New Roman"/>
      <family val="1"/>
    </font>
    <font>
      <b/>
      <sz val="11"/>
      <color indexed="18"/>
      <name val="Times New Roman"/>
      <family val="1"/>
    </font>
    <font>
      <sz val="11"/>
      <color indexed="18"/>
      <name val="Times New Roman"/>
      <family val="1"/>
    </font>
    <font>
      <sz val="11"/>
      <color rgb="FF000080"/>
      <name val="Times New Roman"/>
      <family val="1"/>
    </font>
    <font>
      <b/>
      <sz val="16"/>
      <color indexed="18"/>
      <name val="Times New Roman"/>
      <family val="1"/>
    </font>
    <font>
      <b/>
      <sz val="12"/>
      <color rgb="FF000080"/>
      <name val="Times New Roman"/>
      <family val="1"/>
    </font>
    <font>
      <i/>
      <sz val="11"/>
      <color rgb="FF000080"/>
      <name val="Times New Roman"/>
      <family val="1"/>
    </font>
    <font>
      <b/>
      <sz val="10"/>
      <color rgb="FF0000FF"/>
      <name val="Arial"/>
      <family val="2"/>
    </font>
    <font>
      <sz val="10"/>
      <color indexed="8"/>
      <name val="Arial"/>
      <family val="2"/>
    </font>
    <font>
      <b/>
      <sz val="10"/>
      <color indexed="18"/>
      <name val="Arial"/>
      <family val="2"/>
    </font>
    <font>
      <sz val="11"/>
      <color indexed="9"/>
      <name val="Times New Roman"/>
      <family val="1"/>
    </font>
    <font>
      <b/>
      <sz val="10"/>
      <color indexed="12"/>
      <name val="Arial"/>
      <family val="2"/>
    </font>
    <font>
      <i/>
      <sz val="11"/>
      <color rgb="FFFF0000"/>
      <name val="Times New Roman"/>
      <family val="1"/>
    </font>
    <font>
      <i/>
      <sz val="11"/>
      <color indexed="8"/>
      <name val="Times New Roman"/>
      <family val="1"/>
    </font>
    <font>
      <i/>
      <sz val="10"/>
      <color indexed="8"/>
      <name val="Arial"/>
      <family val="2"/>
    </font>
    <font>
      <sz val="12"/>
      <color indexed="8"/>
      <name val="Garamond"/>
      <family val="1"/>
    </font>
    <font>
      <b/>
      <sz val="11"/>
      <color rgb="FF000080"/>
      <name val="Times New Roman"/>
      <family val="1"/>
    </font>
    <font>
      <b/>
      <sz val="16"/>
      <color rgb="FF00008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sz val="10"/>
      <color theme="1"/>
      <name val="Times New Roman"/>
      <family val="1"/>
      <charset val="163"/>
    </font>
    <font>
      <b/>
      <i/>
      <sz val="11"/>
      <name val="Times New Roman"/>
      <family val="1"/>
    </font>
    <font>
      <b/>
      <sz val="11"/>
      <color indexed="60"/>
      <name val="Times New Roman"/>
      <family val="1"/>
    </font>
    <font>
      <b/>
      <sz val="11"/>
      <name val="Times New Roman"/>
      <family val="1"/>
    </font>
    <font>
      <b/>
      <i/>
      <sz val="11"/>
      <color indexed="12"/>
      <name val="Times New Roman"/>
      <family val="1"/>
    </font>
    <font>
      <b/>
      <i/>
      <sz val="10"/>
      <color indexed="12"/>
      <name val="Times New Roman"/>
      <family val="1"/>
    </font>
    <font>
      <i/>
      <sz val="11"/>
      <color indexed="12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color rgb="FF0070C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color theme="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medium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hair">
        <color indexed="55"/>
      </top>
      <bottom style="hair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hair">
        <color indexed="55"/>
      </top>
      <bottom style="thin">
        <color indexed="55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/>
      <top style="thin">
        <color indexed="23"/>
      </top>
      <bottom style="hair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16">
    <xf numFmtId="0" fontId="0" fillId="0" borderId="0"/>
    <xf numFmtId="9" fontId="17" fillId="0" borderId="0" applyFont="0" applyFill="0" applyBorder="0" applyAlignment="0" applyProtection="0"/>
    <xf numFmtId="0" fontId="2" fillId="0" borderId="0"/>
    <xf numFmtId="0" fontId="6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0" fontId="2" fillId="0" borderId="0"/>
    <xf numFmtId="9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102" fillId="0" borderId="0"/>
    <xf numFmtId="172" fontId="102" fillId="0" borderId="0" applyFont="0" applyFill="0" applyBorder="0" applyAlignment="0" applyProtection="0"/>
    <xf numFmtId="0" fontId="108" fillId="0" borderId="0" applyNumberFormat="0" applyFill="0" applyProtection="0">
      <alignment horizontal="left"/>
    </xf>
  </cellStyleXfs>
  <cellXfs count="608">
    <xf numFmtId="0" fontId="0" fillId="0" borderId="0" xfId="0"/>
    <xf numFmtId="165" fontId="12" fillId="0" borderId="4" xfId="4" applyNumberFormat="1" applyFont="1" applyFill="1" applyBorder="1" applyAlignment="1" applyProtection="1">
      <alignment vertical="top" wrapText="1"/>
      <protection locked="0"/>
    </xf>
    <xf numFmtId="165" fontId="9" fillId="0" borderId="4" xfId="4" applyNumberFormat="1" applyFont="1" applyFill="1" applyBorder="1" applyAlignment="1" applyProtection="1">
      <alignment vertical="top" wrapText="1"/>
      <protection locked="0"/>
    </xf>
    <xf numFmtId="3" fontId="16" fillId="0" borderId="4" xfId="2" applyNumberFormat="1" applyFont="1" applyBorder="1" applyAlignment="1" applyProtection="1">
      <alignment vertical="top" wrapText="1"/>
      <protection locked="0"/>
    </xf>
    <xf numFmtId="3" fontId="18" fillId="0" borderId="4" xfId="2" applyNumberFormat="1" applyFont="1" applyBorder="1" applyAlignment="1" applyProtection="1">
      <alignment vertical="top" wrapText="1"/>
      <protection locked="0"/>
    </xf>
    <xf numFmtId="3" fontId="9" fillId="0" borderId="4" xfId="2" applyNumberFormat="1" applyFont="1" applyBorder="1" applyAlignment="1" applyProtection="1">
      <alignment vertical="top" wrapText="1"/>
      <protection locked="0"/>
    </xf>
    <xf numFmtId="3" fontId="9" fillId="0" borderId="4" xfId="0" applyNumberFormat="1" applyFont="1" applyBorder="1" applyAlignment="1" applyProtection="1">
      <alignment vertical="top" wrapText="1"/>
      <protection locked="0"/>
    </xf>
    <xf numFmtId="3" fontId="12" fillId="0" borderId="4" xfId="2" applyNumberFormat="1" applyFont="1" applyBorder="1" applyAlignment="1" applyProtection="1">
      <alignment vertical="top" wrapText="1"/>
      <protection locked="0"/>
    </xf>
    <xf numFmtId="3" fontId="12" fillId="0" borderId="4" xfId="0" applyNumberFormat="1" applyFont="1" applyBorder="1" applyAlignment="1" applyProtection="1">
      <alignment vertical="top" wrapText="1"/>
      <protection locked="0"/>
    </xf>
    <xf numFmtId="3" fontId="16" fillId="0" borderId="1" xfId="2" applyNumberFormat="1" applyFont="1" applyBorder="1" applyAlignment="1" applyProtection="1">
      <alignment vertical="top" wrapText="1"/>
      <protection locked="0"/>
    </xf>
    <xf numFmtId="3" fontId="24" fillId="3" borderId="4" xfId="2" applyNumberFormat="1" applyFont="1" applyFill="1" applyBorder="1" applyAlignment="1" applyProtection="1">
      <alignment vertical="top" wrapText="1"/>
      <protection locked="0"/>
    </xf>
    <xf numFmtId="3" fontId="24" fillId="3" borderId="4" xfId="0" applyNumberFormat="1" applyFont="1" applyFill="1" applyBorder="1" applyAlignment="1" applyProtection="1">
      <alignment vertical="top" wrapText="1"/>
      <protection locked="0"/>
    </xf>
    <xf numFmtId="3" fontId="16" fillId="0" borderId="4" xfId="0" applyNumberFormat="1" applyFont="1" applyBorder="1" applyAlignment="1" applyProtection="1">
      <alignment vertical="top" wrapText="1"/>
      <protection locked="0"/>
    </xf>
    <xf numFmtId="3" fontId="5" fillId="3" borderId="4" xfId="2" applyNumberFormat="1" applyFont="1" applyFill="1" applyBorder="1" applyAlignment="1" applyProtection="1">
      <alignment vertical="center" wrapText="1"/>
      <protection locked="0"/>
    </xf>
    <xf numFmtId="3" fontId="5" fillId="3" borderId="4" xfId="0" applyNumberFormat="1" applyFont="1" applyFill="1" applyBorder="1" applyAlignment="1" applyProtection="1">
      <alignment vertical="center" wrapText="1"/>
      <protection locked="0"/>
    </xf>
    <xf numFmtId="3" fontId="15" fillId="0" borderId="4" xfId="2" applyNumberFormat="1" applyFont="1" applyBorder="1" applyAlignment="1" applyProtection="1">
      <alignment vertical="top" wrapText="1"/>
      <protection locked="0"/>
    </xf>
    <xf numFmtId="3" fontId="15" fillId="0" borderId="4" xfId="0" applyNumberFormat="1" applyFont="1" applyBorder="1" applyAlignment="1" applyProtection="1">
      <alignment vertical="top" wrapText="1"/>
      <protection locked="0"/>
    </xf>
    <xf numFmtId="3" fontId="10" fillId="0" borderId="4" xfId="2" applyNumberFormat="1" applyFont="1" applyBorder="1" applyAlignment="1" applyProtection="1">
      <alignment vertical="top" wrapText="1"/>
      <protection locked="0"/>
    </xf>
    <xf numFmtId="3" fontId="10" fillId="0" borderId="4" xfId="0" applyNumberFormat="1" applyFont="1" applyBorder="1" applyAlignment="1" applyProtection="1">
      <alignment vertical="top" wrapText="1"/>
      <protection locked="0"/>
    </xf>
    <xf numFmtId="165" fontId="32" fillId="0" borderId="6" xfId="4" applyNumberFormat="1" applyFont="1" applyBorder="1" applyAlignment="1" applyProtection="1">
      <alignment horizontal="center" vertical="top" wrapText="1"/>
      <protection locked="0"/>
    </xf>
    <xf numFmtId="165" fontId="32" fillId="0" borderId="6" xfId="4" applyNumberFormat="1" applyFont="1" applyFill="1" applyBorder="1" applyAlignment="1" applyProtection="1">
      <alignment horizontal="center" vertical="top" wrapText="1"/>
      <protection locked="0"/>
    </xf>
    <xf numFmtId="3" fontId="18" fillId="0" borderId="4" xfId="0" applyNumberFormat="1" applyFont="1" applyBorder="1" applyAlignment="1" applyProtection="1">
      <alignment vertical="top" wrapText="1"/>
      <protection locked="0"/>
    </xf>
    <xf numFmtId="3" fontId="33" fillId="0" borderId="4" xfId="2" applyNumberFormat="1" applyFont="1" applyBorder="1" applyAlignment="1" applyProtection="1">
      <alignment vertical="top" wrapText="1"/>
      <protection locked="0"/>
    </xf>
    <xf numFmtId="3" fontId="33" fillId="0" borderId="4" xfId="0" applyNumberFormat="1" applyFont="1" applyBorder="1" applyAlignment="1" applyProtection="1">
      <alignment vertical="top" wrapText="1"/>
      <protection locked="0"/>
    </xf>
    <xf numFmtId="165" fontId="9" fillId="0" borderId="4" xfId="2" applyNumberFormat="1" applyFont="1" applyBorder="1" applyAlignment="1" applyProtection="1">
      <alignment vertical="top" wrapText="1"/>
      <protection locked="0"/>
    </xf>
    <xf numFmtId="0" fontId="21" fillId="0" borderId="4" xfId="0" applyFont="1" applyBorder="1" applyProtection="1">
      <protection locked="0"/>
    </xf>
    <xf numFmtId="165" fontId="7" fillId="0" borderId="4" xfId="4" quotePrefix="1" applyNumberFormat="1" applyFont="1" applyFill="1" applyBorder="1" applyAlignment="1" applyProtection="1">
      <alignment horizontal="left" indent="1"/>
      <protection locked="0"/>
    </xf>
    <xf numFmtId="165" fontId="7" fillId="0" borderId="4" xfId="4" quotePrefix="1" applyNumberFormat="1" applyFont="1" applyFill="1" applyBorder="1" applyAlignment="1" applyProtection="1">
      <alignment horizontal="left" vertical="center"/>
      <protection locked="0"/>
    </xf>
    <xf numFmtId="165" fontId="7" fillId="0" borderId="4" xfId="5" quotePrefix="1" applyNumberFormat="1" applyFont="1" applyFill="1" applyBorder="1" applyAlignment="1" applyProtection="1">
      <alignment horizontal="left" indent="1"/>
      <protection locked="0"/>
    </xf>
    <xf numFmtId="165" fontId="10" fillId="0" borderId="4" xfId="5" quotePrefix="1" applyNumberFormat="1" applyFont="1" applyFill="1" applyBorder="1" applyAlignment="1" applyProtection="1">
      <alignment horizontal="left" vertical="center"/>
      <protection locked="0"/>
    </xf>
    <xf numFmtId="165" fontId="9" fillId="0" borderId="4" xfId="5" applyNumberFormat="1" applyFont="1" applyFill="1" applyBorder="1" applyAlignment="1" applyProtection="1">
      <alignment horizontal="left"/>
      <protection locked="0"/>
    </xf>
    <xf numFmtId="165" fontId="9" fillId="0" borderId="4" xfId="4" applyNumberFormat="1" applyFont="1" applyFill="1" applyBorder="1" applyAlignment="1" applyProtection="1">
      <alignment horizontal="left"/>
      <protection locked="0"/>
    </xf>
    <xf numFmtId="165" fontId="10" fillId="0" borderId="4" xfId="5" applyNumberFormat="1" applyFont="1" applyFill="1" applyBorder="1" applyProtection="1">
      <protection locked="0"/>
    </xf>
    <xf numFmtId="165" fontId="10" fillId="0" borderId="4" xfId="4" applyNumberFormat="1" applyFont="1" applyFill="1" applyBorder="1" applyProtection="1">
      <protection locked="0"/>
    </xf>
    <xf numFmtId="165" fontId="9" fillId="0" borderId="4" xfId="5" applyNumberFormat="1" applyFont="1" applyFill="1" applyBorder="1" applyProtection="1">
      <protection locked="0"/>
    </xf>
    <xf numFmtId="165" fontId="7" fillId="0" borderId="4" xfId="5" quotePrefix="1" applyNumberFormat="1" applyFont="1" applyFill="1" applyBorder="1" applyAlignment="1" applyProtection="1">
      <alignment horizontal="left" vertical="center"/>
      <protection locked="0"/>
    </xf>
    <xf numFmtId="165" fontId="9" fillId="4" borderId="4" xfId="5" applyNumberFormat="1" applyFont="1" applyFill="1" applyBorder="1" applyProtection="1">
      <protection locked="0"/>
    </xf>
    <xf numFmtId="165" fontId="9" fillId="4" borderId="4" xfId="4" applyNumberFormat="1" applyFont="1" applyFill="1" applyBorder="1" applyProtection="1">
      <protection locked="0"/>
    </xf>
    <xf numFmtId="0" fontId="39" fillId="0" borderId="4" xfId="0" applyFont="1" applyBorder="1" applyAlignment="1" applyProtection="1">
      <alignment horizontal="left" indent="1"/>
      <protection locked="0"/>
    </xf>
    <xf numFmtId="0" fontId="39" fillId="0" borderId="4" xfId="2" applyFont="1" applyBorder="1" applyAlignment="1" applyProtection="1">
      <alignment horizontal="left" indent="1"/>
      <protection locked="0"/>
    </xf>
    <xf numFmtId="3" fontId="40" fillId="0" borderId="4" xfId="2" applyNumberFormat="1" applyFont="1" applyBorder="1" applyAlignment="1" applyProtection="1">
      <alignment vertical="top" wrapText="1"/>
      <protection locked="0"/>
    </xf>
    <xf numFmtId="0" fontId="4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0" fontId="6" fillId="0" borderId="0" xfId="3"/>
    <xf numFmtId="0" fontId="7" fillId="0" borderId="0" xfId="2" applyFont="1" applyAlignment="1">
      <alignment horizontal="center" vertical="center"/>
    </xf>
    <xf numFmtId="165" fontId="5" fillId="0" borderId="0" xfId="2" applyNumberFormat="1" applyFont="1" applyAlignment="1">
      <alignment horizontal="center"/>
    </xf>
    <xf numFmtId="3" fontId="5" fillId="0" borderId="0" xfId="2" applyNumberFormat="1" applyFont="1" applyAlignment="1">
      <alignment horizontal="center"/>
    </xf>
    <xf numFmtId="0" fontId="10" fillId="3" borderId="1" xfId="2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2" fillId="0" borderId="4" xfId="4" applyNumberFormat="1" applyFont="1" applyFill="1" applyBorder="1" applyAlignment="1" applyProtection="1">
      <alignment horizontal="center" vertical="top" wrapText="1"/>
    </xf>
    <xf numFmtId="0" fontId="11" fillId="0" borderId="1" xfId="2" applyFont="1" applyBorder="1" applyAlignment="1">
      <alignment horizontal="left" vertical="top" wrapText="1"/>
    </xf>
    <xf numFmtId="0" fontId="9" fillId="0" borderId="4" xfId="4" applyNumberFormat="1" applyFont="1" applyFill="1" applyBorder="1" applyAlignment="1" applyProtection="1">
      <alignment horizontal="center" vertical="top" wrapText="1"/>
    </xf>
    <xf numFmtId="0" fontId="13" fillId="0" borderId="1" xfId="2" applyFont="1" applyBorder="1" applyAlignment="1">
      <alignment horizontal="left" vertical="top" wrapText="1" indent="1"/>
    </xf>
    <xf numFmtId="3" fontId="16" fillId="0" borderId="4" xfId="2" applyNumberFormat="1" applyFont="1" applyBorder="1" applyAlignment="1">
      <alignment horizontal="center" vertical="top" wrapText="1"/>
    </xf>
    <xf numFmtId="0" fontId="14" fillId="0" borderId="1" xfId="2" applyFont="1" applyBorder="1" applyAlignment="1">
      <alignment horizontal="left" vertical="top" wrapText="1" indent="2"/>
    </xf>
    <xf numFmtId="3" fontId="18" fillId="0" borderId="4" xfId="2" applyNumberFormat="1" applyFont="1" applyBorder="1" applyAlignment="1">
      <alignment horizontal="center" vertical="top" wrapText="1"/>
    </xf>
    <xf numFmtId="0" fontId="14" fillId="0" borderId="4" xfId="2" applyFont="1" applyBorder="1" applyAlignment="1">
      <alignment horizontal="left" vertical="top" wrapText="1" indent="2"/>
    </xf>
    <xf numFmtId="3" fontId="9" fillId="0" borderId="4" xfId="2" applyNumberFormat="1" applyFont="1" applyBorder="1" applyAlignment="1">
      <alignment horizontal="center" vertical="top" wrapText="1"/>
    </xf>
    <xf numFmtId="0" fontId="15" fillId="0" borderId="1" xfId="2" applyFont="1" applyBorder="1" applyAlignment="1">
      <alignment horizontal="left" vertical="top" wrapText="1" indent="2"/>
    </xf>
    <xf numFmtId="0" fontId="15" fillId="0" borderId="4" xfId="2" applyFont="1" applyBorder="1" applyAlignment="1">
      <alignment horizontal="left" vertical="top" wrapText="1" indent="2"/>
    </xf>
    <xf numFmtId="3" fontId="12" fillId="0" borderId="4" xfId="2" applyNumberFormat="1" applyFont="1" applyBorder="1" applyAlignment="1">
      <alignment horizontal="center" vertical="top" wrapText="1"/>
    </xf>
    <xf numFmtId="0" fontId="12" fillId="0" borderId="1" xfId="2" applyFont="1" applyBorder="1" applyAlignment="1">
      <alignment horizontal="left" vertical="top" wrapText="1"/>
    </xf>
    <xf numFmtId="0" fontId="9" fillId="0" borderId="1" xfId="2" applyFont="1" applyBorder="1" applyAlignment="1">
      <alignment horizontal="left" vertical="top" wrapText="1" indent="1"/>
    </xf>
    <xf numFmtId="0" fontId="9" fillId="0" borderId="1" xfId="2" applyFont="1" applyBorder="1" applyAlignment="1">
      <alignment horizontal="left" vertical="top" wrapText="1" indent="2"/>
    </xf>
    <xf numFmtId="165" fontId="14" fillId="0" borderId="1" xfId="6" applyNumberFormat="1" applyFont="1" applyFill="1" applyBorder="1" applyAlignment="1" applyProtection="1">
      <alignment horizontal="left" vertical="top" wrapText="1" indent="3"/>
    </xf>
    <xf numFmtId="165" fontId="14" fillId="0" borderId="1" xfId="6" applyNumberFormat="1" applyFont="1" applyFill="1" applyBorder="1" applyAlignment="1" applyProtection="1">
      <alignment horizontal="left" vertical="top" wrapText="1" indent="2"/>
    </xf>
    <xf numFmtId="165" fontId="14" fillId="0" borderId="1" xfId="6" applyNumberFormat="1" applyFont="1" applyFill="1" applyBorder="1" applyAlignment="1" applyProtection="1">
      <alignment horizontal="left" vertical="top" wrapText="1" indent="5"/>
    </xf>
    <xf numFmtId="0" fontId="22" fillId="0" borderId="0" xfId="3" applyFont="1"/>
    <xf numFmtId="0" fontId="25" fillId="0" borderId="0" xfId="3" applyFont="1"/>
    <xf numFmtId="0" fontId="9" fillId="0" borderId="4" xfId="2" applyFont="1" applyBorder="1" applyAlignment="1">
      <alignment horizontal="left" vertical="top" wrapText="1" indent="1"/>
    </xf>
    <xf numFmtId="0" fontId="10" fillId="0" borderId="4" xfId="2" applyFont="1" applyBorder="1" applyAlignment="1">
      <alignment horizontal="left" vertical="top" wrapText="1" indent="1"/>
    </xf>
    <xf numFmtId="3" fontId="24" fillId="3" borderId="4" xfId="2" applyNumberFormat="1" applyFont="1" applyFill="1" applyBorder="1" applyAlignment="1">
      <alignment horizontal="center" vertical="top" wrapText="1"/>
    </xf>
    <xf numFmtId="0" fontId="23" fillId="3" borderId="1" xfId="2" applyFont="1" applyFill="1" applyBorder="1" applyAlignment="1">
      <alignment horizontal="center" vertical="top" wrapText="1"/>
    </xf>
    <xf numFmtId="0" fontId="15" fillId="0" borderId="1" xfId="2" applyFont="1" applyBorder="1" applyAlignment="1">
      <alignment horizontal="left" vertical="top" wrapText="1" indent="1"/>
    </xf>
    <xf numFmtId="0" fontId="15" fillId="0" borderId="4" xfId="2" applyFont="1" applyBorder="1" applyAlignment="1">
      <alignment horizontal="left" vertical="top" wrapText="1" indent="1"/>
    </xf>
    <xf numFmtId="0" fontId="28" fillId="0" borderId="0" xfId="3" applyFont="1" applyAlignment="1">
      <alignment vertical="center"/>
    </xf>
    <xf numFmtId="3" fontId="16" fillId="0" borderId="4" xfId="0" applyNumberFormat="1" applyFont="1" applyBorder="1" applyAlignment="1">
      <alignment horizontal="center" vertical="top" wrapText="1"/>
    </xf>
    <xf numFmtId="0" fontId="26" fillId="0" borderId="1" xfId="2" applyFont="1" applyBorder="1" applyAlignment="1">
      <alignment horizontal="left" vertical="top" wrapText="1" indent="1"/>
    </xf>
    <xf numFmtId="0" fontId="27" fillId="0" borderId="1" xfId="2" applyFont="1" applyBorder="1" applyAlignment="1">
      <alignment horizontal="left" vertical="top" wrapText="1" indent="1"/>
    </xf>
    <xf numFmtId="3" fontId="5" fillId="3" borderId="4" xfId="2" applyNumberFormat="1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43" fontId="2" fillId="0" borderId="0" xfId="6" applyFont="1" applyBorder="1" applyAlignment="1" applyProtection="1">
      <alignment horizontal="center" vertical="top" wrapText="1"/>
    </xf>
    <xf numFmtId="43" fontId="8" fillId="0" borderId="0" xfId="6" applyFont="1" applyBorder="1" applyAlignment="1" applyProtection="1">
      <alignment horizontal="center" vertical="top" wrapText="1"/>
    </xf>
    <xf numFmtId="165" fontId="2" fillId="0" borderId="0" xfId="6" applyNumberFormat="1" applyFont="1" applyBorder="1" applyAlignment="1" applyProtection="1">
      <alignment horizontal="center" vertical="top" wrapText="1"/>
    </xf>
    <xf numFmtId="165" fontId="1" fillId="0" borderId="0" xfId="4" applyNumberFormat="1" applyFont="1" applyFill="1" applyBorder="1" applyAlignment="1" applyProtection="1">
      <alignment horizontal="center" vertical="top" wrapText="1"/>
    </xf>
    <xf numFmtId="167" fontId="34" fillId="0" borderId="0" xfId="2" applyNumberFormat="1" applyFont="1" applyAlignment="1">
      <alignment horizontal="right" vertical="top" wrapText="1" indent="1"/>
    </xf>
    <xf numFmtId="165" fontId="1" fillId="0" borderId="0" xfId="4" applyNumberFormat="1" applyFont="1" applyFill="1" applyBorder="1" applyAlignment="1" applyProtection="1">
      <alignment horizontal="right" vertical="top" wrapText="1" indent="1"/>
    </xf>
    <xf numFmtId="165" fontId="1" fillId="0" borderId="0" xfId="6" applyNumberFormat="1" applyFont="1" applyFill="1" applyBorder="1" applyAlignment="1" applyProtection="1">
      <alignment horizontal="right" vertical="top" wrapText="1" indent="1"/>
    </xf>
    <xf numFmtId="0" fontId="6" fillId="0" borderId="0" xfId="3" applyAlignment="1">
      <alignment horizontal="center"/>
    </xf>
    <xf numFmtId="165" fontId="2" fillId="0" borderId="0" xfId="6" applyNumberFormat="1" applyFont="1" applyAlignment="1" applyProtection="1">
      <alignment horizontal="center"/>
    </xf>
    <xf numFmtId="0" fontId="8" fillId="0" borderId="0" xfId="2" applyFont="1"/>
    <xf numFmtId="165" fontId="2" fillId="0" borderId="0" xfId="6" applyNumberFormat="1" applyFont="1" applyProtection="1"/>
    <xf numFmtId="3" fontId="47" fillId="0" borderId="0" xfId="2" applyNumberFormat="1" applyFont="1" applyAlignment="1">
      <alignment horizontal="center"/>
    </xf>
    <xf numFmtId="0" fontId="47" fillId="0" borderId="0" xfId="2" applyFont="1"/>
    <xf numFmtId="3" fontId="47" fillId="0" borderId="0" xfId="2" applyNumberFormat="1" applyFont="1"/>
    <xf numFmtId="0" fontId="8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10" fillId="3" borderId="2" xfId="6" applyNumberFormat="1" applyFont="1" applyFill="1" applyBorder="1" applyAlignment="1" applyProtection="1">
      <alignment horizontal="center" vertical="center" wrapText="1"/>
    </xf>
    <xf numFmtId="3" fontId="9" fillId="2" borderId="1" xfId="2" applyNumberFormat="1" applyFont="1" applyFill="1" applyBorder="1" applyAlignment="1">
      <alignment horizontal="left" vertical="top" wrapText="1"/>
    </xf>
    <xf numFmtId="165" fontId="10" fillId="3" borderId="2" xfId="6" applyNumberFormat="1" applyFont="1" applyFill="1" applyBorder="1" applyAlignment="1" applyProtection="1">
      <alignment horizontal="center" vertical="center" wrapText="1"/>
    </xf>
    <xf numFmtId="0" fontId="30" fillId="0" borderId="4" xfId="4" applyNumberFormat="1" applyFont="1" applyFill="1" applyBorder="1" applyAlignment="1" applyProtection="1">
      <alignment horizontal="center" vertical="top" wrapText="1"/>
    </xf>
    <xf numFmtId="3" fontId="29" fillId="0" borderId="1" xfId="2" applyNumberFormat="1" applyFont="1" applyBorder="1" applyAlignment="1">
      <alignment horizontal="left" vertical="top" wrapText="1" indent="1"/>
    </xf>
    <xf numFmtId="3" fontId="13" fillId="0" borderId="1" xfId="2" applyNumberFormat="1" applyFont="1" applyBorder="1" applyAlignment="1">
      <alignment horizontal="left" vertical="top" wrapText="1" indent="1"/>
    </xf>
    <xf numFmtId="3" fontId="15" fillId="0" borderId="1" xfId="2" applyNumberFormat="1" applyFont="1" applyBorder="1" applyAlignment="1">
      <alignment horizontal="left" vertical="top" wrapText="1" indent="1"/>
    </xf>
    <xf numFmtId="3" fontId="10" fillId="0" borderId="4" xfId="2" applyNumberFormat="1" applyFont="1" applyBorder="1" applyAlignment="1">
      <alignment horizontal="center" vertical="top" wrapText="1"/>
    </xf>
    <xf numFmtId="3" fontId="16" fillId="0" borderId="1" xfId="2" applyNumberFormat="1" applyFont="1" applyBorder="1" applyAlignment="1">
      <alignment horizontal="center" vertical="top" wrapText="1"/>
    </xf>
    <xf numFmtId="3" fontId="18" fillId="0" borderId="4" xfId="0" applyNumberFormat="1" applyFont="1" applyBorder="1" applyAlignment="1">
      <alignment horizontal="center" vertical="top" wrapText="1"/>
    </xf>
    <xf numFmtId="3" fontId="15" fillId="0" borderId="1" xfId="2" applyNumberFormat="1" applyFont="1" applyBorder="1" applyAlignment="1">
      <alignment horizontal="left" vertical="top" wrapText="1" indent="2"/>
    </xf>
    <xf numFmtId="3" fontId="7" fillId="0" borderId="1" xfId="2" applyNumberFormat="1" applyFont="1" applyBorder="1" applyAlignment="1">
      <alignment horizontal="left" vertical="top" wrapText="1" indent="1"/>
    </xf>
    <xf numFmtId="166" fontId="30" fillId="0" borderId="4" xfId="4" applyNumberFormat="1" applyFont="1" applyFill="1" applyBorder="1" applyAlignment="1" applyProtection="1">
      <alignment horizontal="right" vertical="top" wrapText="1"/>
      <protection locked="0"/>
    </xf>
    <xf numFmtId="166" fontId="30" fillId="0" borderId="5" xfId="4" applyNumberFormat="1" applyFont="1" applyFill="1" applyBorder="1" applyAlignment="1" applyProtection="1">
      <alignment horizontal="right" vertical="top" wrapText="1"/>
      <protection locked="0"/>
    </xf>
    <xf numFmtId="165" fontId="30" fillId="0" borderId="5" xfId="6" applyNumberFormat="1" applyFont="1" applyFill="1" applyBorder="1" applyAlignment="1" applyProtection="1">
      <alignment horizontal="right" vertical="top" wrapText="1"/>
      <protection locked="0"/>
    </xf>
    <xf numFmtId="165" fontId="30" fillId="0" borderId="4" xfId="6" applyNumberFormat="1" applyFont="1" applyFill="1" applyBorder="1" applyAlignment="1" applyProtection="1">
      <alignment horizontal="right" vertical="top" wrapText="1"/>
      <protection locked="0"/>
    </xf>
    <xf numFmtId="0" fontId="9" fillId="2" borderId="4" xfId="2" applyFont="1" applyFill="1" applyBorder="1" applyAlignment="1">
      <alignment horizontal="center" vertical="center" wrapText="1"/>
    </xf>
    <xf numFmtId="0" fontId="13" fillId="0" borderId="4" xfId="2" applyFont="1" applyBorder="1" applyAlignment="1">
      <alignment horizontal="center"/>
    </xf>
    <xf numFmtId="0" fontId="13" fillId="0" borderId="1" xfId="2" applyFont="1" applyBorder="1"/>
    <xf numFmtId="0" fontId="35" fillId="0" borderId="1" xfId="4" applyNumberFormat="1" applyFont="1" applyFill="1" applyBorder="1" applyAlignment="1" applyProtection="1">
      <alignment horizontal="center" vertical="top" wrapText="1"/>
    </xf>
    <xf numFmtId="0" fontId="9" fillId="0" borderId="4" xfId="2" applyFont="1" applyBorder="1" applyAlignment="1">
      <alignment horizontal="center" vertical="top" wrapText="1"/>
    </xf>
    <xf numFmtId="0" fontId="36" fillId="0" borderId="4" xfId="2" applyFont="1" applyBorder="1" applyAlignment="1">
      <alignment horizontal="center"/>
    </xf>
    <xf numFmtId="0" fontId="36" fillId="0" borderId="1" xfId="2" applyFont="1" applyBorder="1"/>
    <xf numFmtId="0" fontId="21" fillId="0" borderId="4" xfId="0" applyFont="1" applyBorder="1" applyAlignment="1">
      <alignment horizontal="center"/>
    </xf>
    <xf numFmtId="0" fontId="7" fillId="0" borderId="4" xfId="2" quotePrefix="1" applyFont="1" applyBorder="1" applyAlignment="1">
      <alignment horizontal="center"/>
    </xf>
    <xf numFmtId="0" fontId="7" fillId="0" borderId="1" xfId="2" quotePrefix="1" applyFont="1" applyBorder="1" applyAlignment="1">
      <alignment horizontal="left" indent="1"/>
    </xf>
    <xf numFmtId="0" fontId="19" fillId="0" borderId="1" xfId="0" quotePrefix="1" applyFont="1" applyBorder="1" applyAlignment="1">
      <alignment horizontal="center"/>
    </xf>
    <xf numFmtId="0" fontId="7" fillId="0" borderId="4" xfId="2" quotePrefix="1" applyFont="1" applyBorder="1" applyAlignment="1">
      <alignment horizontal="center" vertical="center"/>
    </xf>
    <xf numFmtId="0" fontId="7" fillId="0" borderId="1" xfId="2" quotePrefix="1" applyFont="1" applyBorder="1" applyAlignment="1">
      <alignment horizontal="left" vertical="center" indent="1"/>
    </xf>
    <xf numFmtId="0" fontId="19" fillId="0" borderId="1" xfId="0" quotePrefix="1" applyFont="1" applyBorder="1" applyAlignment="1">
      <alignment horizontal="center" vertical="center"/>
    </xf>
    <xf numFmtId="0" fontId="7" fillId="0" borderId="4" xfId="5" quotePrefix="1" applyNumberFormat="1" applyFont="1" applyFill="1" applyBorder="1" applyAlignment="1" applyProtection="1">
      <alignment horizontal="center"/>
    </xf>
    <xf numFmtId="0" fontId="13" fillId="0" borderId="4" xfId="2" quotePrefix="1" applyFont="1" applyBorder="1" applyAlignment="1">
      <alignment horizontal="center" vertical="center"/>
    </xf>
    <xf numFmtId="0" fontId="13" fillId="0" borderId="1" xfId="2" quotePrefix="1" applyFont="1" applyBorder="1" applyAlignment="1">
      <alignment horizontal="left" vertical="center"/>
    </xf>
    <xf numFmtId="0" fontId="10" fillId="0" borderId="4" xfId="5" quotePrefix="1" applyNumberFormat="1" applyFont="1" applyFill="1" applyBorder="1" applyAlignment="1" applyProtection="1">
      <alignment horizontal="center" vertical="center"/>
    </xf>
    <xf numFmtId="0" fontId="15" fillId="0" borderId="4" xfId="2" quotePrefix="1" applyFont="1" applyBorder="1" applyAlignment="1">
      <alignment horizontal="center"/>
    </xf>
    <xf numFmtId="0" fontId="15" fillId="0" borderId="1" xfId="2" quotePrefix="1" applyFont="1" applyBorder="1" applyAlignment="1">
      <alignment horizontal="left" indent="1"/>
    </xf>
    <xf numFmtId="0" fontId="15" fillId="0" borderId="4" xfId="2" quotePrefix="1" applyFont="1" applyBorder="1" applyAlignment="1">
      <alignment horizontal="center" wrapText="1"/>
    </xf>
    <xf numFmtId="0" fontId="15" fillId="0" borderId="1" xfId="2" quotePrefix="1" applyFont="1" applyBorder="1" applyAlignment="1">
      <alignment horizontal="left" wrapText="1" indent="1"/>
    </xf>
    <xf numFmtId="0" fontId="15" fillId="0" borderId="4" xfId="2" quotePrefix="1" applyFont="1" applyBorder="1" applyAlignment="1">
      <alignment horizontal="center" vertical="center"/>
    </xf>
    <xf numFmtId="0" fontId="15" fillId="0" borderId="1" xfId="2" quotePrefix="1" applyFont="1" applyBorder="1" applyAlignment="1">
      <alignment horizontal="left" vertical="center" indent="1"/>
    </xf>
    <xf numFmtId="0" fontId="19" fillId="0" borderId="4" xfId="0" quotePrefix="1" applyFont="1" applyBorder="1" applyAlignment="1">
      <alignment horizontal="center"/>
    </xf>
    <xf numFmtId="0" fontId="13" fillId="0" borderId="1" xfId="2" applyFont="1" applyBorder="1" applyAlignment="1">
      <alignment horizontal="left"/>
    </xf>
    <xf numFmtId="0" fontId="9" fillId="0" borderId="4" xfId="5" applyNumberFormat="1" applyFont="1" applyFill="1" applyBorder="1" applyAlignment="1" applyProtection="1">
      <alignment horizontal="center"/>
    </xf>
    <xf numFmtId="0" fontId="10" fillId="0" borderId="4" xfId="5" applyNumberFormat="1" applyFont="1" applyFill="1" applyBorder="1" applyAlignment="1" applyProtection="1">
      <alignment horizontal="center"/>
    </xf>
    <xf numFmtId="0" fontId="7" fillId="0" borderId="4" xfId="2" applyFont="1" applyBorder="1" applyAlignment="1">
      <alignment horizontal="center"/>
    </xf>
    <xf numFmtId="0" fontId="7" fillId="0" borderId="1" xfId="2" applyFont="1" applyBorder="1" applyAlignment="1">
      <alignment horizontal="left" indent="1"/>
    </xf>
    <xf numFmtId="0" fontId="7" fillId="0" borderId="4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 indent="1"/>
    </xf>
    <xf numFmtId="0" fontId="7" fillId="0" borderId="4" xfId="5" quotePrefix="1" applyNumberFormat="1" applyFont="1" applyFill="1" applyBorder="1" applyAlignment="1" applyProtection="1">
      <alignment horizontal="center" vertical="center"/>
    </xf>
    <xf numFmtId="0" fontId="13" fillId="4" borderId="4" xfId="2" applyFont="1" applyFill="1" applyBorder="1" applyAlignment="1">
      <alignment horizontal="center"/>
    </xf>
    <xf numFmtId="0" fontId="13" fillId="4" borderId="1" xfId="2" applyFont="1" applyFill="1" applyBorder="1"/>
    <xf numFmtId="0" fontId="9" fillId="4" borderId="4" xfId="5" applyNumberFormat="1" applyFont="1" applyFill="1" applyBorder="1" applyAlignment="1" applyProtection="1">
      <alignment horizontal="center"/>
    </xf>
    <xf numFmtId="0" fontId="31" fillId="0" borderId="4" xfId="2" applyFont="1" applyBorder="1" applyAlignment="1">
      <alignment horizontal="center"/>
    </xf>
    <xf numFmtId="0" fontId="31" fillId="0" borderId="1" xfId="2" applyFont="1" applyBorder="1" applyAlignment="1">
      <alignment horizontal="left" indent="1"/>
    </xf>
    <xf numFmtId="0" fontId="39" fillId="0" borderId="4" xfId="0" applyFont="1" applyBorder="1" applyAlignment="1">
      <alignment horizontal="center"/>
    </xf>
    <xf numFmtId="165" fontId="35" fillId="0" borderId="1" xfId="4" applyNumberFormat="1" applyFont="1" applyFill="1" applyBorder="1" applyAlignment="1" applyProtection="1">
      <alignment vertical="top" wrapText="1"/>
      <protection locked="0"/>
    </xf>
    <xf numFmtId="165" fontId="35" fillId="0" borderId="2" xfId="4" applyNumberFormat="1" applyFont="1" applyFill="1" applyBorder="1" applyAlignment="1" applyProtection="1">
      <alignment vertical="top" wrapText="1"/>
      <protection locked="0"/>
    </xf>
    <xf numFmtId="165" fontId="37" fillId="0" borderId="2" xfId="4" applyNumberFormat="1" applyFont="1" applyFill="1" applyBorder="1" applyAlignment="1" applyProtection="1">
      <alignment vertical="top" wrapText="1"/>
      <protection locked="0"/>
    </xf>
    <xf numFmtId="165" fontId="19" fillId="0" borderId="1" xfId="0" quotePrefix="1" applyNumberFormat="1" applyFont="1" applyBorder="1" applyAlignment="1" applyProtection="1">
      <alignment horizontal="right"/>
      <protection locked="0"/>
    </xf>
    <xf numFmtId="3" fontId="20" fillId="0" borderId="4" xfId="0" applyNumberFormat="1" applyFont="1" applyBorder="1" applyAlignment="1" applyProtection="1">
      <alignment vertical="top" wrapText="1"/>
      <protection locked="0"/>
    </xf>
    <xf numFmtId="165" fontId="1" fillId="0" borderId="2" xfId="4" applyNumberFormat="1" applyFont="1" applyFill="1" applyBorder="1" applyAlignment="1" applyProtection="1">
      <alignment vertical="top" wrapText="1"/>
      <protection locked="0"/>
    </xf>
    <xf numFmtId="3" fontId="19" fillId="0" borderId="1" xfId="0" quotePrefix="1" applyNumberFormat="1" applyFont="1" applyBorder="1" applyAlignment="1" applyProtection="1">
      <alignment vertical="center"/>
      <protection locked="0"/>
    </xf>
    <xf numFmtId="3" fontId="19" fillId="0" borderId="1" xfId="0" quotePrefix="1" applyNumberFormat="1" applyFont="1" applyBorder="1" applyProtection="1">
      <protection locked="0"/>
    </xf>
    <xf numFmtId="3" fontId="38" fillId="0" borderId="1" xfId="0" quotePrefix="1" applyNumberFormat="1" applyFont="1" applyBorder="1" applyProtection="1">
      <protection locked="0"/>
    </xf>
    <xf numFmtId="165" fontId="19" fillId="0" borderId="1" xfId="0" quotePrefix="1" applyNumberFormat="1" applyFont="1" applyBorder="1" applyAlignment="1" applyProtection="1">
      <alignment horizontal="right" vertical="center"/>
      <protection locked="0"/>
    </xf>
    <xf numFmtId="3" fontId="19" fillId="0" borderId="4" xfId="0" quotePrefix="1" applyNumberFormat="1" applyFont="1" applyBorder="1" applyAlignment="1" applyProtection="1">
      <alignment horizontal="right"/>
      <protection locked="0"/>
    </xf>
    <xf numFmtId="3" fontId="19" fillId="0" borderId="4" xfId="0" quotePrefix="1" applyNumberFormat="1" applyFont="1" applyBorder="1" applyProtection="1">
      <protection locked="0"/>
    </xf>
    <xf numFmtId="165" fontId="19" fillId="0" borderId="4" xfId="0" quotePrefix="1" applyNumberFormat="1" applyFont="1" applyBorder="1" applyAlignment="1" applyProtection="1">
      <alignment horizontal="right"/>
      <protection locked="0"/>
    </xf>
    <xf numFmtId="0" fontId="41" fillId="2" borderId="9" xfId="2" applyFont="1" applyFill="1" applyBorder="1" applyAlignment="1">
      <alignment horizontal="center" vertical="center" wrapText="1"/>
    </xf>
    <xf numFmtId="0" fontId="41" fillId="2" borderId="1" xfId="2" applyFont="1" applyFill="1" applyBorder="1" applyAlignment="1">
      <alignment horizontal="left" vertical="center" wrapText="1"/>
    </xf>
    <xf numFmtId="0" fontId="42" fillId="3" borderId="2" xfId="3" applyFont="1" applyFill="1" applyBorder="1" applyAlignment="1">
      <alignment horizontal="center" vertical="center" wrapText="1"/>
    </xf>
    <xf numFmtId="168" fontId="42" fillId="3" borderId="2" xfId="3" applyNumberFormat="1" applyFont="1" applyFill="1" applyBorder="1" applyAlignment="1">
      <alignment horizontal="center" vertical="center" wrapText="1"/>
    </xf>
    <xf numFmtId="0" fontId="43" fillId="0" borderId="4" xfId="2" applyFont="1" applyBorder="1" applyAlignment="1">
      <alignment horizontal="center" vertical="center" wrapText="1"/>
    </xf>
    <xf numFmtId="0" fontId="43" fillId="0" borderId="1" xfId="2" applyFont="1" applyBorder="1" applyAlignment="1">
      <alignment horizontal="left" vertical="center" wrapText="1" indent="2"/>
    </xf>
    <xf numFmtId="0" fontId="44" fillId="0" borderId="1" xfId="3" applyFont="1" applyBorder="1" applyAlignment="1">
      <alignment horizontal="center"/>
    </xf>
    <xf numFmtId="0" fontId="42" fillId="0" borderId="4" xfId="2" applyFont="1" applyBorder="1" applyAlignment="1">
      <alignment horizontal="center" vertical="center" wrapText="1"/>
    </xf>
    <xf numFmtId="0" fontId="42" fillId="0" borderId="1" xfId="2" applyFont="1" applyBorder="1" applyAlignment="1">
      <alignment horizontal="left" vertical="center" wrapText="1" indent="1"/>
    </xf>
    <xf numFmtId="0" fontId="45" fillId="0" borderId="1" xfId="2" applyFont="1" applyBorder="1" applyAlignment="1">
      <alignment horizontal="center"/>
    </xf>
    <xf numFmtId="0" fontId="46" fillId="0" borderId="4" xfId="2" applyFont="1" applyBorder="1" applyAlignment="1">
      <alignment horizontal="center" vertical="center" wrapText="1"/>
    </xf>
    <xf numFmtId="0" fontId="46" fillId="0" borderId="1" xfId="2" applyFont="1" applyBorder="1" applyAlignment="1">
      <alignment horizontal="left" vertical="center" wrapText="1" indent="1"/>
    </xf>
    <xf numFmtId="0" fontId="47" fillId="0" borderId="1" xfId="2" applyFont="1" applyBorder="1" applyAlignment="1">
      <alignment horizontal="center"/>
    </xf>
    <xf numFmtId="0" fontId="47" fillId="0" borderId="1" xfId="1" applyNumberFormat="1" applyFont="1" applyBorder="1" applyAlignment="1" applyProtection="1">
      <alignment horizontal="center"/>
    </xf>
    <xf numFmtId="0" fontId="48" fillId="0" borderId="1" xfId="2" applyFont="1" applyBorder="1" applyAlignment="1">
      <alignment horizontal="center"/>
    </xf>
    <xf numFmtId="0" fontId="44" fillId="0" borderId="1" xfId="2" applyFont="1" applyBorder="1" applyAlignment="1">
      <alignment horizontal="center"/>
    </xf>
    <xf numFmtId="0" fontId="43" fillId="0" borderId="4" xfId="2" applyFont="1" applyBorder="1" applyAlignment="1">
      <alignment horizontal="center" vertical="center"/>
    </xf>
    <xf numFmtId="0" fontId="48" fillId="0" borderId="1" xfId="1" applyNumberFormat="1" applyFont="1" applyBorder="1" applyAlignment="1" applyProtection="1">
      <alignment horizontal="center"/>
    </xf>
    <xf numFmtId="0" fontId="42" fillId="0" borderId="4" xfId="2" applyFont="1" applyBorder="1" applyAlignment="1">
      <alignment horizontal="center" vertical="center"/>
    </xf>
    <xf numFmtId="0" fontId="42" fillId="0" borderId="1" xfId="2" applyFont="1" applyBorder="1" applyAlignment="1">
      <alignment horizontal="left" vertical="center" indent="1"/>
    </xf>
    <xf numFmtId="0" fontId="43" fillId="0" borderId="1" xfId="2" applyFont="1" applyBorder="1" applyAlignment="1">
      <alignment horizontal="left" vertical="center" indent="2"/>
    </xf>
    <xf numFmtId="0" fontId="46" fillId="0" borderId="4" xfId="2" applyFont="1" applyBorder="1" applyAlignment="1">
      <alignment horizontal="center" vertical="center"/>
    </xf>
    <xf numFmtId="0" fontId="46" fillId="0" borderId="1" xfId="2" applyFont="1" applyBorder="1" applyAlignment="1">
      <alignment horizontal="left" vertical="center" indent="1"/>
    </xf>
    <xf numFmtId="0" fontId="46" fillId="0" borderId="10" xfId="2" applyFont="1" applyBorder="1" applyAlignment="1">
      <alignment horizontal="center" vertical="center"/>
    </xf>
    <xf numFmtId="3" fontId="44" fillId="0" borderId="1" xfId="3" applyNumberFormat="1" applyFont="1" applyBorder="1" applyProtection="1">
      <protection locked="0"/>
    </xf>
    <xf numFmtId="3" fontId="45" fillId="0" borderId="1" xfId="2" applyNumberFormat="1" applyFont="1" applyBorder="1" applyProtection="1">
      <protection locked="0"/>
    </xf>
    <xf numFmtId="3" fontId="47" fillId="0" borderId="1" xfId="2" applyNumberFormat="1" applyFont="1" applyBorder="1" applyProtection="1">
      <protection locked="0"/>
    </xf>
    <xf numFmtId="169" fontId="47" fillId="0" borderId="1" xfId="1" applyNumberFormat="1" applyFont="1" applyBorder="1" applyProtection="1">
      <protection locked="0"/>
    </xf>
    <xf numFmtId="3" fontId="48" fillId="0" borderId="1" xfId="2" applyNumberFormat="1" applyFont="1" applyBorder="1" applyProtection="1">
      <protection locked="0"/>
    </xf>
    <xf numFmtId="3" fontId="44" fillId="0" borderId="1" xfId="2" applyNumberFormat="1" applyFont="1" applyBorder="1" applyProtection="1">
      <protection locked="0"/>
    </xf>
    <xf numFmtId="169" fontId="48" fillId="0" borderId="1" xfId="1" applyNumberFormat="1" applyFont="1" applyBorder="1" applyProtection="1">
      <protection locked="0"/>
    </xf>
    <xf numFmtId="0" fontId="41" fillId="2" borderId="11" xfId="2" applyFont="1" applyFill="1" applyBorder="1" applyAlignment="1">
      <alignment horizontal="center" vertical="center" wrapText="1"/>
    </xf>
    <xf numFmtId="0" fontId="41" fillId="2" borderId="11" xfId="2" applyFont="1" applyFill="1" applyBorder="1" applyAlignment="1">
      <alignment horizontal="left" vertical="center" wrapText="1"/>
    </xf>
    <xf numFmtId="0" fontId="10" fillId="3" borderId="12" xfId="2" applyFont="1" applyFill="1" applyBorder="1" applyAlignment="1">
      <alignment horizontal="center" vertical="center" wrapText="1"/>
    </xf>
    <xf numFmtId="3" fontId="10" fillId="3" borderId="12" xfId="2" applyNumberFormat="1" applyFont="1" applyFill="1" applyBorder="1" applyAlignment="1">
      <alignment horizontal="center" vertical="center" wrapText="1"/>
    </xf>
    <xf numFmtId="3" fontId="10" fillId="3" borderId="11" xfId="2" applyNumberFormat="1" applyFont="1" applyFill="1" applyBorder="1" applyAlignment="1">
      <alignment horizontal="center" vertical="center" wrapText="1"/>
    </xf>
    <xf numFmtId="0" fontId="49" fillId="0" borderId="7" xfId="2" applyFont="1" applyBorder="1" applyAlignment="1">
      <alignment horizontal="center"/>
    </xf>
    <xf numFmtId="0" fontId="49" fillId="0" borderId="7" xfId="2" applyFont="1" applyBorder="1"/>
    <xf numFmtId="0" fontId="8" fillId="0" borderId="7" xfId="2" applyFont="1" applyBorder="1" applyAlignment="1">
      <alignment horizontal="center"/>
    </xf>
    <xf numFmtId="0" fontId="8" fillId="0" borderId="0" xfId="2" applyFont="1" applyAlignment="1">
      <alignment horizontal="left" indent="1"/>
    </xf>
    <xf numFmtId="0" fontId="49" fillId="0" borderId="0" xfId="2" applyFont="1" applyAlignment="1">
      <alignment horizontal="center"/>
    </xf>
    <xf numFmtId="0" fontId="49" fillId="0" borderId="0" xfId="2" applyFont="1"/>
    <xf numFmtId="0" fontId="49" fillId="0" borderId="8" xfId="2" applyFont="1" applyBorder="1" applyAlignment="1">
      <alignment horizontal="center"/>
    </xf>
    <xf numFmtId="0" fontId="49" fillId="0" borderId="8" xfId="2" applyFont="1" applyBorder="1"/>
    <xf numFmtId="3" fontId="8" fillId="0" borderId="7" xfId="2" applyNumberFormat="1" applyFont="1" applyBorder="1" applyProtection="1">
      <protection locked="0"/>
    </xf>
    <xf numFmtId="3" fontId="49" fillId="0" borderId="7" xfId="2" applyNumberFormat="1" applyFont="1" applyBorder="1" applyProtection="1">
      <protection locked="0"/>
    </xf>
    <xf numFmtId="3" fontId="8" fillId="0" borderId="0" xfId="2" applyNumberFormat="1" applyFont="1" applyProtection="1">
      <protection locked="0"/>
    </xf>
    <xf numFmtId="3" fontId="49" fillId="0" borderId="8" xfId="2" applyNumberFormat="1" applyFont="1" applyBorder="1" applyProtection="1">
      <protection locked="0"/>
    </xf>
    <xf numFmtId="0" fontId="8" fillId="0" borderId="0" xfId="2" applyFont="1" applyProtection="1">
      <protection locked="0"/>
    </xf>
    <xf numFmtId="0" fontId="54" fillId="5" borderId="0" xfId="3" applyFont="1" applyFill="1"/>
    <xf numFmtId="0" fontId="55" fillId="5" borderId="0" xfId="3" applyFont="1" applyFill="1"/>
    <xf numFmtId="0" fontId="55" fillId="0" borderId="0" xfId="3" applyFont="1"/>
    <xf numFmtId="0" fontId="54" fillId="0" borderId="0" xfId="3" applyFont="1" applyAlignment="1">
      <alignment horizontal="right"/>
    </xf>
    <xf numFmtId="0" fontId="55" fillId="5" borderId="13" xfId="3" applyFont="1" applyFill="1" applyBorder="1"/>
    <xf numFmtId="0" fontId="55" fillId="0" borderId="13" xfId="3" applyFont="1" applyBorder="1"/>
    <xf numFmtId="0" fontId="56" fillId="0" borderId="13" xfId="3" applyFont="1" applyBorder="1" applyAlignment="1">
      <alignment horizontal="right"/>
    </xf>
    <xf numFmtId="0" fontId="55" fillId="5" borderId="0" xfId="3" quotePrefix="1" applyFont="1" applyFill="1"/>
    <xf numFmtId="0" fontId="56" fillId="0" borderId="0" xfId="3" applyFont="1" applyAlignment="1">
      <alignment horizontal="right"/>
    </xf>
    <xf numFmtId="0" fontId="57" fillId="0" borderId="0" xfId="3" applyFont="1"/>
    <xf numFmtId="0" fontId="8" fillId="0" borderId="0" xfId="3" applyFont="1"/>
    <xf numFmtId="0" fontId="8" fillId="5" borderId="0" xfId="3" applyFont="1" applyFill="1"/>
    <xf numFmtId="0" fontId="49" fillId="0" borderId="0" xfId="3" applyFont="1"/>
    <xf numFmtId="0" fontId="49" fillId="5" borderId="0" xfId="3" applyFont="1" applyFill="1" applyAlignment="1">
      <alignment horizontal="center"/>
    </xf>
    <xf numFmtId="14" fontId="8" fillId="0" borderId="0" xfId="3" applyNumberFormat="1" applyFont="1" applyAlignment="1">
      <alignment vertical="center"/>
    </xf>
    <xf numFmtId="0" fontId="21" fillId="0" borderId="0" xfId="3" applyFont="1" applyAlignment="1">
      <alignment horizontal="left"/>
    </xf>
    <xf numFmtId="0" fontId="7" fillId="5" borderId="0" xfId="3" applyFont="1" applyFill="1" applyAlignment="1">
      <alignment horizontal="left"/>
    </xf>
    <xf numFmtId="0" fontId="7" fillId="5" borderId="0" xfId="3" applyFont="1" applyFill="1"/>
    <xf numFmtId="0" fontId="58" fillId="0" borderId="0" xfId="3" applyFont="1" applyAlignment="1">
      <alignment horizontal="right"/>
    </xf>
    <xf numFmtId="0" fontId="19" fillId="0" borderId="0" xfId="3" applyFont="1"/>
    <xf numFmtId="0" fontId="58" fillId="0" borderId="0" xfId="3" applyFont="1"/>
    <xf numFmtId="0" fontId="58" fillId="0" borderId="0" xfId="3" applyFont="1" applyAlignment="1">
      <alignment horizontal="centerContinuous"/>
    </xf>
    <xf numFmtId="0" fontId="58" fillId="0" borderId="0" xfId="3" applyFont="1" applyAlignment="1">
      <alignment horizontal="centerContinuous" wrapText="1"/>
    </xf>
    <xf numFmtId="0" fontId="19" fillId="0" borderId="0" xfId="3" applyFont="1" applyAlignment="1">
      <alignment horizontal="centerContinuous"/>
    </xf>
    <xf numFmtId="0" fontId="62" fillId="0" borderId="0" xfId="3" applyFont="1"/>
    <xf numFmtId="0" fontId="63" fillId="0" borderId="0" xfId="3" applyFont="1" applyAlignment="1">
      <alignment horizontal="centerContinuous"/>
    </xf>
    <xf numFmtId="0" fontId="54" fillId="0" borderId="0" xfId="3" applyFont="1"/>
    <xf numFmtId="0" fontId="65" fillId="0" borderId="0" xfId="3" applyFont="1"/>
    <xf numFmtId="0" fontId="32" fillId="0" borderId="0" xfId="3" applyFont="1"/>
    <xf numFmtId="0" fontId="66" fillId="0" borderId="0" xfId="3" applyFont="1"/>
    <xf numFmtId="0" fontId="65" fillId="0" borderId="0" xfId="3" applyFont="1" applyAlignment="1">
      <alignment horizontal="right"/>
    </xf>
    <xf numFmtId="0" fontId="67" fillId="0" borderId="0" xfId="3" applyFont="1"/>
    <xf numFmtId="49" fontId="67" fillId="0" borderId="0" xfId="3" applyNumberFormat="1" applyFont="1" applyAlignment="1">
      <alignment horizontal="right"/>
    </xf>
    <xf numFmtId="0" fontId="68" fillId="0" borderId="0" xfId="3" quotePrefix="1" applyFont="1" applyAlignment="1">
      <alignment horizontal="left" indent="1"/>
    </xf>
    <xf numFmtId="0" fontId="69" fillId="0" borderId="0" xfId="3" applyFont="1"/>
    <xf numFmtId="49" fontId="69" fillId="0" borderId="0" xfId="3" applyNumberFormat="1" applyFont="1" applyAlignment="1">
      <alignment horizontal="right"/>
    </xf>
    <xf numFmtId="0" fontId="70" fillId="0" borderId="0" xfId="3" quotePrefix="1" applyFont="1" applyAlignment="1">
      <alignment horizontal="left" indent="1"/>
    </xf>
    <xf numFmtId="0" fontId="71" fillId="0" borderId="0" xfId="3" applyFont="1"/>
    <xf numFmtId="49" fontId="71" fillId="0" borderId="0" xfId="3" applyNumberFormat="1" applyFont="1" applyAlignment="1">
      <alignment horizontal="right"/>
    </xf>
    <xf numFmtId="0" fontId="72" fillId="0" borderId="0" xfId="3" quotePrefix="1" applyFont="1" applyAlignment="1">
      <alignment horizontal="left" indent="1"/>
    </xf>
    <xf numFmtId="0" fontId="73" fillId="0" borderId="0" xfId="3" applyFont="1"/>
    <xf numFmtId="49" fontId="73" fillId="0" borderId="0" xfId="3" applyNumberFormat="1" applyFont="1" applyAlignment="1">
      <alignment horizontal="right"/>
    </xf>
    <xf numFmtId="0" fontId="74" fillId="0" borderId="0" xfId="3" quotePrefix="1" applyFont="1" applyAlignment="1">
      <alignment horizontal="left" indent="1"/>
    </xf>
    <xf numFmtId="49" fontId="32" fillId="0" borderId="0" xfId="3" applyNumberFormat="1" applyFont="1" applyAlignment="1">
      <alignment horizontal="right"/>
    </xf>
    <xf numFmtId="0" fontId="75" fillId="0" borderId="0" xfId="3" applyFont="1"/>
    <xf numFmtId="170" fontId="76" fillId="0" borderId="0" xfId="3" applyNumberFormat="1" applyFont="1"/>
    <xf numFmtId="0" fontId="76" fillId="0" borderId="0" xfId="3" applyFont="1"/>
    <xf numFmtId="0" fontId="77" fillId="0" borderId="13" xfId="3" applyFont="1" applyBorder="1"/>
    <xf numFmtId="170" fontId="76" fillId="0" borderId="13" xfId="3" applyNumberFormat="1" applyFont="1" applyBorder="1"/>
    <xf numFmtId="0" fontId="15" fillId="0" borderId="0" xfId="3" applyFont="1"/>
    <xf numFmtId="0" fontId="15" fillId="0" borderId="0" xfId="9" applyFont="1"/>
    <xf numFmtId="170" fontId="15" fillId="0" borderId="0" xfId="9" applyNumberFormat="1" applyFont="1"/>
    <xf numFmtId="170" fontId="80" fillId="0" borderId="0" xfId="9" applyNumberFormat="1" applyFont="1" applyAlignment="1">
      <alignment horizontal="right"/>
    </xf>
    <xf numFmtId="0" fontId="75" fillId="0" borderId="14" xfId="10" applyFont="1" applyBorder="1" applyAlignment="1">
      <alignment horizontal="center" vertical="center" wrapText="1"/>
    </xf>
    <xf numFmtId="170" fontId="75" fillId="0" borderId="14" xfId="10" applyNumberFormat="1" applyFont="1" applyBorder="1" applyAlignment="1">
      <alignment horizontal="center" vertical="center" wrapText="1"/>
    </xf>
    <xf numFmtId="14" fontId="75" fillId="0" borderId="14" xfId="10" applyNumberFormat="1" applyFont="1" applyBorder="1" applyAlignment="1">
      <alignment horizontal="center" vertical="center" wrapText="1"/>
    </xf>
    <xf numFmtId="0" fontId="21" fillId="6" borderId="0" xfId="3" applyFont="1" applyFill="1" applyAlignment="1">
      <alignment horizontal="center" vertical="center" wrapText="1"/>
    </xf>
    <xf numFmtId="0" fontId="21" fillId="0" borderId="0" xfId="3" applyFont="1" applyAlignment="1">
      <alignment horizontal="center" vertical="center" wrapText="1"/>
    </xf>
    <xf numFmtId="0" fontId="10" fillId="0" borderId="15" xfId="10" applyFont="1" applyBorder="1" applyAlignment="1">
      <alignment horizontal="left" wrapText="1"/>
    </xf>
    <xf numFmtId="3" fontId="81" fillId="0" borderId="15" xfId="10" applyNumberFormat="1" applyFont="1" applyBorder="1" applyAlignment="1" applyProtection="1">
      <alignment horizontal="right" vertical="center"/>
      <protection hidden="1"/>
    </xf>
    <xf numFmtId="170" fontId="39" fillId="0" borderId="0" xfId="3" applyNumberFormat="1" applyFont="1"/>
    <xf numFmtId="0" fontId="39" fillId="0" borderId="0" xfId="3" applyFont="1"/>
    <xf numFmtId="0" fontId="15" fillId="0" borderId="16" xfId="10" applyFont="1" applyBorder="1"/>
    <xf numFmtId="3" fontId="82" fillId="0" borderId="16" xfId="10" applyNumberFormat="1" applyFont="1" applyBorder="1" applyProtection="1">
      <protection hidden="1"/>
    </xf>
    <xf numFmtId="0" fontId="75" fillId="0" borderId="16" xfId="10" applyFont="1" applyBorder="1"/>
    <xf numFmtId="3" fontId="83" fillId="0" borderId="16" xfId="10" applyNumberFormat="1" applyFont="1" applyBorder="1" applyProtection="1">
      <protection hidden="1"/>
    </xf>
    <xf numFmtId="16" fontId="15" fillId="0" borderId="0" xfId="3" applyNumberFormat="1" applyFont="1"/>
    <xf numFmtId="0" fontId="15" fillId="0" borderId="16" xfId="10" applyFont="1" applyBorder="1" applyAlignment="1">
      <alignment horizontal="left" wrapText="1"/>
    </xf>
    <xf numFmtId="0" fontId="7" fillId="0" borderId="16" xfId="10" applyFont="1" applyBorder="1"/>
    <xf numFmtId="9" fontId="15" fillId="0" borderId="0" xfId="11" applyFont="1"/>
    <xf numFmtId="3" fontId="2" fillId="0" borderId="16" xfId="10" applyNumberFormat="1" applyBorder="1" applyProtection="1">
      <protection hidden="1"/>
    </xf>
    <xf numFmtId="0" fontId="10" fillId="0" borderId="16" xfId="10" applyFont="1" applyBorder="1" applyAlignment="1">
      <alignment horizontal="left" wrapText="1"/>
    </xf>
    <xf numFmtId="3" fontId="81" fillId="0" borderId="16" xfId="10" applyNumberFormat="1" applyFont="1" applyBorder="1" applyAlignment="1" applyProtection="1">
      <alignment horizontal="right" vertical="center"/>
      <protection hidden="1"/>
    </xf>
    <xf numFmtId="3" fontId="83" fillId="0" borderId="16" xfId="10" applyNumberFormat="1" applyFont="1" applyBorder="1" applyAlignment="1" applyProtection="1">
      <alignment horizontal="right"/>
      <protection hidden="1"/>
    </xf>
    <xf numFmtId="0" fontId="15" fillId="0" borderId="17" xfId="10" applyFont="1" applyBorder="1"/>
    <xf numFmtId="3" fontId="82" fillId="0" borderId="18" xfId="10" applyNumberFormat="1" applyFont="1" applyBorder="1" applyProtection="1">
      <protection hidden="1"/>
    </xf>
    <xf numFmtId="0" fontId="15" fillId="0" borderId="0" xfId="10" applyFont="1"/>
    <xf numFmtId="3" fontId="82" fillId="0" borderId="0" xfId="10" applyNumberFormat="1" applyFont="1" applyProtection="1">
      <protection hidden="1"/>
    </xf>
    <xf numFmtId="3" fontId="75" fillId="0" borderId="14" xfId="10" applyNumberFormat="1" applyFont="1" applyBorder="1" applyAlignment="1" applyProtection="1">
      <alignment horizontal="center" vertical="center" wrapText="1"/>
      <protection hidden="1"/>
    </xf>
    <xf numFmtId="0" fontId="84" fillId="0" borderId="0" xfId="3" applyFont="1"/>
    <xf numFmtId="0" fontId="21" fillId="0" borderId="15" xfId="10" applyFont="1" applyBorder="1"/>
    <xf numFmtId="3" fontId="82" fillId="0" borderId="15" xfId="10" applyNumberFormat="1" applyFont="1" applyBorder="1" applyProtection="1">
      <protection hidden="1"/>
    </xf>
    <xf numFmtId="3" fontId="82" fillId="0" borderId="16" xfId="10" applyNumberFormat="1" applyFont="1" applyBorder="1" applyAlignment="1" applyProtection="1">
      <alignment horizontal="right"/>
      <protection hidden="1"/>
    </xf>
    <xf numFmtId="165" fontId="82" fillId="0" borderId="16" xfId="10" applyNumberFormat="1" applyFont="1" applyBorder="1" applyAlignment="1" applyProtection="1">
      <alignment horizontal="right"/>
      <protection hidden="1"/>
    </xf>
    <xf numFmtId="170" fontId="15" fillId="0" borderId="0" xfId="3" applyNumberFormat="1" applyFont="1"/>
    <xf numFmtId="0" fontId="15" fillId="0" borderId="16" xfId="10" applyFont="1" applyBorder="1" applyAlignment="1">
      <alignment horizontal="left" indent="1"/>
    </xf>
    <xf numFmtId="0" fontId="15" fillId="0" borderId="16" xfId="10" quotePrefix="1" applyFont="1" applyBorder="1" applyAlignment="1">
      <alignment horizontal="left" indent="2"/>
    </xf>
    <xf numFmtId="0" fontId="15" fillId="0" borderId="16" xfId="10" quotePrefix="1" applyFont="1" applyBorder="1"/>
    <xf numFmtId="0" fontId="15" fillId="0" borderId="18" xfId="10" applyFont="1" applyBorder="1"/>
    <xf numFmtId="0" fontId="9" fillId="0" borderId="14" xfId="10" applyFont="1" applyBorder="1"/>
    <xf numFmtId="3" fontId="85" fillId="0" borderId="14" xfId="10" applyNumberFormat="1" applyFont="1" applyBorder="1" applyProtection="1">
      <protection hidden="1"/>
    </xf>
    <xf numFmtId="3" fontId="15" fillId="0" borderId="0" xfId="3" applyNumberFormat="1" applyFont="1" applyProtection="1">
      <protection hidden="1"/>
    </xf>
    <xf numFmtId="0" fontId="10" fillId="0" borderId="16" xfId="10" applyFont="1" applyBorder="1"/>
    <xf numFmtId="3" fontId="81" fillId="0" borderId="16" xfId="10" applyNumberFormat="1" applyFont="1" applyBorder="1" applyProtection="1">
      <protection hidden="1"/>
    </xf>
    <xf numFmtId="3" fontId="15" fillId="0" borderId="0" xfId="10" applyNumberFormat="1" applyFont="1" applyProtection="1">
      <protection hidden="1"/>
    </xf>
    <xf numFmtId="3" fontId="86" fillId="0" borderId="0" xfId="10" applyNumberFormat="1" applyFont="1" applyAlignment="1" applyProtection="1">
      <alignment horizontal="right"/>
      <protection hidden="1"/>
    </xf>
    <xf numFmtId="3" fontId="82" fillId="0" borderId="16" xfId="10" applyNumberFormat="1" applyFont="1" applyBorder="1" applyAlignment="1" applyProtection="1">
      <alignment vertical="top"/>
      <protection hidden="1"/>
    </xf>
    <xf numFmtId="171" fontId="82" fillId="0" borderId="16" xfId="10" applyNumberFormat="1" applyFont="1" applyBorder="1" applyProtection="1">
      <protection hidden="1"/>
    </xf>
    <xf numFmtId="3" fontId="15" fillId="0" borderId="0" xfId="3" applyNumberFormat="1" applyFont="1"/>
    <xf numFmtId="0" fontId="87" fillId="0" borderId="16" xfId="10" applyFont="1" applyBorder="1" applyAlignment="1">
      <alignment horizontal="left" indent="1"/>
    </xf>
    <xf numFmtId="165" fontId="88" fillId="0" borderId="16" xfId="10" applyNumberFormat="1" applyFont="1" applyBorder="1" applyAlignment="1" applyProtection="1">
      <alignment vertical="center"/>
      <protection hidden="1"/>
    </xf>
    <xf numFmtId="0" fontId="15" fillId="0" borderId="15" xfId="10" applyFont="1" applyBorder="1"/>
    <xf numFmtId="168" fontId="15" fillId="0" borderId="0" xfId="3" applyNumberFormat="1" applyFont="1" applyProtection="1">
      <protection hidden="1"/>
    </xf>
    <xf numFmtId="0" fontId="15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0" fontId="89" fillId="0" borderId="0" xfId="3" applyFont="1" applyAlignment="1">
      <alignment horizontal="center"/>
    </xf>
    <xf numFmtId="0" fontId="90" fillId="0" borderId="0" xfId="3" applyFont="1"/>
    <xf numFmtId="0" fontId="21" fillId="0" borderId="0" xfId="3" applyFont="1"/>
    <xf numFmtId="0" fontId="15" fillId="0" borderId="13" xfId="3" applyFont="1" applyBorder="1"/>
    <xf numFmtId="170" fontId="87" fillId="0" borderId="0" xfId="3" applyNumberFormat="1" applyFont="1" applyAlignment="1">
      <alignment horizontal="right"/>
    </xf>
    <xf numFmtId="170" fontId="80" fillId="0" borderId="0" xfId="10" applyNumberFormat="1" applyFont="1" applyAlignment="1">
      <alignment horizontal="right"/>
    </xf>
    <xf numFmtId="170" fontId="90" fillId="0" borderId="27" xfId="3" applyNumberFormat="1" applyFont="1" applyBorder="1" applyAlignment="1">
      <alignment horizontal="center" vertical="center"/>
    </xf>
    <xf numFmtId="0" fontId="21" fillId="0" borderId="28" xfId="3" applyFont="1" applyBorder="1" applyAlignment="1">
      <alignment vertical="center"/>
    </xf>
    <xf numFmtId="3" fontId="92" fillId="0" borderId="31" xfId="3" applyNumberFormat="1" applyFont="1" applyBorder="1" applyAlignment="1" applyProtection="1">
      <alignment vertical="center"/>
      <protection hidden="1"/>
    </xf>
    <xf numFmtId="0" fontId="15" fillId="0" borderId="32" xfId="3" applyFont="1" applyBorder="1" applyAlignment="1">
      <alignment vertical="center"/>
    </xf>
    <xf numFmtId="0" fontId="15" fillId="0" borderId="33" xfId="3" applyFont="1" applyBorder="1" applyAlignment="1">
      <alignment vertical="center"/>
    </xf>
    <xf numFmtId="0" fontId="15" fillId="0" borderId="34" xfId="3" applyFont="1" applyBorder="1" applyAlignment="1">
      <alignment vertical="center"/>
    </xf>
    <xf numFmtId="3" fontId="93" fillId="0" borderId="6" xfId="3" applyNumberFormat="1" applyFont="1" applyBorder="1" applyAlignment="1" applyProtection="1">
      <alignment vertical="center"/>
      <protection hidden="1"/>
    </xf>
    <xf numFmtId="0" fontId="9" fillId="0" borderId="32" xfId="3" applyFont="1" applyBorder="1" applyAlignment="1">
      <alignment vertical="center"/>
    </xf>
    <xf numFmtId="3" fontId="94" fillId="0" borderId="6" xfId="3" applyNumberFormat="1" applyFont="1" applyBorder="1" applyAlignment="1" applyProtection="1">
      <alignment horizontal="right" vertical="center"/>
      <protection hidden="1"/>
    </xf>
    <xf numFmtId="0" fontId="33" fillId="0" borderId="0" xfId="3" applyFont="1"/>
    <xf numFmtId="0" fontId="21" fillId="0" borderId="32" xfId="3" applyFont="1" applyBorder="1" applyAlignment="1">
      <alignment vertical="center"/>
    </xf>
    <xf numFmtId="0" fontId="21" fillId="0" borderId="33" xfId="3" applyFont="1" applyBorder="1" applyAlignment="1">
      <alignment vertical="center"/>
    </xf>
    <xf numFmtId="0" fontId="21" fillId="0" borderId="34" xfId="3" applyFont="1" applyBorder="1" applyAlignment="1">
      <alignment vertical="center"/>
    </xf>
    <xf numFmtId="3" fontId="92" fillId="0" borderId="6" xfId="3" applyNumberFormat="1" applyFont="1" applyBorder="1" applyAlignment="1" applyProtection="1">
      <alignment vertical="center"/>
      <protection hidden="1"/>
    </xf>
    <xf numFmtId="171" fontId="94" fillId="0" borderId="6" xfId="3" applyNumberFormat="1" applyFont="1" applyBorder="1" applyAlignment="1" applyProtection="1">
      <alignment horizontal="right" vertical="center"/>
      <protection hidden="1"/>
    </xf>
    <xf numFmtId="165" fontId="93" fillId="0" borderId="6" xfId="3" applyNumberFormat="1" applyFont="1" applyBorder="1" applyAlignment="1" applyProtection="1">
      <alignment vertical="center"/>
      <protection hidden="1"/>
    </xf>
    <xf numFmtId="0" fontId="87" fillId="0" borderId="32" xfId="3" applyFont="1" applyBorder="1" applyAlignment="1">
      <alignment vertical="center"/>
    </xf>
    <xf numFmtId="0" fontId="87" fillId="0" borderId="33" xfId="3" applyFont="1" applyBorder="1" applyAlignment="1">
      <alignment vertical="center"/>
    </xf>
    <xf numFmtId="0" fontId="87" fillId="0" borderId="34" xfId="3" applyFont="1" applyBorder="1" applyAlignment="1">
      <alignment vertical="center"/>
    </xf>
    <xf numFmtId="0" fontId="87" fillId="0" borderId="0" xfId="3" applyFont="1"/>
    <xf numFmtId="0" fontId="9" fillId="0" borderId="32" xfId="3" applyFont="1" applyBorder="1" applyAlignment="1">
      <alignment horizontal="left" vertical="center"/>
    </xf>
    <xf numFmtId="171" fontId="92" fillId="0" borderId="6" xfId="3" applyNumberFormat="1" applyFont="1" applyBorder="1" applyAlignment="1" applyProtection="1">
      <alignment vertical="center"/>
      <protection hidden="1"/>
    </xf>
    <xf numFmtId="0" fontId="9" fillId="0" borderId="33" xfId="3" applyFont="1" applyBorder="1" applyAlignment="1">
      <alignment vertical="center"/>
    </xf>
    <xf numFmtId="0" fontId="9" fillId="0" borderId="34" xfId="3" applyFont="1" applyBorder="1" applyAlignment="1">
      <alignment vertical="center"/>
    </xf>
    <xf numFmtId="171" fontId="94" fillId="0" borderId="6" xfId="3" applyNumberFormat="1" applyFont="1" applyBorder="1" applyAlignment="1" applyProtection="1">
      <alignment vertical="center"/>
      <protection hidden="1"/>
    </xf>
    <xf numFmtId="171" fontId="95" fillId="0" borderId="6" xfId="3" applyNumberFormat="1" applyFont="1" applyBorder="1" applyAlignment="1" applyProtection="1">
      <alignment vertical="center"/>
      <protection hidden="1"/>
    </xf>
    <xf numFmtId="0" fontId="9" fillId="0" borderId="28" xfId="3" quotePrefix="1" applyFont="1" applyBorder="1" applyAlignment="1">
      <alignment horizontal="center" vertical="center"/>
    </xf>
    <xf numFmtId="0" fontId="9" fillId="0" borderId="0" xfId="3" applyFont="1" applyAlignment="1">
      <alignment vertical="center"/>
    </xf>
    <xf numFmtId="0" fontId="9" fillId="0" borderId="35" xfId="3" applyFont="1" applyBorder="1" applyAlignment="1">
      <alignment vertical="center"/>
    </xf>
    <xf numFmtId="171" fontId="94" fillId="0" borderId="31" xfId="3" applyNumberFormat="1" applyFont="1" applyBorder="1" applyAlignment="1" applyProtection="1">
      <alignment vertical="center"/>
      <protection hidden="1"/>
    </xf>
    <xf numFmtId="0" fontId="21" fillId="0" borderId="28" xfId="3" quotePrefix="1" applyFont="1" applyBorder="1" applyAlignment="1">
      <alignment vertical="top"/>
    </xf>
    <xf numFmtId="0" fontId="21" fillId="0" borderId="35" xfId="3" applyFont="1" applyBorder="1"/>
    <xf numFmtId="165" fontId="92" fillId="0" borderId="31" xfId="12" applyNumberFormat="1" applyFont="1" applyBorder="1" applyProtection="1">
      <protection hidden="1"/>
    </xf>
    <xf numFmtId="0" fontId="15" fillId="0" borderId="31" xfId="3" applyFont="1" applyBorder="1" applyProtection="1">
      <protection hidden="1"/>
    </xf>
    <xf numFmtId="170" fontId="92" fillId="0" borderId="31" xfId="3" applyNumberFormat="1" applyFont="1" applyBorder="1" applyProtection="1">
      <protection hidden="1"/>
    </xf>
    <xf numFmtId="0" fontId="15" fillId="0" borderId="24" xfId="3" applyFont="1" applyBorder="1"/>
    <xf numFmtId="0" fontId="15" fillId="0" borderId="25" xfId="3" applyFont="1" applyBorder="1"/>
    <xf numFmtId="0" fontId="15" fillId="0" borderId="26" xfId="3" applyFont="1" applyBorder="1"/>
    <xf numFmtId="10" fontId="15" fillId="0" borderId="36" xfId="11" applyNumberFormat="1" applyFont="1" applyBorder="1" applyProtection="1">
      <protection hidden="1"/>
    </xf>
    <xf numFmtId="0" fontId="15" fillId="0" borderId="36" xfId="3" applyFont="1" applyBorder="1" applyProtection="1">
      <protection hidden="1"/>
    </xf>
    <xf numFmtId="0" fontId="87" fillId="0" borderId="0" xfId="3" applyFont="1" applyAlignment="1">
      <alignment horizontal="center"/>
    </xf>
    <xf numFmtId="0" fontId="15" fillId="0" borderId="0" xfId="3" applyFont="1" applyAlignment="1">
      <alignment vertical="center"/>
    </xf>
    <xf numFmtId="170" fontId="15" fillId="0" borderId="0" xfId="3" applyNumberFormat="1" applyFont="1" applyAlignment="1">
      <alignment horizontal="center" vertical="center"/>
    </xf>
    <xf numFmtId="0" fontId="7" fillId="0" borderId="0" xfId="3" applyFont="1"/>
    <xf numFmtId="0" fontId="96" fillId="0" borderId="0" xfId="3" applyFont="1" applyAlignment="1">
      <alignment horizontal="centerContinuous"/>
    </xf>
    <xf numFmtId="170" fontId="80" fillId="0" borderId="0" xfId="3" applyNumberFormat="1" applyFont="1" applyAlignment="1">
      <alignment horizontal="right"/>
    </xf>
    <xf numFmtId="0" fontId="97" fillId="0" borderId="0" xfId="3" applyFont="1" applyAlignment="1">
      <alignment horizontal="center" vertical="center" wrapText="1"/>
    </xf>
    <xf numFmtId="170" fontId="90" fillId="0" borderId="37" xfId="3" applyNumberFormat="1" applyFont="1" applyBorder="1" applyAlignment="1">
      <alignment horizontal="center" vertical="center"/>
    </xf>
    <xf numFmtId="0" fontId="98" fillId="0" borderId="28" xfId="3" applyFont="1" applyBorder="1" applyAlignment="1">
      <alignment vertical="center"/>
    </xf>
    <xf numFmtId="173" fontId="7" fillId="0" borderId="31" xfId="12" applyNumberFormat="1" applyFont="1" applyBorder="1" applyAlignment="1" applyProtection="1">
      <alignment vertical="center"/>
      <protection hidden="1"/>
    </xf>
    <xf numFmtId="0" fontId="99" fillId="0" borderId="32" xfId="3" applyFont="1" applyBorder="1" applyAlignment="1">
      <alignment vertical="center"/>
    </xf>
    <xf numFmtId="171" fontId="100" fillId="0" borderId="6" xfId="12" applyNumberFormat="1" applyFont="1" applyBorder="1" applyAlignment="1" applyProtection="1">
      <alignment vertical="center"/>
      <protection hidden="1"/>
    </xf>
    <xf numFmtId="0" fontId="99" fillId="0" borderId="0" xfId="3" applyFont="1"/>
    <xf numFmtId="0" fontId="7" fillId="0" borderId="32" xfId="3" quotePrefix="1" applyFont="1" applyBorder="1" applyAlignment="1">
      <alignment horizontal="left" vertical="center"/>
    </xf>
    <xf numFmtId="171" fontId="8" fillId="0" borderId="6" xfId="12" applyNumberFormat="1" applyFont="1" applyBorder="1" applyAlignment="1" applyProtection="1">
      <alignment vertical="center"/>
      <protection hidden="1"/>
    </xf>
    <xf numFmtId="168" fontId="7" fillId="0" borderId="0" xfId="12" applyNumberFormat="1" applyFont="1"/>
    <xf numFmtId="0" fontId="7" fillId="0" borderId="32" xfId="3" quotePrefix="1" applyFont="1" applyBorder="1" applyAlignment="1">
      <alignment horizontal="justify" vertical="center" wrapText="1"/>
    </xf>
    <xf numFmtId="0" fontId="99" fillId="0" borderId="32" xfId="3" applyFont="1" applyBorder="1" applyAlignment="1">
      <alignment horizontal="left" vertical="center" wrapText="1"/>
    </xf>
    <xf numFmtId="171" fontId="100" fillId="0" borderId="6" xfId="12" applyNumberFormat="1" applyFont="1" applyBorder="1" applyAlignment="1" applyProtection="1">
      <alignment horizontal="right" vertical="center"/>
      <protection hidden="1"/>
    </xf>
    <xf numFmtId="0" fontId="101" fillId="0" borderId="0" xfId="3" applyFont="1"/>
    <xf numFmtId="0" fontId="15" fillId="0" borderId="32" xfId="3" quotePrefix="1" applyFont="1" applyBorder="1" applyAlignment="1">
      <alignment horizontal="left" vertical="center"/>
    </xf>
    <xf numFmtId="0" fontId="15" fillId="0" borderId="32" xfId="3" quotePrefix="1" applyFont="1" applyBorder="1" applyAlignment="1">
      <alignment horizontal="left" vertical="center" wrapText="1"/>
    </xf>
    <xf numFmtId="0" fontId="98" fillId="0" borderId="32" xfId="3" applyFont="1" applyBorder="1" applyAlignment="1">
      <alignment vertical="center"/>
    </xf>
    <xf numFmtId="171" fontId="49" fillId="0" borderId="6" xfId="12" applyNumberFormat="1" applyFont="1" applyBorder="1" applyAlignment="1" applyProtection="1">
      <alignment vertical="center"/>
      <protection hidden="1"/>
    </xf>
    <xf numFmtId="0" fontId="7" fillId="0" borderId="32" xfId="3" applyFont="1" applyBorder="1" applyAlignment="1">
      <alignment horizontal="left" vertical="center" wrapText="1"/>
    </xf>
    <xf numFmtId="0" fontId="7" fillId="0" borderId="0" xfId="3" applyFont="1" applyAlignment="1">
      <alignment vertical="center"/>
    </xf>
    <xf numFmtId="0" fontId="7" fillId="0" borderId="32" xfId="3" applyFont="1" applyBorder="1" applyAlignment="1">
      <alignment horizontal="left" vertical="center"/>
    </xf>
    <xf numFmtId="171" fontId="94" fillId="0" borderId="6" xfId="12" applyNumberFormat="1" applyFont="1" applyBorder="1" applyAlignment="1" applyProtection="1">
      <alignment vertical="center"/>
      <protection hidden="1"/>
    </xf>
    <xf numFmtId="0" fontId="7" fillId="0" borderId="32" xfId="3" applyFont="1" applyBorder="1" applyAlignment="1">
      <alignment horizontal="justify" vertical="center" wrapText="1"/>
    </xf>
    <xf numFmtId="0" fontId="7" fillId="0" borderId="32" xfId="3" applyFont="1" applyBorder="1" applyAlignment="1">
      <alignment vertical="center"/>
    </xf>
    <xf numFmtId="0" fontId="99" fillId="0" borderId="32" xfId="3" applyFont="1" applyBorder="1" applyAlignment="1">
      <alignment horizontal="left" vertical="center"/>
    </xf>
    <xf numFmtId="171" fontId="100" fillId="0" borderId="6" xfId="12" applyNumberFormat="1" applyFont="1" applyFill="1" applyBorder="1" applyAlignment="1" applyProtection="1">
      <alignment vertical="center"/>
      <protection hidden="1"/>
    </xf>
    <xf numFmtId="0" fontId="9" fillId="0" borderId="24" xfId="3" applyFont="1" applyBorder="1" applyAlignment="1">
      <alignment vertical="center"/>
    </xf>
    <xf numFmtId="171" fontId="94" fillId="0" borderId="36" xfId="12" applyNumberFormat="1" applyFont="1" applyBorder="1" applyAlignment="1" applyProtection="1">
      <alignment vertical="center"/>
      <protection hidden="1"/>
    </xf>
    <xf numFmtId="165" fontId="33" fillId="0" borderId="0" xfId="3" applyNumberFormat="1" applyFont="1"/>
    <xf numFmtId="0" fontId="98" fillId="0" borderId="0" xfId="3" applyFont="1"/>
    <xf numFmtId="168" fontId="98" fillId="0" borderId="0" xfId="12" applyNumberFormat="1" applyFont="1" applyBorder="1" applyProtection="1">
      <protection hidden="1"/>
    </xf>
    <xf numFmtId="165" fontId="7" fillId="0" borderId="0" xfId="12" applyNumberFormat="1" applyFont="1"/>
    <xf numFmtId="0" fontId="103" fillId="0" borderId="0" xfId="13" applyFont="1" applyAlignment="1">
      <alignment horizontal="left"/>
    </xf>
    <xf numFmtId="0" fontId="1" fillId="0" borderId="0" xfId="13" applyFont="1"/>
    <xf numFmtId="174" fontId="1" fillId="0" borderId="0" xfId="14" applyNumberFormat="1" applyFont="1"/>
    <xf numFmtId="0" fontId="104" fillId="0" borderId="0" xfId="13" applyFont="1" applyAlignment="1">
      <alignment horizontal="center"/>
    </xf>
    <xf numFmtId="0" fontId="105" fillId="0" borderId="0" xfId="13" applyFont="1" applyAlignment="1">
      <alignment vertical="center"/>
    </xf>
    <xf numFmtId="0" fontId="103" fillId="0" borderId="0" xfId="13" applyFont="1" applyAlignment="1">
      <alignment horizontal="center"/>
    </xf>
    <xf numFmtId="0" fontId="103" fillId="7" borderId="0" xfId="13" applyFont="1" applyFill="1"/>
    <xf numFmtId="0" fontId="103" fillId="0" borderId="0" xfId="13" applyFont="1"/>
    <xf numFmtId="174" fontId="104" fillId="8" borderId="0" xfId="14" applyNumberFormat="1" applyFont="1" applyFill="1" applyAlignment="1">
      <alignment horizontal="centerContinuous"/>
    </xf>
    <xf numFmtId="0" fontId="1" fillId="8" borderId="0" xfId="13" applyFont="1" applyFill="1" applyAlignment="1">
      <alignment horizontal="centerContinuous"/>
    </xf>
    <xf numFmtId="174" fontId="1" fillId="0" borderId="0" xfId="14" applyNumberFormat="1" applyFont="1" applyAlignment="1">
      <alignment horizontal="centerContinuous"/>
    </xf>
    <xf numFmtId="0" fontId="104" fillId="0" borderId="38" xfId="13" applyFont="1" applyBorder="1" applyAlignment="1">
      <alignment horizontal="center" vertical="top"/>
    </xf>
    <xf numFmtId="0" fontId="81" fillId="0" borderId="38" xfId="13" applyFont="1" applyBorder="1" applyAlignment="1">
      <alignment vertical="top"/>
    </xf>
    <xf numFmtId="0" fontId="81" fillId="0" borderId="38" xfId="13" applyFont="1" applyBorder="1" applyAlignment="1">
      <alignment horizontal="center" vertical="top" wrapText="1"/>
    </xf>
    <xf numFmtId="16" fontId="1" fillId="9" borderId="38" xfId="13" applyNumberFormat="1" applyFont="1" applyFill="1" applyBorder="1" applyAlignment="1">
      <alignment horizontal="centerContinuous" vertical="center"/>
    </xf>
    <xf numFmtId="174" fontId="81" fillId="0" borderId="38" xfId="14" applyNumberFormat="1" applyFont="1" applyBorder="1" applyAlignment="1">
      <alignment horizontal="center" vertical="center"/>
    </xf>
    <xf numFmtId="0" fontId="1" fillId="0" borderId="0" xfId="13" applyFont="1" applyAlignment="1">
      <alignment vertical="top"/>
    </xf>
    <xf numFmtId="0" fontId="103" fillId="0" borderId="39" xfId="13" applyFont="1" applyBorder="1" applyAlignment="1">
      <alignment horizontal="center"/>
    </xf>
    <xf numFmtId="0" fontId="103" fillId="0" borderId="38" xfId="13" applyFont="1" applyBorder="1"/>
    <xf numFmtId="0" fontId="81" fillId="0" borderId="38" xfId="13" applyFont="1" applyBorder="1" applyAlignment="1">
      <alignment vertical="top" wrapText="1"/>
    </xf>
    <xf numFmtId="0" fontId="1" fillId="0" borderId="38" xfId="13" applyFont="1" applyBorder="1" applyAlignment="1">
      <alignment horizontal="center" vertical="top" wrapText="1"/>
    </xf>
    <xf numFmtId="174" fontId="81" fillId="0" borderId="38" xfId="14" applyNumberFormat="1" applyFont="1" applyBorder="1" applyAlignment="1">
      <alignment horizontal="center" vertical="top"/>
    </xf>
    <xf numFmtId="0" fontId="1" fillId="0" borderId="40" xfId="13" applyFont="1" applyBorder="1" applyAlignment="1">
      <alignment horizontal="center"/>
    </xf>
    <xf numFmtId="0" fontId="2" fillId="0" borderId="40" xfId="13" applyFont="1" applyBorder="1"/>
    <xf numFmtId="0" fontId="1" fillId="0" borderId="40" xfId="13" applyFont="1" applyBorder="1"/>
    <xf numFmtId="0" fontId="1" fillId="0" borderId="40" xfId="13" applyFont="1" applyBorder="1" applyAlignment="1">
      <alignment horizontal="left"/>
    </xf>
    <xf numFmtId="3" fontId="1" fillId="0" borderId="40" xfId="13" quotePrefix="1" applyNumberFormat="1" applyFont="1" applyBorder="1"/>
    <xf numFmtId="3" fontId="1" fillId="0" borderId="40" xfId="13" applyNumberFormat="1" applyFont="1" applyBorder="1"/>
    <xf numFmtId="174" fontId="1" fillId="0" borderId="40" xfId="14" applyNumberFormat="1" applyFont="1" applyBorder="1"/>
    <xf numFmtId="0" fontId="1" fillId="0" borderId="41" xfId="13" applyFont="1" applyBorder="1" applyAlignment="1">
      <alignment horizontal="center"/>
    </xf>
    <xf numFmtId="0" fontId="1" fillId="0" borderId="42" xfId="13" applyFont="1" applyBorder="1"/>
    <xf numFmtId="2" fontId="1" fillId="0" borderId="43" xfId="13" applyNumberFormat="1" applyFont="1" applyBorder="1"/>
    <xf numFmtId="3" fontId="2" fillId="0" borderId="40" xfId="13" applyNumberFormat="1" applyFont="1" applyBorder="1" applyAlignment="1">
      <alignment horizontal="left"/>
    </xf>
    <xf numFmtId="0" fontId="1" fillId="0" borderId="44" xfId="13" applyFont="1" applyBorder="1"/>
    <xf numFmtId="0" fontId="1" fillId="0" borderId="42" xfId="13" applyFont="1" applyBorder="1" applyAlignment="1">
      <alignment horizontal="left"/>
    </xf>
    <xf numFmtId="0" fontId="1" fillId="0" borderId="45" xfId="13" applyFont="1" applyBorder="1" applyAlignment="1">
      <alignment horizontal="center"/>
    </xf>
    <xf numFmtId="2" fontId="1" fillId="0" borderId="42" xfId="13" applyNumberFormat="1" applyFont="1" applyBorder="1"/>
    <xf numFmtId="3" fontId="2" fillId="0" borderId="42" xfId="13" applyNumberFormat="1" applyFont="1" applyBorder="1" applyAlignment="1">
      <alignment horizontal="left"/>
    </xf>
    <xf numFmtId="0" fontId="1" fillId="0" borderId="46" xfId="13" applyFont="1" applyBorder="1" applyAlignment="1">
      <alignment horizontal="center"/>
    </xf>
    <xf numFmtId="0" fontId="1" fillId="0" borderId="46" xfId="13" applyFont="1" applyBorder="1"/>
    <xf numFmtId="2" fontId="1" fillId="0" borderId="47" xfId="13" applyNumberFormat="1" applyFont="1" applyBorder="1"/>
    <xf numFmtId="3" fontId="2" fillId="0" borderId="44" xfId="13" quotePrefix="1" applyNumberFormat="1" applyFont="1" applyBorder="1" applyAlignment="1">
      <alignment horizontal="left"/>
    </xf>
    <xf numFmtId="3" fontId="1" fillId="0" borderId="46" xfId="13" quotePrefix="1" applyNumberFormat="1" applyFont="1" applyBorder="1"/>
    <xf numFmtId="174" fontId="1" fillId="0" borderId="46" xfId="14" applyNumberFormat="1" applyFont="1" applyBorder="1"/>
    <xf numFmtId="2" fontId="1" fillId="0" borderId="48" xfId="13" applyNumberFormat="1" applyFont="1" applyBorder="1"/>
    <xf numFmtId="3" fontId="2" fillId="0" borderId="48" xfId="13" applyNumberFormat="1" applyFont="1" applyBorder="1" applyAlignment="1">
      <alignment horizontal="left"/>
    </xf>
    <xf numFmtId="2" fontId="106" fillId="0" borderId="42" xfId="13" applyNumberFormat="1" applyFont="1" applyBorder="1"/>
    <xf numFmtId="3" fontId="1" fillId="0" borderId="42" xfId="13" applyNumberFormat="1" applyFont="1" applyBorder="1"/>
    <xf numFmtId="3" fontId="1" fillId="0" borderId="42" xfId="13" quotePrefix="1" applyNumberFormat="1" applyFont="1" applyBorder="1"/>
    <xf numFmtId="0" fontId="1" fillId="0" borderId="42" xfId="13" applyFont="1" applyBorder="1" applyAlignment="1">
      <alignment horizontal="center"/>
    </xf>
    <xf numFmtId="2" fontId="1" fillId="0" borderId="40" xfId="13" applyNumberFormat="1" applyFont="1" applyBorder="1"/>
    <xf numFmtId="0" fontId="1" fillId="0" borderId="44" xfId="13" applyFont="1" applyBorder="1" applyAlignment="1">
      <alignment horizontal="center"/>
    </xf>
    <xf numFmtId="2" fontId="106" fillId="0" borderId="44" xfId="13" applyNumberFormat="1" applyFont="1" applyBorder="1"/>
    <xf numFmtId="2" fontId="1" fillId="0" borderId="49" xfId="13" applyNumberFormat="1" applyFont="1" applyBorder="1"/>
    <xf numFmtId="3" fontId="1" fillId="0" borderId="44" xfId="13" quotePrefix="1" applyNumberFormat="1" applyFont="1" applyBorder="1"/>
    <xf numFmtId="174" fontId="1" fillId="0" borderId="49" xfId="14" applyNumberFormat="1" applyFont="1" applyBorder="1"/>
    <xf numFmtId="3" fontId="1" fillId="0" borderId="48" xfId="13" quotePrefix="1" applyNumberFormat="1" applyFont="1" applyBorder="1"/>
    <xf numFmtId="174" fontId="1" fillId="0" borderId="48" xfId="14" applyNumberFormat="1" applyFont="1" applyBorder="1"/>
    <xf numFmtId="0" fontId="2" fillId="0" borderId="44" xfId="13" quotePrefix="1" applyFont="1" applyBorder="1" applyAlignment="1">
      <alignment horizontal="left"/>
    </xf>
    <xf numFmtId="3" fontId="1" fillId="0" borderId="48" xfId="13" applyNumberFormat="1" applyFont="1" applyBorder="1"/>
    <xf numFmtId="174" fontId="1" fillId="0" borderId="0" xfId="13" applyNumberFormat="1" applyFont="1"/>
    <xf numFmtId="2" fontId="2" fillId="0" borderId="42" xfId="13" applyNumberFormat="1" applyFont="1" applyBorder="1"/>
    <xf numFmtId="0" fontId="1" fillId="0" borderId="49" xfId="13" applyFont="1" applyBorder="1" applyAlignment="1">
      <alignment horizontal="center"/>
    </xf>
    <xf numFmtId="2" fontId="2" fillId="0" borderId="44" xfId="13" applyNumberFormat="1" applyFont="1" applyBorder="1"/>
    <xf numFmtId="2" fontId="1" fillId="0" borderId="44" xfId="13" applyNumberFormat="1" applyFont="1" applyBorder="1"/>
    <xf numFmtId="3" fontId="2" fillId="0" borderId="48" xfId="13" quotePrefix="1" applyNumberFormat="1" applyFont="1" applyBorder="1" applyAlignment="1">
      <alignment horizontal="left"/>
    </xf>
    <xf numFmtId="2" fontId="2" fillId="0" borderId="40" xfId="13" applyNumberFormat="1" applyFont="1" applyBorder="1"/>
    <xf numFmtId="3" fontId="2" fillId="0" borderId="40" xfId="13" quotePrefix="1" applyNumberFormat="1" applyFont="1" applyBorder="1" applyAlignment="1">
      <alignment horizontal="left"/>
    </xf>
    <xf numFmtId="2" fontId="2" fillId="0" borderId="50" xfId="13" applyNumberFormat="1" applyFont="1" applyBorder="1"/>
    <xf numFmtId="174" fontId="1" fillId="0" borderId="42" xfId="14" applyNumberFormat="1" applyFont="1" applyBorder="1"/>
    <xf numFmtId="3" fontId="2" fillId="0" borderId="44" xfId="13" applyNumberFormat="1" applyFont="1" applyBorder="1" applyAlignment="1">
      <alignment horizontal="left"/>
    </xf>
    <xf numFmtId="2" fontId="1" fillId="0" borderId="50" xfId="13" applyNumberFormat="1" applyFont="1" applyBorder="1"/>
    <xf numFmtId="3" fontId="2" fillId="0" borderId="50" xfId="13" applyNumberFormat="1" applyFont="1" applyBorder="1" applyAlignment="1">
      <alignment horizontal="left"/>
    </xf>
    <xf numFmtId="0" fontId="2" fillId="0" borderId="49" xfId="13" applyFont="1" applyBorder="1" applyAlignment="1">
      <alignment horizontal="left"/>
    </xf>
    <xf numFmtId="0" fontId="1" fillId="0" borderId="50" xfId="13" applyFont="1" applyBorder="1" applyAlignment="1">
      <alignment horizontal="center"/>
    </xf>
    <xf numFmtId="2" fontId="2" fillId="0" borderId="0" xfId="13" applyNumberFormat="1" applyFont="1"/>
    <xf numFmtId="3" fontId="1" fillId="0" borderId="0" xfId="13" applyNumberFormat="1" applyFont="1"/>
    <xf numFmtId="2" fontId="2" fillId="0" borderId="46" xfId="13" applyNumberFormat="1" applyFont="1" applyBorder="1"/>
    <xf numFmtId="0" fontId="2" fillId="0" borderId="46" xfId="13" applyFont="1" applyBorder="1" applyAlignment="1">
      <alignment horizontal="left"/>
    </xf>
    <xf numFmtId="0" fontId="2" fillId="0" borderId="44" xfId="13" applyFont="1" applyBorder="1" applyAlignment="1">
      <alignment horizontal="left"/>
    </xf>
    <xf numFmtId="2" fontId="1" fillId="0" borderId="46" xfId="13" applyNumberFormat="1" applyFont="1" applyBorder="1"/>
    <xf numFmtId="3" fontId="1" fillId="0" borderId="44" xfId="13" applyNumberFormat="1" applyFont="1" applyBorder="1"/>
    <xf numFmtId="0" fontId="2" fillId="0" borderId="50" xfId="13" applyFont="1" applyBorder="1" applyAlignment="1">
      <alignment horizontal="left"/>
    </xf>
    <xf numFmtId="0" fontId="1" fillId="0" borderId="47" xfId="13" applyFont="1" applyBorder="1" applyAlignment="1">
      <alignment horizontal="center"/>
    </xf>
    <xf numFmtId="0" fontId="1" fillId="0" borderId="47" xfId="13" applyFont="1" applyBorder="1"/>
    <xf numFmtId="0" fontId="103" fillId="0" borderId="38" xfId="13" applyFont="1" applyBorder="1" applyAlignment="1">
      <alignment horizontal="center"/>
    </xf>
    <xf numFmtId="174" fontId="1" fillId="0" borderId="38" xfId="14" applyNumberFormat="1" applyFont="1" applyBorder="1"/>
    <xf numFmtId="0" fontId="1" fillId="0" borderId="38" xfId="13" applyFont="1" applyBorder="1"/>
    <xf numFmtId="175" fontId="1" fillId="0" borderId="42" xfId="14" applyNumberFormat="1" applyFont="1" applyBorder="1"/>
    <xf numFmtId="0" fontId="1" fillId="0" borderId="46" xfId="13" applyFont="1" applyBorder="1" applyAlignment="1">
      <alignment horizontal="left"/>
    </xf>
    <xf numFmtId="175" fontId="1" fillId="0" borderId="46" xfId="14" applyNumberFormat="1" applyFont="1" applyBorder="1"/>
    <xf numFmtId="0" fontId="2" fillId="0" borderId="40" xfId="13" applyFont="1" applyBorder="1" applyAlignment="1">
      <alignment horizontal="left"/>
    </xf>
    <xf numFmtId="0" fontId="2" fillId="0" borderId="42" xfId="13" applyFont="1" applyBorder="1" applyAlignment="1">
      <alignment horizontal="left"/>
    </xf>
    <xf numFmtId="3" fontId="1" fillId="0" borderId="49" xfId="13" applyNumberFormat="1" applyFont="1" applyBorder="1"/>
    <xf numFmtId="0" fontId="2" fillId="0" borderId="48" xfId="13" applyFont="1" applyBorder="1" applyAlignment="1">
      <alignment horizontal="left"/>
    </xf>
    <xf numFmtId="0" fontId="1" fillId="0" borderId="48" xfId="13" applyFont="1" applyBorder="1"/>
    <xf numFmtId="0" fontId="1" fillId="0" borderId="48" xfId="13" applyFont="1" applyBorder="1" applyAlignment="1">
      <alignment horizontal="left"/>
    </xf>
    <xf numFmtId="3" fontId="1" fillId="0" borderId="46" xfId="13" applyNumberFormat="1" applyFont="1" applyBorder="1"/>
    <xf numFmtId="174" fontId="1" fillId="0" borderId="44" xfId="14" applyNumberFormat="1" applyFont="1" applyBorder="1"/>
    <xf numFmtId="2" fontId="1" fillId="0" borderId="51" xfId="13" applyNumberFormat="1" applyFont="1" applyBorder="1"/>
    <xf numFmtId="0" fontId="81" fillId="0" borderId="38" xfId="13" applyFont="1" applyBorder="1" applyAlignment="1">
      <alignment horizontal="center"/>
    </xf>
    <xf numFmtId="0" fontId="81" fillId="0" borderId="38" xfId="13" applyFont="1" applyBorder="1"/>
    <xf numFmtId="0" fontId="104" fillId="0" borderId="42" xfId="13" applyFont="1" applyBorder="1" applyAlignment="1">
      <alignment horizontal="center"/>
    </xf>
    <xf numFmtId="0" fontId="1" fillId="0" borderId="42" xfId="13" applyFont="1" applyBorder="1" applyAlignment="1">
      <alignment horizontal="left" vertical="center"/>
    </xf>
    <xf numFmtId="0" fontId="1" fillId="0" borderId="0" xfId="13" applyFont="1" applyAlignment="1">
      <alignment horizontal="left"/>
    </xf>
    <xf numFmtId="0" fontId="1" fillId="0" borderId="40" xfId="13" applyFont="1" applyBorder="1" applyAlignment="1">
      <alignment horizontal="left" vertical="center"/>
    </xf>
    <xf numFmtId="0" fontId="1" fillId="0" borderId="40" xfId="13" applyFont="1" applyBorder="1" applyAlignment="1">
      <alignment vertical="center"/>
    </xf>
    <xf numFmtId="0" fontId="1" fillId="0" borderId="42" xfId="13" applyFont="1" applyBorder="1" applyAlignment="1">
      <alignment vertical="center"/>
    </xf>
    <xf numFmtId="0" fontId="104" fillId="0" borderId="46" xfId="13" applyFont="1" applyBorder="1" applyAlignment="1">
      <alignment horizontal="center"/>
    </xf>
    <xf numFmtId="0" fontId="1" fillId="0" borderId="46" xfId="13" applyFont="1" applyBorder="1" applyAlignment="1">
      <alignment vertical="center"/>
    </xf>
    <xf numFmtId="0" fontId="1" fillId="0" borderId="46" xfId="13" applyFont="1" applyBorder="1" applyAlignment="1">
      <alignment horizontal="left" vertical="center"/>
    </xf>
    <xf numFmtId="0" fontId="104" fillId="0" borderId="49" xfId="13" applyFont="1" applyBorder="1" applyAlignment="1">
      <alignment horizontal="center"/>
    </xf>
    <xf numFmtId="0" fontId="2" fillId="0" borderId="48" xfId="13" applyFont="1" applyBorder="1"/>
    <xf numFmtId="0" fontId="1" fillId="0" borderId="49" xfId="13" applyFont="1" applyBorder="1"/>
    <xf numFmtId="174" fontId="1" fillId="0" borderId="46" xfId="14" applyNumberFormat="1" applyFont="1" applyFill="1" applyBorder="1"/>
    <xf numFmtId="174" fontId="1" fillId="0" borderId="40" xfId="14" applyNumberFormat="1" applyFont="1" applyFill="1" applyBorder="1"/>
    <xf numFmtId="0" fontId="104" fillId="0" borderId="44" xfId="13" applyFont="1" applyBorder="1" applyAlignment="1">
      <alignment horizontal="center"/>
    </xf>
    <xf numFmtId="0" fontId="2" fillId="0" borderId="49" xfId="13" applyFont="1" applyBorder="1"/>
    <xf numFmtId="0" fontId="1" fillId="0" borderId="44" xfId="13" applyFont="1" applyBorder="1" applyAlignment="1">
      <alignment horizontal="left" vertical="center"/>
    </xf>
    <xf numFmtId="174" fontId="1" fillId="0" borderId="42" xfId="14" applyNumberFormat="1" applyFont="1" applyFill="1" applyBorder="1"/>
    <xf numFmtId="0" fontId="1" fillId="0" borderId="48" xfId="13" applyFont="1" applyBorder="1" applyAlignment="1">
      <alignment horizontal="left" vertical="center"/>
    </xf>
    <xf numFmtId="0" fontId="104" fillId="0" borderId="7" xfId="13" applyFont="1" applyBorder="1" applyAlignment="1">
      <alignment horizontal="center"/>
    </xf>
    <xf numFmtId="0" fontId="1" fillId="0" borderId="47" xfId="13" applyFont="1" applyBorder="1" applyAlignment="1">
      <alignment vertical="center"/>
    </xf>
    <xf numFmtId="0" fontId="1" fillId="0" borderId="0" xfId="13" applyFont="1" applyAlignment="1">
      <alignment vertical="center"/>
    </xf>
    <xf numFmtId="0" fontId="1" fillId="0" borderId="0" xfId="13" applyFont="1" applyAlignment="1">
      <alignment horizontal="left" vertical="center"/>
    </xf>
    <xf numFmtId="0" fontId="104" fillId="0" borderId="48" xfId="13" applyFont="1" applyBorder="1"/>
    <xf numFmtId="16" fontId="1" fillId="9" borderId="38" xfId="13" applyNumberFormat="1" applyFont="1" applyFill="1" applyBorder="1" applyAlignment="1">
      <alignment horizontal="centerContinuous"/>
    </xf>
    <xf numFmtId="3" fontId="1" fillId="0" borderId="51" xfId="13" applyNumberFormat="1" applyFont="1" applyBorder="1"/>
    <xf numFmtId="0" fontId="2" fillId="0" borderId="47" xfId="13" applyFont="1" applyBorder="1" applyAlignment="1">
      <alignment horizontal="center"/>
    </xf>
    <xf numFmtId="0" fontId="2" fillId="0" borderId="47" xfId="13" applyFont="1" applyBorder="1"/>
    <xf numFmtId="0" fontId="1" fillId="0" borderId="47" xfId="13" applyFont="1" applyBorder="1" applyAlignment="1">
      <alignment horizontal="left"/>
    </xf>
    <xf numFmtId="3" fontId="1" fillId="0" borderId="52" xfId="13" applyNumberFormat="1" applyFont="1" applyBorder="1"/>
    <xf numFmtId="3" fontId="1" fillId="0" borderId="47" xfId="13" applyNumberFormat="1" applyFont="1" applyBorder="1"/>
    <xf numFmtId="0" fontId="2" fillId="0" borderId="46" xfId="13" applyFont="1" applyBorder="1" applyAlignment="1">
      <alignment horizontal="center"/>
    </xf>
    <xf numFmtId="0" fontId="2" fillId="0" borderId="46" xfId="13" applyFont="1" applyBorder="1"/>
    <xf numFmtId="3" fontId="1" fillId="0" borderId="53" xfId="13" applyNumberFormat="1" applyFont="1" applyBorder="1"/>
    <xf numFmtId="0" fontId="1" fillId="0" borderId="44" xfId="13" applyFont="1" applyBorder="1" applyAlignment="1">
      <alignment horizontal="left"/>
    </xf>
    <xf numFmtId="0" fontId="2" fillId="0" borderId="42" xfId="13" applyFont="1" applyBorder="1" applyAlignment="1">
      <alignment horizontal="center"/>
    </xf>
    <xf numFmtId="0" fontId="2" fillId="0" borderId="42" xfId="13" applyFont="1" applyBorder="1"/>
    <xf numFmtId="0" fontId="1" fillId="0" borderId="43" xfId="13" applyFont="1" applyBorder="1"/>
    <xf numFmtId="0" fontId="1" fillId="0" borderId="54" xfId="13" applyFont="1" applyBorder="1"/>
    <xf numFmtId="0" fontId="1" fillId="0" borderId="55" xfId="13" applyFont="1" applyBorder="1"/>
    <xf numFmtId="0" fontId="104" fillId="0" borderId="42" xfId="13" applyFont="1" applyBorder="1"/>
    <xf numFmtId="0" fontId="104" fillId="0" borderId="42" xfId="13" applyFont="1" applyBorder="1" applyAlignment="1">
      <alignment horizontal="left"/>
    </xf>
    <xf numFmtId="0" fontId="107" fillId="0" borderId="42" xfId="13" applyFont="1" applyBorder="1"/>
    <xf numFmtId="0" fontId="104" fillId="0" borderId="56" xfId="13" applyFont="1" applyBorder="1" applyAlignment="1">
      <alignment horizontal="center"/>
    </xf>
    <xf numFmtId="2" fontId="2" fillId="0" borderId="57" xfId="13" applyNumberFormat="1" applyFont="1" applyBorder="1"/>
    <xf numFmtId="2" fontId="106" fillId="0" borderId="40" xfId="13" applyNumberFormat="1" applyFont="1" applyBorder="1"/>
    <xf numFmtId="2" fontId="106" fillId="0" borderId="49" xfId="13" applyNumberFormat="1" applyFont="1" applyBorder="1"/>
    <xf numFmtId="2" fontId="2" fillId="0" borderId="49" xfId="13" applyNumberFormat="1" applyFont="1" applyBorder="1"/>
    <xf numFmtId="0" fontId="1" fillId="0" borderId="57" xfId="13" applyFont="1" applyBorder="1"/>
    <xf numFmtId="2" fontId="2" fillId="0" borderId="47" xfId="13" applyNumberFormat="1" applyFont="1" applyBorder="1"/>
    <xf numFmtId="0" fontId="103" fillId="0" borderId="57" xfId="13" applyFont="1" applyBorder="1"/>
    <xf numFmtId="0" fontId="2" fillId="0" borderId="57" xfId="13" applyFont="1" applyBorder="1"/>
    <xf numFmtId="0" fontId="103" fillId="0" borderId="49" xfId="13" applyFont="1" applyBorder="1"/>
    <xf numFmtId="0" fontId="1" fillId="0" borderId="57" xfId="13" applyFont="1" applyBorder="1" applyAlignment="1">
      <alignment horizontal="center"/>
    </xf>
    <xf numFmtId="0" fontId="2" fillId="0" borderId="44" xfId="13" applyFont="1" applyBorder="1"/>
    <xf numFmtId="0" fontId="2" fillId="0" borderId="58" xfId="13" applyFont="1" applyBorder="1"/>
    <xf numFmtId="0" fontId="2" fillId="0" borderId="0" xfId="13" applyFont="1" applyAlignment="1">
      <alignment horizontal="left"/>
    </xf>
    <xf numFmtId="0" fontId="104" fillId="0" borderId="57" xfId="13" applyFont="1" applyBorder="1" applyAlignment="1">
      <alignment horizontal="center"/>
    </xf>
    <xf numFmtId="0" fontId="2" fillId="0" borderId="43" xfId="13" applyFont="1" applyBorder="1" applyAlignment="1">
      <alignment horizontal="left"/>
    </xf>
    <xf numFmtId="0" fontId="2" fillId="0" borderId="59" xfId="13" applyFont="1" applyBorder="1"/>
    <xf numFmtId="0" fontId="103" fillId="0" borderId="57" xfId="13" applyFont="1" applyBorder="1" applyAlignment="1">
      <alignment horizontal="center"/>
    </xf>
    <xf numFmtId="0" fontId="2" fillId="0" borderId="57" xfId="13" applyFont="1" applyBorder="1" applyAlignment="1">
      <alignment horizontal="center"/>
    </xf>
    <xf numFmtId="0" fontId="104" fillId="0" borderId="60" xfId="13" applyFont="1" applyBorder="1" applyAlignment="1">
      <alignment horizontal="center"/>
    </xf>
    <xf numFmtId="3" fontId="8" fillId="0" borderId="8" xfId="2" applyNumberFormat="1" applyFont="1" applyBorder="1" applyProtection="1">
      <protection locked="0"/>
    </xf>
    <xf numFmtId="0" fontId="59" fillId="0" borderId="0" xfId="3" applyFont="1" applyAlignment="1">
      <alignment horizontal="center"/>
    </xf>
    <xf numFmtId="0" fontId="60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61" fillId="0" borderId="0" xfId="3" applyFont="1" applyAlignment="1">
      <alignment horizontal="center"/>
    </xf>
    <xf numFmtId="0" fontId="64" fillId="0" borderId="0" xfId="3" applyFont="1" applyAlignment="1">
      <alignment horizontal="center"/>
    </xf>
    <xf numFmtId="0" fontId="67" fillId="0" borderId="0" xfId="3" applyFont="1" applyAlignment="1">
      <alignment horizontal="center"/>
    </xf>
    <xf numFmtId="0" fontId="78" fillId="0" borderId="0" xfId="9" applyFont="1" applyAlignment="1">
      <alignment horizontal="center"/>
    </xf>
    <xf numFmtId="0" fontId="79" fillId="0" borderId="0" xfId="9" applyFont="1" applyAlignment="1">
      <alignment horizontal="center"/>
    </xf>
    <xf numFmtId="0" fontId="15" fillId="0" borderId="0" xfId="3" applyFont="1" applyAlignment="1">
      <alignment horizontal="center"/>
    </xf>
    <xf numFmtId="0" fontId="21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165" fontId="15" fillId="0" borderId="0" xfId="12" applyNumberFormat="1" applyFont="1" applyAlignment="1">
      <alignment horizontal="center"/>
    </xf>
    <xf numFmtId="0" fontId="91" fillId="0" borderId="0" xfId="3" applyFont="1" applyAlignment="1">
      <alignment horizontal="center"/>
    </xf>
    <xf numFmtId="0" fontId="79" fillId="0" borderId="0" xfId="3" applyFont="1" applyAlignment="1">
      <alignment horizontal="center"/>
    </xf>
    <xf numFmtId="0" fontId="90" fillId="0" borderId="19" xfId="3" applyFont="1" applyBorder="1" applyAlignment="1">
      <alignment horizontal="center" vertical="center" wrapText="1"/>
    </xf>
    <xf numFmtId="0" fontId="90" fillId="0" borderId="20" xfId="3" applyFont="1" applyBorder="1" applyAlignment="1">
      <alignment horizontal="center" vertical="center" wrapText="1"/>
    </xf>
    <xf numFmtId="0" fontId="90" fillId="0" borderId="21" xfId="3" applyFont="1" applyBorder="1" applyAlignment="1">
      <alignment horizontal="center" vertical="center" wrapText="1"/>
    </xf>
    <xf numFmtId="0" fontId="90" fillId="0" borderId="24" xfId="3" applyFont="1" applyBorder="1" applyAlignment="1">
      <alignment horizontal="center" vertical="center" wrapText="1"/>
    </xf>
    <xf numFmtId="0" fontId="90" fillId="0" borderId="25" xfId="3" applyFont="1" applyBorder="1" applyAlignment="1">
      <alignment horizontal="center" vertical="center" wrapText="1"/>
    </xf>
    <xf numFmtId="0" fontId="90" fillId="0" borderId="26" xfId="3" applyFont="1" applyBorder="1" applyAlignment="1">
      <alignment horizontal="center" vertical="center" wrapText="1"/>
    </xf>
    <xf numFmtId="1" fontId="90" fillId="0" borderId="22" xfId="3" applyNumberFormat="1" applyFont="1" applyBorder="1" applyAlignment="1">
      <alignment horizontal="center" vertical="center"/>
    </xf>
    <xf numFmtId="1" fontId="90" fillId="0" borderId="23" xfId="3" applyNumberFormat="1" applyFont="1" applyBorder="1" applyAlignment="1">
      <alignment horizontal="center" vertical="center"/>
    </xf>
    <xf numFmtId="170" fontId="90" fillId="0" borderId="22" xfId="3" applyNumberFormat="1" applyFont="1" applyBorder="1" applyAlignment="1">
      <alignment horizontal="center" vertical="center"/>
    </xf>
    <xf numFmtId="170" fontId="90" fillId="0" borderId="23" xfId="3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0" fontId="9" fillId="0" borderId="33" xfId="3" applyFont="1" applyBorder="1" applyAlignment="1">
      <alignment horizontal="left" vertical="center" wrapText="1"/>
    </xf>
    <xf numFmtId="0" fontId="9" fillId="0" borderId="34" xfId="3" applyFont="1" applyBorder="1" applyAlignment="1">
      <alignment horizontal="left" vertical="center" wrapText="1"/>
    </xf>
    <xf numFmtId="0" fontId="87" fillId="0" borderId="0" xfId="3" applyFont="1" applyAlignment="1">
      <alignment horizontal="right"/>
    </xf>
    <xf numFmtId="0" fontId="87" fillId="0" borderId="0" xfId="3" applyFont="1" applyAlignment="1">
      <alignment horizontal="center"/>
    </xf>
    <xf numFmtId="170" fontId="21" fillId="0" borderId="0" xfId="3" applyNumberFormat="1" applyFont="1" applyAlignment="1">
      <alignment horizontal="center"/>
    </xf>
    <xf numFmtId="0" fontId="80" fillId="0" borderId="0" xfId="3" applyFont="1" applyAlignment="1">
      <alignment horizontal="center"/>
    </xf>
    <xf numFmtId="0" fontId="90" fillId="0" borderId="0" xfId="3" applyFont="1" applyAlignment="1">
      <alignment horizontal="center"/>
    </xf>
    <xf numFmtId="0" fontId="90" fillId="0" borderId="27" xfId="3" applyFont="1" applyBorder="1" applyAlignment="1">
      <alignment horizontal="center" vertical="center" wrapText="1"/>
    </xf>
    <xf numFmtId="0" fontId="90" fillId="0" borderId="36" xfId="3" applyFont="1" applyBorder="1" applyAlignment="1">
      <alignment horizontal="center" vertical="center" wrapText="1"/>
    </xf>
  </cellXfs>
  <cellStyles count="16">
    <cellStyle name="Comma 2" xfId="8" xr:uid="{4FE3CA7E-CC8B-4155-B044-51F3EFC9E08A}"/>
    <cellStyle name="Comma 3" xfId="6" xr:uid="{9D102AD4-D70A-49E4-BA8E-6AC28C1B1784}"/>
    <cellStyle name="Comma 3 2" xfId="14" xr:uid="{6C57FB4F-B226-41CC-9DB2-710D891CC80C}"/>
    <cellStyle name="Comma 4" xfId="12" xr:uid="{B43689BD-9CA3-4C19-8DF2-6C221276D674}"/>
    <cellStyle name="Comma 5" xfId="5" xr:uid="{8233EC65-AB4D-4B7A-AE59-6F857539331B}"/>
    <cellStyle name="Comma 5 2" xfId="4" xr:uid="{82BDC5D6-E3F9-4FEB-ABE5-78B8F96FA10C}"/>
    <cellStyle name="Heading 3 2" xfId="15" xr:uid="{BC8B0EC0-181B-4B3D-9E16-C9D02B64CC8B}"/>
    <cellStyle name="Normal" xfId="0" builtinId="0"/>
    <cellStyle name="Normal 2" xfId="2" xr:uid="{7728D69A-E8DB-4932-9A7C-2F228A0A511F}"/>
    <cellStyle name="Normal 3" xfId="3" xr:uid="{D76FC453-8DD8-4856-B05F-BA997BFF39D2}"/>
    <cellStyle name="Normal 4" xfId="13" xr:uid="{0F3E88E1-A87A-4299-A38D-0D8B04C65C20}"/>
    <cellStyle name="Normal_2010_09_BCTC_CTCP" xfId="9" xr:uid="{5AA9C71C-A397-4C43-A9F1-07A53E84F9C3}"/>
    <cellStyle name="Normal_2010_09_BCTC_CTCP 2" xfId="10" xr:uid="{00F99283-C669-46E2-9572-FA62553593EB}"/>
    <cellStyle name="Percent" xfId="1" builtinId="5"/>
    <cellStyle name="Percent 2" xfId="11" xr:uid="{A972A6BE-9D5B-4DF2-9C0D-74405D2A0985}"/>
    <cellStyle name="Percent 2 2" xfId="7" xr:uid="{B35B8E23-C9BF-4882-8F2F-01629E744281}"/>
  </cellStyles>
  <dxfs count="3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bottom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00B0F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6" formatCode="#.##0"/>
      <protection locked="1" hidden="0"/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3" formatCode="#,##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12"/>
        <name val="Times New Roman"/>
        <family val="1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alignment horizontal="center" textRotation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charset val="163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numFmt numFmtId="165" formatCode="_(* #,##0_);_(* \(#,##0\);_(* &quot;-&quot;??_);_(@_)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Times New Roman"/>
        <family val="1"/>
        <scheme val="none"/>
      </font>
      <alignment horizontal="left" vertical="top" textRotation="0" wrapText="1" indent="1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center" vertical="top" textRotation="0" wrapText="1" indent="0" justifyLastLine="0" shrinkToFit="0" readingOrder="0"/>
      <border diagonalUp="0" diagonalDown="0">
        <left/>
        <right style="thin">
          <color rgb="FF00B0F0"/>
        </right>
        <top style="thin">
          <color rgb="FF00B0F0"/>
        </top>
        <bottom style="thin">
          <color rgb="FF00B0F0"/>
        </bottom>
        <vertical/>
        <horizontal/>
      </border>
      <protection locked="1" hidden="0"/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Times New Roman"/>
        <family val="1"/>
        <scheme val="none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/>
        <bottom/>
      </border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ova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B0F0"/>
        </left>
        <right style="thin">
          <color rgb="FF00B0F0"/>
        </right>
        <top style="thin">
          <color rgb="FF00B0F0"/>
        </top>
        <bottom style="thin">
          <color rgb="FF00B0F0"/>
        </bottom>
      </border>
      <protection locked="1" hidden="0"/>
    </dxf>
    <dxf>
      <protection locked="1" hidden="0"/>
    </dxf>
    <dxf>
      <protection locked="1" hidden="0"/>
    </dxf>
    <dxf>
      <protection locked="1" hidden="0"/>
    </dxf>
    <dxf>
      <border outline="0">
        <bottom style="thin">
          <color rgb="FF00B0F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 Nova"/>
        <family val="2"/>
        <scheme val="none"/>
      </font>
      <numFmt numFmtId="168" formatCode="#,##0,,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0760165-044F-49B2-BAFC-7E629AF633D4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4A411FD1-FC3C-4E45-B36E-7D2B2879C84A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26</xdr:row>
      <xdr:rowOff>247650</xdr:rowOff>
    </xdr:to>
    <xdr:sp macro="" textlink="">
      <xdr:nvSpPr>
        <xdr:cNvPr id="4" name="AutoShape 2696">
          <a:extLst>
            <a:ext uri="{FF2B5EF4-FFF2-40B4-BE49-F238E27FC236}">
              <a16:creationId xmlns:a16="http://schemas.microsoft.com/office/drawing/2014/main" id="{F7C61408-31CC-48AF-84C2-5D1233E5713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476250</xdr:colOff>
      <xdr:row>16</xdr:row>
      <xdr:rowOff>66675</xdr:rowOff>
    </xdr:from>
    <xdr:to>
      <xdr:col>9</xdr:col>
      <xdr:colOff>371475</xdr:colOff>
      <xdr:row>26</xdr:row>
      <xdr:rowOff>180975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C52D5FDF-B116-414F-A1BD-015E8C2EEF9C}"/>
            </a:ext>
          </a:extLst>
        </xdr:cNvPr>
        <xdr:cNvSpPr>
          <a:spLocks noChangeArrowheads="1"/>
        </xdr:cNvSpPr>
      </xdr:nvSpPr>
      <xdr:spPr bwMode="auto">
        <a:xfrm>
          <a:off x="476250" y="3400425"/>
          <a:ext cx="5381625" cy="2047875"/>
        </a:xfrm>
        <a:prstGeom prst="flowChartAlternateProcess">
          <a:avLst/>
        </a:prstGeom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BÁO CÁO TÀI CHÍNH</a:t>
          </a:r>
        </a:p>
        <a:p>
          <a:pPr algn="ctr" rtl="0">
            <a:defRPr sz="1000"/>
          </a:pPr>
          <a:r>
            <a:rPr lang="en-US" sz="3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endParaRPr lang="en-US" sz="24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endParaRPr lang="en-US" sz="1600" b="0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FF"/>
              </a:solidFill>
              <a:latin typeface="Times New Roman"/>
              <a:cs typeface="Times New Roman"/>
            </a:rPr>
            <a:t> </a:t>
          </a: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n-US" sz="1600" b="1" i="0" u="none" strike="noStrike" baseline="0">
            <a:solidFill>
              <a:srgbClr val="0000FF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28575</xdr:colOff>
      <xdr:row>0</xdr:row>
      <xdr:rowOff>47625</xdr:rowOff>
    </xdr:from>
    <xdr:to>
      <xdr:col>10</xdr:col>
      <xdr:colOff>533400</xdr:colOff>
      <xdr:row>50</xdr:row>
      <xdr:rowOff>152400</xdr:rowOff>
    </xdr:to>
    <xdr:sp macro="" textlink="">
      <xdr:nvSpPr>
        <xdr:cNvPr id="6" name="Rectangle 1">
          <a:extLst>
            <a:ext uri="{FF2B5EF4-FFF2-40B4-BE49-F238E27FC236}">
              <a16:creationId xmlns:a16="http://schemas.microsoft.com/office/drawing/2014/main" id="{374A7B2E-7932-41EE-B5B3-DFC806A28E48}"/>
            </a:ext>
          </a:extLst>
        </xdr:cNvPr>
        <xdr:cNvSpPr>
          <a:spLocks noChangeArrowheads="1"/>
        </xdr:cNvSpPr>
      </xdr:nvSpPr>
      <xdr:spPr bwMode="auto">
        <a:xfrm>
          <a:off x="28575" y="47625"/>
          <a:ext cx="6381750" cy="9867900"/>
        </a:xfrm>
        <a:prstGeom prst="rect">
          <a:avLst/>
        </a:prstGeom>
        <a:noFill/>
        <a:ln w="57150" cmpd="thinThick">
          <a:solidFill>
            <a:srgbClr val="3366FF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314325</xdr:colOff>
      <xdr:row>1</xdr:row>
      <xdr:rowOff>1</xdr:rowOff>
    </xdr:from>
    <xdr:to>
      <xdr:col>3</xdr:col>
      <xdr:colOff>142875</xdr:colOff>
      <xdr:row>4</xdr:row>
      <xdr:rowOff>38101</xdr:rowOff>
    </xdr:to>
    <xdr:sp macro="" textlink="">
      <xdr:nvSpPr>
        <xdr:cNvPr id="7" name="Text Box 3">
          <a:extLst>
            <a:ext uri="{FF2B5EF4-FFF2-40B4-BE49-F238E27FC236}">
              <a16:creationId xmlns:a16="http://schemas.microsoft.com/office/drawing/2014/main" id="{C8AB7EC6-7476-407A-A8A1-4321ABB9B0F7}"/>
            </a:ext>
          </a:extLst>
        </xdr:cNvPr>
        <xdr:cNvSpPr txBox="1">
          <a:spLocks noChangeArrowheads="1"/>
        </xdr:cNvSpPr>
      </xdr:nvSpPr>
      <xdr:spPr bwMode="auto">
        <a:xfrm>
          <a:off x="314325" y="180976"/>
          <a:ext cx="1657350" cy="7048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</xdr:col>
      <xdr:colOff>514350</xdr:colOff>
      <xdr:row>19</xdr:row>
      <xdr:rowOff>142875</xdr:rowOff>
    </xdr:from>
    <xdr:to>
      <xdr:col>9</xdr:col>
      <xdr:colOff>57150</xdr:colOff>
      <xdr:row>26</xdr:row>
      <xdr:rowOff>247650</xdr:rowOff>
    </xdr:to>
    <xdr:sp macro="" textlink="">
      <xdr:nvSpPr>
        <xdr:cNvPr id="8" name="AutoShape 2696">
          <a:extLst>
            <a:ext uri="{FF2B5EF4-FFF2-40B4-BE49-F238E27FC236}">
              <a16:creationId xmlns:a16="http://schemas.microsoft.com/office/drawing/2014/main" id="{0DD57585-90CA-41AF-BA51-6F4ACC205ACC}"/>
            </a:ext>
          </a:extLst>
        </xdr:cNvPr>
        <xdr:cNvSpPr>
          <a:spLocks noChangeAspect="1" noChangeArrowheads="1"/>
        </xdr:cNvSpPr>
      </xdr:nvSpPr>
      <xdr:spPr bwMode="auto">
        <a:xfrm>
          <a:off x="1123950" y="4019550"/>
          <a:ext cx="4419600" cy="1495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133350</xdr:colOff>
      <xdr:row>0</xdr:row>
      <xdr:rowOff>161925</xdr:rowOff>
    </xdr:from>
    <xdr:to>
      <xdr:col>10</xdr:col>
      <xdr:colOff>476250</xdr:colOff>
      <xdr:row>4</xdr:row>
      <xdr:rowOff>361950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7C8FE375-AE40-4809-BD10-204B7E353DE5}"/>
            </a:ext>
          </a:extLst>
        </xdr:cNvPr>
        <xdr:cNvSpPr txBox="1">
          <a:spLocks noChangeArrowheads="1"/>
        </xdr:cNvSpPr>
      </xdr:nvSpPr>
      <xdr:spPr bwMode="auto">
        <a:xfrm>
          <a:off x="1962150" y="161925"/>
          <a:ext cx="4391025" cy="1047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vi-VN" sz="1400" b="1" i="0" u="none" strike="noStrike" spc="-30" baseline="0">
              <a:solidFill>
                <a:srgbClr val="000080"/>
              </a:solidFill>
              <a:latin typeface="Arial"/>
              <a:cs typeface="Arial"/>
            </a:rPr>
            <a:t>CÔNG TY CỔ PHẦN TÁI CHẾ DUY TÂN VĨNH LONG</a:t>
          </a:r>
          <a:endParaRPr lang="vi-VN" sz="1400" b="0" i="0" u="none" strike="noStrike" spc="-30" baseline="0">
            <a:solidFill>
              <a:srgbClr val="000080"/>
            </a:solidFill>
            <a:latin typeface="Microsoft Sans Serif"/>
            <a:cs typeface="Microsoft Sans Serif"/>
          </a:endParaRP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Địa chỉ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: Thửa đất số 838, tờ bản đồ số 6, tổ 4, ấp Tân Thuận, phường Tân Hạnh, tỉnh Vĩnh Long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Mã số thuế: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1501162229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 CE"/>
            </a:rPr>
            <a:t>Đ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iện thoại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		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 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– Fax</a:t>
          </a: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: </a:t>
          </a:r>
          <a:r>
            <a:rPr lang="en-US" sz="1000" b="0" i="0" u="none" strike="noStrike" baseline="0">
              <a:solidFill>
                <a:srgbClr val="000080"/>
              </a:solidFill>
              <a:latin typeface="Microsoft Sans Serif"/>
              <a:ea typeface="+mn-ea"/>
              <a:cs typeface="Microsoft Sans Serif"/>
            </a:rPr>
            <a:t> </a:t>
          </a:r>
        </a:p>
        <a:p>
          <a:pPr algn="l" rtl="0">
            <a:defRPr sz="1000"/>
          </a:pPr>
          <a:r>
            <a:rPr lang="vi-VN" sz="1000" b="0" i="0" u="none" strike="noStrike" baseline="0">
              <a:solidFill>
                <a:srgbClr val="000080"/>
              </a:solidFill>
              <a:latin typeface="Microsoft Sans Serif"/>
              <a:cs typeface="Microsoft Sans Serif"/>
            </a:rPr>
            <a:t>Website: 		 – Email:  </a:t>
          </a:r>
          <a:endParaRPr lang="vi-VN" sz="1000" b="0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vi-VN" sz="1000" b="0" i="0" u="none" strike="noStrike" baseline="0">
            <a:solidFill>
              <a:srgbClr val="00008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2</xdr:col>
      <xdr:colOff>9527</xdr:colOff>
      <xdr:row>21</xdr:row>
      <xdr:rowOff>142875</xdr:rowOff>
    </xdr:from>
    <xdr:to>
      <xdr:col>8</xdr:col>
      <xdr:colOff>266701</xdr:colOff>
      <xdr:row>25</xdr:row>
      <xdr:rowOff>66675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391FCA7-B6DD-47B6-97B3-B386F832C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7" y="4381500"/>
          <a:ext cx="3914774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133351</xdr:colOff>
      <xdr:row>1</xdr:row>
      <xdr:rowOff>66677</xdr:rowOff>
    </xdr:from>
    <xdr:to>
      <xdr:col>3</xdr:col>
      <xdr:colOff>19050</xdr:colOff>
      <xdr:row>3</xdr:row>
      <xdr:rowOff>38101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1C133D5-670F-4DD1-BFFB-B9BA2A0D4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1" y="247652"/>
          <a:ext cx="1714499" cy="3333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8E630-4020-40C0-B973-C23D8A562911}" name="Data_BS" displayName="Data_BS" ref="A3:BW129" totalsRowShown="0" headerRowDxfId="309" dataDxfId="308" headerRowCellStyle="Normal 2">
  <tableColumns count="75">
    <tableColumn id="1" xr3:uid="{C85B17D0-1DD5-4001-9488-B61CFF6FABF0}" name="Index BS" dataDxfId="307" dataCellStyle="Normal 2"/>
    <tableColumn id="2" xr3:uid="{784A21CA-A0BC-4793-9112-90A641D9F20D}" name="PHẦN I-BÁO CÁO TÌNH HÌNH TÀI CHÍNH" dataDxfId="306" dataCellStyle="Normal 2"/>
    <tableColumn id="3" xr3:uid="{056CD2D4-0443-4990-A09A-7B749E092B1D}" name="TenCongTyID" dataDxfId="305" dataCellStyle="Normal 2"/>
    <tableColumn id="4" xr3:uid="{4524F839-BD04-437E-816E-F48F0F75CEC0}" name="T1.2021" dataDxfId="304" dataCellStyle="Normal 2"/>
    <tableColumn id="5" xr3:uid="{2E2F8386-440E-4705-B015-998CF426349D}" name="T02.2021" dataDxfId="303" dataCellStyle="Normal 2"/>
    <tableColumn id="6" xr3:uid="{A956F865-CB66-46B2-9230-28D295A6224F}" name="T03.2021" dataDxfId="302" dataCellStyle="Normal 2"/>
    <tableColumn id="7" xr3:uid="{35CAE745-8EB6-4B02-A187-93BFC7C5581B}" name="T04.2021" dataDxfId="301" dataCellStyle="Normal 2"/>
    <tableColumn id="8" xr3:uid="{3EA2BA4E-31C2-4B90-A15D-3052FF079692}" name="T05.2021" dataDxfId="300" dataCellStyle="Normal 2"/>
    <tableColumn id="9" xr3:uid="{874D555E-36B4-4782-900E-7322FEFAB8BD}" name="T06.2021" dataDxfId="299" dataCellStyle="Normal 2"/>
    <tableColumn id="10" xr3:uid="{E4E5DAE0-C3E2-4664-9F36-D5FCC8102303}" name="T07.2021" dataDxfId="298" dataCellStyle="Normal 2"/>
    <tableColumn id="11" xr3:uid="{B78BECE1-547A-4388-8843-D877E6E0A853}" name="T08.2021" dataDxfId="297" dataCellStyle="Normal 2"/>
    <tableColumn id="12" xr3:uid="{A1B99BCA-AFA7-4FB3-AD52-05834FCF8081}" name="T09.2021" dataDxfId="296" dataCellStyle="Normal 2"/>
    <tableColumn id="13" xr3:uid="{97A2F529-AE4B-4202-BA4D-2F8726791595}" name="T10.2021" dataDxfId="295" dataCellStyle="Normal 2"/>
    <tableColumn id="14" xr3:uid="{4CD6A1CB-D2B0-40F9-BF99-73116576D7FC}" name="T11.2021" dataDxfId="294" dataCellStyle="Normal 2"/>
    <tableColumn id="15" xr3:uid="{BABC9D7E-0E4A-4E92-A51E-202CF60308E3}" name="T12.2021" dataDxfId="293" dataCellStyle="Normal 2"/>
    <tableColumn id="16" xr3:uid="{188F8CCA-274D-4C2D-A008-F2BBA1DC70A9}" name="T1.2022" dataDxfId="292" dataCellStyle="Normal 2"/>
    <tableColumn id="17" xr3:uid="{FAF5336C-3338-4DFD-AD64-5F2F782CD366}" name="T02.2022" dataDxfId="291" dataCellStyle="Normal 2"/>
    <tableColumn id="18" xr3:uid="{5BB50BBA-4140-43AA-A6D4-F8BC30BFA737}" name="T03.2022" dataDxfId="290" dataCellStyle="Normal 2"/>
    <tableColumn id="19" xr3:uid="{557510AD-BED8-4A2A-95E1-D54A9DCBE52C}" name="T04.2022" dataDxfId="289" dataCellStyle="Normal 2"/>
    <tableColumn id="20" xr3:uid="{C51DEA0F-27E6-48A9-BE59-C41275190EFE}" name="T05.2022" dataDxfId="288" dataCellStyle="Normal 2"/>
    <tableColumn id="21" xr3:uid="{61AFA84C-C1D1-4773-9400-857957626255}" name="T06.2022" dataDxfId="287" dataCellStyle="Normal 2"/>
    <tableColumn id="22" xr3:uid="{B7C46287-86A8-4BD8-A8E1-9C7265ECD0EC}" name="T07.2022" dataDxfId="286" dataCellStyle="Normal 2"/>
    <tableColumn id="23" xr3:uid="{D2FCC9A0-C0F2-4B47-B98F-63A33AB9909E}" name="T08.2022" dataDxfId="285" dataCellStyle="Normal 2"/>
    <tableColumn id="24" xr3:uid="{1C501DF5-C120-4BB5-9658-11D6FF248BFC}" name="T09.2022" dataDxfId="284" dataCellStyle="Normal 2"/>
    <tableColumn id="25" xr3:uid="{967CEAD3-9C1F-4868-A928-09A9BD79CD23}" name="T10.2022" dataDxfId="283" dataCellStyle="Normal 2"/>
    <tableColumn id="26" xr3:uid="{FCB634A4-A078-4886-9C75-E9A335C60264}" name="T11.2022" dataDxfId="282" dataCellStyle="Normal 2"/>
    <tableColumn id="27" xr3:uid="{7F5AEF91-54AC-4D33-811D-8F9B8D0834A7}" name="T12.2022" dataDxfId="281" dataCellStyle="Normal 2"/>
    <tableColumn id="28" xr3:uid="{BD9186FC-AF5F-40FD-9216-00F2AA783F43}" name="T1.2023" dataDxfId="280" dataCellStyle="Normal 2"/>
    <tableColumn id="29" xr3:uid="{259BA81F-5C8B-405E-B742-C15E3CD4C9E4}" name="T02.2023" dataDxfId="279" dataCellStyle="Normal 2"/>
    <tableColumn id="30" xr3:uid="{BE62E4A7-A167-44E2-B129-C3B161F75371}" name="T03.2023" dataDxfId="278" dataCellStyle="Normal 2"/>
    <tableColumn id="31" xr3:uid="{B70B5EF3-F340-46B7-98CB-03CF5D4A5A8B}" name="T04.2023" dataDxfId="277" dataCellStyle="Normal 2"/>
    <tableColumn id="32" xr3:uid="{12DEB57C-7E86-41FA-91E1-A5C55A2ECCF9}" name="T05.2023" dataDxfId="276" dataCellStyle="Normal 2"/>
    <tableColumn id="33" xr3:uid="{35108C77-A8C0-4EA5-842E-B49F4610E726}" name="T06.2023" dataDxfId="275" dataCellStyle="Normal 2"/>
    <tableColumn id="34" xr3:uid="{FC9AE476-B21C-4314-94E9-72F721D6D581}" name="T07.2023" dataDxfId="274" dataCellStyle="Normal 2"/>
    <tableColumn id="35" xr3:uid="{F085E6C6-4AC8-4290-AA90-7296CCDB9A94}" name="T08.2023" dataDxfId="273" dataCellStyle="Normal 2"/>
    <tableColumn id="36" xr3:uid="{CD647DB2-10D0-49FD-A593-B9BC6B85F29D}" name="T09.2023" dataDxfId="272" dataCellStyle="Normal 2"/>
    <tableColumn id="37" xr3:uid="{23C064E6-B572-49AF-919B-DC72AFDF4272}" name="T10.2023" dataDxfId="271" dataCellStyle="Normal 2"/>
    <tableColumn id="38" xr3:uid="{E2A64527-FA46-4E39-971E-413166B25ECE}" name="T11.2023" dataDxfId="270" dataCellStyle="Normal 2"/>
    <tableColumn id="39" xr3:uid="{FEB55253-BE5E-40E5-8FED-D33318B19BAD}" name="T12.2023" dataDxfId="269" dataCellStyle="Normal 2"/>
    <tableColumn id="40" xr3:uid="{6C8D0F42-0F11-47CC-9CF5-F39A8A3EFCA0}" name="T01.2024" dataDxfId="268" dataCellStyle="Normal 2"/>
    <tableColumn id="41" xr3:uid="{04551F7D-9830-4A41-9562-55E78663E432}" name="T02.2024" dataDxfId="267" dataCellStyle="Normal 2"/>
    <tableColumn id="42" xr3:uid="{5DEE67F1-08FC-41DF-8161-4091E21E5EF1}" name="T03.2024" dataDxfId="266" dataCellStyle="Normal 2"/>
    <tableColumn id="43" xr3:uid="{A047BDF7-E0AD-4441-802A-24D3B27048B6}" name="T04.2024" dataDxfId="265" dataCellStyle="Normal 2"/>
    <tableColumn id="44" xr3:uid="{26D55F95-6745-4E63-AD7B-4A6FB15AF461}" name="T05.2024" dataDxfId="264" dataCellStyle="Normal 2"/>
    <tableColumn id="45" xr3:uid="{C9C830AF-8E7F-4852-8155-48714B67E357}" name="T06.2024" dataDxfId="263" dataCellStyle="Normal 2"/>
    <tableColumn id="46" xr3:uid="{79AFD55B-9C78-450C-88BC-B6994D588E7B}" name="T07.2024" dataDxfId="262" dataCellStyle="Normal 2"/>
    <tableColumn id="47" xr3:uid="{052859DA-A28A-4F87-B910-DCF41E3CDBC2}" name="T08.2024" dataDxfId="261" dataCellStyle="Normal 2"/>
    <tableColumn id="48" xr3:uid="{802038AD-B7AC-4E4E-9A69-E62B2562984D}" name="T09.2024" dataDxfId="260" dataCellStyle="Normal 2"/>
    <tableColumn id="49" xr3:uid="{741CC0AD-7032-47E8-BC02-0317BBD2A6D0}" name="T10.2024" dataDxfId="259" dataCellStyle="Normal 2"/>
    <tableColumn id="50" xr3:uid="{065EB617-F514-4361-9EEF-6619341155AC}" name="T11.2024" dataDxfId="258" dataCellStyle="Normal 2"/>
    <tableColumn id="51" xr3:uid="{E9B29451-AC97-4B13-A345-06C8C9D95AF8}" name="T12.2024" dataDxfId="257" dataCellStyle="Normal 2"/>
    <tableColumn id="52" xr3:uid="{9E10A1FE-4653-4BED-B762-419E6495CD21}" name="T01.2025" dataDxfId="256" dataCellStyle="Normal 2"/>
    <tableColumn id="53" xr3:uid="{327F1288-C41C-4CBD-B889-CC21B0C0D100}" name="T02.2025" dataDxfId="255" dataCellStyle="Normal 2"/>
    <tableColumn id="54" xr3:uid="{0E955F83-3E41-490A-AB40-F3882B47C5AE}" name="T03.2025" dataDxfId="254" dataCellStyle="Normal 2"/>
    <tableColumn id="55" xr3:uid="{83F5D349-64BC-4DA2-811A-292B30FCBE93}" name="T04.2025" dataDxfId="253" dataCellStyle="Normal 2"/>
    <tableColumn id="56" xr3:uid="{A7265091-33BA-4C55-BC7A-79A9AEDC427B}" name="T05.2025" dataDxfId="252" dataCellStyle="Normal 2"/>
    <tableColumn id="57" xr3:uid="{64636B48-CE28-4F98-AEF6-23339B55C19F}" name="T06.2025" dataDxfId="251" dataCellStyle="Normal 2"/>
    <tableColumn id="58" xr3:uid="{23DA1EBF-340F-404F-AA91-614179FCFF62}" name="T07.2025" dataDxfId="250" dataCellStyle="Normal 2"/>
    <tableColumn id="59" xr3:uid="{D21622B8-DF9C-4335-AEE3-5E4A909AA7FF}" name="T08.2025" dataDxfId="249" dataCellStyle="Normal 2"/>
    <tableColumn id="60" xr3:uid="{E02EB55A-909E-401C-A90D-BD32162CED06}" name="T09.2025" dataDxfId="248" dataCellStyle="Normal 2"/>
    <tableColumn id="61" xr3:uid="{A8BD3572-9078-455E-84FB-7CD41CA72902}" name="T10.2025" dataDxfId="247" dataCellStyle="Normal 2"/>
    <tableColumn id="62" xr3:uid="{0B83E098-C575-485F-99CD-EAEEE3514263}" name="T11.2025" dataDxfId="246" dataCellStyle="Normal 2"/>
    <tableColumn id="63" xr3:uid="{4A15F34C-33B0-49E8-A150-E13C60FB7739}" name="T12.2025" dataDxfId="245" dataCellStyle="Normal 2"/>
    <tableColumn id="64" xr3:uid="{A7AC7E30-B8EA-447B-89BF-E5501078EF1E}" name="T01.2026" dataDxfId="244" dataCellStyle="Normal 2"/>
    <tableColumn id="65" xr3:uid="{A0298883-987E-4EE9-9D61-C03B91C23528}" name="T02.2026" dataDxfId="243" dataCellStyle="Normal 2"/>
    <tableColumn id="66" xr3:uid="{3A1C3DA2-DC64-44EF-918C-30C7A190C482}" name="T03.2026" dataDxfId="242" dataCellStyle="Normal 2"/>
    <tableColumn id="67" xr3:uid="{1FF4F082-2C2F-4A51-81B1-989C3CC34457}" name="T04.2026" dataDxfId="241" dataCellStyle="Normal 2"/>
    <tableColumn id="68" xr3:uid="{92085D91-9698-4398-9098-4E31EDE5FF19}" name="T05.2026" dataDxfId="240" dataCellStyle="Normal 2"/>
    <tableColumn id="69" xr3:uid="{93A91CED-1106-4A0F-AC0C-6BA210900905}" name="T06.2026" dataDxfId="239" dataCellStyle="Normal 2"/>
    <tableColumn id="70" xr3:uid="{90179108-353C-4543-AFC5-A5AF9F829DB7}" name="T07.2026" dataDxfId="238" dataCellStyle="Normal 2"/>
    <tableColumn id="71" xr3:uid="{A49505F4-E24D-43B3-AA85-183FDB7206A0}" name="T08.2026" dataDxfId="237" dataCellStyle="Normal 2"/>
    <tableColumn id="72" xr3:uid="{536B8955-BC1F-4A65-8B30-4EF276B31DBA}" name="T09.2026" dataDxfId="236" dataCellStyle="Normal 2"/>
    <tableColumn id="73" xr3:uid="{CA247662-F704-45F7-BB83-93CA8A75DB60}" name="T10.2026" dataDxfId="235" dataCellStyle="Normal 2"/>
    <tableColumn id="74" xr3:uid="{12C4A21B-16F5-47DB-82D1-2FBE2B9FC6EB}" name="T11.2026" dataDxfId="234" dataCellStyle="Normal 2"/>
    <tableColumn id="75" xr3:uid="{7249C54E-2DB9-479F-8592-02097D83BD35}" name="T12.2026" dataDxfId="233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0254DB-22AE-433C-840C-BFDB86E7F27B}" name="Data_PL" displayName="Data_PL" ref="A3:BW23" totalsRowShown="0" headerRowDxfId="232" dataDxfId="231" headerRowCellStyle="Comma 3">
  <tableColumns count="75">
    <tableColumn id="1" xr3:uid="{09A53E05-23AE-4DF4-AEB7-27DCECE48CF7}" name="Index PL" dataDxfId="230" dataCellStyle="Normal 2"/>
    <tableColumn id="2" xr3:uid="{DB85D722-4DED-4A7F-91AC-2BF32E397815}" name="PHẦN II-KẾT QUẢ HOẠT ĐỘNG KINH DOANH" dataDxfId="229" dataCellStyle="Normal 2"/>
    <tableColumn id="3" xr3:uid="{3F9E8365-34D5-4B2A-8DEA-63AC6D6D9429}" name="TenCongTyID" dataDxfId="228"/>
    <tableColumn id="4" xr3:uid="{76D796C8-136C-4B0C-B071-B4195AE669ED}" name="T1.2021" dataDxfId="227"/>
    <tableColumn id="5" xr3:uid="{C5F51713-8DCF-4FF3-97E0-AC5EB86CEB22}" name="T02.2021" dataDxfId="226"/>
    <tableColumn id="6" xr3:uid="{784FE63C-F097-4F13-9A2C-1683E959C976}" name="T03.2021" dataDxfId="225"/>
    <tableColumn id="7" xr3:uid="{8C33278E-6FCA-4274-978C-D4C375FC6387}" name="T04.2021" dataDxfId="224"/>
    <tableColumn id="8" xr3:uid="{8918CC85-130E-4EC6-B47C-40F74502E64A}" name="T05.2021" dataDxfId="223"/>
    <tableColumn id="9" xr3:uid="{3BE54026-E104-4DE5-9569-601354D80639}" name="T06.2021" dataDxfId="222"/>
    <tableColumn id="10" xr3:uid="{1EEFCC48-E7AD-4640-8603-3C3D9D668325}" name="T07.2021" dataDxfId="221"/>
    <tableColumn id="11" xr3:uid="{AC4DB955-F380-44F1-A3D0-E465A86BD8C7}" name="T08.2021" dataDxfId="220"/>
    <tableColumn id="12" xr3:uid="{540A1DC4-CF03-42B3-9763-790AAEC48758}" name="T09.2021" dataDxfId="219"/>
    <tableColumn id="13" xr3:uid="{3FE8D098-1203-4C5B-BE00-A58C1F98976F}" name="T10.2021" dataDxfId="218"/>
    <tableColumn id="14" xr3:uid="{076791D7-7319-49B0-8094-08CF6FA75A4C}" name="T11.2021" dataDxfId="217"/>
    <tableColumn id="15" xr3:uid="{97CC5C2C-D082-46D6-993D-97A48053B844}" name="T12.2021" dataDxfId="216"/>
    <tableColumn id="16" xr3:uid="{483E0BF3-293D-4021-B816-47F103A2B255}" name="T1.2022" dataDxfId="215"/>
    <tableColumn id="17" xr3:uid="{0F14EC9D-23DF-4075-8358-51BDF8CAF94B}" name="T02.2022" dataDxfId="214"/>
    <tableColumn id="18" xr3:uid="{81EE5674-EC29-486C-A123-FB6C9F1301E4}" name="T03.2022" dataDxfId="213"/>
    <tableColumn id="19" xr3:uid="{ACA89518-0D8B-425D-B30D-9356095BE50E}" name="T04.2022" dataDxfId="212"/>
    <tableColumn id="20" xr3:uid="{87AE22F5-59DA-4A4A-B2A4-DE28B30016E1}" name="T05.2022" dataDxfId="211"/>
    <tableColumn id="21" xr3:uid="{0497A9AE-4D6B-4BAE-9283-8A3200EC73F3}" name="T06.2022" dataDxfId="210"/>
    <tableColumn id="22" xr3:uid="{5C55E8F6-58A6-4270-BE0A-58858443EDDA}" name="T07.2022" dataDxfId="209"/>
    <tableColumn id="23" xr3:uid="{A8B02423-6D84-4EA5-851A-423230FF6DD0}" name="T08.2022" dataDxfId="208"/>
    <tableColumn id="24" xr3:uid="{6A1CEC53-5BB3-4407-AE04-94CF2FCD0907}" name="T09.2022" dataDxfId="207"/>
    <tableColumn id="25" xr3:uid="{00C695FC-B5CF-4C32-825B-A42402049530}" name="T10.2022" dataDxfId="206"/>
    <tableColumn id="26" xr3:uid="{B2133E09-BB3C-40C4-A333-BED7E1980ACD}" name="T11.2022" dataDxfId="205"/>
    <tableColumn id="27" xr3:uid="{4FDF5521-0F6C-4E4E-95F0-9BEC2802DD33}" name="T12.2022" dataDxfId="204"/>
    <tableColumn id="28" xr3:uid="{DD3953AE-7C8B-4544-BC9D-8B07A71DDA9B}" name="T1.2023" dataDxfId="203"/>
    <tableColumn id="29" xr3:uid="{D1E03D67-F473-4F77-B197-29CD0DD5025D}" name="T02.2023" dataDxfId="202"/>
    <tableColumn id="30" xr3:uid="{6DE011AE-EB82-49F4-B1F3-B4EB9DEC0498}" name="T03.2023" dataDxfId="201"/>
    <tableColumn id="31" xr3:uid="{21BA3635-17B7-4D3F-8BAF-0682562869A4}" name="T04.2023" dataDxfId="200"/>
    <tableColumn id="32" xr3:uid="{0341D7A4-50C2-47DB-B297-FB3A09B73316}" name="T05.2023" dataDxfId="199"/>
    <tableColumn id="33" xr3:uid="{275300F6-A44B-4583-A3E3-0AC8CAB7B87E}" name="T06.2023" dataDxfId="198"/>
    <tableColumn id="34" xr3:uid="{3B53BDF5-4F09-4E4D-A0D6-0110E5505F15}" name="T07.2023" dataDxfId="197"/>
    <tableColumn id="35" xr3:uid="{3A19BDD7-7F9B-4C2D-913C-78C3EF4B7F1B}" name="T08.2023" dataDxfId="196"/>
    <tableColumn id="36" xr3:uid="{DB65CDCA-2553-4E74-999F-C56D4870AF6B}" name="T09.2023" dataDxfId="195"/>
    <tableColumn id="37" xr3:uid="{19906A20-75E8-43A2-A395-4898DC5CAD84}" name="T10.2023" dataDxfId="194"/>
    <tableColumn id="38" xr3:uid="{6FBA8C54-8310-4739-BEC7-06B5D2A7C57D}" name="T11.2023" dataDxfId="193"/>
    <tableColumn id="39" xr3:uid="{5D1CD288-120C-43E3-8FE7-33BAF3942254}" name="T12.2023" dataDxfId="192"/>
    <tableColumn id="40" xr3:uid="{86F3EA6D-1B51-4F94-93A7-BA34C2B2F761}" name="T01.2024" dataDxfId="191"/>
    <tableColumn id="41" xr3:uid="{5CD888F9-3DC5-4E9D-9567-BFCB020C823C}" name="T02.2024" dataDxfId="190"/>
    <tableColumn id="42" xr3:uid="{7D290FB0-1893-4329-A0AA-9C59C9E22213}" name="T03.2024" dataDxfId="189"/>
    <tableColumn id="43" xr3:uid="{2C92737E-65CE-4C30-A389-945E8D2881AD}" name="T04.2024" dataDxfId="188"/>
    <tableColumn id="44" xr3:uid="{114AB7C2-2C5C-4330-A83A-6F6FC8E7A9B5}" name="T05.2024" dataDxfId="187"/>
    <tableColumn id="45" xr3:uid="{72E574DD-1204-48A4-829F-E2E4BFFD57B1}" name="T06.2024" dataDxfId="186"/>
    <tableColumn id="46" xr3:uid="{CBEACA0A-5EC6-4E16-9A24-771335A4C14C}" name="T07.2024" dataDxfId="185"/>
    <tableColumn id="47" xr3:uid="{6117CAF1-FA31-4BB6-9B49-8A032118D10D}" name="T08.2024" dataDxfId="184"/>
    <tableColumn id="48" xr3:uid="{3B586EAC-E010-4149-9802-218E9B0B28DE}" name="T09.2024" dataDxfId="183"/>
    <tableColumn id="49" xr3:uid="{5CB2BAFF-EF9D-43CB-BF1D-290A210305E0}" name="T10.2024" dataDxfId="182"/>
    <tableColumn id="50" xr3:uid="{EA30A861-BAD6-40EC-B60B-367465A70CA5}" name="T11.2024" dataDxfId="181"/>
    <tableColumn id="51" xr3:uid="{0F79D7B8-E66A-4B41-ACCB-19DE5A9145E0}" name="T12.2024" dataDxfId="180"/>
    <tableColumn id="52" xr3:uid="{1497B2D5-723C-47E6-BF13-1B2ACF2837BE}" name="T01.2025" dataDxfId="179"/>
    <tableColumn id="53" xr3:uid="{7A093173-3F1E-4304-BFFF-BD6CFBEB14B5}" name="T02.2025" dataDxfId="178"/>
    <tableColumn id="54" xr3:uid="{B7E63969-2818-43A5-A1F9-1FF93E74F80D}" name="T03.2025" dataDxfId="177"/>
    <tableColumn id="55" xr3:uid="{9A50F12D-464E-4667-9885-F1CC87FE51DA}" name="T04.2025" dataDxfId="176"/>
    <tableColumn id="56" xr3:uid="{893A1C5C-F87D-4D34-B2CE-36DFDF7A628C}" name="T05.2025" dataDxfId="175"/>
    <tableColumn id="57" xr3:uid="{3E9F0281-2DF8-4E43-ABFB-0C8CB37321F4}" name="T06.2025" dataDxfId="174"/>
    <tableColumn id="58" xr3:uid="{A21CCC9D-CFCE-46D6-A1C7-3881C3529308}" name="T07.2025" dataDxfId="173"/>
    <tableColumn id="59" xr3:uid="{320F81E1-9A62-42E2-B4D3-AF0EF74BB4C8}" name="T08.2025" dataDxfId="172"/>
    <tableColumn id="60" xr3:uid="{B0A9020C-A0D5-4FF7-880F-1CD9B38E3B1B}" name="T09.2025" dataDxfId="171"/>
    <tableColumn id="61" xr3:uid="{3F611415-0E18-4C58-B4B1-273D150ABD07}" name="T10.2025" dataDxfId="170"/>
    <tableColumn id="62" xr3:uid="{8087ECF7-CEAC-4D72-9B97-F3BF878FC11A}" name="T11.2025" dataDxfId="169"/>
    <tableColumn id="63" xr3:uid="{DD8F7552-5D67-428D-B12A-AFE6756FBC9E}" name="T12.2025" dataDxfId="168"/>
    <tableColumn id="64" xr3:uid="{CD6CFEE8-0AC4-4058-921D-CCA0840918B8}" name="T01.2026" dataDxfId="167"/>
    <tableColumn id="65" xr3:uid="{203B60D1-0BCE-479B-BC17-86A9DD77FB03}" name="T02.2026" dataDxfId="166"/>
    <tableColumn id="66" xr3:uid="{FB3998CE-ABF2-4D41-935D-74D70406F440}" name="T03.2026" dataDxfId="165"/>
    <tableColumn id="67" xr3:uid="{A81D89CF-FECA-4FE3-A35F-AF685272BB94}" name="T04.2026" dataDxfId="164"/>
    <tableColumn id="68" xr3:uid="{C7497D46-13F6-4C0C-BD05-F18DC8B67B75}" name="T05.2026" dataDxfId="163"/>
    <tableColumn id="69" xr3:uid="{04D7E392-DB0C-485F-A207-6C4830C2578B}" name="T06.2026" dataDxfId="162"/>
    <tableColumn id="70" xr3:uid="{1E3DD02B-C00D-4388-BF85-5C39739F8BA7}" name="T07.2026" dataDxfId="161"/>
    <tableColumn id="71" xr3:uid="{CF6ED906-AC02-4BBD-BC36-CEF99F77566E}" name="T08.2026" dataDxfId="160"/>
    <tableColumn id="72" xr3:uid="{7BE696A5-F4F5-43FB-82F8-18696503DF39}" name="T09.2026" dataDxfId="159"/>
    <tableColumn id="73" xr3:uid="{9E42F655-D816-459C-BA08-1A409FBBB106}" name="T10.2026" dataDxfId="158"/>
    <tableColumn id="74" xr3:uid="{B539E2B4-936C-4A5A-A4DF-A6B6D4C73679}" name="T11.2026" dataDxfId="157"/>
    <tableColumn id="75" xr3:uid="{3D9455D8-0CFD-4D8B-BBEB-63B89971BFFC}" name="T12.2026" dataDxfId="15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1EB7A3-8F4B-4781-83BF-6C181CF5C287}" name="Data_CF" displayName="Data_CF" ref="A3:BW44" totalsRowShown="0" headerRowDxfId="155" dataDxfId="154" headerRowCellStyle="Normal 2" dataCellStyle="Comma 5">
  <tableColumns count="75">
    <tableColumn id="1" xr3:uid="{EEE715AD-67A6-4FA0-BF37-5A9D1D762C7C}" name="Index CF" dataDxfId="153" dataCellStyle="Normal 2"/>
    <tableColumn id="2" xr3:uid="{C270A101-532C-4C0A-A5F9-87908F98C20A}" name="PHẦN III- LƯU CHUYỂN TIỀN TỆ" dataDxfId="152" dataCellStyle="Normal 2"/>
    <tableColumn id="3" xr3:uid="{45EDCA52-D65D-4274-80DA-1B8D16E5DD91}" name="TenCongTyID" dataDxfId="151" dataCellStyle="Comma 5"/>
    <tableColumn id="4" xr3:uid="{9584B657-3DD3-4836-9C21-5D89515B4129}" name="T1.2021" dataDxfId="150" dataCellStyle="Comma 5"/>
    <tableColumn id="5" xr3:uid="{165AD564-7044-416A-A510-66964C58D097}" name="T02.2021" dataDxfId="149" dataCellStyle="Comma 5"/>
    <tableColumn id="6" xr3:uid="{43F29084-E8E6-427A-A78C-2D2980B00528}" name="T03.2021" dataDxfId="148" dataCellStyle="Comma 5"/>
    <tableColumn id="7" xr3:uid="{5A492508-876B-447A-ABBD-48CD4E3F8BAB}" name="T04.2021" dataDxfId="147" dataCellStyle="Comma 5"/>
    <tableColumn id="8" xr3:uid="{AD3D2B06-AFE9-4C22-8044-9CCE361A4434}" name="T05.2021" dataDxfId="146" dataCellStyle="Comma 5"/>
    <tableColumn id="9" xr3:uid="{BB0133B5-720E-4B79-933B-AE71EB543A15}" name="T06.2021" dataDxfId="145" dataCellStyle="Comma 5"/>
    <tableColumn id="10" xr3:uid="{B401810D-890A-4D63-8F5C-4045AC41D853}" name="T07.2021" dataDxfId="144" dataCellStyle="Comma 5"/>
    <tableColumn id="11" xr3:uid="{8D7FA15D-0AF5-4289-AA5A-507EE9DD6D94}" name="T08.2021" dataDxfId="143" dataCellStyle="Comma 5"/>
    <tableColumn id="12" xr3:uid="{4F37387C-950D-4AF2-8E50-4DE20DDD3A78}" name="T09.2021" dataDxfId="142" dataCellStyle="Comma 5"/>
    <tableColumn id="13" xr3:uid="{9F9E85F9-AAA9-40A4-BEDD-580081AADC42}" name="T10.2021" dataDxfId="141" dataCellStyle="Comma 5"/>
    <tableColumn id="14" xr3:uid="{A98DC32D-E94E-4FF6-9651-530156F83003}" name="T11.2021" dataDxfId="140" dataCellStyle="Comma 5"/>
    <tableColumn id="15" xr3:uid="{9E7315D8-B48E-48FB-B00B-18E10F522947}" name="T12.2021" dataDxfId="139" dataCellStyle="Comma 5"/>
    <tableColumn id="16" xr3:uid="{5BE5A7D0-D2B6-467D-8F72-2D5E45BE031F}" name="T1.2022" dataDxfId="138" dataCellStyle="Comma 5"/>
    <tableColumn id="17" xr3:uid="{A7C0347B-66A8-40A7-9E28-5C8E05B1D48D}" name="T02.2022" dataDxfId="137" dataCellStyle="Comma 5"/>
    <tableColumn id="18" xr3:uid="{B765754F-4A0E-4BEB-B9FA-9C47E531E08B}" name="T03.2022" dataDxfId="136" dataCellStyle="Comma 5"/>
    <tableColumn id="19" xr3:uid="{EC7BEF85-B997-446F-8AFE-E6AB73A07419}" name="T04.2022" dataDxfId="135" dataCellStyle="Comma 5"/>
    <tableColumn id="20" xr3:uid="{394AAAA0-3D0A-49EB-83BC-650A183EBC4B}" name="T05.2022" dataDxfId="134" dataCellStyle="Comma 5"/>
    <tableColumn id="21" xr3:uid="{64B30582-3CEF-4189-A2AB-F338E6476C21}" name="T06.2022" dataDxfId="133" dataCellStyle="Comma 5"/>
    <tableColumn id="22" xr3:uid="{76BCFED5-5E00-412B-9C7D-F92D5D2C6291}" name="T07.2022" dataDxfId="132" dataCellStyle="Comma 5"/>
    <tableColumn id="23" xr3:uid="{85E04907-4C20-447B-81AA-A2FB13EBE6B6}" name="T08.2022" dataDxfId="131" dataCellStyle="Comma 5"/>
    <tableColumn id="24" xr3:uid="{8E5823BF-60C0-4C78-9A02-0598554A1E15}" name="T09.2022" dataDxfId="130" dataCellStyle="Comma 5"/>
    <tableColumn id="25" xr3:uid="{3F567D04-D012-445B-B11C-1AE6A0FA2A2C}" name="T10.2022" dataDxfId="129" dataCellStyle="Comma 5"/>
    <tableColumn id="26" xr3:uid="{2E594D43-30C7-49E2-B8F9-5FF34C739C2E}" name="T11.2022" dataDxfId="128" dataCellStyle="Comma 5"/>
    <tableColumn id="27" xr3:uid="{C7C7CBB6-54B3-4273-BEAA-8A1D5D47CFE5}" name="T12.2022" dataDxfId="127" dataCellStyle="Comma 5"/>
    <tableColumn id="28" xr3:uid="{CDBE8E45-417C-4303-B5F9-AA2D499ACCAF}" name="T1.2023" dataDxfId="126" dataCellStyle="Comma 5"/>
    <tableColumn id="29" xr3:uid="{9B9A0418-BEDD-478F-8EA6-3500CBEAF74D}" name="T02.2023" dataDxfId="125" dataCellStyle="Comma 5"/>
    <tableColumn id="30" xr3:uid="{FBE80876-E7F9-4D36-9DFB-B4EE70DB9513}" name="T03.2023" dataDxfId="124" dataCellStyle="Comma 5"/>
    <tableColumn id="31" xr3:uid="{2DD25E77-8CCA-4231-8AEC-F615138F413B}" name="T04.2023" dataDxfId="123" dataCellStyle="Comma 5"/>
    <tableColumn id="32" xr3:uid="{BA2FBC68-B9E2-41EB-BFF7-AB54424CA4D7}" name="T05.2023" dataDxfId="122" dataCellStyle="Comma 5"/>
    <tableColumn id="33" xr3:uid="{33567F21-79EB-44D1-AB3D-E8BA8A302F79}" name="T06.2023" dataDxfId="121" dataCellStyle="Comma 5"/>
    <tableColumn id="34" xr3:uid="{787C76E2-F4C9-455B-9668-775EA5C85D00}" name="T07.2023" dataDxfId="120" dataCellStyle="Comma 5"/>
    <tableColumn id="35" xr3:uid="{DD741C09-B917-4201-BB00-4F37D134DC8B}" name="T08.2023" dataDxfId="119" dataCellStyle="Comma 5"/>
    <tableColumn id="36" xr3:uid="{64A579E0-241D-4305-BC91-8CD48D72F8F8}" name="T09.2023" dataDxfId="118" dataCellStyle="Comma 5"/>
    <tableColumn id="37" xr3:uid="{740B2FB8-3170-41E4-AF8A-6525995B373A}" name="T10.2023" dataDxfId="117" dataCellStyle="Comma 5"/>
    <tableColumn id="38" xr3:uid="{3974BA85-A030-4766-AE60-9E1C95A56250}" name="T11.2023" dataDxfId="116" dataCellStyle="Comma 5"/>
    <tableColumn id="39" xr3:uid="{391ECABD-03B6-41CB-B948-CDD16098D97A}" name="T12.2023" dataDxfId="115" dataCellStyle="Comma 5"/>
    <tableColumn id="40" xr3:uid="{ECD6F1BD-9316-441C-944A-32BDC42A4F05}" name="T01.2024" dataDxfId="114" dataCellStyle="Comma 5"/>
    <tableColumn id="41" xr3:uid="{C90F287D-609F-4FF4-89C9-706D1518C8A7}" name="T02.2024" dataDxfId="113" dataCellStyle="Comma 5"/>
    <tableColumn id="42" xr3:uid="{30F574DB-5B37-4ADC-922F-58BBEC04B6E5}" name="T03.2024" dataDxfId="112" dataCellStyle="Comma 5"/>
    <tableColumn id="43" xr3:uid="{0389F191-4464-40C0-B98C-89C904286BA6}" name="T04.2024" dataDxfId="111" dataCellStyle="Comma 5"/>
    <tableColumn id="44" xr3:uid="{5076A950-92AD-401F-91A3-197842A7B140}" name="T05.2024" dataDxfId="110" dataCellStyle="Comma 5"/>
    <tableColumn id="45" xr3:uid="{7F699DE7-6E2E-4B53-B036-C9A01165E6BF}" name="T06.2024" dataDxfId="109" dataCellStyle="Comma 5"/>
    <tableColumn id="46" xr3:uid="{E19AA45D-6E0C-4A59-8F6E-A8396902D9ED}" name="T07.2024" dataDxfId="108" dataCellStyle="Comma 5"/>
    <tableColumn id="47" xr3:uid="{516D6503-2920-46A7-BDFC-367166C956BE}" name="T08.2024" dataDxfId="107" dataCellStyle="Comma 5"/>
    <tableColumn id="48" xr3:uid="{10EB82A2-0073-4291-86D6-1EC5AF3CF439}" name="T09.2024" dataDxfId="106" dataCellStyle="Comma 5"/>
    <tableColumn id="49" xr3:uid="{E14DD1F2-0E4E-4D3A-B5E0-9F2420763F0F}" name="T10.2024" dataDxfId="105" dataCellStyle="Comma 5"/>
    <tableColumn id="50" xr3:uid="{6831F0C8-8D67-4A69-8F5A-E5E438AAC26A}" name="T11.2024" dataDxfId="104" dataCellStyle="Comma 5"/>
    <tableColumn id="51" xr3:uid="{DE596292-E81A-4255-BEE7-B7216302B91C}" name="T12.2024" dataDxfId="103" dataCellStyle="Comma 5"/>
    <tableColumn id="52" xr3:uid="{D9514EAE-6440-427B-B834-6A329212D2D5}" name="T01.2025" dataDxfId="102" dataCellStyle="Comma 5"/>
    <tableColumn id="53" xr3:uid="{B3401AAD-617E-44C2-ADCA-3CC2D8797A06}" name="T02.2025" dataDxfId="101" dataCellStyle="Comma 5"/>
    <tableColumn id="54" xr3:uid="{3F38D911-F472-4175-BAAA-37C89CC9CFC5}" name="T03.2025" dataDxfId="100" dataCellStyle="Comma 5"/>
    <tableColumn id="55" xr3:uid="{FCC7F8BA-8D89-4C81-912F-DAD96FF69E51}" name="T04.2025" dataDxfId="99" dataCellStyle="Comma 5"/>
    <tableColumn id="56" xr3:uid="{E905268A-1D5C-4292-AA19-C06EA94F73D4}" name="T05.2025" dataDxfId="98" dataCellStyle="Comma 5"/>
    <tableColumn id="57" xr3:uid="{883F7CDD-4412-43B8-ABD6-AAE74D8CFF54}" name="T06.2025" dataDxfId="97" dataCellStyle="Comma 5"/>
    <tableColumn id="58" xr3:uid="{25625EA4-0C19-40C4-94E3-3AAF2B8A0AB5}" name="T07.2025" dataDxfId="96" dataCellStyle="Comma 5"/>
    <tableColumn id="59" xr3:uid="{460637E8-ADA9-43D7-8628-D0637FAC62A5}" name="T08.2025" dataDxfId="95" dataCellStyle="Comma 5"/>
    <tableColumn id="60" xr3:uid="{395D98BF-7189-4F48-8ACB-0643E3375AF3}" name="T09.2025" dataDxfId="94" dataCellStyle="Comma 5"/>
    <tableColumn id="61" xr3:uid="{AC6B3BCB-775C-45B3-863F-9244EE9BDAAA}" name="T10.2025" dataDxfId="93" dataCellStyle="Comma 5"/>
    <tableColumn id="62" xr3:uid="{94859D6D-9FB5-4E94-A59D-C881818CF569}" name="T11.2025" dataDxfId="92" dataCellStyle="Comma 5"/>
    <tableColumn id="63" xr3:uid="{C9A74D33-31F7-41FB-B3C6-D9CC095AF514}" name="T12.2025" dataDxfId="91" dataCellStyle="Comma 5"/>
    <tableColumn id="64" xr3:uid="{BF4343B2-800D-4131-A4D9-A03776E62C8C}" name="T01.2026" dataDxfId="90" dataCellStyle="Comma 5"/>
    <tableColumn id="65" xr3:uid="{C57A1C54-EE71-46C8-B62D-8DA23EE0C5CD}" name="T02.2026" dataDxfId="89" dataCellStyle="Comma 5"/>
    <tableColumn id="66" xr3:uid="{621F7EE0-667B-4761-B0A9-222BB601333B}" name="T03.2026" dataDxfId="88" dataCellStyle="Comma 5"/>
    <tableColumn id="67" xr3:uid="{FD19B120-19AF-41F8-932E-1FF6C6873D02}" name="T04.2026" dataDxfId="87" dataCellStyle="Comma 5"/>
    <tableColumn id="68" xr3:uid="{0AF42570-D0AD-439C-9594-FEC64C94AD09}" name="T05.2026" dataDxfId="86" dataCellStyle="Comma 5"/>
    <tableColumn id="69" xr3:uid="{B49B0B27-0C95-49A3-A36E-ECB76CA57A70}" name="T06.2026" dataDxfId="85" dataCellStyle="Comma 5"/>
    <tableColumn id="70" xr3:uid="{EA77979F-8973-4628-AFF7-5DD9886DECB2}" name="T07.2026" dataDxfId="84" dataCellStyle="Comma 5"/>
    <tableColumn id="71" xr3:uid="{A543D889-9D5B-46C4-9E54-11ED8B599227}" name="T08.2026" dataDxfId="83" dataCellStyle="Comma 5"/>
    <tableColumn id="72" xr3:uid="{276C5073-7450-47D2-9089-450B9083144D}" name="T09.2026" dataDxfId="82" dataCellStyle="Comma 5"/>
    <tableColumn id="73" xr3:uid="{587D997E-E8A1-4B41-85D4-E4385D66B14F}" name="T10.2026" dataDxfId="81" dataCellStyle="Comma 5"/>
    <tableColumn id="74" xr3:uid="{F2A4ED41-89B0-4250-99C6-1D14CB540BA7}" name="T11.2026" dataDxfId="80" dataCellStyle="Comma 5"/>
    <tableColumn id="75" xr3:uid="{EBC86742-D812-4C37-998B-D62371E7E4B7}" name="T12.2026" dataDxfId="79" dataCellStyle="Comma 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A5FDA2-A0CD-4623-880C-834DA1F75BC1}" name="Data_PL_Element" displayName="Data_PL_Element" ref="A3:BW57" totalsRowShown="0" headerRowDxfId="387" dataDxfId="385" headerRowBorderDxfId="386" headerRowCellStyle="Normal 3">
  <tableColumns count="75">
    <tableColumn id="1" xr3:uid="{58895DBF-6C5B-4F1E-9607-82A81DBAEC89}" name="Index PL Element" dataDxfId="384"/>
    <tableColumn id="2" xr3:uid="{BFBFEDF7-C376-4B0B-90BC-FC71BB1E646E}" name="PHẦN IV: CHI PHÍ THEO YẾU TỐ" dataDxfId="383"/>
    <tableColumn id="3" xr3:uid="{320581A8-06CB-4ABB-B6E3-F3C31F9EB2B3}" name="TenCongTyID" dataDxfId="382" dataCellStyle="Normal 2"/>
    <tableColumn id="4" xr3:uid="{FE116A8D-AB62-4FB7-B9F9-B94F00EE8419}" name="T1.2021" dataDxfId="381"/>
    <tableColumn id="5" xr3:uid="{5B1405AA-57CC-4C31-9E96-20D8811DEC04}" name="T02.2021" dataDxfId="380"/>
    <tableColumn id="6" xr3:uid="{C166AD1F-CE28-4094-A8BA-2203E4B1D42B}" name="T03.2021" dataDxfId="379"/>
    <tableColumn id="7" xr3:uid="{F899E2CA-F0EE-4912-A511-2439980E752C}" name="T04.2021" dataDxfId="378"/>
    <tableColumn id="8" xr3:uid="{77894389-D261-4CB3-943A-601F2D4F981B}" name="T05.2021" dataDxfId="377"/>
    <tableColumn id="9" xr3:uid="{C17014C8-45F5-4D5E-93A0-A2D8ED31C287}" name="T06.2021" dataDxfId="376"/>
    <tableColumn id="10" xr3:uid="{A07CCC05-56F3-41F4-A83D-86ABA7EB6246}" name="T07.2021" dataDxfId="375"/>
    <tableColumn id="11" xr3:uid="{EED7BDFB-B214-4CAB-B531-5BF74F127109}" name="T08.2021" dataDxfId="374"/>
    <tableColumn id="12" xr3:uid="{4D5ACE5B-C5B1-4E03-B3C6-8D5E8175FFF9}" name="T09.2021" dataDxfId="373"/>
    <tableColumn id="13" xr3:uid="{EE14ACF0-5427-4BFD-AAD5-E9B765749858}" name="T10.2021" dataDxfId="372"/>
    <tableColumn id="14" xr3:uid="{36A365E8-F3C4-404D-943D-881A162038D3}" name="T11.2021" dataDxfId="371"/>
    <tableColumn id="15" xr3:uid="{886A7268-2FB3-4202-9F38-413D4006F551}" name="T12.2021" dataDxfId="370"/>
    <tableColumn id="16" xr3:uid="{B3B11497-432F-40C7-A78F-7EE9CA550489}" name="T1.2022" dataDxfId="369"/>
    <tableColumn id="17" xr3:uid="{B2203C55-4389-428F-9790-F6F32E48C4DD}" name="T02.2022" dataDxfId="368"/>
    <tableColumn id="18" xr3:uid="{D7A91839-287A-4833-BF4D-06BA2C512834}" name="T03.2022" dataDxfId="367"/>
    <tableColumn id="19" xr3:uid="{1E70B4A4-87ED-4B78-A583-F812CD0BA170}" name="T04.2022" dataDxfId="366"/>
    <tableColumn id="20" xr3:uid="{44D14C66-7C0B-4DE7-8A00-BA80CB10E0E1}" name="T05.2022" dataDxfId="365"/>
    <tableColumn id="21" xr3:uid="{8515CBF5-E742-47E1-8E53-2ADBDF8A8AD9}" name="T06.2022" dataDxfId="364"/>
    <tableColumn id="22" xr3:uid="{2F1ADAF9-E8E7-4ED7-8D4C-E57D57DEDF25}" name="T07.2022" dataDxfId="363"/>
    <tableColumn id="23" xr3:uid="{17D3274D-3AAD-4D3B-93D8-70398816A0F0}" name="T08.2022" dataDxfId="362"/>
    <tableColumn id="24" xr3:uid="{452EC7C8-6006-4708-BEF4-8DD0D50E4592}" name="T09.2022" dataDxfId="361"/>
    <tableColumn id="25" xr3:uid="{FAAB7852-44CB-4DEB-8086-973FD0E7FF76}" name="T10.2022" dataDxfId="360"/>
    <tableColumn id="26" xr3:uid="{1C775901-52FC-4B6C-BF64-8B1C27C1C2D9}" name="T11.2022" dataDxfId="359"/>
    <tableColumn id="27" xr3:uid="{8E24EA68-6C28-4E8C-93F7-772DBB6C0E99}" name="T12.2022" dataDxfId="358"/>
    <tableColumn id="28" xr3:uid="{29204A00-F342-4207-A575-A9C054EE8F4E}" name="T1.2023" dataDxfId="357"/>
    <tableColumn id="29" xr3:uid="{18013829-84AD-4C8C-BF46-6E3F14AE96A8}" name="T02.2023" dataDxfId="356"/>
    <tableColumn id="30" xr3:uid="{2E753BE5-77F8-488D-B79F-EBD499E2CAC2}" name="T03.2023" dataDxfId="355"/>
    <tableColumn id="31" xr3:uid="{5713C016-2928-492C-A8F1-518F7AC19202}" name="T04.2023" dataDxfId="354"/>
    <tableColumn id="32" xr3:uid="{A2649DE8-ECA0-4884-BC92-DA6FA79A7FD6}" name="T05.2023" dataDxfId="353"/>
    <tableColumn id="33" xr3:uid="{124932A5-22BE-4785-8FE0-1A0B6753BA9B}" name="T06.2023" dataDxfId="352"/>
    <tableColumn id="34" xr3:uid="{E027A876-D50C-407F-84C2-5CECDF1A69E5}" name="T07.2023" dataDxfId="351"/>
    <tableColumn id="35" xr3:uid="{024FF575-4779-463D-930C-5BE11B88F9FD}" name="T08.2023" dataDxfId="350"/>
    <tableColumn id="36" xr3:uid="{1A3C199A-6B19-4157-9ECA-F8A546D8B007}" name="T09.2023" dataDxfId="349"/>
    <tableColumn id="37" xr3:uid="{34185D0A-97D0-4524-A367-0DA6F6862F3A}" name="T10.2023" dataDxfId="348"/>
    <tableColumn id="38" xr3:uid="{D9A38165-E07B-4880-9BA9-199100C894A3}" name="T11.2023" dataDxfId="347"/>
    <tableColumn id="39" xr3:uid="{27E89544-6936-436B-BAEA-553247E3982F}" name="T12.2023" dataDxfId="346"/>
    <tableColumn id="40" xr3:uid="{27C54B49-B91B-4F51-9454-FB3AC1C4C461}" name="T01.2024" dataDxfId="345"/>
    <tableColumn id="41" xr3:uid="{EFB0AD73-58F3-4BA8-8B3D-AC5087F9F07A}" name="T02.2024" dataDxfId="344"/>
    <tableColumn id="42" xr3:uid="{C2F93ECA-E17E-4F11-BF6A-1EDDDDD821DE}" name="T03.2024" dataDxfId="343"/>
    <tableColumn id="43" xr3:uid="{A74384E7-9E36-4BF6-ACE2-71AD4715402D}" name="T04.2024" dataDxfId="342"/>
    <tableColumn id="44" xr3:uid="{DF86E57E-E939-4DA0-BF7D-C8BF99E50E8C}" name="T05.2024" dataDxfId="341"/>
    <tableColumn id="45" xr3:uid="{857DBB9A-E0FB-4AC8-8578-6C21B7693A02}" name="T06.2024" dataDxfId="340"/>
    <tableColumn id="46" xr3:uid="{6924B08D-E46B-46F2-9928-5DE62AC1C29B}" name="T07.2024" dataDxfId="339"/>
    <tableColumn id="47" xr3:uid="{BCFB6B1D-C053-46EC-B99A-DDD7520DD65E}" name="T08.2024" dataDxfId="338"/>
    <tableColumn id="48" xr3:uid="{6D526AF3-E735-45B7-BD1A-E74F8BC18766}" name="T09.2024" dataDxfId="337"/>
    <tableColumn id="49" xr3:uid="{DCF50DCD-3474-44F7-8EC8-464D5619F0F1}" name="T10.2024" dataDxfId="336"/>
    <tableColumn id="50" xr3:uid="{24F652F0-1840-4219-B9D1-8969C97784B6}" name="T11.2024" dataDxfId="335"/>
    <tableColumn id="51" xr3:uid="{8A778B0B-A3A1-403F-8100-DC7D10959E64}" name="T12.2024" dataDxfId="334"/>
    <tableColumn id="52" xr3:uid="{2D4DABF8-FEF2-44FF-9128-9B83A5B88C80}" name="T01.2025" dataDxfId="333"/>
    <tableColumn id="53" xr3:uid="{2B29824A-8B59-4157-A8EA-B0E96C220349}" name="T02.2025" dataDxfId="332"/>
    <tableColumn id="54" xr3:uid="{9C79D137-1A96-4ACC-87E2-84952DDFE8FB}" name="T03.2025" dataDxfId="331"/>
    <tableColumn id="55" xr3:uid="{A92CC343-9802-4BE7-8F03-12CEF69A1629}" name="T04.2025" dataDxfId="330"/>
    <tableColumn id="56" xr3:uid="{E3575FCB-ADD5-489A-A1DB-614008FA3B58}" name="T05.2025" dataDxfId="329"/>
    <tableColumn id="57" xr3:uid="{9A8BD3F4-FAAE-4691-924B-32CDA04FC8A6}" name="T06.2025" dataDxfId="328"/>
    <tableColumn id="58" xr3:uid="{52B56161-EC8E-48A2-8DBA-2B17826F8008}" name="T07.2025" dataDxfId="327"/>
    <tableColumn id="59" xr3:uid="{D3D15477-15A2-4415-ABA1-0D39988688BA}" name="T08.2025" dataDxfId="326"/>
    <tableColumn id="60" xr3:uid="{10CC4E7F-9A20-4AFE-8DDB-6C0FFD706EB0}" name="T09.2025" dataDxfId="325"/>
    <tableColumn id="61" xr3:uid="{603E915E-5017-4EC3-9145-9DF9FC9B9FBB}" name="T10.2025" dataDxfId="324"/>
    <tableColumn id="62" xr3:uid="{C6D03CE8-FED0-42B0-9B33-C911F8CD3E3C}" name="T11.2025" dataDxfId="323"/>
    <tableColumn id="63" xr3:uid="{A423138D-AB35-445A-9B77-A48A28E2BA8D}" name="T12.2025" dataDxfId="322"/>
    <tableColumn id="64" xr3:uid="{FA088303-CE74-4814-BD0D-1CED05F9B5D1}" name="T01.2026" dataDxfId="321"/>
    <tableColumn id="65" xr3:uid="{5C7D93A0-3A23-436C-9E86-103BB6AC05CC}" name="T02.2026" dataDxfId="320"/>
    <tableColumn id="66" xr3:uid="{1FF44B43-095B-4448-AD00-CFD2B567A448}" name="T03.2026" dataDxfId="319"/>
    <tableColumn id="67" xr3:uid="{95A84D33-42BB-47A6-9D44-C69E29B3D2B5}" name="T04.2026" dataDxfId="318"/>
    <tableColumn id="68" xr3:uid="{FD5295B2-FAC7-4490-9C64-92AF83B0B2A6}" name="T05.2026" dataDxfId="317"/>
    <tableColumn id="69" xr3:uid="{33FEA4AF-29DC-4C58-AD14-DD3237E7ECF2}" name="T06.2026" dataDxfId="316"/>
    <tableColumn id="70" xr3:uid="{73783770-6BE8-4C9C-8D7C-24AD81DB80CC}" name="T07.2026" dataDxfId="315"/>
    <tableColumn id="71" xr3:uid="{1FB3D702-A327-42D3-B55F-CC3F2180C717}" name="T08.2026" dataDxfId="314"/>
    <tableColumn id="72" xr3:uid="{EA275ADC-3CBB-4FB4-B8CD-B49EAB99527E}" name="T09.2026" dataDxfId="313"/>
    <tableColumn id="73" xr3:uid="{0DA03432-272D-4EE0-A0B7-8B0D53490F3F}" name="T10.2026" dataDxfId="312"/>
    <tableColumn id="74" xr3:uid="{96337D1F-3AA9-4437-848A-4FC8EBA9CEC0}" name="T11.2026" dataDxfId="311"/>
    <tableColumn id="75" xr3:uid="{0DDD4B25-6525-4791-B75A-B3D31C551B13}" name="T12.2026" dataDxfId="31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EBD592-56C9-4E15-84E9-0C562E21711A}" name="Data_Loan" displayName="Data_Loan" ref="A3:BW74" totalsRowShown="0" headerRowDxfId="78" dataDxfId="76" headerRowBorderDxfId="77" tableBorderDxfId="75" headerRowCellStyle="Normal 2" dataCellStyle="Normal 2">
  <tableColumns count="75">
    <tableColumn id="1" xr3:uid="{2341E75D-DA82-47CC-A260-02F4953F71F8}" name="Index Loan" dataDxfId="74" dataCellStyle="Normal 2"/>
    <tableColumn id="2" xr3:uid="{762025BC-2A07-40F2-9159-DDBE671A2426}" name="PHẦN V: CHI TIẾT NỢ VAY NGÂN HÀNG" dataDxfId="73" dataCellStyle="Normal 2"/>
    <tableColumn id="3" xr3:uid="{E856ACE9-0441-4345-B76A-7BD343A1BF11}" name="TenCongTyID" dataDxfId="72" dataCellStyle="Normal 2"/>
    <tableColumn id="4" xr3:uid="{8691BA70-D31B-4B7C-B7CC-B9C20CF55488}" name="T1.2021" dataDxfId="71" dataCellStyle="Normal 2"/>
    <tableColumn id="5" xr3:uid="{B3DC86C4-8C64-4F0C-BD72-6E4DC20E74C6}" name="T02.2021" dataDxfId="70" dataCellStyle="Normal 2"/>
    <tableColumn id="6" xr3:uid="{6F47EF02-6AFD-4E4D-B945-C22B1B3678C7}" name="T03.2021" dataDxfId="69" dataCellStyle="Normal 2"/>
    <tableColumn id="7" xr3:uid="{93D96CB0-4398-4AE4-9592-7C6A7631711D}" name="T04.2021" dataDxfId="68" dataCellStyle="Normal 2"/>
    <tableColumn id="8" xr3:uid="{7AC12B89-54E4-46D2-9BE1-1FD335426B07}" name="T05.2021" dataDxfId="67" dataCellStyle="Normal 2"/>
    <tableColumn id="9" xr3:uid="{6C125D41-06B0-4714-A39D-2DD72620382A}" name="T06.2021" dataDxfId="66" dataCellStyle="Normal 2"/>
    <tableColumn id="10" xr3:uid="{D459C185-C139-4072-8C97-D70685BBAC97}" name="T07.2021" dataDxfId="65" dataCellStyle="Normal 2"/>
    <tableColumn id="11" xr3:uid="{76D2A8C6-C97B-4E1F-8CF0-8C0F51F3CD5B}" name="T08.2021" dataDxfId="64" dataCellStyle="Normal 2"/>
    <tableColumn id="12" xr3:uid="{FD0E1B1F-D5FC-436D-ACE7-8A40A6ECBCC5}" name="T09.2021" dataDxfId="63" dataCellStyle="Normal 2"/>
    <tableColumn id="13" xr3:uid="{45B6DB97-265F-42BA-83C0-0E39109841DA}" name="T10.2021" dataDxfId="62" dataCellStyle="Normal 2"/>
    <tableColumn id="14" xr3:uid="{ECF42299-8A91-4DB8-90BF-D1CB0EA40305}" name="T11.2021" dataDxfId="61" dataCellStyle="Normal 2"/>
    <tableColumn id="15" xr3:uid="{EE0E66B9-7D75-4889-A220-980810545261}" name="T12.2021" dataDxfId="60" dataCellStyle="Normal 2"/>
    <tableColumn id="16" xr3:uid="{078B855B-AD76-4F68-8756-6E5E36BB06E4}" name="T1.2022" dataDxfId="59" dataCellStyle="Normal 2"/>
    <tableColumn id="17" xr3:uid="{DD6D8615-CFBE-4DC9-9DE3-B3C2740D9F02}" name="T02.2022" dataDxfId="58" dataCellStyle="Normal 2"/>
    <tableColumn id="18" xr3:uid="{519D7DDF-46BB-42EE-A582-5E7DD8178E79}" name="T03.2022" dataDxfId="57" dataCellStyle="Normal 2"/>
    <tableColumn id="19" xr3:uid="{5C0FEF30-93C4-41BE-88C6-75FA520FF09E}" name="T04.2022" dataDxfId="56" dataCellStyle="Normal 2"/>
    <tableColumn id="20" xr3:uid="{34C4BABC-1562-48D2-9D4A-4F23F9650E29}" name="T05.2022" dataDxfId="55" dataCellStyle="Normal 2"/>
    <tableColumn id="21" xr3:uid="{C9E5E805-EBD1-4192-AAFF-D930B194D1D3}" name="T06.2022" dataDxfId="54" dataCellStyle="Normal 2"/>
    <tableColumn id="22" xr3:uid="{E14FD13A-AA7B-46C8-8C3E-55E36DE4D8C0}" name="T07.2022" dataDxfId="53" dataCellStyle="Normal 2"/>
    <tableColumn id="23" xr3:uid="{9D0F3DE3-FC36-44A5-80E4-F920F9DB6F95}" name="T08.2022" dataDxfId="52" dataCellStyle="Normal 2"/>
    <tableColumn id="24" xr3:uid="{76707206-DFEE-487E-88CD-0C2B3FB2C1AD}" name="T09.2022" dataDxfId="51" dataCellStyle="Normal 2"/>
    <tableColumn id="25" xr3:uid="{06686E6A-80A8-4A41-B40E-1E6597096646}" name="T10.2022" dataDxfId="50" dataCellStyle="Normal 2"/>
    <tableColumn id="26" xr3:uid="{78A3A60D-4FAD-4228-943B-5326DE0FA3B2}" name="T11.2022" dataDxfId="49" dataCellStyle="Normal 2"/>
    <tableColumn id="27" xr3:uid="{E86ECB6F-941C-4CEC-9645-3DC3AC5CCFD1}" name="T12.2022" dataDxfId="48" dataCellStyle="Normal 2"/>
    <tableColumn id="28" xr3:uid="{0D51FD2D-63C8-476E-B9E4-51AF0AD01A65}" name="T1.2023" dataDxfId="47" dataCellStyle="Normal 2"/>
    <tableColumn id="29" xr3:uid="{6BADBF0F-20A2-4EBD-988B-12E636DC9820}" name="T02.2023" dataDxfId="46" dataCellStyle="Normal 2"/>
    <tableColumn id="30" xr3:uid="{9BF6F0B1-C15D-409A-8378-2A6EBAEDDC10}" name="T03.2023" dataDxfId="45" dataCellStyle="Normal 2"/>
    <tableColumn id="31" xr3:uid="{DD7D93F8-4A66-4F8F-9562-95BC95B51609}" name="T04.2023" dataDxfId="44" dataCellStyle="Normal 2"/>
    <tableColumn id="32" xr3:uid="{4A4962CB-C63B-4BC5-B3B3-126B6D5A152F}" name="T05.2023" dataDxfId="43" dataCellStyle="Normal 2"/>
    <tableColumn id="33" xr3:uid="{69DFE52D-3534-43FE-80D4-68FC42697718}" name="T06.2023" dataDxfId="42" dataCellStyle="Normal 2"/>
    <tableColumn id="34" xr3:uid="{1EB57A99-8A1D-4A42-943D-D00AF43F7DAE}" name="T07.2023" dataDxfId="41" dataCellStyle="Normal 2"/>
    <tableColumn id="35" xr3:uid="{CF60CFBA-5805-4131-9077-15936276DB22}" name="T08.2023" dataDxfId="40" dataCellStyle="Normal 2"/>
    <tableColumn id="36" xr3:uid="{D2F5A422-9C43-41C2-9934-94115039924D}" name="T09.2023" dataDxfId="39" dataCellStyle="Normal 2"/>
    <tableColumn id="37" xr3:uid="{C5B96B5F-67CF-46F5-AEBD-F89D89AB4F48}" name="T10.2023" dataDxfId="38" dataCellStyle="Normal 2"/>
    <tableColumn id="38" xr3:uid="{54DA9690-4F58-4245-8350-42ACF4A07F48}" name="T11.2023" dataDxfId="37" dataCellStyle="Normal 2"/>
    <tableColumn id="39" xr3:uid="{4E4384CD-B4CF-420A-B323-49783847A48F}" name="T12.2023" dataDxfId="36" dataCellStyle="Normal 2"/>
    <tableColumn id="40" xr3:uid="{B157F675-9C17-46F5-9D1B-FF3E100BD28B}" name="T01.2024" dataDxfId="35" dataCellStyle="Normal 2"/>
    <tableColumn id="41" xr3:uid="{2F40D399-C7B9-48CA-B7C5-7BCDB69E0DED}" name="T02.2024" dataDxfId="34" dataCellStyle="Normal 2"/>
    <tableColumn id="42" xr3:uid="{306C8713-E212-49EB-AA8C-238FE1EE6EFF}" name="T03.2024" dataDxfId="33" dataCellStyle="Normal 2"/>
    <tableColumn id="43" xr3:uid="{DE759B95-B642-4CC4-ADA6-A55A5D669E1C}" name="T04.2024" dataDxfId="32" dataCellStyle="Normal 2"/>
    <tableColumn id="44" xr3:uid="{18388419-906C-4967-91F3-557C29483710}" name="T05.2024" dataDxfId="31" dataCellStyle="Normal 2"/>
    <tableColumn id="45" xr3:uid="{249693CA-8369-42BA-BB81-987BBD1D4F50}" name="T06.2024" dataDxfId="30" dataCellStyle="Normal 2"/>
    <tableColumn id="46" xr3:uid="{8DC98ABA-2135-460C-A5E5-654B918296D3}" name="T07.2024" dataDxfId="29" dataCellStyle="Normal 2"/>
    <tableColumn id="47" xr3:uid="{21BC991A-689E-4536-8C4A-0560E885944E}" name="T08.2024" dataDxfId="28" dataCellStyle="Normal 2"/>
    <tableColumn id="48" xr3:uid="{98953B79-C6FD-4281-A4EF-AD5E0077E5AA}" name="T09.2024" dataDxfId="27" dataCellStyle="Normal 2"/>
    <tableColumn id="49" xr3:uid="{A65F5269-F820-442F-8A1A-7EE5B74C44AA}" name="T10.2024" dataDxfId="26" dataCellStyle="Normal 2"/>
    <tableColumn id="50" xr3:uid="{6E552B09-5B21-4E9A-8329-C2B2657E922C}" name="T11.2024" dataDxfId="25" dataCellStyle="Normal 2"/>
    <tableColumn id="51" xr3:uid="{619CFBDF-D839-48AD-871B-DC20226D62EF}" name="T12.2024" dataDxfId="24" dataCellStyle="Normal 2"/>
    <tableColumn id="52" xr3:uid="{8D9D0C85-9BD0-4BB8-B204-F593E6E92543}" name="T01.2025" dataDxfId="23" dataCellStyle="Normal 2"/>
    <tableColumn id="53" xr3:uid="{F0B054CE-B283-4E51-8569-20CA34337D19}" name="T02.2025" dataDxfId="22" dataCellStyle="Normal 2"/>
    <tableColumn id="54" xr3:uid="{3C906268-F449-47BC-BD46-8ACFE350947A}" name="T03.2025" dataDxfId="21" dataCellStyle="Normal 2"/>
    <tableColumn id="55" xr3:uid="{A5074BA9-DDB0-4F34-AA89-B1A71FA16239}" name="T04.2025" dataDxfId="20" dataCellStyle="Normal 2"/>
    <tableColumn id="56" xr3:uid="{08E688D7-470B-4E03-B499-AD6EEA7BAE13}" name="T05.2025" dataDxfId="19" dataCellStyle="Normal 2"/>
    <tableColumn id="57" xr3:uid="{D6401755-1E05-42AF-8C05-0A2375938A0B}" name="T06.2025" dataDxfId="18" dataCellStyle="Normal 2"/>
    <tableColumn id="58" xr3:uid="{F51CB47B-3E3B-4D32-AD4F-C062775E68B8}" name="T07.2025" dataDxfId="17" dataCellStyle="Normal 2"/>
    <tableColumn id="59" xr3:uid="{CBA3E0D0-6D3D-409E-8B8B-F15078C23D61}" name="T08.2025" dataDxfId="16" dataCellStyle="Normal 2"/>
    <tableColumn id="60" xr3:uid="{BEAF91DC-661F-49D8-9C9F-7FA80FDAEC69}" name="T09.2025" dataDxfId="15" dataCellStyle="Normal 2"/>
    <tableColumn id="61" xr3:uid="{3AF3829B-64D1-4718-8061-5F648511C5DF}" name="T10.2025" dataDxfId="14" dataCellStyle="Normal 2"/>
    <tableColumn id="62" xr3:uid="{E662BB59-61A2-4324-92DE-DA87ED4E87C7}" name="T11.2025" dataDxfId="13" dataCellStyle="Normal 2"/>
    <tableColumn id="63" xr3:uid="{AAAF8708-7A52-4751-A5BC-CFFCCA83B028}" name="T12.2025" dataDxfId="12" dataCellStyle="Normal 2"/>
    <tableColumn id="64" xr3:uid="{6B26F952-AAF9-49AB-932C-9773EBB0AD65}" name="T01.2026" dataDxfId="11" dataCellStyle="Normal 2"/>
    <tableColumn id="65" xr3:uid="{E1CDF7E6-8CBB-4D67-A394-EE594BC234DF}" name="T02.2026" dataDxfId="10" dataCellStyle="Normal 2"/>
    <tableColumn id="66" xr3:uid="{33AB75AC-7213-42ED-A7AF-714B084B0658}" name="T03.2026" dataDxfId="9" dataCellStyle="Normal 2"/>
    <tableColumn id="67" xr3:uid="{2290B8AA-B313-431D-A54C-73306872CF5F}" name="T04.2026" dataDxfId="8" dataCellStyle="Normal 2"/>
    <tableColumn id="68" xr3:uid="{5FDCD8BF-8971-473C-97C7-87CA963E193C}" name="T05.2026" dataDxfId="7" dataCellStyle="Normal 2"/>
    <tableColumn id="69" xr3:uid="{EB0C8EE0-7FF4-4750-BFDB-65A51C11FB3B}" name="T06.2026" dataDxfId="6" dataCellStyle="Normal 2"/>
    <tableColumn id="70" xr3:uid="{D201A38A-8F2B-424A-AFEA-6DA4D725CE07}" name="T07.2026" dataDxfId="5" dataCellStyle="Normal 2"/>
    <tableColumn id="71" xr3:uid="{0F43A817-8879-4895-8D56-1E4F47DF6F9E}" name="T08.2026" dataDxfId="4" dataCellStyle="Normal 2"/>
    <tableColumn id="72" xr3:uid="{D076C160-9FAE-405C-92EB-F6B2569AB690}" name="T09.2026" dataDxfId="3" dataCellStyle="Normal 2"/>
    <tableColumn id="73" xr3:uid="{736F0A87-3247-45C4-9D87-4EEB0E0E3573}" name="T10.2026" dataDxfId="2" dataCellStyle="Normal 2"/>
    <tableColumn id="74" xr3:uid="{BE5345AF-F72D-4C48-9B53-B4DFF537F0E9}" name="T11.2026" dataDxfId="1" dataCellStyle="Normal 2"/>
    <tableColumn id="75" xr3:uid="{E5176649-62BE-4670-828E-E9FFBFD08356}" name="T12.2026" dataDxfId="0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B9BB-E7CB-447C-95A1-3D144BF93CDC}">
  <sheetPr>
    <tabColor theme="9" tint="0.59999389629810485"/>
  </sheetPr>
  <dimension ref="A1:J19"/>
  <sheetViews>
    <sheetView showGridLines="0" workbookViewId="0">
      <selection activeCell="C10" sqref="C10"/>
    </sheetView>
  </sheetViews>
  <sheetFormatPr defaultColWidth="9.109375" defaultRowHeight="13.2" x14ac:dyDescent="0.25"/>
  <cols>
    <col min="1" max="1" width="12.6640625" style="227" customWidth="1"/>
    <col min="2" max="2" width="19.5546875" style="227" bestFit="1" customWidth="1"/>
    <col min="3" max="3" width="11.33203125" style="227" customWidth="1"/>
    <col min="4" max="16384" width="9.109375" style="227"/>
  </cols>
  <sheetData>
    <row r="1" spans="1:10" s="219" customFormat="1" ht="15.6" x14ac:dyDescent="0.3">
      <c r="A1" s="217" t="s">
        <v>618</v>
      </c>
      <c r="B1" s="218"/>
      <c r="C1" s="218"/>
      <c r="D1" s="218"/>
      <c r="E1" s="218"/>
      <c r="J1" s="220"/>
    </row>
    <row r="2" spans="1:10" s="219" customFormat="1" ht="16.2" thickBot="1" x14ac:dyDescent="0.35">
      <c r="A2" s="221" t="s">
        <v>619</v>
      </c>
      <c r="B2" s="221"/>
      <c r="C2" s="221"/>
      <c r="D2" s="221"/>
      <c r="E2" s="221"/>
      <c r="F2" s="222"/>
      <c r="G2" s="222"/>
      <c r="H2" s="222"/>
      <c r="I2" s="222"/>
      <c r="J2" s="223"/>
    </row>
    <row r="3" spans="1:10" s="219" customFormat="1" ht="15.6" x14ac:dyDescent="0.3">
      <c r="A3" s="218" t="s">
        <v>620</v>
      </c>
      <c r="B3" s="224"/>
      <c r="J3" s="225"/>
    </row>
    <row r="4" spans="1:10" x14ac:dyDescent="0.25">
      <c r="A4" s="226" t="s">
        <v>338</v>
      </c>
    </row>
    <row r="6" spans="1:10" x14ac:dyDescent="0.25">
      <c r="B6" s="227" t="s">
        <v>339</v>
      </c>
      <c r="C6" s="228">
        <v>2026</v>
      </c>
    </row>
    <row r="7" spans="1:10" x14ac:dyDescent="0.25">
      <c r="B7" s="227" t="s">
        <v>340</v>
      </c>
      <c r="C7" s="227">
        <f>C6-1</f>
        <v>2025</v>
      </c>
    </row>
    <row r="9" spans="1:10" x14ac:dyDescent="0.25">
      <c r="B9" s="229" t="s">
        <v>341</v>
      </c>
      <c r="C9" s="230">
        <v>5</v>
      </c>
      <c r="F9" s="231"/>
    </row>
    <row r="10" spans="1:10" x14ac:dyDescent="0.25">
      <c r="B10" s="229"/>
    </row>
    <row r="12" spans="1:10" ht="13.8" x14ac:dyDescent="0.25">
      <c r="B12" s="232" t="s">
        <v>342</v>
      </c>
    </row>
    <row r="13" spans="1:10" ht="13.8" x14ac:dyDescent="0.25">
      <c r="B13" s="233" t="s">
        <v>621</v>
      </c>
    </row>
    <row r="15" spans="1:10" ht="13.8" x14ac:dyDescent="0.25">
      <c r="B15" s="232" t="s">
        <v>343</v>
      </c>
    </row>
    <row r="16" spans="1:10" ht="13.8" x14ac:dyDescent="0.25">
      <c r="B16" s="234" t="s">
        <v>390</v>
      </c>
    </row>
    <row r="18" spans="2:2" ht="13.8" x14ac:dyDescent="0.25">
      <c r="B18" s="232" t="s">
        <v>467</v>
      </c>
    </row>
    <row r="19" spans="2:2" ht="13.8" x14ac:dyDescent="0.25">
      <c r="B19" s="234" t="s">
        <v>622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C369-BDB8-4BBE-9F54-490BE116846D}">
  <sheetPr>
    <tabColor theme="9" tint="0.59999389629810485"/>
  </sheetPr>
  <dimension ref="A3:J50"/>
  <sheetViews>
    <sheetView showGridLines="0" showZeros="0" topLeftCell="A25" workbookViewId="0">
      <selection activeCell="Q40" sqref="Q40"/>
    </sheetView>
  </sheetViews>
  <sheetFormatPr defaultColWidth="9.109375" defaultRowHeight="13.8" x14ac:dyDescent="0.25"/>
  <cols>
    <col min="1" max="9" width="9.109375" style="236"/>
    <col min="10" max="10" width="5.88671875" style="236" customWidth="1"/>
    <col min="11" max="11" width="11" style="236" customWidth="1"/>
    <col min="12" max="16384" width="9.109375" style="236"/>
  </cols>
  <sheetData>
    <row r="3" spans="9:9" x14ac:dyDescent="0.25">
      <c r="I3" s="235"/>
    </row>
    <row r="4" spans="9:9" ht="24" customHeight="1" x14ac:dyDescent="0.25"/>
    <row r="5" spans="9:9" ht="31.5" customHeight="1" x14ac:dyDescent="0.25"/>
    <row r="6" spans="9:9" ht="21.75" customHeight="1" x14ac:dyDescent="0.25"/>
    <row r="26" spans="1:10" ht="24" customHeight="1" x14ac:dyDescent="0.25">
      <c r="B26" s="237"/>
    </row>
    <row r="27" spans="1:10" ht="21" x14ac:dyDescent="0.4">
      <c r="A27" s="572"/>
      <c r="B27" s="572"/>
      <c r="C27" s="572"/>
      <c r="D27" s="572"/>
      <c r="E27" s="572"/>
      <c r="F27" s="572"/>
      <c r="G27" s="572"/>
      <c r="H27" s="572"/>
      <c r="I27" s="572"/>
      <c r="J27" s="572"/>
    </row>
    <row r="28" spans="1:10" ht="6.75" customHeight="1" x14ac:dyDescent="0.25"/>
    <row r="29" spans="1:10" ht="22.5" customHeight="1" x14ac:dyDescent="0.3">
      <c r="A29" s="238"/>
      <c r="B29" s="573" t="s">
        <v>624</v>
      </c>
      <c r="C29" s="574"/>
      <c r="D29" s="573"/>
      <c r="E29" s="574"/>
      <c r="F29" s="574"/>
      <c r="G29" s="574"/>
      <c r="H29" s="574"/>
      <c r="I29" s="574"/>
      <c r="J29" s="574"/>
    </row>
    <row r="30" spans="1:10" ht="15.9" customHeight="1" x14ac:dyDescent="0.25">
      <c r="A30" s="239"/>
      <c r="B30" s="240"/>
      <c r="C30" s="240"/>
      <c r="D30" s="240"/>
      <c r="E30" s="240"/>
      <c r="F30" s="240"/>
      <c r="G30" s="240"/>
      <c r="H30" s="240"/>
      <c r="I30" s="240"/>
      <c r="J30" s="240"/>
    </row>
    <row r="31" spans="1:10" ht="15.9" customHeight="1" x14ac:dyDescent="0.25">
      <c r="A31" s="238"/>
      <c r="B31" s="240"/>
      <c r="C31" s="240"/>
      <c r="D31" s="240"/>
      <c r="E31" s="240"/>
      <c r="F31" s="240"/>
      <c r="G31" s="240"/>
      <c r="H31" s="240"/>
      <c r="I31" s="240"/>
      <c r="J31" s="240"/>
    </row>
    <row r="34" spans="1:10" ht="15" customHeight="1" x14ac:dyDescent="0.3">
      <c r="B34" s="575"/>
      <c r="C34" s="575"/>
      <c r="D34" s="575"/>
      <c r="E34" s="575"/>
      <c r="F34" s="575"/>
      <c r="G34" s="575"/>
      <c r="H34" s="575"/>
      <c r="I34" s="575"/>
      <c r="J34" s="575"/>
    </row>
    <row r="45" spans="1:10" ht="3" customHeight="1" x14ac:dyDescent="0.25"/>
    <row r="46" spans="1:10" ht="16.5" customHeight="1" x14ac:dyDescent="0.25">
      <c r="A46" s="241"/>
    </row>
    <row r="47" spans="1:10" ht="22.5" customHeight="1" x14ac:dyDescent="0.25">
      <c r="A47" s="242"/>
      <c r="B47" s="240"/>
      <c r="C47" s="240"/>
      <c r="D47" s="240"/>
      <c r="E47" s="240"/>
      <c r="F47" s="240"/>
      <c r="G47" s="240"/>
      <c r="H47" s="240"/>
      <c r="I47" s="240"/>
      <c r="J47" s="240"/>
    </row>
    <row r="48" spans="1:10" x14ac:dyDescent="0.25">
      <c r="A48" s="242"/>
      <c r="B48" s="240"/>
      <c r="C48" s="240"/>
      <c r="D48" s="240"/>
      <c r="E48" s="240"/>
      <c r="F48" s="240"/>
      <c r="G48" s="240"/>
      <c r="H48" s="240"/>
      <c r="I48" s="240"/>
      <c r="J48" s="240"/>
    </row>
    <row r="49" spans="1:10" x14ac:dyDescent="0.25">
      <c r="A49" s="242"/>
      <c r="B49" s="240"/>
      <c r="C49" s="240"/>
      <c r="D49" s="240"/>
      <c r="E49" s="240"/>
      <c r="F49" s="240"/>
      <c r="G49" s="240"/>
      <c r="H49" s="240"/>
      <c r="I49" s="240"/>
      <c r="J49" s="240"/>
    </row>
    <row r="50" spans="1:10" ht="15" customHeight="1" x14ac:dyDescent="0.25">
      <c r="B50" s="576" t="s">
        <v>625</v>
      </c>
      <c r="C50" s="576"/>
      <c r="D50" s="576"/>
      <c r="E50" s="576"/>
      <c r="F50" s="576"/>
      <c r="G50" s="576"/>
      <c r="H50" s="576"/>
      <c r="I50" s="576"/>
      <c r="J50" s="576"/>
    </row>
  </sheetData>
  <mergeCells count="4">
    <mergeCell ref="A27:J27"/>
    <mergeCell ref="B29:J29"/>
    <mergeCell ref="B34:J34"/>
    <mergeCell ref="B50:J50"/>
  </mergeCells>
  <printOptions horizontalCentered="1"/>
  <pageMargins left="0.59055118110236227" right="0.31496062992125984" top="0.31496062992125984" bottom="0.31496062992125984" header="0.23622047244094491" footer="0.15748031496062992"/>
  <pageSetup paperSize="9" scale="9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6333-2839-4252-B33B-806DF8ABC7F1}">
  <sheetPr>
    <tabColor theme="8" tint="0.59999389629810485"/>
  </sheetPr>
  <dimension ref="A1:I31"/>
  <sheetViews>
    <sheetView showGridLines="0" showZeros="0" topLeftCell="A6" zoomScaleNormal="100" workbookViewId="0">
      <selection activeCell="D8" sqref="D8:E8"/>
    </sheetView>
  </sheetViews>
  <sheetFormatPr defaultColWidth="9.109375" defaultRowHeight="15.6" x14ac:dyDescent="0.3"/>
  <cols>
    <col min="1" max="5" width="9.109375" style="245"/>
    <col min="6" max="6" width="12.109375" style="245" customWidth="1"/>
    <col min="7" max="8" width="9.109375" style="245"/>
    <col min="9" max="9" width="26.33203125" style="245" customWidth="1"/>
    <col min="10" max="16384" width="9.109375" style="245"/>
  </cols>
  <sheetData>
    <row r="1" spans="1:9" s="219" customFormat="1" x14ac:dyDescent="0.3">
      <c r="A1" s="243" t="str">
        <f>'Thong tin'!A1</f>
        <v>CÔNG TY CỔ PHẦN NHỰA TÁI CHẾ DUY TÂN VĨNH LONG</v>
      </c>
      <c r="I1" s="220" t="s">
        <v>344</v>
      </c>
    </row>
    <row r="2" spans="1:9" s="219" customFormat="1" ht="16.2" thickBot="1" x14ac:dyDescent="0.35">
      <c r="A2" s="222" t="str">
        <f>'Thong tin'!A2</f>
        <v>Địa chỉ: Thửa đất số 838, tờ bản đồ số 6, tổ 4, ấp Tân Thuận, phường Tân Hạnh, tỉnh Vĩnh Long</v>
      </c>
      <c r="B2" s="222"/>
      <c r="C2" s="222"/>
      <c r="D2" s="222"/>
      <c r="E2" s="222"/>
      <c r="F2" s="222"/>
      <c r="G2" s="222"/>
      <c r="H2" s="222"/>
      <c r="I2" s="223"/>
    </row>
    <row r="5" spans="1:9" x14ac:dyDescent="0.3">
      <c r="A5" s="244"/>
    </row>
    <row r="10" spans="1:9" ht="20.399999999999999" x14ac:dyDescent="0.35">
      <c r="A10" s="246" t="str">
        <f>"BÁO CÁO TÀI CHÍNH THÁNG "&amp;'Thong tin'!C9&amp;" NĂM 2026"</f>
        <v>BÁO CÁO TÀI CHÍNH THÁNG 5 NĂM 2026</v>
      </c>
      <c r="I10" s="247" t="s">
        <v>345</v>
      </c>
    </row>
    <row r="11" spans="1:9" ht="20.399999999999999" x14ac:dyDescent="0.35">
      <c r="A11" s="246"/>
    </row>
    <row r="12" spans="1:9" s="248" customFormat="1" ht="24.9" hidden="1" customHeight="1" x14ac:dyDescent="0.3">
      <c r="A12" s="248" t="s">
        <v>346</v>
      </c>
      <c r="I12" s="249" t="s">
        <v>347</v>
      </c>
    </row>
    <row r="13" spans="1:9" s="248" customFormat="1" ht="24.9" hidden="1" customHeight="1" x14ac:dyDescent="0.3">
      <c r="A13" s="248" t="s">
        <v>348</v>
      </c>
      <c r="I13" s="249" t="s">
        <v>349</v>
      </c>
    </row>
    <row r="14" spans="1:9" s="251" customFormat="1" ht="27" customHeight="1" x14ac:dyDescent="0.4">
      <c r="A14" s="250" t="s">
        <v>350</v>
      </c>
      <c r="I14" s="252" t="s">
        <v>351</v>
      </c>
    </row>
    <row r="15" spans="1:9" s="254" customFormat="1" ht="25.5" customHeight="1" x14ac:dyDescent="0.4">
      <c r="A15" s="253" t="s">
        <v>352</v>
      </c>
      <c r="I15" s="255" t="s">
        <v>353</v>
      </c>
    </row>
    <row r="16" spans="1:9" s="257" customFormat="1" ht="27.75" customHeight="1" x14ac:dyDescent="0.4">
      <c r="A16" s="256" t="s">
        <v>354</v>
      </c>
      <c r="I16" s="258" t="s">
        <v>355</v>
      </c>
    </row>
    <row r="17" spans="1:9" ht="27" hidden="1" customHeight="1" x14ac:dyDescent="0.4">
      <c r="A17" s="259" t="s">
        <v>356</v>
      </c>
      <c r="I17" s="260" t="s">
        <v>357</v>
      </c>
    </row>
    <row r="30" spans="1:9" s="248" customFormat="1" x14ac:dyDescent="0.3">
      <c r="A30" s="577" t="s">
        <v>358</v>
      </c>
      <c r="B30" s="577"/>
      <c r="C30" s="577"/>
      <c r="D30" s="577"/>
      <c r="E30" s="577"/>
      <c r="F30" s="577"/>
      <c r="G30" s="577"/>
      <c r="H30" s="577"/>
      <c r="I30" s="577"/>
    </row>
    <row r="31" spans="1:9" s="248" customFormat="1" x14ac:dyDescent="0.3">
      <c r="A31" s="577" t="s">
        <v>359</v>
      </c>
      <c r="B31" s="577"/>
      <c r="C31" s="577"/>
      <c r="D31" s="577"/>
      <c r="E31" s="577"/>
      <c r="F31" s="577"/>
      <c r="G31" s="577"/>
      <c r="H31" s="577"/>
      <c r="I31" s="577"/>
    </row>
  </sheetData>
  <mergeCells count="2">
    <mergeCell ref="A30:I30"/>
    <mergeCell ref="A31:I31"/>
  </mergeCells>
  <printOptions horizontalCentered="1"/>
  <pageMargins left="0.64" right="0.31496062992125984" top="0.31496062992125984" bottom="0.19685039370078741" header="0.31496062992125984" footer="0.19685039370078741"/>
  <pageSetup paperSize="9" scale="90" orientation="portrait" useFirstPageNumber="1" r:id="rId1"/>
  <headerFooter alignWithMargins="0">
    <oddFooter>&amp;CTrang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49531-E181-4695-A8A8-1DD61C3DE73B}">
  <sheetPr>
    <tabColor theme="8" tint="0.59999389629810485"/>
  </sheetPr>
  <dimension ref="A1:J168"/>
  <sheetViews>
    <sheetView showGridLines="0" showZeros="0" zoomScaleNormal="100" zoomScaleSheetLayoutView="90" workbookViewId="0">
      <pane xSplit="1" ySplit="7" topLeftCell="B147" activePane="bottomRight" state="frozen"/>
      <selection activeCell="D8" sqref="D8:E8"/>
      <selection pane="topRight" activeCell="D8" sqref="D8:E8"/>
      <selection pane="bottomLeft" activeCell="D8" sqref="D8:E8"/>
      <selection pane="bottomRight" activeCell="B157" sqref="B157:C157"/>
    </sheetView>
  </sheetViews>
  <sheetFormatPr defaultColWidth="9.109375" defaultRowHeight="13.8" x14ac:dyDescent="0.25"/>
  <cols>
    <col min="1" max="1" width="57.5546875" style="266" customWidth="1"/>
    <col min="2" max="2" width="20" style="301" customWidth="1"/>
    <col min="3" max="3" width="20" style="301" bestFit="1" customWidth="1"/>
    <col min="4" max="4" width="6.5546875" style="266" hidden="1" customWidth="1"/>
    <col min="5" max="5" width="16.33203125" style="266" bestFit="1" customWidth="1"/>
    <col min="6" max="16384" width="9.109375" style="266"/>
  </cols>
  <sheetData>
    <row r="1" spans="1:10" s="263" customFormat="1" ht="15.6" x14ac:dyDescent="0.3">
      <c r="A1" s="261" t="str">
        <f>'Thong tin'!$A$1</f>
        <v>CÔNG TY CỔ PHẦN NHỰA TÁI CHẾ DUY TÂN VĨNH LONG</v>
      </c>
      <c r="B1" s="262"/>
      <c r="C1" s="220"/>
    </row>
    <row r="2" spans="1:10" s="263" customFormat="1" ht="16.2" thickBot="1" x14ac:dyDescent="0.35">
      <c r="A2" s="264" t="str">
        <f>'Thong tin'!$A$2</f>
        <v>Địa chỉ: Thửa đất số 838, tờ bản đồ số 6, tổ 4, ấp Tân Thuận, phường Tân Hạnh, tỉnh Vĩnh Long</v>
      </c>
      <c r="B2" s="265"/>
      <c r="C2" s="223"/>
    </row>
    <row r="3" spans="1:10" s="263" customFormat="1" ht="15.6" x14ac:dyDescent="0.3">
      <c r="A3" s="266"/>
      <c r="B3" s="262"/>
      <c r="C3" s="225"/>
    </row>
    <row r="4" spans="1:10" ht="20.399999999999999" x14ac:dyDescent="0.35">
      <c r="A4" s="578" t="s">
        <v>360</v>
      </c>
      <c r="B4" s="578"/>
      <c r="C4" s="578"/>
    </row>
    <row r="5" spans="1:10" ht="15.6" x14ac:dyDescent="0.3">
      <c r="A5" s="579" t="str">
        <f>"Năm " &amp; 'Thong tin'!$C$6</f>
        <v>Năm 2026</v>
      </c>
      <c r="B5" s="579"/>
      <c r="C5" s="579"/>
    </row>
    <row r="6" spans="1:10" x14ac:dyDescent="0.25">
      <c r="A6" s="267"/>
      <c r="B6" s="268"/>
      <c r="C6" s="269" t="str">
        <f>'KQKD in'!G6</f>
        <v>ĐVT: VNĐ</v>
      </c>
    </row>
    <row r="7" spans="1:10" s="274" customFormat="1" ht="30" customHeight="1" x14ac:dyDescent="0.3">
      <c r="A7" s="270" t="s">
        <v>361</v>
      </c>
      <c r="B7" s="271" t="str">
        <f>"Số cuối tháng"&amp;" "&amp;$D$7</f>
        <v>Số cuối tháng 5</v>
      </c>
      <c r="C7" s="272" t="str">
        <f>"Số dư đầu năm " &amp; 'Thong tin'!$C$6</f>
        <v>Số dư đầu năm 2026</v>
      </c>
      <c r="D7" s="273">
        <f>'Thong tin'!C9</f>
        <v>5</v>
      </c>
    </row>
    <row r="8" spans="1:10" s="278" customFormat="1" x14ac:dyDescent="0.25">
      <c r="A8" s="275" t="s">
        <v>362</v>
      </c>
      <c r="B8" s="276">
        <f ca="1">B10+B14+B22+B31+B40</f>
        <v>100879225044</v>
      </c>
      <c r="C8" s="276">
        <f>C10+C14+C22+C31+C40</f>
        <v>5910557105</v>
      </c>
      <c r="D8" s="277"/>
      <c r="E8" s="277"/>
    </row>
    <row r="9" spans="1:10" x14ac:dyDescent="0.25">
      <c r="A9" s="279"/>
      <c r="B9" s="280"/>
      <c r="C9" s="280"/>
    </row>
    <row r="10" spans="1:10" s="263" customFormat="1" x14ac:dyDescent="0.25">
      <c r="A10" s="281" t="s">
        <v>363</v>
      </c>
      <c r="B10" s="282">
        <f t="shared" ref="B10:C10" ca="1" si="0">SUM(B11:B12)</f>
        <v>95272491003</v>
      </c>
      <c r="C10" s="282">
        <f t="shared" si="0"/>
        <v>403528506</v>
      </c>
    </row>
    <row r="11" spans="1:10" x14ac:dyDescent="0.25">
      <c r="A11" s="279" t="s">
        <v>364</v>
      </c>
      <c r="B11" s="280">
        <f ca="1">OFFSET('Tinh hinh tai chinh'!$BL6,0,'THTC in'!$D$7 - 1)</f>
        <v>1272491003</v>
      </c>
      <c r="C11" s="280">
        <f>'Tinh hinh tai chinh'!BK6</f>
        <v>403528506</v>
      </c>
    </row>
    <row r="12" spans="1:10" x14ac:dyDescent="0.25">
      <c r="A12" s="279" t="s">
        <v>365</v>
      </c>
      <c r="B12" s="280">
        <f ca="1">OFFSET('Tinh hinh tai chinh'!$BL7,0,'THTC in'!$D$7 - 1)</f>
        <v>94000000000</v>
      </c>
      <c r="C12" s="280">
        <f>'Tinh hinh tai chinh'!BK7</f>
        <v>0</v>
      </c>
    </row>
    <row r="13" spans="1:10" x14ac:dyDescent="0.25">
      <c r="A13" s="279"/>
      <c r="B13" s="280"/>
      <c r="C13" s="280"/>
      <c r="J13" s="283"/>
    </row>
    <row r="14" spans="1:10" s="263" customFormat="1" x14ac:dyDescent="0.25">
      <c r="A14" s="281" t="s">
        <v>366</v>
      </c>
      <c r="B14" s="282">
        <f ca="1">SUM(B15:B20)</f>
        <v>5500000000</v>
      </c>
      <c r="C14" s="282">
        <f>SUM(C15:C20)</f>
        <v>5500000000</v>
      </c>
    </row>
    <row r="15" spans="1:10" x14ac:dyDescent="0.25">
      <c r="A15" s="279" t="s">
        <v>81</v>
      </c>
      <c r="B15" s="280">
        <f ca="1">OFFSET('Tinh hinh tai chinh'!$BL9,0,'THTC in'!$D$7 - 1)</f>
        <v>0</v>
      </c>
      <c r="C15" s="280">
        <f>'Tinh hinh tai chinh'!BK9</f>
        <v>0</v>
      </c>
      <c r="J15" s="283"/>
    </row>
    <row r="16" spans="1:10" ht="17.25" customHeight="1" x14ac:dyDescent="0.25">
      <c r="A16" s="284" t="s">
        <v>82</v>
      </c>
      <c r="B16" s="280">
        <f ca="1">OFFSET('Tinh hinh tai chinh'!$BL10,0,'THTC in'!$D$7 - 1)</f>
        <v>0</v>
      </c>
      <c r="C16" s="280">
        <f>'Tinh hinh tai chinh'!BK10</f>
        <v>0</v>
      </c>
    </row>
    <row r="17" spans="1:6" ht="18" customHeight="1" x14ac:dyDescent="0.25">
      <c r="A17" s="285" t="s">
        <v>83</v>
      </c>
      <c r="B17" s="280">
        <f ca="1">OFFSET('Tinh hinh tai chinh'!$BL11,0,'THTC in'!$D$7 - 1)</f>
        <v>5500000000</v>
      </c>
      <c r="C17" s="280">
        <f>'Tinh hinh tai chinh'!BK11</f>
        <v>5500000000</v>
      </c>
    </row>
    <row r="18" spans="1:6" ht="18" customHeight="1" x14ac:dyDescent="0.25">
      <c r="A18" s="285" t="s">
        <v>84</v>
      </c>
      <c r="B18" s="280">
        <f ca="1">OFFSET('Tinh hinh tai chinh'!$BL12,0,'THTC in'!$D$7 - 1)</f>
        <v>0</v>
      </c>
      <c r="C18" s="280">
        <f>'Tinh hinh tai chinh'!BK12</f>
        <v>0</v>
      </c>
    </row>
    <row r="19" spans="1:6" ht="18" customHeight="1" x14ac:dyDescent="0.25">
      <c r="A19" s="285" t="s">
        <v>85</v>
      </c>
      <c r="B19" s="280">
        <f ca="1">OFFSET('Tinh hinh tai chinh'!$BL13,0,'THTC in'!$D$7 - 1)</f>
        <v>0</v>
      </c>
      <c r="C19" s="280">
        <f>'Tinh hinh tai chinh'!BK13</f>
        <v>0</v>
      </c>
    </row>
    <row r="20" spans="1:6" ht="18" customHeight="1" x14ac:dyDescent="0.25">
      <c r="A20" s="285" t="s">
        <v>86</v>
      </c>
      <c r="B20" s="280">
        <f ca="1">OFFSET('Tinh hinh tai chinh'!$BL14,0,'THTC in'!$D$7 - 1)</f>
        <v>0</v>
      </c>
      <c r="C20" s="280">
        <f>'Tinh hinh tai chinh'!BK14</f>
        <v>0</v>
      </c>
    </row>
    <row r="21" spans="1:6" ht="15" customHeight="1" x14ac:dyDescent="0.25">
      <c r="A21" s="285"/>
      <c r="B21" s="280"/>
      <c r="C21" s="280"/>
    </row>
    <row r="22" spans="1:6" s="263" customFormat="1" x14ac:dyDescent="0.25">
      <c r="A22" s="281" t="s">
        <v>367</v>
      </c>
      <c r="B22" s="282">
        <f ca="1">SUM(B23:B29)</f>
        <v>89087960</v>
      </c>
      <c r="C22" s="282">
        <f>SUM(C23:C29)</f>
        <v>0</v>
      </c>
    </row>
    <row r="23" spans="1:6" x14ac:dyDescent="0.25">
      <c r="A23" s="279" t="s">
        <v>88</v>
      </c>
      <c r="B23" s="280">
        <f ca="1">OFFSET('Tinh hinh tai chinh'!$BL16,0,'THTC in'!$D$7 - 1)</f>
        <v>0</v>
      </c>
      <c r="C23" s="280">
        <f>'Tinh hinh tai chinh'!BK16</f>
        <v>0</v>
      </c>
      <c r="D23" s="286"/>
      <c r="F23" s="286"/>
    </row>
    <row r="24" spans="1:6" x14ac:dyDescent="0.25">
      <c r="A24" s="279" t="s">
        <v>89</v>
      </c>
      <c r="B24" s="280">
        <f ca="1">OFFSET('Tinh hinh tai chinh'!$BL17,0,'THTC in'!$D$7 - 1)</f>
        <v>89087960</v>
      </c>
      <c r="C24" s="280">
        <f>'Tinh hinh tai chinh'!BK17</f>
        <v>0</v>
      </c>
    </row>
    <row r="25" spans="1:6" x14ac:dyDescent="0.25">
      <c r="A25" s="279" t="s">
        <v>90</v>
      </c>
      <c r="B25" s="280">
        <f ca="1">OFFSET('Tinh hinh tai chinh'!$BL18,0,'THTC in'!$D$7 - 1)</f>
        <v>0</v>
      </c>
      <c r="C25" s="280">
        <f>'Tinh hinh tai chinh'!BK18</f>
        <v>0</v>
      </c>
    </row>
    <row r="26" spans="1:6" ht="16.5" customHeight="1" x14ac:dyDescent="0.25">
      <c r="A26" s="284" t="s">
        <v>91</v>
      </c>
      <c r="B26" s="280">
        <f ca="1">OFFSET('Tinh hinh tai chinh'!$BL19,0,'THTC in'!$D$7 - 1)</f>
        <v>0</v>
      </c>
      <c r="C26" s="280">
        <f>'Tinh hinh tai chinh'!BK19</f>
        <v>0</v>
      </c>
    </row>
    <row r="27" spans="1:6" x14ac:dyDescent="0.25">
      <c r="A27" s="279" t="s">
        <v>92</v>
      </c>
      <c r="B27" s="280">
        <f ca="1">OFFSET('Tinh hinh tai chinh'!$BL20,0,'THTC in'!$D$7 - 1)</f>
        <v>0</v>
      </c>
      <c r="C27" s="280">
        <f>'Tinh hinh tai chinh'!BK20</f>
        <v>0</v>
      </c>
    </row>
    <row r="28" spans="1:6" x14ac:dyDescent="0.25">
      <c r="A28" s="279" t="s">
        <v>93</v>
      </c>
      <c r="B28" s="280">
        <f ca="1">OFFSET('Tinh hinh tai chinh'!$BL21,0,'THTC in'!$D$7 - 1)</f>
        <v>0</v>
      </c>
      <c r="C28" s="280">
        <f>'Tinh hinh tai chinh'!BK21</f>
        <v>0</v>
      </c>
    </row>
    <row r="29" spans="1:6" x14ac:dyDescent="0.25">
      <c r="A29" s="285" t="s">
        <v>94</v>
      </c>
      <c r="B29" s="280">
        <f ca="1">OFFSET('Tinh hinh tai chinh'!$BL22,0,'THTC in'!$D$7 - 1)</f>
        <v>0</v>
      </c>
      <c r="C29" s="280">
        <f>'Tinh hinh tai chinh'!BK22</f>
        <v>0</v>
      </c>
    </row>
    <row r="30" spans="1:6" ht="15" customHeight="1" x14ac:dyDescent="0.25">
      <c r="A30" s="285"/>
      <c r="B30" s="280"/>
      <c r="C30" s="280"/>
    </row>
    <row r="31" spans="1:6" s="263" customFormat="1" x14ac:dyDescent="0.25">
      <c r="A31" s="281" t="s">
        <v>95</v>
      </c>
      <c r="B31" s="282">
        <f t="shared" ref="B31:C31" ca="1" si="1">SUM(B32:B33)</f>
        <v>0</v>
      </c>
      <c r="C31" s="282">
        <f t="shared" si="1"/>
        <v>0</v>
      </c>
    </row>
    <row r="32" spans="1:6" x14ac:dyDescent="0.25">
      <c r="A32" s="279" t="s">
        <v>368</v>
      </c>
      <c r="B32" s="287">
        <f ca="1">OFFSET('Tinh hinh tai chinh'!$BL24,0,'THTC in'!$D$7 - 1)</f>
        <v>0</v>
      </c>
      <c r="C32" s="280">
        <f>'Tinh hinh tai chinh'!BK24</f>
        <v>0</v>
      </c>
    </row>
    <row r="33" spans="1:3" x14ac:dyDescent="0.25">
      <c r="A33" s="279" t="s">
        <v>369</v>
      </c>
      <c r="B33" s="287">
        <f ca="1">OFFSET('Tinh hinh tai chinh'!$BL25,0,'THTC in'!$D$7 - 1)</f>
        <v>0</v>
      </c>
      <c r="C33" s="280">
        <f>'Tinh hinh tai chinh'!BK25</f>
        <v>0</v>
      </c>
    </row>
    <row r="34" spans="1:3" x14ac:dyDescent="0.25">
      <c r="A34" s="279"/>
      <c r="B34" s="287"/>
      <c r="C34" s="280"/>
    </row>
    <row r="35" spans="1:3" x14ac:dyDescent="0.25">
      <c r="A35" s="281" t="s">
        <v>98</v>
      </c>
      <c r="B35" s="287">
        <f ca="1">SUM(B36:B38)</f>
        <v>0</v>
      </c>
      <c r="C35" s="280">
        <f>SUM(C36:C38)</f>
        <v>0</v>
      </c>
    </row>
    <row r="36" spans="1:3" x14ac:dyDescent="0.25">
      <c r="A36" s="279" t="s">
        <v>99</v>
      </c>
      <c r="B36" s="287">
        <f ca="1">OFFSET('Tinh hinh tai chinh'!$BL27,0,'THTC in'!$D$7 - 1)</f>
        <v>0</v>
      </c>
      <c r="C36" s="280">
        <f>'Tinh hinh tai chinh'!BK27</f>
        <v>0</v>
      </c>
    </row>
    <row r="37" spans="1:3" x14ac:dyDescent="0.25">
      <c r="A37" s="279" t="s">
        <v>100</v>
      </c>
      <c r="B37" s="287">
        <f ca="1">OFFSET('Tinh hinh tai chinh'!$BL28,0,'THTC in'!$D$7 - 1)</f>
        <v>0</v>
      </c>
      <c r="C37" s="280">
        <f>'Tinh hinh tai chinh'!BK28</f>
        <v>0</v>
      </c>
    </row>
    <row r="38" spans="1:3" x14ac:dyDescent="0.25">
      <c r="A38" s="279" t="s">
        <v>101</v>
      </c>
      <c r="B38" s="287">
        <f ca="1">OFFSET('Tinh hinh tai chinh'!$BL29,0,'THTC in'!$D$7 - 1)</f>
        <v>0</v>
      </c>
      <c r="C38" s="280">
        <f>'Tinh hinh tai chinh'!BK29</f>
        <v>0</v>
      </c>
    </row>
    <row r="39" spans="1:3" x14ac:dyDescent="0.25">
      <c r="A39" s="279"/>
      <c r="B39" s="280"/>
      <c r="C39" s="280"/>
    </row>
    <row r="40" spans="1:3" s="263" customFormat="1" x14ac:dyDescent="0.25">
      <c r="A40" s="281" t="s">
        <v>102</v>
      </c>
      <c r="B40" s="282">
        <f t="shared" ref="B40:C40" ca="1" si="2">SUM(B41:B45)</f>
        <v>17646081</v>
      </c>
      <c r="C40" s="282">
        <f t="shared" si="2"/>
        <v>7028599</v>
      </c>
    </row>
    <row r="41" spans="1:3" x14ac:dyDescent="0.25">
      <c r="A41" s="279" t="s">
        <v>103</v>
      </c>
      <c r="B41" s="280">
        <f ca="1">OFFSET('Tinh hinh tai chinh'!$BL31,0,'THTC in'!$D$7 - 1)</f>
        <v>0</v>
      </c>
      <c r="C41" s="280">
        <f>'Tinh hinh tai chinh'!BK31</f>
        <v>0</v>
      </c>
    </row>
    <row r="42" spans="1:3" x14ac:dyDescent="0.25">
      <c r="A42" s="279" t="s">
        <v>104</v>
      </c>
      <c r="B42" s="280">
        <f ca="1">OFFSET('Tinh hinh tai chinh'!$BL32,0,'THTC in'!$D$7 - 1)</f>
        <v>17646081</v>
      </c>
      <c r="C42" s="280">
        <f>'Tinh hinh tai chinh'!BK32</f>
        <v>7028599</v>
      </c>
    </row>
    <row r="43" spans="1:3" x14ac:dyDescent="0.25">
      <c r="A43" s="279" t="s">
        <v>105</v>
      </c>
      <c r="B43" s="280">
        <f ca="1">OFFSET('Tinh hinh tai chinh'!$BL33,0,'THTC in'!$D$7 - 1)</f>
        <v>0</v>
      </c>
      <c r="C43" s="280">
        <f>'Tinh hinh tai chinh'!BK33</f>
        <v>0</v>
      </c>
    </row>
    <row r="44" spans="1:3" x14ac:dyDescent="0.25">
      <c r="A44" s="285" t="s">
        <v>106</v>
      </c>
      <c r="B44" s="280">
        <f ca="1">OFFSET('Tinh hinh tai chinh'!$BL34,0,'THTC in'!$D$7 - 1)</f>
        <v>0</v>
      </c>
      <c r="C44" s="280">
        <f>'Tinh hinh tai chinh'!BK34</f>
        <v>0</v>
      </c>
    </row>
    <row r="45" spans="1:3" x14ac:dyDescent="0.25">
      <c r="A45" s="279" t="s">
        <v>107</v>
      </c>
      <c r="B45" s="280">
        <f ca="1">OFFSET('Tinh hinh tai chinh'!$BL35,0,'THTC in'!$D$7 - 1)</f>
        <v>0</v>
      </c>
      <c r="C45" s="280">
        <f>'Tinh hinh tai chinh'!BK35</f>
        <v>0</v>
      </c>
    </row>
    <row r="46" spans="1:3" ht="15" customHeight="1" x14ac:dyDescent="0.25">
      <c r="A46" s="279"/>
      <c r="B46" s="280"/>
      <c r="C46" s="280"/>
    </row>
    <row r="47" spans="1:3" s="278" customFormat="1" x14ac:dyDescent="0.25">
      <c r="A47" s="288" t="s">
        <v>370</v>
      </c>
      <c r="B47" s="289">
        <f ca="1">B48+B58+B79+B87+B95+B83</f>
        <v>196965733</v>
      </c>
      <c r="C47" s="289">
        <f>C48+C58+C79+C87+C95+C83</f>
        <v>87557481</v>
      </c>
    </row>
    <row r="48" spans="1:3" s="263" customFormat="1" x14ac:dyDescent="0.25">
      <c r="A48" s="281" t="s">
        <v>371</v>
      </c>
      <c r="B48" s="290">
        <f ca="1">SUM(B49:B54)</f>
        <v>0</v>
      </c>
      <c r="C48" s="290">
        <f>SUM(C49:C54)</f>
        <v>0</v>
      </c>
    </row>
    <row r="49" spans="1:4" x14ac:dyDescent="0.25">
      <c r="A49" s="279" t="s">
        <v>109</v>
      </c>
      <c r="B49" s="280">
        <f ca="1">OFFSET('Tinh hinh tai chinh'!$BL38,0,'THTC in'!$D$7 - 1)</f>
        <v>0</v>
      </c>
      <c r="C49" s="280">
        <f>'Tinh hinh tai chinh'!BK38</f>
        <v>0</v>
      </c>
    </row>
    <row r="50" spans="1:4" x14ac:dyDescent="0.25">
      <c r="A50" s="279" t="s">
        <v>110</v>
      </c>
      <c r="B50" s="280">
        <f ca="1">OFFSET('Tinh hinh tai chinh'!$BL39,0,'THTC in'!$D$7 - 1)</f>
        <v>0</v>
      </c>
      <c r="C50" s="280">
        <f>'Tinh hinh tai chinh'!BK39</f>
        <v>0</v>
      </c>
    </row>
    <row r="51" spans="1:4" x14ac:dyDescent="0.25">
      <c r="A51" s="279" t="s">
        <v>111</v>
      </c>
      <c r="B51" s="280">
        <f ca="1">OFFSET('Tinh hinh tai chinh'!$BL40,0,'THTC in'!$D$7 - 1)</f>
        <v>0</v>
      </c>
      <c r="C51" s="280">
        <f>'Tinh hinh tai chinh'!BK40</f>
        <v>0</v>
      </c>
    </row>
    <row r="52" spans="1:4" x14ac:dyDescent="0.25">
      <c r="A52" s="279" t="s">
        <v>112</v>
      </c>
      <c r="B52" s="280">
        <f ca="1">OFFSET('Tinh hinh tai chinh'!$BL41,0,'THTC in'!$D$7 - 1)</f>
        <v>0</v>
      </c>
      <c r="C52" s="280">
        <f>'Tinh hinh tai chinh'!BK41</f>
        <v>0</v>
      </c>
    </row>
    <row r="53" spans="1:4" x14ac:dyDescent="0.25">
      <c r="A53" s="279" t="s">
        <v>113</v>
      </c>
      <c r="B53" s="280">
        <f ca="1">OFFSET('Tinh hinh tai chinh'!$BL42,0,'THTC in'!$D$7 - 1)</f>
        <v>0</v>
      </c>
      <c r="C53" s="280">
        <f>'Tinh hinh tai chinh'!BK42</f>
        <v>0</v>
      </c>
    </row>
    <row r="54" spans="1:4" x14ac:dyDescent="0.25">
      <c r="A54" s="291" t="s">
        <v>114</v>
      </c>
      <c r="B54" s="292">
        <f ca="1">OFFSET('Tinh hinh tai chinh'!$BL43,0,'THTC in'!$D$7 - 1)</f>
        <v>0</v>
      </c>
      <c r="C54" s="292">
        <f>'Tinh hinh tai chinh'!BK43</f>
        <v>0</v>
      </c>
    </row>
    <row r="55" spans="1:4" x14ac:dyDescent="0.25">
      <c r="A55" s="293"/>
      <c r="B55" s="294"/>
      <c r="C55" s="294"/>
    </row>
    <row r="56" spans="1:4" s="296" customFormat="1" ht="32.25" customHeight="1" x14ac:dyDescent="0.25">
      <c r="A56" s="270" t="s">
        <v>361</v>
      </c>
      <c r="B56" s="295" t="str">
        <f>B7</f>
        <v>Số cuối tháng 5</v>
      </c>
      <c r="C56" s="295" t="str">
        <f>C7</f>
        <v>Số dư đầu năm 2026</v>
      </c>
    </row>
    <row r="57" spans="1:4" x14ac:dyDescent="0.25">
      <c r="A57" s="297"/>
      <c r="B57" s="298"/>
      <c r="C57" s="298"/>
    </row>
    <row r="58" spans="1:4" s="263" customFormat="1" x14ac:dyDescent="0.25">
      <c r="A58" s="281" t="s">
        <v>372</v>
      </c>
      <c r="B58" s="290">
        <f t="shared" ref="B58:C58" ca="1" si="3">B59+B62+B65</f>
        <v>0</v>
      </c>
      <c r="C58" s="290">
        <f t="shared" si="3"/>
        <v>0</v>
      </c>
    </row>
    <row r="59" spans="1:4" x14ac:dyDescent="0.25">
      <c r="A59" s="279" t="s">
        <v>373</v>
      </c>
      <c r="B59" s="299">
        <f t="shared" ref="B59:C59" ca="1" si="4">SUM(B60:B61)</f>
        <v>0</v>
      </c>
      <c r="C59" s="299">
        <f t="shared" si="4"/>
        <v>0</v>
      </c>
    </row>
    <row r="60" spans="1:4" s="263" customFormat="1" x14ac:dyDescent="0.25">
      <c r="A60" s="279" t="s">
        <v>374</v>
      </c>
      <c r="B60" s="299">
        <f ca="1">OFFSET('Tinh hinh tai chinh'!$BL46,0,'THTC in'!$D$7 - 1)</f>
        <v>0</v>
      </c>
      <c r="C60" s="299">
        <f>'Tinh hinh tai chinh'!BK46</f>
        <v>0</v>
      </c>
      <c r="D60" s="262"/>
    </row>
    <row r="61" spans="1:4" x14ac:dyDescent="0.25">
      <c r="A61" s="279" t="s">
        <v>375</v>
      </c>
      <c r="B61" s="300">
        <f ca="1">OFFSET('Tinh hinh tai chinh'!$BL47,0,'THTC in'!$D$7 - 1)</f>
        <v>0</v>
      </c>
      <c r="C61" s="300">
        <f>'Tinh hinh tai chinh'!BK47</f>
        <v>0</v>
      </c>
      <c r="D61" s="301"/>
    </row>
    <row r="62" spans="1:4" x14ac:dyDescent="0.25">
      <c r="A62" s="279" t="s">
        <v>119</v>
      </c>
      <c r="B62" s="299">
        <f ca="1">SUM(B63:B64)</f>
        <v>0</v>
      </c>
      <c r="C62" s="299">
        <f>SUM(C63:C64)</f>
        <v>0</v>
      </c>
    </row>
    <row r="63" spans="1:4" x14ac:dyDescent="0.25">
      <c r="A63" s="279" t="s">
        <v>374</v>
      </c>
      <c r="B63" s="300">
        <f ca="1">OFFSET('Tinh hinh tai chinh'!$BL49,0,'THTC in'!$D$7 - 1)</f>
        <v>0</v>
      </c>
      <c r="C63" s="299">
        <f>'Tinh hinh tai chinh'!BK49</f>
        <v>0</v>
      </c>
    </row>
    <row r="64" spans="1:4" x14ac:dyDescent="0.25">
      <c r="A64" s="279" t="s">
        <v>375</v>
      </c>
      <c r="B64" s="300">
        <f ca="1">OFFSET('Tinh hinh tai chinh'!$BL50,0,'THTC in'!$D$7 - 1)</f>
        <v>0</v>
      </c>
      <c r="C64" s="300">
        <f>'Tinh hinh tai chinh'!BK50</f>
        <v>0</v>
      </c>
    </row>
    <row r="65" spans="1:4" x14ac:dyDescent="0.25">
      <c r="A65" s="279" t="s">
        <v>122</v>
      </c>
      <c r="B65" s="299">
        <f t="shared" ref="B65" ca="1" si="5">SUM(B66:B67)</f>
        <v>0</v>
      </c>
      <c r="C65" s="299">
        <f>SUM(C66:C67)</f>
        <v>0</v>
      </c>
    </row>
    <row r="66" spans="1:4" x14ac:dyDescent="0.25">
      <c r="A66" s="279" t="s">
        <v>374</v>
      </c>
      <c r="B66" s="300">
        <f ca="1">OFFSET('Tinh hinh tai chinh'!$BL52,0,'THTC in'!$D$7 - 1)</f>
        <v>0</v>
      </c>
      <c r="C66" s="299">
        <f>'Tinh hinh tai chinh'!BK52</f>
        <v>0</v>
      </c>
      <c r="D66" s="301"/>
    </row>
    <row r="67" spans="1:4" x14ac:dyDescent="0.25">
      <c r="A67" s="279" t="s">
        <v>375</v>
      </c>
      <c r="B67" s="300">
        <f ca="1">OFFSET('Tinh hinh tai chinh'!$BL53,0,'THTC in'!$D$7 - 1)</f>
        <v>0</v>
      </c>
      <c r="C67" s="300">
        <f>'Tinh hinh tai chinh'!BK53</f>
        <v>0</v>
      </c>
    </row>
    <row r="68" spans="1:4" x14ac:dyDescent="0.25">
      <c r="A68" s="279"/>
      <c r="B68" s="280"/>
      <c r="C68" s="280"/>
    </row>
    <row r="69" spans="1:4" x14ac:dyDescent="0.25">
      <c r="A69" s="281" t="s">
        <v>376</v>
      </c>
      <c r="B69" s="280"/>
      <c r="C69" s="280">
        <f>SUM(C70,C75:C77)</f>
        <v>0</v>
      </c>
    </row>
    <row r="70" spans="1:4" x14ac:dyDescent="0.25">
      <c r="A70" s="279" t="s">
        <v>126</v>
      </c>
      <c r="B70" s="280">
        <f ca="1">OFFSET('Tinh hinh tai chinh'!$BL55,0,'THTC in'!$D$7 - 1)</f>
        <v>0</v>
      </c>
      <c r="C70" s="280">
        <f>'Tinh hinh tai chinh'!BK55</f>
        <v>0</v>
      </c>
    </row>
    <row r="71" spans="1:4" x14ac:dyDescent="0.25">
      <c r="A71" s="302" t="s">
        <v>127</v>
      </c>
      <c r="B71" s="280">
        <f ca="1">OFFSET('Tinh hinh tai chinh'!$BL56,0,'THTC in'!$D$7 - 1)</f>
        <v>0</v>
      </c>
      <c r="C71" s="280">
        <f>'Tinh hinh tai chinh'!BK56</f>
        <v>0</v>
      </c>
    </row>
    <row r="72" spans="1:4" x14ac:dyDescent="0.25">
      <c r="A72" s="302" t="s">
        <v>128</v>
      </c>
      <c r="B72" s="280">
        <f ca="1">OFFSET('Tinh hinh tai chinh'!$BL57,0,'THTC in'!$D$7 - 1)</f>
        <v>0</v>
      </c>
      <c r="C72" s="280">
        <f>'Tinh hinh tai chinh'!BK57</f>
        <v>0</v>
      </c>
    </row>
    <row r="73" spans="1:4" x14ac:dyDescent="0.25">
      <c r="A73" s="303" t="s">
        <v>377</v>
      </c>
      <c r="B73" s="280">
        <f ca="1">OFFSET('Tinh hinh tai chinh'!$BL58,0,'THTC in'!$D$7 - 1)</f>
        <v>0</v>
      </c>
      <c r="C73" s="280">
        <f>'Tinh hinh tai chinh'!BK58</f>
        <v>0</v>
      </c>
    </row>
    <row r="74" spans="1:4" x14ac:dyDescent="0.25">
      <c r="A74" s="303" t="s">
        <v>378</v>
      </c>
      <c r="B74" s="280">
        <f ca="1">OFFSET('Tinh hinh tai chinh'!$BL59,0,'THTC in'!$D$7 - 1)</f>
        <v>0</v>
      </c>
      <c r="C74" s="280">
        <f>'Tinh hinh tai chinh'!BK59</f>
        <v>0</v>
      </c>
    </row>
    <row r="75" spans="1:4" x14ac:dyDescent="0.25">
      <c r="A75" s="279" t="s">
        <v>131</v>
      </c>
      <c r="B75" s="280">
        <f ca="1">OFFSET('Tinh hinh tai chinh'!$BL60,0,'THTC in'!$D$7 - 1)</f>
        <v>0</v>
      </c>
      <c r="C75" s="280">
        <f>'Tinh hinh tai chinh'!BK60</f>
        <v>0</v>
      </c>
    </row>
    <row r="76" spans="1:4" x14ac:dyDescent="0.25">
      <c r="A76" s="279" t="s">
        <v>132</v>
      </c>
      <c r="B76" s="280">
        <f ca="1">OFFSET('Tinh hinh tai chinh'!$BL61,0,'THTC in'!$D$7 - 1)</f>
        <v>0</v>
      </c>
      <c r="C76" s="280">
        <f>'Tinh hinh tai chinh'!BK61</f>
        <v>0</v>
      </c>
    </row>
    <row r="77" spans="1:4" x14ac:dyDescent="0.25">
      <c r="A77" s="279" t="s">
        <v>133</v>
      </c>
      <c r="B77" s="280">
        <f ca="1">OFFSET('Tinh hinh tai chinh'!$BL62,0,'THTC in'!$D$7 - 1)</f>
        <v>0</v>
      </c>
      <c r="C77" s="280">
        <f>'Tinh hinh tai chinh'!BK62</f>
        <v>0</v>
      </c>
    </row>
    <row r="78" spans="1:4" x14ac:dyDescent="0.25">
      <c r="A78" s="279"/>
      <c r="B78" s="280"/>
      <c r="C78" s="280"/>
    </row>
    <row r="79" spans="1:4" x14ac:dyDescent="0.25">
      <c r="A79" s="281" t="s">
        <v>134</v>
      </c>
      <c r="B79" s="282">
        <f ca="1">SUM(B80:B81)</f>
        <v>0</v>
      </c>
      <c r="C79" s="282">
        <f>SUM(C80:C81)</f>
        <v>0</v>
      </c>
    </row>
    <row r="80" spans="1:4" ht="18" customHeight="1" x14ac:dyDescent="0.25">
      <c r="A80" s="304" t="s">
        <v>377</v>
      </c>
      <c r="B80" s="299">
        <f ca="1">OFFSET('Tinh hinh tai chinh'!$BL64,0,'THTC in'!$D$7 - 1)</f>
        <v>0</v>
      </c>
      <c r="C80" s="280">
        <f>'Tinh hinh tai chinh'!BK64</f>
        <v>0</v>
      </c>
    </row>
    <row r="81" spans="1:4" s="263" customFormat="1" ht="18" customHeight="1" x14ac:dyDescent="0.25">
      <c r="A81" s="279" t="s">
        <v>379</v>
      </c>
      <c r="B81" s="299">
        <f ca="1">OFFSET('Tinh hinh tai chinh'!$BL65,0,'THTC in'!$D$7 - 1)</f>
        <v>0</v>
      </c>
      <c r="C81" s="280">
        <f>'Tinh hinh tai chinh'!BK65</f>
        <v>0</v>
      </c>
    </row>
    <row r="82" spans="1:4" s="263" customFormat="1" x14ac:dyDescent="0.25">
      <c r="A82" s="279"/>
      <c r="B82" s="280"/>
      <c r="C82" s="280"/>
    </row>
    <row r="83" spans="1:4" s="263" customFormat="1" x14ac:dyDescent="0.25">
      <c r="A83" s="281" t="s">
        <v>380</v>
      </c>
      <c r="B83" s="290">
        <f t="shared" ref="B83:C83" ca="1" si="6">SUM(B84:B85)</f>
        <v>196965733</v>
      </c>
      <c r="C83" s="290">
        <f t="shared" si="6"/>
        <v>87557481</v>
      </c>
    </row>
    <row r="84" spans="1:4" s="263" customFormat="1" ht="18" customHeight="1" x14ac:dyDescent="0.25">
      <c r="A84" s="304" t="s">
        <v>138</v>
      </c>
      <c r="B84" s="280">
        <f ca="1">OFFSET('Tinh hinh tai chinh'!$BL67,0,'THTC in'!$D$7 - 1)</f>
        <v>10176000</v>
      </c>
      <c r="C84" s="280">
        <f>'Tinh hinh tai chinh'!BK67</f>
        <v>10176000</v>
      </c>
    </row>
    <row r="85" spans="1:4" s="263" customFormat="1" ht="18" customHeight="1" x14ac:dyDescent="0.25">
      <c r="A85" s="279" t="s">
        <v>139</v>
      </c>
      <c r="B85" s="280">
        <f ca="1">OFFSET('Tinh hinh tai chinh'!$BL68,0,'THTC in'!$D$7 - 1)</f>
        <v>186789733</v>
      </c>
      <c r="C85" s="280">
        <f>'Tinh hinh tai chinh'!BK68</f>
        <v>77381481</v>
      </c>
      <c r="D85" s="262"/>
    </row>
    <row r="86" spans="1:4" x14ac:dyDescent="0.25">
      <c r="A86" s="279"/>
      <c r="B86" s="280"/>
      <c r="C86" s="280"/>
    </row>
    <row r="87" spans="1:4" x14ac:dyDescent="0.25">
      <c r="A87" s="281" t="s">
        <v>381</v>
      </c>
      <c r="B87" s="282">
        <f t="shared" ref="B87" ca="1" si="7">SUM(B88:B92)</f>
        <v>0</v>
      </c>
      <c r="C87" s="282">
        <f>SUM(C88:C93)</f>
        <v>0</v>
      </c>
    </row>
    <row r="88" spans="1:4" ht="18" customHeight="1" x14ac:dyDescent="0.25">
      <c r="A88" s="279" t="s">
        <v>141</v>
      </c>
      <c r="B88" s="280">
        <f ca="1">OFFSET('Tinh hinh tai chinh'!$BL70,0,'THTC in'!$D$7 - 1)</f>
        <v>0</v>
      </c>
      <c r="C88" s="280">
        <f>'Tinh hinh tai chinh'!BK70</f>
        <v>0</v>
      </c>
    </row>
    <row r="89" spans="1:4" s="263" customFormat="1" ht="18" customHeight="1" x14ac:dyDescent="0.25">
      <c r="A89" s="279" t="s">
        <v>142</v>
      </c>
      <c r="B89" s="280">
        <f ca="1">OFFSET('Tinh hinh tai chinh'!$BL71,0,'THTC in'!$D$7 - 1)</f>
        <v>0</v>
      </c>
      <c r="C89" s="280">
        <f>'Tinh hinh tai chinh'!BK71</f>
        <v>0</v>
      </c>
    </row>
    <row r="90" spans="1:4" ht="18" customHeight="1" x14ac:dyDescent="0.25">
      <c r="A90" s="279" t="s">
        <v>143</v>
      </c>
      <c r="B90" s="280">
        <f ca="1">OFFSET('Tinh hinh tai chinh'!$BL72,0,'THTC in'!$D$7 - 1)</f>
        <v>0</v>
      </c>
      <c r="C90" s="280">
        <f>'Tinh hinh tai chinh'!BK72</f>
        <v>0</v>
      </c>
    </row>
    <row r="91" spans="1:4" ht="18" customHeight="1" x14ac:dyDescent="0.25">
      <c r="A91" s="284" t="s">
        <v>144</v>
      </c>
      <c r="B91" s="280">
        <f ca="1">OFFSET('Tinh hinh tai chinh'!$BL73,0,'THTC in'!$D$7 - 1)</f>
        <v>0</v>
      </c>
      <c r="C91" s="280">
        <f>'Tinh hinh tai chinh'!BK73</f>
        <v>0</v>
      </c>
    </row>
    <row r="92" spans="1:4" ht="18" customHeight="1" x14ac:dyDescent="0.25">
      <c r="A92" s="284" t="s">
        <v>145</v>
      </c>
      <c r="B92" s="280">
        <f ca="1">OFFSET('Tinh hinh tai chinh'!$BL74,0,'THTC in'!$D$7 - 1)</f>
        <v>0</v>
      </c>
      <c r="C92" s="280">
        <f>'Tinh hinh tai chinh'!BK74</f>
        <v>0</v>
      </c>
    </row>
    <row r="93" spans="1:4" ht="18" customHeight="1" x14ac:dyDescent="0.25">
      <c r="A93" s="284" t="s">
        <v>146</v>
      </c>
      <c r="B93" s="280">
        <f ca="1">OFFSET('Tinh hinh tai chinh'!$BL75,0,'THTC in'!$D$7 - 1)</f>
        <v>0</v>
      </c>
      <c r="C93" s="280">
        <f>'Tinh hinh tai chinh'!BK75</f>
        <v>0</v>
      </c>
    </row>
    <row r="94" spans="1:4" x14ac:dyDescent="0.25">
      <c r="A94" s="284"/>
      <c r="B94" s="280"/>
      <c r="C94" s="280"/>
    </row>
    <row r="95" spans="1:4" x14ac:dyDescent="0.25">
      <c r="A95" s="281" t="s">
        <v>382</v>
      </c>
      <c r="B95" s="282">
        <f t="shared" ref="B95:C95" ca="1" si="8">SUM(B96:B99)</f>
        <v>0</v>
      </c>
      <c r="C95" s="282">
        <f t="shared" si="8"/>
        <v>0</v>
      </c>
    </row>
    <row r="96" spans="1:4" ht="18" customHeight="1" x14ac:dyDescent="0.25">
      <c r="A96" s="279" t="s">
        <v>148</v>
      </c>
      <c r="B96" s="280">
        <f ca="1">OFFSET('Tinh hinh tai chinh'!$BL77,0,'THTC in'!$D$7 - 1)</f>
        <v>0</v>
      </c>
      <c r="C96" s="280">
        <f>'Tinh hinh tai chinh'!BK77</f>
        <v>0</v>
      </c>
    </row>
    <row r="97" spans="1:5" s="263" customFormat="1" ht="18" customHeight="1" x14ac:dyDescent="0.25">
      <c r="A97" s="279" t="s">
        <v>149</v>
      </c>
      <c r="B97" s="280">
        <f ca="1">OFFSET('Tinh hinh tai chinh'!$BL78,0,'THTC in'!$D$7 - 1)</f>
        <v>0</v>
      </c>
      <c r="C97" s="280">
        <f>'Tinh hinh tai chinh'!BK78</f>
        <v>0</v>
      </c>
    </row>
    <row r="98" spans="1:5" ht="18" customHeight="1" x14ac:dyDescent="0.25">
      <c r="A98" s="279" t="s">
        <v>150</v>
      </c>
      <c r="B98" s="280">
        <f ca="1">OFFSET('Tinh hinh tai chinh'!$BL79,0,'THTC in'!$D$7 - 1)</f>
        <v>0</v>
      </c>
      <c r="C98" s="280">
        <f>'Tinh hinh tai chinh'!BK79</f>
        <v>0</v>
      </c>
    </row>
    <row r="99" spans="1:5" ht="18" customHeight="1" x14ac:dyDescent="0.25">
      <c r="A99" s="305" t="s">
        <v>151</v>
      </c>
      <c r="B99" s="280">
        <f ca="1">OFFSET('Tinh hinh tai chinh'!$BL80,0,'THTC in'!$D$7 - 1)</f>
        <v>0</v>
      </c>
      <c r="C99" s="280">
        <f>'Tinh hinh tai chinh'!BK80</f>
        <v>0</v>
      </c>
    </row>
    <row r="100" spans="1:5" ht="21.75" customHeight="1" x14ac:dyDescent="0.25">
      <c r="A100" s="306" t="s">
        <v>383</v>
      </c>
      <c r="B100" s="307">
        <f ca="1">B8+B47</f>
        <v>101076190777</v>
      </c>
      <c r="C100" s="307">
        <f>C8+C47</f>
        <v>5998114586</v>
      </c>
      <c r="E100" s="301"/>
    </row>
    <row r="101" spans="1:5" ht="16.5" customHeight="1" x14ac:dyDescent="0.25">
      <c r="B101" s="308"/>
      <c r="C101" s="308"/>
    </row>
    <row r="102" spans="1:5" s="263" customFormat="1" ht="30" customHeight="1" x14ac:dyDescent="0.25">
      <c r="A102" s="270" t="s">
        <v>384</v>
      </c>
      <c r="B102" s="295" t="str">
        <f>B7</f>
        <v>Số cuối tháng 5</v>
      </c>
      <c r="C102" s="295" t="str">
        <f>C7</f>
        <v>Số dư đầu năm 2026</v>
      </c>
    </row>
    <row r="103" spans="1:5" s="278" customFormat="1" x14ac:dyDescent="0.25">
      <c r="A103" s="309" t="s">
        <v>385</v>
      </c>
      <c r="B103" s="310">
        <f t="shared" ref="B103:C103" ca="1" si="9">B104+B121</f>
        <v>97200</v>
      </c>
      <c r="C103" s="310">
        <f t="shared" si="9"/>
        <v>0</v>
      </c>
    </row>
    <row r="104" spans="1:5" s="263" customFormat="1" ht="18" customHeight="1" x14ac:dyDescent="0.25">
      <c r="A104" s="281" t="s">
        <v>386</v>
      </c>
      <c r="B104" s="282">
        <f t="shared" ref="B104:C104" ca="1" si="10">SUM(B105:B119)</f>
        <v>97200</v>
      </c>
      <c r="C104" s="282">
        <f t="shared" si="10"/>
        <v>0</v>
      </c>
    </row>
    <row r="105" spans="1:5" ht="18" customHeight="1" x14ac:dyDescent="0.25">
      <c r="A105" s="279" t="s">
        <v>155</v>
      </c>
      <c r="B105" s="280">
        <f ca="1">OFFSET('Tinh hinh tai chinh'!$BL84,0,'THTC in'!$D$7 - 1)</f>
        <v>97200</v>
      </c>
      <c r="C105" s="280">
        <f>'Tinh hinh tai chinh'!BK84</f>
        <v>0</v>
      </c>
      <c r="D105" s="286"/>
    </row>
    <row r="106" spans="1:5" ht="18" customHeight="1" x14ac:dyDescent="0.25">
      <c r="A106" s="279" t="s">
        <v>156</v>
      </c>
      <c r="B106" s="280">
        <f ca="1">OFFSET('Tinh hinh tai chinh'!$BL85,0,'THTC in'!$D$7 - 1)</f>
        <v>0</v>
      </c>
      <c r="C106" s="280">
        <f>'Tinh hinh tai chinh'!BK85</f>
        <v>0</v>
      </c>
    </row>
    <row r="107" spans="1:5" ht="18" customHeight="1" x14ac:dyDescent="0.25">
      <c r="A107" s="279" t="s">
        <v>157</v>
      </c>
      <c r="B107" s="280">
        <f ca="1">OFFSET('Tinh hinh tai chinh'!$BL86,0,'THTC in'!$D$7 - 1)</f>
        <v>0</v>
      </c>
      <c r="C107" s="280">
        <f>'Tinh hinh tai chinh'!BK86</f>
        <v>0</v>
      </c>
    </row>
    <row r="108" spans="1:5" ht="18" customHeight="1" x14ac:dyDescent="0.25">
      <c r="A108" s="279" t="s">
        <v>158</v>
      </c>
      <c r="B108" s="280">
        <f ca="1">OFFSET('Tinh hinh tai chinh'!$BL87,0,'THTC in'!$D$7 - 1)</f>
        <v>0</v>
      </c>
      <c r="C108" s="280">
        <f>'Tinh hinh tai chinh'!BK87</f>
        <v>0</v>
      </c>
    </row>
    <row r="109" spans="1:5" ht="18" customHeight="1" x14ac:dyDescent="0.25">
      <c r="A109" s="279" t="s">
        <v>159</v>
      </c>
      <c r="B109" s="280">
        <f ca="1">OFFSET('Tinh hinh tai chinh'!$BL88,0,'THTC in'!$D$7 - 1)</f>
        <v>0</v>
      </c>
      <c r="C109" s="280">
        <f>'Tinh hinh tai chinh'!BK88</f>
        <v>0</v>
      </c>
    </row>
    <row r="110" spans="1:5" ht="18" customHeight="1" x14ac:dyDescent="0.25">
      <c r="A110" s="279" t="s">
        <v>160</v>
      </c>
      <c r="B110" s="280">
        <f ca="1">OFFSET('Tinh hinh tai chinh'!$BL89,0,'THTC in'!$D$7 - 1)</f>
        <v>0</v>
      </c>
      <c r="C110" s="280">
        <f>'Tinh hinh tai chinh'!BK89</f>
        <v>0</v>
      </c>
    </row>
    <row r="111" spans="1:5" ht="18" customHeight="1" x14ac:dyDescent="0.25">
      <c r="A111" s="279" t="s">
        <v>161</v>
      </c>
      <c r="B111" s="280">
        <f ca="1">OFFSET('Tinh hinh tai chinh'!$BL90,0,'THTC in'!$D$7 - 1)</f>
        <v>0</v>
      </c>
      <c r="C111" s="280">
        <f>'Tinh hinh tai chinh'!BK90</f>
        <v>0</v>
      </c>
    </row>
    <row r="112" spans="1:5" ht="18" customHeight="1" x14ac:dyDescent="0.25">
      <c r="A112" s="279" t="s">
        <v>162</v>
      </c>
      <c r="B112" s="280">
        <f ca="1">OFFSET('Tinh hinh tai chinh'!$BL91,0,'THTC in'!$D$7 - 1)</f>
        <v>0</v>
      </c>
      <c r="C112" s="280">
        <f>'Tinh hinh tai chinh'!BK91</f>
        <v>0</v>
      </c>
    </row>
    <row r="113" spans="1:3" ht="18" customHeight="1" x14ac:dyDescent="0.25">
      <c r="A113" s="284" t="s">
        <v>163</v>
      </c>
      <c r="B113" s="280">
        <f ca="1">OFFSET('Tinh hinh tai chinh'!$BL92,0,'THTC in'!$D$7 - 1)</f>
        <v>0</v>
      </c>
      <c r="C113" s="280">
        <f>'Tinh hinh tai chinh'!BK92</f>
        <v>0</v>
      </c>
    </row>
    <row r="114" spans="1:3" ht="18" customHeight="1" x14ac:dyDescent="0.25">
      <c r="A114" s="279" t="s">
        <v>164</v>
      </c>
      <c r="B114" s="280">
        <f ca="1">OFFSET('Tinh hinh tai chinh'!$BL93,0,'THTC in'!$D$7 - 1)</f>
        <v>0</v>
      </c>
      <c r="C114" s="280">
        <f>'Tinh hinh tai chinh'!BK93</f>
        <v>0</v>
      </c>
    </row>
    <row r="115" spans="1:3" ht="18" customHeight="1" x14ac:dyDescent="0.25">
      <c r="A115" s="279" t="s">
        <v>165</v>
      </c>
      <c r="B115" s="280">
        <f ca="1">OFFSET('Tinh hinh tai chinh'!$BL94,0,'THTC in'!$D$7 - 1)</f>
        <v>0</v>
      </c>
      <c r="C115" s="280">
        <f>'Tinh hinh tai chinh'!BK94</f>
        <v>0</v>
      </c>
    </row>
    <row r="116" spans="1:3" ht="18" customHeight="1" x14ac:dyDescent="0.25">
      <c r="A116" s="279" t="s">
        <v>166</v>
      </c>
      <c r="B116" s="280">
        <f ca="1">OFFSET('Tinh hinh tai chinh'!$BL95,0,'THTC in'!$D$7 - 1)</f>
        <v>0</v>
      </c>
      <c r="C116" s="280">
        <f>'Tinh hinh tai chinh'!BK95</f>
        <v>0</v>
      </c>
    </row>
    <row r="117" spans="1:3" ht="18" customHeight="1" x14ac:dyDescent="0.25">
      <c r="A117" s="279" t="s">
        <v>167</v>
      </c>
      <c r="B117" s="280">
        <f ca="1">OFFSET('Tinh hinh tai chinh'!$BL96,0,'THTC in'!$D$7 - 1)</f>
        <v>0</v>
      </c>
      <c r="C117" s="280">
        <f>'Tinh hinh tai chinh'!BK96</f>
        <v>0</v>
      </c>
    </row>
    <row r="118" spans="1:3" ht="18" customHeight="1" x14ac:dyDescent="0.25">
      <c r="A118" s="279" t="s">
        <v>168</v>
      </c>
      <c r="B118" s="280">
        <f ca="1">OFFSET('Tinh hinh tai chinh'!$BL97,0,'THTC in'!$D$7 - 1)</f>
        <v>0</v>
      </c>
      <c r="C118" s="280">
        <f>'Tinh hinh tai chinh'!BK97</f>
        <v>0</v>
      </c>
    </row>
    <row r="119" spans="1:3" ht="18" customHeight="1" x14ac:dyDescent="0.25">
      <c r="A119" s="279" t="s">
        <v>169</v>
      </c>
      <c r="B119" s="280">
        <f ca="1">OFFSET('Tinh hinh tai chinh'!$BL98,0,'THTC in'!$D$7 - 1)</f>
        <v>0</v>
      </c>
      <c r="C119" s="280">
        <f>'Tinh hinh tai chinh'!BK98</f>
        <v>0</v>
      </c>
    </row>
    <row r="120" spans="1:3" ht="9.75" customHeight="1" x14ac:dyDescent="0.25">
      <c r="A120" s="279"/>
      <c r="B120" s="280"/>
      <c r="C120" s="280"/>
    </row>
    <row r="121" spans="1:3" s="263" customFormat="1" ht="14.25" customHeight="1" x14ac:dyDescent="0.25">
      <c r="A121" s="281" t="s">
        <v>387</v>
      </c>
      <c r="B121" s="282">
        <f t="shared" ref="B121:C121" ca="1" si="11">SUM(B122:B135)</f>
        <v>0</v>
      </c>
      <c r="C121" s="282">
        <f t="shared" si="11"/>
        <v>0</v>
      </c>
    </row>
    <row r="122" spans="1:3" ht="18.75" customHeight="1" x14ac:dyDescent="0.25">
      <c r="A122" s="279" t="s">
        <v>171</v>
      </c>
      <c r="B122" s="280">
        <f ca="1">OFFSET('Tinh hinh tai chinh'!$BL100,0,'THTC in'!$D$7 - 1)</f>
        <v>0</v>
      </c>
      <c r="C122" s="280">
        <f>'Tinh hinh tai chinh'!BK100</f>
        <v>0</v>
      </c>
    </row>
    <row r="123" spans="1:3" ht="18" customHeight="1" x14ac:dyDescent="0.25">
      <c r="A123" s="279" t="s">
        <v>172</v>
      </c>
      <c r="B123" s="280">
        <f ca="1">OFFSET('Tinh hinh tai chinh'!$BL101,0,'THTC in'!$D$7 - 1)</f>
        <v>0</v>
      </c>
      <c r="C123" s="280">
        <f>'Tinh hinh tai chinh'!BK101</f>
        <v>0</v>
      </c>
    </row>
    <row r="124" spans="1:3" ht="18" customHeight="1" x14ac:dyDescent="0.25">
      <c r="A124" s="279" t="s">
        <v>173</v>
      </c>
      <c r="B124" s="280">
        <f ca="1">OFFSET('Tinh hinh tai chinh'!$BL102,0,'THTC in'!$D$7 - 1)</f>
        <v>0</v>
      </c>
      <c r="C124" s="280">
        <f>'Tinh hinh tai chinh'!BK102</f>
        <v>0</v>
      </c>
    </row>
    <row r="125" spans="1:3" ht="18" customHeight="1" x14ac:dyDescent="0.25">
      <c r="A125" s="279" t="s">
        <v>174</v>
      </c>
      <c r="B125" s="280">
        <f ca="1">OFFSET('Tinh hinh tai chinh'!$BL103,0,'THTC in'!$D$7 - 1)</f>
        <v>0</v>
      </c>
      <c r="C125" s="280">
        <f>'Tinh hinh tai chinh'!BK103</f>
        <v>0</v>
      </c>
    </row>
    <row r="126" spans="1:3" ht="18" customHeight="1" x14ac:dyDescent="0.25">
      <c r="A126" s="279" t="s">
        <v>175</v>
      </c>
      <c r="B126" s="280">
        <f ca="1">OFFSET('Tinh hinh tai chinh'!$BL104,0,'THTC in'!$D$7 - 1)</f>
        <v>0</v>
      </c>
      <c r="C126" s="280">
        <f>'Tinh hinh tai chinh'!BK104</f>
        <v>0</v>
      </c>
    </row>
    <row r="127" spans="1:3" ht="18" customHeight="1" x14ac:dyDescent="0.25">
      <c r="A127" s="279" t="s">
        <v>176</v>
      </c>
      <c r="B127" s="280">
        <f ca="1">OFFSET('Tinh hinh tai chinh'!$BL105,0,'THTC in'!$D$7 - 1)</f>
        <v>0</v>
      </c>
      <c r="C127" s="280">
        <f>'Tinh hinh tai chinh'!BK105</f>
        <v>0</v>
      </c>
    </row>
    <row r="128" spans="1:3" ht="18" customHeight="1" x14ac:dyDescent="0.25">
      <c r="A128" s="279" t="s">
        <v>177</v>
      </c>
      <c r="B128" s="280">
        <f ca="1">OFFSET('Tinh hinh tai chinh'!$BL106,0,'THTC in'!$D$7 - 1)</f>
        <v>0</v>
      </c>
      <c r="C128" s="280">
        <f>'Tinh hinh tai chinh'!BK106</f>
        <v>0</v>
      </c>
    </row>
    <row r="129" spans="1:3" ht="18" customHeight="1" x14ac:dyDescent="0.25">
      <c r="A129" s="279" t="s">
        <v>178</v>
      </c>
      <c r="B129" s="280">
        <f ca="1">OFFSET('Tinh hinh tai chinh'!$BL107,0,'THTC in'!$D$7 - 1)</f>
        <v>0</v>
      </c>
      <c r="C129" s="280">
        <f>'Tinh hinh tai chinh'!BK107</f>
        <v>0</v>
      </c>
    </row>
    <row r="130" spans="1:3" ht="18" customHeight="1" x14ac:dyDescent="0.25">
      <c r="A130" s="279" t="s">
        <v>179</v>
      </c>
      <c r="B130" s="280">
        <f ca="1">OFFSET('Tinh hinh tai chinh'!$BL108,0,'THTC in'!$D$7 - 1)</f>
        <v>0</v>
      </c>
      <c r="C130" s="280">
        <f>'Tinh hinh tai chinh'!BK108</f>
        <v>0</v>
      </c>
    </row>
    <row r="131" spans="1:3" ht="18" customHeight="1" x14ac:dyDescent="0.25">
      <c r="A131" s="279" t="s">
        <v>180</v>
      </c>
      <c r="B131" s="280">
        <f ca="1">OFFSET('Tinh hinh tai chinh'!$BL109,0,'THTC in'!$D$7 - 1)</f>
        <v>0</v>
      </c>
      <c r="C131" s="280">
        <f>'Tinh hinh tai chinh'!BK109</f>
        <v>0</v>
      </c>
    </row>
    <row r="132" spans="1:3" ht="18" customHeight="1" x14ac:dyDescent="0.25">
      <c r="A132" s="279" t="s">
        <v>181</v>
      </c>
      <c r="B132" s="280">
        <f ca="1">OFFSET('Tinh hinh tai chinh'!$BL110,0,'THTC in'!$D$7 - 1)</f>
        <v>0</v>
      </c>
      <c r="C132" s="280">
        <f>'Tinh hinh tai chinh'!BK110</f>
        <v>0</v>
      </c>
    </row>
    <row r="133" spans="1:3" ht="18" customHeight="1" x14ac:dyDescent="0.25">
      <c r="A133" s="279" t="s">
        <v>182</v>
      </c>
      <c r="B133" s="280">
        <f ca="1">OFFSET('Tinh hinh tai chinh'!$BL111,0,'THTC in'!$D$7 - 1)</f>
        <v>0</v>
      </c>
      <c r="C133" s="280">
        <f>'Tinh hinh tai chinh'!BK111</f>
        <v>0</v>
      </c>
    </row>
    <row r="134" spans="1:3" ht="18" customHeight="1" x14ac:dyDescent="0.25">
      <c r="A134" s="279" t="s">
        <v>183</v>
      </c>
      <c r="B134" s="280">
        <f ca="1">OFFSET('Tinh hinh tai chinh'!$BL112,0,'THTC in'!$D$7 - 1)</f>
        <v>0</v>
      </c>
      <c r="C134" s="280">
        <f>'Tinh hinh tai chinh'!BK112</f>
        <v>0</v>
      </c>
    </row>
    <row r="135" spans="1:3" ht="18" customHeight="1" x14ac:dyDescent="0.25">
      <c r="A135" s="305" t="s">
        <v>184</v>
      </c>
      <c r="B135" s="292">
        <f ca="1">OFFSET('Tinh hinh tai chinh'!$BL113,0,'THTC in'!$D$7 - 1)</f>
        <v>0</v>
      </c>
      <c r="C135" s="292">
        <f>'Tinh hinh tai chinh'!BK113</f>
        <v>0</v>
      </c>
    </row>
    <row r="136" spans="1:3" x14ac:dyDescent="0.25">
      <c r="A136" s="293"/>
      <c r="B136" s="311"/>
      <c r="C136" s="312"/>
    </row>
    <row r="137" spans="1:3" s="263" customFormat="1" ht="30" customHeight="1" x14ac:dyDescent="0.25">
      <c r="A137" s="270" t="s">
        <v>384</v>
      </c>
      <c r="B137" s="295" t="str">
        <f>B7</f>
        <v>Số cuối tháng 5</v>
      </c>
      <c r="C137" s="295" t="str">
        <f>C7</f>
        <v>Số dư đầu năm 2026</v>
      </c>
    </row>
    <row r="138" spans="1:3" s="278" customFormat="1" x14ac:dyDescent="0.25">
      <c r="A138" s="309" t="s">
        <v>388</v>
      </c>
      <c r="B138" s="310">
        <f ca="1">B139+SUM(B142:B150)</f>
        <v>101076093577</v>
      </c>
      <c r="C138" s="310">
        <f>C139+SUM(C142:C150)</f>
        <v>5998114586</v>
      </c>
    </row>
    <row r="139" spans="1:3" ht="18" customHeight="1" x14ac:dyDescent="0.25">
      <c r="A139" s="279" t="s">
        <v>186</v>
      </c>
      <c r="B139" s="313">
        <f ca="1">B140</f>
        <v>100000000000</v>
      </c>
      <c r="C139" s="313">
        <f>SUM(C140:C141)</f>
        <v>6000000000</v>
      </c>
    </row>
    <row r="140" spans="1:3" ht="18" customHeight="1" x14ac:dyDescent="0.25">
      <c r="A140" s="279" t="s">
        <v>187</v>
      </c>
      <c r="B140" s="313">
        <f ca="1">OFFSET('Tinh hinh tai chinh'!$BL116,0,'THTC in'!$D$7 - 1)</f>
        <v>100000000000</v>
      </c>
      <c r="C140" s="313">
        <f>'Tinh hinh tai chinh'!BK116</f>
        <v>6000000000</v>
      </c>
    </row>
    <row r="141" spans="1:3" ht="18" customHeight="1" x14ac:dyDescent="0.25">
      <c r="A141" s="279" t="s">
        <v>188</v>
      </c>
      <c r="B141" s="313">
        <f ca="1">OFFSET('Tinh hinh tai chinh'!$BL117,0,'THTC in'!$D$7 - 1)</f>
        <v>0</v>
      </c>
      <c r="C141" s="313">
        <f>'Tinh hinh tai chinh'!BK117</f>
        <v>0</v>
      </c>
    </row>
    <row r="142" spans="1:3" ht="18" customHeight="1" x14ac:dyDescent="0.25">
      <c r="A142" s="279" t="s">
        <v>189</v>
      </c>
      <c r="B142" s="313">
        <f ca="1">OFFSET('Tinh hinh tai chinh'!$BL118,0,'THTC in'!$D$7 - 1)</f>
        <v>0</v>
      </c>
      <c r="C142" s="313">
        <f>'Tinh hinh tai chinh'!BK118</f>
        <v>0</v>
      </c>
    </row>
    <row r="143" spans="1:3" ht="18" customHeight="1" x14ac:dyDescent="0.25">
      <c r="A143" s="279" t="s">
        <v>190</v>
      </c>
      <c r="B143" s="313">
        <f ca="1">OFFSET('Tinh hinh tai chinh'!$BL119,0,'THTC in'!$D$7 - 1)</f>
        <v>0</v>
      </c>
      <c r="C143" s="313">
        <f>'Tinh hinh tai chinh'!BK119</f>
        <v>0</v>
      </c>
    </row>
    <row r="144" spans="1:3" ht="18" customHeight="1" x14ac:dyDescent="0.25">
      <c r="A144" s="279" t="s">
        <v>191</v>
      </c>
      <c r="B144" s="313">
        <f ca="1">OFFSET('Tinh hinh tai chinh'!$BL120,0,'THTC in'!$D$7 - 1)</f>
        <v>0</v>
      </c>
      <c r="C144" s="313">
        <f>'Tinh hinh tai chinh'!BK120</f>
        <v>0</v>
      </c>
    </row>
    <row r="145" spans="1:5" ht="18" customHeight="1" x14ac:dyDescent="0.25">
      <c r="A145" s="279" t="s">
        <v>192</v>
      </c>
      <c r="B145" s="313">
        <f ca="1">OFFSET('Tinh hinh tai chinh'!$BL121,0,'THTC in'!$D$7 - 1)</f>
        <v>0</v>
      </c>
      <c r="C145" s="313">
        <f>'Tinh hinh tai chinh'!BK121</f>
        <v>0</v>
      </c>
    </row>
    <row r="146" spans="1:5" ht="18" customHeight="1" x14ac:dyDescent="0.25">
      <c r="A146" s="279" t="s">
        <v>193</v>
      </c>
      <c r="B146" s="313">
        <f ca="1">OFFSET('Tinh hinh tai chinh'!$BL122,0,'THTC in'!$D$7 - 1)</f>
        <v>0</v>
      </c>
      <c r="C146" s="313">
        <f>'Tinh hinh tai chinh'!BK122</f>
        <v>0</v>
      </c>
    </row>
    <row r="147" spans="1:5" ht="18" customHeight="1" x14ac:dyDescent="0.25">
      <c r="A147" s="279" t="s">
        <v>194</v>
      </c>
      <c r="B147" s="313">
        <f ca="1">OFFSET('Tinh hinh tai chinh'!$BL123,0,'THTC in'!$D$7 - 1)</f>
        <v>0</v>
      </c>
      <c r="C147" s="313">
        <f>'Tinh hinh tai chinh'!BK123</f>
        <v>0</v>
      </c>
    </row>
    <row r="148" spans="1:5" ht="18" customHeight="1" x14ac:dyDescent="0.25">
      <c r="A148" s="279" t="s">
        <v>195</v>
      </c>
      <c r="B148" s="313">
        <f ca="1">OFFSET('Tinh hinh tai chinh'!$BL124,0,'THTC in'!$D$7 - 1)</f>
        <v>0</v>
      </c>
      <c r="C148" s="313">
        <f>'Tinh hinh tai chinh'!BK124</f>
        <v>0</v>
      </c>
    </row>
    <row r="149" spans="1:5" ht="18" customHeight="1" x14ac:dyDescent="0.25">
      <c r="A149" s="279" t="s">
        <v>196</v>
      </c>
      <c r="B149" s="313">
        <f ca="1">OFFSET('Tinh hinh tai chinh'!$BL125,0,'THTC in'!$D$7 - 1)</f>
        <v>0</v>
      </c>
      <c r="C149" s="313">
        <f>'Tinh hinh tai chinh'!BK125</f>
        <v>0</v>
      </c>
    </row>
    <row r="150" spans="1:5" ht="18" customHeight="1" x14ac:dyDescent="0.25">
      <c r="A150" s="279" t="s">
        <v>197</v>
      </c>
      <c r="B150" s="314">
        <f t="shared" ref="B150" ca="1" si="12">B151+B152</f>
        <v>1076093577</v>
      </c>
      <c r="C150" s="314">
        <f>C151+C152</f>
        <v>-1885414</v>
      </c>
      <c r="D150" s="315"/>
      <c r="E150" s="301"/>
    </row>
    <row r="151" spans="1:5" ht="18" customHeight="1" x14ac:dyDescent="0.25">
      <c r="A151" s="316" t="s">
        <v>198</v>
      </c>
      <c r="B151" s="317">
        <f ca="1">OFFSET('Tinh hinh tai chinh'!$BL127,0,'THTC in'!$D$7 - 1)</f>
        <v>1076173118</v>
      </c>
      <c r="C151" s="317">
        <f>'Tinh hinh tai chinh'!BK127</f>
        <v>-1888731</v>
      </c>
      <c r="D151" s="315"/>
    </row>
    <row r="152" spans="1:5" ht="18" customHeight="1" x14ac:dyDescent="0.25">
      <c r="A152" s="316" t="s">
        <v>199</v>
      </c>
      <c r="B152" s="317">
        <f ca="1">OFFSET('Tinh hinh tai chinh'!$BL128,0,'THTC in'!$D$7 - 1)</f>
        <v>-79541</v>
      </c>
      <c r="C152" s="317">
        <f>'Tinh hinh tai chinh'!BK128</f>
        <v>3317</v>
      </c>
      <c r="D152" s="315"/>
    </row>
    <row r="153" spans="1:5" x14ac:dyDescent="0.25">
      <c r="A153" s="318"/>
      <c r="B153" s="298"/>
      <c r="C153" s="298"/>
    </row>
    <row r="154" spans="1:5" ht="22.5" customHeight="1" x14ac:dyDescent="0.25">
      <c r="A154" s="306" t="s">
        <v>389</v>
      </c>
      <c r="B154" s="307">
        <f ca="1">B138+B103</f>
        <v>101076190777</v>
      </c>
      <c r="C154" s="307">
        <f>C103+C138</f>
        <v>5998114586</v>
      </c>
      <c r="E154" s="301"/>
    </row>
    <row r="155" spans="1:5" x14ac:dyDescent="0.25">
      <c r="B155" s="319">
        <f ca="1">+B154-B100</f>
        <v>0</v>
      </c>
      <c r="C155" s="319">
        <f>+C154-C100</f>
        <v>0</v>
      </c>
    </row>
    <row r="156" spans="1:5" x14ac:dyDescent="0.25">
      <c r="B156" s="319">
        <v>0</v>
      </c>
      <c r="C156" s="319"/>
    </row>
    <row r="157" spans="1:5" x14ac:dyDescent="0.25">
      <c r="B157" s="580" t="str">
        <f>'KQKD in'!F32</f>
        <v>Lập, ngày 06 tháng 06 năm 2026</v>
      </c>
      <c r="C157" s="580"/>
    </row>
    <row r="158" spans="1:5" ht="6.75" customHeight="1" x14ac:dyDescent="0.25">
      <c r="B158" s="320"/>
      <c r="C158" s="320"/>
    </row>
    <row r="159" spans="1:5" x14ac:dyDescent="0.25">
      <c r="A159" s="321" t="s">
        <v>342</v>
      </c>
      <c r="B159" s="581" t="str">
        <f>'Thong tin'!B18</f>
        <v>GIÁM ĐỐC</v>
      </c>
      <c r="C159" s="581"/>
    </row>
    <row r="160" spans="1:5" x14ac:dyDescent="0.25">
      <c r="A160" s="320"/>
      <c r="B160" s="266"/>
      <c r="C160" s="266"/>
    </row>
    <row r="161" spans="1:3" x14ac:dyDescent="0.25">
      <c r="A161" s="320"/>
      <c r="B161" s="315"/>
      <c r="C161" s="266"/>
    </row>
    <row r="162" spans="1:3" x14ac:dyDescent="0.25">
      <c r="A162" s="320"/>
      <c r="B162" s="266"/>
      <c r="C162" s="266"/>
    </row>
    <row r="163" spans="1:3" x14ac:dyDescent="0.25">
      <c r="A163" s="320"/>
      <c r="B163" s="266"/>
      <c r="C163" s="266"/>
    </row>
    <row r="164" spans="1:3" x14ac:dyDescent="0.25">
      <c r="A164" s="320"/>
      <c r="B164" s="266"/>
      <c r="C164" s="266"/>
    </row>
    <row r="165" spans="1:3" ht="15.6" x14ac:dyDescent="0.3">
      <c r="A165" s="322"/>
      <c r="B165" s="266"/>
      <c r="C165" s="266"/>
    </row>
    <row r="166" spans="1:3" x14ac:dyDescent="0.25">
      <c r="A166" s="320" t="str">
        <f>'Thong tin'!B13</f>
        <v>Lê Thùy Ngân</v>
      </c>
      <c r="B166" s="580" t="str">
        <f>'Thong tin'!B19</f>
        <v>Trần Thị Kim Thanh</v>
      </c>
      <c r="C166" s="580"/>
    </row>
    <row r="167" spans="1:3" x14ac:dyDescent="0.25">
      <c r="B167" s="266"/>
      <c r="C167" s="266"/>
    </row>
    <row r="168" spans="1:3" x14ac:dyDescent="0.25">
      <c r="B168" s="266"/>
      <c r="C168" s="266"/>
    </row>
  </sheetData>
  <mergeCells count="5">
    <mergeCell ref="A4:C4"/>
    <mergeCell ref="A5:C5"/>
    <mergeCell ref="B157:C157"/>
    <mergeCell ref="B159:C159"/>
    <mergeCell ref="B166:C166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orientation="portrait" useFirstPageNumber="1" r:id="rId1"/>
  <headerFooter>
    <oddFooter>&amp;CTrang &amp;P</oddFooter>
  </headerFooter>
  <rowBreaks count="3" manualBreakCount="3">
    <brk id="55" max="16383" man="1"/>
    <brk id="101" max="16383" man="1"/>
    <brk id="1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242B1-D4A1-4A9C-8BA9-44F76D9A0385}">
  <sheetPr>
    <tabColor theme="8" tint="0.59999389629810485"/>
  </sheetPr>
  <dimension ref="A1:G48"/>
  <sheetViews>
    <sheetView showGridLines="0" showZeros="0" tabSelected="1" zoomScaleNormal="100" workbookViewId="0">
      <pane xSplit="3" ySplit="9" topLeftCell="D10" activePane="bottomRight" state="frozen"/>
      <selection activeCell="D8" sqref="D8:E8"/>
      <selection pane="topRight" activeCell="D8" sqref="D8:E8"/>
      <selection pane="bottomLeft" activeCell="D8" sqref="D8:E8"/>
      <selection pane="bottomRight" activeCell="F33" sqref="F33"/>
    </sheetView>
  </sheetViews>
  <sheetFormatPr defaultColWidth="9.109375" defaultRowHeight="13.8" x14ac:dyDescent="0.25"/>
  <cols>
    <col min="1" max="1" width="3.5546875" style="266" customWidth="1"/>
    <col min="2" max="2" width="21.6640625" style="266" customWidth="1"/>
    <col min="3" max="3" width="18.44140625" style="266" customWidth="1"/>
    <col min="4" max="4" width="14.33203125" style="301" customWidth="1"/>
    <col min="5" max="5" width="14.33203125" style="266" customWidth="1"/>
    <col min="6" max="6" width="15.109375" style="301" customWidth="1"/>
    <col min="7" max="7" width="15.109375" style="266" customWidth="1"/>
    <col min="8" max="8" width="5.88671875" style="266" customWidth="1"/>
    <col min="9" max="16384" width="9.109375" style="266"/>
  </cols>
  <sheetData>
    <row r="1" spans="1:7" ht="15.6" x14ac:dyDescent="0.3">
      <c r="A1" s="323" t="str">
        <f>'Thong tin'!$A$1</f>
        <v>CÔNG TY CỔ PHẦN NHỰA TÁI CHẾ DUY TÂN VĨNH LONG</v>
      </c>
      <c r="B1" s="324"/>
      <c r="D1" s="266"/>
      <c r="E1" s="220"/>
      <c r="F1" s="266"/>
      <c r="G1" s="220"/>
    </row>
    <row r="2" spans="1:7" ht="16.2" thickBot="1" x14ac:dyDescent="0.35">
      <c r="A2" s="264" t="str">
        <f>'Thong tin'!$A$2</f>
        <v>Địa chỉ: Thửa đất số 838, tờ bản đồ số 6, tổ 4, ấp Tân Thuận, phường Tân Hạnh, tỉnh Vĩnh Long</v>
      </c>
      <c r="B2" s="325"/>
      <c r="C2" s="325"/>
      <c r="D2" s="325"/>
      <c r="E2" s="223"/>
      <c r="F2" s="325"/>
      <c r="G2" s="223"/>
    </row>
    <row r="3" spans="1:7" ht="15.6" x14ac:dyDescent="0.3">
      <c r="D3" s="266"/>
      <c r="E3" s="225"/>
      <c r="F3" s="266"/>
      <c r="G3" s="225"/>
    </row>
    <row r="4" spans="1:7" ht="18.75" customHeight="1" x14ac:dyDescent="0.35">
      <c r="A4" s="585" t="s">
        <v>391</v>
      </c>
      <c r="B4" s="585"/>
      <c r="C4" s="585"/>
      <c r="D4" s="585"/>
      <c r="E4" s="585"/>
      <c r="F4" s="585"/>
      <c r="G4" s="585"/>
    </row>
    <row r="5" spans="1:7" ht="15.6" x14ac:dyDescent="0.3">
      <c r="A5" s="586" t="str">
        <f>"Năm " &amp; 'Thong tin'!$C$6</f>
        <v>Năm 2026</v>
      </c>
      <c r="B5" s="586"/>
      <c r="C5" s="586"/>
      <c r="D5" s="586"/>
      <c r="E5" s="586"/>
      <c r="F5" s="586"/>
      <c r="G5" s="586"/>
    </row>
    <row r="6" spans="1:7" x14ac:dyDescent="0.25">
      <c r="E6" s="326"/>
      <c r="G6" s="327" t="s">
        <v>392</v>
      </c>
    </row>
    <row r="7" spans="1:7" ht="5.0999999999999996" customHeight="1" x14ac:dyDescent="0.25"/>
    <row r="8" spans="1:7" ht="18.75" customHeight="1" x14ac:dyDescent="0.25">
      <c r="A8" s="587" t="s">
        <v>393</v>
      </c>
      <c r="B8" s="588"/>
      <c r="C8" s="589"/>
      <c r="D8" s="593" t="str">
        <f>"Tháng "&amp;'Thong tin'!$C$9</f>
        <v>Tháng 5</v>
      </c>
      <c r="E8" s="594"/>
      <c r="F8" s="595" t="str">
        <f>"Lũy kế"&amp;" "&amp;'Thong tin'!$C$9 &amp;" "&amp;"tháng"</f>
        <v>Lũy kế 5 tháng</v>
      </c>
      <c r="G8" s="596"/>
    </row>
    <row r="9" spans="1:7" ht="18.75" customHeight="1" x14ac:dyDescent="0.25">
      <c r="A9" s="590"/>
      <c r="B9" s="591"/>
      <c r="C9" s="592"/>
      <c r="D9" s="328" t="str">
        <f>"Năm " &amp; 'Thong tin'!$C$6</f>
        <v>Năm 2026</v>
      </c>
      <c r="E9" s="328" t="str">
        <f>"Năm " &amp; 'Thong tin'!$C$7</f>
        <v>Năm 2025</v>
      </c>
      <c r="F9" s="328" t="str">
        <f>"Năm " &amp; 'Thong tin'!$C$6</f>
        <v>Năm 2026</v>
      </c>
      <c r="G9" s="328" t="str">
        <f>"Năm " &amp; 'Thong tin'!$C$7</f>
        <v>Năm 2025</v>
      </c>
    </row>
    <row r="10" spans="1:7" ht="28.5" customHeight="1" x14ac:dyDescent="0.25">
      <c r="A10" s="329" t="s">
        <v>394</v>
      </c>
      <c r="B10" s="597" t="s">
        <v>395</v>
      </c>
      <c r="C10" s="598"/>
      <c r="D10" s="330">
        <f ca="1">OFFSET('Ket qua kinh doanh'!$BL5,0,'Thong tin'!$C$9 - 1)</f>
        <v>0</v>
      </c>
      <c r="E10" s="330">
        <f ca="1">OFFSET('Ket qua kinh doanh'!$AZ5,0,'Thong tin'!$C$9 - 1)</f>
        <v>0</v>
      </c>
      <c r="F10" s="330">
        <f ca="1">SUM(OFFSET('Ket qua kinh doanh'!$BL5,0,0,1,'Thong tin'!$C$9))</f>
        <v>0</v>
      </c>
      <c r="G10" s="330">
        <f ca="1">SUM(OFFSET('Ket qua kinh doanh'!$AZ5,0,0,1,'Thong tin'!$C$9))</f>
        <v>0</v>
      </c>
    </row>
    <row r="11" spans="1:7" ht="18" customHeight="1" x14ac:dyDescent="0.25">
      <c r="A11" s="331" t="s">
        <v>396</v>
      </c>
      <c r="B11" s="332" t="s">
        <v>397</v>
      </c>
      <c r="C11" s="333"/>
      <c r="D11" s="334">
        <f ca="1">OFFSET('Ket qua kinh doanh'!$BL6,0,'Thong tin'!$C$9 - 1)</f>
        <v>0</v>
      </c>
      <c r="E11" s="334">
        <f ca="1">OFFSET('Ket qua kinh doanh'!$AZ6,0,'Thong tin'!$C$9 - 1)</f>
        <v>0</v>
      </c>
      <c r="F11" s="334">
        <f ca="1">SUM(OFFSET('Ket qua kinh doanh'!$BL6,0,0,1,'Thong tin'!$C$9))</f>
        <v>0</v>
      </c>
      <c r="G11" s="334">
        <f ca="1">SUM(OFFSET('Ket qua kinh doanh'!$AZ6,0,0,1,'Thong tin'!$C$9))</f>
        <v>0</v>
      </c>
    </row>
    <row r="12" spans="1:7" s="337" customFormat="1" ht="29.25" customHeight="1" x14ac:dyDescent="0.25">
      <c r="A12" s="335" t="s">
        <v>398</v>
      </c>
      <c r="B12" s="599" t="s">
        <v>399</v>
      </c>
      <c r="C12" s="600"/>
      <c r="D12" s="336">
        <f ca="1">OFFSET('Ket qua kinh doanh'!$BL7,0,'Thong tin'!$C$9 - 1)</f>
        <v>0</v>
      </c>
      <c r="E12" s="336">
        <f ca="1">OFFSET('Ket qua kinh doanh'!$AZ7,0,'Thong tin'!$C$9 - 1)</f>
        <v>0</v>
      </c>
      <c r="F12" s="336">
        <f ca="1">SUM(OFFSET('Ket qua kinh doanh'!$BL7,0,0,1,'Thong tin'!$C$9))</f>
        <v>0</v>
      </c>
      <c r="G12" s="336">
        <f ca="1">SUM(OFFSET('Ket qua kinh doanh'!$AZ7,0,0,1,'Thong tin'!$C$9))</f>
        <v>0</v>
      </c>
    </row>
    <row r="13" spans="1:7" ht="18" customHeight="1" x14ac:dyDescent="0.25">
      <c r="A13" s="338" t="s">
        <v>400</v>
      </c>
      <c r="B13" s="339" t="s">
        <v>401</v>
      </c>
      <c r="C13" s="340"/>
      <c r="D13" s="341">
        <f ca="1">OFFSET('Ket qua kinh doanh'!$BL8,0,'Thong tin'!$C$9 - 1)</f>
        <v>0</v>
      </c>
      <c r="E13" s="341">
        <f ca="1">OFFSET('Ket qua kinh doanh'!$AZ8,0,'Thong tin'!$C$9 - 1)</f>
        <v>0</v>
      </c>
      <c r="F13" s="341">
        <f ca="1">SUM(OFFSET('Ket qua kinh doanh'!$BL8,0,0,1,'Thong tin'!$C$9))</f>
        <v>0</v>
      </c>
      <c r="G13" s="330">
        <f ca="1">SUM(OFFSET('Ket qua kinh doanh'!$AZ8,0,0,1,'Thong tin'!$C$9))</f>
        <v>0</v>
      </c>
    </row>
    <row r="14" spans="1:7" s="337" customFormat="1" ht="28.5" customHeight="1" x14ac:dyDescent="0.25">
      <c r="A14" s="335" t="s">
        <v>402</v>
      </c>
      <c r="B14" s="599" t="s">
        <v>403</v>
      </c>
      <c r="C14" s="600"/>
      <c r="D14" s="342">
        <f ca="1">OFFSET('Ket qua kinh doanh'!$BL9,0,'Thong tin'!$C$9 - 1)</f>
        <v>0</v>
      </c>
      <c r="E14" s="342">
        <f ca="1">OFFSET('Ket qua kinh doanh'!$AZ9,0,'Thong tin'!$C$9 - 1)</f>
        <v>0</v>
      </c>
      <c r="F14" s="342">
        <f ca="1">SUM(OFFSET('Ket qua kinh doanh'!$BL9,0,0,1,'Thong tin'!$C$9))</f>
        <v>0</v>
      </c>
      <c r="G14" s="342">
        <f ca="1">SUM(OFFSET('Ket qua kinh doanh'!$AZ9,0,0,1,'Thong tin'!$C$9))</f>
        <v>0</v>
      </c>
    </row>
    <row r="15" spans="1:7" s="337" customFormat="1" ht="28.5" customHeight="1" x14ac:dyDescent="0.25">
      <c r="A15" s="335" t="s">
        <v>404</v>
      </c>
      <c r="B15" s="599" t="s">
        <v>405</v>
      </c>
      <c r="C15" s="600"/>
      <c r="D15" s="342">
        <f ca="1">OFFSET('Ket qua kinh doanh'!$BL10,0,'Thong tin'!$C$9 - 1)</f>
        <v>0</v>
      </c>
      <c r="E15" s="342">
        <f ca="1">OFFSET('Ket qua kinh doanh'!$AZ10,0,'Thong tin'!$C$9 - 1)</f>
        <v>0</v>
      </c>
      <c r="F15" s="342">
        <f ca="1">SUM(OFFSET('Ket qua kinh doanh'!$BL10,0,0,1,'Thong tin'!$C$9))</f>
        <v>0</v>
      </c>
      <c r="G15" s="342">
        <f ca="1">SUM(OFFSET('Ket qua kinh doanh'!$AZ10,0,0,1,'Thong tin'!$C$9))</f>
        <v>0</v>
      </c>
    </row>
    <row r="16" spans="1:7" ht="18" customHeight="1" x14ac:dyDescent="0.25">
      <c r="A16" s="331" t="s">
        <v>406</v>
      </c>
      <c r="B16" s="332" t="s">
        <v>407</v>
      </c>
      <c r="C16" s="333"/>
      <c r="D16" s="343">
        <f ca="1">OFFSET('Ket qua kinh doanh'!$BL11,0,'Thong tin'!$C$9 - 1)</f>
        <v>10459</v>
      </c>
      <c r="E16" s="343">
        <f ca="1">OFFSET('Ket qua kinh doanh'!$AZ11,0,'Thong tin'!$C$9 - 1)</f>
        <v>0</v>
      </c>
      <c r="F16" s="334">
        <f ca="1">SUM(OFFSET('Ket qua kinh doanh'!$BL11,0,0,1,'Thong tin'!$C$9))</f>
        <v>1101243809</v>
      </c>
      <c r="G16" s="334">
        <f ca="1">SUM(OFFSET('Ket qua kinh doanh'!$AZ11,0,0,1,'Thong tin'!$C$9))</f>
        <v>0</v>
      </c>
    </row>
    <row r="17" spans="1:7" ht="18" customHeight="1" x14ac:dyDescent="0.25">
      <c r="A17" s="331" t="s">
        <v>408</v>
      </c>
      <c r="B17" s="332" t="s">
        <v>409</v>
      </c>
      <c r="C17" s="333"/>
      <c r="D17" s="343">
        <f ca="1">OFFSET('Ket qua kinh doanh'!$BL12,0,'Thong tin'!$C$9 - 1)</f>
        <v>0</v>
      </c>
      <c r="E17" s="334">
        <f ca="1">OFFSET('Ket qua kinh doanh'!$AZ12,0,'Thong tin'!$C$9 - 1)</f>
        <v>0</v>
      </c>
      <c r="F17" s="334">
        <f ca="1">SUM(OFFSET('Ket qua kinh doanh'!$BL12,0,0,1,'Thong tin'!$C$9))</f>
        <v>0</v>
      </c>
      <c r="G17" s="334">
        <f ca="1">SUM(OFFSET('Ket qua kinh doanh'!$AZ12,0,0,1,'Thong tin'!$C$9))</f>
        <v>0</v>
      </c>
    </row>
    <row r="18" spans="1:7" s="347" customFormat="1" ht="18" customHeight="1" x14ac:dyDescent="0.25">
      <c r="A18" s="344"/>
      <c r="B18" s="345" t="s">
        <v>410</v>
      </c>
      <c r="C18" s="346"/>
      <c r="D18" s="334">
        <f ca="1">OFFSET('Ket qua kinh doanh'!$BL13,0,'Thong tin'!$C$9 - 1)</f>
        <v>0</v>
      </c>
      <c r="E18" s="334">
        <f ca="1">OFFSET('Ket qua kinh doanh'!$AZ13,0,'Thong tin'!$C$9 - 1)</f>
        <v>0</v>
      </c>
      <c r="F18" s="334">
        <f ca="1">SUM(OFFSET('Ket qua kinh doanh'!$BL13,0,0,1,'Thong tin'!$C$9))</f>
        <v>0</v>
      </c>
      <c r="G18" s="334">
        <f ca="1">SUM(OFFSET('Ket qua kinh doanh'!$AZ13,0,0,1,'Thong tin'!$C$9))</f>
        <v>0</v>
      </c>
    </row>
    <row r="19" spans="1:7" ht="18" customHeight="1" x14ac:dyDescent="0.25">
      <c r="A19" s="331" t="s">
        <v>411</v>
      </c>
      <c r="B19" s="332" t="s">
        <v>412</v>
      </c>
      <c r="C19" s="333"/>
      <c r="D19" s="343">
        <f ca="1">OFFSET('Ket qua kinh doanh'!$BL14,0,'Thong tin'!$C$9 - 1)</f>
        <v>0</v>
      </c>
      <c r="E19" s="343">
        <f ca="1">OFFSET('Ket qua kinh doanh'!$AZ14,0,'Thong tin'!$C$9 - 1)</f>
        <v>0</v>
      </c>
      <c r="F19" s="334">
        <f ca="1">SUM(OFFSET('Ket qua kinh doanh'!$BL14,0,0,1,'Thong tin'!$C$9))</f>
        <v>0</v>
      </c>
      <c r="G19" s="334">
        <f ca="1">SUM(OFFSET('Ket qua kinh doanh'!$AZ14,0,0,1,'Thong tin'!$C$9))</f>
        <v>0</v>
      </c>
    </row>
    <row r="20" spans="1:7" ht="18" customHeight="1" x14ac:dyDescent="0.25">
      <c r="A20" s="331" t="s">
        <v>413</v>
      </c>
      <c r="B20" s="332" t="s">
        <v>414</v>
      </c>
      <c r="C20" s="333"/>
      <c r="D20" s="334">
        <f ca="1">OFFSET('Ket qua kinh doanh'!$BL15,0,'Thong tin'!$C$9 - 1)</f>
        <v>90000</v>
      </c>
      <c r="E20" s="334">
        <f ca="1">OFFSET('Ket qua kinh doanh'!$AZ15,0,'Thong tin'!$C$9 - 1)</f>
        <v>0</v>
      </c>
      <c r="F20" s="334">
        <f ca="1">SUM(OFFSET('Ket qua kinh doanh'!$BL15,0,0,1,'Thong tin'!$C$9))</f>
        <v>19764818</v>
      </c>
      <c r="G20" s="334">
        <f ca="1">SUM(OFFSET('Ket qua kinh doanh'!$AZ15,0,0,1,'Thong tin'!$C$9))</f>
        <v>0</v>
      </c>
    </row>
    <row r="21" spans="1:7" s="337" customFormat="1" ht="18" customHeight="1" x14ac:dyDescent="0.25">
      <c r="A21" s="348" t="s">
        <v>415</v>
      </c>
      <c r="B21" s="599" t="s">
        <v>416</v>
      </c>
      <c r="C21" s="600"/>
      <c r="D21" s="342">
        <f ca="1">OFFSET('Ket qua kinh doanh'!$BL16,0,'Thong tin'!$C$9 - 1)</f>
        <v>-79541</v>
      </c>
      <c r="E21" s="342">
        <f ca="1">OFFSET('Ket qua kinh doanh'!$AZ16,0,'Thong tin'!$C$9 - 1)</f>
        <v>0</v>
      </c>
      <c r="F21" s="342">
        <f ca="1">SUM(OFFSET('Ket qua kinh doanh'!$BL16,0,0,1,'Thong tin'!$C$9))</f>
        <v>1081478991</v>
      </c>
      <c r="G21" s="342">
        <f ca="1">SUM(OFFSET('Ket qua kinh doanh'!$AZ16,0,0,1,'Thong tin'!$C$9))</f>
        <v>0</v>
      </c>
    </row>
    <row r="22" spans="1:7" ht="18" customHeight="1" x14ac:dyDescent="0.25">
      <c r="A22" s="331" t="s">
        <v>417</v>
      </c>
      <c r="B22" s="332" t="s">
        <v>418</v>
      </c>
      <c r="C22" s="333"/>
      <c r="D22" s="334">
        <f ca="1">OFFSET('Ket qua kinh doanh'!$BL17,0,'Thong tin'!$C$9 - 1)</f>
        <v>0</v>
      </c>
      <c r="E22" s="334">
        <f ca="1">OFFSET('Ket qua kinh doanh'!$AZ17,0,'Thong tin'!$C$9 - 1)</f>
        <v>0</v>
      </c>
      <c r="F22" s="334">
        <f ca="1">SUM(OFFSET('Ket qua kinh doanh'!$BL17,0,0,1,'Thong tin'!$C$9))</f>
        <v>0</v>
      </c>
      <c r="G22" s="334">
        <f ca="1">SUM(OFFSET('Ket qua kinh doanh'!$AZ17,0,0,1,'Thong tin'!$C$9))</f>
        <v>0</v>
      </c>
    </row>
    <row r="23" spans="1:7" ht="18" customHeight="1" x14ac:dyDescent="0.25">
      <c r="A23" s="331" t="s">
        <v>419</v>
      </c>
      <c r="B23" s="332" t="s">
        <v>420</v>
      </c>
      <c r="C23" s="333"/>
      <c r="D23" s="334">
        <f ca="1">OFFSET('Ket qua kinh doanh'!$BL18,0,'Thong tin'!$C$9 - 1)</f>
        <v>0</v>
      </c>
      <c r="E23" s="334">
        <f ca="1">OFFSET('Ket qua kinh doanh'!$AZ18,0,'Thong tin'!$C$9 - 1)</f>
        <v>0</v>
      </c>
      <c r="F23" s="334">
        <f ca="1">SUM(OFFSET('Ket qua kinh doanh'!$BL18,0,0,1,'Thong tin'!$C$9))</f>
        <v>3500000</v>
      </c>
      <c r="G23" s="334">
        <f ca="1">SUM(OFFSET('Ket qua kinh doanh'!$AZ18,0,0,1,'Thong tin'!$C$9))</f>
        <v>0</v>
      </c>
    </row>
    <row r="24" spans="1:7" ht="18" customHeight="1" x14ac:dyDescent="0.25">
      <c r="A24" s="338" t="s">
        <v>421</v>
      </c>
      <c r="B24" s="339" t="s">
        <v>422</v>
      </c>
      <c r="C24" s="340"/>
      <c r="D24" s="349">
        <f ca="1">OFFSET('Ket qua kinh doanh'!$BL19,0,'Thong tin'!$C$9 - 1)</f>
        <v>0</v>
      </c>
      <c r="E24" s="349">
        <f ca="1">OFFSET('Ket qua kinh doanh'!$AZ19,0,'Thong tin'!$C$9 - 1)</f>
        <v>0</v>
      </c>
      <c r="F24" s="349">
        <f ca="1">SUM(OFFSET('Ket qua kinh doanh'!$BL19,0,0,1,'Thong tin'!$C$9))</f>
        <v>-3500000</v>
      </c>
      <c r="G24" s="349">
        <f ca="1">SUM(OFFSET('Ket qua kinh doanh'!$AZ19,0,0,1,'Thong tin'!$C$9))</f>
        <v>0</v>
      </c>
    </row>
    <row r="25" spans="1:7" s="337" customFormat="1" ht="18" customHeight="1" x14ac:dyDescent="0.25">
      <c r="A25" s="335" t="s">
        <v>423</v>
      </c>
      <c r="B25" s="350" t="s">
        <v>424</v>
      </c>
      <c r="C25" s="351"/>
      <c r="D25" s="352">
        <f ca="1">OFFSET('Ket qua kinh doanh'!$BL20,0,'Thong tin'!$C$9 - 1)</f>
        <v>-79541</v>
      </c>
      <c r="E25" s="352">
        <f ca="1">OFFSET('Ket qua kinh doanh'!$AZ20,0,'Thong tin'!$C$9 - 1)</f>
        <v>0</v>
      </c>
      <c r="F25" s="352">
        <f ca="1">SUM(OFFSET('Ket qua kinh doanh'!$BL20,0,0,1,'Thong tin'!$C$9))</f>
        <v>1077978991</v>
      </c>
      <c r="G25" s="352">
        <f ca="1">SUM(OFFSET('Ket qua kinh doanh'!$AZ20,0,0,1,'Thong tin'!$C$9))</f>
        <v>0</v>
      </c>
    </row>
    <row r="26" spans="1:7" ht="18" customHeight="1" x14ac:dyDescent="0.25">
      <c r="A26" s="331" t="s">
        <v>425</v>
      </c>
      <c r="B26" s="332" t="s">
        <v>426</v>
      </c>
      <c r="C26" s="333"/>
      <c r="D26" s="353">
        <f ca="1">OFFSET('Ket qua kinh doanh'!$BL21,0,'Thong tin'!$C$9 - 1)</f>
        <v>0</v>
      </c>
      <c r="E26" s="343">
        <f ca="1">OFFSET('Ket qua kinh doanh'!$AZ21,0,'Thong tin'!$C$9 - 1)</f>
        <v>0</v>
      </c>
      <c r="F26" s="334">
        <f ca="1">SUM(OFFSET('Ket qua kinh doanh'!$BL21,0,0,1,'Thong tin'!$C$9))</f>
        <v>0</v>
      </c>
      <c r="G26" s="334">
        <f ca="1">SUM(OFFSET('Ket qua kinh doanh'!$AZ21,0,0,1,'Thong tin'!$C$9))</f>
        <v>0</v>
      </c>
    </row>
    <row r="27" spans="1:7" ht="18" customHeight="1" x14ac:dyDescent="0.25">
      <c r="A27" s="331" t="s">
        <v>427</v>
      </c>
      <c r="B27" s="332" t="s">
        <v>428</v>
      </c>
      <c r="C27" s="333"/>
      <c r="D27" s="353">
        <f ca="1">OFFSET('Ket qua kinh doanh'!$BL22,0,'Thong tin'!$C$9 - 1)</f>
        <v>0</v>
      </c>
      <c r="E27" s="343">
        <f ca="1">OFFSET('Ket qua kinh doanh'!$AZ22,0,'Thong tin'!$C$9 - 1)</f>
        <v>0</v>
      </c>
      <c r="F27" s="353">
        <f ca="1">SUM(OFFSET('Ket qua kinh doanh'!$BL22,0,0,1,'Thong tin'!$C$9))</f>
        <v>0</v>
      </c>
      <c r="G27" s="334">
        <f ca="1">SUM(OFFSET('Ket qua kinh doanh'!$AZ22,0,0,1,'Thong tin'!$C$9))</f>
        <v>0</v>
      </c>
    </row>
    <row r="28" spans="1:7" s="337" customFormat="1" ht="18" customHeight="1" x14ac:dyDescent="0.25">
      <c r="A28" s="354" t="s">
        <v>429</v>
      </c>
      <c r="B28" s="355" t="s">
        <v>430</v>
      </c>
      <c r="C28" s="356"/>
      <c r="D28" s="357">
        <f ca="1">OFFSET('Ket qua kinh doanh'!$BL23,0,'Thong tin'!$C$9 - 1)</f>
        <v>-79541</v>
      </c>
      <c r="E28" s="357">
        <f ca="1">OFFSET('Ket qua kinh doanh'!$AZ23,0,'Thong tin'!$C$9 - 1)</f>
        <v>0</v>
      </c>
      <c r="F28" s="357">
        <f ca="1">SUM(OFFSET('Ket qua kinh doanh'!$BL23,0,0,1,'Thong tin'!$C$9))</f>
        <v>1077978991</v>
      </c>
      <c r="G28" s="357">
        <f ca="1">SUM(OFFSET('Ket qua kinh doanh'!$AZ23,0,0,1,'Thong tin'!$C$9))</f>
        <v>0</v>
      </c>
    </row>
    <row r="29" spans="1:7" hidden="1" x14ac:dyDescent="0.25">
      <c r="A29" s="358" t="s">
        <v>431</v>
      </c>
      <c r="B29" s="324" t="s">
        <v>432</v>
      </c>
      <c r="C29" s="359"/>
      <c r="D29" s="360"/>
      <c r="E29" s="361"/>
      <c r="F29" s="362" t="e">
        <f>#REF!+#REF!+#REF!+#REF!+#REF!+#REF!+#REF!+#REF!+#REF!+#REF!+#REF!+D29</f>
        <v>#REF!</v>
      </c>
      <c r="G29" s="362" t="e">
        <f>#REF!+#REF!+#REF!+#REF!+#REF!+#REF!+#REF!+#REF!+#REF!+#REF!+#REF!+E29</f>
        <v>#REF!</v>
      </c>
    </row>
    <row r="30" spans="1:7" ht="6" customHeight="1" x14ac:dyDescent="0.25">
      <c r="A30" s="363"/>
      <c r="B30" s="364"/>
      <c r="C30" s="365"/>
      <c r="D30" s="366"/>
      <c r="E30" s="367"/>
      <c r="F30" s="366"/>
      <c r="G30" s="367"/>
    </row>
    <row r="31" spans="1:7" ht="11.25" customHeight="1" x14ac:dyDescent="0.25">
      <c r="D31" s="319">
        <v>0</v>
      </c>
      <c r="E31" s="319">
        <v>0</v>
      </c>
      <c r="F31" s="319">
        <v>0</v>
      </c>
      <c r="G31" s="319">
        <v>0</v>
      </c>
    </row>
    <row r="32" spans="1:7" x14ac:dyDescent="0.25">
      <c r="D32" s="601"/>
      <c r="E32" s="601"/>
      <c r="F32" s="584" t="s">
        <v>626</v>
      </c>
      <c r="G32" s="584"/>
    </row>
    <row r="33" spans="2:7" x14ac:dyDescent="0.25">
      <c r="D33" s="368"/>
      <c r="E33" s="368"/>
      <c r="F33" s="368"/>
      <c r="G33" s="368"/>
    </row>
    <row r="34" spans="2:7" x14ac:dyDescent="0.25">
      <c r="B34" s="582" t="s">
        <v>342</v>
      </c>
      <c r="C34" s="582"/>
      <c r="D34" s="582"/>
      <c r="E34" s="582"/>
      <c r="F34" s="581" t="str">
        <f>'Thong tin'!B18</f>
        <v>GIÁM ĐỐC</v>
      </c>
      <c r="G34" s="581"/>
    </row>
    <row r="35" spans="2:7" ht="15" customHeight="1" x14ac:dyDescent="0.25">
      <c r="B35" s="369"/>
      <c r="D35" s="370"/>
    </row>
    <row r="36" spans="2:7" ht="15" customHeight="1" x14ac:dyDescent="0.25">
      <c r="B36" s="369"/>
      <c r="D36" s="370"/>
    </row>
    <row r="37" spans="2:7" ht="15" customHeight="1" x14ac:dyDescent="0.25">
      <c r="B37" s="369"/>
      <c r="D37" s="370"/>
    </row>
    <row r="38" spans="2:7" ht="15" customHeight="1" x14ac:dyDescent="0.25">
      <c r="B38" s="369"/>
      <c r="D38" s="370"/>
    </row>
    <row r="39" spans="2:7" ht="15" customHeight="1" x14ac:dyDescent="0.25">
      <c r="B39" s="369"/>
      <c r="D39" s="370"/>
    </row>
    <row r="40" spans="2:7" ht="15" customHeight="1" x14ac:dyDescent="0.25">
      <c r="B40" s="369"/>
      <c r="D40" s="370"/>
    </row>
    <row r="41" spans="2:7" ht="15" customHeight="1" x14ac:dyDescent="0.25">
      <c r="B41" s="583" t="str">
        <f>'Thong tin'!B13</f>
        <v>Lê Thùy Ngân</v>
      </c>
      <c r="C41" s="583"/>
      <c r="D41" s="583"/>
      <c r="E41" s="583"/>
      <c r="F41" s="580" t="str">
        <f>'Thong tin'!B19</f>
        <v>Trần Thị Kim Thanh</v>
      </c>
      <c r="G41" s="580"/>
    </row>
    <row r="42" spans="2:7" ht="15" customHeight="1" x14ac:dyDescent="0.25"/>
    <row r="43" spans="2:7" ht="15" customHeight="1" x14ac:dyDescent="0.25"/>
    <row r="44" spans="2:7" ht="15" customHeight="1" x14ac:dyDescent="0.25"/>
    <row r="45" spans="2:7" ht="15" customHeight="1" x14ac:dyDescent="0.25"/>
    <row r="46" spans="2:7" ht="15" customHeight="1" x14ac:dyDescent="0.25"/>
    <row r="48" spans="2:7" ht="15" customHeight="1" x14ac:dyDescent="0.25"/>
  </sheetData>
  <mergeCells count="18">
    <mergeCell ref="F32:G32"/>
    <mergeCell ref="A4:G4"/>
    <mergeCell ref="A5:G5"/>
    <mergeCell ref="A8:C9"/>
    <mergeCell ref="D8:E8"/>
    <mergeCell ref="F8:G8"/>
    <mergeCell ref="B10:C10"/>
    <mergeCell ref="B12:C12"/>
    <mergeCell ref="B14:C14"/>
    <mergeCell ref="B15:C15"/>
    <mergeCell ref="B21:C21"/>
    <mergeCell ref="D32:E32"/>
    <mergeCell ref="B34:C34"/>
    <mergeCell ref="D34:E34"/>
    <mergeCell ref="F34:G34"/>
    <mergeCell ref="B41:C41"/>
    <mergeCell ref="D41:E41"/>
    <mergeCell ref="F41:G41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5" orientation="portrait" useFirstPageNumber="1" r:id="rId1"/>
  <headerFooter>
    <oddFooter>&amp;CTrang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B5AB-8A7D-47B0-90F9-9A5DB415302E}">
  <sheetPr>
    <tabColor theme="8" tint="0.59999389629810485"/>
  </sheetPr>
  <dimension ref="A1:G59"/>
  <sheetViews>
    <sheetView showGridLines="0" showZeros="0" zoomScaleNormal="100" workbookViewId="0">
      <pane xSplit="1" ySplit="9" topLeftCell="B46" activePane="bottomRight" state="frozen"/>
      <selection activeCell="D8" sqref="D8:E8"/>
      <selection pane="topRight" activeCell="D8" sqref="D8:E8"/>
      <selection pane="bottomLeft" activeCell="D8" sqref="D8:E8"/>
      <selection pane="bottomRight" activeCell="D48" sqref="D48"/>
    </sheetView>
  </sheetViews>
  <sheetFormatPr defaultColWidth="9.109375" defaultRowHeight="13.8" x14ac:dyDescent="0.25"/>
  <cols>
    <col min="1" max="1" width="38.5546875" style="371" customWidth="1"/>
    <col min="2" max="2" width="16.33203125" style="371" customWidth="1"/>
    <col min="3" max="3" width="16.33203125" style="405" customWidth="1"/>
    <col min="4" max="4" width="16.44140625" style="371" customWidth="1"/>
    <col min="5" max="5" width="16.44140625" style="405" customWidth="1"/>
    <col min="6" max="6" width="12" style="371" bestFit="1" customWidth="1"/>
    <col min="7" max="7" width="17.88671875" style="371" bestFit="1" customWidth="1"/>
    <col min="8" max="16384" width="9.109375" style="371"/>
  </cols>
  <sheetData>
    <row r="1" spans="1:7" ht="15.6" x14ac:dyDescent="0.3">
      <c r="A1" s="323" t="str">
        <f>'Thong tin'!$A$1</f>
        <v>CÔNG TY CỔ PHẦN NHỰA TÁI CHẾ DUY TÂN VĨNH LONG</v>
      </c>
      <c r="B1" s="266"/>
      <c r="C1" s="220"/>
      <c r="D1" s="266"/>
      <c r="E1" s="220"/>
    </row>
    <row r="2" spans="1:7" ht="16.2" thickBot="1" x14ac:dyDescent="0.35">
      <c r="A2" s="264" t="str">
        <f>'Thong tin'!$A$2</f>
        <v>Địa chỉ: Thửa đất số 838, tờ bản đồ số 6, tổ 4, ấp Tân Thuận, phường Tân Hạnh, tỉnh Vĩnh Long</v>
      </c>
      <c r="B2" s="325"/>
      <c r="C2" s="223"/>
      <c r="D2" s="325"/>
      <c r="E2" s="223"/>
    </row>
    <row r="3" spans="1:7" ht="27" customHeight="1" x14ac:dyDescent="0.3">
      <c r="A3" s="266"/>
      <c r="B3" s="266"/>
      <c r="C3" s="225"/>
      <c r="D3" s="266"/>
      <c r="E3" s="225"/>
    </row>
    <row r="4" spans="1:7" ht="20.399999999999999" x14ac:dyDescent="0.35">
      <c r="A4" s="585" t="s">
        <v>433</v>
      </c>
      <c r="B4" s="585"/>
      <c r="C4" s="585"/>
      <c r="D4" s="585"/>
      <c r="E4" s="585"/>
    </row>
    <row r="5" spans="1:7" ht="12" customHeight="1" x14ac:dyDescent="0.25">
      <c r="A5" s="604" t="s">
        <v>434</v>
      </c>
      <c r="B5" s="604"/>
      <c r="C5" s="604"/>
      <c r="D5" s="604"/>
      <c r="E5" s="604"/>
    </row>
    <row r="6" spans="1:7" ht="12.75" customHeight="1" x14ac:dyDescent="0.25">
      <c r="A6" s="605" t="str">
        <f>"Năm " &amp; 'Thong tin'!$C$6</f>
        <v>Năm 2026</v>
      </c>
      <c r="B6" s="605"/>
      <c r="C6" s="605"/>
      <c r="D6" s="605"/>
      <c r="E6" s="605"/>
    </row>
    <row r="7" spans="1:7" ht="12" customHeight="1" x14ac:dyDescent="0.3">
      <c r="B7" s="372"/>
      <c r="C7" s="326"/>
      <c r="D7" s="372"/>
      <c r="E7" s="373" t="str">
        <f>'KQKD in'!G6</f>
        <v>ĐVT: VNĐ</v>
      </c>
    </row>
    <row r="8" spans="1:7" s="374" customFormat="1" ht="14.25" customHeight="1" x14ac:dyDescent="0.3">
      <c r="A8" s="606" t="s">
        <v>393</v>
      </c>
      <c r="B8" s="593" t="str">
        <f>"Tháng " &amp; 'Thong tin'!$C$9</f>
        <v>Tháng 5</v>
      </c>
      <c r="C8" s="594"/>
      <c r="D8" s="595" t="str">
        <f>"Lũy kế"&amp;" "&amp; 'Thong tin'!$C$9 &amp;" "&amp;"tháng"</f>
        <v>Lũy kế 5 tháng</v>
      </c>
      <c r="E8" s="596"/>
    </row>
    <row r="9" spans="1:7" x14ac:dyDescent="0.25">
      <c r="A9" s="607"/>
      <c r="B9" s="375" t="str">
        <f>"Năm " &amp; 'Thong tin'!$C$6</f>
        <v>Năm 2026</v>
      </c>
      <c r="C9" s="375" t="str">
        <f>"Năm " &amp; 'Thong tin'!$C$7</f>
        <v>Năm 2025</v>
      </c>
      <c r="D9" s="375" t="str">
        <f>"Năm " &amp; 'Thong tin'!$C$6</f>
        <v>Năm 2026</v>
      </c>
      <c r="E9" s="375" t="str">
        <f>"Năm " &amp; 'Thong tin'!$C$7</f>
        <v>Năm 2025</v>
      </c>
    </row>
    <row r="10" spans="1:7" ht="18" customHeight="1" x14ac:dyDescent="0.25">
      <c r="A10" s="376" t="s">
        <v>224</v>
      </c>
      <c r="B10" s="377"/>
      <c r="C10" s="377"/>
      <c r="D10" s="377"/>
      <c r="E10" s="377"/>
    </row>
    <row r="11" spans="1:7" s="380" customFormat="1" ht="17.100000000000001" customHeight="1" x14ac:dyDescent="0.3">
      <c r="A11" s="378" t="s">
        <v>435</v>
      </c>
      <c r="B11" s="379">
        <f ca="1">OFFSET('Luu chuyen tien te'!$BL5,0,'Thong tin'!$C$9 - 1)</f>
        <v>-79541</v>
      </c>
      <c r="C11" s="379">
        <f ca="1">OFFSET('Luu chuyen tien te'!$AZ5,0,'Thong tin'!$C$9 - 1)</f>
        <v>0</v>
      </c>
      <c r="D11" s="379">
        <f ca="1">SUM(OFFSET('Luu chuyen tien te'!$BL5,0,0,1,'Thong tin'!$C$9))</f>
        <v>1077978991</v>
      </c>
      <c r="E11" s="379">
        <f ca="1">SUM(OFFSET('Luu chuyen tien te'!$AZ5,0,0,1,'Thong tin'!$C$9))</f>
        <v>0</v>
      </c>
    </row>
    <row r="12" spans="1:7" s="380" customFormat="1" ht="17.100000000000001" customHeight="1" x14ac:dyDescent="0.3">
      <c r="A12" s="378" t="s">
        <v>436</v>
      </c>
      <c r="B12" s="379"/>
      <c r="C12" s="379"/>
      <c r="D12" s="379"/>
      <c r="E12" s="379"/>
    </row>
    <row r="13" spans="1:7" x14ac:dyDescent="0.25">
      <c r="A13" s="381" t="s">
        <v>437</v>
      </c>
      <c r="B13" s="382">
        <f ca="1">OFFSET('Luu chuyen tien te'!$BL7,0,'Thong tin'!$C$9 - 1)</f>
        <v>0</v>
      </c>
      <c r="C13" s="382">
        <f ca="1">OFFSET('Luu chuyen tien te'!$AZ7,0,'Thong tin'!$C$9 - 1)</f>
        <v>0</v>
      </c>
      <c r="D13" s="382">
        <f ca="1">SUM(OFFSET('Luu chuyen tien te'!$BL7,0,0,1,'Thong tin'!$C$9))</f>
        <v>0</v>
      </c>
      <c r="E13" s="382">
        <f ca="1">SUM(OFFSET('Luu chuyen tien te'!$AZ7,0,0,1,'Thong tin'!$C$9))</f>
        <v>0</v>
      </c>
    </row>
    <row r="14" spans="1:7" x14ac:dyDescent="0.25">
      <c r="A14" s="381" t="s">
        <v>438</v>
      </c>
      <c r="B14" s="382">
        <f ca="1">OFFSET('Luu chuyen tien te'!$BL8,0,'Thong tin'!$C$9 - 1)</f>
        <v>0</v>
      </c>
      <c r="C14" s="382">
        <f ca="1">OFFSET('Luu chuyen tien te'!$AZ8,0,'Thong tin'!$C$9 - 1)</f>
        <v>0</v>
      </c>
      <c r="D14" s="382">
        <f ca="1">SUM(OFFSET('Luu chuyen tien te'!$BL8,0,0,1,'Thong tin'!$C$9))</f>
        <v>0</v>
      </c>
      <c r="E14" s="382">
        <f ca="1">SUM(OFFSET('Luu chuyen tien te'!$AZ8,0,0,1,'Thong tin'!$C$9))</f>
        <v>0</v>
      </c>
      <c r="G14" s="383"/>
    </row>
    <row r="15" spans="1:7" ht="29.25" customHeight="1" x14ac:dyDescent="0.25">
      <c r="A15" s="384" t="s">
        <v>439</v>
      </c>
      <c r="B15" s="382">
        <f ca="1">OFFSET('Luu chuyen tien te'!$BL9,0,'Thong tin'!$C$9 - 1)</f>
        <v>0</v>
      </c>
      <c r="C15" s="382">
        <f ca="1">OFFSET('Luu chuyen tien te'!$AZ9,0,'Thong tin'!$C$9 - 1)</f>
        <v>0</v>
      </c>
      <c r="D15" s="382">
        <f ca="1">SUM(OFFSET('Luu chuyen tien te'!$BL9,0,0,1,'Thong tin'!$C$9))</f>
        <v>0</v>
      </c>
      <c r="E15" s="382">
        <f ca="1">SUM(OFFSET('Luu chuyen tien te'!$AZ9,0,0,1,'Thong tin'!$C$9))</f>
        <v>0</v>
      </c>
    </row>
    <row r="16" spans="1:7" x14ac:dyDescent="0.25">
      <c r="A16" s="381" t="s">
        <v>440</v>
      </c>
      <c r="B16" s="382">
        <f ca="1">OFFSET('Luu chuyen tien te'!$BL10,0,'Thong tin'!$C$9 - 1)</f>
        <v>-10459</v>
      </c>
      <c r="C16" s="382">
        <f ca="1">OFFSET('Luu chuyen tien te'!$AZ10,0,'Thong tin'!$C$9 - 1)</f>
        <v>0</v>
      </c>
      <c r="D16" s="382">
        <f ca="1">SUM(OFFSET('Luu chuyen tien te'!$BL10,0,0,1,'Thong tin'!$C$9))</f>
        <v>-1101243809</v>
      </c>
      <c r="E16" s="382">
        <f ca="1">SUM(OFFSET('Luu chuyen tien te'!$AZ10,0,0,1,'Thong tin'!$C$9))</f>
        <v>0</v>
      </c>
    </row>
    <row r="17" spans="1:5" x14ac:dyDescent="0.25">
      <c r="A17" s="381" t="s">
        <v>441</v>
      </c>
      <c r="B17" s="382">
        <f ca="1">OFFSET('Luu chuyen tien te'!$BL11,0,'Thong tin'!$C$9 - 1)</f>
        <v>0</v>
      </c>
      <c r="C17" s="382">
        <f ca="1">OFFSET('Luu chuyen tien te'!$AZ11,0,'Thong tin'!$C$9 - 1)</f>
        <v>0</v>
      </c>
      <c r="D17" s="382">
        <f ca="1">SUM(OFFSET('Luu chuyen tien te'!$BL11,0,0,1,'Thong tin'!$C$9))</f>
        <v>0</v>
      </c>
      <c r="E17" s="382">
        <f ca="1">SUM(OFFSET('Luu chuyen tien te'!$AZ11,0,0,1,'Thong tin'!$C$9))</f>
        <v>0</v>
      </c>
    </row>
    <row r="18" spans="1:5" x14ac:dyDescent="0.25">
      <c r="A18" s="381" t="s">
        <v>442</v>
      </c>
      <c r="B18" s="382">
        <f ca="1">OFFSET('Luu chuyen tien te'!$BL12,0,'Thong tin'!$C$9 - 1)</f>
        <v>0</v>
      </c>
      <c r="C18" s="382">
        <f ca="1">OFFSET('Luu chuyen tien te'!$AZ12,0,'Thong tin'!$C$9 - 1)</f>
        <v>0</v>
      </c>
      <c r="D18" s="382">
        <f ca="1">SUM(OFFSET('Luu chuyen tien te'!$BL12,0,0,1,'Thong tin'!$C$9))</f>
        <v>0</v>
      </c>
      <c r="E18" s="382">
        <f ca="1">SUM(OFFSET('Luu chuyen tien te'!$AZ12,0,0,1,'Thong tin'!$C$9))</f>
        <v>0</v>
      </c>
    </row>
    <row r="19" spans="1:5" s="387" customFormat="1" ht="32.25" customHeight="1" x14ac:dyDescent="0.25">
      <c r="A19" s="385" t="s">
        <v>443</v>
      </c>
      <c r="B19" s="386">
        <f t="shared" ref="B19:D19" ca="1" si="0">SUM(B11:B18)</f>
        <v>-90000</v>
      </c>
      <c r="C19" s="386">
        <f t="shared" ref="C19" ca="1" si="1">SUM(C11:C18)</f>
        <v>0</v>
      </c>
      <c r="D19" s="386">
        <f t="shared" ca="1" si="0"/>
        <v>-23264818</v>
      </c>
      <c r="E19" s="386">
        <f t="shared" ref="E19" ca="1" si="2">SUM(E11:E18)</f>
        <v>0</v>
      </c>
    </row>
    <row r="20" spans="1:5" s="387" customFormat="1" x14ac:dyDescent="0.25">
      <c r="A20" s="388" t="s">
        <v>444</v>
      </c>
      <c r="B20" s="382">
        <f ca="1">OFFSET('Luu chuyen tien te'!$BL14,0,'Thong tin'!$C$9 - 1)</f>
        <v>0</v>
      </c>
      <c r="C20" s="382">
        <f ca="1">OFFSET('Luu chuyen tien te'!$AZ14,0,'Thong tin'!$C$9 - 1)</f>
        <v>0</v>
      </c>
      <c r="D20" s="382">
        <f ca="1">SUM(OFFSET('Luu chuyen tien te'!$BL14,0,0,1,'Thong tin'!$C$9))</f>
        <v>0</v>
      </c>
      <c r="E20" s="382">
        <f ca="1">SUM(OFFSET('Luu chuyen tien te'!$AZ14,0,0,1,'Thong tin'!$C$9))</f>
        <v>0</v>
      </c>
    </row>
    <row r="21" spans="1:5" s="387" customFormat="1" x14ac:dyDescent="0.25">
      <c r="A21" s="388" t="s">
        <v>445</v>
      </c>
      <c r="B21" s="382">
        <f ca="1">OFFSET('Luu chuyen tien te'!$BL15,0,'Thong tin'!$C$9 - 1)</f>
        <v>0</v>
      </c>
      <c r="C21" s="382">
        <f ca="1">OFFSET('Luu chuyen tien te'!$AZ15,0,'Thong tin'!$C$9 - 1)</f>
        <v>0</v>
      </c>
      <c r="D21" s="382">
        <f ca="1">SUM(OFFSET('Luu chuyen tien te'!$BL15,0,0,1,'Thong tin'!$C$9))</f>
        <v>0</v>
      </c>
      <c r="E21" s="382">
        <f ca="1">SUM(OFFSET('Luu chuyen tien te'!$AZ15,0,0,1,'Thong tin'!$C$9))</f>
        <v>0</v>
      </c>
    </row>
    <row r="22" spans="1:5" s="387" customFormat="1" ht="30" customHeight="1" x14ac:dyDescent="0.25">
      <c r="A22" s="389" t="s">
        <v>446</v>
      </c>
      <c r="B22" s="382">
        <f ca="1">OFFSET('Luu chuyen tien te'!$BL16,0,'Thong tin'!$C$9 - 1)</f>
        <v>90000</v>
      </c>
      <c r="C22" s="382">
        <f ca="1">OFFSET('Luu chuyen tien te'!$AZ16,0,'Thong tin'!$C$9 - 1)</f>
        <v>0</v>
      </c>
      <c r="D22" s="382">
        <f ca="1">SUM(OFFSET('Luu chuyen tien te'!$BL16,0,0,1,'Thong tin'!$C$9))</f>
        <v>-107928494</v>
      </c>
      <c r="E22" s="382">
        <f ca="1">SUM(OFFSET('Luu chuyen tien te'!$AZ16,0,0,1,'Thong tin'!$C$9))</f>
        <v>0</v>
      </c>
    </row>
    <row r="23" spans="1:5" s="387" customFormat="1" x14ac:dyDescent="0.25">
      <c r="A23" s="388" t="s">
        <v>447</v>
      </c>
      <c r="B23" s="382">
        <f ca="1">OFFSET('Luu chuyen tien te'!$BL17,0,'Thong tin'!$C$9 - 1)</f>
        <v>0</v>
      </c>
      <c r="C23" s="382">
        <f ca="1">OFFSET('Luu chuyen tien te'!$AZ17,0,'Thong tin'!$C$9 - 1)</f>
        <v>0</v>
      </c>
      <c r="D23" s="382">
        <f ca="1">SUM(OFFSET('Luu chuyen tien te'!$BL17,0,0,1,'Thong tin'!$C$9))</f>
        <v>0</v>
      </c>
      <c r="E23" s="382">
        <f ca="1">SUM(OFFSET('Luu chuyen tien te'!$AZ17,0,0,1,'Thong tin'!$C$9))</f>
        <v>0</v>
      </c>
    </row>
    <row r="24" spans="1:5" s="387" customFormat="1" x14ac:dyDescent="0.25">
      <c r="A24" s="388" t="s">
        <v>448</v>
      </c>
      <c r="B24" s="382">
        <f ca="1">OFFSET('Luu chuyen tien te'!$BL18,0,'Thong tin'!$C$9 - 1)</f>
        <v>0</v>
      </c>
      <c r="C24" s="382">
        <f ca="1">OFFSET('Luu chuyen tien te'!$AZ18,0,'Thong tin'!$C$9 - 1)</f>
        <v>0</v>
      </c>
      <c r="D24" s="382">
        <f ca="1">SUM(OFFSET('Luu chuyen tien te'!$BL18,0,0,1,'Thong tin'!$C$9))</f>
        <v>0</v>
      </c>
      <c r="E24" s="382">
        <f ca="1">SUM(OFFSET('Luu chuyen tien te'!$AZ18,0,0,1,'Thong tin'!$C$9))</f>
        <v>0</v>
      </c>
    </row>
    <row r="25" spans="1:5" s="387" customFormat="1" x14ac:dyDescent="0.25">
      <c r="A25" s="388" t="s">
        <v>449</v>
      </c>
      <c r="B25" s="382">
        <f ca="1">OFFSET('Luu chuyen tien te'!$BL19,0,'Thong tin'!$C$9 - 1)</f>
        <v>0</v>
      </c>
      <c r="C25" s="382">
        <f ca="1">OFFSET('Luu chuyen tien te'!$AZ19,0,'Thong tin'!$C$9 - 1)</f>
        <v>0</v>
      </c>
      <c r="D25" s="382">
        <f ca="1">SUM(OFFSET('Luu chuyen tien te'!$BL19,0,0,1,'Thong tin'!$C$9))</f>
        <v>0</v>
      </c>
      <c r="E25" s="382">
        <f ca="1">SUM(OFFSET('Luu chuyen tien te'!$AZ19,0,0,1,'Thong tin'!$C$9))</f>
        <v>0</v>
      </c>
    </row>
    <row r="26" spans="1:5" s="387" customFormat="1" x14ac:dyDescent="0.25">
      <c r="A26" s="388" t="s">
        <v>450</v>
      </c>
      <c r="B26" s="382">
        <f ca="1">OFFSET('Luu chuyen tien te'!$BL20,0,'Thong tin'!$C$9 - 1)</f>
        <v>0</v>
      </c>
      <c r="C26" s="382">
        <f ca="1">OFFSET('Luu chuyen tien te'!$AZ20,0,'Thong tin'!$C$9 - 1)</f>
        <v>0</v>
      </c>
      <c r="D26" s="382">
        <f ca="1">SUM(OFFSET('Luu chuyen tien te'!$BL20,0,0,1,'Thong tin'!$C$9))</f>
        <v>0</v>
      </c>
      <c r="E26" s="382">
        <f ca="1">SUM(OFFSET('Luu chuyen tien te'!$AZ20,0,0,1,'Thong tin'!$C$9))</f>
        <v>0</v>
      </c>
    </row>
    <row r="27" spans="1:5" s="387" customFormat="1" x14ac:dyDescent="0.25">
      <c r="A27" s="388" t="s">
        <v>451</v>
      </c>
      <c r="B27" s="382">
        <f ca="1">OFFSET('Luu chuyen tien te'!$BL21,0,'Thong tin'!$C$9 - 1)</f>
        <v>0</v>
      </c>
      <c r="C27" s="382">
        <f ca="1">OFFSET('Luu chuyen tien te'!$AZ21,0,'Thong tin'!$C$9 - 1)</f>
        <v>0</v>
      </c>
      <c r="D27" s="382">
        <f ca="1">SUM(OFFSET('Luu chuyen tien te'!$BL21,0,0,1,'Thong tin'!$C$9))</f>
        <v>0</v>
      </c>
      <c r="E27" s="382">
        <f ca="1">SUM(OFFSET('Luu chuyen tien te'!$AZ21,0,0,1,'Thong tin'!$C$9))</f>
        <v>0</v>
      </c>
    </row>
    <row r="28" spans="1:5" s="387" customFormat="1" x14ac:dyDescent="0.25">
      <c r="A28" s="388" t="s">
        <v>452</v>
      </c>
      <c r="B28" s="382">
        <f ca="1">OFFSET('Luu chuyen tien te'!$BL22,0,'Thong tin'!$C$9 - 1)</f>
        <v>0</v>
      </c>
      <c r="C28" s="382">
        <f ca="1">OFFSET('Luu chuyen tien te'!$AZ22,0,'Thong tin'!$C$9 - 1)</f>
        <v>0</v>
      </c>
      <c r="D28" s="382">
        <f ca="1">SUM(OFFSET('Luu chuyen tien te'!$BL22,0,0,1,'Thong tin'!$C$9))</f>
        <v>0</v>
      </c>
      <c r="E28" s="382">
        <f ca="1">SUM(OFFSET('Luu chuyen tien te'!$AZ22,0,0,1,'Thong tin'!$C$9))</f>
        <v>0</v>
      </c>
    </row>
    <row r="29" spans="1:5" s="387" customFormat="1" ht="29.25" customHeight="1" x14ac:dyDescent="0.25">
      <c r="A29" s="385" t="s">
        <v>242</v>
      </c>
      <c r="B29" s="379">
        <f ca="1">SUM(B19:B28)</f>
        <v>0</v>
      </c>
      <c r="C29" s="379">
        <f t="shared" ref="C29:E29" ca="1" si="3">SUM(C19:C28)</f>
        <v>0</v>
      </c>
      <c r="D29" s="379">
        <f t="shared" ca="1" si="3"/>
        <v>-131193312</v>
      </c>
      <c r="E29" s="379">
        <f t="shared" ca="1" si="3"/>
        <v>0</v>
      </c>
    </row>
    <row r="30" spans="1:5" ht="18.75" customHeight="1" x14ac:dyDescent="0.25">
      <c r="A30" s="390" t="s">
        <v>243</v>
      </c>
      <c r="B30" s="391"/>
      <c r="C30" s="391"/>
      <c r="D30" s="391"/>
      <c r="E30" s="391"/>
    </row>
    <row r="31" spans="1:5" s="393" customFormat="1" ht="30" customHeight="1" x14ac:dyDescent="0.3">
      <c r="A31" s="392" t="s">
        <v>453</v>
      </c>
      <c r="B31" s="382">
        <f ca="1">OFFSET('Luu chuyen tien te'!$BL25,0,'Thong tin'!$C$9 - 1)</f>
        <v>0</v>
      </c>
      <c r="C31" s="382">
        <f ca="1">OFFSET('Luu chuyen tien te'!$AZ25,0,'Thong tin'!$C$9 - 1)</f>
        <v>0</v>
      </c>
      <c r="D31" s="382">
        <f ca="1">SUM(OFFSET('Luu chuyen tien te'!$BL25,0,0,1,'Thong tin'!$C$9))</f>
        <v>-101088000</v>
      </c>
      <c r="E31" s="382">
        <f ca="1">SUM(OFFSET('Luu chuyen tien te'!$AZ25,0,0,1,'Thong tin'!$C$9))</f>
        <v>0</v>
      </c>
    </row>
    <row r="32" spans="1:5" s="393" customFormat="1" ht="30" customHeight="1" x14ac:dyDescent="0.3">
      <c r="A32" s="392" t="s">
        <v>454</v>
      </c>
      <c r="B32" s="382">
        <f ca="1">OFFSET('Luu chuyen tien te'!$BL26,0,'Thong tin'!$C$9 - 1)</f>
        <v>0</v>
      </c>
      <c r="C32" s="382">
        <f ca="1">OFFSET('Luu chuyen tien te'!$AZ26,0,'Thong tin'!$C$9 - 1)</f>
        <v>0</v>
      </c>
      <c r="D32" s="382">
        <f ca="1">SUM(OFFSET('Luu chuyen tien te'!$BL26,0,0,1,'Thong tin'!$C$9))</f>
        <v>0</v>
      </c>
      <c r="E32" s="382">
        <f ca="1">SUM(OFFSET('Luu chuyen tien te'!$AZ26,0,0,1,'Thong tin'!$C$9))</f>
        <v>0</v>
      </c>
    </row>
    <row r="33" spans="1:5" ht="30" customHeight="1" x14ac:dyDescent="0.25">
      <c r="A33" s="392" t="s">
        <v>455</v>
      </c>
      <c r="B33" s="382">
        <f ca="1">OFFSET('Luu chuyen tien te'!$BL27,0,'Thong tin'!$C$9 - 1)</f>
        <v>0</v>
      </c>
      <c r="C33" s="382">
        <f ca="1">OFFSET('Luu chuyen tien te'!$AZ27,0,'Thong tin'!$C$9 - 1)</f>
        <v>0</v>
      </c>
      <c r="D33" s="382">
        <f ca="1">SUM(OFFSET('Luu chuyen tien te'!$BL27,0,0,1,'Thong tin'!$C$9))</f>
        <v>0</v>
      </c>
      <c r="E33" s="382">
        <f ca="1">SUM(OFFSET('Luu chuyen tien te'!$AZ27,0,0,1,'Thong tin'!$C$9))</f>
        <v>0</v>
      </c>
    </row>
    <row r="34" spans="1:5" ht="29.25" customHeight="1" x14ac:dyDescent="0.25">
      <c r="A34" s="392" t="s">
        <v>456</v>
      </c>
      <c r="B34" s="382">
        <f ca="1">OFFSET('Luu chuyen tien te'!$BL28,0,'Thong tin'!$C$9 - 1)</f>
        <v>0</v>
      </c>
      <c r="C34" s="382">
        <f ca="1">OFFSET('Luu chuyen tien te'!$AZ28,0,'Thong tin'!$C$9 - 1)</f>
        <v>0</v>
      </c>
      <c r="D34" s="382">
        <f ca="1">SUM(OFFSET('Luu chuyen tien te'!$BL28,0,0,1,'Thong tin'!$C$9))</f>
        <v>0</v>
      </c>
      <c r="E34" s="382">
        <f ca="1">SUM(OFFSET('Luu chuyen tien te'!$AZ28,0,0,1,'Thong tin'!$C$9))</f>
        <v>0</v>
      </c>
    </row>
    <row r="35" spans="1:5" ht="18" customHeight="1" x14ac:dyDescent="0.25">
      <c r="A35" s="394" t="s">
        <v>457</v>
      </c>
      <c r="B35" s="382">
        <f ca="1">OFFSET('Luu chuyen tien te'!$BL29,0,'Thong tin'!$C$9 - 1)</f>
        <v>0</v>
      </c>
      <c r="C35" s="382">
        <f ca="1">OFFSET('Luu chuyen tien te'!$AZ29,0,'Thong tin'!$C$9 - 1)</f>
        <v>0</v>
      </c>
      <c r="D35" s="382">
        <f ca="1">SUM(OFFSET('Luu chuyen tien te'!$BL29,0,0,1,'Thong tin'!$C$9))</f>
        <v>0</v>
      </c>
      <c r="E35" s="382">
        <f ca="1">SUM(OFFSET('Luu chuyen tien te'!$AZ29,0,0,1,'Thong tin'!$C$9))</f>
        <v>0</v>
      </c>
    </row>
    <row r="36" spans="1:5" ht="18" customHeight="1" x14ac:dyDescent="0.25">
      <c r="A36" s="394" t="s">
        <v>458</v>
      </c>
      <c r="B36" s="382">
        <f ca="1">OFFSET('Luu chuyen tien te'!$BL30,0,'Thong tin'!$C$9 - 1)</f>
        <v>0</v>
      </c>
      <c r="C36" s="382">
        <f ca="1">OFFSET('Luu chuyen tien te'!$AZ30,0,'Thong tin'!$C$9 - 1)</f>
        <v>0</v>
      </c>
      <c r="D36" s="382">
        <f ca="1">SUM(OFFSET('Luu chuyen tien te'!$BL30,0,0,1,'Thong tin'!$C$9))</f>
        <v>0</v>
      </c>
      <c r="E36" s="382">
        <f ca="1">SUM(OFFSET('Luu chuyen tien te'!$AZ30,0,0,1,'Thong tin'!$C$9))</f>
        <v>0</v>
      </c>
    </row>
    <row r="37" spans="1:5" s="393" customFormat="1" ht="30" customHeight="1" x14ac:dyDescent="0.3">
      <c r="A37" s="392" t="s">
        <v>459</v>
      </c>
      <c r="B37" s="382">
        <f ca="1">OFFSET('Luu chuyen tien te'!$BL31,0,'Thong tin'!$C$9 - 1)</f>
        <v>10459</v>
      </c>
      <c r="C37" s="382">
        <f ca="1">OFFSET('Luu chuyen tien te'!$AZ31,0,'Thong tin'!$C$9 - 1)</f>
        <v>0</v>
      </c>
      <c r="D37" s="382">
        <f ca="1">SUM(OFFSET('Luu chuyen tien te'!$BL31,0,0,1,'Thong tin'!$C$9))</f>
        <v>1101243809</v>
      </c>
      <c r="E37" s="382">
        <f ca="1">SUM(OFFSET('Luu chuyen tien te'!$AZ31,0,0,1,'Thong tin'!$C$9))</f>
        <v>0</v>
      </c>
    </row>
    <row r="38" spans="1:5" s="387" customFormat="1" ht="18" customHeight="1" x14ac:dyDescent="0.25">
      <c r="A38" s="378" t="s">
        <v>251</v>
      </c>
      <c r="B38" s="395">
        <f t="shared" ref="B38:D38" ca="1" si="4">SUM(B31:B37)</f>
        <v>10459</v>
      </c>
      <c r="C38" s="395">
        <f t="shared" ca="1" si="4"/>
        <v>0</v>
      </c>
      <c r="D38" s="395">
        <f t="shared" ca="1" si="4"/>
        <v>1000155809</v>
      </c>
      <c r="E38" s="395">
        <f t="shared" ref="E38" ca="1" si="5">SUM(E31:E37)</f>
        <v>0</v>
      </c>
    </row>
    <row r="39" spans="1:5" ht="20.25" customHeight="1" x14ac:dyDescent="0.25">
      <c r="A39" s="390" t="s">
        <v>252</v>
      </c>
      <c r="B39" s="391"/>
      <c r="C39" s="391"/>
      <c r="D39" s="391"/>
      <c r="E39" s="391"/>
    </row>
    <row r="40" spans="1:5" ht="30" customHeight="1" x14ac:dyDescent="0.25">
      <c r="A40" s="396" t="s">
        <v>460</v>
      </c>
      <c r="B40" s="382">
        <f ca="1">OFFSET('Luu chuyen tien te'!$BL34,0,'Thong tin'!$C$9 - 1)</f>
        <v>0</v>
      </c>
      <c r="C40" s="382">
        <f ca="1">OFFSET('Luu chuyen tien te'!$AZ34,0,'Thong tin'!$C$9 - 1)</f>
        <v>0</v>
      </c>
      <c r="D40" s="382">
        <f ca="1">SUM(OFFSET('Luu chuyen tien te'!$BL34,0,0,1,'Thong tin'!$C$9))</f>
        <v>94000000000</v>
      </c>
      <c r="E40" s="382">
        <f ca="1">SUM(OFFSET('Luu chuyen tien te'!$AZ34,0,0,1,'Thong tin'!$C$9))</f>
        <v>0</v>
      </c>
    </row>
    <row r="41" spans="1:5" s="393" customFormat="1" ht="30" customHeight="1" x14ac:dyDescent="0.3">
      <c r="A41" s="396" t="s">
        <v>461</v>
      </c>
      <c r="B41" s="382">
        <f ca="1">OFFSET('Luu chuyen tien te'!$BL35,0,'Thong tin'!$C$9 - 1)</f>
        <v>0</v>
      </c>
      <c r="C41" s="382">
        <f ca="1">OFFSET('Luu chuyen tien te'!$AZ35,0,'Thong tin'!$C$9 - 1)</f>
        <v>0</v>
      </c>
      <c r="D41" s="382">
        <f ca="1">SUM(OFFSET('Luu chuyen tien te'!$BL35,0,0,1,'Thong tin'!$C$9))</f>
        <v>0</v>
      </c>
      <c r="E41" s="382">
        <f ca="1">SUM(OFFSET('Luu chuyen tien te'!$AZ35,0,0,1,'Thong tin'!$C$9))</f>
        <v>0</v>
      </c>
    </row>
    <row r="42" spans="1:5" x14ac:dyDescent="0.25">
      <c r="A42" s="397" t="s">
        <v>462</v>
      </c>
      <c r="B42" s="382">
        <f ca="1">OFFSET('Luu chuyen tien te'!$BL36,0,'Thong tin'!$C$9 - 1)</f>
        <v>0</v>
      </c>
      <c r="C42" s="382">
        <f ca="1">OFFSET('Luu chuyen tien te'!$AZ36,0,'Thong tin'!$C$9 - 1)</f>
        <v>0</v>
      </c>
      <c r="D42" s="382">
        <f ca="1">SUM(OFFSET('Luu chuyen tien te'!$BL36,0,0,1,'Thong tin'!$C$9))</f>
        <v>0</v>
      </c>
      <c r="E42" s="382">
        <f ca="1">SUM(OFFSET('Luu chuyen tien te'!$AZ36,0,0,1,'Thong tin'!$C$9))</f>
        <v>0</v>
      </c>
    </row>
    <row r="43" spans="1:5" x14ac:dyDescent="0.25">
      <c r="A43" s="397" t="s">
        <v>463</v>
      </c>
      <c r="B43" s="382">
        <f ca="1">OFFSET('Luu chuyen tien te'!$BL37,0,'Thong tin'!$C$9 - 1)</f>
        <v>0</v>
      </c>
      <c r="C43" s="382">
        <f ca="1">OFFSET('Luu chuyen tien te'!$AZ37,0,'Thong tin'!$C$9 - 1)</f>
        <v>0</v>
      </c>
      <c r="D43" s="382">
        <f ca="1">SUM(OFFSET('Luu chuyen tien te'!$BL37,0,0,1,'Thong tin'!$C$9))</f>
        <v>0</v>
      </c>
      <c r="E43" s="382">
        <f ca="1">SUM(OFFSET('Luu chuyen tien te'!$AZ37,0,0,1,'Thong tin'!$C$9))</f>
        <v>0</v>
      </c>
    </row>
    <row r="44" spans="1:5" x14ac:dyDescent="0.25">
      <c r="A44" s="397" t="s">
        <v>464</v>
      </c>
      <c r="B44" s="382">
        <f ca="1">OFFSET('Luu chuyen tien te'!$BL38,0,'Thong tin'!$C$9 - 1)</f>
        <v>0</v>
      </c>
      <c r="C44" s="382">
        <f ca="1">OFFSET('Luu chuyen tien te'!$AZ38,0,'Thong tin'!$C$9 - 1)</f>
        <v>0</v>
      </c>
      <c r="D44" s="382">
        <f ca="1">SUM(OFFSET('Luu chuyen tien te'!$BL38,0,0,1,'Thong tin'!$C$9))</f>
        <v>0</v>
      </c>
      <c r="E44" s="382">
        <f ca="1">SUM(OFFSET('Luu chuyen tien te'!$AZ38,0,0,1,'Thong tin'!$C$9))</f>
        <v>0</v>
      </c>
    </row>
    <row r="45" spans="1:5" x14ac:dyDescent="0.25">
      <c r="A45" s="397" t="s">
        <v>465</v>
      </c>
      <c r="B45" s="382">
        <f ca="1">OFFSET('Luu chuyen tien te'!$BL39,0,'Thong tin'!$C$9 - 1)</f>
        <v>0</v>
      </c>
      <c r="C45" s="382">
        <f ca="1">OFFSET('Luu chuyen tien te'!$AZ39,0,'Thong tin'!$C$9 - 1)</f>
        <v>0</v>
      </c>
      <c r="D45" s="382">
        <f ca="1">SUM(OFFSET('Luu chuyen tien te'!$BL39,0,0,1,'Thong tin'!$C$9))</f>
        <v>0</v>
      </c>
      <c r="E45" s="382">
        <f ca="1">SUM(OFFSET('Luu chuyen tien te'!$AZ39,0,0,1,'Thong tin'!$C$9))</f>
        <v>0</v>
      </c>
    </row>
    <row r="46" spans="1:5" s="387" customFormat="1" ht="18" customHeight="1" x14ac:dyDescent="0.25">
      <c r="A46" s="398" t="s">
        <v>466</v>
      </c>
      <c r="B46" s="379">
        <f t="shared" ref="B46:E46" ca="1" si="6">SUM(B40:B45)</f>
        <v>0</v>
      </c>
      <c r="C46" s="379">
        <f t="shared" ca="1" si="6"/>
        <v>0</v>
      </c>
      <c r="D46" s="379">
        <f t="shared" ca="1" si="6"/>
        <v>94000000000</v>
      </c>
      <c r="E46" s="379">
        <f t="shared" ca="1" si="6"/>
        <v>0</v>
      </c>
    </row>
    <row r="47" spans="1:5" s="387" customFormat="1" ht="18" customHeight="1" x14ac:dyDescent="0.25">
      <c r="A47" s="398" t="s">
        <v>260</v>
      </c>
      <c r="B47" s="379">
        <f ca="1">SUM(B29,B38,B46)</f>
        <v>10459</v>
      </c>
      <c r="C47" s="379">
        <f t="shared" ref="C47:E47" ca="1" si="7">SUM(C29,C38,C46)</f>
        <v>0</v>
      </c>
      <c r="D47" s="379">
        <f t="shared" ca="1" si="7"/>
        <v>94868962497</v>
      </c>
      <c r="E47" s="379">
        <f t="shared" ca="1" si="7"/>
        <v>0</v>
      </c>
    </row>
    <row r="48" spans="1:5" s="387" customFormat="1" ht="18" customHeight="1" x14ac:dyDescent="0.25">
      <c r="A48" s="398" t="s">
        <v>261</v>
      </c>
      <c r="B48" s="399">
        <f ca="1">OFFSET('Luu chuyen tien te'!$BL42,0,'Thong tin'!$C$9 - 1)</f>
        <v>95272480544</v>
      </c>
      <c r="C48" s="399">
        <f ca="1">OFFSET('Luu chuyen tien te'!$AZ42,0,'Thong tin'!$C$9 - 1)</f>
        <v>0</v>
      </c>
      <c r="D48" s="379">
        <f>'Luu chuyen tien te'!BL42</f>
        <v>403528506</v>
      </c>
      <c r="E48" s="399">
        <f>'Luu chuyen tien te'!AZ42</f>
        <v>0</v>
      </c>
    </row>
    <row r="49" spans="1:6" ht="30" customHeight="1" x14ac:dyDescent="0.25">
      <c r="A49" s="396" t="s">
        <v>262</v>
      </c>
      <c r="B49" s="382">
        <f ca="1">OFFSET('Luu chuyen tien te'!$BL43,0,'Thong tin'!$C$9 - 1)</f>
        <v>0</v>
      </c>
      <c r="C49" s="382">
        <f ca="1">OFFSET('Luu chuyen tien te'!$AZ43,0,'Thong tin'!$C$9 - 1)</f>
        <v>0</v>
      </c>
      <c r="D49" s="382">
        <f ca="1">SUM(OFFSET('Luu chuyen tien te'!$BL43,0,0,1,'Thong tin'!$C$9))</f>
        <v>0</v>
      </c>
      <c r="E49" s="382">
        <f ca="1">SUM(OFFSET('Luu chuyen tien te'!$AZ43,0,0,1,'Thong tin'!$C$9))</f>
        <v>0</v>
      </c>
    </row>
    <row r="50" spans="1:6" s="337" customFormat="1" ht="18" customHeight="1" x14ac:dyDescent="0.25">
      <c r="A50" s="400" t="s">
        <v>263</v>
      </c>
      <c r="B50" s="401">
        <f ca="1">SUM(B47:B49)</f>
        <v>95272491003</v>
      </c>
      <c r="C50" s="401">
        <f t="shared" ref="C50:E50" ca="1" si="8">SUM(C47:C49)</f>
        <v>0</v>
      </c>
      <c r="D50" s="401">
        <f t="shared" ca="1" si="8"/>
        <v>95272491003</v>
      </c>
      <c r="E50" s="401">
        <f t="shared" ca="1" si="8"/>
        <v>0</v>
      </c>
      <c r="F50" s="402"/>
    </row>
    <row r="51" spans="1:6" ht="17.25" customHeight="1" x14ac:dyDescent="0.25">
      <c r="A51" s="403"/>
      <c r="B51" s="404">
        <v>0</v>
      </c>
      <c r="C51" s="404">
        <v>0</v>
      </c>
      <c r="D51" s="404">
        <v>0</v>
      </c>
      <c r="E51" s="404">
        <v>0</v>
      </c>
    </row>
    <row r="52" spans="1:6" x14ac:dyDescent="0.25">
      <c r="B52" s="602"/>
      <c r="C52" s="602"/>
      <c r="D52" s="602" t="str">
        <f>'KQKD in'!F32</f>
        <v>Lập, ngày 06 tháng 06 năm 2026</v>
      </c>
      <c r="E52" s="602"/>
    </row>
    <row r="53" spans="1:6" ht="22.5" customHeight="1" x14ac:dyDescent="0.25">
      <c r="A53" s="321" t="s">
        <v>342</v>
      </c>
      <c r="D53" s="603" t="s">
        <v>467</v>
      </c>
      <c r="E53" s="603"/>
    </row>
    <row r="54" spans="1:6" x14ac:dyDescent="0.25">
      <c r="C54" s="371"/>
    </row>
    <row r="55" spans="1:6" x14ac:dyDescent="0.25">
      <c r="C55" s="371"/>
    </row>
    <row r="56" spans="1:6" x14ac:dyDescent="0.25">
      <c r="C56" s="371"/>
    </row>
    <row r="57" spans="1:6" x14ac:dyDescent="0.25">
      <c r="C57" s="371"/>
    </row>
    <row r="58" spans="1:6" x14ac:dyDescent="0.25">
      <c r="C58" s="371"/>
    </row>
    <row r="59" spans="1:6" s="266" customFormat="1" x14ac:dyDescent="0.25">
      <c r="A59" s="320" t="str">
        <f>'Thong tin'!B13</f>
        <v>Lê Thùy Ngân</v>
      </c>
      <c r="B59" s="580"/>
      <c r="C59" s="580"/>
      <c r="D59" s="580" t="str">
        <f>'Thong tin'!B19</f>
        <v>Trần Thị Kim Thanh</v>
      </c>
      <c r="E59" s="580"/>
    </row>
  </sheetData>
  <mergeCells count="11">
    <mergeCell ref="A4:E4"/>
    <mergeCell ref="A5:E5"/>
    <mergeCell ref="A6:E6"/>
    <mergeCell ref="A8:A9"/>
    <mergeCell ref="B8:C8"/>
    <mergeCell ref="D8:E8"/>
    <mergeCell ref="B52:C52"/>
    <mergeCell ref="D52:E52"/>
    <mergeCell ref="D53:E53"/>
    <mergeCell ref="B59:C59"/>
    <mergeCell ref="D59:E59"/>
  </mergeCells>
  <printOptions horizontalCentered="1"/>
  <pageMargins left="0.59055118110236227" right="0.31496062992125984" top="0.31496062992125984" bottom="0.31496062992125984" header="0.31496062992125984" footer="0.19685039370078741"/>
  <pageSetup paperSize="9" scale="90" firstPageNumber="6" orientation="portrait" useFirstPageNumber="1" r:id="rId1"/>
  <headerFooter>
    <oddFooter>&amp;CTrang &amp;P</oddFooter>
  </headerFooter>
  <rowBreaks count="1" manualBreakCount="1">
    <brk id="38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5D55-8241-40BE-9CF6-2CC658E402A9}">
  <sheetPr>
    <tabColor theme="9" tint="0.59999389629810485"/>
    <outlinePr summaryBelow="0" summaryRight="0"/>
  </sheetPr>
  <dimension ref="A1:BW230"/>
  <sheetViews>
    <sheetView showGridLines="0" showZeros="0" zoomScale="80" zoomScaleNormal="80" workbookViewId="0">
      <pane xSplit="2" ySplit="3" topLeftCell="BI106" activePane="bottomRight" state="frozenSplit"/>
      <selection activeCell="D8" sqref="D8:E8"/>
      <selection pane="topRight" activeCell="D8" sqref="D8:E8"/>
      <selection pane="bottomLeft" activeCell="D8" sqref="D8:E8"/>
      <selection pane="bottomRight" activeCell="BQ129" sqref="BQ129"/>
    </sheetView>
  </sheetViews>
  <sheetFormatPr defaultColWidth="9.33203125" defaultRowHeight="15" customHeight="1" x14ac:dyDescent="0.3"/>
  <cols>
    <col min="1" max="1" width="6.88671875" style="98" hidden="1" customWidth="1"/>
    <col min="2" max="2" width="54.88671875" style="93" customWidth="1"/>
    <col min="3" max="3" width="12.5546875" style="98" hidden="1" customWidth="1"/>
    <col min="4" max="51" width="18.33203125" style="93" hidden="1" customWidth="1"/>
    <col min="52" max="75" width="18.33203125" style="93" bestFit="1" customWidth="1"/>
    <col min="76" max="16384" width="9.33203125" style="44"/>
  </cols>
  <sheetData>
    <row r="1" spans="1:75" ht="19.5" customHeight="1" x14ac:dyDescent="0.3">
      <c r="A1" s="41"/>
      <c r="B1" s="42" t="s">
        <v>337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</row>
    <row r="2" spans="1:75" ht="19.5" customHeight="1" x14ac:dyDescent="0.3">
      <c r="A2" s="41"/>
      <c r="B2" s="45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3"/>
      <c r="AP2" s="43"/>
      <c r="AQ2" s="43"/>
      <c r="AR2" s="43"/>
      <c r="AS2" s="43"/>
      <c r="AT2" s="43"/>
      <c r="AU2" s="43"/>
      <c r="AV2" s="46"/>
      <c r="AW2" s="43"/>
      <c r="AX2" s="43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</row>
    <row r="3" spans="1:75" ht="27.6" x14ac:dyDescent="0.3">
      <c r="A3" s="48" t="s">
        <v>1</v>
      </c>
      <c r="B3" s="49" t="s">
        <v>2</v>
      </c>
      <c r="C3" s="48" t="s">
        <v>3</v>
      </c>
      <c r="D3" s="48" t="s">
        <v>4</v>
      </c>
      <c r="E3" s="48" t="s">
        <v>5</v>
      </c>
      <c r="F3" s="48" t="s">
        <v>6</v>
      </c>
      <c r="G3" s="48" t="s">
        <v>7</v>
      </c>
      <c r="H3" s="48" t="s">
        <v>8</v>
      </c>
      <c r="I3" s="48" t="s">
        <v>9</v>
      </c>
      <c r="J3" s="48" t="s">
        <v>10</v>
      </c>
      <c r="K3" s="48" t="s">
        <v>11</v>
      </c>
      <c r="L3" s="48" t="s">
        <v>12</v>
      </c>
      <c r="M3" s="48" t="s">
        <v>13</v>
      </c>
      <c r="N3" s="48" t="s">
        <v>14</v>
      </c>
      <c r="O3" s="48" t="s">
        <v>15</v>
      </c>
      <c r="P3" s="48" t="s">
        <v>16</v>
      </c>
      <c r="Q3" s="48" t="s">
        <v>17</v>
      </c>
      <c r="R3" s="48" t="s">
        <v>18</v>
      </c>
      <c r="S3" s="48" t="s">
        <v>19</v>
      </c>
      <c r="T3" s="48" t="s">
        <v>20</v>
      </c>
      <c r="U3" s="48" t="s">
        <v>21</v>
      </c>
      <c r="V3" s="48" t="s">
        <v>22</v>
      </c>
      <c r="W3" s="48" t="s">
        <v>23</v>
      </c>
      <c r="X3" s="48" t="s">
        <v>24</v>
      </c>
      <c r="Y3" s="48" t="s">
        <v>25</v>
      </c>
      <c r="Z3" s="48" t="s">
        <v>26</v>
      </c>
      <c r="AA3" s="48" t="s">
        <v>27</v>
      </c>
      <c r="AB3" s="48" t="s">
        <v>28</v>
      </c>
      <c r="AC3" s="48" t="s">
        <v>29</v>
      </c>
      <c r="AD3" s="48" t="s">
        <v>30</v>
      </c>
      <c r="AE3" s="48" t="s">
        <v>31</v>
      </c>
      <c r="AF3" s="48" t="s">
        <v>32</v>
      </c>
      <c r="AG3" s="48" t="s">
        <v>33</v>
      </c>
      <c r="AH3" s="48" t="s">
        <v>34</v>
      </c>
      <c r="AI3" s="48" t="s">
        <v>35</v>
      </c>
      <c r="AJ3" s="48" t="s">
        <v>36</v>
      </c>
      <c r="AK3" s="48" t="s">
        <v>37</v>
      </c>
      <c r="AL3" s="48" t="s">
        <v>38</v>
      </c>
      <c r="AM3" s="48" t="s">
        <v>39</v>
      </c>
      <c r="AN3" s="48" t="s">
        <v>40</v>
      </c>
      <c r="AO3" s="50" t="s">
        <v>41</v>
      </c>
      <c r="AP3" s="48" t="s">
        <v>42</v>
      </c>
      <c r="AQ3" s="48" t="s">
        <v>43</v>
      </c>
      <c r="AR3" s="48" t="s">
        <v>44</v>
      </c>
      <c r="AS3" s="48" t="s">
        <v>45</v>
      </c>
      <c r="AT3" s="48" t="s">
        <v>46</v>
      </c>
      <c r="AU3" s="50" t="s">
        <v>47</v>
      </c>
      <c r="AV3" s="51" t="s">
        <v>48</v>
      </c>
      <c r="AW3" s="51" t="s">
        <v>49</v>
      </c>
      <c r="AX3" s="51" t="s">
        <v>50</v>
      </c>
      <c r="AY3" s="51" t="s">
        <v>51</v>
      </c>
      <c r="AZ3" s="51" t="s">
        <v>52</v>
      </c>
      <c r="BA3" s="51" t="s">
        <v>53</v>
      </c>
      <c r="BB3" s="51" t="s">
        <v>54</v>
      </c>
      <c r="BC3" s="51" t="s">
        <v>55</v>
      </c>
      <c r="BD3" s="51" t="s">
        <v>56</v>
      </c>
      <c r="BE3" s="51" t="s">
        <v>57</v>
      </c>
      <c r="BF3" s="51" t="s">
        <v>58</v>
      </c>
      <c r="BG3" s="51" t="s">
        <v>59</v>
      </c>
      <c r="BH3" s="51" t="s">
        <v>60</v>
      </c>
      <c r="BI3" s="51" t="s">
        <v>61</v>
      </c>
      <c r="BJ3" s="51" t="s">
        <v>62</v>
      </c>
      <c r="BK3" s="51" t="s">
        <v>63</v>
      </c>
      <c r="BL3" s="51" t="s">
        <v>64</v>
      </c>
      <c r="BM3" s="51" t="s">
        <v>65</v>
      </c>
      <c r="BN3" s="51" t="s">
        <v>66</v>
      </c>
      <c r="BO3" s="51" t="s">
        <v>67</v>
      </c>
      <c r="BP3" s="51" t="s">
        <v>68</v>
      </c>
      <c r="BQ3" s="51" t="s">
        <v>69</v>
      </c>
      <c r="BR3" s="51" t="s">
        <v>70</v>
      </c>
      <c r="BS3" s="51" t="s">
        <v>71</v>
      </c>
      <c r="BT3" s="51" t="s">
        <v>72</v>
      </c>
      <c r="BU3" s="51" t="s">
        <v>73</v>
      </c>
      <c r="BV3" s="51" t="s">
        <v>74</v>
      </c>
      <c r="BW3" s="51" t="s">
        <v>75</v>
      </c>
    </row>
    <row r="4" spans="1:75" ht="15" customHeight="1" x14ac:dyDescent="0.3">
      <c r="A4" s="52">
        <v>1</v>
      </c>
      <c r="B4" s="53" t="s">
        <v>76</v>
      </c>
      <c r="C4" s="52">
        <v>27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>
        <v>410553788</v>
      </c>
      <c r="BK4" s="1">
        <v>5910557105</v>
      </c>
      <c r="BL4" s="1">
        <f>BL5+BL8+BL15+BL23+BL26+BL30</f>
        <v>99892638707</v>
      </c>
      <c r="BM4" s="1">
        <f>BM5+BM8+BM15+BM23+BM26+BM30</f>
        <v>99876833535</v>
      </c>
      <c r="BN4" s="1">
        <f>BN5+BN8+BN15+BN23+BN26+BN30</f>
        <v>99782018348</v>
      </c>
      <c r="BO4" s="1">
        <f>BO5+BO8+BO15+BO23+BO26+BO30</f>
        <v>100879207385</v>
      </c>
      <c r="BP4" s="1">
        <f>BP5+BP8+BP15+BP23+BP26+BP30</f>
        <v>100879225044</v>
      </c>
      <c r="BQ4" s="1"/>
      <c r="BR4" s="1"/>
      <c r="BS4" s="1"/>
      <c r="BT4" s="1"/>
      <c r="BU4" s="1"/>
      <c r="BV4" s="1"/>
      <c r="BW4" s="1"/>
    </row>
    <row r="5" spans="1:75" ht="15" customHeight="1" x14ac:dyDescent="0.3">
      <c r="A5" s="54">
        <v>2</v>
      </c>
      <c r="B5" s="55" t="s">
        <v>77</v>
      </c>
      <c r="C5" s="54">
        <v>27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>
        <v>403525189</v>
      </c>
      <c r="BK5" s="2">
        <f>SUM(BK6:BK7)</f>
        <v>403528506</v>
      </c>
      <c r="BL5" s="2">
        <f>SUM(BL6:BL7)</f>
        <v>94383791926</v>
      </c>
      <c r="BM5" s="2">
        <f>SUM(BM6:BM7)</f>
        <v>94366722094</v>
      </c>
      <c r="BN5" s="2">
        <f>SUM(BN6:BN7)</f>
        <v>94175313507</v>
      </c>
      <c r="BO5" s="2">
        <f>SUM(BO6:BO7)</f>
        <v>95272480544</v>
      </c>
      <c r="BP5" s="2">
        <f>SUM(BP6:BP7)</f>
        <v>95272491003</v>
      </c>
      <c r="BQ5" s="2"/>
      <c r="BR5" s="2"/>
      <c r="BS5" s="2"/>
      <c r="BT5" s="2"/>
      <c r="BU5" s="2"/>
      <c r="BV5" s="2"/>
      <c r="BW5" s="2"/>
    </row>
    <row r="6" spans="1:75" ht="15" customHeight="1" x14ac:dyDescent="0.3">
      <c r="A6" s="56">
        <v>3</v>
      </c>
      <c r="B6" s="57" t="s">
        <v>78</v>
      </c>
      <c r="C6" s="56">
        <v>27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403525189</v>
      </c>
      <c r="BK6" s="3">
        <f>5903528506-5500000000</f>
        <v>403528506</v>
      </c>
      <c r="BL6" s="3">
        <f>5883791926-5500000000</f>
        <v>383791926</v>
      </c>
      <c r="BM6" s="3">
        <v>366722094</v>
      </c>
      <c r="BN6" s="3">
        <v>175313507</v>
      </c>
      <c r="BO6" s="3">
        <v>1272480544</v>
      </c>
      <c r="BP6" s="3">
        <v>1272491003</v>
      </c>
      <c r="BQ6" s="3"/>
      <c r="BR6" s="3"/>
      <c r="BS6" s="3"/>
      <c r="BT6" s="3"/>
      <c r="BU6" s="3"/>
      <c r="BV6" s="3"/>
      <c r="BW6" s="3"/>
    </row>
    <row r="7" spans="1:75" ht="15" customHeight="1" x14ac:dyDescent="0.3">
      <c r="A7" s="56">
        <v>4</v>
      </c>
      <c r="B7" s="57" t="s">
        <v>79</v>
      </c>
      <c r="C7" s="56">
        <v>27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>
        <v>94000000000</v>
      </c>
      <c r="BM7" s="3">
        <v>94000000000</v>
      </c>
      <c r="BN7" s="3">
        <v>94000000000</v>
      </c>
      <c r="BO7" s="3">
        <v>94000000000</v>
      </c>
      <c r="BP7" s="3">
        <v>94000000000</v>
      </c>
      <c r="BQ7" s="3"/>
      <c r="BR7" s="3"/>
      <c r="BS7" s="3"/>
      <c r="BT7" s="3"/>
      <c r="BU7" s="3"/>
      <c r="BV7" s="3"/>
      <c r="BW7" s="3"/>
    </row>
    <row r="8" spans="1:75" ht="15" customHeight="1" x14ac:dyDescent="0.3">
      <c r="A8" s="58">
        <v>5</v>
      </c>
      <c r="B8" s="55" t="s">
        <v>80</v>
      </c>
      <c r="C8" s="58">
        <v>27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>
        <v>0</v>
      </c>
      <c r="BK8" s="4">
        <f>SUM(BK9:BK14)</f>
        <v>5500000000</v>
      </c>
      <c r="BL8" s="4">
        <f>SUM(BL9:BL14)</f>
        <v>5500000000</v>
      </c>
      <c r="BM8" s="4">
        <f>SUM(BM9:BM14)</f>
        <v>5500000000</v>
      </c>
      <c r="BN8" s="4">
        <f>SUM(BN9:BN14)</f>
        <v>5500000000</v>
      </c>
      <c r="BO8" s="4">
        <f>SUM(BO9:BO14)</f>
        <v>5500000000</v>
      </c>
      <c r="BP8" s="4">
        <f>SUM(BP9:BP14)</f>
        <v>5500000000</v>
      </c>
      <c r="BQ8" s="4"/>
      <c r="BR8" s="4"/>
      <c r="BS8" s="4"/>
      <c r="BT8" s="4"/>
      <c r="BU8" s="4"/>
      <c r="BV8" s="4"/>
      <c r="BW8" s="4"/>
    </row>
    <row r="9" spans="1:75" ht="15" customHeight="1" x14ac:dyDescent="0.3">
      <c r="A9" s="56">
        <v>6</v>
      </c>
      <c r="B9" s="57" t="s">
        <v>81</v>
      </c>
      <c r="C9" s="56">
        <v>27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</row>
    <row r="10" spans="1:75" ht="15" customHeight="1" x14ac:dyDescent="0.3">
      <c r="A10" s="56">
        <v>7</v>
      </c>
      <c r="B10" s="57" t="s">
        <v>82</v>
      </c>
      <c r="C10" s="56">
        <v>27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</row>
    <row r="11" spans="1:75" ht="15" customHeight="1" x14ac:dyDescent="0.3">
      <c r="A11" s="56">
        <v>8</v>
      </c>
      <c r="B11" s="59" t="s">
        <v>83</v>
      </c>
      <c r="C11" s="56">
        <v>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>
        <v>5500000000</v>
      </c>
      <c r="BL11" s="3">
        <v>5500000000</v>
      </c>
      <c r="BM11" s="3">
        <v>5500000000</v>
      </c>
      <c r="BN11" s="3">
        <v>5500000000</v>
      </c>
      <c r="BO11" s="3">
        <v>5500000000</v>
      </c>
      <c r="BP11" s="3">
        <v>5500000000</v>
      </c>
      <c r="BQ11" s="3"/>
      <c r="BR11" s="3"/>
      <c r="BS11" s="3"/>
      <c r="BT11" s="3"/>
      <c r="BU11" s="3"/>
      <c r="BV11" s="3"/>
      <c r="BW11" s="3"/>
    </row>
    <row r="12" spans="1:75" ht="15" customHeight="1" x14ac:dyDescent="0.3">
      <c r="A12" s="56">
        <v>9</v>
      </c>
      <c r="B12" s="59" t="s">
        <v>84</v>
      </c>
      <c r="C12" s="56">
        <v>27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</row>
    <row r="13" spans="1:75" ht="15" customHeight="1" x14ac:dyDescent="0.3">
      <c r="A13" s="56">
        <v>10</v>
      </c>
      <c r="B13" s="59" t="s">
        <v>85</v>
      </c>
      <c r="C13" s="56">
        <v>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</row>
    <row r="14" spans="1:75" ht="15" customHeight="1" x14ac:dyDescent="0.3">
      <c r="A14" s="56">
        <v>11</v>
      </c>
      <c r="B14" s="59" t="s">
        <v>86</v>
      </c>
      <c r="C14" s="56">
        <v>27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75" ht="15" customHeight="1" x14ac:dyDescent="0.3">
      <c r="A15" s="60">
        <v>12</v>
      </c>
      <c r="B15" s="55" t="s">
        <v>87</v>
      </c>
      <c r="C15" s="60">
        <v>27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>
        <v>0</v>
      </c>
      <c r="BK15" s="6"/>
      <c r="BL15" s="6"/>
      <c r="BM15" s="6"/>
      <c r="BN15" s="6">
        <f>BN17</f>
        <v>89087960</v>
      </c>
      <c r="BO15" s="6">
        <f>BO17</f>
        <v>89087960</v>
      </c>
      <c r="BP15" s="6">
        <f>BP17</f>
        <v>89087960</v>
      </c>
      <c r="BQ15" s="6"/>
      <c r="BR15" s="6"/>
      <c r="BS15" s="6"/>
      <c r="BT15" s="6"/>
      <c r="BU15" s="6"/>
      <c r="BV15" s="6"/>
      <c r="BW15" s="6"/>
    </row>
    <row r="16" spans="1:75" ht="15" customHeight="1" x14ac:dyDescent="0.3">
      <c r="A16" s="56">
        <v>13</v>
      </c>
      <c r="B16" s="61" t="s">
        <v>88</v>
      </c>
      <c r="C16" s="56">
        <v>27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</row>
    <row r="17" spans="1:75" ht="15" customHeight="1" x14ac:dyDescent="0.3">
      <c r="A17" s="56">
        <v>14</v>
      </c>
      <c r="B17" s="61" t="s">
        <v>89</v>
      </c>
      <c r="C17" s="56">
        <v>27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>
        <v>89087960</v>
      </c>
      <c r="BO17" s="3">
        <v>89087960</v>
      </c>
      <c r="BP17" s="3">
        <v>89087960</v>
      </c>
      <c r="BQ17" s="3"/>
      <c r="BR17" s="3"/>
      <c r="BS17" s="3"/>
      <c r="BT17" s="3"/>
      <c r="BU17" s="3"/>
      <c r="BV17" s="3"/>
      <c r="BW17" s="3"/>
    </row>
    <row r="18" spans="1:75" ht="15" customHeight="1" x14ac:dyDescent="0.3">
      <c r="A18" s="56">
        <v>15</v>
      </c>
      <c r="B18" s="61" t="s">
        <v>90</v>
      </c>
      <c r="C18" s="56">
        <v>27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</row>
    <row r="19" spans="1:75" ht="15" customHeight="1" x14ac:dyDescent="0.3">
      <c r="A19" s="56">
        <v>16</v>
      </c>
      <c r="B19" s="61" t="s">
        <v>91</v>
      </c>
      <c r="C19" s="56">
        <v>27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</row>
    <row r="20" spans="1:75" ht="15" customHeight="1" x14ac:dyDescent="0.3">
      <c r="A20" s="56">
        <v>17</v>
      </c>
      <c r="B20" s="61" t="s">
        <v>92</v>
      </c>
      <c r="C20" s="56">
        <v>27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</row>
    <row r="21" spans="1:75" ht="15" customHeight="1" x14ac:dyDescent="0.3">
      <c r="A21" s="56">
        <v>18</v>
      </c>
      <c r="B21" s="61" t="s">
        <v>93</v>
      </c>
      <c r="C21" s="56">
        <v>27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</row>
    <row r="22" spans="1:75" ht="15" customHeight="1" x14ac:dyDescent="0.3">
      <c r="A22" s="56">
        <v>19</v>
      </c>
      <c r="B22" s="62" t="s">
        <v>94</v>
      </c>
      <c r="C22" s="56">
        <v>27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</row>
    <row r="23" spans="1:75" ht="15" customHeight="1" x14ac:dyDescent="0.3">
      <c r="A23" s="60">
        <v>20</v>
      </c>
      <c r="B23" s="55" t="s">
        <v>95</v>
      </c>
      <c r="C23" s="60">
        <v>27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>
        <v>0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</row>
    <row r="24" spans="1:75" ht="15" customHeight="1" x14ac:dyDescent="0.3">
      <c r="A24" s="56">
        <v>21</v>
      </c>
      <c r="B24" s="57" t="s">
        <v>96</v>
      </c>
      <c r="C24" s="56">
        <v>27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</row>
    <row r="25" spans="1:75" ht="15" customHeight="1" x14ac:dyDescent="0.3">
      <c r="A25" s="56">
        <v>22</v>
      </c>
      <c r="B25" s="57" t="s">
        <v>97</v>
      </c>
      <c r="C25" s="56">
        <v>27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</row>
    <row r="26" spans="1:75" ht="15" customHeight="1" x14ac:dyDescent="0.3">
      <c r="A26" s="60">
        <v>23</v>
      </c>
      <c r="B26" s="55" t="s">
        <v>98</v>
      </c>
      <c r="C26" s="60">
        <v>27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</row>
    <row r="27" spans="1:75" ht="15" customHeight="1" x14ac:dyDescent="0.3">
      <c r="A27" s="56">
        <v>24</v>
      </c>
      <c r="B27" s="57" t="s">
        <v>99</v>
      </c>
      <c r="C27" s="56">
        <v>27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</row>
    <row r="28" spans="1:75" ht="15" customHeight="1" x14ac:dyDescent="0.3">
      <c r="A28" s="56">
        <v>25</v>
      </c>
      <c r="B28" s="57" t="s">
        <v>100</v>
      </c>
      <c r="C28" s="56">
        <v>27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</row>
    <row r="29" spans="1:75" ht="14.4" x14ac:dyDescent="0.3">
      <c r="A29" s="56">
        <v>26</v>
      </c>
      <c r="B29" s="57" t="s">
        <v>101</v>
      </c>
      <c r="C29" s="56">
        <v>27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</row>
    <row r="30" spans="1:75" ht="15" customHeight="1" x14ac:dyDescent="0.3">
      <c r="A30" s="60">
        <v>27</v>
      </c>
      <c r="B30" s="55" t="s">
        <v>102</v>
      </c>
      <c r="C30" s="60">
        <v>27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>
        <v>7028599</v>
      </c>
      <c r="BK30" s="6">
        <v>7028599</v>
      </c>
      <c r="BL30" s="6">
        <f>BL32</f>
        <v>8846781</v>
      </c>
      <c r="BM30" s="6">
        <f>BM32</f>
        <v>10111441</v>
      </c>
      <c r="BN30" s="6">
        <f>BN32</f>
        <v>17616881</v>
      </c>
      <c r="BO30" s="6">
        <f>BO32</f>
        <v>17638881</v>
      </c>
      <c r="BP30" s="6">
        <f>BP32</f>
        <v>17646081</v>
      </c>
      <c r="BQ30" s="6"/>
      <c r="BR30" s="6"/>
      <c r="BS30" s="6"/>
      <c r="BT30" s="6"/>
      <c r="BU30" s="6"/>
      <c r="BV30" s="6"/>
      <c r="BW30" s="6"/>
    </row>
    <row r="31" spans="1:75" ht="15" customHeight="1" x14ac:dyDescent="0.3">
      <c r="A31" s="56">
        <v>28</v>
      </c>
      <c r="B31" s="61" t="s">
        <v>103</v>
      </c>
      <c r="C31" s="56">
        <v>27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</row>
    <row r="32" spans="1:75" ht="15" customHeight="1" x14ac:dyDescent="0.3">
      <c r="A32" s="56">
        <v>29</v>
      </c>
      <c r="B32" s="61" t="s">
        <v>104</v>
      </c>
      <c r="C32" s="56">
        <v>27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7028599</v>
      </c>
      <c r="BK32" s="3">
        <v>7028599</v>
      </c>
      <c r="BL32" s="3">
        <f>1818182+Data_BS[[#This Row],[T12.2025]]</f>
        <v>8846781</v>
      </c>
      <c r="BM32" s="3">
        <f>8846781+1264660</f>
        <v>10111441</v>
      </c>
      <c r="BN32" s="3">
        <f>8846781+8770100</f>
        <v>17616881</v>
      </c>
      <c r="BO32" s="3">
        <f>8846781+8770100+22000</f>
        <v>17638881</v>
      </c>
      <c r="BP32" s="3">
        <f>8846781+8770100+22000+7200</f>
        <v>17646081</v>
      </c>
      <c r="BQ32" s="3"/>
      <c r="BR32" s="3"/>
      <c r="BS32" s="3"/>
      <c r="BT32" s="3"/>
      <c r="BU32" s="3"/>
      <c r="BV32" s="3"/>
      <c r="BW32" s="3"/>
    </row>
    <row r="33" spans="1:75" ht="15" customHeight="1" x14ac:dyDescent="0.3">
      <c r="A33" s="56">
        <v>30</v>
      </c>
      <c r="B33" s="61" t="s">
        <v>105</v>
      </c>
      <c r="C33" s="56">
        <v>27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</row>
    <row r="34" spans="1:75" ht="15" customHeight="1" x14ac:dyDescent="0.3">
      <c r="A34" s="56">
        <v>31</v>
      </c>
      <c r="B34" s="61" t="s">
        <v>106</v>
      </c>
      <c r="C34" s="56">
        <v>27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</row>
    <row r="35" spans="1:75" ht="15" customHeight="1" x14ac:dyDescent="0.3">
      <c r="A35" s="56">
        <v>32</v>
      </c>
      <c r="B35" s="61" t="s">
        <v>107</v>
      </c>
      <c r="C35" s="56">
        <v>27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</row>
    <row r="36" spans="1:75" ht="15" customHeight="1" x14ac:dyDescent="0.3">
      <c r="A36" s="63">
        <v>33</v>
      </c>
      <c r="B36" s="64" t="s">
        <v>108</v>
      </c>
      <c r="C36" s="63">
        <v>27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>
        <v>87557481</v>
      </c>
      <c r="BK36" s="8">
        <v>87557481</v>
      </c>
      <c r="BL36" s="8">
        <f>BL37+BL44+BL54+BL63+BL66+BL76</f>
        <v>87557481</v>
      </c>
      <c r="BM36" s="8">
        <f>BM37+BM44+BM54+BM63+BM66+BM76</f>
        <v>103365733</v>
      </c>
      <c r="BN36" s="8">
        <f>BN37+BN44+BN54+BN63+BN66+BN76</f>
        <v>196965733</v>
      </c>
      <c r="BO36" s="8">
        <f>BO37+BO44+BO54+BO63+BO66+BO76</f>
        <v>196965733</v>
      </c>
      <c r="BP36" s="8">
        <f>BP37+BP44+BP54+BP63+BP66+BP76</f>
        <v>196965733</v>
      </c>
      <c r="BQ36" s="8"/>
      <c r="BR36" s="8"/>
      <c r="BS36" s="8"/>
      <c r="BT36" s="8"/>
      <c r="BU36" s="8"/>
      <c r="BV36" s="8"/>
      <c r="BW36" s="8"/>
    </row>
    <row r="37" spans="1:75" ht="15" customHeight="1" x14ac:dyDescent="0.3">
      <c r="A37" s="60">
        <v>34</v>
      </c>
      <c r="B37" s="55" t="s">
        <v>371</v>
      </c>
      <c r="C37" s="60">
        <v>27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>
        <v>0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</row>
    <row r="38" spans="1:75" ht="15" customHeight="1" x14ac:dyDescent="0.3">
      <c r="A38" s="56">
        <v>35</v>
      </c>
      <c r="B38" s="57" t="s">
        <v>109</v>
      </c>
      <c r="C38" s="56">
        <v>27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</row>
    <row r="39" spans="1:75" ht="15" customHeight="1" x14ac:dyDescent="0.3">
      <c r="A39" s="56">
        <v>36</v>
      </c>
      <c r="B39" s="57" t="s">
        <v>110</v>
      </c>
      <c r="C39" s="56">
        <v>27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</row>
    <row r="40" spans="1:75" ht="15" customHeight="1" x14ac:dyDescent="0.3">
      <c r="A40" s="56">
        <v>37</v>
      </c>
      <c r="B40" s="57" t="s">
        <v>111</v>
      </c>
      <c r="C40" s="56">
        <v>27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</row>
    <row r="41" spans="1:75" ht="15" customHeight="1" x14ac:dyDescent="0.3">
      <c r="A41" s="56">
        <v>38</v>
      </c>
      <c r="B41" s="57" t="s">
        <v>112</v>
      </c>
      <c r="C41" s="56">
        <v>27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</row>
    <row r="42" spans="1:75" ht="15" customHeight="1" x14ac:dyDescent="0.3">
      <c r="A42" s="56">
        <v>39</v>
      </c>
      <c r="B42" s="57" t="s">
        <v>113</v>
      </c>
      <c r="C42" s="56">
        <v>27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</row>
    <row r="43" spans="1:75" ht="15" customHeight="1" x14ac:dyDescent="0.3">
      <c r="A43" s="56">
        <v>40</v>
      </c>
      <c r="B43" s="57" t="s">
        <v>114</v>
      </c>
      <c r="C43" s="56">
        <v>27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</row>
    <row r="44" spans="1:75" ht="15" customHeight="1" x14ac:dyDescent="0.3">
      <c r="A44" s="60">
        <v>41</v>
      </c>
      <c r="B44" s="65" t="s">
        <v>115</v>
      </c>
      <c r="C44" s="60">
        <v>27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>
        <v>0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</row>
    <row r="45" spans="1:75" ht="15" customHeight="1" x14ac:dyDescent="0.3">
      <c r="A45" s="60">
        <v>42</v>
      </c>
      <c r="B45" s="66" t="s">
        <v>116</v>
      </c>
      <c r="C45" s="60">
        <v>27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>
        <v>0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</row>
    <row r="46" spans="1:75" ht="15" customHeight="1" x14ac:dyDescent="0.3">
      <c r="A46" s="56">
        <v>43</v>
      </c>
      <c r="B46" s="67" t="s">
        <v>117</v>
      </c>
      <c r="C46" s="56">
        <v>27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</row>
    <row r="47" spans="1:75" ht="15" customHeight="1" x14ac:dyDescent="0.3">
      <c r="A47" s="56">
        <v>44</v>
      </c>
      <c r="B47" s="67" t="s">
        <v>118</v>
      </c>
      <c r="C47" s="56">
        <v>27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</row>
    <row r="48" spans="1:75" ht="15" customHeight="1" x14ac:dyDescent="0.3">
      <c r="A48" s="60">
        <v>45</v>
      </c>
      <c r="B48" s="66" t="s">
        <v>119</v>
      </c>
      <c r="C48" s="60">
        <v>27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>
        <v>0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</row>
    <row r="49" spans="1:75" ht="15" customHeight="1" x14ac:dyDescent="0.3">
      <c r="A49" s="56">
        <v>46</v>
      </c>
      <c r="B49" s="67" t="s">
        <v>120</v>
      </c>
      <c r="C49" s="56">
        <v>27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</row>
    <row r="50" spans="1:75" ht="15" customHeight="1" x14ac:dyDescent="0.3">
      <c r="A50" s="56">
        <v>47</v>
      </c>
      <c r="B50" s="67" t="s">
        <v>121</v>
      </c>
      <c r="C50" s="56">
        <v>27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</row>
    <row r="51" spans="1:75" ht="15" customHeight="1" x14ac:dyDescent="0.3">
      <c r="A51" s="60">
        <v>48</v>
      </c>
      <c r="B51" s="66" t="s">
        <v>122</v>
      </c>
      <c r="C51" s="60">
        <v>27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0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</row>
    <row r="52" spans="1:75" ht="15" customHeight="1" x14ac:dyDescent="0.3">
      <c r="A52" s="56">
        <v>49</v>
      </c>
      <c r="B52" s="67" t="s">
        <v>123</v>
      </c>
      <c r="C52" s="56">
        <v>27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</row>
    <row r="53" spans="1:75" ht="15" customHeight="1" x14ac:dyDescent="0.3">
      <c r="A53" s="56">
        <v>50</v>
      </c>
      <c r="B53" s="67" t="s">
        <v>124</v>
      </c>
      <c r="C53" s="56">
        <v>27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</row>
    <row r="54" spans="1:75" ht="15" customHeight="1" x14ac:dyDescent="0.3">
      <c r="A54" s="60">
        <v>51</v>
      </c>
      <c r="B54" s="65" t="s">
        <v>125</v>
      </c>
      <c r="C54" s="60">
        <v>27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</row>
    <row r="55" spans="1:75" ht="15" customHeight="1" x14ac:dyDescent="0.3">
      <c r="A55" s="56">
        <v>52</v>
      </c>
      <c r="B55" s="68" t="s">
        <v>126</v>
      </c>
      <c r="C55" s="56">
        <v>27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</row>
    <row r="56" spans="1:75" ht="15" customHeight="1" x14ac:dyDescent="0.3">
      <c r="A56" s="56">
        <v>53</v>
      </c>
      <c r="B56" s="67" t="s">
        <v>127</v>
      </c>
      <c r="C56" s="56">
        <v>27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</row>
    <row r="57" spans="1:75" ht="15" customHeight="1" x14ac:dyDescent="0.3">
      <c r="A57" s="56">
        <v>54</v>
      </c>
      <c r="B57" s="67" t="s">
        <v>128</v>
      </c>
      <c r="C57" s="56">
        <v>27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</row>
    <row r="58" spans="1:75" ht="15" customHeight="1" x14ac:dyDescent="0.3">
      <c r="A58" s="56">
        <v>55</v>
      </c>
      <c r="B58" s="69" t="s">
        <v>129</v>
      </c>
      <c r="C58" s="56">
        <v>27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</row>
    <row r="59" spans="1:75" ht="15" customHeight="1" x14ac:dyDescent="0.3">
      <c r="A59" s="56">
        <v>56</v>
      </c>
      <c r="B59" s="69" t="s">
        <v>130</v>
      </c>
      <c r="C59" s="56">
        <v>27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</row>
    <row r="60" spans="1:75" s="70" customFormat="1" ht="15" customHeight="1" x14ac:dyDescent="0.35">
      <c r="A60" s="56">
        <v>57</v>
      </c>
      <c r="B60" s="68" t="s">
        <v>131</v>
      </c>
      <c r="C60" s="56">
        <v>27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</row>
    <row r="61" spans="1:75" ht="15" customHeight="1" x14ac:dyDescent="0.3">
      <c r="A61" s="56">
        <v>58</v>
      </c>
      <c r="B61" s="68" t="s">
        <v>132</v>
      </c>
      <c r="C61" s="56">
        <v>27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</row>
    <row r="62" spans="1:75" ht="15" customHeight="1" x14ac:dyDescent="0.3">
      <c r="A62" s="56">
        <v>59</v>
      </c>
      <c r="B62" s="68" t="s">
        <v>133</v>
      </c>
      <c r="C62" s="56">
        <v>27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</row>
    <row r="63" spans="1:75" ht="15" customHeight="1" x14ac:dyDescent="0.3">
      <c r="A63" s="58">
        <v>60</v>
      </c>
      <c r="B63" s="65" t="s">
        <v>134</v>
      </c>
      <c r="C63" s="58">
        <v>27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>
        <v>0</v>
      </c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</row>
    <row r="64" spans="1:75" ht="15" customHeight="1" x14ac:dyDescent="0.3">
      <c r="A64" s="56">
        <v>61</v>
      </c>
      <c r="B64" s="57" t="s">
        <v>135</v>
      </c>
      <c r="C64" s="56">
        <v>27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</row>
    <row r="65" spans="1:75" s="71" customFormat="1" ht="15" customHeight="1" x14ac:dyDescent="0.3">
      <c r="A65" s="56">
        <v>62</v>
      </c>
      <c r="B65" s="57" t="s">
        <v>136</v>
      </c>
      <c r="C65" s="56">
        <v>27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</row>
    <row r="66" spans="1:75" ht="15" customHeight="1" x14ac:dyDescent="0.3">
      <c r="A66" s="60">
        <v>63</v>
      </c>
      <c r="B66" s="65" t="s">
        <v>137</v>
      </c>
      <c r="C66" s="60">
        <v>27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>
        <v>87557481</v>
      </c>
      <c r="BK66" s="6">
        <v>87557481</v>
      </c>
      <c r="BL66" s="6">
        <v>87557481</v>
      </c>
      <c r="BM66" s="6">
        <f>BM67+BM68</f>
        <v>103365733</v>
      </c>
      <c r="BN66" s="6">
        <f>BN67+BN68</f>
        <v>196965733</v>
      </c>
      <c r="BO66" s="6">
        <f>BO67+BO68</f>
        <v>196965733</v>
      </c>
      <c r="BP66" s="6">
        <f>BP67+BP68</f>
        <v>196965733</v>
      </c>
      <c r="BQ66" s="6"/>
      <c r="BR66" s="6"/>
      <c r="BS66" s="6"/>
      <c r="BT66" s="6"/>
      <c r="BU66" s="6"/>
      <c r="BV66" s="6"/>
      <c r="BW66" s="6"/>
    </row>
    <row r="67" spans="1:75" ht="15" customHeight="1" x14ac:dyDescent="0.3">
      <c r="A67" s="56">
        <v>64</v>
      </c>
      <c r="B67" s="57" t="s">
        <v>138</v>
      </c>
      <c r="C67" s="56">
        <v>27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10176000</v>
      </c>
      <c r="BK67" s="3">
        <v>10176000</v>
      </c>
      <c r="BL67" s="3">
        <v>10176000</v>
      </c>
      <c r="BM67" s="3">
        <v>10176000</v>
      </c>
      <c r="BN67" s="3">
        <v>10176000</v>
      </c>
      <c r="BO67" s="3">
        <v>10176000</v>
      </c>
      <c r="BP67" s="3">
        <v>10176000</v>
      </c>
      <c r="BQ67" s="3"/>
      <c r="BR67" s="3"/>
      <c r="BS67" s="3"/>
      <c r="BT67" s="3"/>
      <c r="BU67" s="3"/>
      <c r="BV67" s="3"/>
      <c r="BW67" s="3"/>
    </row>
    <row r="68" spans="1:75" ht="15" customHeight="1" x14ac:dyDescent="0.3">
      <c r="A68" s="56">
        <v>65</v>
      </c>
      <c r="B68" s="57" t="s">
        <v>139</v>
      </c>
      <c r="C68" s="56">
        <v>27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77381481</v>
      </c>
      <c r="BK68" s="3">
        <v>77381481</v>
      </c>
      <c r="BL68" s="3">
        <v>77381481</v>
      </c>
      <c r="BM68" s="3">
        <f>77381481+15808252</f>
        <v>93189733</v>
      </c>
      <c r="BN68" s="3">
        <f>77381481+15808252+93600000</f>
        <v>186789733</v>
      </c>
      <c r="BO68" s="3">
        <f>77381481+15808252+93600000</f>
        <v>186789733</v>
      </c>
      <c r="BP68" s="3">
        <f>77381481+15808252+93600000</f>
        <v>186789733</v>
      </c>
      <c r="BQ68" s="3"/>
      <c r="BR68" s="3"/>
      <c r="BS68" s="3"/>
      <c r="BT68" s="3"/>
      <c r="BU68" s="3"/>
      <c r="BV68" s="3"/>
      <c r="BW68" s="3"/>
    </row>
    <row r="69" spans="1:75" ht="15" customHeight="1" x14ac:dyDescent="0.3">
      <c r="A69" s="60">
        <v>66</v>
      </c>
      <c r="B69" s="72" t="s">
        <v>140</v>
      </c>
      <c r="C69" s="60">
        <v>27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0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</row>
    <row r="70" spans="1:75" ht="15" customHeight="1" x14ac:dyDescent="0.3">
      <c r="A70" s="56">
        <v>67</v>
      </c>
      <c r="B70" s="57" t="s">
        <v>141</v>
      </c>
      <c r="C70" s="56">
        <v>27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</row>
    <row r="71" spans="1:75" ht="15" customHeight="1" x14ac:dyDescent="0.3">
      <c r="A71" s="56">
        <v>68</v>
      </c>
      <c r="B71" s="57" t="s">
        <v>142</v>
      </c>
      <c r="C71" s="56">
        <v>27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</row>
    <row r="72" spans="1:75" ht="15" customHeight="1" x14ac:dyDescent="0.3">
      <c r="A72" s="56">
        <v>69</v>
      </c>
      <c r="B72" s="57" t="s">
        <v>143</v>
      </c>
      <c r="C72" s="56">
        <v>27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</row>
    <row r="73" spans="1:75" ht="15" customHeight="1" x14ac:dyDescent="0.3">
      <c r="A73" s="56">
        <v>70</v>
      </c>
      <c r="B73" s="57" t="s">
        <v>144</v>
      </c>
      <c r="C73" s="56">
        <v>27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</row>
    <row r="74" spans="1:75" ht="15" customHeight="1" x14ac:dyDescent="0.3">
      <c r="A74" s="56">
        <v>71</v>
      </c>
      <c r="B74" s="59" t="s">
        <v>145</v>
      </c>
      <c r="C74" s="56">
        <v>27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</row>
    <row r="75" spans="1:75" ht="15" customHeight="1" x14ac:dyDescent="0.3">
      <c r="A75" s="56">
        <v>72</v>
      </c>
      <c r="B75" s="59" t="s">
        <v>146</v>
      </c>
      <c r="C75" s="56">
        <v>27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</row>
    <row r="76" spans="1:75" ht="15" customHeight="1" x14ac:dyDescent="0.3">
      <c r="A76" s="60">
        <v>73</v>
      </c>
      <c r="B76" s="73" t="s">
        <v>147</v>
      </c>
      <c r="C76" s="60">
        <v>27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>
        <v>0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</row>
    <row r="77" spans="1:75" ht="15" customHeight="1" x14ac:dyDescent="0.3">
      <c r="A77" s="56">
        <v>74</v>
      </c>
      <c r="B77" s="61" t="s">
        <v>148</v>
      </c>
      <c r="C77" s="56">
        <v>27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</row>
    <row r="78" spans="1:75" ht="15" customHeight="1" x14ac:dyDescent="0.3">
      <c r="A78" s="56">
        <v>75</v>
      </c>
      <c r="B78" s="61" t="s">
        <v>149</v>
      </c>
      <c r="C78" s="56">
        <v>27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</row>
    <row r="79" spans="1:75" ht="15" customHeight="1" x14ac:dyDescent="0.3">
      <c r="A79" s="56">
        <v>76</v>
      </c>
      <c r="B79" s="61" t="s">
        <v>150</v>
      </c>
      <c r="C79" s="56">
        <v>27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</row>
    <row r="80" spans="1:75" ht="15" customHeight="1" x14ac:dyDescent="0.3">
      <c r="A80" s="56">
        <v>77</v>
      </c>
      <c r="B80" s="61" t="s">
        <v>151</v>
      </c>
      <c r="C80" s="56">
        <v>27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</row>
    <row r="81" spans="1:75" ht="15" customHeight="1" x14ac:dyDescent="0.3">
      <c r="A81" s="74">
        <v>78</v>
      </c>
      <c r="B81" s="75" t="s">
        <v>152</v>
      </c>
      <c r="C81" s="74">
        <v>27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>
        <v>498111269</v>
      </c>
      <c r="BK81" s="11">
        <v>5998114586</v>
      </c>
      <c r="BL81" s="11">
        <f>BL4+BL36</f>
        <v>99980196188</v>
      </c>
      <c r="BM81" s="11">
        <f>BM4+BM36</f>
        <v>99980199268</v>
      </c>
      <c r="BN81" s="11">
        <f>BN4+BN36</f>
        <v>99978984081</v>
      </c>
      <c r="BO81" s="11">
        <f>BO4+BO36</f>
        <v>101076173118</v>
      </c>
      <c r="BP81" s="11">
        <f>BP4+BP36</f>
        <v>101076190777</v>
      </c>
      <c r="BQ81" s="11"/>
      <c r="BR81" s="11"/>
      <c r="BS81" s="11"/>
      <c r="BT81" s="11"/>
      <c r="BU81" s="11"/>
      <c r="BV81" s="11"/>
      <c r="BW81" s="11"/>
    </row>
    <row r="82" spans="1:75" ht="15" customHeight="1" x14ac:dyDescent="0.3">
      <c r="A82" s="63">
        <v>79</v>
      </c>
      <c r="B82" s="53" t="s">
        <v>153</v>
      </c>
      <c r="C82" s="63">
        <v>27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>
        <v>0</v>
      </c>
      <c r="BK82" s="8"/>
      <c r="BL82" s="8"/>
      <c r="BM82" s="8"/>
      <c r="BN82" s="8"/>
      <c r="BO82" s="8"/>
      <c r="BP82" s="8">
        <f>BP83+BP99</f>
        <v>97200</v>
      </c>
      <c r="BQ82" s="8"/>
      <c r="BR82" s="8"/>
      <c r="BS82" s="8"/>
      <c r="BT82" s="8"/>
      <c r="BU82" s="8"/>
      <c r="BV82" s="8"/>
      <c r="BW82" s="8"/>
    </row>
    <row r="83" spans="1:75" ht="15" customHeight="1" x14ac:dyDescent="0.3">
      <c r="A83" s="60">
        <v>80</v>
      </c>
      <c r="B83" s="55" t="s">
        <v>154</v>
      </c>
      <c r="C83" s="60">
        <v>27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>
        <v>0</v>
      </c>
      <c r="BK83" s="6"/>
      <c r="BL83" s="6"/>
      <c r="BM83" s="6"/>
      <c r="BN83" s="6"/>
      <c r="BO83" s="6"/>
      <c r="BP83" s="6">
        <f>BP84</f>
        <v>97200</v>
      </c>
      <c r="BQ83" s="6"/>
      <c r="BR83" s="6"/>
      <c r="BS83" s="6"/>
      <c r="BT83" s="6"/>
      <c r="BU83" s="6"/>
      <c r="BV83" s="6"/>
      <c r="BW83" s="6"/>
    </row>
    <row r="84" spans="1:75" ht="15" customHeight="1" x14ac:dyDescent="0.3">
      <c r="A84" s="56">
        <v>81</v>
      </c>
      <c r="B84" s="76" t="s">
        <v>155</v>
      </c>
      <c r="C84" s="56">
        <v>27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>
        <v>97200</v>
      </c>
      <c r="BQ84" s="3"/>
      <c r="BR84" s="3"/>
      <c r="BS84" s="3"/>
      <c r="BT84" s="3"/>
      <c r="BU84" s="3"/>
      <c r="BV84" s="3"/>
      <c r="BW84" s="3"/>
    </row>
    <row r="85" spans="1:75" ht="15" customHeight="1" x14ac:dyDescent="0.3">
      <c r="A85" s="56">
        <v>82</v>
      </c>
      <c r="B85" s="76" t="s">
        <v>156</v>
      </c>
      <c r="C85" s="56">
        <v>27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</row>
    <row r="86" spans="1:75" ht="15" customHeight="1" x14ac:dyDescent="0.3">
      <c r="A86" s="56">
        <v>83</v>
      </c>
      <c r="B86" s="76" t="s">
        <v>157</v>
      </c>
      <c r="C86" s="56">
        <v>27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</row>
    <row r="87" spans="1:75" ht="15" customHeight="1" x14ac:dyDescent="0.3">
      <c r="A87" s="56">
        <v>84</v>
      </c>
      <c r="B87" s="76" t="s">
        <v>158</v>
      </c>
      <c r="C87" s="56">
        <v>27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</row>
    <row r="88" spans="1:75" ht="15" customHeight="1" x14ac:dyDescent="0.3">
      <c r="A88" s="56">
        <v>85</v>
      </c>
      <c r="B88" s="76" t="s">
        <v>159</v>
      </c>
      <c r="C88" s="56">
        <v>27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</row>
    <row r="89" spans="1:75" ht="15" customHeight="1" x14ac:dyDescent="0.3">
      <c r="A89" s="56">
        <v>86</v>
      </c>
      <c r="B89" s="76" t="s">
        <v>160</v>
      </c>
      <c r="C89" s="56">
        <v>27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</row>
    <row r="90" spans="1:75" ht="15" customHeight="1" x14ac:dyDescent="0.3">
      <c r="A90" s="56">
        <v>87</v>
      </c>
      <c r="B90" s="76" t="s">
        <v>161</v>
      </c>
      <c r="C90" s="56">
        <v>27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</row>
    <row r="91" spans="1:75" ht="15" customHeight="1" x14ac:dyDescent="0.3">
      <c r="A91" s="56">
        <v>88</v>
      </c>
      <c r="B91" s="76" t="s">
        <v>162</v>
      </c>
      <c r="C91" s="56">
        <v>27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</row>
    <row r="92" spans="1:75" ht="15" customHeight="1" x14ac:dyDescent="0.3">
      <c r="A92" s="56">
        <v>89</v>
      </c>
      <c r="B92" s="76" t="s">
        <v>163</v>
      </c>
      <c r="C92" s="56">
        <v>27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</row>
    <row r="93" spans="1:75" ht="15" customHeight="1" x14ac:dyDescent="0.3">
      <c r="A93" s="56">
        <v>90</v>
      </c>
      <c r="B93" s="76" t="s">
        <v>164</v>
      </c>
      <c r="C93" s="56">
        <v>27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</row>
    <row r="94" spans="1:75" ht="15" customHeight="1" x14ac:dyDescent="0.3">
      <c r="A94" s="56">
        <v>91</v>
      </c>
      <c r="B94" s="76" t="s">
        <v>165</v>
      </c>
      <c r="C94" s="56">
        <v>27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</row>
    <row r="95" spans="1:75" ht="15" customHeight="1" x14ac:dyDescent="0.3">
      <c r="A95" s="56">
        <v>92</v>
      </c>
      <c r="B95" s="76" t="s">
        <v>166</v>
      </c>
      <c r="C95" s="56">
        <v>27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</row>
    <row r="96" spans="1:75" ht="15" customHeight="1" x14ac:dyDescent="0.3">
      <c r="A96" s="56">
        <v>93</v>
      </c>
      <c r="B96" s="76" t="s">
        <v>167</v>
      </c>
      <c r="C96" s="56">
        <v>27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</row>
    <row r="97" spans="1:75" ht="15" customHeight="1" x14ac:dyDescent="0.3">
      <c r="A97" s="56">
        <v>94</v>
      </c>
      <c r="B97" s="77" t="s">
        <v>168</v>
      </c>
      <c r="C97" s="56">
        <v>27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</row>
    <row r="98" spans="1:75" ht="15" customHeight="1" x14ac:dyDescent="0.3">
      <c r="A98" s="56">
        <v>95</v>
      </c>
      <c r="B98" s="77" t="s">
        <v>169</v>
      </c>
      <c r="C98" s="56">
        <v>27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ht="15" customHeight="1" x14ac:dyDescent="0.3">
      <c r="A99" s="60">
        <v>96</v>
      </c>
      <c r="B99" s="65" t="s">
        <v>170</v>
      </c>
      <c r="C99" s="60">
        <v>27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</row>
    <row r="100" spans="1:75" ht="15" customHeight="1" x14ac:dyDescent="0.3">
      <c r="A100" s="56">
        <v>97</v>
      </c>
      <c r="B100" s="76" t="s">
        <v>171</v>
      </c>
      <c r="C100" s="56">
        <v>27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ht="15" customHeight="1" x14ac:dyDescent="0.3">
      <c r="A101" s="56">
        <v>98</v>
      </c>
      <c r="B101" s="76" t="s">
        <v>172</v>
      </c>
      <c r="C101" s="56">
        <v>27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ht="15" customHeight="1" x14ac:dyDescent="0.3">
      <c r="A102" s="56">
        <v>99</v>
      </c>
      <c r="B102" s="76" t="s">
        <v>173</v>
      </c>
      <c r="C102" s="56">
        <v>27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ht="15" customHeight="1" x14ac:dyDescent="0.3">
      <c r="A103" s="56">
        <v>100</v>
      </c>
      <c r="B103" s="76" t="s">
        <v>174</v>
      </c>
      <c r="C103" s="56">
        <v>27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ht="15" customHeight="1" x14ac:dyDescent="0.3">
      <c r="A104" s="56">
        <v>101</v>
      </c>
      <c r="B104" s="76" t="s">
        <v>175</v>
      </c>
      <c r="C104" s="56">
        <v>27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ht="15" customHeight="1" x14ac:dyDescent="0.3">
      <c r="A105" s="56">
        <v>102</v>
      </c>
      <c r="B105" s="76" t="s">
        <v>176</v>
      </c>
      <c r="C105" s="56">
        <v>27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ht="15" customHeight="1" x14ac:dyDescent="0.3">
      <c r="A106" s="56">
        <v>103</v>
      </c>
      <c r="B106" s="76" t="s">
        <v>177</v>
      </c>
      <c r="C106" s="56">
        <v>27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ht="15" customHeight="1" x14ac:dyDescent="0.3">
      <c r="A107" s="56">
        <v>104</v>
      </c>
      <c r="B107" s="76" t="s">
        <v>178</v>
      </c>
      <c r="C107" s="56">
        <v>27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ht="15" customHeight="1" x14ac:dyDescent="0.3">
      <c r="A108" s="56">
        <v>105</v>
      </c>
      <c r="B108" s="76" t="s">
        <v>592</v>
      </c>
      <c r="C108" s="56">
        <v>27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spans="1:75" ht="15" customHeight="1" x14ac:dyDescent="0.3">
      <c r="A109" s="56">
        <v>106</v>
      </c>
      <c r="B109" s="76" t="s">
        <v>180</v>
      </c>
      <c r="C109" s="56">
        <v>27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ht="15" customHeight="1" x14ac:dyDescent="0.3">
      <c r="A110" s="56">
        <v>107</v>
      </c>
      <c r="B110" s="76" t="s">
        <v>181</v>
      </c>
      <c r="C110" s="56">
        <v>27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ht="15" customHeight="1" x14ac:dyDescent="0.3">
      <c r="A111" s="56">
        <v>108</v>
      </c>
      <c r="B111" s="76" t="s">
        <v>182</v>
      </c>
      <c r="C111" s="56">
        <v>27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ht="15" customHeight="1" x14ac:dyDescent="0.3">
      <c r="A112" s="56">
        <v>109</v>
      </c>
      <c r="B112" s="76" t="s">
        <v>183</v>
      </c>
      <c r="C112" s="56">
        <v>27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ht="15" customHeight="1" x14ac:dyDescent="0.3">
      <c r="A113" s="56">
        <v>110</v>
      </c>
      <c r="B113" s="76" t="s">
        <v>184</v>
      </c>
      <c r="C113" s="56">
        <v>27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ht="15" customHeight="1" x14ac:dyDescent="0.3">
      <c r="A114" s="63">
        <v>111</v>
      </c>
      <c r="B114" s="53" t="s">
        <v>185</v>
      </c>
      <c r="C114" s="63">
        <v>27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>
        <v>498111269</v>
      </c>
      <c r="BK114" s="8">
        <v>5998114586</v>
      </c>
      <c r="BL114" s="8">
        <f>BL115+BL126</f>
        <v>99980196188</v>
      </c>
      <c r="BM114" s="8">
        <f>BM115+BM126</f>
        <v>99980199268</v>
      </c>
      <c r="BN114" s="8">
        <f>BN115+BN126</f>
        <v>99978984081</v>
      </c>
      <c r="BO114" s="8">
        <f>BO115+BO126</f>
        <v>101076173118</v>
      </c>
      <c r="BP114" s="8">
        <f>BP115+BP126</f>
        <v>101076093577</v>
      </c>
      <c r="BQ114" s="8"/>
      <c r="BR114" s="8"/>
      <c r="BS114" s="8"/>
      <c r="BT114" s="8"/>
      <c r="BU114" s="8"/>
      <c r="BV114" s="8"/>
      <c r="BW114" s="8"/>
    </row>
    <row r="115" spans="1:75" ht="15" customHeight="1" x14ac:dyDescent="0.3">
      <c r="A115" s="56">
        <v>112</v>
      </c>
      <c r="B115" s="76" t="s">
        <v>186</v>
      </c>
      <c r="C115" s="56">
        <v>27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500000000</v>
      </c>
      <c r="BK115" s="3">
        <v>6000000000</v>
      </c>
      <c r="BL115" s="3">
        <v>100000000000</v>
      </c>
      <c r="BM115" s="3">
        <v>100000000000</v>
      </c>
      <c r="BN115" s="3">
        <v>100000000000</v>
      </c>
      <c r="BO115" s="3">
        <v>100000000000</v>
      </c>
      <c r="BP115" s="3">
        <v>100000000000</v>
      </c>
      <c r="BQ115" s="3"/>
      <c r="BR115" s="3"/>
      <c r="BS115" s="3"/>
      <c r="BT115" s="3"/>
      <c r="BU115" s="3"/>
      <c r="BV115" s="3"/>
      <c r="BW115" s="3"/>
    </row>
    <row r="116" spans="1:75" s="78" customFormat="1" ht="15" customHeight="1" x14ac:dyDescent="0.3">
      <c r="A116" s="56">
        <v>113</v>
      </c>
      <c r="B116" s="76" t="s">
        <v>187</v>
      </c>
      <c r="C116" s="56">
        <v>27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500000000</v>
      </c>
      <c r="BK116" s="3">
        <v>6000000000</v>
      </c>
      <c r="BL116" s="3">
        <v>100000000000</v>
      </c>
      <c r="BM116" s="3">
        <v>100000000000</v>
      </c>
      <c r="BN116" s="3">
        <v>100000000000</v>
      </c>
      <c r="BO116" s="3">
        <v>100000000000</v>
      </c>
      <c r="BP116" s="3">
        <v>100000000000</v>
      </c>
      <c r="BQ116" s="3"/>
      <c r="BR116" s="3"/>
      <c r="BS116" s="3"/>
      <c r="BT116" s="3"/>
      <c r="BU116" s="3"/>
      <c r="BV116" s="3"/>
      <c r="BW116" s="3"/>
    </row>
    <row r="117" spans="1:75" ht="15" customHeight="1" x14ac:dyDescent="0.3">
      <c r="A117" s="56">
        <v>114</v>
      </c>
      <c r="B117" s="76" t="s">
        <v>188</v>
      </c>
      <c r="C117" s="56">
        <v>27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ht="15" customHeight="1" x14ac:dyDescent="0.3">
      <c r="A118" s="56">
        <v>115</v>
      </c>
      <c r="B118" s="76" t="s">
        <v>189</v>
      </c>
      <c r="C118" s="56">
        <v>27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ht="15" customHeight="1" x14ac:dyDescent="0.3">
      <c r="A119" s="56">
        <v>116</v>
      </c>
      <c r="B119" s="76" t="s">
        <v>190</v>
      </c>
      <c r="C119" s="56">
        <v>27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ht="15" customHeight="1" x14ac:dyDescent="0.3">
      <c r="A120" s="56">
        <v>117</v>
      </c>
      <c r="B120" s="76" t="s">
        <v>191</v>
      </c>
      <c r="C120" s="56">
        <v>27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ht="15" customHeight="1" x14ac:dyDescent="0.3">
      <c r="A121" s="56">
        <v>118</v>
      </c>
      <c r="B121" s="76" t="s">
        <v>192</v>
      </c>
      <c r="C121" s="56">
        <v>27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ht="15" customHeight="1" x14ac:dyDescent="0.3">
      <c r="A122" s="56">
        <v>119</v>
      </c>
      <c r="B122" s="76" t="s">
        <v>193</v>
      </c>
      <c r="C122" s="56">
        <v>27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ht="15" customHeight="1" x14ac:dyDescent="0.3">
      <c r="A123" s="56">
        <v>120</v>
      </c>
      <c r="B123" s="76" t="s">
        <v>194</v>
      </c>
      <c r="C123" s="56">
        <v>27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ht="15" customHeight="1" x14ac:dyDescent="0.3">
      <c r="A124" s="56">
        <v>121</v>
      </c>
      <c r="B124" s="76" t="s">
        <v>195</v>
      </c>
      <c r="C124" s="56">
        <v>27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ht="15" customHeight="1" x14ac:dyDescent="0.3">
      <c r="A125" s="56">
        <v>122</v>
      </c>
      <c r="B125" s="76" t="s">
        <v>196</v>
      </c>
      <c r="C125" s="56">
        <v>27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ht="15" customHeight="1" x14ac:dyDescent="0.3">
      <c r="A126" s="79">
        <v>123</v>
      </c>
      <c r="B126" s="80" t="s">
        <v>197</v>
      </c>
      <c r="C126" s="79">
        <v>27</v>
      </c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>
        <v>-1888731</v>
      </c>
      <c r="BK126" s="12">
        <v>-1885414</v>
      </c>
      <c r="BL126" s="12">
        <f>BL127+BL128</f>
        <v>-19803812</v>
      </c>
      <c r="BM126" s="12">
        <f>BM127+BM128</f>
        <v>-19800732</v>
      </c>
      <c r="BN126" s="12">
        <f>BN127+BN128</f>
        <v>-21015919</v>
      </c>
      <c r="BO126" s="12">
        <f>BO127+BO128</f>
        <v>1076173118</v>
      </c>
      <c r="BP126" s="12">
        <f>BP127+BP128</f>
        <v>1076093577</v>
      </c>
      <c r="BQ126" s="12"/>
      <c r="BR126" s="12"/>
      <c r="BS126" s="12"/>
      <c r="BT126" s="12"/>
      <c r="BU126" s="12"/>
      <c r="BV126" s="12"/>
      <c r="BW126" s="12"/>
    </row>
    <row r="127" spans="1:75" ht="15" customHeight="1" x14ac:dyDescent="0.3">
      <c r="A127" s="56">
        <v>124</v>
      </c>
      <c r="B127" s="81" t="s">
        <v>198</v>
      </c>
      <c r="C127" s="56">
        <v>27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>
        <f>BJ126</f>
        <v>-1888731</v>
      </c>
      <c r="BL127" s="3">
        <f>BK126</f>
        <v>-1885414</v>
      </c>
      <c r="BM127" s="3">
        <f>BL126</f>
        <v>-19803812</v>
      </c>
      <c r="BN127" s="3">
        <f>BM126</f>
        <v>-19800732</v>
      </c>
      <c r="BO127" s="3">
        <f>BN126</f>
        <v>-21015919</v>
      </c>
      <c r="BP127" s="3">
        <f>BO126</f>
        <v>1076173118</v>
      </c>
      <c r="BQ127" s="3"/>
      <c r="BR127" s="3"/>
      <c r="BS127" s="3"/>
      <c r="BT127" s="3"/>
      <c r="BU127" s="3"/>
      <c r="BV127" s="3"/>
      <c r="BW127" s="3"/>
    </row>
    <row r="128" spans="1:75" ht="14.4" x14ac:dyDescent="0.3">
      <c r="A128" s="56">
        <v>125</v>
      </c>
      <c r="B128" s="81" t="s">
        <v>199</v>
      </c>
      <c r="C128" s="56">
        <v>27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-1888731</v>
      </c>
      <c r="BK128" s="3">
        <v>3317</v>
      </c>
      <c r="BL128" s="3">
        <v>-17918398</v>
      </c>
      <c r="BM128" s="3">
        <v>3080</v>
      </c>
      <c r="BN128" s="3">
        <v>-1215187</v>
      </c>
      <c r="BO128" s="3">
        <v>1097189037</v>
      </c>
      <c r="BP128" s="3">
        <f>'Ket qua kinh doanh'!BP23</f>
        <v>-79541</v>
      </c>
      <c r="BQ128" s="3"/>
      <c r="BR128" s="3"/>
      <c r="BS128" s="3"/>
      <c r="BT128" s="3"/>
      <c r="BU128" s="3"/>
      <c r="BV128" s="3"/>
      <c r="BW128" s="3"/>
    </row>
    <row r="129" spans="1:75" ht="15" customHeight="1" x14ac:dyDescent="0.3">
      <c r="A129" s="82">
        <v>126</v>
      </c>
      <c r="B129" s="83" t="s">
        <v>200</v>
      </c>
      <c r="C129" s="82">
        <v>27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>
        <v>498111269</v>
      </c>
      <c r="BK129" s="14">
        <v>5998114586</v>
      </c>
      <c r="BL129" s="14">
        <f>BL114+BL82</f>
        <v>99980196188</v>
      </c>
      <c r="BM129" s="14">
        <f>BM114+BM82</f>
        <v>99980199268</v>
      </c>
      <c r="BN129" s="14">
        <f>BN114+BN82</f>
        <v>99978984081</v>
      </c>
      <c r="BO129" s="14">
        <f>BO114+BO82</f>
        <v>101076173118</v>
      </c>
      <c r="BP129" s="14">
        <f>BP114+BP82</f>
        <v>101076190777</v>
      </c>
      <c r="BQ129" s="14"/>
      <c r="BR129" s="14"/>
      <c r="BS129" s="14"/>
      <c r="BT129" s="14"/>
      <c r="BU129" s="14"/>
      <c r="BV129" s="14"/>
      <c r="BW129" s="14"/>
    </row>
    <row r="130" spans="1:75" ht="15" customHeight="1" x14ac:dyDescent="0.3">
      <c r="A130" s="84"/>
      <c r="B130" s="85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/>
      <c r="BK130" s="86"/>
      <c r="BL130" s="86"/>
      <c r="BM130" s="86"/>
      <c r="BN130" s="86"/>
      <c r="BO130" s="86"/>
      <c r="BP130" s="86"/>
      <c r="BQ130" s="86"/>
      <c r="BR130" s="86"/>
      <c r="BS130" s="86"/>
      <c r="BT130" s="86"/>
      <c r="BU130" s="86"/>
      <c r="BV130" s="86"/>
      <c r="BW130" s="86"/>
    </row>
    <row r="131" spans="1:75" ht="15" customHeight="1" x14ac:dyDescent="0.3">
      <c r="A131" s="87"/>
      <c r="B131" s="88"/>
      <c r="C131" s="87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90"/>
      <c r="AY131" s="90"/>
      <c r="AZ131" s="90"/>
      <c r="BA131" s="90"/>
      <c r="BB131" s="90"/>
      <c r="BC131" s="90"/>
      <c r="BD131" s="90"/>
      <c r="BE131" s="90"/>
      <c r="BF131" s="90"/>
      <c r="BG131" s="90"/>
      <c r="BH131" s="90"/>
      <c r="BI131" s="90"/>
      <c r="BJ131" s="90"/>
      <c r="BK131" s="90"/>
      <c r="BL131" s="90"/>
      <c r="BM131" s="90"/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</row>
    <row r="132" spans="1:75" ht="15" customHeight="1" x14ac:dyDescent="0.3">
      <c r="A132" s="91"/>
      <c r="B132" s="44"/>
      <c r="C132" s="91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</row>
    <row r="133" spans="1:75" ht="15" customHeight="1" x14ac:dyDescent="0.3">
      <c r="A133" s="91"/>
      <c r="B133" s="44"/>
      <c r="C133" s="91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</row>
    <row r="134" spans="1:75" ht="15" customHeight="1" x14ac:dyDescent="0.3">
      <c r="A134" s="91"/>
      <c r="B134" s="44"/>
      <c r="C134" s="91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</row>
    <row r="135" spans="1:75" ht="15" customHeight="1" x14ac:dyDescent="0.3">
      <c r="A135" s="91"/>
      <c r="B135" s="44"/>
      <c r="C135" s="91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</row>
    <row r="136" spans="1:75" ht="14.4" x14ac:dyDescent="0.3">
      <c r="A136" s="91"/>
      <c r="B136" s="44"/>
      <c r="C136" s="91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</row>
    <row r="137" spans="1:75" ht="14.4" x14ac:dyDescent="0.3">
      <c r="A137" s="91"/>
      <c r="B137" s="44"/>
      <c r="C137" s="91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</row>
    <row r="138" spans="1:75" ht="14.4" x14ac:dyDescent="0.3">
      <c r="A138" s="91"/>
      <c r="B138" s="44"/>
      <c r="C138" s="91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</row>
    <row r="139" spans="1:75" ht="14.4" x14ac:dyDescent="0.3">
      <c r="A139" s="91"/>
      <c r="B139" s="44"/>
      <c r="C139" s="91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</row>
    <row r="140" spans="1:75" ht="15" customHeight="1" x14ac:dyDescent="0.3">
      <c r="A140" s="91"/>
      <c r="B140" s="44"/>
      <c r="C140" s="91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</row>
    <row r="141" spans="1:75" ht="15" customHeight="1" x14ac:dyDescent="0.3">
      <c r="A141" s="91"/>
      <c r="B141" s="44"/>
      <c r="C141" s="91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</row>
    <row r="142" spans="1:75" ht="15" customHeight="1" x14ac:dyDescent="0.3">
      <c r="A142" s="91"/>
      <c r="B142" s="44"/>
      <c r="C142" s="91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</row>
    <row r="143" spans="1:75" ht="15" customHeight="1" x14ac:dyDescent="0.3">
      <c r="A143" s="91"/>
      <c r="B143" s="44"/>
      <c r="C143" s="91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</row>
    <row r="144" spans="1:75" ht="15" customHeight="1" x14ac:dyDescent="0.3">
      <c r="A144" s="91"/>
      <c r="B144" s="44"/>
      <c r="C144" s="91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</row>
    <row r="145" spans="1:3" s="44" customFormat="1" ht="14.4" x14ac:dyDescent="0.3">
      <c r="A145" s="91"/>
      <c r="C145" s="91"/>
    </row>
    <row r="146" spans="1:3" s="44" customFormat="1" ht="14.4" x14ac:dyDescent="0.3">
      <c r="A146" s="91"/>
      <c r="C146" s="91"/>
    </row>
    <row r="147" spans="1:3" s="44" customFormat="1" ht="15" customHeight="1" x14ac:dyDescent="0.3">
      <c r="A147" s="91"/>
      <c r="C147" s="91"/>
    </row>
    <row r="148" spans="1:3" s="44" customFormat="1" ht="15" customHeight="1" x14ac:dyDescent="0.3">
      <c r="A148" s="91"/>
      <c r="C148" s="91"/>
    </row>
    <row r="149" spans="1:3" s="44" customFormat="1" ht="15" customHeight="1" x14ac:dyDescent="0.3">
      <c r="A149" s="91"/>
      <c r="C149" s="91"/>
    </row>
    <row r="150" spans="1:3" s="44" customFormat="1" ht="15" customHeight="1" x14ac:dyDescent="0.3">
      <c r="A150" s="91"/>
      <c r="C150" s="91"/>
    </row>
    <row r="151" spans="1:3" s="44" customFormat="1" ht="15" customHeight="1" x14ac:dyDescent="0.3">
      <c r="A151" s="91"/>
      <c r="C151" s="91"/>
    </row>
    <row r="152" spans="1:3" s="44" customFormat="1" ht="15" customHeight="1" x14ac:dyDescent="0.3">
      <c r="A152" s="91"/>
      <c r="C152" s="91"/>
    </row>
    <row r="153" spans="1:3" s="44" customFormat="1" ht="15" customHeight="1" x14ac:dyDescent="0.3">
      <c r="A153" s="91"/>
      <c r="C153" s="91"/>
    </row>
    <row r="154" spans="1:3" s="44" customFormat="1" ht="15" customHeight="1" x14ac:dyDescent="0.3">
      <c r="A154" s="91"/>
      <c r="C154" s="91"/>
    </row>
    <row r="155" spans="1:3" s="44" customFormat="1" ht="15" customHeight="1" x14ac:dyDescent="0.3">
      <c r="A155" s="91"/>
      <c r="C155" s="91"/>
    </row>
    <row r="156" spans="1:3" s="44" customFormat="1" ht="15" customHeight="1" x14ac:dyDescent="0.3">
      <c r="A156" s="91"/>
      <c r="C156" s="91"/>
    </row>
    <row r="157" spans="1:3" s="44" customFormat="1" ht="15" customHeight="1" x14ac:dyDescent="0.3">
      <c r="A157" s="91"/>
      <c r="C157" s="91"/>
    </row>
    <row r="158" spans="1:3" s="44" customFormat="1" ht="15" customHeight="1" x14ac:dyDescent="0.3">
      <c r="A158" s="91"/>
      <c r="C158" s="91"/>
    </row>
    <row r="159" spans="1:3" s="44" customFormat="1" ht="15" customHeight="1" x14ac:dyDescent="0.3">
      <c r="A159" s="91"/>
      <c r="C159" s="91"/>
    </row>
    <row r="160" spans="1:3" s="44" customFormat="1" ht="15" customHeight="1" x14ac:dyDescent="0.3">
      <c r="A160" s="91"/>
      <c r="C160" s="91"/>
    </row>
    <row r="161" spans="1:75" ht="15" customHeight="1" x14ac:dyDescent="0.3">
      <c r="A161" s="91"/>
      <c r="B161" s="44"/>
      <c r="C161" s="91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  <c r="BF161" s="44"/>
      <c r="BG161" s="44"/>
      <c r="BH161" s="44"/>
      <c r="BI161" s="44"/>
      <c r="BJ161" s="44"/>
      <c r="BK161" s="44"/>
      <c r="BL161" s="44"/>
      <c r="BM161" s="44"/>
      <c r="BN161" s="44"/>
      <c r="BO161" s="44"/>
      <c r="BP161" s="44"/>
      <c r="BQ161" s="44"/>
      <c r="BR161" s="44"/>
      <c r="BS161" s="44"/>
      <c r="BT161" s="44"/>
      <c r="BU161" s="44"/>
      <c r="BV161" s="44"/>
      <c r="BW161" s="44"/>
    </row>
    <row r="162" spans="1:75" ht="15" customHeight="1" x14ac:dyDescent="0.3">
      <c r="A162" s="91"/>
      <c r="B162" s="44"/>
      <c r="C162" s="91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</row>
    <row r="163" spans="1:75" ht="15" customHeight="1" x14ac:dyDescent="0.3">
      <c r="A163" s="91"/>
      <c r="B163" s="44"/>
      <c r="C163" s="91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</row>
    <row r="164" spans="1:75" ht="15" customHeight="1" x14ac:dyDescent="0.3">
      <c r="A164" s="91"/>
      <c r="B164" s="44"/>
      <c r="C164" s="91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</row>
    <row r="165" spans="1:75" ht="15" customHeight="1" x14ac:dyDescent="0.3">
      <c r="A165" s="91"/>
      <c r="B165" s="44"/>
      <c r="C165" s="91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</row>
    <row r="166" spans="1:75" ht="15" customHeight="1" x14ac:dyDescent="0.3">
      <c r="A166" s="91"/>
      <c r="B166" s="44"/>
      <c r="C166" s="91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</row>
    <row r="167" spans="1:75" ht="15" customHeight="1" x14ac:dyDescent="0.3">
      <c r="A167" s="91"/>
      <c r="B167" s="44"/>
      <c r="C167" s="91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</row>
    <row r="168" spans="1:75" ht="15" customHeight="1" x14ac:dyDescent="0.3">
      <c r="A168" s="91"/>
      <c r="B168" s="44"/>
      <c r="C168" s="91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</row>
    <row r="169" spans="1:75" ht="15" customHeight="1" x14ac:dyDescent="0.3">
      <c r="A169" s="91"/>
      <c r="B169" s="44"/>
      <c r="C169" s="91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</row>
    <row r="170" spans="1:75" ht="15" customHeight="1" x14ac:dyDescent="0.3">
      <c r="A170" s="91"/>
      <c r="B170" s="44"/>
      <c r="C170" s="91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</row>
    <row r="171" spans="1:75" ht="15" customHeight="1" x14ac:dyDescent="0.3">
      <c r="A171" s="91"/>
      <c r="B171" s="44"/>
      <c r="C171" s="91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</row>
    <row r="172" spans="1:75" ht="15" customHeight="1" x14ac:dyDescent="0.3">
      <c r="A172" s="91"/>
      <c r="B172" s="44"/>
      <c r="C172" s="91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</row>
    <row r="173" spans="1:75" ht="15" customHeight="1" x14ac:dyDescent="0.3">
      <c r="A173" s="91"/>
      <c r="B173" s="44"/>
      <c r="C173" s="91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</row>
    <row r="174" spans="1:75" ht="15" customHeight="1" x14ac:dyDescent="0.3">
      <c r="A174" s="92"/>
      <c r="C174" s="92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  <c r="AS174" s="94"/>
      <c r="AT174" s="94"/>
      <c r="AU174" s="94"/>
      <c r="AV174" s="94"/>
      <c r="AW174" s="94"/>
      <c r="AX174" s="94"/>
      <c r="AY174" s="94"/>
      <c r="AZ174" s="94"/>
      <c r="BA174" s="94"/>
      <c r="BB174" s="94"/>
      <c r="BC174" s="94"/>
      <c r="BD174" s="94"/>
      <c r="BE174" s="94"/>
      <c r="BF174" s="94"/>
      <c r="BG174" s="94"/>
      <c r="BH174" s="94"/>
      <c r="BI174" s="94"/>
      <c r="BJ174" s="94"/>
      <c r="BK174" s="94"/>
      <c r="BL174" s="94"/>
      <c r="BM174" s="94"/>
      <c r="BN174" s="94"/>
      <c r="BO174" s="94"/>
      <c r="BP174" s="94"/>
      <c r="BQ174" s="94"/>
      <c r="BR174" s="94"/>
      <c r="BS174" s="94"/>
      <c r="BT174" s="94"/>
      <c r="BU174" s="94"/>
      <c r="BV174" s="94"/>
      <c r="BW174" s="94"/>
    </row>
    <row r="175" spans="1:75" ht="15" customHeight="1" x14ac:dyDescent="0.3">
      <c r="A175" s="91"/>
      <c r="B175" s="44"/>
      <c r="C175" s="91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</row>
    <row r="176" spans="1:75" ht="15" customHeight="1" x14ac:dyDescent="0.3">
      <c r="A176" s="91"/>
      <c r="B176" s="44"/>
      <c r="C176" s="91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</row>
    <row r="177" spans="1:3" s="44" customFormat="1" ht="15" customHeight="1" x14ac:dyDescent="0.3">
      <c r="A177" s="91"/>
      <c r="C177" s="91"/>
    </row>
    <row r="178" spans="1:3" s="44" customFormat="1" ht="32.4" customHeight="1" x14ac:dyDescent="0.3">
      <c r="A178" s="91"/>
      <c r="C178" s="91"/>
    </row>
    <row r="179" spans="1:3" s="44" customFormat="1" ht="15" customHeight="1" x14ac:dyDescent="0.3">
      <c r="A179" s="91"/>
      <c r="C179" s="91"/>
    </row>
    <row r="180" spans="1:3" s="44" customFormat="1" ht="15" customHeight="1" x14ac:dyDescent="0.3">
      <c r="A180" s="91"/>
      <c r="C180" s="91"/>
    </row>
    <row r="181" spans="1:3" s="44" customFormat="1" ht="15" customHeight="1" x14ac:dyDescent="0.3">
      <c r="A181" s="91"/>
      <c r="C181" s="91"/>
    </row>
    <row r="182" spans="1:3" s="44" customFormat="1" ht="15" customHeight="1" x14ac:dyDescent="0.3">
      <c r="A182" s="91"/>
      <c r="C182" s="91"/>
    </row>
    <row r="183" spans="1:3" s="44" customFormat="1" ht="15" customHeight="1" x14ac:dyDescent="0.3">
      <c r="A183" s="91"/>
      <c r="C183" s="91"/>
    </row>
    <row r="184" spans="1:3" s="44" customFormat="1" ht="15" customHeight="1" x14ac:dyDescent="0.3">
      <c r="A184" s="91"/>
      <c r="C184" s="91"/>
    </row>
    <row r="185" spans="1:3" s="44" customFormat="1" ht="15" customHeight="1" x14ac:dyDescent="0.3">
      <c r="A185" s="91"/>
      <c r="C185" s="91"/>
    </row>
    <row r="186" spans="1:3" s="44" customFormat="1" ht="15" customHeight="1" x14ac:dyDescent="0.3">
      <c r="A186" s="91"/>
      <c r="C186" s="91"/>
    </row>
    <row r="187" spans="1:3" s="44" customFormat="1" ht="15" customHeight="1" x14ac:dyDescent="0.3">
      <c r="A187" s="91"/>
      <c r="C187" s="91"/>
    </row>
    <row r="188" spans="1:3" s="44" customFormat="1" ht="15" customHeight="1" x14ac:dyDescent="0.3">
      <c r="A188" s="91"/>
      <c r="C188" s="91"/>
    </row>
    <row r="189" spans="1:3" s="44" customFormat="1" ht="15" customHeight="1" x14ac:dyDescent="0.3">
      <c r="A189" s="91"/>
      <c r="C189" s="91"/>
    </row>
    <row r="190" spans="1:3" s="44" customFormat="1" ht="15" customHeight="1" x14ac:dyDescent="0.3">
      <c r="A190" s="91"/>
      <c r="C190" s="91"/>
    </row>
    <row r="191" spans="1:3" s="44" customFormat="1" ht="15" customHeight="1" x14ac:dyDescent="0.3">
      <c r="A191" s="91"/>
      <c r="C191" s="91"/>
    </row>
    <row r="192" spans="1:3" s="44" customFormat="1" ht="15" customHeight="1" x14ac:dyDescent="0.3">
      <c r="A192" s="91"/>
      <c r="C192" s="91"/>
    </row>
    <row r="193" spans="1:3" s="44" customFormat="1" ht="15" customHeight="1" x14ac:dyDescent="0.3">
      <c r="A193" s="91"/>
      <c r="C193" s="91"/>
    </row>
    <row r="194" spans="1:3" s="44" customFormat="1" ht="15" customHeight="1" x14ac:dyDescent="0.3">
      <c r="A194" s="91"/>
      <c r="C194" s="91"/>
    </row>
    <row r="195" spans="1:3" s="44" customFormat="1" ht="15" customHeight="1" x14ac:dyDescent="0.3">
      <c r="A195" s="91"/>
      <c r="C195" s="91"/>
    </row>
    <row r="196" spans="1:3" s="44" customFormat="1" ht="15" customHeight="1" x14ac:dyDescent="0.3">
      <c r="A196" s="91"/>
      <c r="C196" s="91"/>
    </row>
    <row r="197" spans="1:3" s="44" customFormat="1" ht="15" customHeight="1" x14ac:dyDescent="0.3">
      <c r="A197" s="91"/>
      <c r="C197" s="91"/>
    </row>
    <row r="198" spans="1:3" s="44" customFormat="1" ht="15" customHeight="1" x14ac:dyDescent="0.3">
      <c r="A198" s="91"/>
      <c r="C198" s="91"/>
    </row>
    <row r="199" spans="1:3" s="44" customFormat="1" ht="15" customHeight="1" x14ac:dyDescent="0.3">
      <c r="A199" s="91"/>
      <c r="C199" s="91"/>
    </row>
    <row r="200" spans="1:3" s="44" customFormat="1" ht="15" customHeight="1" x14ac:dyDescent="0.3">
      <c r="A200" s="91"/>
      <c r="C200" s="91"/>
    </row>
    <row r="201" spans="1:3" s="44" customFormat="1" ht="15" customHeight="1" x14ac:dyDescent="0.3">
      <c r="A201" s="91"/>
      <c r="C201" s="91"/>
    </row>
    <row r="202" spans="1:3" s="44" customFormat="1" ht="15" customHeight="1" x14ac:dyDescent="0.3">
      <c r="A202" s="91"/>
      <c r="C202" s="91"/>
    </row>
    <row r="203" spans="1:3" s="44" customFormat="1" ht="15" customHeight="1" x14ac:dyDescent="0.3">
      <c r="A203" s="91"/>
      <c r="C203" s="91"/>
    </row>
    <row r="204" spans="1:3" s="44" customFormat="1" ht="15" customHeight="1" x14ac:dyDescent="0.3">
      <c r="A204" s="91"/>
      <c r="C204" s="91"/>
    </row>
    <row r="205" spans="1:3" s="44" customFormat="1" ht="15" customHeight="1" x14ac:dyDescent="0.3">
      <c r="A205" s="91"/>
      <c r="C205" s="91"/>
    </row>
    <row r="206" spans="1:3" s="44" customFormat="1" ht="15" customHeight="1" x14ac:dyDescent="0.3">
      <c r="A206" s="91"/>
      <c r="C206" s="91"/>
    </row>
    <row r="207" spans="1:3" s="44" customFormat="1" ht="15" customHeight="1" x14ac:dyDescent="0.3">
      <c r="A207" s="91"/>
      <c r="C207" s="91"/>
    </row>
    <row r="208" spans="1:3" s="44" customFormat="1" ht="15" customHeight="1" x14ac:dyDescent="0.3">
      <c r="A208" s="91"/>
      <c r="C208" s="91"/>
    </row>
    <row r="209" spans="1:3" s="44" customFormat="1" ht="15" customHeight="1" x14ac:dyDescent="0.3">
      <c r="A209" s="91"/>
      <c r="C209" s="91"/>
    </row>
    <row r="210" spans="1:3" s="44" customFormat="1" ht="15" customHeight="1" x14ac:dyDescent="0.3">
      <c r="A210" s="91"/>
      <c r="C210" s="91"/>
    </row>
    <row r="211" spans="1:3" s="44" customFormat="1" ht="15" customHeight="1" x14ac:dyDescent="0.3">
      <c r="A211" s="91"/>
      <c r="C211" s="91"/>
    </row>
    <row r="212" spans="1:3" s="44" customFormat="1" ht="15" customHeight="1" x14ac:dyDescent="0.3">
      <c r="A212" s="91"/>
      <c r="C212" s="91"/>
    </row>
    <row r="213" spans="1:3" s="44" customFormat="1" ht="15" customHeight="1" x14ac:dyDescent="0.3">
      <c r="A213" s="91"/>
      <c r="C213" s="91"/>
    </row>
    <row r="214" spans="1:3" s="44" customFormat="1" ht="15" customHeight="1" x14ac:dyDescent="0.3">
      <c r="A214" s="91"/>
      <c r="C214" s="91"/>
    </row>
    <row r="215" spans="1:3" s="44" customFormat="1" ht="15" customHeight="1" x14ac:dyDescent="0.3">
      <c r="A215" s="91"/>
      <c r="C215" s="91"/>
    </row>
    <row r="216" spans="1:3" s="44" customFormat="1" ht="15" customHeight="1" x14ac:dyDescent="0.3">
      <c r="A216" s="91"/>
      <c r="C216" s="91"/>
    </row>
    <row r="217" spans="1:3" s="44" customFormat="1" ht="15" customHeight="1" x14ac:dyDescent="0.3">
      <c r="A217" s="91"/>
      <c r="C217" s="91"/>
    </row>
    <row r="218" spans="1:3" s="44" customFormat="1" ht="15" customHeight="1" x14ac:dyDescent="0.3">
      <c r="A218" s="91"/>
      <c r="C218" s="91"/>
    </row>
    <row r="219" spans="1:3" s="44" customFormat="1" ht="15" customHeight="1" x14ac:dyDescent="0.3">
      <c r="A219" s="91"/>
      <c r="C219" s="91"/>
    </row>
    <row r="220" spans="1:3" s="44" customFormat="1" ht="15" customHeight="1" x14ac:dyDescent="0.3">
      <c r="A220" s="91"/>
      <c r="C220" s="91"/>
    </row>
    <row r="221" spans="1:3" s="44" customFormat="1" ht="15" customHeight="1" x14ac:dyDescent="0.3">
      <c r="A221" s="91"/>
      <c r="C221" s="91"/>
    </row>
    <row r="222" spans="1:3" s="44" customFormat="1" ht="15" customHeight="1" x14ac:dyDescent="0.3">
      <c r="A222" s="91"/>
      <c r="C222" s="91"/>
    </row>
    <row r="223" spans="1:3" s="44" customFormat="1" ht="15" customHeight="1" x14ac:dyDescent="0.3">
      <c r="A223" s="91"/>
      <c r="C223" s="91"/>
    </row>
    <row r="224" spans="1:3" s="44" customFormat="1" ht="15" customHeight="1" x14ac:dyDescent="0.3">
      <c r="A224" s="91"/>
      <c r="C224" s="91"/>
    </row>
    <row r="225" spans="1:75" ht="15" customHeight="1" x14ac:dyDescent="0.3">
      <c r="A225" s="91"/>
      <c r="B225" s="44"/>
      <c r="C225" s="91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  <c r="BH225" s="44"/>
      <c r="BI225" s="44"/>
      <c r="BJ225" s="44"/>
      <c r="BK225" s="44"/>
      <c r="BL225" s="44"/>
      <c r="BM225" s="44"/>
      <c r="BN225" s="44"/>
      <c r="BO225" s="44"/>
      <c r="BP225" s="44"/>
      <c r="BQ225" s="44"/>
      <c r="BR225" s="44"/>
      <c r="BS225" s="44"/>
      <c r="BT225" s="44"/>
      <c r="BU225" s="44"/>
      <c r="BV225" s="44"/>
      <c r="BW225" s="44"/>
    </row>
    <row r="226" spans="1:75" ht="15" customHeight="1" x14ac:dyDescent="0.3">
      <c r="A226" s="91"/>
      <c r="B226" s="44"/>
      <c r="C226" s="91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4"/>
      <c r="BK226" s="44"/>
      <c r="BL226" s="44"/>
      <c r="BM226" s="44"/>
      <c r="BN226" s="44"/>
      <c r="BO226" s="44"/>
      <c r="BP226" s="44"/>
      <c r="BQ226" s="44"/>
      <c r="BR226" s="44"/>
      <c r="BS226" s="44"/>
      <c r="BT226" s="44"/>
      <c r="BU226" s="44"/>
      <c r="BV226" s="44"/>
      <c r="BW226" s="44"/>
    </row>
    <row r="227" spans="1:75" ht="15" customHeight="1" x14ac:dyDescent="0.3">
      <c r="A227" s="91"/>
      <c r="B227" s="44"/>
      <c r="C227" s="91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  <c r="BI227" s="44"/>
      <c r="BJ227" s="44"/>
      <c r="BK227" s="44"/>
      <c r="BL227" s="44"/>
      <c r="BM227" s="44"/>
      <c r="BN227" s="44"/>
      <c r="BO227" s="44"/>
      <c r="BP227" s="44"/>
      <c r="BQ227" s="44"/>
      <c r="BR227" s="44"/>
      <c r="BS227" s="44"/>
      <c r="BT227" s="44"/>
      <c r="BU227" s="44"/>
      <c r="BV227" s="44"/>
      <c r="BW227" s="44"/>
    </row>
    <row r="228" spans="1:75" ht="15" customHeight="1" x14ac:dyDescent="0.3">
      <c r="A228" s="91"/>
      <c r="B228" s="44"/>
      <c r="C228" s="91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44"/>
      <c r="BP228" s="44"/>
      <c r="BQ228" s="44"/>
      <c r="BR228" s="44"/>
      <c r="BS228" s="44"/>
      <c r="BT228" s="44"/>
      <c r="BU228" s="44"/>
      <c r="BV228" s="44"/>
      <c r="BW228" s="44"/>
    </row>
    <row r="229" spans="1:75" ht="15" customHeight="1" x14ac:dyDescent="0.3">
      <c r="A229" s="91"/>
      <c r="B229" s="44"/>
      <c r="C229" s="91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  <c r="BH229" s="44"/>
      <c r="BI229" s="44"/>
      <c r="BJ229" s="44"/>
      <c r="BK229" s="44"/>
      <c r="BL229" s="44"/>
      <c r="BM229" s="44"/>
      <c r="BN229" s="44"/>
      <c r="BO229" s="44"/>
      <c r="BP229" s="44"/>
      <c r="BQ229" s="44"/>
      <c r="BR229" s="44"/>
      <c r="BS229" s="44"/>
      <c r="BT229" s="44"/>
      <c r="BU229" s="44"/>
      <c r="BV229" s="44"/>
      <c r="BW229" s="44"/>
    </row>
    <row r="230" spans="1:75" ht="15" customHeight="1" x14ac:dyDescent="0.3">
      <c r="A230" s="95"/>
      <c r="B230" s="96"/>
      <c r="C230" s="95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  <c r="AA230" s="97"/>
      <c r="AB230" s="97"/>
      <c r="AC230" s="97"/>
      <c r="AD230" s="97"/>
      <c r="AE230" s="97"/>
      <c r="AF230" s="97"/>
      <c r="AG230" s="97"/>
      <c r="AH230" s="97"/>
      <c r="AI230" s="97"/>
      <c r="AJ230" s="97"/>
      <c r="AK230" s="97"/>
      <c r="AL230" s="97"/>
      <c r="AM230" s="97"/>
      <c r="AN230" s="97"/>
      <c r="AO230" s="97"/>
      <c r="AP230" s="97"/>
      <c r="AQ230" s="97"/>
      <c r="AR230" s="97"/>
      <c r="AS230" s="97"/>
      <c r="AT230" s="97"/>
      <c r="AU230" s="97"/>
      <c r="AV230" s="97"/>
      <c r="AW230" s="97"/>
      <c r="AX230" s="97"/>
      <c r="AY230" s="97"/>
      <c r="AZ230" s="97"/>
      <c r="BA230" s="97"/>
      <c r="BB230" s="97"/>
      <c r="BC230" s="97"/>
      <c r="BD230" s="97"/>
      <c r="BE230" s="97"/>
      <c r="BF230" s="97"/>
      <c r="BG230" s="97"/>
      <c r="BH230" s="97"/>
      <c r="BI230" s="97"/>
      <c r="BJ230" s="97"/>
      <c r="BK230" s="97"/>
      <c r="BL230" s="97"/>
      <c r="BM230" s="97"/>
      <c r="BN230" s="97"/>
      <c r="BO230" s="97"/>
      <c r="BP230" s="97"/>
      <c r="BQ230" s="97"/>
      <c r="BR230" s="97"/>
      <c r="BS230" s="97"/>
      <c r="BT230" s="97"/>
      <c r="BU230" s="97"/>
      <c r="BV230" s="97"/>
      <c r="BW230" s="97"/>
    </row>
  </sheetData>
  <sheetProtection algorithmName="SHA-512" hashValue="RCgJg9zv/BveNDOdXHwTeBUQJskWGG0wvKDSJ64rBGTsD7LQeWuRmCq5xMBAjntcUJadsYKylub/DmrOJvVrig==" saltValue="woX/ZBsCpUD52kj/2PKdSw==" spinCount="100000" sheet="1" objects="1" scenarios="1"/>
  <protectedRanges>
    <protectedRange sqref="D4:BW129" name="BS"/>
  </protectedRanges>
  <pageMargins left="0.18" right="0.2" top="0.18" bottom="0.16" header="0.17" footer="0.16"/>
  <pageSetup paperSize="9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5B5-6ABF-4BAE-85CF-8B4B485C6CD9}">
  <sheetPr>
    <tabColor theme="9" tint="0.59999389629810485"/>
  </sheetPr>
  <dimension ref="A1:BW23"/>
  <sheetViews>
    <sheetView showGridLines="0" zoomScale="80" zoomScaleNormal="80" workbookViewId="0">
      <pane xSplit="3" ySplit="3" topLeftCell="BK7" activePane="bottomRight" state="frozen"/>
      <selection activeCell="D8" sqref="D8:E8"/>
      <selection pane="topRight" activeCell="D8" sqref="D8:E8"/>
      <selection pane="bottomLeft" activeCell="D8" sqref="D8:E8"/>
      <selection pane="bottomRight" activeCell="BO30" sqref="BO30"/>
    </sheetView>
  </sheetViews>
  <sheetFormatPr defaultRowHeight="14.4" x14ac:dyDescent="0.3"/>
  <cols>
    <col min="1" max="1" width="7.33203125" style="99" hidden="1" customWidth="1"/>
    <col min="2" max="2" width="56" bestFit="1" customWidth="1"/>
    <col min="3" max="3" width="11.33203125" style="99" hidden="1" customWidth="1"/>
    <col min="4" max="51" width="15.44140625" hidden="1" customWidth="1"/>
    <col min="52" max="75" width="15.44140625" customWidth="1"/>
  </cols>
  <sheetData>
    <row r="1" spans="1:75" ht="17.399999999999999" x14ac:dyDescent="0.3">
      <c r="B1" s="42" t="s">
        <v>337</v>
      </c>
    </row>
    <row r="2" spans="1:75" x14ac:dyDescent="0.3">
      <c r="B2" s="45" t="s">
        <v>0</v>
      </c>
    </row>
    <row r="3" spans="1:75" ht="27.6" x14ac:dyDescent="0.3">
      <c r="A3" s="100" t="s">
        <v>201</v>
      </c>
      <c r="B3" s="101" t="s">
        <v>202</v>
      </c>
      <c r="C3" s="100" t="s">
        <v>3</v>
      </c>
      <c r="D3" s="102" t="s">
        <v>4</v>
      </c>
      <c r="E3" s="102" t="s">
        <v>5</v>
      </c>
      <c r="F3" s="102" t="s">
        <v>6</v>
      </c>
      <c r="G3" s="102" t="s">
        <v>7</v>
      </c>
      <c r="H3" s="102" t="s">
        <v>8</v>
      </c>
      <c r="I3" s="102" t="s">
        <v>9</v>
      </c>
      <c r="J3" s="102" t="s">
        <v>10</v>
      </c>
      <c r="K3" s="102" t="s">
        <v>11</v>
      </c>
      <c r="L3" s="102" t="s">
        <v>12</v>
      </c>
      <c r="M3" s="102" t="s">
        <v>13</v>
      </c>
      <c r="N3" s="102" t="s">
        <v>14</v>
      </c>
      <c r="O3" s="102" t="s">
        <v>15</v>
      </c>
      <c r="P3" s="102" t="s">
        <v>16</v>
      </c>
      <c r="Q3" s="102" t="s">
        <v>17</v>
      </c>
      <c r="R3" s="102" t="s">
        <v>18</v>
      </c>
      <c r="S3" s="102" t="s">
        <v>19</v>
      </c>
      <c r="T3" s="102" t="s">
        <v>20</v>
      </c>
      <c r="U3" s="102" t="s">
        <v>21</v>
      </c>
      <c r="V3" s="102" t="s">
        <v>22</v>
      </c>
      <c r="W3" s="102" t="s">
        <v>23</v>
      </c>
      <c r="X3" s="102" t="s">
        <v>24</v>
      </c>
      <c r="Y3" s="102" t="s">
        <v>25</v>
      </c>
      <c r="Z3" s="102" t="s">
        <v>26</v>
      </c>
      <c r="AA3" s="102" t="s">
        <v>27</v>
      </c>
      <c r="AB3" s="102" t="s">
        <v>28</v>
      </c>
      <c r="AC3" s="102" t="s">
        <v>29</v>
      </c>
      <c r="AD3" s="102" t="s">
        <v>30</v>
      </c>
      <c r="AE3" s="102" t="s">
        <v>31</v>
      </c>
      <c r="AF3" s="102" t="s">
        <v>32</v>
      </c>
      <c r="AG3" s="102" t="s">
        <v>33</v>
      </c>
      <c r="AH3" s="102" t="s">
        <v>34</v>
      </c>
      <c r="AI3" s="102" t="s">
        <v>35</v>
      </c>
      <c r="AJ3" s="102" t="s">
        <v>36</v>
      </c>
      <c r="AK3" s="102" t="s">
        <v>37</v>
      </c>
      <c r="AL3" s="102" t="s">
        <v>38</v>
      </c>
      <c r="AM3" s="102" t="s">
        <v>39</v>
      </c>
      <c r="AN3" s="102" t="s">
        <v>40</v>
      </c>
      <c r="AO3" s="102" t="s">
        <v>41</v>
      </c>
      <c r="AP3" s="102" t="s">
        <v>42</v>
      </c>
      <c r="AQ3" s="102" t="s">
        <v>43</v>
      </c>
      <c r="AR3" s="102" t="s">
        <v>44</v>
      </c>
      <c r="AS3" s="102" t="s">
        <v>45</v>
      </c>
      <c r="AT3" s="102" t="s">
        <v>46</v>
      </c>
      <c r="AU3" s="102" t="s">
        <v>47</v>
      </c>
      <c r="AV3" s="102" t="s">
        <v>48</v>
      </c>
      <c r="AW3" s="102" t="s">
        <v>49</v>
      </c>
      <c r="AX3" s="102" t="s">
        <v>50</v>
      </c>
      <c r="AY3" s="102" t="s">
        <v>51</v>
      </c>
      <c r="AZ3" s="102" t="s">
        <v>52</v>
      </c>
      <c r="BA3" s="102" t="s">
        <v>53</v>
      </c>
      <c r="BB3" s="102" t="s">
        <v>54</v>
      </c>
      <c r="BC3" s="102" t="s">
        <v>55</v>
      </c>
      <c r="BD3" s="102" t="s">
        <v>56</v>
      </c>
      <c r="BE3" s="102" t="s">
        <v>57</v>
      </c>
      <c r="BF3" s="102" t="s">
        <v>58</v>
      </c>
      <c r="BG3" s="102" t="s">
        <v>59</v>
      </c>
      <c r="BH3" s="102" t="s">
        <v>60</v>
      </c>
      <c r="BI3" s="102" t="s">
        <v>61</v>
      </c>
      <c r="BJ3" s="102" t="s">
        <v>62</v>
      </c>
      <c r="BK3" s="102" t="s">
        <v>63</v>
      </c>
      <c r="BL3" s="102" t="s">
        <v>64</v>
      </c>
      <c r="BM3" s="102" t="s">
        <v>65</v>
      </c>
      <c r="BN3" s="102" t="s">
        <v>66</v>
      </c>
      <c r="BO3" s="102" t="s">
        <v>67</v>
      </c>
      <c r="BP3" s="102" t="s">
        <v>68</v>
      </c>
      <c r="BQ3" s="102" t="s">
        <v>69</v>
      </c>
      <c r="BR3" s="102" t="s">
        <v>70</v>
      </c>
      <c r="BS3" s="102" t="s">
        <v>71</v>
      </c>
      <c r="BT3" s="102" t="s">
        <v>72</v>
      </c>
      <c r="BU3" s="102" t="s">
        <v>73</v>
      </c>
      <c r="BV3" s="102" t="s">
        <v>74</v>
      </c>
      <c r="BW3" s="102" t="s">
        <v>75</v>
      </c>
    </row>
    <row r="4" spans="1:75" x14ac:dyDescent="0.3">
      <c r="A4" s="103">
        <v>1</v>
      </c>
      <c r="B4" s="104" t="s">
        <v>203</v>
      </c>
      <c r="C4" s="103">
        <v>27</v>
      </c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3"/>
      <c r="AQ4" s="113"/>
      <c r="AR4" s="113"/>
      <c r="AS4" s="113"/>
      <c r="AT4" s="113"/>
      <c r="AU4" s="113"/>
      <c r="AV4" s="113"/>
      <c r="AW4" s="113"/>
      <c r="AX4" s="114"/>
      <c r="AY4" s="115"/>
      <c r="AZ4" s="112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</row>
    <row r="5" spans="1:75" x14ac:dyDescent="0.3">
      <c r="A5" s="60">
        <v>2</v>
      </c>
      <c r="B5" s="105" t="s">
        <v>204</v>
      </c>
      <c r="C5" s="60">
        <v>27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 spans="1:75" x14ac:dyDescent="0.3">
      <c r="A6" s="56">
        <v>3</v>
      </c>
      <c r="B6" s="106" t="s">
        <v>205</v>
      </c>
      <c r="C6" s="56">
        <v>27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15"/>
      <c r="AR6" s="15"/>
      <c r="AS6" s="15"/>
      <c r="AT6" s="15"/>
      <c r="AU6" s="15"/>
      <c r="AV6" s="15"/>
      <c r="AW6" s="15"/>
      <c r="AX6" s="15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</row>
    <row r="7" spans="1:75" x14ac:dyDescent="0.3">
      <c r="A7" s="107">
        <v>4</v>
      </c>
      <c r="B7" s="105" t="s">
        <v>206</v>
      </c>
      <c r="C7" s="107">
        <v>27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</row>
    <row r="8" spans="1:75" ht="15.6" x14ac:dyDescent="0.3">
      <c r="A8" s="108">
        <v>5</v>
      </c>
      <c r="B8" s="106" t="s">
        <v>207</v>
      </c>
      <c r="C8" s="108">
        <v>27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3"/>
      <c r="AP8" s="3"/>
      <c r="AQ8" s="19"/>
      <c r="AR8" s="19"/>
      <c r="AS8" s="19"/>
      <c r="AT8" s="19"/>
      <c r="AU8" s="19"/>
      <c r="AV8" s="19"/>
      <c r="AW8" s="19"/>
      <c r="AX8" s="20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</row>
    <row r="9" spans="1:75" x14ac:dyDescent="0.3">
      <c r="A9" s="109">
        <v>6</v>
      </c>
      <c r="B9" s="105" t="s">
        <v>623</v>
      </c>
      <c r="C9" s="109">
        <v>27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</row>
    <row r="10" spans="1:75" x14ac:dyDescent="0.3">
      <c r="A10" s="109">
        <v>7</v>
      </c>
      <c r="B10" s="105" t="s">
        <v>208</v>
      </c>
      <c r="C10" s="109">
        <v>27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</row>
    <row r="11" spans="1:75" x14ac:dyDescent="0.3">
      <c r="A11" s="56">
        <v>8</v>
      </c>
      <c r="B11" s="106" t="s">
        <v>209</v>
      </c>
      <c r="C11" s="56">
        <v>27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15"/>
      <c r="AR11" s="15"/>
      <c r="AS11" s="15"/>
      <c r="AT11" s="15"/>
      <c r="AU11" s="15"/>
      <c r="AV11" s="15"/>
      <c r="AW11" s="15"/>
      <c r="AX11" s="15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>
        <v>1669</v>
      </c>
      <c r="BK11" s="16">
        <v>3317</v>
      </c>
      <c r="BL11" s="16">
        <v>263420</v>
      </c>
      <c r="BM11" s="16">
        <v>3080</v>
      </c>
      <c r="BN11" s="16">
        <v>2813</v>
      </c>
      <c r="BO11" s="16">
        <v>1100964037</v>
      </c>
      <c r="BP11" s="16">
        <v>10459</v>
      </c>
      <c r="BQ11" s="16"/>
      <c r="BR11" s="16"/>
      <c r="BS11" s="16"/>
      <c r="BT11" s="16"/>
      <c r="BU11" s="16"/>
      <c r="BV11" s="16"/>
      <c r="BW11" s="16"/>
    </row>
    <row r="12" spans="1:75" x14ac:dyDescent="0.3">
      <c r="A12" s="60">
        <v>9</v>
      </c>
      <c r="B12" s="105" t="s">
        <v>210</v>
      </c>
      <c r="C12" s="60">
        <v>27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</row>
    <row r="13" spans="1:75" x14ac:dyDescent="0.3">
      <c r="A13" s="56">
        <v>10</v>
      </c>
      <c r="B13" s="110" t="s">
        <v>211</v>
      </c>
      <c r="C13" s="56">
        <v>27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15"/>
      <c r="AR13" s="15"/>
      <c r="AS13" s="15"/>
      <c r="AT13" s="15"/>
      <c r="AU13" s="15"/>
      <c r="AV13" s="15"/>
      <c r="AW13" s="15"/>
      <c r="AX13" s="15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</row>
    <row r="14" spans="1:75" x14ac:dyDescent="0.3">
      <c r="A14" s="56">
        <v>11</v>
      </c>
      <c r="B14" s="106" t="s">
        <v>212</v>
      </c>
      <c r="C14" s="56">
        <v>27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</row>
    <row r="15" spans="1:75" x14ac:dyDescent="0.3">
      <c r="A15" s="56">
        <v>12</v>
      </c>
      <c r="B15" s="106" t="s">
        <v>213</v>
      </c>
      <c r="C15" s="56">
        <v>27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>
        <v>1890400</v>
      </c>
      <c r="BK15" s="15"/>
      <c r="BL15" s="15">
        <v>18181818</v>
      </c>
      <c r="BM15" s="15"/>
      <c r="BN15" s="15">
        <f>218000+1000000</f>
        <v>1218000</v>
      </c>
      <c r="BO15" s="15">
        <v>275000</v>
      </c>
      <c r="BP15" s="15">
        <v>90000</v>
      </c>
      <c r="BQ15" s="15"/>
      <c r="BR15" s="15"/>
      <c r="BS15" s="15"/>
      <c r="BT15" s="15"/>
      <c r="BU15" s="15"/>
      <c r="BV15" s="15"/>
      <c r="BW15" s="15"/>
    </row>
    <row r="16" spans="1:75" x14ac:dyDescent="0.3">
      <c r="A16" s="60">
        <v>13</v>
      </c>
      <c r="B16" s="105" t="s">
        <v>214</v>
      </c>
      <c r="C16" s="60">
        <v>27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>
        <v>-1888731</v>
      </c>
      <c r="BK16" s="6">
        <v>3317</v>
      </c>
      <c r="BL16" s="6">
        <v>-17918398</v>
      </c>
      <c r="BM16" s="6">
        <f>BM11</f>
        <v>3080</v>
      </c>
      <c r="BN16" s="6">
        <f>BN11-BN15</f>
        <v>-1215187</v>
      </c>
      <c r="BO16" s="6">
        <f>BO11-BO15</f>
        <v>1100689037</v>
      </c>
      <c r="BP16" s="6">
        <f>BP11-BP15</f>
        <v>-79541</v>
      </c>
      <c r="BQ16" s="6"/>
      <c r="BR16" s="6"/>
      <c r="BS16" s="6"/>
      <c r="BT16" s="6"/>
      <c r="BU16" s="6"/>
      <c r="BV16" s="6"/>
      <c r="BW16" s="6"/>
    </row>
    <row r="17" spans="1:75" x14ac:dyDescent="0.3">
      <c r="A17" s="56">
        <v>14</v>
      </c>
      <c r="B17" s="106" t="s">
        <v>215</v>
      </c>
      <c r="C17" s="56">
        <v>27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15"/>
      <c r="AR17" s="15"/>
      <c r="AS17" s="15"/>
      <c r="AT17" s="15"/>
      <c r="AU17" s="15"/>
      <c r="AV17" s="15"/>
      <c r="AW17" s="15"/>
      <c r="AX17" s="15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>
        <v>0</v>
      </c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</row>
    <row r="18" spans="1:75" x14ac:dyDescent="0.3">
      <c r="A18" s="56">
        <v>15</v>
      </c>
      <c r="B18" s="106" t="s">
        <v>216</v>
      </c>
      <c r="C18" s="56">
        <v>27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15"/>
      <c r="AR18" s="15"/>
      <c r="AS18" s="15"/>
      <c r="AT18" s="15"/>
      <c r="AU18" s="15"/>
      <c r="AV18" s="15"/>
      <c r="AW18" s="15"/>
      <c r="AX18" s="15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>
        <v>3500000</v>
      </c>
      <c r="BP18" s="16"/>
      <c r="BQ18" s="16"/>
      <c r="BR18" s="16"/>
      <c r="BS18" s="16"/>
      <c r="BT18" s="16"/>
      <c r="BU18" s="16"/>
      <c r="BV18" s="16"/>
      <c r="BW18" s="16"/>
    </row>
    <row r="19" spans="1:75" x14ac:dyDescent="0.3">
      <c r="A19" s="60">
        <v>16</v>
      </c>
      <c r="B19" s="105" t="s">
        <v>217</v>
      </c>
      <c r="C19" s="60">
        <v>27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>
        <v>0</v>
      </c>
      <c r="BK19" s="6">
        <v>0</v>
      </c>
      <c r="BL19" s="6"/>
      <c r="BM19" s="6"/>
      <c r="BN19" s="6"/>
      <c r="BO19" s="6">
        <f>BO17-BO18</f>
        <v>-3500000</v>
      </c>
      <c r="BP19" s="6">
        <f>BP17-BP18</f>
        <v>0</v>
      </c>
      <c r="BQ19" s="6"/>
      <c r="BR19" s="6"/>
      <c r="BS19" s="6"/>
      <c r="BT19" s="6"/>
      <c r="BU19" s="6"/>
      <c r="BV19" s="6"/>
      <c r="BW19" s="6"/>
    </row>
    <row r="20" spans="1:75" x14ac:dyDescent="0.3">
      <c r="A20" s="107">
        <v>17</v>
      </c>
      <c r="B20" s="105" t="s">
        <v>218</v>
      </c>
      <c r="C20" s="107">
        <v>27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>
        <v>-1888731</v>
      </c>
      <c r="BK20" s="18">
        <v>3317</v>
      </c>
      <c r="BL20" s="18">
        <v>-17918398</v>
      </c>
      <c r="BM20" s="18">
        <f>BM16</f>
        <v>3080</v>
      </c>
      <c r="BN20" s="18">
        <f>BN16</f>
        <v>-1215187</v>
      </c>
      <c r="BO20" s="18">
        <f>BO16+BO19</f>
        <v>1097189037</v>
      </c>
      <c r="BP20" s="18">
        <f>BP16+BP19</f>
        <v>-79541</v>
      </c>
      <c r="BQ20" s="18"/>
      <c r="BR20" s="18"/>
      <c r="BS20" s="18"/>
      <c r="BT20" s="18"/>
      <c r="BU20" s="18"/>
      <c r="BV20" s="18"/>
      <c r="BW20" s="18"/>
    </row>
    <row r="21" spans="1:75" x14ac:dyDescent="0.3">
      <c r="A21" s="56">
        <v>18</v>
      </c>
      <c r="B21" s="111" t="s">
        <v>219</v>
      </c>
      <c r="C21" s="56">
        <v>27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</row>
    <row r="22" spans="1:75" x14ac:dyDescent="0.3">
      <c r="A22" s="56">
        <v>19</v>
      </c>
      <c r="B22" s="106" t="s">
        <v>220</v>
      </c>
      <c r="C22" s="56">
        <v>27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</row>
    <row r="23" spans="1:75" x14ac:dyDescent="0.3">
      <c r="A23" s="109">
        <v>20</v>
      </c>
      <c r="B23" s="105" t="s">
        <v>221</v>
      </c>
      <c r="C23" s="109">
        <v>27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>
        <v>-1888731</v>
      </c>
      <c r="BK23" s="21">
        <v>3317</v>
      </c>
      <c r="BL23" s="21">
        <v>-17918398</v>
      </c>
      <c r="BM23" s="21">
        <f>BM20</f>
        <v>3080</v>
      </c>
      <c r="BN23" s="21">
        <f>BN20</f>
        <v>-1215187</v>
      </c>
      <c r="BO23" s="21">
        <f>BO20</f>
        <v>1097189037</v>
      </c>
      <c r="BP23" s="21">
        <f>BP20</f>
        <v>-79541</v>
      </c>
      <c r="BQ23" s="21"/>
      <c r="BR23" s="21"/>
      <c r="BS23" s="21"/>
      <c r="BT23" s="21"/>
      <c r="BU23" s="21"/>
      <c r="BV23" s="21"/>
      <c r="BW23" s="21"/>
    </row>
  </sheetData>
  <sheetProtection algorithmName="SHA-512" hashValue="YpmP0ZhXIw2jIWGpu7LF+CDEk61vEQUTI6lvBzX9u9h2I83b+uAhMJDQhK50wqB1zZbgcq6HyPQTK4sPoMg69Q==" saltValue="u+2utCKPfymnH3YEwH84Dw==" spinCount="100000" sheet="1" objects="1" scenarios="1"/>
  <protectedRanges>
    <protectedRange sqref="D4:BW23" name="PL"/>
  </protectedRange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B15E-0FF1-4EA3-B12A-202F0896CC7E}">
  <sheetPr>
    <tabColor theme="9" tint="0.59999389629810485"/>
  </sheetPr>
  <dimension ref="A1:BW44"/>
  <sheetViews>
    <sheetView showGridLines="0" zoomScale="80" zoomScaleNormal="80" workbookViewId="0">
      <pane xSplit="3" ySplit="3" topLeftCell="BJ25" activePane="bottomRight" state="frozen"/>
      <selection activeCell="D8" sqref="D8:E8"/>
      <selection pane="topRight" activeCell="D8" sqref="D8:E8"/>
      <selection pane="bottomLeft" activeCell="D8" sqref="D8:E8"/>
      <selection pane="bottomRight" activeCell="BQ37" sqref="BQ37"/>
    </sheetView>
  </sheetViews>
  <sheetFormatPr defaultRowHeight="14.4" x14ac:dyDescent="0.3"/>
  <cols>
    <col min="1" max="1" width="6.5546875" hidden="1" customWidth="1"/>
    <col min="2" max="2" width="60.88671875" customWidth="1"/>
    <col min="3" max="3" width="12.88671875" hidden="1" customWidth="1"/>
    <col min="4" max="51" width="18" hidden="1" customWidth="1"/>
    <col min="52" max="75" width="18" customWidth="1"/>
  </cols>
  <sheetData>
    <row r="1" spans="1:75" ht="17.399999999999999" x14ac:dyDescent="0.3">
      <c r="B1" s="42" t="s">
        <v>337</v>
      </c>
    </row>
    <row r="2" spans="1:75" x14ac:dyDescent="0.3">
      <c r="B2" s="45" t="s">
        <v>0</v>
      </c>
    </row>
    <row r="3" spans="1:75" ht="27.6" x14ac:dyDescent="0.3">
      <c r="A3" s="116" t="s">
        <v>222</v>
      </c>
      <c r="B3" s="49" t="s">
        <v>223</v>
      </c>
      <c r="C3" s="48" t="s">
        <v>3</v>
      </c>
      <c r="D3" s="48" t="s">
        <v>4</v>
      </c>
      <c r="E3" s="48" t="s">
        <v>5</v>
      </c>
      <c r="F3" s="48" t="s">
        <v>6</v>
      </c>
      <c r="G3" s="48" t="s">
        <v>7</v>
      </c>
      <c r="H3" s="48" t="s">
        <v>8</v>
      </c>
      <c r="I3" s="48" t="s">
        <v>9</v>
      </c>
      <c r="J3" s="48" t="s">
        <v>10</v>
      </c>
      <c r="K3" s="48" t="s">
        <v>11</v>
      </c>
      <c r="L3" s="48" t="s">
        <v>12</v>
      </c>
      <c r="M3" s="48" t="s">
        <v>13</v>
      </c>
      <c r="N3" s="48" t="s">
        <v>14</v>
      </c>
      <c r="O3" s="48" t="s">
        <v>15</v>
      </c>
      <c r="P3" s="48" t="s">
        <v>16</v>
      </c>
      <c r="Q3" s="48" t="s">
        <v>17</v>
      </c>
      <c r="R3" s="48" t="s">
        <v>18</v>
      </c>
      <c r="S3" s="48" t="s">
        <v>19</v>
      </c>
      <c r="T3" s="48" t="s">
        <v>20</v>
      </c>
      <c r="U3" s="48" t="s">
        <v>21</v>
      </c>
      <c r="V3" s="48" t="s">
        <v>22</v>
      </c>
      <c r="W3" s="48" t="s">
        <v>23</v>
      </c>
      <c r="X3" s="48" t="s">
        <v>24</v>
      </c>
      <c r="Y3" s="48" t="s">
        <v>25</v>
      </c>
      <c r="Z3" s="48" t="s">
        <v>26</v>
      </c>
      <c r="AA3" s="48" t="s">
        <v>27</v>
      </c>
      <c r="AB3" s="48" t="s">
        <v>28</v>
      </c>
      <c r="AC3" s="48" t="s">
        <v>29</v>
      </c>
      <c r="AD3" s="48" t="s">
        <v>30</v>
      </c>
      <c r="AE3" s="48" t="s">
        <v>31</v>
      </c>
      <c r="AF3" s="48" t="s">
        <v>32</v>
      </c>
      <c r="AG3" s="48" t="s">
        <v>33</v>
      </c>
      <c r="AH3" s="48" t="s">
        <v>34</v>
      </c>
      <c r="AI3" s="48" t="s">
        <v>35</v>
      </c>
      <c r="AJ3" s="48" t="s">
        <v>36</v>
      </c>
      <c r="AK3" s="48" t="s">
        <v>37</v>
      </c>
      <c r="AL3" s="48" t="s">
        <v>38</v>
      </c>
      <c r="AM3" s="48" t="s">
        <v>39</v>
      </c>
      <c r="AN3" s="48" t="s">
        <v>40</v>
      </c>
      <c r="AO3" s="50" t="s">
        <v>41</v>
      </c>
      <c r="AP3" s="50" t="s">
        <v>42</v>
      </c>
      <c r="AQ3" s="48" t="s">
        <v>43</v>
      </c>
      <c r="AR3" s="48" t="s">
        <v>44</v>
      </c>
      <c r="AS3" s="48" t="s">
        <v>45</v>
      </c>
      <c r="AT3" s="48" t="s">
        <v>46</v>
      </c>
      <c r="AU3" s="50" t="s">
        <v>47</v>
      </c>
      <c r="AV3" s="50" t="s">
        <v>48</v>
      </c>
      <c r="AW3" s="50" t="s">
        <v>49</v>
      </c>
      <c r="AX3" s="50" t="s">
        <v>50</v>
      </c>
      <c r="AY3" s="48" t="s">
        <v>51</v>
      </c>
      <c r="AZ3" s="48" t="s">
        <v>52</v>
      </c>
      <c r="BA3" s="50" t="s">
        <v>53</v>
      </c>
      <c r="BB3" s="50" t="s">
        <v>54</v>
      </c>
      <c r="BC3" s="48" t="s">
        <v>55</v>
      </c>
      <c r="BD3" s="48" t="s">
        <v>56</v>
      </c>
      <c r="BE3" s="48" t="s">
        <v>57</v>
      </c>
      <c r="BF3" s="48" t="s">
        <v>58</v>
      </c>
      <c r="BG3" s="50" t="s">
        <v>59</v>
      </c>
      <c r="BH3" s="50" t="s">
        <v>60</v>
      </c>
      <c r="BI3" s="50" t="s">
        <v>61</v>
      </c>
      <c r="BJ3" s="50" t="s">
        <v>62</v>
      </c>
      <c r="BK3" s="50" t="s">
        <v>63</v>
      </c>
      <c r="BL3" s="50" t="s">
        <v>64</v>
      </c>
      <c r="BM3" s="50" t="s">
        <v>65</v>
      </c>
      <c r="BN3" s="50" t="s">
        <v>66</v>
      </c>
      <c r="BO3" s="50" t="s">
        <v>67</v>
      </c>
      <c r="BP3" s="50" t="s">
        <v>68</v>
      </c>
      <c r="BQ3" s="50" t="s">
        <v>69</v>
      </c>
      <c r="BR3" s="50" t="s">
        <v>70</v>
      </c>
      <c r="BS3" s="50" t="s">
        <v>71</v>
      </c>
      <c r="BT3" s="50" t="s">
        <v>72</v>
      </c>
      <c r="BU3" s="50" t="s">
        <v>73</v>
      </c>
      <c r="BV3" s="50" t="s">
        <v>74</v>
      </c>
      <c r="BW3" s="50" t="s">
        <v>75</v>
      </c>
    </row>
    <row r="4" spans="1:75" x14ac:dyDescent="0.3">
      <c r="A4" s="117">
        <v>1</v>
      </c>
      <c r="B4" s="118" t="s">
        <v>224</v>
      </c>
      <c r="C4" s="119">
        <v>27</v>
      </c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5"/>
      <c r="AZ4" s="155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</row>
    <row r="5" spans="1:75" x14ac:dyDescent="0.3">
      <c r="A5" s="117">
        <v>2</v>
      </c>
      <c r="B5" s="118" t="s">
        <v>225</v>
      </c>
      <c r="C5" s="120">
        <v>27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>
        <v>-1888731</v>
      </c>
      <c r="BK5" s="24">
        <v>3317</v>
      </c>
      <c r="BL5" s="24">
        <f>'Ket qua kinh doanh'!BL23</f>
        <v>-17918398</v>
      </c>
      <c r="BM5" s="24">
        <v>3080</v>
      </c>
      <c r="BN5" s="24">
        <v>-1215187</v>
      </c>
      <c r="BO5" s="24">
        <v>1097189037</v>
      </c>
      <c r="BP5" s="24">
        <f>'Ket qua kinh doanh'!BP23</f>
        <v>-79541</v>
      </c>
      <c r="BQ5" s="24"/>
      <c r="BR5" s="24"/>
      <c r="BS5" s="24"/>
      <c r="BT5" s="24"/>
      <c r="BU5" s="24"/>
      <c r="BV5" s="24"/>
      <c r="BW5" s="24"/>
    </row>
    <row r="6" spans="1:75" x14ac:dyDescent="0.3">
      <c r="A6" s="121">
        <v>3</v>
      </c>
      <c r="B6" s="122" t="s">
        <v>226</v>
      </c>
      <c r="C6" s="123">
        <v>27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157"/>
      <c r="BJ6" s="157"/>
      <c r="BK6" s="157"/>
      <c r="BL6" s="157"/>
      <c r="BM6" s="157"/>
      <c r="BN6" s="157"/>
      <c r="BO6" s="157"/>
      <c r="BP6" s="157"/>
      <c r="BQ6" s="157"/>
      <c r="BR6" s="157"/>
      <c r="BS6" s="157"/>
      <c r="BT6" s="157"/>
      <c r="BU6" s="157"/>
      <c r="BV6" s="157"/>
      <c r="BW6" s="157"/>
    </row>
    <row r="7" spans="1:75" x14ac:dyDescent="0.3">
      <c r="A7" s="124">
        <v>4</v>
      </c>
      <c r="B7" s="125" t="s">
        <v>227</v>
      </c>
      <c r="C7" s="126">
        <v>27</v>
      </c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  <c r="AR7" s="158"/>
      <c r="AS7" s="159"/>
      <c r="AT7" s="159"/>
      <c r="AU7" s="159"/>
      <c r="AV7" s="159"/>
      <c r="AW7" s="159"/>
      <c r="AX7" s="159"/>
      <c r="AY7" s="159"/>
      <c r="AZ7" s="159"/>
      <c r="BA7" s="159"/>
      <c r="BB7" s="159"/>
      <c r="BC7" s="159"/>
      <c r="BD7" s="159"/>
      <c r="BE7" s="159"/>
      <c r="BF7" s="159"/>
      <c r="BG7" s="159"/>
      <c r="BH7" s="159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0"/>
      <c r="BT7" s="160"/>
      <c r="BU7" s="160"/>
      <c r="BV7" s="160"/>
      <c r="BW7" s="160"/>
    </row>
    <row r="8" spans="1:75" x14ac:dyDescent="0.3">
      <c r="A8" s="124">
        <v>5</v>
      </c>
      <c r="B8" s="125" t="s">
        <v>228</v>
      </c>
      <c r="C8" s="126">
        <v>27</v>
      </c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160"/>
      <c r="BJ8" s="160"/>
      <c r="BK8" s="160"/>
      <c r="BL8" s="160"/>
      <c r="BM8" s="160"/>
      <c r="BN8" s="160"/>
      <c r="BO8" s="160"/>
      <c r="BP8" s="160"/>
      <c r="BQ8" s="160"/>
      <c r="BR8" s="160"/>
      <c r="BS8" s="160"/>
      <c r="BT8" s="160"/>
      <c r="BU8" s="160"/>
      <c r="BV8" s="160"/>
      <c r="BW8" s="160"/>
    </row>
    <row r="9" spans="1:75" x14ac:dyDescent="0.3">
      <c r="A9" s="127">
        <v>6</v>
      </c>
      <c r="B9" s="128" t="s">
        <v>229</v>
      </c>
      <c r="C9" s="129">
        <v>27</v>
      </c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160"/>
      <c r="BJ9" s="160"/>
      <c r="BK9" s="160"/>
      <c r="BL9" s="160"/>
      <c r="BM9" s="160"/>
      <c r="BN9" s="160"/>
      <c r="BO9" s="160"/>
      <c r="BP9" s="160"/>
      <c r="BQ9" s="160"/>
      <c r="BR9" s="160"/>
      <c r="BS9" s="160"/>
      <c r="BT9" s="160"/>
      <c r="BU9" s="160"/>
      <c r="BV9" s="160"/>
      <c r="BW9" s="160"/>
    </row>
    <row r="10" spans="1:75" x14ac:dyDescent="0.3">
      <c r="A10" s="124">
        <v>7</v>
      </c>
      <c r="B10" s="125" t="s">
        <v>230</v>
      </c>
      <c r="C10" s="126">
        <v>27</v>
      </c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9"/>
      <c r="AU10" s="159"/>
      <c r="AV10" s="159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60"/>
      <c r="BJ10" s="160">
        <v>-1669</v>
      </c>
      <c r="BK10" s="160">
        <v>-3317</v>
      </c>
      <c r="BL10" s="160">
        <v>-263420</v>
      </c>
      <c r="BM10" s="160">
        <v>-3080</v>
      </c>
      <c r="BN10" s="160">
        <v>-2813</v>
      </c>
      <c r="BO10" s="160">
        <v>-1100964037</v>
      </c>
      <c r="BP10" s="160">
        <v>-10459</v>
      </c>
      <c r="BQ10" s="160"/>
      <c r="BR10" s="160"/>
      <c r="BS10" s="160"/>
      <c r="BT10" s="160"/>
      <c r="BU10" s="160"/>
      <c r="BV10" s="160"/>
      <c r="BW10" s="160"/>
    </row>
    <row r="11" spans="1:75" x14ac:dyDescent="0.3">
      <c r="A11" s="124">
        <v>8</v>
      </c>
      <c r="B11" s="125" t="s">
        <v>231</v>
      </c>
      <c r="C11" s="126">
        <v>27</v>
      </c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3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2"/>
      <c r="BD11" s="162"/>
      <c r="BE11" s="162"/>
      <c r="BF11" s="162"/>
      <c r="BG11" s="162"/>
      <c r="BH11" s="162"/>
      <c r="BI11" s="160"/>
      <c r="BJ11" s="160"/>
      <c r="BK11" s="160"/>
      <c r="BL11" s="160"/>
      <c r="BM11" s="160"/>
      <c r="BN11" s="160"/>
      <c r="BO11" s="160"/>
      <c r="BP11" s="160"/>
      <c r="BQ11" s="160"/>
      <c r="BR11" s="160"/>
      <c r="BS11" s="160"/>
      <c r="BT11" s="160"/>
      <c r="BU11" s="160"/>
      <c r="BV11" s="160"/>
      <c r="BW11" s="160"/>
    </row>
    <row r="12" spans="1:75" x14ac:dyDescent="0.3">
      <c r="A12" s="124">
        <v>9</v>
      </c>
      <c r="B12" s="125" t="s">
        <v>232</v>
      </c>
      <c r="C12" s="130">
        <v>27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160"/>
      <c r="BJ12" s="160"/>
      <c r="BK12" s="160"/>
      <c r="BL12" s="160"/>
      <c r="BM12" s="160"/>
      <c r="BN12" s="160"/>
      <c r="BO12" s="160"/>
      <c r="BP12" s="160"/>
      <c r="BQ12" s="160"/>
      <c r="BR12" s="160"/>
      <c r="BS12" s="160"/>
      <c r="BT12" s="160"/>
      <c r="BU12" s="160"/>
      <c r="BV12" s="160"/>
      <c r="BW12" s="160"/>
    </row>
    <row r="13" spans="1:75" x14ac:dyDescent="0.3">
      <c r="A13" s="131">
        <v>10</v>
      </c>
      <c r="B13" s="132" t="s">
        <v>233</v>
      </c>
      <c r="C13" s="133">
        <v>27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156"/>
      <c r="BJ13" s="156">
        <v>-1890400</v>
      </c>
      <c r="BK13" s="156"/>
      <c r="BL13" s="156">
        <f>BL5+BL10</f>
        <v>-18181818</v>
      </c>
      <c r="BM13" s="156">
        <f>BM5+BM10</f>
        <v>0</v>
      </c>
      <c r="BN13" s="156">
        <v>-1218000</v>
      </c>
      <c r="BO13" s="156">
        <v>-3775000</v>
      </c>
      <c r="BP13" s="156">
        <f>BP5+BP10</f>
        <v>-90000</v>
      </c>
      <c r="BQ13" s="156"/>
      <c r="BR13" s="156"/>
      <c r="BS13" s="156"/>
      <c r="BT13" s="156"/>
      <c r="BU13" s="156"/>
      <c r="BV13" s="156"/>
      <c r="BW13" s="156"/>
    </row>
    <row r="14" spans="1:75" x14ac:dyDescent="0.3">
      <c r="A14" s="134">
        <v>11</v>
      </c>
      <c r="B14" s="135" t="s">
        <v>234</v>
      </c>
      <c r="C14" s="126">
        <v>27</v>
      </c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60"/>
      <c r="BJ14" s="160"/>
      <c r="BK14" s="160"/>
      <c r="BL14" s="160"/>
      <c r="BM14" s="160"/>
      <c r="BN14" s="160"/>
      <c r="BO14" s="160"/>
      <c r="BP14" s="160"/>
      <c r="BQ14" s="160"/>
      <c r="BR14" s="160"/>
      <c r="BS14" s="160"/>
      <c r="BT14" s="160"/>
      <c r="BU14" s="160"/>
      <c r="BV14" s="160"/>
      <c r="BW14" s="160"/>
    </row>
    <row r="15" spans="1:75" x14ac:dyDescent="0.3">
      <c r="A15" s="136">
        <v>12</v>
      </c>
      <c r="B15" s="137" t="s">
        <v>235</v>
      </c>
      <c r="C15" s="126">
        <v>27</v>
      </c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0"/>
      <c r="BT15" s="160"/>
      <c r="BU15" s="160"/>
      <c r="BV15" s="160"/>
      <c r="BW15" s="160"/>
    </row>
    <row r="16" spans="1:75" x14ac:dyDescent="0.3">
      <c r="A16" s="138">
        <v>13</v>
      </c>
      <c r="B16" s="139" t="s">
        <v>591</v>
      </c>
      <c r="C16" s="129">
        <v>27</v>
      </c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0"/>
      <c r="BJ16" s="160">
        <v>-7028599</v>
      </c>
      <c r="BK16" s="160"/>
      <c r="BL16" s="160">
        <v>-1818182</v>
      </c>
      <c r="BM16" s="160">
        <v>-17072912</v>
      </c>
      <c r="BN16" s="160">
        <v>-89105400</v>
      </c>
      <c r="BO16" s="160">
        <v>-22000</v>
      </c>
      <c r="BP16" s="160">
        <v>90000</v>
      </c>
      <c r="BQ16" s="160"/>
      <c r="BR16" s="160"/>
      <c r="BS16" s="160"/>
      <c r="BT16" s="160"/>
      <c r="BU16" s="160"/>
      <c r="BV16" s="160"/>
      <c r="BW16" s="160"/>
    </row>
    <row r="17" spans="1:75" x14ac:dyDescent="0.3">
      <c r="A17" s="134">
        <v>14</v>
      </c>
      <c r="B17" s="135" t="s">
        <v>236</v>
      </c>
      <c r="C17" s="126">
        <v>27</v>
      </c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9"/>
      <c r="AW17" s="164"/>
      <c r="AX17" s="164"/>
      <c r="AY17" s="164"/>
      <c r="AZ17" s="164"/>
      <c r="BA17" s="164"/>
      <c r="BB17" s="164"/>
      <c r="BC17" s="164"/>
      <c r="BD17" s="164"/>
      <c r="BE17" s="164"/>
      <c r="BF17" s="164"/>
      <c r="BG17" s="164"/>
      <c r="BH17" s="164"/>
      <c r="BI17" s="160"/>
      <c r="BJ17" s="160"/>
      <c r="BK17" s="160"/>
      <c r="BL17" s="160"/>
      <c r="BM17" s="160"/>
      <c r="BN17" s="160"/>
      <c r="BO17" s="160"/>
      <c r="BP17" s="160"/>
      <c r="BQ17" s="160"/>
      <c r="BR17" s="160"/>
      <c r="BS17" s="160"/>
      <c r="BT17" s="160"/>
      <c r="BU17" s="160"/>
      <c r="BV17" s="160"/>
      <c r="BW17" s="160"/>
    </row>
    <row r="18" spans="1:75" x14ac:dyDescent="0.3">
      <c r="A18" s="134">
        <v>15</v>
      </c>
      <c r="B18" s="135" t="s">
        <v>237</v>
      </c>
      <c r="C18" s="126">
        <v>27</v>
      </c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2"/>
      <c r="BD18" s="162"/>
      <c r="BE18" s="162"/>
      <c r="BF18" s="162"/>
      <c r="BG18" s="162"/>
      <c r="BH18" s="162"/>
      <c r="BI18" s="160"/>
      <c r="BJ18" s="160"/>
      <c r="BK18" s="160"/>
      <c r="BL18" s="160"/>
      <c r="BM18" s="160"/>
      <c r="BN18" s="160"/>
      <c r="BO18" s="160"/>
      <c r="BP18" s="160"/>
      <c r="BQ18" s="160"/>
      <c r="BR18" s="160"/>
      <c r="BS18" s="160"/>
      <c r="BT18" s="160"/>
      <c r="BU18" s="160"/>
      <c r="BV18" s="160"/>
      <c r="BW18" s="160"/>
    </row>
    <row r="19" spans="1:75" x14ac:dyDescent="0.3">
      <c r="A19" s="134">
        <v>16</v>
      </c>
      <c r="B19" s="135" t="s">
        <v>238</v>
      </c>
      <c r="C19" s="126">
        <v>27</v>
      </c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60"/>
      <c r="BJ19" s="160"/>
      <c r="BK19" s="160"/>
      <c r="BL19" s="160"/>
      <c r="BM19" s="160"/>
      <c r="BN19" s="160"/>
      <c r="BO19" s="160"/>
      <c r="BP19" s="160"/>
      <c r="BQ19" s="160"/>
      <c r="BR19" s="160"/>
      <c r="BS19" s="160"/>
      <c r="BT19" s="160"/>
      <c r="BU19" s="160"/>
      <c r="BV19" s="160"/>
      <c r="BW19" s="160"/>
    </row>
    <row r="20" spans="1:75" x14ac:dyDescent="0.3">
      <c r="A20" s="134">
        <v>17</v>
      </c>
      <c r="B20" s="135" t="s">
        <v>239</v>
      </c>
      <c r="C20" s="126">
        <v>27</v>
      </c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60"/>
      <c r="BJ20" s="160"/>
      <c r="BK20" s="160"/>
      <c r="BL20" s="160"/>
      <c r="BM20" s="160"/>
      <c r="BN20" s="160"/>
      <c r="BO20" s="160"/>
      <c r="BP20" s="160"/>
      <c r="BQ20" s="160"/>
      <c r="BR20" s="160"/>
      <c r="BS20" s="160"/>
      <c r="BT20" s="160"/>
      <c r="BU20" s="160"/>
      <c r="BV20" s="160"/>
      <c r="BW20" s="160"/>
    </row>
    <row r="21" spans="1:75" x14ac:dyDescent="0.3">
      <c r="A21" s="134">
        <v>18</v>
      </c>
      <c r="B21" s="135" t="s">
        <v>240</v>
      </c>
      <c r="C21" s="140">
        <v>27</v>
      </c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0"/>
      <c r="BJ21" s="160"/>
      <c r="BK21" s="160"/>
      <c r="BL21" s="160"/>
      <c r="BM21" s="160"/>
      <c r="BN21" s="160"/>
      <c r="BO21" s="160"/>
      <c r="BP21" s="160"/>
      <c r="BQ21" s="160"/>
      <c r="BR21" s="160"/>
      <c r="BS21" s="160"/>
      <c r="BT21" s="160"/>
      <c r="BU21" s="160"/>
      <c r="BV21" s="160"/>
      <c r="BW21" s="160"/>
    </row>
    <row r="22" spans="1:75" x14ac:dyDescent="0.3">
      <c r="A22" s="134">
        <v>19</v>
      </c>
      <c r="B22" s="135" t="s">
        <v>241</v>
      </c>
      <c r="C22" s="130">
        <v>27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160"/>
      <c r="BJ22" s="160"/>
      <c r="BK22" s="160"/>
      <c r="BL22" s="160"/>
      <c r="BM22" s="160"/>
      <c r="BN22" s="160"/>
      <c r="BO22" s="160"/>
      <c r="BP22" s="160"/>
      <c r="BQ22" s="160"/>
      <c r="BR22" s="160"/>
      <c r="BS22" s="160"/>
      <c r="BT22" s="160"/>
      <c r="BU22" s="160"/>
      <c r="BV22" s="160"/>
      <c r="BW22" s="160"/>
    </row>
    <row r="23" spans="1:75" x14ac:dyDescent="0.3">
      <c r="A23" s="117">
        <v>20</v>
      </c>
      <c r="B23" s="141" t="s">
        <v>242</v>
      </c>
      <c r="C23" s="142">
        <v>27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56"/>
      <c r="BJ23" s="156">
        <v>-8918999</v>
      </c>
      <c r="BK23" s="156"/>
      <c r="BL23" s="156">
        <f>BL13+BL16</f>
        <v>-20000000</v>
      </c>
      <c r="BM23" s="156">
        <f>BM13+BM16</f>
        <v>-17072912</v>
      </c>
      <c r="BN23" s="156">
        <v>-90323400</v>
      </c>
      <c r="BO23" s="156">
        <v>-3797000</v>
      </c>
      <c r="BP23" s="156">
        <f>BP13+BP16</f>
        <v>0</v>
      </c>
      <c r="BQ23" s="156"/>
      <c r="BR23" s="156"/>
      <c r="BS23" s="156"/>
      <c r="BT23" s="156"/>
      <c r="BU23" s="156"/>
      <c r="BV23" s="156"/>
      <c r="BW23" s="156"/>
    </row>
    <row r="24" spans="1:75" x14ac:dyDescent="0.3">
      <c r="A24" s="117">
        <v>21</v>
      </c>
      <c r="B24" s="118" t="s">
        <v>243</v>
      </c>
      <c r="C24" s="143">
        <v>27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156"/>
      <c r="BJ24" s="156"/>
      <c r="BK24" s="156"/>
      <c r="BL24" s="156"/>
      <c r="BM24" s="156"/>
      <c r="BN24" s="156"/>
      <c r="BO24" s="156"/>
      <c r="BP24" s="156"/>
      <c r="BQ24" s="156"/>
      <c r="BR24" s="156"/>
      <c r="BS24" s="156"/>
      <c r="BT24" s="156"/>
      <c r="BU24" s="156"/>
      <c r="BV24" s="156"/>
      <c r="BW24" s="156"/>
    </row>
    <row r="25" spans="1:75" x14ac:dyDescent="0.3">
      <c r="A25" s="144">
        <v>22</v>
      </c>
      <c r="B25" s="145" t="s">
        <v>244</v>
      </c>
      <c r="C25" s="129">
        <v>27</v>
      </c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0"/>
      <c r="BJ25" s="160">
        <v>-87557481</v>
      </c>
      <c r="BK25" s="160"/>
      <c r="BL25" s="160"/>
      <c r="BM25" s="160"/>
      <c r="BN25" s="160">
        <v>-101088000</v>
      </c>
      <c r="BO25" s="160">
        <v>0</v>
      </c>
      <c r="BP25" s="160"/>
      <c r="BQ25" s="160"/>
      <c r="BR25" s="160"/>
      <c r="BS25" s="160"/>
      <c r="BT25" s="160"/>
      <c r="BU25" s="160"/>
      <c r="BV25" s="160"/>
      <c r="BW25" s="160"/>
    </row>
    <row r="26" spans="1:75" x14ac:dyDescent="0.3">
      <c r="A26" s="144">
        <v>23</v>
      </c>
      <c r="B26" s="145" t="s">
        <v>245</v>
      </c>
      <c r="C26" s="140">
        <v>27</v>
      </c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160"/>
      <c r="BJ26" s="160"/>
      <c r="BK26" s="160"/>
      <c r="BL26" s="160"/>
      <c r="BM26" s="160"/>
      <c r="BN26" s="160"/>
      <c r="BO26" s="160"/>
      <c r="BP26" s="160"/>
      <c r="BQ26" s="160"/>
      <c r="BR26" s="160"/>
      <c r="BS26" s="160"/>
      <c r="BT26" s="160"/>
      <c r="BU26" s="160"/>
      <c r="BV26" s="160"/>
      <c r="BW26" s="160"/>
    </row>
    <row r="27" spans="1:75" x14ac:dyDescent="0.3">
      <c r="A27" s="144">
        <v>24</v>
      </c>
      <c r="B27" s="145" t="s">
        <v>246</v>
      </c>
      <c r="C27" s="140">
        <v>27</v>
      </c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  <c r="BG27" s="167"/>
      <c r="BH27" s="167"/>
      <c r="BI27" s="160"/>
      <c r="BJ27" s="160"/>
      <c r="BK27" s="160">
        <v>-5500000000</v>
      </c>
      <c r="BL27" s="160"/>
      <c r="BM27" s="160"/>
      <c r="BN27" s="160"/>
      <c r="BO27" s="160"/>
      <c r="BP27" s="160"/>
      <c r="BQ27" s="160"/>
      <c r="BR27" s="160"/>
      <c r="BS27" s="160"/>
      <c r="BT27" s="160"/>
      <c r="BU27" s="160"/>
      <c r="BV27" s="160"/>
      <c r="BW27" s="160"/>
    </row>
    <row r="28" spans="1:75" x14ac:dyDescent="0.3">
      <c r="A28" s="144">
        <v>25</v>
      </c>
      <c r="B28" s="145" t="s">
        <v>247</v>
      </c>
      <c r="C28" s="140">
        <v>27</v>
      </c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160"/>
      <c r="BJ28" s="160"/>
      <c r="BK28" s="160"/>
      <c r="BL28" s="160"/>
      <c r="BM28" s="160"/>
      <c r="BN28" s="160"/>
      <c r="BO28" s="160"/>
      <c r="BP28" s="160"/>
      <c r="BQ28" s="160"/>
      <c r="BR28" s="160"/>
      <c r="BS28" s="160"/>
      <c r="BT28" s="160"/>
      <c r="BU28" s="160"/>
      <c r="BV28" s="160"/>
      <c r="BW28" s="160"/>
    </row>
    <row r="29" spans="1:75" x14ac:dyDescent="0.3">
      <c r="A29" s="144">
        <v>26</v>
      </c>
      <c r="B29" s="145" t="s">
        <v>248</v>
      </c>
      <c r="C29" s="126">
        <v>27</v>
      </c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</row>
    <row r="30" spans="1:75" x14ac:dyDescent="0.3">
      <c r="A30" s="144">
        <v>27</v>
      </c>
      <c r="B30" s="145" t="s">
        <v>249</v>
      </c>
      <c r="C30" s="140">
        <v>27</v>
      </c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5"/>
      <c r="AQ30" s="165"/>
      <c r="AR30" s="165"/>
      <c r="AS30" s="165"/>
      <c r="AT30" s="165"/>
      <c r="AU30" s="165"/>
      <c r="AV30" s="165"/>
      <c r="AW30" s="165"/>
      <c r="AX30" s="165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160"/>
      <c r="BJ30" s="160"/>
      <c r="BK30" s="160"/>
      <c r="BL30" s="160"/>
      <c r="BM30" s="160"/>
      <c r="BN30" s="160"/>
      <c r="BO30" s="160"/>
      <c r="BP30" s="160"/>
      <c r="BQ30" s="160"/>
      <c r="BR30" s="160"/>
      <c r="BS30" s="160"/>
      <c r="BT30" s="160"/>
      <c r="BU30" s="160"/>
      <c r="BV30" s="160"/>
      <c r="BW30" s="160"/>
    </row>
    <row r="31" spans="1:75" x14ac:dyDescent="0.3">
      <c r="A31" s="144">
        <v>28</v>
      </c>
      <c r="B31" s="145" t="s">
        <v>250</v>
      </c>
      <c r="C31" s="126">
        <v>27</v>
      </c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60"/>
      <c r="BJ31" s="160">
        <v>1669</v>
      </c>
      <c r="BK31" s="160">
        <v>3317</v>
      </c>
      <c r="BL31" s="160">
        <v>263420</v>
      </c>
      <c r="BM31" s="160">
        <v>3080</v>
      </c>
      <c r="BN31" s="160">
        <v>2813</v>
      </c>
      <c r="BO31" s="160">
        <v>1100964037</v>
      </c>
      <c r="BP31" s="160">
        <v>10459</v>
      </c>
      <c r="BQ31" s="160"/>
      <c r="BR31" s="160"/>
      <c r="BS31" s="160"/>
      <c r="BT31" s="160"/>
      <c r="BU31" s="160"/>
      <c r="BV31" s="160"/>
      <c r="BW31" s="160"/>
    </row>
    <row r="32" spans="1:75" x14ac:dyDescent="0.3">
      <c r="A32" s="117">
        <v>29</v>
      </c>
      <c r="B32" s="118" t="s">
        <v>251</v>
      </c>
      <c r="C32" s="142">
        <v>27</v>
      </c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156"/>
      <c r="BJ32" s="156">
        <v>-87555812</v>
      </c>
      <c r="BK32" s="156">
        <f>3317-5500000000</f>
        <v>-5499996683</v>
      </c>
      <c r="BL32" s="156">
        <f>BL31</f>
        <v>263420</v>
      </c>
      <c r="BM32" s="156">
        <f>BM31</f>
        <v>3080</v>
      </c>
      <c r="BN32" s="156">
        <v>-101085187</v>
      </c>
      <c r="BO32" s="156">
        <v>1100964037</v>
      </c>
      <c r="BP32" s="156">
        <f>SUM(BP25:BP31)</f>
        <v>10459</v>
      </c>
      <c r="BQ32" s="156"/>
      <c r="BR32" s="156"/>
      <c r="BS32" s="156"/>
      <c r="BT32" s="156"/>
      <c r="BU32" s="156"/>
      <c r="BV32" s="156"/>
      <c r="BW32" s="156"/>
    </row>
    <row r="33" spans="1:75" x14ac:dyDescent="0.3">
      <c r="A33" s="117">
        <v>30</v>
      </c>
      <c r="B33" s="118" t="s">
        <v>252</v>
      </c>
      <c r="C33" s="143">
        <v>27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</row>
    <row r="34" spans="1:75" x14ac:dyDescent="0.3">
      <c r="A34" s="144">
        <v>31</v>
      </c>
      <c r="B34" s="145" t="s">
        <v>253</v>
      </c>
      <c r="C34" s="130">
        <v>27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160"/>
      <c r="BJ34" s="160">
        <v>500000000</v>
      </c>
      <c r="BK34" s="160">
        <v>5500000000</v>
      </c>
      <c r="BL34" s="160">
        <v>94000000000</v>
      </c>
      <c r="BM34" s="160"/>
      <c r="BN34" s="160"/>
      <c r="BO34" s="160"/>
      <c r="BP34" s="160"/>
      <c r="BQ34" s="160"/>
      <c r="BR34" s="160"/>
      <c r="BS34" s="160"/>
      <c r="BT34" s="160"/>
      <c r="BU34" s="160"/>
      <c r="BV34" s="160"/>
      <c r="BW34" s="160"/>
    </row>
    <row r="35" spans="1:75" x14ac:dyDescent="0.3">
      <c r="A35" s="146">
        <v>32</v>
      </c>
      <c r="B35" s="147" t="s">
        <v>254</v>
      </c>
      <c r="C35" s="148">
        <v>27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160"/>
      <c r="BJ35" s="160"/>
      <c r="BK35" s="160"/>
      <c r="BL35" s="160"/>
      <c r="BM35" s="160"/>
      <c r="BN35" s="160"/>
      <c r="BO35" s="160"/>
      <c r="BP35" s="160"/>
      <c r="BQ35" s="160"/>
      <c r="BR35" s="160"/>
      <c r="BS35" s="160"/>
      <c r="BT35" s="160"/>
      <c r="BU35" s="160"/>
      <c r="BV35" s="160"/>
      <c r="BW35" s="160"/>
    </row>
    <row r="36" spans="1:75" x14ac:dyDescent="0.3">
      <c r="A36" s="144">
        <v>33</v>
      </c>
      <c r="B36" s="145" t="s">
        <v>255</v>
      </c>
      <c r="C36" s="126">
        <v>27</v>
      </c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66"/>
      <c r="BI36" s="160"/>
      <c r="BJ36" s="160"/>
      <c r="BK36" s="160"/>
      <c r="BL36" s="160"/>
      <c r="BM36" s="160"/>
      <c r="BN36" s="160"/>
      <c r="BO36" s="160"/>
      <c r="BP36" s="160"/>
      <c r="BQ36" s="160"/>
      <c r="BR36" s="160"/>
      <c r="BS36" s="160"/>
      <c r="BT36" s="160"/>
      <c r="BU36" s="160"/>
      <c r="BV36" s="160"/>
      <c r="BW36" s="160"/>
    </row>
    <row r="37" spans="1:75" x14ac:dyDescent="0.3">
      <c r="A37" s="144">
        <v>34</v>
      </c>
      <c r="B37" s="145" t="s">
        <v>256</v>
      </c>
      <c r="C37" s="126">
        <v>27</v>
      </c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60"/>
      <c r="BJ37" s="160"/>
      <c r="BK37" s="160"/>
      <c r="BL37" s="160"/>
      <c r="BM37" s="160"/>
      <c r="BN37" s="160"/>
      <c r="BO37" s="160"/>
      <c r="BP37" s="160"/>
      <c r="BQ37" s="160"/>
      <c r="BR37" s="160"/>
      <c r="BS37" s="160"/>
      <c r="BT37" s="160"/>
      <c r="BU37" s="160"/>
      <c r="BV37" s="160"/>
      <c r="BW37" s="160"/>
    </row>
    <row r="38" spans="1:75" x14ac:dyDescent="0.3">
      <c r="A38" s="144">
        <v>35</v>
      </c>
      <c r="B38" s="145" t="s">
        <v>257</v>
      </c>
      <c r="C38" s="126">
        <v>27</v>
      </c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60"/>
      <c r="BJ38" s="160"/>
      <c r="BK38" s="160"/>
      <c r="BL38" s="160"/>
      <c r="BM38" s="160"/>
      <c r="BN38" s="160"/>
      <c r="BO38" s="160"/>
      <c r="BP38" s="160"/>
      <c r="BQ38" s="160"/>
      <c r="BR38" s="160"/>
      <c r="BS38" s="160"/>
      <c r="BT38" s="160"/>
      <c r="BU38" s="160"/>
      <c r="BV38" s="160"/>
      <c r="BW38" s="160"/>
    </row>
    <row r="39" spans="1:75" x14ac:dyDescent="0.3">
      <c r="A39" s="144">
        <v>36</v>
      </c>
      <c r="B39" s="145" t="s">
        <v>258</v>
      </c>
      <c r="C39" s="130">
        <v>27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160"/>
      <c r="BJ39" s="160"/>
      <c r="BK39" s="160"/>
      <c r="BL39" s="160"/>
      <c r="BM39" s="160"/>
      <c r="BN39" s="160"/>
      <c r="BO39" s="160"/>
      <c r="BP39" s="160"/>
      <c r="BQ39" s="160"/>
      <c r="BR39" s="160"/>
      <c r="BS39" s="160"/>
      <c r="BT39" s="160"/>
      <c r="BU39" s="160"/>
      <c r="BV39" s="160"/>
      <c r="BW39" s="160"/>
    </row>
    <row r="40" spans="1:75" x14ac:dyDescent="0.3">
      <c r="A40" s="117">
        <v>37</v>
      </c>
      <c r="B40" s="118" t="s">
        <v>259</v>
      </c>
      <c r="C40" s="142">
        <v>27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>
        <v>500000000</v>
      </c>
      <c r="BK40" s="34">
        <v>5500000000</v>
      </c>
      <c r="BL40" s="34">
        <v>94000263420</v>
      </c>
      <c r="BM40" s="34">
        <f>BM34</f>
        <v>0</v>
      </c>
      <c r="BN40" s="34">
        <v>0</v>
      </c>
      <c r="BO40" s="34">
        <v>0</v>
      </c>
      <c r="BP40" s="34">
        <f>BP34</f>
        <v>0</v>
      </c>
      <c r="BQ40" s="34"/>
      <c r="BR40" s="34"/>
      <c r="BS40" s="34"/>
      <c r="BT40" s="34"/>
      <c r="BU40" s="34"/>
      <c r="BV40" s="34"/>
      <c r="BW40" s="34"/>
    </row>
    <row r="41" spans="1:75" x14ac:dyDescent="0.3">
      <c r="A41" s="149">
        <v>38</v>
      </c>
      <c r="B41" s="150" t="s">
        <v>260</v>
      </c>
      <c r="C41" s="151">
        <v>27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>
        <v>403525189</v>
      </c>
      <c r="BK41" s="37">
        <f>5500003317-5500000000</f>
        <v>3317</v>
      </c>
      <c r="BL41" s="37">
        <f>BL40+BL13+BL16</f>
        <v>93980263420</v>
      </c>
      <c r="BM41" s="37">
        <f>BM40+BM13+BM16+BM32</f>
        <v>-17069832</v>
      </c>
      <c r="BN41" s="37">
        <v>-191408587</v>
      </c>
      <c r="BO41" s="37">
        <v>1097167037</v>
      </c>
      <c r="BP41" s="37">
        <f>BP40+BP13+BP16+BP32</f>
        <v>10459</v>
      </c>
      <c r="BQ41" s="37"/>
      <c r="BR41" s="37"/>
      <c r="BS41" s="37"/>
      <c r="BT41" s="37"/>
      <c r="BU41" s="37"/>
      <c r="BV41" s="37"/>
      <c r="BW41" s="37"/>
    </row>
    <row r="42" spans="1:75" x14ac:dyDescent="0.3">
      <c r="A42" s="117">
        <v>39</v>
      </c>
      <c r="B42" s="118" t="s">
        <v>261</v>
      </c>
      <c r="C42" s="142">
        <v>27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>
        <v>403525189</v>
      </c>
      <c r="BL42" s="34">
        <f>BK44</f>
        <v>403528506</v>
      </c>
      <c r="BM42" s="34">
        <f>BL44</f>
        <v>94383791926</v>
      </c>
      <c r="BN42" s="34">
        <v>94366722094</v>
      </c>
      <c r="BO42" s="34">
        <v>94175313507</v>
      </c>
      <c r="BP42" s="34">
        <f>BO44</f>
        <v>95272480544</v>
      </c>
      <c r="BQ42" s="34"/>
      <c r="BR42" s="34"/>
      <c r="BS42" s="34"/>
      <c r="BT42" s="34"/>
      <c r="BU42" s="34"/>
      <c r="BV42" s="34"/>
      <c r="BW42" s="34"/>
    </row>
    <row r="43" spans="1:75" x14ac:dyDescent="0.3">
      <c r="A43" s="152">
        <v>40</v>
      </c>
      <c r="B43" s="153" t="s">
        <v>262</v>
      </c>
      <c r="C43" s="154">
        <v>27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9"/>
      <c r="AZ43" s="40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</row>
    <row r="44" spans="1:75" x14ac:dyDescent="0.3">
      <c r="A44" s="117">
        <v>41</v>
      </c>
      <c r="B44" s="118" t="s">
        <v>263</v>
      </c>
      <c r="C44" s="142">
        <v>27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>
        <v>403525189</v>
      </c>
      <c r="BK44" s="34">
        <f>BK41+BK42</f>
        <v>403528506</v>
      </c>
      <c r="BL44" s="34">
        <f>BL41+BL42</f>
        <v>94383791926</v>
      </c>
      <c r="BM44" s="34">
        <f>BM41+BM42</f>
        <v>94366722094</v>
      </c>
      <c r="BN44" s="34">
        <v>94175313507</v>
      </c>
      <c r="BO44" s="34">
        <v>95272480544</v>
      </c>
      <c r="BP44" s="34">
        <f>BP41+BP42</f>
        <v>95272491003</v>
      </c>
      <c r="BQ44" s="34"/>
      <c r="BR44" s="34"/>
      <c r="BS44" s="34"/>
      <c r="BT44" s="34"/>
      <c r="BU44" s="34"/>
      <c r="BV44" s="34"/>
      <c r="BW44" s="34"/>
    </row>
  </sheetData>
  <sheetProtection algorithmName="SHA-512" hashValue="jzcNrBOm3/GW4uw6XRF+NDeVIbeUTcYIkjv6eieS0Oow77GRILmOFmR7noT7QuMiKe7sitVHl0zLarT78ltg+w==" saltValue="iE3jfCGjNqAUscrr1Cr0cg==" spinCount="100000" sheet="1" objects="1" scenarios="1"/>
  <protectedRanges>
    <protectedRange sqref="D4:BW44" name="CF"/>
  </protectedRanges>
  <pageMargins left="0.7" right="0.7" top="0.75" bottom="0.75" header="0.3" footer="0.3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FCC43-0A85-49A7-85C3-AB323FB13FDF}">
  <sheetPr>
    <tabColor theme="9" tint="0.59999389629810485"/>
  </sheetPr>
  <dimension ref="A1:BW57"/>
  <sheetViews>
    <sheetView showGridLines="0" zoomScale="80" zoomScaleNormal="80" workbookViewId="0">
      <pane xSplit="3" ySplit="3" topLeftCell="BJ37" activePane="bottomRight" state="frozen"/>
      <selection activeCell="D8" sqref="D8:E8"/>
      <selection pane="topRight" activeCell="D8" sqref="D8:E8"/>
      <selection pane="bottomLeft" activeCell="D8" sqref="D8:E8"/>
      <selection pane="bottomRight" activeCell="BP54" sqref="BP54"/>
    </sheetView>
  </sheetViews>
  <sheetFormatPr defaultRowHeight="14.4" x14ac:dyDescent="0.3"/>
  <cols>
    <col min="1" max="1" width="8" hidden="1" customWidth="1"/>
    <col min="2" max="2" width="55.109375" customWidth="1"/>
    <col min="3" max="3" width="12.109375" style="99" hidden="1" customWidth="1"/>
    <col min="4" max="51" width="17.88671875" hidden="1" customWidth="1"/>
    <col min="52" max="75" width="17.88671875" customWidth="1"/>
  </cols>
  <sheetData>
    <row r="1" spans="1:75" ht="17.399999999999999" x14ac:dyDescent="0.3">
      <c r="B1" s="42" t="s">
        <v>337</v>
      </c>
    </row>
    <row r="2" spans="1:75" x14ac:dyDescent="0.3">
      <c r="B2" s="45" t="s">
        <v>0</v>
      </c>
    </row>
    <row r="3" spans="1:75" ht="55.2" x14ac:dyDescent="0.3">
      <c r="A3" s="168" t="s">
        <v>264</v>
      </c>
      <c r="B3" s="169" t="s">
        <v>265</v>
      </c>
      <c r="C3" s="170" t="s">
        <v>3</v>
      </c>
      <c r="D3" s="171" t="s">
        <v>4</v>
      </c>
      <c r="E3" s="171" t="s">
        <v>5</v>
      </c>
      <c r="F3" s="171" t="s">
        <v>6</v>
      </c>
      <c r="G3" s="171" t="s">
        <v>7</v>
      </c>
      <c r="H3" s="171" t="s">
        <v>8</v>
      </c>
      <c r="I3" s="171" t="s">
        <v>9</v>
      </c>
      <c r="J3" s="171" t="s">
        <v>10</v>
      </c>
      <c r="K3" s="171" t="s">
        <v>11</v>
      </c>
      <c r="L3" s="171" t="s">
        <v>12</v>
      </c>
      <c r="M3" s="171" t="s">
        <v>13</v>
      </c>
      <c r="N3" s="171" t="s">
        <v>14</v>
      </c>
      <c r="O3" s="171" t="s">
        <v>15</v>
      </c>
      <c r="P3" s="171" t="s">
        <v>16</v>
      </c>
      <c r="Q3" s="171" t="s">
        <v>17</v>
      </c>
      <c r="R3" s="171" t="s">
        <v>18</v>
      </c>
      <c r="S3" s="171" t="s">
        <v>19</v>
      </c>
      <c r="T3" s="171" t="s">
        <v>20</v>
      </c>
      <c r="U3" s="171" t="s">
        <v>21</v>
      </c>
      <c r="V3" s="171" t="s">
        <v>22</v>
      </c>
      <c r="W3" s="171" t="s">
        <v>23</v>
      </c>
      <c r="X3" s="171" t="s">
        <v>24</v>
      </c>
      <c r="Y3" s="171" t="s">
        <v>25</v>
      </c>
      <c r="Z3" s="171" t="s">
        <v>26</v>
      </c>
      <c r="AA3" s="171" t="s">
        <v>27</v>
      </c>
      <c r="AB3" s="171" t="s">
        <v>28</v>
      </c>
      <c r="AC3" s="171" t="s">
        <v>29</v>
      </c>
      <c r="AD3" s="171" t="s">
        <v>30</v>
      </c>
      <c r="AE3" s="171" t="s">
        <v>31</v>
      </c>
      <c r="AF3" s="171" t="s">
        <v>32</v>
      </c>
      <c r="AG3" s="171" t="s">
        <v>33</v>
      </c>
      <c r="AH3" s="171" t="s">
        <v>34</v>
      </c>
      <c r="AI3" s="171" t="s">
        <v>35</v>
      </c>
      <c r="AJ3" s="171" t="s">
        <v>36</v>
      </c>
      <c r="AK3" s="171" t="s">
        <v>37</v>
      </c>
      <c r="AL3" s="171" t="s">
        <v>38</v>
      </c>
      <c r="AM3" s="171" t="s">
        <v>39</v>
      </c>
      <c r="AN3" s="171" t="s">
        <v>40</v>
      </c>
      <c r="AO3" s="171" t="s">
        <v>41</v>
      </c>
      <c r="AP3" s="171" t="s">
        <v>42</v>
      </c>
      <c r="AQ3" s="171" t="s">
        <v>43</v>
      </c>
      <c r="AR3" s="171" t="s">
        <v>44</v>
      </c>
      <c r="AS3" s="171" t="s">
        <v>45</v>
      </c>
      <c r="AT3" s="171" t="s">
        <v>46</v>
      </c>
      <c r="AU3" s="171" t="s">
        <v>47</v>
      </c>
      <c r="AV3" s="171" t="s">
        <v>48</v>
      </c>
      <c r="AW3" s="171" t="s">
        <v>49</v>
      </c>
      <c r="AX3" s="171" t="s">
        <v>50</v>
      </c>
      <c r="AY3" s="171" t="s">
        <v>51</v>
      </c>
      <c r="AZ3" s="171" t="s">
        <v>52</v>
      </c>
      <c r="BA3" s="171" t="s">
        <v>53</v>
      </c>
      <c r="BB3" s="171" t="s">
        <v>54</v>
      </c>
      <c r="BC3" s="171" t="s">
        <v>55</v>
      </c>
      <c r="BD3" s="171" t="s">
        <v>56</v>
      </c>
      <c r="BE3" s="171" t="s">
        <v>57</v>
      </c>
      <c r="BF3" s="171" t="s">
        <v>58</v>
      </c>
      <c r="BG3" s="171" t="s">
        <v>59</v>
      </c>
      <c r="BH3" s="171" t="s">
        <v>60</v>
      </c>
      <c r="BI3" s="171" t="s">
        <v>61</v>
      </c>
      <c r="BJ3" s="171" t="s">
        <v>62</v>
      </c>
      <c r="BK3" s="171" t="s">
        <v>63</v>
      </c>
      <c r="BL3" s="171" t="s">
        <v>64</v>
      </c>
      <c r="BM3" s="171" t="s">
        <v>65</v>
      </c>
      <c r="BN3" s="171" t="s">
        <v>66</v>
      </c>
      <c r="BO3" s="171" t="s">
        <v>67</v>
      </c>
      <c r="BP3" s="171" t="s">
        <v>68</v>
      </c>
      <c r="BQ3" s="171" t="s">
        <v>69</v>
      </c>
      <c r="BR3" s="171" t="s">
        <v>70</v>
      </c>
      <c r="BS3" s="171" t="s">
        <v>71</v>
      </c>
      <c r="BT3" s="171" t="s">
        <v>72</v>
      </c>
      <c r="BU3" s="171" t="s">
        <v>73</v>
      </c>
      <c r="BV3" s="171" t="s">
        <v>74</v>
      </c>
      <c r="BW3" s="171" t="s">
        <v>75</v>
      </c>
    </row>
    <row r="4" spans="1:75" x14ac:dyDescent="0.3">
      <c r="A4" s="172">
        <v>1</v>
      </c>
      <c r="B4" s="173" t="s">
        <v>266</v>
      </c>
      <c r="C4" s="174">
        <v>27</v>
      </c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  <c r="BG4" s="192"/>
      <c r="BH4" s="192"/>
      <c r="BI4" s="192"/>
      <c r="BJ4" s="192"/>
      <c r="BK4" s="192"/>
      <c r="BL4" s="192"/>
      <c r="BM4" s="192"/>
      <c r="BN4" s="192"/>
      <c r="BO4" s="192"/>
      <c r="BP4" s="192"/>
      <c r="BQ4" s="192"/>
      <c r="BR4" s="192"/>
      <c r="BS4" s="192"/>
      <c r="BT4" s="192"/>
      <c r="BU4" s="192"/>
      <c r="BV4" s="192"/>
      <c r="BW4" s="192"/>
    </row>
    <row r="5" spans="1:75" x14ac:dyDescent="0.3">
      <c r="A5" s="172">
        <v>2</v>
      </c>
      <c r="B5" s="173" t="s">
        <v>267</v>
      </c>
      <c r="C5" s="174">
        <v>27</v>
      </c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  <c r="BG5" s="192"/>
      <c r="BH5" s="192"/>
      <c r="BI5" s="192"/>
      <c r="BJ5" s="192"/>
      <c r="BK5" s="192"/>
      <c r="BL5" s="192"/>
      <c r="BM5" s="192"/>
      <c r="BN5" s="192"/>
      <c r="BO5" s="192"/>
      <c r="BP5" s="192"/>
      <c r="BQ5" s="192"/>
      <c r="BR5" s="192"/>
      <c r="BS5" s="192"/>
      <c r="BT5" s="192"/>
      <c r="BU5" s="192"/>
      <c r="BV5" s="192"/>
      <c r="BW5" s="192"/>
    </row>
    <row r="6" spans="1:75" x14ac:dyDescent="0.3">
      <c r="A6" s="172">
        <v>3</v>
      </c>
      <c r="B6" s="173" t="s">
        <v>268</v>
      </c>
      <c r="C6" s="174">
        <v>27</v>
      </c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192"/>
      <c r="BG6" s="192"/>
      <c r="BH6" s="192"/>
      <c r="BI6" s="192"/>
      <c r="BJ6" s="192"/>
      <c r="BK6" s="192"/>
      <c r="BL6" s="192"/>
      <c r="BM6" s="192"/>
      <c r="BN6" s="192"/>
      <c r="BO6" s="192"/>
      <c r="BP6" s="192"/>
      <c r="BQ6" s="192"/>
      <c r="BR6" s="192"/>
      <c r="BS6" s="192"/>
      <c r="BT6" s="192"/>
      <c r="BU6" s="192"/>
      <c r="BV6" s="192"/>
      <c r="BW6" s="192"/>
    </row>
    <row r="7" spans="1:75" x14ac:dyDescent="0.3">
      <c r="A7" s="172">
        <v>4</v>
      </c>
      <c r="B7" s="173" t="s">
        <v>269</v>
      </c>
      <c r="C7" s="174">
        <v>27</v>
      </c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2"/>
      <c r="BJ7" s="192"/>
      <c r="BK7" s="192"/>
      <c r="BL7" s="192"/>
      <c r="BM7" s="192"/>
      <c r="BN7" s="192"/>
      <c r="BO7" s="192"/>
      <c r="BP7" s="192"/>
      <c r="BQ7" s="192"/>
      <c r="BR7" s="192"/>
      <c r="BS7" s="192"/>
      <c r="BT7" s="192"/>
      <c r="BU7" s="192"/>
      <c r="BV7" s="192"/>
      <c r="BW7" s="192"/>
    </row>
    <row r="8" spans="1:75" x14ac:dyDescent="0.3">
      <c r="A8" s="172">
        <v>5</v>
      </c>
      <c r="B8" s="173" t="s">
        <v>270</v>
      </c>
      <c r="C8" s="174">
        <v>27</v>
      </c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>
        <f>'Ket qua kinh doanh'!P4</f>
        <v>0</v>
      </c>
      <c r="Q8" s="192">
        <f>'Ket qua kinh doanh'!Q4</f>
        <v>0</v>
      </c>
      <c r="R8" s="192">
        <f>'Ket qua kinh doanh'!R4</f>
        <v>0</v>
      </c>
      <c r="S8" s="192">
        <f>'Ket qua kinh doanh'!S4</f>
        <v>0</v>
      </c>
      <c r="T8" s="192">
        <f>'Ket qua kinh doanh'!T4</f>
        <v>0</v>
      </c>
      <c r="U8" s="192">
        <f>'Ket qua kinh doanh'!U4</f>
        <v>0</v>
      </c>
      <c r="V8" s="192">
        <f>'Ket qua kinh doanh'!V4</f>
        <v>0</v>
      </c>
      <c r="W8" s="192">
        <f>'Ket qua kinh doanh'!W4</f>
        <v>0</v>
      </c>
      <c r="X8" s="192">
        <f>'Ket qua kinh doanh'!X4</f>
        <v>0</v>
      </c>
      <c r="Y8" s="192">
        <f>'Ket qua kinh doanh'!Y4</f>
        <v>0</v>
      </c>
      <c r="Z8" s="192">
        <f>'Ket qua kinh doanh'!Z4</f>
        <v>0</v>
      </c>
      <c r="AA8" s="192">
        <f>'Ket qua kinh doanh'!AA4</f>
        <v>0</v>
      </c>
      <c r="AB8" s="192">
        <f>'Ket qua kinh doanh'!AB4</f>
        <v>0</v>
      </c>
      <c r="AC8" s="192">
        <f>'Ket qua kinh doanh'!AC4</f>
        <v>0</v>
      </c>
      <c r="AD8" s="192">
        <f>'Ket qua kinh doanh'!AD4</f>
        <v>0</v>
      </c>
      <c r="AE8" s="192">
        <f>'Ket qua kinh doanh'!AE4</f>
        <v>0</v>
      </c>
      <c r="AF8" s="192">
        <f>'Ket qua kinh doanh'!AF4</f>
        <v>0</v>
      </c>
      <c r="AG8" s="192">
        <f>'Ket qua kinh doanh'!AG4</f>
        <v>0</v>
      </c>
      <c r="AH8" s="192">
        <f>'Ket qua kinh doanh'!AH4</f>
        <v>0</v>
      </c>
      <c r="AI8" s="192">
        <f>'Ket qua kinh doanh'!AI4</f>
        <v>0</v>
      </c>
      <c r="AJ8" s="192">
        <f>'Ket qua kinh doanh'!AJ4</f>
        <v>0</v>
      </c>
      <c r="AK8" s="192">
        <f>'Ket qua kinh doanh'!AK4</f>
        <v>0</v>
      </c>
      <c r="AL8" s="192">
        <f>'Ket qua kinh doanh'!AL4</f>
        <v>0</v>
      </c>
      <c r="AM8" s="192">
        <f>'Ket qua kinh doanh'!AM4</f>
        <v>0</v>
      </c>
      <c r="AN8" s="192">
        <f>'Ket qua kinh doanh'!AN4</f>
        <v>0</v>
      </c>
      <c r="AO8" s="192">
        <f>'Ket qua kinh doanh'!AO4</f>
        <v>0</v>
      </c>
      <c r="AP8" s="192">
        <f>'Ket qua kinh doanh'!AP4</f>
        <v>0</v>
      </c>
      <c r="AQ8" s="192">
        <f>'Ket qua kinh doanh'!AQ4</f>
        <v>0</v>
      </c>
      <c r="AR8" s="192">
        <f>'Ket qua kinh doanh'!AR4</f>
        <v>0</v>
      </c>
      <c r="AS8" s="192">
        <f>'Ket qua kinh doanh'!AS4</f>
        <v>0</v>
      </c>
      <c r="AT8" s="192">
        <f>'Ket qua kinh doanh'!AT4</f>
        <v>0</v>
      </c>
      <c r="AU8" s="192">
        <f>'Ket qua kinh doanh'!AU4</f>
        <v>0</v>
      </c>
      <c r="AV8" s="192">
        <f>'Ket qua kinh doanh'!AV4</f>
        <v>0</v>
      </c>
      <c r="AW8" s="192">
        <f>'Ket qua kinh doanh'!AW4</f>
        <v>0</v>
      </c>
      <c r="AX8" s="192">
        <f>'Ket qua kinh doanh'!AX4</f>
        <v>0</v>
      </c>
      <c r="AY8" s="192">
        <f>'Ket qua kinh doanh'!AY4</f>
        <v>0</v>
      </c>
      <c r="AZ8" s="192">
        <f>'Ket qua kinh doanh'!AZ4</f>
        <v>0</v>
      </c>
      <c r="BA8" s="192">
        <f>'Ket qua kinh doanh'!BA4</f>
        <v>0</v>
      </c>
      <c r="BB8" s="192">
        <f>'Ket qua kinh doanh'!BB4</f>
        <v>0</v>
      </c>
      <c r="BC8" s="192">
        <f>'Ket qua kinh doanh'!BC4</f>
        <v>0</v>
      </c>
      <c r="BD8" s="192">
        <f>'Ket qua kinh doanh'!BD4</f>
        <v>0</v>
      </c>
      <c r="BE8" s="192">
        <f>'Ket qua kinh doanh'!BE4</f>
        <v>0</v>
      </c>
      <c r="BF8" s="192">
        <f>'Ket qua kinh doanh'!BF4</f>
        <v>0</v>
      </c>
      <c r="BG8" s="192">
        <f>'Ket qua kinh doanh'!BG4</f>
        <v>0</v>
      </c>
      <c r="BH8" s="192">
        <f>'Ket qua kinh doanh'!BH4</f>
        <v>0</v>
      </c>
      <c r="BI8" s="192">
        <f>'Ket qua kinh doanh'!BI4</f>
        <v>0</v>
      </c>
      <c r="BJ8" s="192">
        <f>'Ket qua kinh doanh'!BJ4</f>
        <v>0</v>
      </c>
      <c r="BK8" s="192">
        <f>'Ket qua kinh doanh'!BK4</f>
        <v>0</v>
      </c>
      <c r="BL8" s="192">
        <f>'Ket qua kinh doanh'!BL4</f>
        <v>0</v>
      </c>
      <c r="BM8" s="192">
        <f>'Ket qua kinh doanh'!BM4</f>
        <v>0</v>
      </c>
      <c r="BN8" s="192">
        <f>'Ket qua kinh doanh'!BN4</f>
        <v>0</v>
      </c>
      <c r="BO8" s="192">
        <f>'Ket qua kinh doanh'!BO4</f>
        <v>0</v>
      </c>
      <c r="BP8" s="192">
        <f>'Ket qua kinh doanh'!BP4</f>
        <v>0</v>
      </c>
      <c r="BQ8" s="192">
        <f>'Ket qua kinh doanh'!BQ4</f>
        <v>0</v>
      </c>
      <c r="BR8" s="192">
        <f>'Ket qua kinh doanh'!BR4</f>
        <v>0</v>
      </c>
      <c r="BS8" s="192">
        <f>'Ket qua kinh doanh'!BS4</f>
        <v>0</v>
      </c>
      <c r="BT8" s="192">
        <f>'Ket qua kinh doanh'!BT4</f>
        <v>0</v>
      </c>
      <c r="BU8" s="192">
        <f>'Ket qua kinh doanh'!BU4</f>
        <v>0</v>
      </c>
      <c r="BV8" s="192">
        <f>'Ket qua kinh doanh'!BV4</f>
        <v>0</v>
      </c>
      <c r="BW8" s="192">
        <f>'Ket qua kinh doanh'!BW4</f>
        <v>0</v>
      </c>
    </row>
    <row r="9" spans="1:75" x14ac:dyDescent="0.3">
      <c r="A9" s="175">
        <v>6</v>
      </c>
      <c r="B9" s="176" t="s">
        <v>271</v>
      </c>
      <c r="C9" s="177">
        <v>27</v>
      </c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>
        <f>'Ket qua kinh doanh'!P5</f>
        <v>0</v>
      </c>
      <c r="Q9" s="193">
        <f>'Ket qua kinh doanh'!Q5</f>
        <v>0</v>
      </c>
      <c r="R9" s="193">
        <f>'Ket qua kinh doanh'!R5</f>
        <v>0</v>
      </c>
      <c r="S9" s="193">
        <f>'Ket qua kinh doanh'!S5</f>
        <v>0</v>
      </c>
      <c r="T9" s="193">
        <f>'Ket qua kinh doanh'!T5</f>
        <v>0</v>
      </c>
      <c r="U9" s="193">
        <f>'Ket qua kinh doanh'!U5</f>
        <v>0</v>
      </c>
      <c r="V9" s="193">
        <f>'Ket qua kinh doanh'!V5</f>
        <v>0</v>
      </c>
      <c r="W9" s="193">
        <f>'Ket qua kinh doanh'!W5</f>
        <v>0</v>
      </c>
      <c r="X9" s="193">
        <f>'Ket qua kinh doanh'!X5</f>
        <v>0</v>
      </c>
      <c r="Y9" s="193">
        <f>'Ket qua kinh doanh'!Y5</f>
        <v>0</v>
      </c>
      <c r="Z9" s="193">
        <f>'Ket qua kinh doanh'!Z5</f>
        <v>0</v>
      </c>
      <c r="AA9" s="193">
        <f>'Ket qua kinh doanh'!AA5</f>
        <v>0</v>
      </c>
      <c r="AB9" s="193">
        <f>'Ket qua kinh doanh'!AB5</f>
        <v>0</v>
      </c>
      <c r="AC9" s="193">
        <f>'Ket qua kinh doanh'!AC5</f>
        <v>0</v>
      </c>
      <c r="AD9" s="193">
        <f>'Ket qua kinh doanh'!AD5</f>
        <v>0</v>
      </c>
      <c r="AE9" s="193">
        <f>'Ket qua kinh doanh'!AE5</f>
        <v>0</v>
      </c>
      <c r="AF9" s="193">
        <f>'Ket qua kinh doanh'!AF5</f>
        <v>0</v>
      </c>
      <c r="AG9" s="193">
        <f>'Ket qua kinh doanh'!AG5</f>
        <v>0</v>
      </c>
      <c r="AH9" s="193">
        <f>'Ket qua kinh doanh'!AH5</f>
        <v>0</v>
      </c>
      <c r="AI9" s="193">
        <f>'Ket qua kinh doanh'!AI5</f>
        <v>0</v>
      </c>
      <c r="AJ9" s="193">
        <f>'Ket qua kinh doanh'!AJ5</f>
        <v>0</v>
      </c>
      <c r="AK9" s="193">
        <f>'Ket qua kinh doanh'!AK5</f>
        <v>0</v>
      </c>
      <c r="AL9" s="193">
        <f>'Ket qua kinh doanh'!AL5</f>
        <v>0</v>
      </c>
      <c r="AM9" s="193">
        <f>'Ket qua kinh doanh'!AM5</f>
        <v>0</v>
      </c>
      <c r="AN9" s="193">
        <f>'Ket qua kinh doanh'!AN5</f>
        <v>0</v>
      </c>
      <c r="AO9" s="193">
        <f>'Ket qua kinh doanh'!AO5</f>
        <v>0</v>
      </c>
      <c r="AP9" s="193">
        <f>'Ket qua kinh doanh'!AP5</f>
        <v>0</v>
      </c>
      <c r="AQ9" s="193">
        <f>'Ket qua kinh doanh'!AQ5</f>
        <v>0</v>
      </c>
      <c r="AR9" s="193">
        <f>'Ket qua kinh doanh'!AR5</f>
        <v>0</v>
      </c>
      <c r="AS9" s="193">
        <f>'Ket qua kinh doanh'!AS5</f>
        <v>0</v>
      </c>
      <c r="AT9" s="193">
        <f>'Ket qua kinh doanh'!AT5</f>
        <v>0</v>
      </c>
      <c r="AU9" s="193">
        <f>'Ket qua kinh doanh'!AU5</f>
        <v>0</v>
      </c>
      <c r="AV9" s="193">
        <f>'Ket qua kinh doanh'!AV5</f>
        <v>0</v>
      </c>
      <c r="AW9" s="193">
        <f>'Ket qua kinh doanh'!AW5</f>
        <v>0</v>
      </c>
      <c r="AX9" s="193">
        <f>'Ket qua kinh doanh'!AX5</f>
        <v>0</v>
      </c>
      <c r="AY9" s="193">
        <f>'Ket qua kinh doanh'!AY5</f>
        <v>0</v>
      </c>
      <c r="AZ9" s="193">
        <f>'Ket qua kinh doanh'!AZ5</f>
        <v>0</v>
      </c>
      <c r="BA9" s="193">
        <f>'Ket qua kinh doanh'!BA5</f>
        <v>0</v>
      </c>
      <c r="BB9" s="193">
        <f>'Ket qua kinh doanh'!BB5</f>
        <v>0</v>
      </c>
      <c r="BC9" s="193">
        <f>'Ket qua kinh doanh'!BC5</f>
        <v>0</v>
      </c>
      <c r="BD9" s="193">
        <f>'Ket qua kinh doanh'!BD5</f>
        <v>0</v>
      </c>
      <c r="BE9" s="193">
        <f>'Ket qua kinh doanh'!BE5</f>
        <v>0</v>
      </c>
      <c r="BF9" s="193">
        <f>'Ket qua kinh doanh'!BF5</f>
        <v>0</v>
      </c>
      <c r="BG9" s="193">
        <f>'Ket qua kinh doanh'!BG5</f>
        <v>0</v>
      </c>
      <c r="BH9" s="193">
        <f>'Ket qua kinh doanh'!BH5</f>
        <v>0</v>
      </c>
      <c r="BI9" s="193">
        <f>'Ket qua kinh doanh'!BI5</f>
        <v>0</v>
      </c>
      <c r="BJ9" s="193">
        <f>'Ket qua kinh doanh'!BJ5</f>
        <v>0</v>
      </c>
      <c r="BK9" s="193">
        <f>'Ket qua kinh doanh'!BK5</f>
        <v>0</v>
      </c>
      <c r="BL9" s="193">
        <f>'Ket qua kinh doanh'!BL5</f>
        <v>0</v>
      </c>
      <c r="BM9" s="193">
        <f>'Ket qua kinh doanh'!BM5</f>
        <v>0</v>
      </c>
      <c r="BN9" s="193">
        <f>'Ket qua kinh doanh'!BN5</f>
        <v>0</v>
      </c>
      <c r="BO9" s="193">
        <f>'Ket qua kinh doanh'!BO5</f>
        <v>0</v>
      </c>
      <c r="BP9" s="193">
        <f>'Ket qua kinh doanh'!BP5</f>
        <v>0</v>
      </c>
      <c r="BQ9" s="193">
        <f>'Ket qua kinh doanh'!BQ5</f>
        <v>0</v>
      </c>
      <c r="BR9" s="193">
        <f>'Ket qua kinh doanh'!BR5</f>
        <v>0</v>
      </c>
      <c r="BS9" s="193">
        <f>'Ket qua kinh doanh'!BS5</f>
        <v>0</v>
      </c>
      <c r="BT9" s="193">
        <f>'Ket qua kinh doanh'!BT5</f>
        <v>0</v>
      </c>
      <c r="BU9" s="193">
        <f>'Ket qua kinh doanh'!BU5</f>
        <v>0</v>
      </c>
      <c r="BV9" s="193">
        <f>'Ket qua kinh doanh'!BV5</f>
        <v>0</v>
      </c>
      <c r="BW9" s="193">
        <f>'Ket qua kinh doanh'!BW5</f>
        <v>0</v>
      </c>
    </row>
    <row r="10" spans="1:75" x14ac:dyDescent="0.3">
      <c r="A10" s="178">
        <v>7</v>
      </c>
      <c r="B10" s="179" t="s">
        <v>272</v>
      </c>
      <c r="C10" s="180">
        <v>27</v>
      </c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>
        <f>'Ket qua kinh doanh'!P6</f>
        <v>0</v>
      </c>
      <c r="Q10" s="194">
        <f>'Ket qua kinh doanh'!Q6</f>
        <v>0</v>
      </c>
      <c r="R10" s="194">
        <f>'Ket qua kinh doanh'!R6</f>
        <v>0</v>
      </c>
      <c r="S10" s="194">
        <f>'Ket qua kinh doanh'!S6</f>
        <v>0</v>
      </c>
      <c r="T10" s="194">
        <f>'Ket qua kinh doanh'!T6</f>
        <v>0</v>
      </c>
      <c r="U10" s="194">
        <f>'Ket qua kinh doanh'!U6</f>
        <v>0</v>
      </c>
      <c r="V10" s="194">
        <f>'Ket qua kinh doanh'!V6</f>
        <v>0</v>
      </c>
      <c r="W10" s="194">
        <f>'Ket qua kinh doanh'!W6</f>
        <v>0</v>
      </c>
      <c r="X10" s="194">
        <f>'Ket qua kinh doanh'!X6</f>
        <v>0</v>
      </c>
      <c r="Y10" s="194">
        <f>'Ket qua kinh doanh'!Y6</f>
        <v>0</v>
      </c>
      <c r="Z10" s="194">
        <f>'Ket qua kinh doanh'!Z6</f>
        <v>0</v>
      </c>
      <c r="AA10" s="194">
        <f>'Ket qua kinh doanh'!AA6</f>
        <v>0</v>
      </c>
      <c r="AB10" s="194">
        <f>'Ket qua kinh doanh'!AB6</f>
        <v>0</v>
      </c>
      <c r="AC10" s="194">
        <f>'Ket qua kinh doanh'!AC6</f>
        <v>0</v>
      </c>
      <c r="AD10" s="194">
        <f>'Ket qua kinh doanh'!AD6</f>
        <v>0</v>
      </c>
      <c r="AE10" s="194">
        <f>'Ket qua kinh doanh'!AE6</f>
        <v>0</v>
      </c>
      <c r="AF10" s="194">
        <f>'Ket qua kinh doanh'!AF6</f>
        <v>0</v>
      </c>
      <c r="AG10" s="194">
        <f>'Ket qua kinh doanh'!AG6</f>
        <v>0</v>
      </c>
      <c r="AH10" s="194">
        <f>'Ket qua kinh doanh'!AH6</f>
        <v>0</v>
      </c>
      <c r="AI10" s="194">
        <f>'Ket qua kinh doanh'!AI6</f>
        <v>0</v>
      </c>
      <c r="AJ10" s="194">
        <f>'Ket qua kinh doanh'!AJ6</f>
        <v>0</v>
      </c>
      <c r="AK10" s="194">
        <f>'Ket qua kinh doanh'!AK6</f>
        <v>0</v>
      </c>
      <c r="AL10" s="194">
        <f>'Ket qua kinh doanh'!AL6</f>
        <v>0</v>
      </c>
      <c r="AM10" s="194">
        <f>'Ket qua kinh doanh'!AM6</f>
        <v>0</v>
      </c>
      <c r="AN10" s="194">
        <f>'Ket qua kinh doanh'!AN6</f>
        <v>0</v>
      </c>
      <c r="AO10" s="194">
        <f>'Ket qua kinh doanh'!AO6</f>
        <v>0</v>
      </c>
      <c r="AP10" s="194">
        <f>'Ket qua kinh doanh'!AP6</f>
        <v>0</v>
      </c>
      <c r="AQ10" s="194">
        <f>'Ket qua kinh doanh'!AQ6</f>
        <v>0</v>
      </c>
      <c r="AR10" s="194">
        <f>'Ket qua kinh doanh'!AR6</f>
        <v>0</v>
      </c>
      <c r="AS10" s="194">
        <f>'Ket qua kinh doanh'!AS6</f>
        <v>0</v>
      </c>
      <c r="AT10" s="194">
        <f>'Ket qua kinh doanh'!AT6</f>
        <v>0</v>
      </c>
      <c r="AU10" s="194">
        <f>'Ket qua kinh doanh'!AU6</f>
        <v>0</v>
      </c>
      <c r="AV10" s="194">
        <f>'Ket qua kinh doanh'!AV6</f>
        <v>0</v>
      </c>
      <c r="AW10" s="194">
        <f>'Ket qua kinh doanh'!AW6</f>
        <v>0</v>
      </c>
      <c r="AX10" s="194">
        <f>'Ket qua kinh doanh'!AX6</f>
        <v>0</v>
      </c>
      <c r="AY10" s="194">
        <f>'Ket qua kinh doanh'!AY6</f>
        <v>0</v>
      </c>
      <c r="AZ10" s="194">
        <f>'Ket qua kinh doanh'!AZ6</f>
        <v>0</v>
      </c>
      <c r="BA10" s="194">
        <f>'Ket qua kinh doanh'!BA6</f>
        <v>0</v>
      </c>
      <c r="BB10" s="194">
        <f>'Ket qua kinh doanh'!BB6</f>
        <v>0</v>
      </c>
      <c r="BC10" s="194">
        <f>'Ket qua kinh doanh'!BC6</f>
        <v>0</v>
      </c>
      <c r="BD10" s="194">
        <f>'Ket qua kinh doanh'!BD6</f>
        <v>0</v>
      </c>
      <c r="BE10" s="194">
        <f>'Ket qua kinh doanh'!BE6</f>
        <v>0</v>
      </c>
      <c r="BF10" s="194">
        <f>'Ket qua kinh doanh'!BF6</f>
        <v>0</v>
      </c>
      <c r="BG10" s="194">
        <f>'Ket qua kinh doanh'!BG6</f>
        <v>0</v>
      </c>
      <c r="BH10" s="194">
        <f>'Ket qua kinh doanh'!BH6</f>
        <v>0</v>
      </c>
      <c r="BI10" s="194">
        <f>'Ket qua kinh doanh'!BI6</f>
        <v>0</v>
      </c>
      <c r="BJ10" s="194">
        <f>'Ket qua kinh doanh'!BJ6</f>
        <v>0</v>
      </c>
      <c r="BK10" s="194">
        <f>'Ket qua kinh doanh'!BK6</f>
        <v>0</v>
      </c>
      <c r="BL10" s="194">
        <f>'Ket qua kinh doanh'!BL6</f>
        <v>0</v>
      </c>
      <c r="BM10" s="194">
        <f>'Ket qua kinh doanh'!BM6</f>
        <v>0</v>
      </c>
      <c r="BN10" s="194">
        <f>'Ket qua kinh doanh'!BN6</f>
        <v>0</v>
      </c>
      <c r="BO10" s="194">
        <f>'Ket qua kinh doanh'!BO6</f>
        <v>0</v>
      </c>
      <c r="BP10" s="194">
        <f>'Ket qua kinh doanh'!BP6</f>
        <v>0</v>
      </c>
      <c r="BQ10" s="194">
        <f>'Ket qua kinh doanh'!BQ6</f>
        <v>0</v>
      </c>
      <c r="BR10" s="194">
        <f>'Ket qua kinh doanh'!BR6</f>
        <v>0</v>
      </c>
      <c r="BS10" s="194">
        <f>'Ket qua kinh doanh'!BS6</f>
        <v>0</v>
      </c>
      <c r="BT10" s="194">
        <f>'Ket qua kinh doanh'!BT6</f>
        <v>0</v>
      </c>
      <c r="BU10" s="194">
        <f>'Ket qua kinh doanh'!BU6</f>
        <v>0</v>
      </c>
      <c r="BV10" s="194">
        <f>'Ket qua kinh doanh'!BV6</f>
        <v>0</v>
      </c>
      <c r="BW10" s="194">
        <f>'Ket qua kinh doanh'!BW6</f>
        <v>0</v>
      </c>
    </row>
    <row r="11" spans="1:75" x14ac:dyDescent="0.3">
      <c r="A11" s="178">
        <v>8</v>
      </c>
      <c r="B11" s="179" t="s">
        <v>273</v>
      </c>
      <c r="C11" s="181">
        <v>27</v>
      </c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 t="str">
        <f t="shared" ref="P11:BJ11" si="0">IFERROR(P10/P9,"")</f>
        <v/>
      </c>
      <c r="Q11" s="195" t="str">
        <f t="shared" si="0"/>
        <v/>
      </c>
      <c r="R11" s="195" t="str">
        <f t="shared" si="0"/>
        <v/>
      </c>
      <c r="S11" s="195" t="str">
        <f t="shared" si="0"/>
        <v/>
      </c>
      <c r="T11" s="195" t="str">
        <f t="shared" si="0"/>
        <v/>
      </c>
      <c r="U11" s="195" t="str">
        <f t="shared" si="0"/>
        <v/>
      </c>
      <c r="V11" s="195" t="str">
        <f t="shared" si="0"/>
        <v/>
      </c>
      <c r="W11" s="195" t="str">
        <f t="shared" si="0"/>
        <v/>
      </c>
      <c r="X11" s="195" t="str">
        <f t="shared" si="0"/>
        <v/>
      </c>
      <c r="Y11" s="195" t="str">
        <f t="shared" si="0"/>
        <v/>
      </c>
      <c r="Z11" s="195" t="str">
        <f t="shared" si="0"/>
        <v/>
      </c>
      <c r="AA11" s="195" t="str">
        <f t="shared" si="0"/>
        <v/>
      </c>
      <c r="AB11" s="195" t="str">
        <f t="shared" si="0"/>
        <v/>
      </c>
      <c r="AC11" s="195" t="str">
        <f t="shared" si="0"/>
        <v/>
      </c>
      <c r="AD11" s="195" t="str">
        <f t="shared" si="0"/>
        <v/>
      </c>
      <c r="AE11" s="195" t="str">
        <f t="shared" si="0"/>
        <v/>
      </c>
      <c r="AF11" s="195" t="str">
        <f t="shared" si="0"/>
        <v/>
      </c>
      <c r="AG11" s="195" t="str">
        <f t="shared" si="0"/>
        <v/>
      </c>
      <c r="AH11" s="195" t="str">
        <f t="shared" si="0"/>
        <v/>
      </c>
      <c r="AI11" s="195" t="str">
        <f t="shared" si="0"/>
        <v/>
      </c>
      <c r="AJ11" s="195" t="str">
        <f t="shared" si="0"/>
        <v/>
      </c>
      <c r="AK11" s="195" t="str">
        <f t="shared" si="0"/>
        <v/>
      </c>
      <c r="AL11" s="195" t="str">
        <f t="shared" si="0"/>
        <v/>
      </c>
      <c r="AM11" s="195" t="str">
        <f t="shared" si="0"/>
        <v/>
      </c>
      <c r="AN11" s="195" t="str">
        <f t="shared" si="0"/>
        <v/>
      </c>
      <c r="AO11" s="195" t="str">
        <f t="shared" si="0"/>
        <v/>
      </c>
      <c r="AP11" s="195" t="str">
        <f t="shared" si="0"/>
        <v/>
      </c>
      <c r="AQ11" s="195" t="str">
        <f t="shared" si="0"/>
        <v/>
      </c>
      <c r="AR11" s="195" t="str">
        <f t="shared" si="0"/>
        <v/>
      </c>
      <c r="AS11" s="195" t="str">
        <f t="shared" si="0"/>
        <v/>
      </c>
      <c r="AT11" s="195" t="str">
        <f t="shared" si="0"/>
        <v/>
      </c>
      <c r="AU11" s="195" t="str">
        <f t="shared" si="0"/>
        <v/>
      </c>
      <c r="AV11" s="195" t="str">
        <f t="shared" si="0"/>
        <v/>
      </c>
      <c r="AW11" s="195" t="str">
        <f t="shared" si="0"/>
        <v/>
      </c>
      <c r="AX11" s="195" t="str">
        <f t="shared" si="0"/>
        <v/>
      </c>
      <c r="AY11" s="195" t="str">
        <f t="shared" si="0"/>
        <v/>
      </c>
      <c r="AZ11" s="195" t="str">
        <f t="shared" si="0"/>
        <v/>
      </c>
      <c r="BA11" s="195" t="str">
        <f t="shared" si="0"/>
        <v/>
      </c>
      <c r="BB11" s="195" t="str">
        <f t="shared" si="0"/>
        <v/>
      </c>
      <c r="BC11" s="195" t="str">
        <f t="shared" si="0"/>
        <v/>
      </c>
      <c r="BD11" s="195" t="str">
        <f t="shared" si="0"/>
        <v/>
      </c>
      <c r="BE11" s="195" t="str">
        <f t="shared" si="0"/>
        <v/>
      </c>
      <c r="BF11" s="195" t="str">
        <f t="shared" si="0"/>
        <v/>
      </c>
      <c r="BG11" s="195" t="str">
        <f t="shared" si="0"/>
        <v/>
      </c>
      <c r="BH11" s="195" t="str">
        <f t="shared" si="0"/>
        <v/>
      </c>
      <c r="BI11" s="195" t="str">
        <f t="shared" si="0"/>
        <v/>
      </c>
      <c r="BJ11" s="195" t="str">
        <f t="shared" si="0"/>
        <v/>
      </c>
      <c r="BK11" s="195" t="str">
        <f t="shared" ref="BK11:BW11" si="1">IFERROR(BK10/BK9,"")</f>
        <v/>
      </c>
      <c r="BL11" s="195" t="str">
        <f t="shared" si="1"/>
        <v/>
      </c>
      <c r="BM11" s="195" t="str">
        <f t="shared" si="1"/>
        <v/>
      </c>
      <c r="BN11" s="195" t="str">
        <f t="shared" si="1"/>
        <v/>
      </c>
      <c r="BO11" s="195" t="str">
        <f t="shared" si="1"/>
        <v/>
      </c>
      <c r="BP11" s="195" t="str">
        <f t="shared" si="1"/>
        <v/>
      </c>
      <c r="BQ11" s="195" t="str">
        <f t="shared" si="1"/>
        <v/>
      </c>
      <c r="BR11" s="195" t="str">
        <f t="shared" si="1"/>
        <v/>
      </c>
      <c r="BS11" s="195" t="str">
        <f t="shared" si="1"/>
        <v/>
      </c>
      <c r="BT11" s="195" t="str">
        <f t="shared" si="1"/>
        <v/>
      </c>
      <c r="BU11" s="195" t="str">
        <f t="shared" si="1"/>
        <v/>
      </c>
      <c r="BV11" s="195" t="str">
        <f t="shared" si="1"/>
        <v/>
      </c>
      <c r="BW11" s="195" t="str">
        <f t="shared" si="1"/>
        <v/>
      </c>
    </row>
    <row r="12" spans="1:75" x14ac:dyDescent="0.3">
      <c r="A12" s="175">
        <v>9</v>
      </c>
      <c r="B12" s="176" t="s">
        <v>274</v>
      </c>
      <c r="C12" s="182">
        <v>27</v>
      </c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>
        <f>'Ket qua kinh doanh'!P7</f>
        <v>0</v>
      </c>
      <c r="Q12" s="196">
        <f>'Ket qua kinh doanh'!Q7</f>
        <v>0</v>
      </c>
      <c r="R12" s="196">
        <f>'Ket qua kinh doanh'!R7</f>
        <v>0</v>
      </c>
      <c r="S12" s="196">
        <f>'Ket qua kinh doanh'!S7</f>
        <v>0</v>
      </c>
      <c r="T12" s="196">
        <f>'Ket qua kinh doanh'!T7</f>
        <v>0</v>
      </c>
      <c r="U12" s="196">
        <f>'Ket qua kinh doanh'!U7</f>
        <v>0</v>
      </c>
      <c r="V12" s="196">
        <f>'Ket qua kinh doanh'!V7</f>
        <v>0</v>
      </c>
      <c r="W12" s="196">
        <f>'Ket qua kinh doanh'!W7</f>
        <v>0</v>
      </c>
      <c r="X12" s="196">
        <f>'Ket qua kinh doanh'!X7</f>
        <v>0</v>
      </c>
      <c r="Y12" s="196">
        <f>'Ket qua kinh doanh'!Y7</f>
        <v>0</v>
      </c>
      <c r="Z12" s="196">
        <f>'Ket qua kinh doanh'!Z7</f>
        <v>0</v>
      </c>
      <c r="AA12" s="196">
        <f>'Ket qua kinh doanh'!AA7</f>
        <v>0</v>
      </c>
      <c r="AB12" s="196">
        <f>'Ket qua kinh doanh'!AB7</f>
        <v>0</v>
      </c>
      <c r="AC12" s="196">
        <f>'Ket qua kinh doanh'!AC7</f>
        <v>0</v>
      </c>
      <c r="AD12" s="196">
        <f>'Ket qua kinh doanh'!AD7</f>
        <v>0</v>
      </c>
      <c r="AE12" s="196">
        <f>'Ket qua kinh doanh'!AE7</f>
        <v>0</v>
      </c>
      <c r="AF12" s="196">
        <f>'Ket qua kinh doanh'!AF7</f>
        <v>0</v>
      </c>
      <c r="AG12" s="196">
        <f>'Ket qua kinh doanh'!AG7</f>
        <v>0</v>
      </c>
      <c r="AH12" s="196">
        <f>'Ket qua kinh doanh'!AH7</f>
        <v>0</v>
      </c>
      <c r="AI12" s="196">
        <f>'Ket qua kinh doanh'!AI7</f>
        <v>0</v>
      </c>
      <c r="AJ12" s="196">
        <f>'Ket qua kinh doanh'!AJ7</f>
        <v>0</v>
      </c>
      <c r="AK12" s="196">
        <f>'Ket qua kinh doanh'!AK7</f>
        <v>0</v>
      </c>
      <c r="AL12" s="196">
        <f>'Ket qua kinh doanh'!AL7</f>
        <v>0</v>
      </c>
      <c r="AM12" s="196">
        <f>'Ket qua kinh doanh'!AM7</f>
        <v>0</v>
      </c>
      <c r="AN12" s="196">
        <f>'Ket qua kinh doanh'!AN7</f>
        <v>0</v>
      </c>
      <c r="AO12" s="196">
        <f>'Ket qua kinh doanh'!AO7</f>
        <v>0</v>
      </c>
      <c r="AP12" s="196">
        <f>'Ket qua kinh doanh'!AP7</f>
        <v>0</v>
      </c>
      <c r="AQ12" s="196">
        <f>'Ket qua kinh doanh'!AQ7</f>
        <v>0</v>
      </c>
      <c r="AR12" s="196">
        <f>'Ket qua kinh doanh'!AR7</f>
        <v>0</v>
      </c>
      <c r="AS12" s="196">
        <f>'Ket qua kinh doanh'!AS7</f>
        <v>0</v>
      </c>
      <c r="AT12" s="196">
        <f>'Ket qua kinh doanh'!AT7</f>
        <v>0</v>
      </c>
      <c r="AU12" s="196">
        <f>'Ket qua kinh doanh'!AU7</f>
        <v>0</v>
      </c>
      <c r="AV12" s="196">
        <f>'Ket qua kinh doanh'!AV7</f>
        <v>0</v>
      </c>
      <c r="AW12" s="196">
        <f>'Ket qua kinh doanh'!AW7</f>
        <v>0</v>
      </c>
      <c r="AX12" s="196">
        <f>'Ket qua kinh doanh'!AX7</f>
        <v>0</v>
      </c>
      <c r="AY12" s="196">
        <f>'Ket qua kinh doanh'!AY7</f>
        <v>0</v>
      </c>
      <c r="AZ12" s="196">
        <f>'Ket qua kinh doanh'!AZ7</f>
        <v>0</v>
      </c>
      <c r="BA12" s="196">
        <f>'Ket qua kinh doanh'!BA7</f>
        <v>0</v>
      </c>
      <c r="BB12" s="196">
        <f>'Ket qua kinh doanh'!BB7</f>
        <v>0</v>
      </c>
      <c r="BC12" s="196">
        <f>'Ket qua kinh doanh'!BC7</f>
        <v>0</v>
      </c>
      <c r="BD12" s="196">
        <f>'Ket qua kinh doanh'!BD7</f>
        <v>0</v>
      </c>
      <c r="BE12" s="196">
        <f>'Ket qua kinh doanh'!BE7</f>
        <v>0</v>
      </c>
      <c r="BF12" s="196">
        <f>'Ket qua kinh doanh'!BF7</f>
        <v>0</v>
      </c>
      <c r="BG12" s="196">
        <f>'Ket qua kinh doanh'!BG7</f>
        <v>0</v>
      </c>
      <c r="BH12" s="196">
        <f>'Ket qua kinh doanh'!BH7</f>
        <v>0</v>
      </c>
      <c r="BI12" s="196">
        <f>'Ket qua kinh doanh'!BI7</f>
        <v>0</v>
      </c>
      <c r="BJ12" s="196">
        <f>'Ket qua kinh doanh'!BJ7</f>
        <v>0</v>
      </c>
      <c r="BK12" s="196">
        <f>'Ket qua kinh doanh'!BK7</f>
        <v>0</v>
      </c>
      <c r="BL12" s="196">
        <f>'Ket qua kinh doanh'!BL7</f>
        <v>0</v>
      </c>
      <c r="BM12" s="196">
        <f>'Ket qua kinh doanh'!BM7</f>
        <v>0</v>
      </c>
      <c r="BN12" s="196">
        <f>'Ket qua kinh doanh'!BN7</f>
        <v>0</v>
      </c>
      <c r="BO12" s="196">
        <f>'Ket qua kinh doanh'!BO7</f>
        <v>0</v>
      </c>
      <c r="BP12" s="196">
        <f>'Ket qua kinh doanh'!BP7</f>
        <v>0</v>
      </c>
      <c r="BQ12" s="196">
        <f>'Ket qua kinh doanh'!BQ7</f>
        <v>0</v>
      </c>
      <c r="BR12" s="196">
        <f>'Ket qua kinh doanh'!BR7</f>
        <v>0</v>
      </c>
      <c r="BS12" s="196">
        <f>'Ket qua kinh doanh'!BS7</f>
        <v>0</v>
      </c>
      <c r="BT12" s="196">
        <f>'Ket qua kinh doanh'!BT7</f>
        <v>0</v>
      </c>
      <c r="BU12" s="196">
        <f>'Ket qua kinh doanh'!BU7</f>
        <v>0</v>
      </c>
      <c r="BV12" s="196">
        <f>'Ket qua kinh doanh'!BV7</f>
        <v>0</v>
      </c>
      <c r="BW12" s="196">
        <f>'Ket qua kinh doanh'!BW7</f>
        <v>0</v>
      </c>
    </row>
    <row r="13" spans="1:75" x14ac:dyDescent="0.3">
      <c r="A13" s="172">
        <v>10</v>
      </c>
      <c r="B13" s="173" t="s">
        <v>275</v>
      </c>
      <c r="C13" s="183">
        <v>27</v>
      </c>
      <c r="D13" s="197"/>
      <c r="E13" s="197"/>
      <c r="F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  <c r="BB13" s="197"/>
      <c r="BC13" s="197"/>
      <c r="BD13" s="197"/>
      <c r="BE13" s="197"/>
      <c r="BF13" s="197"/>
      <c r="BG13" s="197"/>
      <c r="BH13" s="197"/>
      <c r="BI13" s="197"/>
      <c r="BJ13" s="197"/>
      <c r="BK13" s="197"/>
      <c r="BL13" s="197"/>
      <c r="BM13" s="197"/>
      <c r="BN13" s="197"/>
      <c r="BO13" s="197"/>
      <c r="BP13" s="197"/>
      <c r="BQ13" s="197"/>
      <c r="BR13" s="197"/>
      <c r="BS13" s="197"/>
      <c r="BT13" s="197"/>
      <c r="BU13" s="197"/>
      <c r="BV13" s="197"/>
      <c r="BW13" s="197"/>
    </row>
    <row r="14" spans="1:75" x14ac:dyDescent="0.3">
      <c r="A14" s="172">
        <v>11</v>
      </c>
      <c r="B14" s="173" t="s">
        <v>276</v>
      </c>
      <c r="C14" s="183">
        <v>27</v>
      </c>
      <c r="D14" s="197"/>
      <c r="E14" s="197"/>
      <c r="F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197"/>
      <c r="BI14" s="197"/>
      <c r="BJ14" s="197"/>
      <c r="BK14" s="197"/>
      <c r="BL14" s="197"/>
      <c r="BM14" s="197"/>
      <c r="BN14" s="197"/>
      <c r="BO14" s="197"/>
      <c r="BP14" s="197"/>
      <c r="BQ14" s="197"/>
      <c r="BR14" s="197"/>
      <c r="BS14" s="197"/>
      <c r="BT14" s="197"/>
      <c r="BU14" s="197"/>
      <c r="BV14" s="197"/>
      <c r="BW14" s="197"/>
    </row>
    <row r="15" spans="1:75" x14ac:dyDescent="0.3">
      <c r="A15" s="172">
        <v>12</v>
      </c>
      <c r="B15" s="173" t="s">
        <v>277</v>
      </c>
      <c r="C15" s="183">
        <v>27</v>
      </c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</row>
    <row r="16" spans="1:75" x14ac:dyDescent="0.3">
      <c r="A16" s="175">
        <v>13</v>
      </c>
      <c r="B16" s="176" t="s">
        <v>278</v>
      </c>
      <c r="C16" s="177">
        <v>27</v>
      </c>
      <c r="D16" s="193"/>
      <c r="E16" s="193"/>
      <c r="F16" s="193"/>
      <c r="G16" s="193"/>
      <c r="H16" s="193"/>
      <c r="I16" s="193"/>
      <c r="J16" s="193"/>
      <c r="K16" s="193"/>
      <c r="L16" s="193"/>
      <c r="M16" s="193"/>
      <c r="N16" s="193"/>
      <c r="O16" s="193"/>
      <c r="P16" s="193">
        <f>'Ket qua kinh doanh'!P8</f>
        <v>0</v>
      </c>
      <c r="Q16" s="193">
        <f>'Ket qua kinh doanh'!Q8</f>
        <v>0</v>
      </c>
      <c r="R16" s="193">
        <f>'Ket qua kinh doanh'!R8</f>
        <v>0</v>
      </c>
      <c r="S16" s="193">
        <f>'Ket qua kinh doanh'!S8</f>
        <v>0</v>
      </c>
      <c r="T16" s="193">
        <f>'Ket qua kinh doanh'!T8</f>
        <v>0</v>
      </c>
      <c r="U16" s="193">
        <f>'Ket qua kinh doanh'!U8</f>
        <v>0</v>
      </c>
      <c r="V16" s="193">
        <f>'Ket qua kinh doanh'!V8</f>
        <v>0</v>
      </c>
      <c r="W16" s="193">
        <f>'Ket qua kinh doanh'!W8</f>
        <v>0</v>
      </c>
      <c r="X16" s="193">
        <f>'Ket qua kinh doanh'!X8</f>
        <v>0</v>
      </c>
      <c r="Y16" s="193">
        <f>'Ket qua kinh doanh'!Y8</f>
        <v>0</v>
      </c>
      <c r="Z16" s="193">
        <f>'Ket qua kinh doanh'!Z8</f>
        <v>0</v>
      </c>
      <c r="AA16" s="193">
        <f>'Ket qua kinh doanh'!AA8</f>
        <v>0</v>
      </c>
      <c r="AB16" s="193">
        <f>'Ket qua kinh doanh'!AB8</f>
        <v>0</v>
      </c>
      <c r="AC16" s="193">
        <f>'Ket qua kinh doanh'!AC8</f>
        <v>0</v>
      </c>
      <c r="AD16" s="193">
        <f>'Ket qua kinh doanh'!AD8</f>
        <v>0</v>
      </c>
      <c r="AE16" s="193">
        <f>'Ket qua kinh doanh'!AE8</f>
        <v>0</v>
      </c>
      <c r="AF16" s="193">
        <f>'Ket qua kinh doanh'!AF8</f>
        <v>0</v>
      </c>
      <c r="AG16" s="193">
        <f>'Ket qua kinh doanh'!AG8</f>
        <v>0</v>
      </c>
      <c r="AH16" s="193">
        <f>'Ket qua kinh doanh'!AH8</f>
        <v>0</v>
      </c>
      <c r="AI16" s="193">
        <f>'Ket qua kinh doanh'!AI8</f>
        <v>0</v>
      </c>
      <c r="AJ16" s="193">
        <f>'Ket qua kinh doanh'!AJ8</f>
        <v>0</v>
      </c>
      <c r="AK16" s="193">
        <f>'Ket qua kinh doanh'!AK8</f>
        <v>0</v>
      </c>
      <c r="AL16" s="193">
        <f>'Ket qua kinh doanh'!AL8</f>
        <v>0</v>
      </c>
      <c r="AM16" s="193">
        <f>'Ket qua kinh doanh'!AM8</f>
        <v>0</v>
      </c>
      <c r="AN16" s="193">
        <f>'Ket qua kinh doanh'!AN8</f>
        <v>0</v>
      </c>
      <c r="AO16" s="193">
        <f>'Ket qua kinh doanh'!AO8</f>
        <v>0</v>
      </c>
      <c r="AP16" s="193">
        <f>'Ket qua kinh doanh'!AP8</f>
        <v>0</v>
      </c>
      <c r="AQ16" s="193">
        <f>'Ket qua kinh doanh'!AQ8</f>
        <v>0</v>
      </c>
      <c r="AR16" s="193">
        <f>'Ket qua kinh doanh'!AR8</f>
        <v>0</v>
      </c>
      <c r="AS16" s="193">
        <f>'Ket qua kinh doanh'!AS8</f>
        <v>0</v>
      </c>
      <c r="AT16" s="193">
        <f>'Ket qua kinh doanh'!AT8</f>
        <v>0</v>
      </c>
      <c r="AU16" s="193">
        <f>'Ket qua kinh doanh'!AU8</f>
        <v>0</v>
      </c>
      <c r="AV16" s="193">
        <f>'Ket qua kinh doanh'!AV8</f>
        <v>0</v>
      </c>
      <c r="AW16" s="193">
        <f>'Ket qua kinh doanh'!AW8</f>
        <v>0</v>
      </c>
      <c r="AX16" s="193">
        <f>'Ket qua kinh doanh'!AX8</f>
        <v>0</v>
      </c>
      <c r="AY16" s="193">
        <f>'Ket qua kinh doanh'!AY8</f>
        <v>0</v>
      </c>
      <c r="AZ16" s="193">
        <f>'Ket qua kinh doanh'!AZ8</f>
        <v>0</v>
      </c>
      <c r="BA16" s="193">
        <f>'Ket qua kinh doanh'!BA8</f>
        <v>0</v>
      </c>
      <c r="BB16" s="193">
        <f>'Ket qua kinh doanh'!BB8</f>
        <v>0</v>
      </c>
      <c r="BC16" s="193">
        <f>'Ket qua kinh doanh'!BC8</f>
        <v>0</v>
      </c>
      <c r="BD16" s="193">
        <f>'Ket qua kinh doanh'!BD8</f>
        <v>0</v>
      </c>
      <c r="BE16" s="193">
        <f>'Ket qua kinh doanh'!BE8</f>
        <v>0</v>
      </c>
      <c r="BF16" s="193">
        <f>'Ket qua kinh doanh'!BF8</f>
        <v>0</v>
      </c>
      <c r="BG16" s="193">
        <f>'Ket qua kinh doanh'!BG8</f>
        <v>0</v>
      </c>
      <c r="BH16" s="193">
        <f>'Ket qua kinh doanh'!BH8</f>
        <v>0</v>
      </c>
      <c r="BI16" s="193">
        <f>'Ket qua kinh doanh'!BI8</f>
        <v>0</v>
      </c>
      <c r="BJ16" s="193">
        <f>'Ket qua kinh doanh'!BJ8</f>
        <v>0</v>
      </c>
      <c r="BK16" s="193">
        <f>'Ket qua kinh doanh'!BK8</f>
        <v>0</v>
      </c>
      <c r="BL16" s="193">
        <f>'Ket qua kinh doanh'!BL8</f>
        <v>0</v>
      </c>
      <c r="BM16" s="193">
        <f>'Ket qua kinh doanh'!BM8</f>
        <v>0</v>
      </c>
      <c r="BN16" s="193">
        <f>'Ket qua kinh doanh'!BN8</f>
        <v>0</v>
      </c>
      <c r="BO16" s="193">
        <f>'Ket qua kinh doanh'!BO8</f>
        <v>0</v>
      </c>
      <c r="BP16" s="193">
        <f>'Ket qua kinh doanh'!BP8</f>
        <v>0</v>
      </c>
      <c r="BQ16" s="193">
        <f>'Ket qua kinh doanh'!BQ8</f>
        <v>0</v>
      </c>
      <c r="BR16" s="193">
        <f>'Ket qua kinh doanh'!BR8</f>
        <v>0</v>
      </c>
      <c r="BS16" s="193">
        <f>'Ket qua kinh doanh'!BS8</f>
        <v>0</v>
      </c>
      <c r="BT16" s="193">
        <f>'Ket qua kinh doanh'!BT8</f>
        <v>0</v>
      </c>
      <c r="BU16" s="193">
        <f>'Ket qua kinh doanh'!BU8</f>
        <v>0</v>
      </c>
      <c r="BV16" s="193">
        <f>'Ket qua kinh doanh'!BV8</f>
        <v>0</v>
      </c>
      <c r="BW16" s="193">
        <f>'Ket qua kinh doanh'!BW8</f>
        <v>0</v>
      </c>
    </row>
    <row r="17" spans="1:75" x14ac:dyDescent="0.3">
      <c r="A17" s="172">
        <v>14</v>
      </c>
      <c r="B17" s="173" t="s">
        <v>279</v>
      </c>
      <c r="C17" s="183">
        <v>27</v>
      </c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7"/>
      <c r="BI17" s="197"/>
      <c r="BJ17" s="197"/>
      <c r="BK17" s="197"/>
      <c r="BL17" s="197"/>
      <c r="BM17" s="197"/>
      <c r="BN17" s="197"/>
      <c r="BO17" s="197"/>
      <c r="BP17" s="197"/>
      <c r="BQ17" s="197"/>
      <c r="BR17" s="197"/>
      <c r="BS17" s="197"/>
      <c r="BT17" s="197"/>
      <c r="BU17" s="197"/>
      <c r="BV17" s="197"/>
      <c r="BW17" s="197"/>
    </row>
    <row r="18" spans="1:75" x14ac:dyDescent="0.3">
      <c r="A18" s="172">
        <v>15</v>
      </c>
      <c r="B18" s="173" t="s">
        <v>280</v>
      </c>
      <c r="C18" s="183">
        <v>27</v>
      </c>
      <c r="D18" s="197"/>
      <c r="E18" s="197"/>
      <c r="F18" s="197"/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  <c r="AA18" s="197"/>
      <c r="AB18" s="197"/>
      <c r="AC18" s="197"/>
      <c r="AD18" s="197"/>
      <c r="AE18" s="197"/>
      <c r="AF18" s="197"/>
      <c r="AG18" s="197"/>
      <c r="AH18" s="197"/>
      <c r="AI18" s="197"/>
      <c r="AJ18" s="197"/>
      <c r="AK18" s="197"/>
      <c r="AL18" s="197"/>
      <c r="AM18" s="197"/>
      <c r="AN18" s="197"/>
      <c r="AO18" s="197"/>
      <c r="AP18" s="197"/>
      <c r="AQ18" s="197"/>
      <c r="AR18" s="197"/>
      <c r="AS18" s="197"/>
      <c r="AT18" s="197"/>
      <c r="AU18" s="197"/>
      <c r="AV18" s="197"/>
      <c r="AW18" s="197"/>
      <c r="AX18" s="197"/>
      <c r="AY18" s="197"/>
      <c r="AZ18" s="197"/>
      <c r="BA18" s="197"/>
      <c r="BB18" s="197"/>
      <c r="BC18" s="197"/>
      <c r="BD18" s="197"/>
      <c r="BE18" s="197"/>
      <c r="BF18" s="197"/>
      <c r="BG18" s="197"/>
      <c r="BH18" s="197"/>
      <c r="BI18" s="197"/>
      <c r="BJ18" s="197"/>
      <c r="BK18" s="197"/>
      <c r="BL18" s="197"/>
      <c r="BM18" s="197"/>
      <c r="BN18" s="197"/>
      <c r="BO18" s="197"/>
      <c r="BP18" s="197"/>
      <c r="BQ18" s="197"/>
      <c r="BR18" s="197"/>
      <c r="BS18" s="197"/>
      <c r="BT18" s="197"/>
      <c r="BU18" s="197"/>
      <c r="BV18" s="197"/>
      <c r="BW18" s="197"/>
    </row>
    <row r="19" spans="1:75" x14ac:dyDescent="0.3">
      <c r="A19" s="172">
        <v>16</v>
      </c>
      <c r="B19" s="173" t="s">
        <v>281</v>
      </c>
      <c r="C19" s="183">
        <v>27</v>
      </c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7"/>
      <c r="AS19" s="197"/>
      <c r="AT19" s="197"/>
      <c r="AU19" s="197"/>
      <c r="AV19" s="197"/>
      <c r="AW19" s="197"/>
      <c r="AX19" s="197"/>
      <c r="AY19" s="197"/>
      <c r="AZ19" s="197"/>
      <c r="BA19" s="197"/>
      <c r="BB19" s="197"/>
      <c r="BC19" s="197"/>
      <c r="BD19" s="197"/>
      <c r="BE19" s="197"/>
      <c r="BF19" s="197"/>
      <c r="BG19" s="197"/>
      <c r="BH19" s="197"/>
      <c r="BI19" s="197"/>
      <c r="BJ19" s="197"/>
      <c r="BK19" s="197"/>
      <c r="BL19" s="197"/>
      <c r="BM19" s="197"/>
      <c r="BN19" s="197"/>
      <c r="BO19" s="197"/>
      <c r="BP19" s="197"/>
      <c r="BQ19" s="197"/>
      <c r="BR19" s="197"/>
      <c r="BS19" s="197"/>
      <c r="BT19" s="197"/>
      <c r="BU19" s="197"/>
      <c r="BV19" s="197"/>
      <c r="BW19" s="197"/>
    </row>
    <row r="20" spans="1:75" x14ac:dyDescent="0.3">
      <c r="A20" s="172">
        <v>17</v>
      </c>
      <c r="B20" s="173" t="s">
        <v>282</v>
      </c>
      <c r="C20" s="183">
        <v>27</v>
      </c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7"/>
      <c r="AX20" s="197"/>
      <c r="AY20" s="197"/>
      <c r="AZ20" s="197"/>
      <c r="BA20" s="197"/>
      <c r="BB20" s="197"/>
      <c r="BC20" s="197"/>
      <c r="BD20" s="197"/>
      <c r="BE20" s="197"/>
      <c r="BF20" s="197"/>
      <c r="BG20" s="197"/>
      <c r="BH20" s="197"/>
      <c r="BI20" s="197"/>
      <c r="BJ20" s="197"/>
      <c r="BK20" s="197"/>
      <c r="BL20" s="197"/>
      <c r="BM20" s="197"/>
      <c r="BN20" s="197"/>
      <c r="BO20" s="197"/>
      <c r="BP20" s="197"/>
      <c r="BQ20" s="197"/>
      <c r="BR20" s="197"/>
      <c r="BS20" s="197"/>
      <c r="BT20" s="197"/>
      <c r="BU20" s="197"/>
      <c r="BV20" s="197"/>
      <c r="BW20" s="197"/>
    </row>
    <row r="21" spans="1:75" x14ac:dyDescent="0.3">
      <c r="A21" s="172">
        <v>18</v>
      </c>
      <c r="B21" s="173" t="s">
        <v>283</v>
      </c>
      <c r="C21" s="183">
        <v>27</v>
      </c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7"/>
      <c r="AU21" s="197"/>
      <c r="AV21" s="197"/>
      <c r="AW21" s="197"/>
      <c r="AX21" s="197"/>
      <c r="AY21" s="197"/>
      <c r="AZ21" s="197"/>
      <c r="BA21" s="197"/>
      <c r="BB21" s="197"/>
      <c r="BC21" s="197"/>
      <c r="BD21" s="197"/>
      <c r="BE21" s="197"/>
      <c r="BF21" s="197"/>
      <c r="BG21" s="197"/>
      <c r="BH21" s="197"/>
      <c r="BI21" s="197"/>
      <c r="BJ21" s="197"/>
      <c r="BK21" s="197"/>
      <c r="BL21" s="197"/>
      <c r="BM21" s="197"/>
      <c r="BN21" s="197"/>
      <c r="BO21" s="197"/>
      <c r="BP21" s="197"/>
      <c r="BQ21" s="197"/>
      <c r="BR21" s="197"/>
      <c r="BS21" s="197"/>
      <c r="BT21" s="197"/>
      <c r="BU21" s="197"/>
      <c r="BV21" s="197"/>
      <c r="BW21" s="197"/>
    </row>
    <row r="22" spans="1:75" x14ac:dyDescent="0.3">
      <c r="A22" s="172">
        <v>19</v>
      </c>
      <c r="B22" s="173" t="s">
        <v>284</v>
      </c>
      <c r="C22" s="183">
        <v>27</v>
      </c>
      <c r="D22" s="197"/>
      <c r="E22" s="197"/>
      <c r="F22" s="197"/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  <c r="AA22" s="197"/>
      <c r="AB22" s="197"/>
      <c r="AC22" s="197"/>
      <c r="AD22" s="197"/>
      <c r="AE22" s="197"/>
      <c r="AF22" s="197"/>
      <c r="AG22" s="197"/>
      <c r="AH22" s="197"/>
      <c r="AI22" s="197"/>
      <c r="AJ22" s="197"/>
      <c r="AK22" s="197"/>
      <c r="AL22" s="197"/>
      <c r="AM22" s="197"/>
      <c r="AN22" s="197"/>
      <c r="AO22" s="197"/>
      <c r="AP22" s="197"/>
      <c r="AQ22" s="197"/>
      <c r="AR22" s="197"/>
      <c r="AS22" s="197"/>
      <c r="AT22" s="197"/>
      <c r="AU22" s="197"/>
      <c r="AV22" s="197"/>
      <c r="AW22" s="197"/>
      <c r="AX22" s="197"/>
      <c r="AY22" s="197"/>
      <c r="AZ22" s="197"/>
      <c r="BA22" s="197"/>
      <c r="BB22" s="197"/>
      <c r="BC22" s="197"/>
      <c r="BD22" s="197"/>
      <c r="BE22" s="197"/>
      <c r="BF22" s="197"/>
      <c r="BG22" s="197"/>
      <c r="BH22" s="197"/>
      <c r="BI22" s="197"/>
      <c r="BJ22" s="197"/>
      <c r="BK22" s="197"/>
      <c r="BL22" s="197"/>
      <c r="BM22" s="197"/>
      <c r="BN22" s="197"/>
      <c r="BO22" s="197"/>
      <c r="BP22" s="197"/>
      <c r="BQ22" s="197"/>
      <c r="BR22" s="197"/>
      <c r="BS22" s="197"/>
      <c r="BT22" s="197"/>
      <c r="BU22" s="197"/>
      <c r="BV22" s="197"/>
      <c r="BW22" s="197"/>
    </row>
    <row r="23" spans="1:75" x14ac:dyDescent="0.3">
      <c r="A23" s="172">
        <v>20</v>
      </c>
      <c r="B23" s="173" t="s">
        <v>285</v>
      </c>
      <c r="C23" s="183">
        <v>27</v>
      </c>
      <c r="D23" s="197"/>
      <c r="E23" s="197"/>
      <c r="F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7"/>
      <c r="BI23" s="197"/>
      <c r="BJ23" s="197"/>
      <c r="BK23" s="197"/>
      <c r="BL23" s="197"/>
      <c r="BM23" s="197"/>
      <c r="BN23" s="197"/>
      <c r="BO23" s="197"/>
      <c r="BP23" s="197"/>
      <c r="BQ23" s="197"/>
      <c r="BR23" s="197"/>
      <c r="BS23" s="197"/>
      <c r="BT23" s="197"/>
      <c r="BU23" s="197"/>
      <c r="BV23" s="197"/>
      <c r="BW23" s="197"/>
    </row>
    <row r="24" spans="1:75" x14ac:dyDescent="0.3">
      <c r="A24" s="184">
        <v>21</v>
      </c>
      <c r="B24" s="173" t="s">
        <v>286</v>
      </c>
      <c r="C24" s="183">
        <v>27</v>
      </c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197"/>
      <c r="AL24" s="197"/>
      <c r="AM24" s="197"/>
      <c r="AN24" s="197"/>
      <c r="AO24" s="197"/>
      <c r="AP24" s="197"/>
      <c r="AQ24" s="197"/>
      <c r="AR24" s="197"/>
      <c r="AS24" s="197"/>
      <c r="AT24" s="197"/>
      <c r="AU24" s="197"/>
      <c r="AV24" s="197"/>
      <c r="AW24" s="197"/>
      <c r="AX24" s="197"/>
      <c r="AY24" s="197"/>
      <c r="AZ24" s="197"/>
      <c r="BA24" s="197"/>
      <c r="BB24" s="197"/>
      <c r="BC24" s="197"/>
      <c r="BD24" s="197"/>
      <c r="BE24" s="197"/>
      <c r="BF24" s="197"/>
      <c r="BG24" s="197"/>
      <c r="BH24" s="197"/>
      <c r="BI24" s="197"/>
      <c r="BJ24" s="197"/>
      <c r="BK24" s="197"/>
      <c r="BL24" s="197"/>
      <c r="BM24" s="197"/>
      <c r="BN24" s="197"/>
      <c r="BO24" s="197"/>
      <c r="BP24" s="197"/>
      <c r="BQ24" s="197"/>
      <c r="BR24" s="197"/>
      <c r="BS24" s="197"/>
      <c r="BT24" s="197"/>
      <c r="BU24" s="197"/>
      <c r="BV24" s="197"/>
      <c r="BW24" s="197"/>
    </row>
    <row r="25" spans="1:75" x14ac:dyDescent="0.3">
      <c r="A25" s="172">
        <v>22</v>
      </c>
      <c r="B25" s="173" t="s">
        <v>287</v>
      </c>
      <c r="C25" s="183">
        <v>27</v>
      </c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97"/>
      <c r="AB25" s="197"/>
      <c r="AC25" s="197"/>
      <c r="AD25" s="197"/>
      <c r="AE25" s="197"/>
      <c r="AF25" s="197"/>
      <c r="AG25" s="197"/>
      <c r="AH25" s="197"/>
      <c r="AI25" s="197"/>
      <c r="AJ25" s="197"/>
      <c r="AK25" s="197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97"/>
      <c r="AW25" s="197"/>
      <c r="AX25" s="197"/>
      <c r="AY25" s="197"/>
      <c r="AZ25" s="197"/>
      <c r="BA25" s="197"/>
      <c r="BB25" s="197"/>
      <c r="BC25" s="197"/>
      <c r="BD25" s="197"/>
      <c r="BE25" s="197"/>
      <c r="BF25" s="197"/>
      <c r="BG25" s="197"/>
      <c r="BH25" s="197"/>
      <c r="BI25" s="197"/>
      <c r="BJ25" s="197"/>
      <c r="BK25" s="197"/>
      <c r="BL25" s="197"/>
      <c r="BM25" s="197"/>
      <c r="BN25" s="197"/>
      <c r="BO25" s="197"/>
      <c r="BP25" s="197"/>
      <c r="BQ25" s="197"/>
      <c r="BR25" s="197"/>
      <c r="BS25" s="197"/>
      <c r="BT25" s="197"/>
      <c r="BU25" s="197"/>
      <c r="BV25" s="197"/>
      <c r="BW25" s="197"/>
    </row>
    <row r="26" spans="1:75" x14ac:dyDescent="0.3">
      <c r="A26" s="172">
        <v>23</v>
      </c>
      <c r="B26" s="173" t="s">
        <v>288</v>
      </c>
      <c r="C26" s="183">
        <v>27</v>
      </c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</row>
    <row r="27" spans="1:75" x14ac:dyDescent="0.3">
      <c r="A27" s="172">
        <v>24</v>
      </c>
      <c r="B27" s="173" t="s">
        <v>289</v>
      </c>
      <c r="C27" s="183">
        <v>27</v>
      </c>
      <c r="D27" s="197"/>
      <c r="E27" s="197"/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  <c r="AA27" s="197"/>
      <c r="AB27" s="197"/>
      <c r="AC27" s="197"/>
      <c r="AD27" s="197"/>
      <c r="AE27" s="197"/>
      <c r="AF27" s="197"/>
      <c r="AG27" s="197"/>
      <c r="AH27" s="197"/>
      <c r="AI27" s="197"/>
      <c r="AJ27" s="197"/>
      <c r="AK27" s="197"/>
      <c r="AL27" s="197"/>
      <c r="AM27" s="197"/>
      <c r="AN27" s="197"/>
      <c r="AO27" s="197"/>
      <c r="AP27" s="197"/>
      <c r="AQ27" s="197"/>
      <c r="AR27" s="197"/>
      <c r="AS27" s="197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7"/>
      <c r="BG27" s="197"/>
      <c r="BH27" s="197"/>
      <c r="BI27" s="197"/>
      <c r="BJ27" s="197"/>
      <c r="BK27" s="197"/>
      <c r="BL27" s="197"/>
      <c r="BM27" s="197"/>
      <c r="BN27" s="197"/>
      <c r="BO27" s="197"/>
      <c r="BP27" s="197"/>
      <c r="BQ27" s="197"/>
      <c r="BR27" s="197"/>
      <c r="BS27" s="197"/>
      <c r="BT27" s="197"/>
      <c r="BU27" s="197"/>
      <c r="BV27" s="197"/>
      <c r="BW27" s="197"/>
    </row>
    <row r="28" spans="1:75" x14ac:dyDescent="0.3">
      <c r="A28" s="172">
        <v>25</v>
      </c>
      <c r="B28" s="173" t="s">
        <v>290</v>
      </c>
      <c r="C28" s="183">
        <v>27</v>
      </c>
      <c r="D28" s="197"/>
      <c r="E28" s="197"/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  <c r="AA28" s="197"/>
      <c r="AB28" s="197"/>
      <c r="AC28" s="197"/>
      <c r="AD28" s="197"/>
      <c r="AE28" s="197"/>
      <c r="AF28" s="197"/>
      <c r="AG28" s="197"/>
      <c r="AH28" s="197"/>
      <c r="AI28" s="197"/>
      <c r="AJ28" s="197"/>
      <c r="AK28" s="197"/>
      <c r="AL28" s="197"/>
      <c r="AM28" s="197"/>
      <c r="AN28" s="197"/>
      <c r="AO28" s="197"/>
      <c r="AP28" s="197"/>
      <c r="AQ28" s="197"/>
      <c r="AR28" s="197"/>
      <c r="AS28" s="197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7"/>
      <c r="BK28" s="197"/>
      <c r="BL28" s="197"/>
      <c r="BM28" s="197"/>
      <c r="BN28" s="197"/>
      <c r="BO28" s="197"/>
      <c r="BP28" s="197"/>
      <c r="BQ28" s="197"/>
      <c r="BR28" s="197"/>
      <c r="BS28" s="197"/>
      <c r="BT28" s="197"/>
      <c r="BU28" s="197"/>
      <c r="BV28" s="197"/>
      <c r="BW28" s="197"/>
    </row>
    <row r="29" spans="1:75" x14ac:dyDescent="0.3">
      <c r="A29" s="178">
        <v>26</v>
      </c>
      <c r="B29" s="179" t="s">
        <v>291</v>
      </c>
      <c r="C29" s="185">
        <v>27</v>
      </c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 t="str">
        <f t="shared" ref="P29:BJ29" si="2">IFERROR(P16/P12,"")</f>
        <v/>
      </c>
      <c r="Q29" s="198" t="str">
        <f t="shared" si="2"/>
        <v/>
      </c>
      <c r="R29" s="198" t="str">
        <f t="shared" si="2"/>
        <v/>
      </c>
      <c r="S29" s="198" t="str">
        <f t="shared" si="2"/>
        <v/>
      </c>
      <c r="T29" s="198" t="str">
        <f t="shared" si="2"/>
        <v/>
      </c>
      <c r="U29" s="198" t="str">
        <f t="shared" si="2"/>
        <v/>
      </c>
      <c r="V29" s="198" t="str">
        <f t="shared" si="2"/>
        <v/>
      </c>
      <c r="W29" s="198" t="str">
        <f t="shared" si="2"/>
        <v/>
      </c>
      <c r="X29" s="198" t="str">
        <f t="shared" si="2"/>
        <v/>
      </c>
      <c r="Y29" s="198" t="str">
        <f t="shared" si="2"/>
        <v/>
      </c>
      <c r="Z29" s="198" t="str">
        <f t="shared" si="2"/>
        <v/>
      </c>
      <c r="AA29" s="198" t="str">
        <f t="shared" si="2"/>
        <v/>
      </c>
      <c r="AB29" s="198" t="str">
        <f t="shared" si="2"/>
        <v/>
      </c>
      <c r="AC29" s="198" t="str">
        <f t="shared" si="2"/>
        <v/>
      </c>
      <c r="AD29" s="198" t="str">
        <f t="shared" si="2"/>
        <v/>
      </c>
      <c r="AE29" s="198" t="str">
        <f t="shared" si="2"/>
        <v/>
      </c>
      <c r="AF29" s="198" t="str">
        <f t="shared" si="2"/>
        <v/>
      </c>
      <c r="AG29" s="198" t="str">
        <f t="shared" si="2"/>
        <v/>
      </c>
      <c r="AH29" s="198" t="str">
        <f t="shared" si="2"/>
        <v/>
      </c>
      <c r="AI29" s="198" t="str">
        <f t="shared" si="2"/>
        <v/>
      </c>
      <c r="AJ29" s="198" t="str">
        <f t="shared" si="2"/>
        <v/>
      </c>
      <c r="AK29" s="198" t="str">
        <f t="shared" si="2"/>
        <v/>
      </c>
      <c r="AL29" s="198" t="str">
        <f t="shared" si="2"/>
        <v/>
      </c>
      <c r="AM29" s="198" t="str">
        <f t="shared" si="2"/>
        <v/>
      </c>
      <c r="AN29" s="198" t="str">
        <f t="shared" si="2"/>
        <v/>
      </c>
      <c r="AO29" s="198" t="str">
        <f t="shared" si="2"/>
        <v/>
      </c>
      <c r="AP29" s="198" t="str">
        <f t="shared" si="2"/>
        <v/>
      </c>
      <c r="AQ29" s="198" t="str">
        <f t="shared" si="2"/>
        <v/>
      </c>
      <c r="AR29" s="198" t="str">
        <f t="shared" si="2"/>
        <v/>
      </c>
      <c r="AS29" s="198" t="str">
        <f t="shared" si="2"/>
        <v/>
      </c>
      <c r="AT29" s="198" t="str">
        <f t="shared" si="2"/>
        <v/>
      </c>
      <c r="AU29" s="198" t="str">
        <f t="shared" si="2"/>
        <v/>
      </c>
      <c r="AV29" s="198" t="str">
        <f t="shared" si="2"/>
        <v/>
      </c>
      <c r="AW29" s="198" t="str">
        <f t="shared" si="2"/>
        <v/>
      </c>
      <c r="AX29" s="198" t="str">
        <f t="shared" si="2"/>
        <v/>
      </c>
      <c r="AY29" s="198" t="str">
        <f t="shared" si="2"/>
        <v/>
      </c>
      <c r="AZ29" s="198" t="str">
        <f t="shared" si="2"/>
        <v/>
      </c>
      <c r="BA29" s="198" t="str">
        <f t="shared" si="2"/>
        <v/>
      </c>
      <c r="BB29" s="198" t="str">
        <f t="shared" si="2"/>
        <v/>
      </c>
      <c r="BC29" s="198" t="str">
        <f t="shared" si="2"/>
        <v/>
      </c>
      <c r="BD29" s="198" t="str">
        <f t="shared" si="2"/>
        <v/>
      </c>
      <c r="BE29" s="198" t="str">
        <f t="shared" si="2"/>
        <v/>
      </c>
      <c r="BF29" s="198" t="str">
        <f t="shared" si="2"/>
        <v/>
      </c>
      <c r="BG29" s="198" t="str">
        <f t="shared" si="2"/>
        <v/>
      </c>
      <c r="BH29" s="198" t="str">
        <f t="shared" si="2"/>
        <v/>
      </c>
      <c r="BI29" s="198" t="str">
        <f t="shared" si="2"/>
        <v/>
      </c>
      <c r="BJ29" s="198" t="str">
        <f t="shared" si="2"/>
        <v/>
      </c>
      <c r="BK29" s="198" t="str">
        <f t="shared" ref="BK29:BW29" si="3">IFERROR(BK16/BK12,"")</f>
        <v/>
      </c>
      <c r="BL29" s="198" t="str">
        <f t="shared" si="3"/>
        <v/>
      </c>
      <c r="BM29" s="198" t="str">
        <f t="shared" si="3"/>
        <v/>
      </c>
      <c r="BN29" s="198" t="str">
        <f t="shared" si="3"/>
        <v/>
      </c>
      <c r="BO29" s="198" t="str">
        <f t="shared" si="3"/>
        <v/>
      </c>
      <c r="BP29" s="198" t="str">
        <f t="shared" si="3"/>
        <v/>
      </c>
      <c r="BQ29" s="198" t="str">
        <f t="shared" si="3"/>
        <v/>
      </c>
      <c r="BR29" s="198" t="str">
        <f t="shared" si="3"/>
        <v/>
      </c>
      <c r="BS29" s="198" t="str">
        <f t="shared" si="3"/>
        <v/>
      </c>
      <c r="BT29" s="198" t="str">
        <f t="shared" si="3"/>
        <v/>
      </c>
      <c r="BU29" s="198" t="str">
        <f t="shared" si="3"/>
        <v/>
      </c>
      <c r="BV29" s="198" t="str">
        <f t="shared" si="3"/>
        <v/>
      </c>
      <c r="BW29" s="198" t="str">
        <f t="shared" si="3"/>
        <v/>
      </c>
    </row>
    <row r="30" spans="1:75" x14ac:dyDescent="0.3">
      <c r="A30" s="175">
        <v>27</v>
      </c>
      <c r="B30" s="176" t="s">
        <v>292</v>
      </c>
      <c r="C30" s="177">
        <v>27</v>
      </c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>
        <f>'Ket qua kinh doanh'!P9</f>
        <v>0</v>
      </c>
      <c r="Q30" s="193">
        <f>'Ket qua kinh doanh'!Q9</f>
        <v>0</v>
      </c>
      <c r="R30" s="193">
        <f>'Ket qua kinh doanh'!R9</f>
        <v>0</v>
      </c>
      <c r="S30" s="193">
        <f>'Ket qua kinh doanh'!S9</f>
        <v>0</v>
      </c>
      <c r="T30" s="193">
        <f>'Ket qua kinh doanh'!T9</f>
        <v>0</v>
      </c>
      <c r="U30" s="193">
        <f>'Ket qua kinh doanh'!U9</f>
        <v>0</v>
      </c>
      <c r="V30" s="193">
        <f>'Ket qua kinh doanh'!V9</f>
        <v>0</v>
      </c>
      <c r="W30" s="193">
        <f>'Ket qua kinh doanh'!W9</f>
        <v>0</v>
      </c>
      <c r="X30" s="193">
        <f>'Ket qua kinh doanh'!X9</f>
        <v>0</v>
      </c>
      <c r="Y30" s="193">
        <f>'Ket qua kinh doanh'!Y9</f>
        <v>0</v>
      </c>
      <c r="Z30" s="193">
        <f>'Ket qua kinh doanh'!Z9</f>
        <v>0</v>
      </c>
      <c r="AA30" s="193">
        <f>'Ket qua kinh doanh'!AA9</f>
        <v>0</v>
      </c>
      <c r="AB30" s="193">
        <f>'Ket qua kinh doanh'!AB9</f>
        <v>0</v>
      </c>
      <c r="AC30" s="193">
        <f>'Ket qua kinh doanh'!AC9</f>
        <v>0</v>
      </c>
      <c r="AD30" s="193">
        <f>'Ket qua kinh doanh'!AD9</f>
        <v>0</v>
      </c>
      <c r="AE30" s="193">
        <f>'Ket qua kinh doanh'!AE9</f>
        <v>0</v>
      </c>
      <c r="AF30" s="193">
        <f>'Ket qua kinh doanh'!AF9</f>
        <v>0</v>
      </c>
      <c r="AG30" s="193">
        <f>'Ket qua kinh doanh'!AG9</f>
        <v>0</v>
      </c>
      <c r="AH30" s="193">
        <f>'Ket qua kinh doanh'!AH9</f>
        <v>0</v>
      </c>
      <c r="AI30" s="193">
        <f>'Ket qua kinh doanh'!AI9</f>
        <v>0</v>
      </c>
      <c r="AJ30" s="193">
        <f>'Ket qua kinh doanh'!AJ9</f>
        <v>0</v>
      </c>
      <c r="AK30" s="193">
        <f>'Ket qua kinh doanh'!AK9</f>
        <v>0</v>
      </c>
      <c r="AL30" s="193">
        <f>'Ket qua kinh doanh'!AL9</f>
        <v>0</v>
      </c>
      <c r="AM30" s="193">
        <f>'Ket qua kinh doanh'!AM9</f>
        <v>0</v>
      </c>
      <c r="AN30" s="193">
        <f>'Ket qua kinh doanh'!AN9</f>
        <v>0</v>
      </c>
      <c r="AO30" s="193">
        <f>'Ket qua kinh doanh'!AO9</f>
        <v>0</v>
      </c>
      <c r="AP30" s="193">
        <f>'Ket qua kinh doanh'!AP9</f>
        <v>0</v>
      </c>
      <c r="AQ30" s="193">
        <f>'Ket qua kinh doanh'!AQ9</f>
        <v>0</v>
      </c>
      <c r="AR30" s="193">
        <f>'Ket qua kinh doanh'!AR9</f>
        <v>0</v>
      </c>
      <c r="AS30" s="193">
        <f>'Ket qua kinh doanh'!AS9</f>
        <v>0</v>
      </c>
      <c r="AT30" s="193">
        <f>'Ket qua kinh doanh'!AT9</f>
        <v>0</v>
      </c>
      <c r="AU30" s="193">
        <f>'Ket qua kinh doanh'!AU9</f>
        <v>0</v>
      </c>
      <c r="AV30" s="193">
        <f>'Ket qua kinh doanh'!AV9</f>
        <v>0</v>
      </c>
      <c r="AW30" s="193">
        <f>'Ket qua kinh doanh'!AW9</f>
        <v>0</v>
      </c>
      <c r="AX30" s="193">
        <f>'Ket qua kinh doanh'!AX9</f>
        <v>0</v>
      </c>
      <c r="AY30" s="193">
        <f>'Ket qua kinh doanh'!AY9</f>
        <v>0</v>
      </c>
      <c r="AZ30" s="193">
        <f>'Ket qua kinh doanh'!AZ9</f>
        <v>0</v>
      </c>
      <c r="BA30" s="193">
        <f>'Ket qua kinh doanh'!BA9</f>
        <v>0</v>
      </c>
      <c r="BB30" s="193">
        <f>'Ket qua kinh doanh'!BB9</f>
        <v>0</v>
      </c>
      <c r="BC30" s="193">
        <f>'Ket qua kinh doanh'!BC9</f>
        <v>0</v>
      </c>
      <c r="BD30" s="193">
        <f>'Ket qua kinh doanh'!BD9</f>
        <v>0</v>
      </c>
      <c r="BE30" s="193">
        <f>'Ket qua kinh doanh'!BE9</f>
        <v>0</v>
      </c>
      <c r="BF30" s="193">
        <f>'Ket qua kinh doanh'!BF9</f>
        <v>0</v>
      </c>
      <c r="BG30" s="193">
        <f>'Ket qua kinh doanh'!BG9</f>
        <v>0</v>
      </c>
      <c r="BH30" s="193">
        <f>'Ket qua kinh doanh'!BH9</f>
        <v>0</v>
      </c>
      <c r="BI30" s="193">
        <f>'Ket qua kinh doanh'!BI9</f>
        <v>0</v>
      </c>
      <c r="BJ30" s="193">
        <f>'Ket qua kinh doanh'!BJ9</f>
        <v>0</v>
      </c>
      <c r="BK30" s="193">
        <f>'Ket qua kinh doanh'!BK9</f>
        <v>0</v>
      </c>
      <c r="BL30" s="193">
        <f>'Ket qua kinh doanh'!BL9</f>
        <v>0</v>
      </c>
      <c r="BM30" s="193">
        <f>'Ket qua kinh doanh'!BM9</f>
        <v>0</v>
      </c>
      <c r="BN30" s="193">
        <f>'Ket qua kinh doanh'!BN9</f>
        <v>0</v>
      </c>
      <c r="BO30" s="193">
        <f>'Ket qua kinh doanh'!BO9</f>
        <v>0</v>
      </c>
      <c r="BP30" s="193">
        <f>'Ket qua kinh doanh'!BP9</f>
        <v>0</v>
      </c>
      <c r="BQ30" s="193">
        <f>'Ket qua kinh doanh'!BQ9</f>
        <v>0</v>
      </c>
      <c r="BR30" s="193">
        <f>'Ket qua kinh doanh'!BR9</f>
        <v>0</v>
      </c>
      <c r="BS30" s="193">
        <f>'Ket qua kinh doanh'!BS9</f>
        <v>0</v>
      </c>
      <c r="BT30" s="193">
        <f>'Ket qua kinh doanh'!BT9</f>
        <v>0</v>
      </c>
      <c r="BU30" s="193">
        <f>'Ket qua kinh doanh'!BU9</f>
        <v>0</v>
      </c>
      <c r="BV30" s="193">
        <f>'Ket qua kinh doanh'!BV9</f>
        <v>0</v>
      </c>
      <c r="BW30" s="193">
        <f>'Ket qua kinh doanh'!BW9</f>
        <v>0</v>
      </c>
    </row>
    <row r="31" spans="1:75" x14ac:dyDescent="0.3">
      <c r="A31" s="178">
        <v>28</v>
      </c>
      <c r="B31" s="179" t="s">
        <v>293</v>
      </c>
      <c r="C31" s="181">
        <v>27</v>
      </c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 t="str">
        <f t="shared" ref="P31:BJ31" si="4">IFERROR(P30/P12,"")</f>
        <v/>
      </c>
      <c r="Q31" s="195" t="str">
        <f t="shared" si="4"/>
        <v/>
      </c>
      <c r="R31" s="195" t="str">
        <f t="shared" si="4"/>
        <v/>
      </c>
      <c r="S31" s="195" t="str">
        <f t="shared" si="4"/>
        <v/>
      </c>
      <c r="T31" s="195" t="str">
        <f t="shared" si="4"/>
        <v/>
      </c>
      <c r="U31" s="195" t="str">
        <f t="shared" si="4"/>
        <v/>
      </c>
      <c r="V31" s="195" t="str">
        <f t="shared" si="4"/>
        <v/>
      </c>
      <c r="W31" s="195" t="str">
        <f t="shared" si="4"/>
        <v/>
      </c>
      <c r="X31" s="195" t="str">
        <f t="shared" si="4"/>
        <v/>
      </c>
      <c r="Y31" s="195" t="str">
        <f t="shared" si="4"/>
        <v/>
      </c>
      <c r="Z31" s="195" t="str">
        <f t="shared" si="4"/>
        <v/>
      </c>
      <c r="AA31" s="195" t="str">
        <f t="shared" si="4"/>
        <v/>
      </c>
      <c r="AB31" s="195" t="str">
        <f t="shared" si="4"/>
        <v/>
      </c>
      <c r="AC31" s="195" t="str">
        <f t="shared" si="4"/>
        <v/>
      </c>
      <c r="AD31" s="195" t="str">
        <f t="shared" si="4"/>
        <v/>
      </c>
      <c r="AE31" s="195" t="str">
        <f t="shared" si="4"/>
        <v/>
      </c>
      <c r="AF31" s="195" t="str">
        <f t="shared" si="4"/>
        <v/>
      </c>
      <c r="AG31" s="195" t="str">
        <f t="shared" si="4"/>
        <v/>
      </c>
      <c r="AH31" s="195" t="str">
        <f t="shared" si="4"/>
        <v/>
      </c>
      <c r="AI31" s="195" t="str">
        <f t="shared" si="4"/>
        <v/>
      </c>
      <c r="AJ31" s="195" t="str">
        <f t="shared" si="4"/>
        <v/>
      </c>
      <c r="AK31" s="195" t="str">
        <f t="shared" si="4"/>
        <v/>
      </c>
      <c r="AL31" s="195" t="str">
        <f t="shared" si="4"/>
        <v/>
      </c>
      <c r="AM31" s="195" t="str">
        <f t="shared" si="4"/>
        <v/>
      </c>
      <c r="AN31" s="195" t="str">
        <f t="shared" si="4"/>
        <v/>
      </c>
      <c r="AO31" s="195" t="str">
        <f t="shared" si="4"/>
        <v/>
      </c>
      <c r="AP31" s="195" t="str">
        <f t="shared" si="4"/>
        <v/>
      </c>
      <c r="AQ31" s="195" t="str">
        <f t="shared" si="4"/>
        <v/>
      </c>
      <c r="AR31" s="195" t="str">
        <f t="shared" si="4"/>
        <v/>
      </c>
      <c r="AS31" s="195" t="str">
        <f t="shared" si="4"/>
        <v/>
      </c>
      <c r="AT31" s="195" t="str">
        <f t="shared" si="4"/>
        <v/>
      </c>
      <c r="AU31" s="195" t="str">
        <f t="shared" si="4"/>
        <v/>
      </c>
      <c r="AV31" s="195" t="str">
        <f t="shared" si="4"/>
        <v/>
      </c>
      <c r="AW31" s="195" t="str">
        <f t="shared" si="4"/>
        <v/>
      </c>
      <c r="AX31" s="195" t="str">
        <f t="shared" si="4"/>
        <v/>
      </c>
      <c r="AY31" s="195" t="str">
        <f t="shared" si="4"/>
        <v/>
      </c>
      <c r="AZ31" s="195" t="str">
        <f t="shared" si="4"/>
        <v/>
      </c>
      <c r="BA31" s="195" t="str">
        <f t="shared" si="4"/>
        <v/>
      </c>
      <c r="BB31" s="195" t="str">
        <f t="shared" si="4"/>
        <v/>
      </c>
      <c r="BC31" s="195" t="str">
        <f t="shared" si="4"/>
        <v/>
      </c>
      <c r="BD31" s="195" t="str">
        <f t="shared" si="4"/>
        <v/>
      </c>
      <c r="BE31" s="195" t="str">
        <f t="shared" si="4"/>
        <v/>
      </c>
      <c r="BF31" s="195" t="str">
        <f t="shared" si="4"/>
        <v/>
      </c>
      <c r="BG31" s="195" t="str">
        <f t="shared" si="4"/>
        <v/>
      </c>
      <c r="BH31" s="195" t="str">
        <f t="shared" si="4"/>
        <v/>
      </c>
      <c r="BI31" s="195" t="str">
        <f t="shared" si="4"/>
        <v/>
      </c>
      <c r="BJ31" s="195" t="str">
        <f t="shared" si="4"/>
        <v/>
      </c>
      <c r="BK31" s="195" t="str">
        <f t="shared" ref="BK31:BW31" si="5">IFERROR(BK30/BK12,"")</f>
        <v/>
      </c>
      <c r="BL31" s="195" t="str">
        <f t="shared" si="5"/>
        <v/>
      </c>
      <c r="BM31" s="195" t="str">
        <f t="shared" si="5"/>
        <v/>
      </c>
      <c r="BN31" s="195" t="str">
        <f t="shared" si="5"/>
        <v/>
      </c>
      <c r="BO31" s="195" t="str">
        <f t="shared" si="5"/>
        <v/>
      </c>
      <c r="BP31" s="195" t="str">
        <f t="shared" si="5"/>
        <v/>
      </c>
      <c r="BQ31" s="195" t="str">
        <f t="shared" si="5"/>
        <v/>
      </c>
      <c r="BR31" s="195" t="str">
        <f t="shared" si="5"/>
        <v/>
      </c>
      <c r="BS31" s="195" t="str">
        <f t="shared" si="5"/>
        <v/>
      </c>
      <c r="BT31" s="195" t="str">
        <f t="shared" si="5"/>
        <v/>
      </c>
      <c r="BU31" s="195" t="str">
        <f t="shared" si="5"/>
        <v/>
      </c>
      <c r="BV31" s="195" t="str">
        <f t="shared" si="5"/>
        <v/>
      </c>
      <c r="BW31" s="195" t="str">
        <f t="shared" si="5"/>
        <v/>
      </c>
    </row>
    <row r="32" spans="1:75" x14ac:dyDescent="0.3">
      <c r="A32" s="175">
        <v>29</v>
      </c>
      <c r="B32" s="176" t="s">
        <v>294</v>
      </c>
      <c r="C32" s="177">
        <v>27</v>
      </c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>
        <f>'Ket qua kinh doanh'!P20</f>
        <v>0</v>
      </c>
      <c r="Q32" s="193">
        <f>'Ket qua kinh doanh'!Q20</f>
        <v>0</v>
      </c>
      <c r="R32" s="193">
        <f>'Ket qua kinh doanh'!R20</f>
        <v>0</v>
      </c>
      <c r="S32" s="193">
        <f>'Ket qua kinh doanh'!S20</f>
        <v>0</v>
      </c>
      <c r="T32" s="193">
        <f>'Ket qua kinh doanh'!T20</f>
        <v>0</v>
      </c>
      <c r="U32" s="193">
        <f>'Ket qua kinh doanh'!U20</f>
        <v>0</v>
      </c>
      <c r="V32" s="193">
        <f>'Ket qua kinh doanh'!V20</f>
        <v>0</v>
      </c>
      <c r="W32" s="193">
        <f>'Ket qua kinh doanh'!W20</f>
        <v>0</v>
      </c>
      <c r="X32" s="193">
        <f>'Ket qua kinh doanh'!X20</f>
        <v>0</v>
      </c>
      <c r="Y32" s="193">
        <f>'Ket qua kinh doanh'!Y20</f>
        <v>0</v>
      </c>
      <c r="Z32" s="193">
        <f>'Ket qua kinh doanh'!Z20</f>
        <v>0</v>
      </c>
      <c r="AA32" s="193">
        <f>'Ket qua kinh doanh'!AA20</f>
        <v>0</v>
      </c>
      <c r="AB32" s="193">
        <f>'Ket qua kinh doanh'!AB20</f>
        <v>0</v>
      </c>
      <c r="AC32" s="193">
        <f>'Ket qua kinh doanh'!AC20</f>
        <v>0</v>
      </c>
      <c r="AD32" s="193">
        <f>'Ket qua kinh doanh'!AD20</f>
        <v>0</v>
      </c>
      <c r="AE32" s="193">
        <f>'Ket qua kinh doanh'!AE20</f>
        <v>0</v>
      </c>
      <c r="AF32" s="193">
        <f>'Ket qua kinh doanh'!AF20</f>
        <v>0</v>
      </c>
      <c r="AG32" s="193">
        <f>'Ket qua kinh doanh'!AG20</f>
        <v>0</v>
      </c>
      <c r="AH32" s="193">
        <f>'Ket qua kinh doanh'!AH20</f>
        <v>0</v>
      </c>
      <c r="AI32" s="193">
        <f>'Ket qua kinh doanh'!AI20</f>
        <v>0</v>
      </c>
      <c r="AJ32" s="193">
        <f>'Ket qua kinh doanh'!AJ20</f>
        <v>0</v>
      </c>
      <c r="AK32" s="193">
        <f>'Ket qua kinh doanh'!AK20</f>
        <v>0</v>
      </c>
      <c r="AL32" s="193">
        <f>'Ket qua kinh doanh'!AL20</f>
        <v>0</v>
      </c>
      <c r="AM32" s="193">
        <f>'Ket qua kinh doanh'!AM20</f>
        <v>0</v>
      </c>
      <c r="AN32" s="193">
        <f>'Ket qua kinh doanh'!AN20</f>
        <v>0</v>
      </c>
      <c r="AO32" s="193">
        <f>'Ket qua kinh doanh'!AO20</f>
        <v>0</v>
      </c>
      <c r="AP32" s="193">
        <f>'Ket qua kinh doanh'!AP20</f>
        <v>0</v>
      </c>
      <c r="AQ32" s="193">
        <f>'Ket qua kinh doanh'!AQ20</f>
        <v>0</v>
      </c>
      <c r="AR32" s="193">
        <f>'Ket qua kinh doanh'!AR20</f>
        <v>0</v>
      </c>
      <c r="AS32" s="193">
        <f>'Ket qua kinh doanh'!AS20</f>
        <v>0</v>
      </c>
      <c r="AT32" s="193">
        <f>'Ket qua kinh doanh'!AT20</f>
        <v>0</v>
      </c>
      <c r="AU32" s="193">
        <f>'Ket qua kinh doanh'!AU20</f>
        <v>0</v>
      </c>
      <c r="AV32" s="193">
        <f>'Ket qua kinh doanh'!AV20</f>
        <v>0</v>
      </c>
      <c r="AW32" s="193">
        <f>'Ket qua kinh doanh'!AW20</f>
        <v>0</v>
      </c>
      <c r="AX32" s="193">
        <f>'Ket qua kinh doanh'!AX20</f>
        <v>0</v>
      </c>
      <c r="AY32" s="193">
        <f>'Ket qua kinh doanh'!AY20</f>
        <v>0</v>
      </c>
      <c r="AZ32" s="193">
        <f>'Ket qua kinh doanh'!AZ20</f>
        <v>0</v>
      </c>
      <c r="BA32" s="193">
        <f>'Ket qua kinh doanh'!BA20</f>
        <v>0</v>
      </c>
      <c r="BB32" s="193">
        <f>'Ket qua kinh doanh'!BB20</f>
        <v>0</v>
      </c>
      <c r="BC32" s="193">
        <f>'Ket qua kinh doanh'!BC20</f>
        <v>0</v>
      </c>
      <c r="BD32" s="193">
        <f>'Ket qua kinh doanh'!BD20</f>
        <v>0</v>
      </c>
      <c r="BE32" s="193">
        <f>'Ket qua kinh doanh'!BE20</f>
        <v>0</v>
      </c>
      <c r="BF32" s="193">
        <f>'Ket qua kinh doanh'!BF20</f>
        <v>0</v>
      </c>
      <c r="BG32" s="193">
        <f>'Ket qua kinh doanh'!BG20</f>
        <v>0</v>
      </c>
      <c r="BH32" s="193">
        <f>'Ket qua kinh doanh'!BH20</f>
        <v>0</v>
      </c>
      <c r="BI32" s="193">
        <f>'Ket qua kinh doanh'!BI20</f>
        <v>0</v>
      </c>
      <c r="BJ32" s="193">
        <f>'Ket qua kinh doanh'!BJ20</f>
        <v>-1888731</v>
      </c>
      <c r="BK32" s="193">
        <f>'Ket qua kinh doanh'!BK20</f>
        <v>3317</v>
      </c>
      <c r="BL32" s="193">
        <f>'Ket qua kinh doanh'!BL20</f>
        <v>-17918398</v>
      </c>
      <c r="BM32" s="193">
        <f>'Ket qua kinh doanh'!BM20</f>
        <v>3080</v>
      </c>
      <c r="BN32" s="193">
        <f>'Ket qua kinh doanh'!BN20</f>
        <v>-1215187</v>
      </c>
      <c r="BO32" s="193">
        <f>'Ket qua kinh doanh'!BO20</f>
        <v>1097189037</v>
      </c>
      <c r="BP32" s="193">
        <f>'Ket qua kinh doanh'!BP20</f>
        <v>-79541</v>
      </c>
      <c r="BQ32" s="193">
        <f>'Ket qua kinh doanh'!BQ20</f>
        <v>0</v>
      </c>
      <c r="BR32" s="193">
        <f>'Ket qua kinh doanh'!BR20</f>
        <v>0</v>
      </c>
      <c r="BS32" s="193">
        <f>'Ket qua kinh doanh'!BS20</f>
        <v>0</v>
      </c>
      <c r="BT32" s="193">
        <f>'Ket qua kinh doanh'!BT20</f>
        <v>0</v>
      </c>
      <c r="BU32" s="193">
        <f>'Ket qua kinh doanh'!BU20</f>
        <v>0</v>
      </c>
      <c r="BV32" s="193">
        <f>'Ket qua kinh doanh'!BV20</f>
        <v>0</v>
      </c>
      <c r="BW32" s="193">
        <f>'Ket qua kinh doanh'!BW20</f>
        <v>0</v>
      </c>
    </row>
    <row r="33" spans="1:75" x14ac:dyDescent="0.3">
      <c r="A33" s="178">
        <v>30</v>
      </c>
      <c r="B33" s="179" t="s">
        <v>295</v>
      </c>
      <c r="C33" s="181">
        <v>27</v>
      </c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 t="str">
        <f t="shared" ref="P33:BJ33" si="6">IFERROR(P32/P12,"")</f>
        <v/>
      </c>
      <c r="Q33" s="195" t="str">
        <f t="shared" si="6"/>
        <v/>
      </c>
      <c r="R33" s="195" t="str">
        <f t="shared" si="6"/>
        <v/>
      </c>
      <c r="S33" s="195" t="str">
        <f t="shared" si="6"/>
        <v/>
      </c>
      <c r="T33" s="195" t="str">
        <f t="shared" si="6"/>
        <v/>
      </c>
      <c r="U33" s="195" t="str">
        <f t="shared" si="6"/>
        <v/>
      </c>
      <c r="V33" s="195" t="str">
        <f t="shared" si="6"/>
        <v/>
      </c>
      <c r="W33" s="195" t="str">
        <f t="shared" si="6"/>
        <v/>
      </c>
      <c r="X33" s="195" t="str">
        <f t="shared" si="6"/>
        <v/>
      </c>
      <c r="Y33" s="195" t="str">
        <f t="shared" si="6"/>
        <v/>
      </c>
      <c r="Z33" s="195" t="str">
        <f t="shared" si="6"/>
        <v/>
      </c>
      <c r="AA33" s="195" t="str">
        <f t="shared" si="6"/>
        <v/>
      </c>
      <c r="AB33" s="195" t="str">
        <f t="shared" si="6"/>
        <v/>
      </c>
      <c r="AC33" s="195" t="str">
        <f t="shared" si="6"/>
        <v/>
      </c>
      <c r="AD33" s="195" t="str">
        <f t="shared" si="6"/>
        <v/>
      </c>
      <c r="AE33" s="195" t="str">
        <f t="shared" si="6"/>
        <v/>
      </c>
      <c r="AF33" s="195" t="str">
        <f t="shared" si="6"/>
        <v/>
      </c>
      <c r="AG33" s="195" t="str">
        <f t="shared" si="6"/>
        <v/>
      </c>
      <c r="AH33" s="195" t="str">
        <f t="shared" si="6"/>
        <v/>
      </c>
      <c r="AI33" s="195" t="str">
        <f t="shared" si="6"/>
        <v/>
      </c>
      <c r="AJ33" s="195" t="str">
        <f t="shared" si="6"/>
        <v/>
      </c>
      <c r="AK33" s="195" t="str">
        <f t="shared" si="6"/>
        <v/>
      </c>
      <c r="AL33" s="195" t="str">
        <f t="shared" si="6"/>
        <v/>
      </c>
      <c r="AM33" s="195" t="str">
        <f t="shared" si="6"/>
        <v/>
      </c>
      <c r="AN33" s="195" t="str">
        <f t="shared" si="6"/>
        <v/>
      </c>
      <c r="AO33" s="195" t="str">
        <f t="shared" si="6"/>
        <v/>
      </c>
      <c r="AP33" s="195" t="str">
        <f t="shared" si="6"/>
        <v/>
      </c>
      <c r="AQ33" s="195" t="str">
        <f t="shared" si="6"/>
        <v/>
      </c>
      <c r="AR33" s="195" t="str">
        <f t="shared" si="6"/>
        <v/>
      </c>
      <c r="AS33" s="195" t="str">
        <f t="shared" si="6"/>
        <v/>
      </c>
      <c r="AT33" s="195" t="str">
        <f t="shared" si="6"/>
        <v/>
      </c>
      <c r="AU33" s="195" t="str">
        <f t="shared" si="6"/>
        <v/>
      </c>
      <c r="AV33" s="195" t="str">
        <f t="shared" si="6"/>
        <v/>
      </c>
      <c r="AW33" s="195" t="str">
        <f t="shared" si="6"/>
        <v/>
      </c>
      <c r="AX33" s="195" t="str">
        <f t="shared" si="6"/>
        <v/>
      </c>
      <c r="AY33" s="195" t="str">
        <f t="shared" si="6"/>
        <v/>
      </c>
      <c r="AZ33" s="195" t="str">
        <f t="shared" si="6"/>
        <v/>
      </c>
      <c r="BA33" s="195" t="str">
        <f t="shared" si="6"/>
        <v/>
      </c>
      <c r="BB33" s="195" t="str">
        <f t="shared" si="6"/>
        <v/>
      </c>
      <c r="BC33" s="195" t="str">
        <f t="shared" si="6"/>
        <v/>
      </c>
      <c r="BD33" s="195" t="str">
        <f t="shared" si="6"/>
        <v/>
      </c>
      <c r="BE33" s="195" t="str">
        <f t="shared" si="6"/>
        <v/>
      </c>
      <c r="BF33" s="195" t="str">
        <f t="shared" si="6"/>
        <v/>
      </c>
      <c r="BG33" s="195" t="str">
        <f t="shared" si="6"/>
        <v/>
      </c>
      <c r="BH33" s="195" t="str">
        <f t="shared" si="6"/>
        <v/>
      </c>
      <c r="BI33" s="195" t="str">
        <f t="shared" si="6"/>
        <v/>
      </c>
      <c r="BJ33" s="195" t="str">
        <f t="shared" si="6"/>
        <v/>
      </c>
      <c r="BK33" s="195" t="str">
        <f t="shared" ref="BK33:BW33" si="7">IFERROR(BK32/BK12,"")</f>
        <v/>
      </c>
      <c r="BL33" s="195" t="str">
        <f t="shared" si="7"/>
        <v/>
      </c>
      <c r="BM33" s="195" t="str">
        <f t="shared" si="7"/>
        <v/>
      </c>
      <c r="BN33" s="195" t="str">
        <f t="shared" si="7"/>
        <v/>
      </c>
      <c r="BO33" s="195" t="str">
        <f t="shared" si="7"/>
        <v/>
      </c>
      <c r="BP33" s="195" t="str">
        <f t="shared" si="7"/>
        <v/>
      </c>
      <c r="BQ33" s="195" t="str">
        <f t="shared" si="7"/>
        <v/>
      </c>
      <c r="BR33" s="195" t="str">
        <f t="shared" si="7"/>
        <v/>
      </c>
      <c r="BS33" s="195" t="str">
        <f t="shared" si="7"/>
        <v/>
      </c>
      <c r="BT33" s="195" t="str">
        <f t="shared" si="7"/>
        <v/>
      </c>
      <c r="BU33" s="195" t="str">
        <f t="shared" si="7"/>
        <v/>
      </c>
      <c r="BV33" s="195" t="str">
        <f t="shared" si="7"/>
        <v/>
      </c>
      <c r="BW33" s="195" t="str">
        <f t="shared" si="7"/>
        <v/>
      </c>
    </row>
    <row r="34" spans="1:75" x14ac:dyDescent="0.3">
      <c r="A34" s="175">
        <v>31</v>
      </c>
      <c r="B34" s="176" t="s">
        <v>296</v>
      </c>
      <c r="C34" s="177">
        <v>27</v>
      </c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>
        <f>'Ket qua kinh doanh'!P20+'Ket qua kinh doanh'!P13+'Luu chuyen tien te'!P7</f>
        <v>0</v>
      </c>
      <c r="Q34" s="193">
        <f>'Ket qua kinh doanh'!Q20+'Ket qua kinh doanh'!Q13+'Luu chuyen tien te'!Q7</f>
        <v>0</v>
      </c>
      <c r="R34" s="193">
        <f>'Ket qua kinh doanh'!R20+'Ket qua kinh doanh'!R13+'Luu chuyen tien te'!R7</f>
        <v>0</v>
      </c>
      <c r="S34" s="193">
        <f>'Ket qua kinh doanh'!S20+'Ket qua kinh doanh'!S13+'Luu chuyen tien te'!S7</f>
        <v>0</v>
      </c>
      <c r="T34" s="193">
        <f>'Ket qua kinh doanh'!T20+'Ket qua kinh doanh'!T13+'Luu chuyen tien te'!T7</f>
        <v>0</v>
      </c>
      <c r="U34" s="193">
        <f>'Ket qua kinh doanh'!U20+'Ket qua kinh doanh'!U13+'Luu chuyen tien te'!U7</f>
        <v>0</v>
      </c>
      <c r="V34" s="193">
        <f>'Ket qua kinh doanh'!V20+'Ket qua kinh doanh'!V13+'Luu chuyen tien te'!V7</f>
        <v>0</v>
      </c>
      <c r="W34" s="193">
        <f>'Ket qua kinh doanh'!W20+'Ket qua kinh doanh'!W13+'Luu chuyen tien te'!W7</f>
        <v>0</v>
      </c>
      <c r="X34" s="193">
        <f>'Ket qua kinh doanh'!X20+'Ket qua kinh doanh'!X13+'Luu chuyen tien te'!X7</f>
        <v>0</v>
      </c>
      <c r="Y34" s="193">
        <f>'Ket qua kinh doanh'!Y20+'Ket qua kinh doanh'!Y13+'Luu chuyen tien te'!Y7</f>
        <v>0</v>
      </c>
      <c r="Z34" s="193">
        <f>'Ket qua kinh doanh'!Z20+'Ket qua kinh doanh'!Z13+'Luu chuyen tien te'!Z7</f>
        <v>0</v>
      </c>
      <c r="AA34" s="193">
        <f>'Ket qua kinh doanh'!AA20+'Ket qua kinh doanh'!AA13+'Luu chuyen tien te'!AA7</f>
        <v>0</v>
      </c>
      <c r="AB34" s="193">
        <f>'Ket qua kinh doanh'!AB20+'Ket qua kinh doanh'!AB13+'Luu chuyen tien te'!AB7</f>
        <v>0</v>
      </c>
      <c r="AC34" s="193">
        <f>'Ket qua kinh doanh'!AC20+'Ket qua kinh doanh'!AC13+'Luu chuyen tien te'!AC7</f>
        <v>0</v>
      </c>
      <c r="AD34" s="193">
        <f>'Ket qua kinh doanh'!AD20+'Ket qua kinh doanh'!AD13+'Luu chuyen tien te'!AD7</f>
        <v>0</v>
      </c>
      <c r="AE34" s="193">
        <f>'Ket qua kinh doanh'!AE20+'Ket qua kinh doanh'!AE13+'Luu chuyen tien te'!AE7</f>
        <v>0</v>
      </c>
      <c r="AF34" s="193">
        <f>'Ket qua kinh doanh'!AF20+'Ket qua kinh doanh'!AF13+'Luu chuyen tien te'!AF7</f>
        <v>0</v>
      </c>
      <c r="AG34" s="193">
        <f>'Ket qua kinh doanh'!AG20+'Ket qua kinh doanh'!AG13+'Luu chuyen tien te'!AG7</f>
        <v>0</v>
      </c>
      <c r="AH34" s="193">
        <f>'Ket qua kinh doanh'!AH20+'Ket qua kinh doanh'!AH13+'Luu chuyen tien te'!AH7</f>
        <v>0</v>
      </c>
      <c r="AI34" s="193">
        <f>'Ket qua kinh doanh'!AI20+'Ket qua kinh doanh'!AI13+'Luu chuyen tien te'!AI7</f>
        <v>0</v>
      </c>
      <c r="AJ34" s="193">
        <f>'Ket qua kinh doanh'!AJ20+'Ket qua kinh doanh'!AJ13+'Luu chuyen tien te'!AJ7</f>
        <v>0</v>
      </c>
      <c r="AK34" s="193">
        <f>'Ket qua kinh doanh'!AK20+'Ket qua kinh doanh'!AK13+'Luu chuyen tien te'!AK7</f>
        <v>0</v>
      </c>
      <c r="AL34" s="193">
        <f>'Ket qua kinh doanh'!AL20+'Ket qua kinh doanh'!AL13+'Luu chuyen tien te'!AL7</f>
        <v>0</v>
      </c>
      <c r="AM34" s="193">
        <f>'Ket qua kinh doanh'!AM20+'Ket qua kinh doanh'!AM13+'Luu chuyen tien te'!AM7</f>
        <v>0</v>
      </c>
      <c r="AN34" s="193">
        <f>'Ket qua kinh doanh'!AN20+'Ket qua kinh doanh'!AN13+'Luu chuyen tien te'!AN7</f>
        <v>0</v>
      </c>
      <c r="AO34" s="193">
        <f>'Ket qua kinh doanh'!AO20+'Ket qua kinh doanh'!AO13+'Luu chuyen tien te'!AO7</f>
        <v>0</v>
      </c>
      <c r="AP34" s="193">
        <f>'Ket qua kinh doanh'!AP20+'Ket qua kinh doanh'!AP13+'Luu chuyen tien te'!AP7</f>
        <v>0</v>
      </c>
      <c r="AQ34" s="193">
        <f>'Ket qua kinh doanh'!AQ20+'Ket qua kinh doanh'!AQ13+'Luu chuyen tien te'!AQ7</f>
        <v>0</v>
      </c>
      <c r="AR34" s="193">
        <f>'Ket qua kinh doanh'!AR20+'Ket qua kinh doanh'!AR13+'Luu chuyen tien te'!AR7</f>
        <v>0</v>
      </c>
      <c r="AS34" s="193">
        <f>'Ket qua kinh doanh'!AS20+'Ket qua kinh doanh'!AS13+'Luu chuyen tien te'!AS7</f>
        <v>0</v>
      </c>
      <c r="AT34" s="193">
        <f>'Ket qua kinh doanh'!AT20+'Ket qua kinh doanh'!AT13+'Luu chuyen tien te'!AT7</f>
        <v>0</v>
      </c>
      <c r="AU34" s="193">
        <f>'Ket qua kinh doanh'!AU20+'Ket qua kinh doanh'!AU13+'Luu chuyen tien te'!AU7</f>
        <v>0</v>
      </c>
      <c r="AV34" s="193">
        <f>'Ket qua kinh doanh'!AV20+'Ket qua kinh doanh'!AV13+'Luu chuyen tien te'!AV7</f>
        <v>0</v>
      </c>
      <c r="AW34" s="193">
        <f>'Ket qua kinh doanh'!AW20+'Ket qua kinh doanh'!AW13+'Luu chuyen tien te'!AW7</f>
        <v>0</v>
      </c>
      <c r="AX34" s="193">
        <f>'Ket qua kinh doanh'!AX20+'Ket qua kinh doanh'!AX13+'Luu chuyen tien te'!AX7</f>
        <v>0</v>
      </c>
      <c r="AY34" s="193">
        <f>'Ket qua kinh doanh'!AY20+'Ket qua kinh doanh'!AY13+'Luu chuyen tien te'!AY7</f>
        <v>0</v>
      </c>
      <c r="AZ34" s="193">
        <f>'Ket qua kinh doanh'!AZ20+'Ket qua kinh doanh'!AZ13+'Luu chuyen tien te'!AZ7</f>
        <v>0</v>
      </c>
      <c r="BA34" s="193">
        <f>'Ket qua kinh doanh'!BA20+'Ket qua kinh doanh'!BA13+'Luu chuyen tien te'!BA7</f>
        <v>0</v>
      </c>
      <c r="BB34" s="193">
        <f>'Ket qua kinh doanh'!BB20+'Ket qua kinh doanh'!BB13+'Luu chuyen tien te'!BB7</f>
        <v>0</v>
      </c>
      <c r="BC34" s="193">
        <f>'Ket qua kinh doanh'!BC20+'Ket qua kinh doanh'!BC13+'Luu chuyen tien te'!BC7</f>
        <v>0</v>
      </c>
      <c r="BD34" s="193">
        <f>'Ket qua kinh doanh'!BD20+'Ket qua kinh doanh'!BD13+'Luu chuyen tien te'!BD7</f>
        <v>0</v>
      </c>
      <c r="BE34" s="193">
        <f>'Ket qua kinh doanh'!BE20+'Ket qua kinh doanh'!BE13+'Luu chuyen tien te'!BE7</f>
        <v>0</v>
      </c>
      <c r="BF34" s="193">
        <f>'Ket qua kinh doanh'!BF20+'Ket qua kinh doanh'!BF13+'Luu chuyen tien te'!BF7</f>
        <v>0</v>
      </c>
      <c r="BG34" s="193">
        <f>'Ket qua kinh doanh'!BG20+'Ket qua kinh doanh'!BG13+'Luu chuyen tien te'!BG7</f>
        <v>0</v>
      </c>
      <c r="BH34" s="193">
        <f>'Ket qua kinh doanh'!BH20+'Ket qua kinh doanh'!BH13+'Luu chuyen tien te'!BH7</f>
        <v>0</v>
      </c>
      <c r="BI34" s="193">
        <f>'Ket qua kinh doanh'!BI20+'Ket qua kinh doanh'!BI13+'Luu chuyen tien te'!BI7</f>
        <v>0</v>
      </c>
      <c r="BJ34" s="193">
        <f>'Ket qua kinh doanh'!BJ20+'Ket qua kinh doanh'!BJ13+'Luu chuyen tien te'!BJ7</f>
        <v>-1888731</v>
      </c>
      <c r="BK34" s="193">
        <f>'Ket qua kinh doanh'!BK20+'Ket qua kinh doanh'!BK13+'Luu chuyen tien te'!BK7</f>
        <v>3317</v>
      </c>
      <c r="BL34" s="193">
        <f>'Ket qua kinh doanh'!BL20+'Ket qua kinh doanh'!BL13+'Luu chuyen tien te'!BL7</f>
        <v>-17918398</v>
      </c>
      <c r="BM34" s="193">
        <f>'Ket qua kinh doanh'!BM20+'Ket qua kinh doanh'!BM13+'Luu chuyen tien te'!BM7</f>
        <v>3080</v>
      </c>
      <c r="BN34" s="193">
        <f>'Ket qua kinh doanh'!BN20+'Ket qua kinh doanh'!BN13+'Luu chuyen tien te'!BN7</f>
        <v>-1215187</v>
      </c>
      <c r="BO34" s="193">
        <f>'Ket qua kinh doanh'!BO20+'Ket qua kinh doanh'!BO13+'Luu chuyen tien te'!BO7</f>
        <v>1097189037</v>
      </c>
      <c r="BP34" s="193">
        <f>'Ket qua kinh doanh'!BP20+'Ket qua kinh doanh'!BP13+'Luu chuyen tien te'!BP7</f>
        <v>-79541</v>
      </c>
      <c r="BQ34" s="193">
        <f>'Ket qua kinh doanh'!BQ20+'Ket qua kinh doanh'!BQ13+'Luu chuyen tien te'!BQ7</f>
        <v>0</v>
      </c>
      <c r="BR34" s="193">
        <f>'Ket qua kinh doanh'!BR20+'Ket qua kinh doanh'!BR13+'Luu chuyen tien te'!BR7</f>
        <v>0</v>
      </c>
      <c r="BS34" s="193">
        <f>'Ket qua kinh doanh'!BS20+'Ket qua kinh doanh'!BS13+'Luu chuyen tien te'!BS7</f>
        <v>0</v>
      </c>
      <c r="BT34" s="193">
        <f>'Ket qua kinh doanh'!BT20+'Ket qua kinh doanh'!BT13+'Luu chuyen tien te'!BT7</f>
        <v>0</v>
      </c>
      <c r="BU34" s="193">
        <f>'Ket qua kinh doanh'!BU20+'Ket qua kinh doanh'!BU13+'Luu chuyen tien te'!BU7</f>
        <v>0</v>
      </c>
      <c r="BV34" s="193">
        <f>'Ket qua kinh doanh'!BV20+'Ket qua kinh doanh'!BV13+'Luu chuyen tien te'!BV7</f>
        <v>0</v>
      </c>
      <c r="BW34" s="193">
        <f>'Ket qua kinh doanh'!BW20+'Ket qua kinh doanh'!BW13+'Luu chuyen tien te'!BW7</f>
        <v>0</v>
      </c>
    </row>
    <row r="35" spans="1:75" x14ac:dyDescent="0.3">
      <c r="A35" s="178">
        <v>32</v>
      </c>
      <c r="B35" s="179" t="s">
        <v>297</v>
      </c>
      <c r="C35" s="181">
        <v>27</v>
      </c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 t="str">
        <f t="shared" ref="P35:BJ35" si="8">IFERROR(P34/P12,"")</f>
        <v/>
      </c>
      <c r="Q35" s="195" t="str">
        <f t="shared" si="8"/>
        <v/>
      </c>
      <c r="R35" s="195" t="str">
        <f t="shared" si="8"/>
        <v/>
      </c>
      <c r="S35" s="195" t="str">
        <f t="shared" si="8"/>
        <v/>
      </c>
      <c r="T35" s="195" t="str">
        <f t="shared" si="8"/>
        <v/>
      </c>
      <c r="U35" s="195" t="str">
        <f t="shared" si="8"/>
        <v/>
      </c>
      <c r="V35" s="195" t="str">
        <f t="shared" si="8"/>
        <v/>
      </c>
      <c r="W35" s="195" t="str">
        <f t="shared" si="8"/>
        <v/>
      </c>
      <c r="X35" s="195" t="str">
        <f t="shared" si="8"/>
        <v/>
      </c>
      <c r="Y35" s="195" t="str">
        <f t="shared" si="8"/>
        <v/>
      </c>
      <c r="Z35" s="195" t="str">
        <f t="shared" si="8"/>
        <v/>
      </c>
      <c r="AA35" s="195" t="str">
        <f t="shared" si="8"/>
        <v/>
      </c>
      <c r="AB35" s="195" t="str">
        <f t="shared" si="8"/>
        <v/>
      </c>
      <c r="AC35" s="195" t="str">
        <f t="shared" si="8"/>
        <v/>
      </c>
      <c r="AD35" s="195" t="str">
        <f t="shared" si="8"/>
        <v/>
      </c>
      <c r="AE35" s="195" t="str">
        <f t="shared" si="8"/>
        <v/>
      </c>
      <c r="AF35" s="195" t="str">
        <f t="shared" si="8"/>
        <v/>
      </c>
      <c r="AG35" s="195" t="str">
        <f t="shared" si="8"/>
        <v/>
      </c>
      <c r="AH35" s="195" t="str">
        <f t="shared" si="8"/>
        <v/>
      </c>
      <c r="AI35" s="195" t="str">
        <f t="shared" si="8"/>
        <v/>
      </c>
      <c r="AJ35" s="195" t="str">
        <f t="shared" si="8"/>
        <v/>
      </c>
      <c r="AK35" s="195" t="str">
        <f t="shared" si="8"/>
        <v/>
      </c>
      <c r="AL35" s="195" t="str">
        <f t="shared" si="8"/>
        <v/>
      </c>
      <c r="AM35" s="195" t="str">
        <f t="shared" si="8"/>
        <v/>
      </c>
      <c r="AN35" s="195" t="str">
        <f t="shared" si="8"/>
        <v/>
      </c>
      <c r="AO35" s="195" t="str">
        <f t="shared" si="8"/>
        <v/>
      </c>
      <c r="AP35" s="195" t="str">
        <f t="shared" si="8"/>
        <v/>
      </c>
      <c r="AQ35" s="195" t="str">
        <f t="shared" si="8"/>
        <v/>
      </c>
      <c r="AR35" s="195" t="str">
        <f t="shared" si="8"/>
        <v/>
      </c>
      <c r="AS35" s="195" t="str">
        <f t="shared" si="8"/>
        <v/>
      </c>
      <c r="AT35" s="195" t="str">
        <f t="shared" si="8"/>
        <v/>
      </c>
      <c r="AU35" s="195" t="str">
        <f t="shared" si="8"/>
        <v/>
      </c>
      <c r="AV35" s="195" t="str">
        <f t="shared" si="8"/>
        <v/>
      </c>
      <c r="AW35" s="195" t="str">
        <f t="shared" si="8"/>
        <v/>
      </c>
      <c r="AX35" s="195" t="str">
        <f t="shared" si="8"/>
        <v/>
      </c>
      <c r="AY35" s="195" t="str">
        <f t="shared" si="8"/>
        <v/>
      </c>
      <c r="AZ35" s="195" t="str">
        <f t="shared" si="8"/>
        <v/>
      </c>
      <c r="BA35" s="195" t="str">
        <f t="shared" si="8"/>
        <v/>
      </c>
      <c r="BB35" s="195" t="str">
        <f t="shared" si="8"/>
        <v/>
      </c>
      <c r="BC35" s="195" t="str">
        <f t="shared" si="8"/>
        <v/>
      </c>
      <c r="BD35" s="195" t="str">
        <f t="shared" si="8"/>
        <v/>
      </c>
      <c r="BE35" s="195" t="str">
        <f t="shared" si="8"/>
        <v/>
      </c>
      <c r="BF35" s="195" t="str">
        <f t="shared" si="8"/>
        <v/>
      </c>
      <c r="BG35" s="195" t="str">
        <f t="shared" si="8"/>
        <v/>
      </c>
      <c r="BH35" s="195" t="str">
        <f t="shared" si="8"/>
        <v/>
      </c>
      <c r="BI35" s="195" t="str">
        <f t="shared" si="8"/>
        <v/>
      </c>
      <c r="BJ35" s="195" t="str">
        <f t="shared" si="8"/>
        <v/>
      </c>
      <c r="BK35" s="195" t="str">
        <f t="shared" ref="BK35:BW35" si="9">IFERROR(BK34/BK12,"")</f>
        <v/>
      </c>
      <c r="BL35" s="195" t="str">
        <f t="shared" si="9"/>
        <v/>
      </c>
      <c r="BM35" s="195" t="str">
        <f t="shared" si="9"/>
        <v/>
      </c>
      <c r="BN35" s="195" t="str">
        <f t="shared" si="9"/>
        <v/>
      </c>
      <c r="BO35" s="195" t="str">
        <f t="shared" si="9"/>
        <v/>
      </c>
      <c r="BP35" s="195" t="str">
        <f t="shared" si="9"/>
        <v/>
      </c>
      <c r="BQ35" s="195" t="str">
        <f t="shared" si="9"/>
        <v/>
      </c>
      <c r="BR35" s="195" t="str">
        <f t="shared" si="9"/>
        <v/>
      </c>
      <c r="BS35" s="195" t="str">
        <f t="shared" si="9"/>
        <v/>
      </c>
      <c r="BT35" s="195" t="str">
        <f t="shared" si="9"/>
        <v/>
      </c>
      <c r="BU35" s="195" t="str">
        <f t="shared" si="9"/>
        <v/>
      </c>
      <c r="BV35" s="195" t="str">
        <f t="shared" si="9"/>
        <v/>
      </c>
      <c r="BW35" s="195" t="str">
        <f t="shared" si="9"/>
        <v/>
      </c>
    </row>
    <row r="36" spans="1:75" x14ac:dyDescent="0.3">
      <c r="A36" s="175">
        <v>33</v>
      </c>
      <c r="B36" s="176" t="s">
        <v>298</v>
      </c>
      <c r="C36" s="177">
        <v>27</v>
      </c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>
        <f>'Ket qua kinh doanh'!P21+'Ket qua kinh doanh'!P22</f>
        <v>0</v>
      </c>
      <c r="Q36" s="193">
        <f>'Ket qua kinh doanh'!Q21+'Ket qua kinh doanh'!Q22</f>
        <v>0</v>
      </c>
      <c r="R36" s="193">
        <f>'Ket qua kinh doanh'!R21+'Ket qua kinh doanh'!R22</f>
        <v>0</v>
      </c>
      <c r="S36" s="193">
        <f>'Ket qua kinh doanh'!S21+'Ket qua kinh doanh'!S22</f>
        <v>0</v>
      </c>
      <c r="T36" s="193">
        <f>'Ket qua kinh doanh'!T21+'Ket qua kinh doanh'!T22</f>
        <v>0</v>
      </c>
      <c r="U36" s="193">
        <f>'Ket qua kinh doanh'!U21+'Ket qua kinh doanh'!U22</f>
        <v>0</v>
      </c>
      <c r="V36" s="193">
        <f>'Ket qua kinh doanh'!V21+'Ket qua kinh doanh'!V22</f>
        <v>0</v>
      </c>
      <c r="W36" s="193">
        <f>'Ket qua kinh doanh'!W21+'Ket qua kinh doanh'!W22</f>
        <v>0</v>
      </c>
      <c r="X36" s="193">
        <f>'Ket qua kinh doanh'!X21+'Ket qua kinh doanh'!X22</f>
        <v>0</v>
      </c>
      <c r="Y36" s="193">
        <f>'Ket qua kinh doanh'!Y21+'Ket qua kinh doanh'!Y22</f>
        <v>0</v>
      </c>
      <c r="Z36" s="193">
        <f>'Ket qua kinh doanh'!Z21+'Ket qua kinh doanh'!Z22</f>
        <v>0</v>
      </c>
      <c r="AA36" s="193">
        <f>'Ket qua kinh doanh'!AA21+'Ket qua kinh doanh'!AA22</f>
        <v>0</v>
      </c>
      <c r="AB36" s="193">
        <f>'Ket qua kinh doanh'!AB21+'Ket qua kinh doanh'!AB22</f>
        <v>0</v>
      </c>
      <c r="AC36" s="193">
        <f>'Ket qua kinh doanh'!AC21+'Ket qua kinh doanh'!AC22</f>
        <v>0</v>
      </c>
      <c r="AD36" s="193">
        <f>'Ket qua kinh doanh'!AD21+'Ket qua kinh doanh'!AD22</f>
        <v>0</v>
      </c>
      <c r="AE36" s="193">
        <f>'Ket qua kinh doanh'!AE21+'Ket qua kinh doanh'!AE22</f>
        <v>0</v>
      </c>
      <c r="AF36" s="193">
        <f>'Ket qua kinh doanh'!AF21+'Ket qua kinh doanh'!AF22</f>
        <v>0</v>
      </c>
      <c r="AG36" s="193">
        <f>'Ket qua kinh doanh'!AG21+'Ket qua kinh doanh'!AG22</f>
        <v>0</v>
      </c>
      <c r="AH36" s="193">
        <f>'Ket qua kinh doanh'!AH21+'Ket qua kinh doanh'!AH22</f>
        <v>0</v>
      </c>
      <c r="AI36" s="193">
        <f>'Ket qua kinh doanh'!AI21+'Ket qua kinh doanh'!AI22</f>
        <v>0</v>
      </c>
      <c r="AJ36" s="193">
        <f>'Ket qua kinh doanh'!AJ21+'Ket qua kinh doanh'!AJ22</f>
        <v>0</v>
      </c>
      <c r="AK36" s="193">
        <f>'Ket qua kinh doanh'!AK21+'Ket qua kinh doanh'!AK22</f>
        <v>0</v>
      </c>
      <c r="AL36" s="193">
        <f>'Ket qua kinh doanh'!AL21+'Ket qua kinh doanh'!AL22</f>
        <v>0</v>
      </c>
      <c r="AM36" s="193">
        <f>'Ket qua kinh doanh'!AM21+'Ket qua kinh doanh'!AM22</f>
        <v>0</v>
      </c>
      <c r="AN36" s="193">
        <f>'Ket qua kinh doanh'!AN21+'Ket qua kinh doanh'!AN22</f>
        <v>0</v>
      </c>
      <c r="AO36" s="193">
        <f>'Ket qua kinh doanh'!AO21+'Ket qua kinh doanh'!AO22</f>
        <v>0</v>
      </c>
      <c r="AP36" s="193">
        <f>'Ket qua kinh doanh'!AP21+'Ket qua kinh doanh'!AP22</f>
        <v>0</v>
      </c>
      <c r="AQ36" s="193">
        <f>'Ket qua kinh doanh'!AQ21+'Ket qua kinh doanh'!AQ22</f>
        <v>0</v>
      </c>
      <c r="AR36" s="193">
        <f>'Ket qua kinh doanh'!AR21+'Ket qua kinh doanh'!AR22</f>
        <v>0</v>
      </c>
      <c r="AS36" s="193">
        <f>'Ket qua kinh doanh'!AS21+'Ket qua kinh doanh'!AS22</f>
        <v>0</v>
      </c>
      <c r="AT36" s="193">
        <f>'Ket qua kinh doanh'!AT21+'Ket qua kinh doanh'!AT22</f>
        <v>0</v>
      </c>
      <c r="AU36" s="193">
        <f>'Ket qua kinh doanh'!AU21+'Ket qua kinh doanh'!AU22</f>
        <v>0</v>
      </c>
      <c r="AV36" s="193">
        <f>'Ket qua kinh doanh'!AV21+'Ket qua kinh doanh'!AV22</f>
        <v>0</v>
      </c>
      <c r="AW36" s="193">
        <f>'Ket qua kinh doanh'!AW21+'Ket qua kinh doanh'!AW22</f>
        <v>0</v>
      </c>
      <c r="AX36" s="193">
        <f>'Ket qua kinh doanh'!AX21+'Ket qua kinh doanh'!AX22</f>
        <v>0</v>
      </c>
      <c r="AY36" s="193">
        <f>'Ket qua kinh doanh'!AY21+'Ket qua kinh doanh'!AY22</f>
        <v>0</v>
      </c>
      <c r="AZ36" s="193">
        <f>'Ket qua kinh doanh'!AZ21+'Ket qua kinh doanh'!AZ22</f>
        <v>0</v>
      </c>
      <c r="BA36" s="193">
        <f>'Ket qua kinh doanh'!BA21+'Ket qua kinh doanh'!BA22</f>
        <v>0</v>
      </c>
      <c r="BB36" s="193">
        <f>'Ket qua kinh doanh'!BB21+'Ket qua kinh doanh'!BB22</f>
        <v>0</v>
      </c>
      <c r="BC36" s="193">
        <f>'Ket qua kinh doanh'!BC21+'Ket qua kinh doanh'!BC22</f>
        <v>0</v>
      </c>
      <c r="BD36" s="193">
        <f>'Ket qua kinh doanh'!BD21+'Ket qua kinh doanh'!BD22</f>
        <v>0</v>
      </c>
      <c r="BE36" s="193">
        <f>'Ket qua kinh doanh'!BE21+'Ket qua kinh doanh'!BE22</f>
        <v>0</v>
      </c>
      <c r="BF36" s="193">
        <f>'Ket qua kinh doanh'!BF21+'Ket qua kinh doanh'!BF22</f>
        <v>0</v>
      </c>
      <c r="BG36" s="193">
        <f>'Ket qua kinh doanh'!BG21+'Ket qua kinh doanh'!BG22</f>
        <v>0</v>
      </c>
      <c r="BH36" s="193">
        <f>'Ket qua kinh doanh'!BH21+'Ket qua kinh doanh'!BH22</f>
        <v>0</v>
      </c>
      <c r="BI36" s="193">
        <f>'Ket qua kinh doanh'!BI21+'Ket qua kinh doanh'!BI22</f>
        <v>0</v>
      </c>
      <c r="BJ36" s="193">
        <f>'Ket qua kinh doanh'!BJ21+'Ket qua kinh doanh'!BJ22</f>
        <v>0</v>
      </c>
      <c r="BK36" s="193">
        <f>'Ket qua kinh doanh'!BK21+'Ket qua kinh doanh'!BK22</f>
        <v>0</v>
      </c>
      <c r="BL36" s="193">
        <f>'Ket qua kinh doanh'!BL21+'Ket qua kinh doanh'!BL22</f>
        <v>0</v>
      </c>
      <c r="BM36" s="193">
        <f>'Ket qua kinh doanh'!BM21+'Ket qua kinh doanh'!BM22</f>
        <v>0</v>
      </c>
      <c r="BN36" s="193">
        <f>'Ket qua kinh doanh'!BN21+'Ket qua kinh doanh'!BN22</f>
        <v>0</v>
      </c>
      <c r="BO36" s="193">
        <f>'Ket qua kinh doanh'!BO21+'Ket qua kinh doanh'!BO22</f>
        <v>0</v>
      </c>
      <c r="BP36" s="193">
        <f>'Ket qua kinh doanh'!BP21+'Ket qua kinh doanh'!BP22</f>
        <v>0</v>
      </c>
      <c r="BQ36" s="193">
        <f>'Ket qua kinh doanh'!BQ21+'Ket qua kinh doanh'!BQ22</f>
        <v>0</v>
      </c>
      <c r="BR36" s="193">
        <f>'Ket qua kinh doanh'!BR21+'Ket qua kinh doanh'!BR22</f>
        <v>0</v>
      </c>
      <c r="BS36" s="193">
        <f>'Ket qua kinh doanh'!BS21+'Ket qua kinh doanh'!BS22</f>
        <v>0</v>
      </c>
      <c r="BT36" s="193">
        <f>'Ket qua kinh doanh'!BT21+'Ket qua kinh doanh'!BT22</f>
        <v>0</v>
      </c>
      <c r="BU36" s="193">
        <f>'Ket qua kinh doanh'!BU21+'Ket qua kinh doanh'!BU22</f>
        <v>0</v>
      </c>
      <c r="BV36" s="193">
        <f>'Ket qua kinh doanh'!BV21+'Ket qua kinh doanh'!BV22</f>
        <v>0</v>
      </c>
      <c r="BW36" s="193">
        <f>'Ket qua kinh doanh'!BW21+'Ket qua kinh doanh'!BW22</f>
        <v>0</v>
      </c>
    </row>
    <row r="37" spans="1:75" x14ac:dyDescent="0.3">
      <c r="A37" s="178">
        <v>34</v>
      </c>
      <c r="B37" s="179" t="s">
        <v>299</v>
      </c>
      <c r="C37" s="181">
        <v>27</v>
      </c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 t="str">
        <f t="shared" ref="P37:BJ37" si="10">IFERROR(P36/P12,"")</f>
        <v/>
      </c>
      <c r="Q37" s="195" t="str">
        <f t="shared" si="10"/>
        <v/>
      </c>
      <c r="R37" s="195" t="str">
        <f t="shared" si="10"/>
        <v/>
      </c>
      <c r="S37" s="195" t="str">
        <f t="shared" si="10"/>
        <v/>
      </c>
      <c r="T37" s="195" t="str">
        <f t="shared" si="10"/>
        <v/>
      </c>
      <c r="U37" s="195" t="str">
        <f t="shared" si="10"/>
        <v/>
      </c>
      <c r="V37" s="195" t="str">
        <f t="shared" si="10"/>
        <v/>
      </c>
      <c r="W37" s="195" t="str">
        <f t="shared" si="10"/>
        <v/>
      </c>
      <c r="X37" s="195" t="str">
        <f t="shared" si="10"/>
        <v/>
      </c>
      <c r="Y37" s="195" t="str">
        <f t="shared" si="10"/>
        <v/>
      </c>
      <c r="Z37" s="195" t="str">
        <f t="shared" si="10"/>
        <v/>
      </c>
      <c r="AA37" s="195" t="str">
        <f t="shared" si="10"/>
        <v/>
      </c>
      <c r="AB37" s="195" t="str">
        <f t="shared" si="10"/>
        <v/>
      </c>
      <c r="AC37" s="195" t="str">
        <f t="shared" si="10"/>
        <v/>
      </c>
      <c r="AD37" s="195" t="str">
        <f t="shared" si="10"/>
        <v/>
      </c>
      <c r="AE37" s="195" t="str">
        <f t="shared" si="10"/>
        <v/>
      </c>
      <c r="AF37" s="195" t="str">
        <f t="shared" si="10"/>
        <v/>
      </c>
      <c r="AG37" s="195" t="str">
        <f t="shared" si="10"/>
        <v/>
      </c>
      <c r="AH37" s="195" t="str">
        <f t="shared" si="10"/>
        <v/>
      </c>
      <c r="AI37" s="195" t="str">
        <f t="shared" si="10"/>
        <v/>
      </c>
      <c r="AJ37" s="195" t="str">
        <f t="shared" si="10"/>
        <v/>
      </c>
      <c r="AK37" s="195" t="str">
        <f t="shared" si="10"/>
        <v/>
      </c>
      <c r="AL37" s="195" t="str">
        <f t="shared" si="10"/>
        <v/>
      </c>
      <c r="AM37" s="195" t="str">
        <f t="shared" si="10"/>
        <v/>
      </c>
      <c r="AN37" s="195" t="str">
        <f t="shared" si="10"/>
        <v/>
      </c>
      <c r="AO37" s="195" t="str">
        <f t="shared" si="10"/>
        <v/>
      </c>
      <c r="AP37" s="195" t="str">
        <f t="shared" si="10"/>
        <v/>
      </c>
      <c r="AQ37" s="195" t="str">
        <f t="shared" si="10"/>
        <v/>
      </c>
      <c r="AR37" s="195" t="str">
        <f t="shared" si="10"/>
        <v/>
      </c>
      <c r="AS37" s="195" t="str">
        <f t="shared" si="10"/>
        <v/>
      </c>
      <c r="AT37" s="195" t="str">
        <f t="shared" si="10"/>
        <v/>
      </c>
      <c r="AU37" s="195" t="str">
        <f t="shared" si="10"/>
        <v/>
      </c>
      <c r="AV37" s="195" t="str">
        <f t="shared" si="10"/>
        <v/>
      </c>
      <c r="AW37" s="195" t="str">
        <f t="shared" si="10"/>
        <v/>
      </c>
      <c r="AX37" s="195" t="str">
        <f t="shared" si="10"/>
        <v/>
      </c>
      <c r="AY37" s="195" t="str">
        <f t="shared" si="10"/>
        <v/>
      </c>
      <c r="AZ37" s="195" t="str">
        <f t="shared" si="10"/>
        <v/>
      </c>
      <c r="BA37" s="195" t="str">
        <f t="shared" si="10"/>
        <v/>
      </c>
      <c r="BB37" s="195" t="str">
        <f t="shared" si="10"/>
        <v/>
      </c>
      <c r="BC37" s="195" t="str">
        <f t="shared" si="10"/>
        <v/>
      </c>
      <c r="BD37" s="195" t="str">
        <f t="shared" si="10"/>
        <v/>
      </c>
      <c r="BE37" s="195" t="str">
        <f t="shared" si="10"/>
        <v/>
      </c>
      <c r="BF37" s="195" t="str">
        <f t="shared" si="10"/>
        <v/>
      </c>
      <c r="BG37" s="195" t="str">
        <f t="shared" si="10"/>
        <v/>
      </c>
      <c r="BH37" s="195" t="str">
        <f t="shared" si="10"/>
        <v/>
      </c>
      <c r="BI37" s="195" t="str">
        <f t="shared" si="10"/>
        <v/>
      </c>
      <c r="BJ37" s="195" t="str">
        <f t="shared" si="10"/>
        <v/>
      </c>
      <c r="BK37" s="195" t="str">
        <f t="shared" ref="BK37:BW37" si="11">IFERROR(BK36/BK12,"")</f>
        <v/>
      </c>
      <c r="BL37" s="195" t="str">
        <f t="shared" si="11"/>
        <v/>
      </c>
      <c r="BM37" s="195" t="str">
        <f t="shared" si="11"/>
        <v/>
      </c>
      <c r="BN37" s="195" t="str">
        <f t="shared" si="11"/>
        <v/>
      </c>
      <c r="BO37" s="195" t="str">
        <f t="shared" si="11"/>
        <v/>
      </c>
      <c r="BP37" s="195" t="str">
        <f t="shared" si="11"/>
        <v/>
      </c>
      <c r="BQ37" s="195" t="str">
        <f t="shared" si="11"/>
        <v/>
      </c>
      <c r="BR37" s="195" t="str">
        <f t="shared" si="11"/>
        <v/>
      </c>
      <c r="BS37" s="195" t="str">
        <f t="shared" si="11"/>
        <v/>
      </c>
      <c r="BT37" s="195" t="str">
        <f t="shared" si="11"/>
        <v/>
      </c>
      <c r="BU37" s="195" t="str">
        <f t="shared" si="11"/>
        <v/>
      </c>
      <c r="BV37" s="195" t="str">
        <f t="shared" si="11"/>
        <v/>
      </c>
      <c r="BW37" s="195" t="str">
        <f t="shared" si="11"/>
        <v/>
      </c>
    </row>
    <row r="38" spans="1:75" x14ac:dyDescent="0.3">
      <c r="A38" s="175">
        <v>35</v>
      </c>
      <c r="B38" s="176" t="s">
        <v>300</v>
      </c>
      <c r="C38" s="177">
        <v>27</v>
      </c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>
        <f>'Ket qua kinh doanh'!P23</f>
        <v>0</v>
      </c>
      <c r="Q38" s="193">
        <f>'Ket qua kinh doanh'!Q23</f>
        <v>0</v>
      </c>
      <c r="R38" s="193">
        <f>'Ket qua kinh doanh'!R23</f>
        <v>0</v>
      </c>
      <c r="S38" s="193">
        <f>'Ket qua kinh doanh'!S23</f>
        <v>0</v>
      </c>
      <c r="T38" s="193">
        <f>'Ket qua kinh doanh'!T23</f>
        <v>0</v>
      </c>
      <c r="U38" s="193">
        <f>'Ket qua kinh doanh'!U23</f>
        <v>0</v>
      </c>
      <c r="V38" s="193">
        <f>'Ket qua kinh doanh'!V23</f>
        <v>0</v>
      </c>
      <c r="W38" s="193">
        <f>'Ket qua kinh doanh'!W23</f>
        <v>0</v>
      </c>
      <c r="X38" s="193">
        <f>'Ket qua kinh doanh'!X23</f>
        <v>0</v>
      </c>
      <c r="Y38" s="193">
        <f>'Ket qua kinh doanh'!Y23</f>
        <v>0</v>
      </c>
      <c r="Z38" s="193">
        <f>'Ket qua kinh doanh'!Z23</f>
        <v>0</v>
      </c>
      <c r="AA38" s="193">
        <f>'Ket qua kinh doanh'!AA23</f>
        <v>0</v>
      </c>
      <c r="AB38" s="193">
        <f>'Ket qua kinh doanh'!AB23</f>
        <v>0</v>
      </c>
      <c r="AC38" s="193">
        <f>'Ket qua kinh doanh'!AC23</f>
        <v>0</v>
      </c>
      <c r="AD38" s="193">
        <f>'Ket qua kinh doanh'!AD23</f>
        <v>0</v>
      </c>
      <c r="AE38" s="193">
        <f>'Ket qua kinh doanh'!AE23</f>
        <v>0</v>
      </c>
      <c r="AF38" s="193">
        <f>'Ket qua kinh doanh'!AF23</f>
        <v>0</v>
      </c>
      <c r="AG38" s="193">
        <f>'Ket qua kinh doanh'!AG23</f>
        <v>0</v>
      </c>
      <c r="AH38" s="193">
        <f>'Ket qua kinh doanh'!AH23</f>
        <v>0</v>
      </c>
      <c r="AI38" s="193">
        <f>'Ket qua kinh doanh'!AI23</f>
        <v>0</v>
      </c>
      <c r="AJ38" s="193">
        <f>'Ket qua kinh doanh'!AJ23</f>
        <v>0</v>
      </c>
      <c r="AK38" s="193">
        <f>'Ket qua kinh doanh'!AK23</f>
        <v>0</v>
      </c>
      <c r="AL38" s="193">
        <f>'Ket qua kinh doanh'!AL23</f>
        <v>0</v>
      </c>
      <c r="AM38" s="193">
        <f>'Ket qua kinh doanh'!AM23</f>
        <v>0</v>
      </c>
      <c r="AN38" s="193">
        <f>'Ket qua kinh doanh'!AN23</f>
        <v>0</v>
      </c>
      <c r="AO38" s="193">
        <f>'Ket qua kinh doanh'!AO23</f>
        <v>0</v>
      </c>
      <c r="AP38" s="193">
        <f>'Ket qua kinh doanh'!AP23</f>
        <v>0</v>
      </c>
      <c r="AQ38" s="193">
        <f>'Ket qua kinh doanh'!AQ23</f>
        <v>0</v>
      </c>
      <c r="AR38" s="193">
        <f>'Ket qua kinh doanh'!AR23</f>
        <v>0</v>
      </c>
      <c r="AS38" s="193">
        <f>'Ket qua kinh doanh'!AS23</f>
        <v>0</v>
      </c>
      <c r="AT38" s="193">
        <f>'Ket qua kinh doanh'!AT23</f>
        <v>0</v>
      </c>
      <c r="AU38" s="193">
        <f>'Ket qua kinh doanh'!AU23</f>
        <v>0</v>
      </c>
      <c r="AV38" s="193">
        <f>'Ket qua kinh doanh'!AV23</f>
        <v>0</v>
      </c>
      <c r="AW38" s="193">
        <f>'Ket qua kinh doanh'!AW23</f>
        <v>0</v>
      </c>
      <c r="AX38" s="193">
        <f>'Ket qua kinh doanh'!AX23</f>
        <v>0</v>
      </c>
      <c r="AY38" s="193">
        <f>'Ket qua kinh doanh'!AY23</f>
        <v>0</v>
      </c>
      <c r="AZ38" s="193">
        <f>'Ket qua kinh doanh'!AZ23</f>
        <v>0</v>
      </c>
      <c r="BA38" s="193">
        <f>'Ket qua kinh doanh'!BA23</f>
        <v>0</v>
      </c>
      <c r="BB38" s="193">
        <f>'Ket qua kinh doanh'!BB23</f>
        <v>0</v>
      </c>
      <c r="BC38" s="193">
        <f>'Ket qua kinh doanh'!BC23</f>
        <v>0</v>
      </c>
      <c r="BD38" s="193">
        <f>'Ket qua kinh doanh'!BD23</f>
        <v>0</v>
      </c>
      <c r="BE38" s="193">
        <f>'Ket qua kinh doanh'!BE23</f>
        <v>0</v>
      </c>
      <c r="BF38" s="193">
        <f>'Ket qua kinh doanh'!BF23</f>
        <v>0</v>
      </c>
      <c r="BG38" s="193">
        <f>'Ket qua kinh doanh'!BG23</f>
        <v>0</v>
      </c>
      <c r="BH38" s="193">
        <f>'Ket qua kinh doanh'!BH23</f>
        <v>0</v>
      </c>
      <c r="BI38" s="193">
        <f>'Ket qua kinh doanh'!BI23</f>
        <v>0</v>
      </c>
      <c r="BJ38" s="193">
        <f>'Ket qua kinh doanh'!BJ23</f>
        <v>-1888731</v>
      </c>
      <c r="BK38" s="193">
        <f>'Ket qua kinh doanh'!BK23</f>
        <v>3317</v>
      </c>
      <c r="BL38" s="193">
        <f>'Ket qua kinh doanh'!BL23</f>
        <v>-17918398</v>
      </c>
      <c r="BM38" s="193">
        <f>'Ket qua kinh doanh'!BM23</f>
        <v>3080</v>
      </c>
      <c r="BN38" s="193">
        <f>'Ket qua kinh doanh'!BN23</f>
        <v>-1215187</v>
      </c>
      <c r="BO38" s="193">
        <f>'Ket qua kinh doanh'!BO23</f>
        <v>1097189037</v>
      </c>
      <c r="BP38" s="193">
        <f>'Ket qua kinh doanh'!BP23</f>
        <v>-79541</v>
      </c>
      <c r="BQ38" s="193">
        <f>'Ket qua kinh doanh'!BQ23</f>
        <v>0</v>
      </c>
      <c r="BR38" s="193">
        <f>'Ket qua kinh doanh'!BR23</f>
        <v>0</v>
      </c>
      <c r="BS38" s="193">
        <f>'Ket qua kinh doanh'!BS23</f>
        <v>0</v>
      </c>
      <c r="BT38" s="193">
        <f>'Ket qua kinh doanh'!BT23</f>
        <v>0</v>
      </c>
      <c r="BU38" s="193">
        <f>'Ket qua kinh doanh'!BU23</f>
        <v>0</v>
      </c>
      <c r="BV38" s="193">
        <f>'Ket qua kinh doanh'!BV23</f>
        <v>0</v>
      </c>
      <c r="BW38" s="193">
        <f>'Ket qua kinh doanh'!BW23</f>
        <v>0</v>
      </c>
    </row>
    <row r="39" spans="1:75" x14ac:dyDescent="0.3">
      <c r="A39" s="178">
        <v>36</v>
      </c>
      <c r="B39" s="179" t="s">
        <v>301</v>
      </c>
      <c r="C39" s="181">
        <v>27</v>
      </c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 t="str">
        <f t="shared" ref="P39:BJ39" si="12">IFERROR(P38/P12,"")</f>
        <v/>
      </c>
      <c r="Q39" s="195" t="str">
        <f t="shared" si="12"/>
        <v/>
      </c>
      <c r="R39" s="195" t="str">
        <f t="shared" si="12"/>
        <v/>
      </c>
      <c r="S39" s="195" t="str">
        <f t="shared" si="12"/>
        <v/>
      </c>
      <c r="T39" s="195" t="str">
        <f t="shared" si="12"/>
        <v/>
      </c>
      <c r="U39" s="195" t="str">
        <f t="shared" si="12"/>
        <v/>
      </c>
      <c r="V39" s="195" t="str">
        <f t="shared" si="12"/>
        <v/>
      </c>
      <c r="W39" s="195" t="str">
        <f t="shared" si="12"/>
        <v/>
      </c>
      <c r="X39" s="195" t="str">
        <f t="shared" si="12"/>
        <v/>
      </c>
      <c r="Y39" s="195" t="str">
        <f t="shared" si="12"/>
        <v/>
      </c>
      <c r="Z39" s="195" t="str">
        <f t="shared" si="12"/>
        <v/>
      </c>
      <c r="AA39" s="195" t="str">
        <f t="shared" si="12"/>
        <v/>
      </c>
      <c r="AB39" s="195" t="str">
        <f t="shared" si="12"/>
        <v/>
      </c>
      <c r="AC39" s="195" t="str">
        <f t="shared" si="12"/>
        <v/>
      </c>
      <c r="AD39" s="195" t="str">
        <f t="shared" si="12"/>
        <v/>
      </c>
      <c r="AE39" s="195" t="str">
        <f t="shared" si="12"/>
        <v/>
      </c>
      <c r="AF39" s="195" t="str">
        <f t="shared" si="12"/>
        <v/>
      </c>
      <c r="AG39" s="195" t="str">
        <f t="shared" si="12"/>
        <v/>
      </c>
      <c r="AH39" s="195" t="str">
        <f t="shared" si="12"/>
        <v/>
      </c>
      <c r="AI39" s="195" t="str">
        <f t="shared" si="12"/>
        <v/>
      </c>
      <c r="AJ39" s="195" t="str">
        <f t="shared" si="12"/>
        <v/>
      </c>
      <c r="AK39" s="195" t="str">
        <f t="shared" si="12"/>
        <v/>
      </c>
      <c r="AL39" s="195" t="str">
        <f t="shared" si="12"/>
        <v/>
      </c>
      <c r="AM39" s="195" t="str">
        <f t="shared" si="12"/>
        <v/>
      </c>
      <c r="AN39" s="195" t="str">
        <f t="shared" si="12"/>
        <v/>
      </c>
      <c r="AO39" s="195" t="str">
        <f t="shared" si="12"/>
        <v/>
      </c>
      <c r="AP39" s="195" t="str">
        <f t="shared" si="12"/>
        <v/>
      </c>
      <c r="AQ39" s="195" t="str">
        <f t="shared" si="12"/>
        <v/>
      </c>
      <c r="AR39" s="195" t="str">
        <f t="shared" si="12"/>
        <v/>
      </c>
      <c r="AS39" s="195" t="str">
        <f t="shared" si="12"/>
        <v/>
      </c>
      <c r="AT39" s="195" t="str">
        <f t="shared" si="12"/>
        <v/>
      </c>
      <c r="AU39" s="195" t="str">
        <f t="shared" si="12"/>
        <v/>
      </c>
      <c r="AV39" s="195" t="str">
        <f t="shared" si="12"/>
        <v/>
      </c>
      <c r="AW39" s="195" t="str">
        <f t="shared" si="12"/>
        <v/>
      </c>
      <c r="AX39" s="195" t="str">
        <f t="shared" si="12"/>
        <v/>
      </c>
      <c r="AY39" s="195" t="str">
        <f t="shared" si="12"/>
        <v/>
      </c>
      <c r="AZ39" s="195" t="str">
        <f t="shared" si="12"/>
        <v/>
      </c>
      <c r="BA39" s="195" t="str">
        <f t="shared" si="12"/>
        <v/>
      </c>
      <c r="BB39" s="195" t="str">
        <f t="shared" si="12"/>
        <v/>
      </c>
      <c r="BC39" s="195" t="str">
        <f t="shared" si="12"/>
        <v/>
      </c>
      <c r="BD39" s="195" t="str">
        <f t="shared" si="12"/>
        <v/>
      </c>
      <c r="BE39" s="195" t="str">
        <f t="shared" si="12"/>
        <v/>
      </c>
      <c r="BF39" s="195" t="str">
        <f t="shared" si="12"/>
        <v/>
      </c>
      <c r="BG39" s="195" t="str">
        <f t="shared" si="12"/>
        <v/>
      </c>
      <c r="BH39" s="195" t="str">
        <f t="shared" si="12"/>
        <v/>
      </c>
      <c r="BI39" s="195" t="str">
        <f t="shared" si="12"/>
        <v/>
      </c>
      <c r="BJ39" s="195" t="str">
        <f t="shared" si="12"/>
        <v/>
      </c>
      <c r="BK39" s="195" t="str">
        <f t="shared" ref="BK39:BW39" si="13">IFERROR(BK38/BK12,"")</f>
        <v/>
      </c>
      <c r="BL39" s="195" t="str">
        <f t="shared" si="13"/>
        <v/>
      </c>
      <c r="BM39" s="195" t="str">
        <f t="shared" si="13"/>
        <v/>
      </c>
      <c r="BN39" s="195" t="str">
        <f t="shared" si="13"/>
        <v/>
      </c>
      <c r="BO39" s="195" t="str">
        <f t="shared" si="13"/>
        <v/>
      </c>
      <c r="BP39" s="195" t="str">
        <f t="shared" si="13"/>
        <v/>
      </c>
      <c r="BQ39" s="195" t="str">
        <f t="shared" si="13"/>
        <v/>
      </c>
      <c r="BR39" s="195" t="str">
        <f t="shared" si="13"/>
        <v/>
      </c>
      <c r="BS39" s="195" t="str">
        <f t="shared" si="13"/>
        <v/>
      </c>
      <c r="BT39" s="195" t="str">
        <f t="shared" si="13"/>
        <v/>
      </c>
      <c r="BU39" s="195" t="str">
        <f t="shared" si="13"/>
        <v/>
      </c>
      <c r="BV39" s="195" t="str">
        <f t="shared" si="13"/>
        <v/>
      </c>
      <c r="BW39" s="195" t="str">
        <f t="shared" si="13"/>
        <v/>
      </c>
    </row>
    <row r="40" spans="1:75" x14ac:dyDescent="0.3">
      <c r="A40" s="186">
        <v>37</v>
      </c>
      <c r="B40" s="187" t="s">
        <v>302</v>
      </c>
      <c r="C40" s="177">
        <v>27</v>
      </c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>
        <f>'Ket qua kinh doanh'!P14</f>
        <v>0</v>
      </c>
      <c r="Q40" s="193">
        <f>'Ket qua kinh doanh'!Q14</f>
        <v>0</v>
      </c>
      <c r="R40" s="193">
        <f>'Ket qua kinh doanh'!R14</f>
        <v>0</v>
      </c>
      <c r="S40" s="193">
        <f>'Ket qua kinh doanh'!S14</f>
        <v>0</v>
      </c>
      <c r="T40" s="193">
        <f>'Ket qua kinh doanh'!T14</f>
        <v>0</v>
      </c>
      <c r="U40" s="193">
        <f>'Ket qua kinh doanh'!U14</f>
        <v>0</v>
      </c>
      <c r="V40" s="193">
        <f>'Ket qua kinh doanh'!V14</f>
        <v>0</v>
      </c>
      <c r="W40" s="193">
        <f>'Ket qua kinh doanh'!W14</f>
        <v>0</v>
      </c>
      <c r="X40" s="193">
        <f>'Ket qua kinh doanh'!X14</f>
        <v>0</v>
      </c>
      <c r="Y40" s="193">
        <f>'Ket qua kinh doanh'!Y14</f>
        <v>0</v>
      </c>
      <c r="Z40" s="193">
        <f>'Ket qua kinh doanh'!Z14</f>
        <v>0</v>
      </c>
      <c r="AA40" s="193">
        <f>'Ket qua kinh doanh'!AA14</f>
        <v>0</v>
      </c>
      <c r="AB40" s="193">
        <f>'Ket qua kinh doanh'!AB14</f>
        <v>0</v>
      </c>
      <c r="AC40" s="193">
        <f>'Ket qua kinh doanh'!AC14</f>
        <v>0</v>
      </c>
      <c r="AD40" s="193">
        <f>'Ket qua kinh doanh'!AD14</f>
        <v>0</v>
      </c>
      <c r="AE40" s="193">
        <f>'Ket qua kinh doanh'!AE14</f>
        <v>0</v>
      </c>
      <c r="AF40" s="193">
        <f>'Ket qua kinh doanh'!AF14</f>
        <v>0</v>
      </c>
      <c r="AG40" s="193">
        <f>'Ket qua kinh doanh'!AG14</f>
        <v>0</v>
      </c>
      <c r="AH40" s="193">
        <f>'Ket qua kinh doanh'!AH14</f>
        <v>0</v>
      </c>
      <c r="AI40" s="193">
        <f>'Ket qua kinh doanh'!AI14</f>
        <v>0</v>
      </c>
      <c r="AJ40" s="193">
        <f>'Ket qua kinh doanh'!AJ14</f>
        <v>0</v>
      </c>
      <c r="AK40" s="193">
        <f>'Ket qua kinh doanh'!AK14</f>
        <v>0</v>
      </c>
      <c r="AL40" s="193">
        <f>'Ket qua kinh doanh'!AL14</f>
        <v>0</v>
      </c>
      <c r="AM40" s="193">
        <f>'Ket qua kinh doanh'!AM14</f>
        <v>0</v>
      </c>
      <c r="AN40" s="193">
        <f>'Ket qua kinh doanh'!AN14</f>
        <v>0</v>
      </c>
      <c r="AO40" s="193">
        <f>'Ket qua kinh doanh'!AO14</f>
        <v>0</v>
      </c>
      <c r="AP40" s="193">
        <f>'Ket qua kinh doanh'!AP14</f>
        <v>0</v>
      </c>
      <c r="AQ40" s="193">
        <f>'Ket qua kinh doanh'!AQ14</f>
        <v>0</v>
      </c>
      <c r="AR40" s="193">
        <f>'Ket qua kinh doanh'!AR14</f>
        <v>0</v>
      </c>
      <c r="AS40" s="193">
        <f>'Ket qua kinh doanh'!AS14</f>
        <v>0</v>
      </c>
      <c r="AT40" s="193">
        <f>'Ket qua kinh doanh'!AT14</f>
        <v>0</v>
      </c>
      <c r="AU40" s="193">
        <f>'Ket qua kinh doanh'!AU14</f>
        <v>0</v>
      </c>
      <c r="AV40" s="193">
        <f>'Ket qua kinh doanh'!AV14</f>
        <v>0</v>
      </c>
      <c r="AW40" s="193">
        <f>'Ket qua kinh doanh'!AW14</f>
        <v>0</v>
      </c>
      <c r="AX40" s="193">
        <f>'Ket qua kinh doanh'!AX14</f>
        <v>0</v>
      </c>
      <c r="AY40" s="193">
        <f>'Ket qua kinh doanh'!AY14</f>
        <v>0</v>
      </c>
      <c r="AZ40" s="193">
        <f>'Ket qua kinh doanh'!AZ14</f>
        <v>0</v>
      </c>
      <c r="BA40" s="193">
        <f>'Ket qua kinh doanh'!BA14</f>
        <v>0</v>
      </c>
      <c r="BB40" s="193">
        <f>'Ket qua kinh doanh'!BB14</f>
        <v>0</v>
      </c>
      <c r="BC40" s="193">
        <f>'Ket qua kinh doanh'!BC14</f>
        <v>0</v>
      </c>
      <c r="BD40" s="193">
        <f>'Ket qua kinh doanh'!BD14</f>
        <v>0</v>
      </c>
      <c r="BE40" s="193">
        <f>'Ket qua kinh doanh'!BE14</f>
        <v>0</v>
      </c>
      <c r="BF40" s="193">
        <f>'Ket qua kinh doanh'!BF14</f>
        <v>0</v>
      </c>
      <c r="BG40" s="193">
        <f>'Ket qua kinh doanh'!BG14</f>
        <v>0</v>
      </c>
      <c r="BH40" s="193">
        <f>'Ket qua kinh doanh'!BH14</f>
        <v>0</v>
      </c>
      <c r="BI40" s="193">
        <f>'Ket qua kinh doanh'!BI14</f>
        <v>0</v>
      </c>
      <c r="BJ40" s="193">
        <f>'Ket qua kinh doanh'!BJ14</f>
        <v>0</v>
      </c>
      <c r="BK40" s="193">
        <f>'Ket qua kinh doanh'!BK14</f>
        <v>0</v>
      </c>
      <c r="BL40" s="193">
        <f>'Ket qua kinh doanh'!BL14</f>
        <v>0</v>
      </c>
      <c r="BM40" s="193">
        <f>'Ket qua kinh doanh'!BM14</f>
        <v>0</v>
      </c>
      <c r="BN40" s="193">
        <f>'Ket qua kinh doanh'!BN14</f>
        <v>0</v>
      </c>
      <c r="BO40" s="193">
        <f>'Ket qua kinh doanh'!BO14</f>
        <v>0</v>
      </c>
      <c r="BP40" s="193">
        <f>'Ket qua kinh doanh'!BP14</f>
        <v>0</v>
      </c>
      <c r="BQ40" s="193">
        <f>'Ket qua kinh doanh'!BQ14</f>
        <v>0</v>
      </c>
      <c r="BR40" s="193">
        <f>'Ket qua kinh doanh'!BR14</f>
        <v>0</v>
      </c>
      <c r="BS40" s="193">
        <f>'Ket qua kinh doanh'!BS14</f>
        <v>0</v>
      </c>
      <c r="BT40" s="193">
        <f>'Ket qua kinh doanh'!BT14</f>
        <v>0</v>
      </c>
      <c r="BU40" s="193">
        <f>'Ket qua kinh doanh'!BU14</f>
        <v>0</v>
      </c>
      <c r="BV40" s="193">
        <f>'Ket qua kinh doanh'!BV14</f>
        <v>0</v>
      </c>
      <c r="BW40" s="193">
        <f>'Ket qua kinh doanh'!BW14</f>
        <v>0</v>
      </c>
    </row>
    <row r="41" spans="1:75" x14ac:dyDescent="0.3">
      <c r="A41" s="184">
        <v>38</v>
      </c>
      <c r="B41" s="188" t="s">
        <v>303</v>
      </c>
      <c r="C41" s="183">
        <v>27</v>
      </c>
      <c r="D41" s="197"/>
      <c r="E41" s="197"/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  <c r="AA41" s="197"/>
      <c r="AB41" s="197"/>
      <c r="AC41" s="197"/>
      <c r="AD41" s="197"/>
      <c r="AE41" s="197"/>
      <c r="AF41" s="197"/>
      <c r="AG41" s="197"/>
      <c r="AH41" s="197"/>
      <c r="AI41" s="197"/>
      <c r="AJ41" s="197"/>
      <c r="AK41" s="197"/>
      <c r="AL41" s="197"/>
      <c r="AM41" s="197"/>
      <c r="AN41" s="197"/>
      <c r="AO41" s="197"/>
      <c r="AP41" s="197"/>
      <c r="AQ41" s="197"/>
      <c r="AR41" s="197"/>
      <c r="AS41" s="197"/>
      <c r="AT41" s="197"/>
      <c r="AU41" s="197"/>
      <c r="AV41" s="197"/>
      <c r="AW41" s="197"/>
      <c r="AX41" s="197"/>
      <c r="AY41" s="197"/>
      <c r="AZ41" s="197"/>
      <c r="BA41" s="197"/>
      <c r="BB41" s="197"/>
      <c r="BC41" s="197"/>
      <c r="BD41" s="197"/>
      <c r="BE41" s="197"/>
      <c r="BF41" s="197"/>
      <c r="BG41" s="197"/>
      <c r="BH41" s="197"/>
      <c r="BI41" s="197"/>
      <c r="BJ41" s="197"/>
      <c r="BK41" s="197"/>
      <c r="BL41" s="197"/>
      <c r="BM41" s="197"/>
      <c r="BN41" s="197"/>
      <c r="BO41" s="197"/>
      <c r="BP41" s="197"/>
      <c r="BQ41" s="197"/>
      <c r="BR41" s="197"/>
      <c r="BS41" s="197"/>
      <c r="BT41" s="197"/>
      <c r="BU41" s="197"/>
      <c r="BV41" s="197"/>
      <c r="BW41" s="197"/>
    </row>
    <row r="42" spans="1:75" x14ac:dyDescent="0.3">
      <c r="A42" s="184">
        <v>39</v>
      </c>
      <c r="B42" s="188" t="s">
        <v>304</v>
      </c>
      <c r="C42" s="183">
        <v>27</v>
      </c>
      <c r="D42" s="197"/>
      <c r="E42" s="197"/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7"/>
      <c r="AE42" s="197"/>
      <c r="AF42" s="197"/>
      <c r="AG42" s="197"/>
      <c r="AH42" s="197"/>
      <c r="AI42" s="197"/>
      <c r="AJ42" s="197"/>
      <c r="AK42" s="197"/>
      <c r="AL42" s="197"/>
      <c r="AM42" s="197"/>
      <c r="AN42" s="197"/>
      <c r="AO42" s="197"/>
      <c r="AP42" s="197"/>
      <c r="AQ42" s="197"/>
      <c r="AR42" s="197"/>
      <c r="AS42" s="197"/>
      <c r="AT42" s="197"/>
      <c r="AU42" s="197"/>
      <c r="AV42" s="197"/>
      <c r="AW42" s="197"/>
      <c r="AX42" s="197"/>
      <c r="AY42" s="197"/>
      <c r="AZ42" s="197"/>
      <c r="BA42" s="197"/>
      <c r="BB42" s="197"/>
      <c r="BC42" s="197"/>
      <c r="BD42" s="197"/>
      <c r="BE42" s="197"/>
      <c r="BF42" s="197"/>
      <c r="BG42" s="197"/>
      <c r="BH42" s="197"/>
      <c r="BI42" s="197"/>
      <c r="BJ42" s="197"/>
      <c r="BK42" s="197"/>
      <c r="BL42" s="197"/>
      <c r="BM42" s="197"/>
      <c r="BN42" s="197"/>
      <c r="BO42" s="197"/>
      <c r="BP42" s="197"/>
      <c r="BQ42" s="197"/>
      <c r="BR42" s="197"/>
      <c r="BS42" s="197"/>
      <c r="BT42" s="197"/>
      <c r="BU42" s="197"/>
      <c r="BV42" s="197"/>
      <c r="BW42" s="197"/>
    </row>
    <row r="43" spans="1:75" x14ac:dyDescent="0.3">
      <c r="A43" s="184">
        <v>40</v>
      </c>
      <c r="B43" s="188" t="s">
        <v>305</v>
      </c>
      <c r="C43" s="183">
        <v>27</v>
      </c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  <c r="AL43" s="197"/>
      <c r="AM43" s="197"/>
      <c r="AN43" s="197"/>
      <c r="AO43" s="197"/>
      <c r="AP43" s="197"/>
      <c r="AQ43" s="197"/>
      <c r="AR43" s="197"/>
      <c r="AS43" s="197"/>
      <c r="AT43" s="197"/>
      <c r="AU43" s="197"/>
      <c r="AV43" s="197"/>
      <c r="AW43" s="197"/>
      <c r="AX43" s="197"/>
      <c r="AY43" s="197"/>
      <c r="AZ43" s="197"/>
      <c r="BA43" s="197"/>
      <c r="BB43" s="197"/>
      <c r="BC43" s="197"/>
      <c r="BD43" s="197"/>
      <c r="BE43" s="197"/>
      <c r="BF43" s="197"/>
      <c r="BG43" s="197"/>
      <c r="BH43" s="197"/>
      <c r="BI43" s="197"/>
      <c r="BJ43" s="197"/>
      <c r="BK43" s="197"/>
      <c r="BL43" s="197"/>
      <c r="BM43" s="197"/>
      <c r="BN43" s="197"/>
      <c r="BO43" s="197"/>
      <c r="BP43" s="197"/>
      <c r="BQ43" s="197"/>
      <c r="BR43" s="197"/>
      <c r="BS43" s="197"/>
      <c r="BT43" s="197"/>
      <c r="BU43" s="197"/>
      <c r="BV43" s="197"/>
      <c r="BW43" s="197"/>
    </row>
    <row r="44" spans="1:75" x14ac:dyDescent="0.3">
      <c r="A44" s="184">
        <v>41</v>
      </c>
      <c r="B44" s="188" t="s">
        <v>306</v>
      </c>
      <c r="C44" s="183">
        <v>27</v>
      </c>
      <c r="D44" s="197"/>
      <c r="E44" s="197"/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197"/>
      <c r="AY44" s="197"/>
      <c r="AZ44" s="197"/>
      <c r="BA44" s="197"/>
      <c r="BB44" s="197"/>
      <c r="BC44" s="197"/>
      <c r="BD44" s="197"/>
      <c r="BE44" s="197"/>
      <c r="BF44" s="197"/>
      <c r="BG44" s="197"/>
      <c r="BH44" s="197"/>
      <c r="BI44" s="197"/>
      <c r="BJ44" s="197"/>
      <c r="BK44" s="197"/>
      <c r="BL44" s="197"/>
      <c r="BM44" s="197"/>
      <c r="BN44" s="197"/>
      <c r="BO44" s="197"/>
      <c r="BP44" s="197"/>
      <c r="BQ44" s="197"/>
      <c r="BR44" s="197"/>
      <c r="BS44" s="197"/>
      <c r="BT44" s="197"/>
      <c r="BU44" s="197"/>
      <c r="BV44" s="197"/>
      <c r="BW44" s="197"/>
    </row>
    <row r="45" spans="1:75" x14ac:dyDescent="0.3">
      <c r="A45" s="184">
        <v>42</v>
      </c>
      <c r="B45" s="188" t="s">
        <v>307</v>
      </c>
      <c r="C45" s="183">
        <v>27</v>
      </c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7"/>
      <c r="AQ45" s="197"/>
      <c r="AR45" s="197"/>
      <c r="AS45" s="197"/>
      <c r="AT45" s="197"/>
      <c r="AU45" s="197"/>
      <c r="AV45" s="197"/>
      <c r="AW45" s="197"/>
      <c r="AX45" s="197"/>
      <c r="AY45" s="197"/>
      <c r="AZ45" s="197"/>
      <c r="BA45" s="197"/>
      <c r="BB45" s="197"/>
      <c r="BC45" s="197"/>
      <c r="BD45" s="197"/>
      <c r="BE45" s="197"/>
      <c r="BF45" s="197"/>
      <c r="BG45" s="197"/>
      <c r="BH45" s="197"/>
      <c r="BI45" s="197"/>
      <c r="BJ45" s="197"/>
      <c r="BK45" s="197"/>
      <c r="BL45" s="197"/>
      <c r="BM45" s="197"/>
      <c r="BN45" s="197"/>
      <c r="BO45" s="197"/>
      <c r="BP45" s="197"/>
      <c r="BQ45" s="197"/>
      <c r="BR45" s="197"/>
      <c r="BS45" s="197"/>
      <c r="BT45" s="197"/>
      <c r="BU45" s="197"/>
      <c r="BV45" s="197"/>
      <c r="BW45" s="197"/>
    </row>
    <row r="46" spans="1:75" x14ac:dyDescent="0.3">
      <c r="A46" s="184">
        <v>43</v>
      </c>
      <c r="B46" s="188" t="s">
        <v>308</v>
      </c>
      <c r="C46" s="183">
        <v>27</v>
      </c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  <c r="AL46" s="197"/>
      <c r="AM46" s="197"/>
      <c r="AN46" s="197"/>
      <c r="AO46" s="197"/>
      <c r="AP46" s="197"/>
      <c r="AQ46" s="197"/>
      <c r="AR46" s="197"/>
      <c r="AS46" s="197"/>
      <c r="AT46" s="197"/>
      <c r="AU46" s="197"/>
      <c r="AV46" s="197"/>
      <c r="AW46" s="197"/>
      <c r="AX46" s="197"/>
      <c r="AY46" s="197"/>
      <c r="AZ46" s="197"/>
      <c r="BA46" s="197"/>
      <c r="BB46" s="197"/>
      <c r="BC46" s="197"/>
      <c r="BD46" s="197"/>
      <c r="BE46" s="197"/>
      <c r="BF46" s="197"/>
      <c r="BG46" s="197"/>
      <c r="BH46" s="197"/>
      <c r="BI46" s="197"/>
      <c r="BJ46" s="197"/>
      <c r="BK46" s="197"/>
      <c r="BL46" s="197"/>
      <c r="BM46" s="197"/>
      <c r="BN46" s="197"/>
      <c r="BO46" s="197"/>
      <c r="BP46" s="197"/>
      <c r="BQ46" s="197"/>
      <c r="BR46" s="197"/>
      <c r="BS46" s="197"/>
      <c r="BT46" s="197"/>
      <c r="BU46" s="197"/>
      <c r="BV46" s="197"/>
      <c r="BW46" s="197"/>
    </row>
    <row r="47" spans="1:75" x14ac:dyDescent="0.3">
      <c r="A47" s="184">
        <v>44</v>
      </c>
      <c r="B47" s="188" t="s">
        <v>309</v>
      </c>
      <c r="C47" s="183">
        <v>27</v>
      </c>
      <c r="D47" s="197"/>
      <c r="E47" s="197"/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  <c r="AA47" s="197"/>
      <c r="AB47" s="197"/>
      <c r="AC47" s="197"/>
      <c r="AD47" s="197"/>
      <c r="AE47" s="197"/>
      <c r="AF47" s="197"/>
      <c r="AG47" s="197"/>
      <c r="AH47" s="197"/>
      <c r="AI47" s="197"/>
      <c r="AJ47" s="197"/>
      <c r="AK47" s="197"/>
      <c r="AL47" s="197"/>
      <c r="AM47" s="197"/>
      <c r="AN47" s="197"/>
      <c r="AO47" s="197"/>
      <c r="AP47" s="197"/>
      <c r="AQ47" s="197"/>
      <c r="AR47" s="197"/>
      <c r="AS47" s="197"/>
      <c r="AT47" s="197"/>
      <c r="AU47" s="197"/>
      <c r="AV47" s="197"/>
      <c r="AW47" s="197"/>
      <c r="AX47" s="197"/>
      <c r="AY47" s="197"/>
      <c r="AZ47" s="197"/>
      <c r="BA47" s="197"/>
      <c r="BB47" s="197"/>
      <c r="BC47" s="197"/>
      <c r="BD47" s="197"/>
      <c r="BE47" s="197"/>
      <c r="BF47" s="197"/>
      <c r="BG47" s="197"/>
      <c r="BH47" s="197"/>
      <c r="BI47" s="197"/>
      <c r="BJ47" s="197"/>
      <c r="BK47" s="197"/>
      <c r="BL47" s="197"/>
      <c r="BM47" s="197"/>
      <c r="BN47" s="197"/>
      <c r="BO47" s="197"/>
      <c r="BP47" s="197"/>
      <c r="BQ47" s="197"/>
      <c r="BR47" s="197"/>
      <c r="BS47" s="197"/>
      <c r="BT47" s="197"/>
      <c r="BU47" s="197"/>
      <c r="BV47" s="197"/>
      <c r="BW47" s="197"/>
    </row>
    <row r="48" spans="1:75" x14ac:dyDescent="0.3">
      <c r="A48" s="189">
        <v>45</v>
      </c>
      <c r="B48" s="190" t="s">
        <v>310</v>
      </c>
      <c r="C48" s="181">
        <v>27</v>
      </c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 t="str">
        <f t="shared" ref="P48:BJ48" si="14">IFERROR(P40/P12,"")</f>
        <v/>
      </c>
      <c r="Q48" s="195" t="str">
        <f t="shared" si="14"/>
        <v/>
      </c>
      <c r="R48" s="195" t="str">
        <f t="shared" si="14"/>
        <v/>
      </c>
      <c r="S48" s="195" t="str">
        <f t="shared" si="14"/>
        <v/>
      </c>
      <c r="T48" s="195" t="str">
        <f t="shared" si="14"/>
        <v/>
      </c>
      <c r="U48" s="195" t="str">
        <f t="shared" si="14"/>
        <v/>
      </c>
      <c r="V48" s="195" t="str">
        <f t="shared" si="14"/>
        <v/>
      </c>
      <c r="W48" s="195" t="str">
        <f t="shared" si="14"/>
        <v/>
      </c>
      <c r="X48" s="195" t="str">
        <f t="shared" si="14"/>
        <v/>
      </c>
      <c r="Y48" s="195" t="str">
        <f t="shared" si="14"/>
        <v/>
      </c>
      <c r="Z48" s="195" t="str">
        <f t="shared" si="14"/>
        <v/>
      </c>
      <c r="AA48" s="195" t="str">
        <f t="shared" si="14"/>
        <v/>
      </c>
      <c r="AB48" s="195" t="str">
        <f t="shared" si="14"/>
        <v/>
      </c>
      <c r="AC48" s="195" t="str">
        <f t="shared" si="14"/>
        <v/>
      </c>
      <c r="AD48" s="195" t="str">
        <f t="shared" si="14"/>
        <v/>
      </c>
      <c r="AE48" s="195" t="str">
        <f t="shared" si="14"/>
        <v/>
      </c>
      <c r="AF48" s="195" t="str">
        <f t="shared" si="14"/>
        <v/>
      </c>
      <c r="AG48" s="195" t="str">
        <f t="shared" si="14"/>
        <v/>
      </c>
      <c r="AH48" s="195" t="str">
        <f t="shared" si="14"/>
        <v/>
      </c>
      <c r="AI48" s="195" t="str">
        <f t="shared" si="14"/>
        <v/>
      </c>
      <c r="AJ48" s="195" t="str">
        <f t="shared" si="14"/>
        <v/>
      </c>
      <c r="AK48" s="195" t="str">
        <f t="shared" si="14"/>
        <v/>
      </c>
      <c r="AL48" s="195" t="str">
        <f t="shared" si="14"/>
        <v/>
      </c>
      <c r="AM48" s="195" t="str">
        <f t="shared" si="14"/>
        <v/>
      </c>
      <c r="AN48" s="195" t="str">
        <f t="shared" si="14"/>
        <v/>
      </c>
      <c r="AO48" s="195" t="str">
        <f t="shared" si="14"/>
        <v/>
      </c>
      <c r="AP48" s="195" t="str">
        <f t="shared" si="14"/>
        <v/>
      </c>
      <c r="AQ48" s="195" t="str">
        <f t="shared" si="14"/>
        <v/>
      </c>
      <c r="AR48" s="195" t="str">
        <f t="shared" si="14"/>
        <v/>
      </c>
      <c r="AS48" s="195" t="str">
        <f t="shared" si="14"/>
        <v/>
      </c>
      <c r="AT48" s="195" t="str">
        <f t="shared" si="14"/>
        <v/>
      </c>
      <c r="AU48" s="195" t="str">
        <f t="shared" si="14"/>
        <v/>
      </c>
      <c r="AV48" s="195" t="str">
        <f t="shared" si="14"/>
        <v/>
      </c>
      <c r="AW48" s="195" t="str">
        <f t="shared" si="14"/>
        <v/>
      </c>
      <c r="AX48" s="195" t="str">
        <f t="shared" si="14"/>
        <v/>
      </c>
      <c r="AY48" s="195" t="str">
        <f t="shared" si="14"/>
        <v/>
      </c>
      <c r="AZ48" s="195" t="str">
        <f t="shared" si="14"/>
        <v/>
      </c>
      <c r="BA48" s="195" t="str">
        <f t="shared" si="14"/>
        <v/>
      </c>
      <c r="BB48" s="195" t="str">
        <f t="shared" si="14"/>
        <v/>
      </c>
      <c r="BC48" s="195" t="str">
        <f t="shared" si="14"/>
        <v/>
      </c>
      <c r="BD48" s="195" t="str">
        <f t="shared" si="14"/>
        <v/>
      </c>
      <c r="BE48" s="195" t="str">
        <f t="shared" si="14"/>
        <v/>
      </c>
      <c r="BF48" s="195" t="str">
        <f t="shared" si="14"/>
        <v/>
      </c>
      <c r="BG48" s="195" t="str">
        <f t="shared" si="14"/>
        <v/>
      </c>
      <c r="BH48" s="195" t="str">
        <f t="shared" si="14"/>
        <v/>
      </c>
      <c r="BI48" s="195" t="str">
        <f t="shared" si="14"/>
        <v/>
      </c>
      <c r="BJ48" s="195" t="str">
        <f t="shared" si="14"/>
        <v/>
      </c>
      <c r="BK48" s="195" t="str">
        <f t="shared" ref="BK48:BW48" si="15">IFERROR(BK40/BK12,"")</f>
        <v/>
      </c>
      <c r="BL48" s="195" t="str">
        <f t="shared" si="15"/>
        <v/>
      </c>
      <c r="BM48" s="195" t="str">
        <f t="shared" si="15"/>
        <v/>
      </c>
      <c r="BN48" s="195" t="str">
        <f t="shared" si="15"/>
        <v/>
      </c>
      <c r="BO48" s="195" t="str">
        <f t="shared" si="15"/>
        <v/>
      </c>
      <c r="BP48" s="195" t="str">
        <f t="shared" si="15"/>
        <v/>
      </c>
      <c r="BQ48" s="195" t="str">
        <f t="shared" si="15"/>
        <v/>
      </c>
      <c r="BR48" s="195" t="str">
        <f t="shared" si="15"/>
        <v/>
      </c>
      <c r="BS48" s="195" t="str">
        <f t="shared" si="15"/>
        <v/>
      </c>
      <c r="BT48" s="195" t="str">
        <f t="shared" si="15"/>
        <v/>
      </c>
      <c r="BU48" s="195" t="str">
        <f t="shared" si="15"/>
        <v/>
      </c>
      <c r="BV48" s="195" t="str">
        <f t="shared" si="15"/>
        <v/>
      </c>
      <c r="BW48" s="195" t="str">
        <f t="shared" si="15"/>
        <v/>
      </c>
    </row>
    <row r="49" spans="1:75" x14ac:dyDescent="0.3">
      <c r="A49" s="186">
        <v>46</v>
      </c>
      <c r="B49" s="187" t="s">
        <v>311</v>
      </c>
      <c r="C49" s="177">
        <v>27</v>
      </c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>
        <f>'Ket qua kinh doanh'!P15</f>
        <v>0</v>
      </c>
      <c r="Q49" s="193">
        <f>'Ket qua kinh doanh'!Q15</f>
        <v>0</v>
      </c>
      <c r="R49" s="193">
        <f>'Ket qua kinh doanh'!R15</f>
        <v>0</v>
      </c>
      <c r="S49" s="193">
        <f>'Ket qua kinh doanh'!S15</f>
        <v>0</v>
      </c>
      <c r="T49" s="193">
        <f>'Ket qua kinh doanh'!T15</f>
        <v>0</v>
      </c>
      <c r="U49" s="193">
        <f>'Ket qua kinh doanh'!U15</f>
        <v>0</v>
      </c>
      <c r="V49" s="193">
        <f>'Ket qua kinh doanh'!V15</f>
        <v>0</v>
      </c>
      <c r="W49" s="193">
        <f>'Ket qua kinh doanh'!W15</f>
        <v>0</v>
      </c>
      <c r="X49" s="193">
        <f>'Ket qua kinh doanh'!X15</f>
        <v>0</v>
      </c>
      <c r="Y49" s="193">
        <f>'Ket qua kinh doanh'!Y15</f>
        <v>0</v>
      </c>
      <c r="Z49" s="193">
        <f>'Ket qua kinh doanh'!Z15</f>
        <v>0</v>
      </c>
      <c r="AA49" s="193">
        <f>'Ket qua kinh doanh'!AA15</f>
        <v>0</v>
      </c>
      <c r="AB49" s="193">
        <f>'Ket qua kinh doanh'!AB15</f>
        <v>0</v>
      </c>
      <c r="AC49" s="193">
        <f>'Ket qua kinh doanh'!AC15</f>
        <v>0</v>
      </c>
      <c r="AD49" s="193">
        <f>'Ket qua kinh doanh'!AD15</f>
        <v>0</v>
      </c>
      <c r="AE49" s="193">
        <f>'Ket qua kinh doanh'!AE15</f>
        <v>0</v>
      </c>
      <c r="AF49" s="193">
        <f>'Ket qua kinh doanh'!AF15</f>
        <v>0</v>
      </c>
      <c r="AG49" s="193">
        <f>'Ket qua kinh doanh'!AG15</f>
        <v>0</v>
      </c>
      <c r="AH49" s="193">
        <f>'Ket qua kinh doanh'!AH15</f>
        <v>0</v>
      </c>
      <c r="AI49" s="193">
        <f>'Ket qua kinh doanh'!AI15</f>
        <v>0</v>
      </c>
      <c r="AJ49" s="193">
        <f>'Ket qua kinh doanh'!AJ15</f>
        <v>0</v>
      </c>
      <c r="AK49" s="193">
        <f>'Ket qua kinh doanh'!AK15</f>
        <v>0</v>
      </c>
      <c r="AL49" s="193">
        <f>'Ket qua kinh doanh'!AL15</f>
        <v>0</v>
      </c>
      <c r="AM49" s="193">
        <f>'Ket qua kinh doanh'!AM15</f>
        <v>0</v>
      </c>
      <c r="AN49" s="193">
        <f>'Ket qua kinh doanh'!AN15</f>
        <v>0</v>
      </c>
      <c r="AO49" s="193">
        <f>'Ket qua kinh doanh'!AO15</f>
        <v>0</v>
      </c>
      <c r="AP49" s="193">
        <f>'Ket qua kinh doanh'!AP15</f>
        <v>0</v>
      </c>
      <c r="AQ49" s="193">
        <f>'Ket qua kinh doanh'!AQ15</f>
        <v>0</v>
      </c>
      <c r="AR49" s="193">
        <f>'Ket qua kinh doanh'!AR15</f>
        <v>0</v>
      </c>
      <c r="AS49" s="193">
        <f>'Ket qua kinh doanh'!AS15</f>
        <v>0</v>
      </c>
      <c r="AT49" s="193">
        <f>'Ket qua kinh doanh'!AT15</f>
        <v>0</v>
      </c>
      <c r="AU49" s="193">
        <f>'Ket qua kinh doanh'!AU15</f>
        <v>0</v>
      </c>
      <c r="AV49" s="193">
        <f>'Ket qua kinh doanh'!AV15</f>
        <v>0</v>
      </c>
      <c r="AW49" s="193">
        <f>'Ket qua kinh doanh'!AW15</f>
        <v>0</v>
      </c>
      <c r="AX49" s="193">
        <f>'Ket qua kinh doanh'!AX15</f>
        <v>0</v>
      </c>
      <c r="AY49" s="193">
        <f>'Ket qua kinh doanh'!AY15</f>
        <v>0</v>
      </c>
      <c r="AZ49" s="193">
        <f>'Ket qua kinh doanh'!AZ15</f>
        <v>0</v>
      </c>
      <c r="BA49" s="193">
        <f>'Ket qua kinh doanh'!BA15</f>
        <v>0</v>
      </c>
      <c r="BB49" s="193">
        <f>'Ket qua kinh doanh'!BB15</f>
        <v>0</v>
      </c>
      <c r="BC49" s="193">
        <f>'Ket qua kinh doanh'!BC15</f>
        <v>0</v>
      </c>
      <c r="BD49" s="193">
        <f>'Ket qua kinh doanh'!BD15</f>
        <v>0</v>
      </c>
      <c r="BE49" s="193">
        <f>'Ket qua kinh doanh'!BE15</f>
        <v>0</v>
      </c>
      <c r="BF49" s="193">
        <f>'Ket qua kinh doanh'!BF15</f>
        <v>0</v>
      </c>
      <c r="BG49" s="193">
        <f>'Ket qua kinh doanh'!BG15</f>
        <v>0</v>
      </c>
      <c r="BH49" s="193">
        <f>'Ket qua kinh doanh'!BH15</f>
        <v>0</v>
      </c>
      <c r="BI49" s="193">
        <f>'Ket qua kinh doanh'!BI15</f>
        <v>0</v>
      </c>
      <c r="BJ49" s="193">
        <f>'Ket qua kinh doanh'!BJ15</f>
        <v>1890400</v>
      </c>
      <c r="BK49" s="193">
        <f>'Ket qua kinh doanh'!BK15</f>
        <v>0</v>
      </c>
      <c r="BL49" s="193">
        <f>'Ket qua kinh doanh'!BL15</f>
        <v>18181818</v>
      </c>
      <c r="BM49" s="193">
        <f>'Ket qua kinh doanh'!BM15</f>
        <v>0</v>
      </c>
      <c r="BN49" s="193">
        <f>'Ket qua kinh doanh'!BN15</f>
        <v>1218000</v>
      </c>
      <c r="BO49" s="193">
        <f>'Ket qua kinh doanh'!BO15</f>
        <v>275000</v>
      </c>
      <c r="BP49" s="193">
        <f>'Ket qua kinh doanh'!BP15</f>
        <v>90000</v>
      </c>
      <c r="BQ49" s="193">
        <f>'Ket qua kinh doanh'!BQ15</f>
        <v>0</v>
      </c>
      <c r="BR49" s="193">
        <f>'Ket qua kinh doanh'!BR15</f>
        <v>0</v>
      </c>
      <c r="BS49" s="193">
        <f>'Ket qua kinh doanh'!BS15</f>
        <v>0</v>
      </c>
      <c r="BT49" s="193">
        <f>'Ket qua kinh doanh'!BT15</f>
        <v>0</v>
      </c>
      <c r="BU49" s="193">
        <f>'Ket qua kinh doanh'!BU15</f>
        <v>0</v>
      </c>
      <c r="BV49" s="193">
        <f>'Ket qua kinh doanh'!BV15</f>
        <v>0</v>
      </c>
      <c r="BW49" s="193">
        <f>'Ket qua kinh doanh'!BW15</f>
        <v>0</v>
      </c>
    </row>
    <row r="50" spans="1:75" x14ac:dyDescent="0.3">
      <c r="A50" s="184">
        <v>47</v>
      </c>
      <c r="B50" s="188" t="s">
        <v>312</v>
      </c>
      <c r="C50" s="183">
        <v>27</v>
      </c>
      <c r="D50" s="197"/>
      <c r="E50" s="197"/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  <c r="AL50" s="197"/>
      <c r="AM50" s="197"/>
      <c r="AN50" s="197"/>
      <c r="AO50" s="197"/>
      <c r="AP50" s="197"/>
      <c r="AQ50" s="197"/>
      <c r="AR50" s="197"/>
      <c r="AS50" s="197"/>
      <c r="AT50" s="197"/>
      <c r="AU50" s="197"/>
      <c r="AV50" s="197"/>
      <c r="AW50" s="197"/>
      <c r="AX50" s="197"/>
      <c r="AY50" s="197"/>
      <c r="AZ50" s="197"/>
      <c r="BA50" s="197"/>
      <c r="BB50" s="197"/>
      <c r="BC50" s="197"/>
      <c r="BD50" s="197"/>
      <c r="BE50" s="197"/>
      <c r="BF50" s="197"/>
      <c r="BG50" s="197"/>
      <c r="BH50" s="197"/>
      <c r="BI50" s="197"/>
      <c r="BJ50" s="197"/>
      <c r="BK50" s="197"/>
      <c r="BL50" s="197"/>
      <c r="BM50" s="197"/>
      <c r="BN50" s="197"/>
      <c r="BO50" s="197"/>
      <c r="BP50" s="197"/>
      <c r="BQ50" s="197"/>
      <c r="BR50" s="197"/>
      <c r="BS50" s="197"/>
      <c r="BT50" s="197"/>
      <c r="BU50" s="197"/>
      <c r="BV50" s="197"/>
      <c r="BW50" s="197"/>
    </row>
    <row r="51" spans="1:75" x14ac:dyDescent="0.3">
      <c r="A51" s="184">
        <v>48</v>
      </c>
      <c r="B51" s="188" t="s">
        <v>313</v>
      </c>
      <c r="C51" s="183">
        <v>27</v>
      </c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  <c r="AL51" s="197"/>
      <c r="AM51" s="197"/>
      <c r="AN51" s="197"/>
      <c r="AO51" s="197"/>
      <c r="AP51" s="197"/>
      <c r="AQ51" s="197"/>
      <c r="AR51" s="197"/>
      <c r="AS51" s="197"/>
      <c r="AT51" s="197"/>
      <c r="AU51" s="197"/>
      <c r="AV51" s="197"/>
      <c r="AW51" s="197"/>
      <c r="AX51" s="197"/>
      <c r="AY51" s="197"/>
      <c r="AZ51" s="197"/>
      <c r="BA51" s="197"/>
      <c r="BB51" s="197"/>
      <c r="BC51" s="197"/>
      <c r="BD51" s="197"/>
      <c r="BE51" s="197"/>
      <c r="BF51" s="197"/>
      <c r="BG51" s="197"/>
      <c r="BH51" s="197"/>
      <c r="BI51" s="197"/>
      <c r="BJ51" s="197"/>
      <c r="BK51" s="197"/>
      <c r="BL51" s="197"/>
      <c r="BM51" s="197"/>
      <c r="BN51" s="197"/>
      <c r="BO51" s="197"/>
      <c r="BP51" s="197"/>
      <c r="BQ51" s="197"/>
      <c r="BR51" s="197"/>
      <c r="BS51" s="197"/>
      <c r="BT51" s="197"/>
      <c r="BU51" s="197"/>
      <c r="BV51" s="197"/>
      <c r="BW51" s="197"/>
    </row>
    <row r="52" spans="1:75" x14ac:dyDescent="0.3">
      <c r="A52" s="184">
        <v>49</v>
      </c>
      <c r="B52" s="188" t="s">
        <v>314</v>
      </c>
      <c r="C52" s="183">
        <v>27</v>
      </c>
      <c r="D52" s="197"/>
      <c r="E52" s="197"/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  <c r="AL52" s="197"/>
      <c r="AM52" s="197"/>
      <c r="AN52" s="197"/>
      <c r="AO52" s="197"/>
      <c r="AP52" s="197"/>
      <c r="AQ52" s="197"/>
      <c r="AR52" s="197"/>
      <c r="AS52" s="197"/>
      <c r="AT52" s="197"/>
      <c r="AU52" s="197"/>
      <c r="AV52" s="197"/>
      <c r="AW52" s="197"/>
      <c r="AX52" s="197"/>
      <c r="AY52" s="197"/>
      <c r="AZ52" s="197"/>
      <c r="BA52" s="197"/>
      <c r="BB52" s="197"/>
      <c r="BC52" s="197"/>
      <c r="BD52" s="197"/>
      <c r="BE52" s="197"/>
      <c r="BF52" s="197"/>
      <c r="BG52" s="197"/>
      <c r="BH52" s="197"/>
      <c r="BI52" s="197"/>
      <c r="BJ52" s="197"/>
      <c r="BK52" s="197"/>
      <c r="BL52" s="197"/>
      <c r="BM52" s="197"/>
      <c r="BN52" s="197"/>
      <c r="BO52" s="197"/>
      <c r="BP52" s="197"/>
      <c r="BQ52" s="197"/>
      <c r="BR52" s="197"/>
      <c r="BS52" s="197"/>
      <c r="BT52" s="197"/>
      <c r="BU52" s="197"/>
      <c r="BV52" s="197"/>
      <c r="BW52" s="197"/>
    </row>
    <row r="53" spans="1:75" x14ac:dyDescent="0.3">
      <c r="A53" s="184">
        <v>50</v>
      </c>
      <c r="B53" s="188" t="s">
        <v>315</v>
      </c>
      <c r="C53" s="183">
        <v>27</v>
      </c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197"/>
      <c r="AY53" s="197"/>
      <c r="AZ53" s="197"/>
      <c r="BA53" s="197"/>
      <c r="BB53" s="197"/>
      <c r="BC53" s="197"/>
      <c r="BD53" s="197"/>
      <c r="BE53" s="197"/>
      <c r="BF53" s="197"/>
      <c r="BG53" s="197"/>
      <c r="BH53" s="197"/>
      <c r="BI53" s="197"/>
      <c r="BJ53" s="197">
        <v>1890400</v>
      </c>
      <c r="BK53" s="197"/>
      <c r="BL53" s="197">
        <v>18181818</v>
      </c>
      <c r="BM53" s="197"/>
      <c r="BN53" s="197">
        <f>1000000+218000</f>
        <v>1218000</v>
      </c>
      <c r="BO53" s="197">
        <v>275000</v>
      </c>
      <c r="BP53" s="197">
        <v>90000</v>
      </c>
      <c r="BQ53" s="197"/>
      <c r="BR53" s="197"/>
      <c r="BS53" s="197"/>
      <c r="BT53" s="197"/>
      <c r="BU53" s="197"/>
      <c r="BV53" s="197"/>
      <c r="BW53" s="197"/>
    </row>
    <row r="54" spans="1:75" x14ac:dyDescent="0.3">
      <c r="A54" s="189">
        <v>51</v>
      </c>
      <c r="B54" s="190" t="s">
        <v>316</v>
      </c>
      <c r="C54" s="181">
        <v>27</v>
      </c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 t="str">
        <f t="shared" ref="P54:BJ54" si="16">IFERROR(P49/P12,"")</f>
        <v/>
      </c>
      <c r="Q54" s="195" t="str">
        <f t="shared" si="16"/>
        <v/>
      </c>
      <c r="R54" s="195" t="str">
        <f t="shared" si="16"/>
        <v/>
      </c>
      <c r="S54" s="195" t="str">
        <f t="shared" si="16"/>
        <v/>
      </c>
      <c r="T54" s="195" t="str">
        <f t="shared" si="16"/>
        <v/>
      </c>
      <c r="U54" s="195" t="str">
        <f t="shared" si="16"/>
        <v/>
      </c>
      <c r="V54" s="195" t="str">
        <f t="shared" si="16"/>
        <v/>
      </c>
      <c r="W54" s="195" t="str">
        <f t="shared" si="16"/>
        <v/>
      </c>
      <c r="X54" s="195" t="str">
        <f t="shared" si="16"/>
        <v/>
      </c>
      <c r="Y54" s="195" t="str">
        <f t="shared" si="16"/>
        <v/>
      </c>
      <c r="Z54" s="195" t="str">
        <f t="shared" si="16"/>
        <v/>
      </c>
      <c r="AA54" s="195" t="str">
        <f t="shared" si="16"/>
        <v/>
      </c>
      <c r="AB54" s="195" t="str">
        <f t="shared" si="16"/>
        <v/>
      </c>
      <c r="AC54" s="195" t="str">
        <f t="shared" si="16"/>
        <v/>
      </c>
      <c r="AD54" s="195" t="str">
        <f t="shared" si="16"/>
        <v/>
      </c>
      <c r="AE54" s="195" t="str">
        <f t="shared" si="16"/>
        <v/>
      </c>
      <c r="AF54" s="195" t="str">
        <f t="shared" si="16"/>
        <v/>
      </c>
      <c r="AG54" s="195" t="str">
        <f t="shared" si="16"/>
        <v/>
      </c>
      <c r="AH54" s="195" t="str">
        <f t="shared" si="16"/>
        <v/>
      </c>
      <c r="AI54" s="195" t="str">
        <f t="shared" si="16"/>
        <v/>
      </c>
      <c r="AJ54" s="195" t="str">
        <f t="shared" si="16"/>
        <v/>
      </c>
      <c r="AK54" s="195" t="str">
        <f t="shared" si="16"/>
        <v/>
      </c>
      <c r="AL54" s="195" t="str">
        <f t="shared" si="16"/>
        <v/>
      </c>
      <c r="AM54" s="195" t="str">
        <f t="shared" si="16"/>
        <v/>
      </c>
      <c r="AN54" s="195" t="str">
        <f t="shared" si="16"/>
        <v/>
      </c>
      <c r="AO54" s="195" t="str">
        <f t="shared" si="16"/>
        <v/>
      </c>
      <c r="AP54" s="195" t="str">
        <f t="shared" si="16"/>
        <v/>
      </c>
      <c r="AQ54" s="195" t="str">
        <f t="shared" si="16"/>
        <v/>
      </c>
      <c r="AR54" s="195" t="str">
        <f t="shared" si="16"/>
        <v/>
      </c>
      <c r="AS54" s="195" t="str">
        <f t="shared" si="16"/>
        <v/>
      </c>
      <c r="AT54" s="195" t="str">
        <f t="shared" si="16"/>
        <v/>
      </c>
      <c r="AU54" s="195" t="str">
        <f t="shared" si="16"/>
        <v/>
      </c>
      <c r="AV54" s="195" t="str">
        <f t="shared" si="16"/>
        <v/>
      </c>
      <c r="AW54" s="195" t="str">
        <f t="shared" si="16"/>
        <v/>
      </c>
      <c r="AX54" s="195" t="str">
        <f t="shared" si="16"/>
        <v/>
      </c>
      <c r="AY54" s="195" t="str">
        <f t="shared" si="16"/>
        <v/>
      </c>
      <c r="AZ54" s="195" t="str">
        <f t="shared" si="16"/>
        <v/>
      </c>
      <c r="BA54" s="195" t="str">
        <f t="shared" si="16"/>
        <v/>
      </c>
      <c r="BB54" s="195" t="str">
        <f t="shared" si="16"/>
        <v/>
      </c>
      <c r="BC54" s="195" t="str">
        <f t="shared" si="16"/>
        <v/>
      </c>
      <c r="BD54" s="195" t="str">
        <f t="shared" si="16"/>
        <v/>
      </c>
      <c r="BE54" s="195" t="str">
        <f t="shared" si="16"/>
        <v/>
      </c>
      <c r="BF54" s="195" t="str">
        <f t="shared" si="16"/>
        <v/>
      </c>
      <c r="BG54" s="195" t="str">
        <f t="shared" si="16"/>
        <v/>
      </c>
      <c r="BH54" s="195" t="str">
        <f t="shared" si="16"/>
        <v/>
      </c>
      <c r="BI54" s="195" t="str">
        <f t="shared" si="16"/>
        <v/>
      </c>
      <c r="BJ54" s="195" t="str">
        <f t="shared" si="16"/>
        <v/>
      </c>
      <c r="BK54" s="195" t="str">
        <f t="shared" ref="BK54:BW54" si="17">IFERROR(BK49/BK12,"")</f>
        <v/>
      </c>
      <c r="BL54" s="195" t="str">
        <f t="shared" si="17"/>
        <v/>
      </c>
      <c r="BM54" s="195" t="str">
        <f t="shared" si="17"/>
        <v/>
      </c>
      <c r="BN54" s="195" t="str">
        <f t="shared" si="17"/>
        <v/>
      </c>
      <c r="BO54" s="195" t="str">
        <f t="shared" si="17"/>
        <v/>
      </c>
      <c r="BP54" s="195" t="str">
        <f t="shared" si="17"/>
        <v/>
      </c>
      <c r="BQ54" s="195" t="str">
        <f t="shared" si="17"/>
        <v/>
      </c>
      <c r="BR54" s="195" t="str">
        <f t="shared" si="17"/>
        <v/>
      </c>
      <c r="BS54" s="195" t="str">
        <f t="shared" si="17"/>
        <v/>
      </c>
      <c r="BT54" s="195" t="str">
        <f t="shared" si="17"/>
        <v/>
      </c>
      <c r="BU54" s="195" t="str">
        <f t="shared" si="17"/>
        <v/>
      </c>
      <c r="BV54" s="195" t="str">
        <f t="shared" si="17"/>
        <v/>
      </c>
      <c r="BW54" s="195" t="str">
        <f t="shared" si="17"/>
        <v/>
      </c>
    </row>
    <row r="55" spans="1:75" x14ac:dyDescent="0.3">
      <c r="A55" s="186">
        <v>52</v>
      </c>
      <c r="B55" s="187" t="s">
        <v>317</v>
      </c>
      <c r="C55" s="180">
        <v>27</v>
      </c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>
        <f>'Ket qua kinh doanh'!P12</f>
        <v>0</v>
      </c>
      <c r="Q55" s="194">
        <f>'Ket qua kinh doanh'!Q12</f>
        <v>0</v>
      </c>
      <c r="R55" s="194">
        <f>'Ket qua kinh doanh'!R12</f>
        <v>0</v>
      </c>
      <c r="S55" s="194">
        <f>'Ket qua kinh doanh'!S12</f>
        <v>0</v>
      </c>
      <c r="T55" s="194">
        <f>'Ket qua kinh doanh'!T12</f>
        <v>0</v>
      </c>
      <c r="U55" s="194">
        <f>'Ket qua kinh doanh'!U12</f>
        <v>0</v>
      </c>
      <c r="V55" s="194">
        <f>'Ket qua kinh doanh'!V12</f>
        <v>0</v>
      </c>
      <c r="W55" s="194">
        <f>'Ket qua kinh doanh'!W12</f>
        <v>0</v>
      </c>
      <c r="X55" s="194">
        <f>'Ket qua kinh doanh'!X12</f>
        <v>0</v>
      </c>
      <c r="Y55" s="194">
        <f>'Ket qua kinh doanh'!Y12</f>
        <v>0</v>
      </c>
      <c r="Z55" s="194">
        <f>'Ket qua kinh doanh'!Z12</f>
        <v>0</v>
      </c>
      <c r="AA55" s="194">
        <f>'Ket qua kinh doanh'!AA12</f>
        <v>0</v>
      </c>
      <c r="AB55" s="194">
        <f>'Ket qua kinh doanh'!AB12</f>
        <v>0</v>
      </c>
      <c r="AC55" s="194">
        <f>'Ket qua kinh doanh'!AC12</f>
        <v>0</v>
      </c>
      <c r="AD55" s="194">
        <f>'Ket qua kinh doanh'!AD12</f>
        <v>0</v>
      </c>
      <c r="AE55" s="194">
        <f>'Ket qua kinh doanh'!AE12</f>
        <v>0</v>
      </c>
      <c r="AF55" s="194">
        <f>'Ket qua kinh doanh'!AF12</f>
        <v>0</v>
      </c>
      <c r="AG55" s="194">
        <f>'Ket qua kinh doanh'!AG12</f>
        <v>0</v>
      </c>
      <c r="AH55" s="194">
        <f>'Ket qua kinh doanh'!AH12</f>
        <v>0</v>
      </c>
      <c r="AI55" s="194">
        <f>'Ket qua kinh doanh'!AI12</f>
        <v>0</v>
      </c>
      <c r="AJ55" s="194">
        <f>'Ket qua kinh doanh'!AJ12</f>
        <v>0</v>
      </c>
      <c r="AK55" s="194">
        <f>'Ket qua kinh doanh'!AK12</f>
        <v>0</v>
      </c>
      <c r="AL55" s="194">
        <f>'Ket qua kinh doanh'!AL12</f>
        <v>0</v>
      </c>
      <c r="AM55" s="194">
        <f>'Ket qua kinh doanh'!AM12</f>
        <v>0</v>
      </c>
      <c r="AN55" s="194">
        <f>'Ket qua kinh doanh'!AN12</f>
        <v>0</v>
      </c>
      <c r="AO55" s="194">
        <f>'Ket qua kinh doanh'!AO12</f>
        <v>0</v>
      </c>
      <c r="AP55" s="194">
        <f>'Ket qua kinh doanh'!AP12</f>
        <v>0</v>
      </c>
      <c r="AQ55" s="194">
        <f>'Ket qua kinh doanh'!AQ12</f>
        <v>0</v>
      </c>
      <c r="AR55" s="194">
        <f>'Ket qua kinh doanh'!AR12</f>
        <v>0</v>
      </c>
      <c r="AS55" s="194">
        <f>'Ket qua kinh doanh'!AS12</f>
        <v>0</v>
      </c>
      <c r="AT55" s="194">
        <f>'Ket qua kinh doanh'!AT12</f>
        <v>0</v>
      </c>
      <c r="AU55" s="194">
        <f>'Ket qua kinh doanh'!AU12</f>
        <v>0</v>
      </c>
      <c r="AV55" s="194">
        <f>'Ket qua kinh doanh'!AV12</f>
        <v>0</v>
      </c>
      <c r="AW55" s="194">
        <f>'Ket qua kinh doanh'!AW12</f>
        <v>0</v>
      </c>
      <c r="AX55" s="194">
        <f>'Ket qua kinh doanh'!AX12</f>
        <v>0</v>
      </c>
      <c r="AY55" s="194">
        <f>'Ket qua kinh doanh'!AY12</f>
        <v>0</v>
      </c>
      <c r="AZ55" s="194">
        <f>'Ket qua kinh doanh'!AZ12</f>
        <v>0</v>
      </c>
      <c r="BA55" s="194">
        <f>'Ket qua kinh doanh'!BA12</f>
        <v>0</v>
      </c>
      <c r="BB55" s="194">
        <f>'Ket qua kinh doanh'!BB12</f>
        <v>0</v>
      </c>
      <c r="BC55" s="194">
        <f>'Ket qua kinh doanh'!BC12</f>
        <v>0</v>
      </c>
      <c r="BD55" s="194">
        <f>'Ket qua kinh doanh'!BD12</f>
        <v>0</v>
      </c>
      <c r="BE55" s="194">
        <f>'Ket qua kinh doanh'!BE12</f>
        <v>0</v>
      </c>
      <c r="BF55" s="194">
        <f>'Ket qua kinh doanh'!BF12</f>
        <v>0</v>
      </c>
      <c r="BG55" s="194">
        <f>'Ket qua kinh doanh'!BG12</f>
        <v>0</v>
      </c>
      <c r="BH55" s="194">
        <f>'Ket qua kinh doanh'!BH12</f>
        <v>0</v>
      </c>
      <c r="BI55" s="194">
        <f>'Ket qua kinh doanh'!BI12</f>
        <v>0</v>
      </c>
      <c r="BJ55" s="194">
        <f>'Ket qua kinh doanh'!BJ12</f>
        <v>0</v>
      </c>
      <c r="BK55" s="194">
        <f>'Ket qua kinh doanh'!BK12</f>
        <v>0</v>
      </c>
      <c r="BL55" s="194">
        <f>'Ket qua kinh doanh'!BL12</f>
        <v>0</v>
      </c>
      <c r="BM55" s="194">
        <f>'Ket qua kinh doanh'!BM12</f>
        <v>0</v>
      </c>
      <c r="BN55" s="194">
        <f>'Ket qua kinh doanh'!BN12</f>
        <v>0</v>
      </c>
      <c r="BO55" s="194">
        <f>'Ket qua kinh doanh'!BO12</f>
        <v>0</v>
      </c>
      <c r="BP55" s="194">
        <f>'Ket qua kinh doanh'!BP12</f>
        <v>0</v>
      </c>
      <c r="BQ55" s="194">
        <f>'Ket qua kinh doanh'!BQ12</f>
        <v>0</v>
      </c>
      <c r="BR55" s="194">
        <f>'Ket qua kinh doanh'!BR12</f>
        <v>0</v>
      </c>
      <c r="BS55" s="194">
        <f>'Ket qua kinh doanh'!BS12</f>
        <v>0</v>
      </c>
      <c r="BT55" s="194">
        <f>'Ket qua kinh doanh'!BT12</f>
        <v>0</v>
      </c>
      <c r="BU55" s="194">
        <f>'Ket qua kinh doanh'!BU12</f>
        <v>0</v>
      </c>
      <c r="BV55" s="194">
        <f>'Ket qua kinh doanh'!BV12</f>
        <v>0</v>
      </c>
      <c r="BW55" s="194">
        <f>'Ket qua kinh doanh'!BW12</f>
        <v>0</v>
      </c>
    </row>
    <row r="56" spans="1:75" x14ac:dyDescent="0.3">
      <c r="A56" s="172">
        <v>53</v>
      </c>
      <c r="B56" s="173" t="s">
        <v>318</v>
      </c>
      <c r="C56" s="183">
        <v>27</v>
      </c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>
        <f>'Ket qua kinh doanh'!P13</f>
        <v>0</v>
      </c>
      <c r="Q56" s="197">
        <f>'Ket qua kinh doanh'!Q13</f>
        <v>0</v>
      </c>
      <c r="R56" s="197">
        <f>'Ket qua kinh doanh'!R13</f>
        <v>0</v>
      </c>
      <c r="S56" s="197">
        <f>'Ket qua kinh doanh'!S13</f>
        <v>0</v>
      </c>
      <c r="T56" s="197">
        <f>'Ket qua kinh doanh'!T13</f>
        <v>0</v>
      </c>
      <c r="U56" s="197">
        <f>'Ket qua kinh doanh'!U13</f>
        <v>0</v>
      </c>
      <c r="V56" s="197">
        <f>'Ket qua kinh doanh'!V13</f>
        <v>0</v>
      </c>
      <c r="W56" s="197">
        <f>'Ket qua kinh doanh'!W13</f>
        <v>0</v>
      </c>
      <c r="X56" s="197">
        <f>'Ket qua kinh doanh'!X13</f>
        <v>0</v>
      </c>
      <c r="Y56" s="197">
        <f>'Ket qua kinh doanh'!Y13</f>
        <v>0</v>
      </c>
      <c r="Z56" s="197">
        <f>'Ket qua kinh doanh'!Z13</f>
        <v>0</v>
      </c>
      <c r="AA56" s="197">
        <f>'Ket qua kinh doanh'!AA13</f>
        <v>0</v>
      </c>
      <c r="AB56" s="197">
        <f>'Ket qua kinh doanh'!AB13</f>
        <v>0</v>
      </c>
      <c r="AC56" s="197">
        <f>'Ket qua kinh doanh'!AC13</f>
        <v>0</v>
      </c>
      <c r="AD56" s="197">
        <f>'Ket qua kinh doanh'!AD13</f>
        <v>0</v>
      </c>
      <c r="AE56" s="197">
        <f>'Ket qua kinh doanh'!AE13</f>
        <v>0</v>
      </c>
      <c r="AF56" s="197">
        <f>'Ket qua kinh doanh'!AF13</f>
        <v>0</v>
      </c>
      <c r="AG56" s="197">
        <f>'Ket qua kinh doanh'!AG13</f>
        <v>0</v>
      </c>
      <c r="AH56" s="197">
        <f>'Ket qua kinh doanh'!AH13</f>
        <v>0</v>
      </c>
      <c r="AI56" s="197">
        <f>'Ket qua kinh doanh'!AI13</f>
        <v>0</v>
      </c>
      <c r="AJ56" s="197">
        <f>'Ket qua kinh doanh'!AJ13</f>
        <v>0</v>
      </c>
      <c r="AK56" s="197">
        <f>'Ket qua kinh doanh'!AK13</f>
        <v>0</v>
      </c>
      <c r="AL56" s="197">
        <f>'Ket qua kinh doanh'!AL13</f>
        <v>0</v>
      </c>
      <c r="AM56" s="197">
        <f>'Ket qua kinh doanh'!AM13</f>
        <v>0</v>
      </c>
      <c r="AN56" s="197">
        <f>'Ket qua kinh doanh'!AN13</f>
        <v>0</v>
      </c>
      <c r="AO56" s="197">
        <f>'Ket qua kinh doanh'!AO13</f>
        <v>0</v>
      </c>
      <c r="AP56" s="197">
        <f>'Ket qua kinh doanh'!AP13</f>
        <v>0</v>
      </c>
      <c r="AQ56" s="197">
        <f>'Ket qua kinh doanh'!AQ13</f>
        <v>0</v>
      </c>
      <c r="AR56" s="197">
        <f>'Ket qua kinh doanh'!AR13</f>
        <v>0</v>
      </c>
      <c r="AS56" s="197">
        <f>'Ket qua kinh doanh'!AS13</f>
        <v>0</v>
      </c>
      <c r="AT56" s="197">
        <f>'Ket qua kinh doanh'!AT13</f>
        <v>0</v>
      </c>
      <c r="AU56" s="197">
        <f>'Ket qua kinh doanh'!AU13</f>
        <v>0</v>
      </c>
      <c r="AV56" s="197">
        <f>'Ket qua kinh doanh'!AV13</f>
        <v>0</v>
      </c>
      <c r="AW56" s="197">
        <f>'Ket qua kinh doanh'!AW13</f>
        <v>0</v>
      </c>
      <c r="AX56" s="197">
        <f>'Ket qua kinh doanh'!AX13</f>
        <v>0</v>
      </c>
      <c r="AY56" s="197">
        <f>'Ket qua kinh doanh'!AY13</f>
        <v>0</v>
      </c>
      <c r="AZ56" s="197">
        <f>'Ket qua kinh doanh'!AZ13</f>
        <v>0</v>
      </c>
      <c r="BA56" s="197">
        <f>'Ket qua kinh doanh'!BA13</f>
        <v>0</v>
      </c>
      <c r="BB56" s="197">
        <f>'Ket qua kinh doanh'!BB13</f>
        <v>0</v>
      </c>
      <c r="BC56" s="197">
        <f>'Ket qua kinh doanh'!BC13</f>
        <v>0</v>
      </c>
      <c r="BD56" s="197">
        <f>'Ket qua kinh doanh'!BD13</f>
        <v>0</v>
      </c>
      <c r="BE56" s="197">
        <f>'Ket qua kinh doanh'!BE13</f>
        <v>0</v>
      </c>
      <c r="BF56" s="197">
        <f>'Ket qua kinh doanh'!BF13</f>
        <v>0</v>
      </c>
      <c r="BG56" s="197">
        <f>'Ket qua kinh doanh'!BG13</f>
        <v>0</v>
      </c>
      <c r="BH56" s="197">
        <f>'Ket qua kinh doanh'!BH13</f>
        <v>0</v>
      </c>
      <c r="BI56" s="197">
        <f>'Ket qua kinh doanh'!BI13</f>
        <v>0</v>
      </c>
      <c r="BJ56" s="197">
        <f>'Ket qua kinh doanh'!BJ13</f>
        <v>0</v>
      </c>
      <c r="BK56" s="197">
        <f>'Ket qua kinh doanh'!BK13</f>
        <v>0</v>
      </c>
      <c r="BL56" s="197">
        <f>'Ket qua kinh doanh'!BL13</f>
        <v>0</v>
      </c>
      <c r="BM56" s="197">
        <f>'Ket qua kinh doanh'!BM13</f>
        <v>0</v>
      </c>
      <c r="BN56" s="197">
        <f>'Ket qua kinh doanh'!BN13</f>
        <v>0</v>
      </c>
      <c r="BO56" s="197">
        <f>'Ket qua kinh doanh'!BO13</f>
        <v>0</v>
      </c>
      <c r="BP56" s="197">
        <f>'Ket qua kinh doanh'!BP13</f>
        <v>0</v>
      </c>
      <c r="BQ56" s="197">
        <f>'Ket qua kinh doanh'!BQ13</f>
        <v>0</v>
      </c>
      <c r="BR56" s="197">
        <f>'Ket qua kinh doanh'!BR13</f>
        <v>0</v>
      </c>
      <c r="BS56" s="197">
        <f>'Ket qua kinh doanh'!BS13</f>
        <v>0</v>
      </c>
      <c r="BT56" s="197">
        <f>'Ket qua kinh doanh'!BT13</f>
        <v>0</v>
      </c>
      <c r="BU56" s="197">
        <f>'Ket qua kinh doanh'!BU13</f>
        <v>0</v>
      </c>
      <c r="BV56" s="197">
        <f>'Ket qua kinh doanh'!BV13</f>
        <v>0</v>
      </c>
      <c r="BW56" s="197">
        <f>'Ket qua kinh doanh'!BW13</f>
        <v>0</v>
      </c>
    </row>
    <row r="57" spans="1:75" x14ac:dyDescent="0.3">
      <c r="A57" s="191">
        <v>54</v>
      </c>
      <c r="B57" s="190" t="s">
        <v>319</v>
      </c>
      <c r="C57" s="181">
        <v>27</v>
      </c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 t="str">
        <f t="shared" ref="P57:BJ57" si="18">IFERROR(P56/P12,"")</f>
        <v/>
      </c>
      <c r="Q57" s="195" t="str">
        <f t="shared" si="18"/>
        <v/>
      </c>
      <c r="R57" s="195" t="str">
        <f t="shared" si="18"/>
        <v/>
      </c>
      <c r="S57" s="195" t="str">
        <f t="shared" si="18"/>
        <v/>
      </c>
      <c r="T57" s="195" t="str">
        <f t="shared" si="18"/>
        <v/>
      </c>
      <c r="U57" s="195" t="str">
        <f t="shared" si="18"/>
        <v/>
      </c>
      <c r="V57" s="195" t="str">
        <f t="shared" si="18"/>
        <v/>
      </c>
      <c r="W57" s="195" t="str">
        <f t="shared" si="18"/>
        <v/>
      </c>
      <c r="X57" s="195" t="str">
        <f t="shared" si="18"/>
        <v/>
      </c>
      <c r="Y57" s="195" t="str">
        <f t="shared" si="18"/>
        <v/>
      </c>
      <c r="Z57" s="195" t="str">
        <f t="shared" si="18"/>
        <v/>
      </c>
      <c r="AA57" s="195" t="str">
        <f t="shared" si="18"/>
        <v/>
      </c>
      <c r="AB57" s="195" t="str">
        <f t="shared" si="18"/>
        <v/>
      </c>
      <c r="AC57" s="195" t="str">
        <f t="shared" si="18"/>
        <v/>
      </c>
      <c r="AD57" s="195" t="str">
        <f t="shared" si="18"/>
        <v/>
      </c>
      <c r="AE57" s="195" t="str">
        <f t="shared" si="18"/>
        <v/>
      </c>
      <c r="AF57" s="195" t="str">
        <f t="shared" si="18"/>
        <v/>
      </c>
      <c r="AG57" s="195" t="str">
        <f t="shared" si="18"/>
        <v/>
      </c>
      <c r="AH57" s="195" t="str">
        <f t="shared" si="18"/>
        <v/>
      </c>
      <c r="AI57" s="195" t="str">
        <f t="shared" si="18"/>
        <v/>
      </c>
      <c r="AJ57" s="195" t="str">
        <f t="shared" si="18"/>
        <v/>
      </c>
      <c r="AK57" s="195" t="str">
        <f t="shared" si="18"/>
        <v/>
      </c>
      <c r="AL57" s="195" t="str">
        <f t="shared" si="18"/>
        <v/>
      </c>
      <c r="AM57" s="195" t="str">
        <f t="shared" si="18"/>
        <v/>
      </c>
      <c r="AN57" s="195" t="str">
        <f t="shared" si="18"/>
        <v/>
      </c>
      <c r="AO57" s="195" t="str">
        <f t="shared" si="18"/>
        <v/>
      </c>
      <c r="AP57" s="195" t="str">
        <f t="shared" si="18"/>
        <v/>
      </c>
      <c r="AQ57" s="195" t="str">
        <f t="shared" si="18"/>
        <v/>
      </c>
      <c r="AR57" s="195" t="str">
        <f t="shared" si="18"/>
        <v/>
      </c>
      <c r="AS57" s="195" t="str">
        <f t="shared" si="18"/>
        <v/>
      </c>
      <c r="AT57" s="195" t="str">
        <f t="shared" si="18"/>
        <v/>
      </c>
      <c r="AU57" s="195" t="str">
        <f t="shared" si="18"/>
        <v/>
      </c>
      <c r="AV57" s="195" t="str">
        <f t="shared" si="18"/>
        <v/>
      </c>
      <c r="AW57" s="195" t="str">
        <f t="shared" si="18"/>
        <v/>
      </c>
      <c r="AX57" s="195" t="str">
        <f t="shared" si="18"/>
        <v/>
      </c>
      <c r="AY57" s="195" t="str">
        <f t="shared" si="18"/>
        <v/>
      </c>
      <c r="AZ57" s="195" t="str">
        <f t="shared" si="18"/>
        <v/>
      </c>
      <c r="BA57" s="195" t="str">
        <f t="shared" si="18"/>
        <v/>
      </c>
      <c r="BB57" s="195" t="str">
        <f t="shared" si="18"/>
        <v/>
      </c>
      <c r="BC57" s="195" t="str">
        <f t="shared" si="18"/>
        <v/>
      </c>
      <c r="BD57" s="195" t="str">
        <f t="shared" si="18"/>
        <v/>
      </c>
      <c r="BE57" s="195" t="str">
        <f t="shared" si="18"/>
        <v/>
      </c>
      <c r="BF57" s="195" t="str">
        <f t="shared" si="18"/>
        <v/>
      </c>
      <c r="BG57" s="195" t="str">
        <f t="shared" si="18"/>
        <v/>
      </c>
      <c r="BH57" s="195" t="str">
        <f t="shared" si="18"/>
        <v/>
      </c>
      <c r="BI57" s="195" t="str">
        <f t="shared" si="18"/>
        <v/>
      </c>
      <c r="BJ57" s="195" t="str">
        <f t="shared" si="18"/>
        <v/>
      </c>
      <c r="BK57" s="195" t="str">
        <f t="shared" ref="BK57:BW57" si="19">IFERROR(BK56/BK12,"")</f>
        <v/>
      </c>
      <c r="BL57" s="195" t="str">
        <f t="shared" si="19"/>
        <v/>
      </c>
      <c r="BM57" s="195" t="str">
        <f t="shared" si="19"/>
        <v/>
      </c>
      <c r="BN57" s="195" t="str">
        <f t="shared" si="19"/>
        <v/>
      </c>
      <c r="BO57" s="195" t="str">
        <f t="shared" si="19"/>
        <v/>
      </c>
      <c r="BP57" s="195" t="str">
        <f t="shared" si="19"/>
        <v/>
      </c>
      <c r="BQ57" s="195" t="str">
        <f t="shared" si="19"/>
        <v/>
      </c>
      <c r="BR57" s="195" t="str">
        <f t="shared" si="19"/>
        <v/>
      </c>
      <c r="BS57" s="195" t="str">
        <f t="shared" si="19"/>
        <v/>
      </c>
      <c r="BT57" s="195" t="str">
        <f t="shared" si="19"/>
        <v/>
      </c>
      <c r="BU57" s="195" t="str">
        <f t="shared" si="19"/>
        <v/>
      </c>
      <c r="BV57" s="195" t="str">
        <f t="shared" si="19"/>
        <v/>
      </c>
      <c r="BW57" s="195" t="str">
        <f t="shared" si="19"/>
        <v/>
      </c>
    </row>
  </sheetData>
  <sheetProtection algorithmName="SHA-512" hashValue="bGdC/u/IR3Vxr7HHt1fpQRaZKpIcSIYBkVM0DlrQx0ridEc8d0b0JxEwsQt22xEE5S7dZuJwQ1GL9ix8MrcbKg==" saltValue="fweMVHOKIsH9L3rZD6+zpw==" spinCount="100000" sheet="1" objects="1" scenarios="1"/>
  <protectedRanges>
    <protectedRange sqref="D4:BW57" name="Element"/>
  </protectedRange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C85E-F02D-47DC-8376-CCB4FCF40986}">
  <sheetPr>
    <tabColor theme="9" tint="0.59999389629810485"/>
  </sheetPr>
  <dimension ref="A1:BW74"/>
  <sheetViews>
    <sheetView showGridLines="0" zoomScale="80" zoomScaleNormal="80" workbookViewId="0">
      <pane xSplit="3" ySplit="3" topLeftCell="BE54" activePane="bottomRight" state="frozen"/>
      <selection activeCell="D8" sqref="D8:E8"/>
      <selection pane="topRight" activeCell="D8" sqref="D8:E8"/>
      <selection pane="bottomLeft" activeCell="D8" sqref="D8:E8"/>
      <selection pane="bottomRight" activeCell="BP67" sqref="BP67:BP68"/>
    </sheetView>
  </sheetViews>
  <sheetFormatPr defaultRowHeight="14.4" x14ac:dyDescent="0.3"/>
  <cols>
    <col min="1" max="1" width="7.88671875" hidden="1" customWidth="1"/>
    <col min="2" max="2" width="46.44140625" bestFit="1" customWidth="1"/>
    <col min="3" max="3" width="12.44140625" style="99" hidden="1" customWidth="1"/>
    <col min="4" max="51" width="16.109375" hidden="1" customWidth="1"/>
    <col min="52" max="75" width="16.109375" customWidth="1"/>
  </cols>
  <sheetData>
    <row r="1" spans="1:75" ht="17.399999999999999" x14ac:dyDescent="0.3">
      <c r="B1" s="42" t="s">
        <v>337</v>
      </c>
    </row>
    <row r="2" spans="1:75" x14ac:dyDescent="0.3">
      <c r="B2" s="45" t="s">
        <v>0</v>
      </c>
    </row>
    <row r="3" spans="1:75" ht="27.6" x14ac:dyDescent="0.3">
      <c r="A3" s="199" t="s">
        <v>320</v>
      </c>
      <c r="B3" s="200" t="s">
        <v>321</v>
      </c>
      <c r="C3" s="201" t="s">
        <v>3</v>
      </c>
      <c r="D3" s="202" t="s">
        <v>4</v>
      </c>
      <c r="E3" s="202" t="s">
        <v>5</v>
      </c>
      <c r="F3" s="202" t="s">
        <v>6</v>
      </c>
      <c r="G3" s="202" t="s">
        <v>7</v>
      </c>
      <c r="H3" s="202" t="s">
        <v>8</v>
      </c>
      <c r="I3" s="202" t="s">
        <v>9</v>
      </c>
      <c r="J3" s="202" t="s">
        <v>10</v>
      </c>
      <c r="K3" s="202" t="s">
        <v>11</v>
      </c>
      <c r="L3" s="202" t="s">
        <v>12</v>
      </c>
      <c r="M3" s="202" t="s">
        <v>13</v>
      </c>
      <c r="N3" s="202" t="s">
        <v>14</v>
      </c>
      <c r="O3" s="202" t="s">
        <v>15</v>
      </c>
      <c r="P3" s="202" t="s">
        <v>16</v>
      </c>
      <c r="Q3" s="202" t="s">
        <v>17</v>
      </c>
      <c r="R3" s="202" t="s">
        <v>18</v>
      </c>
      <c r="S3" s="202" t="s">
        <v>19</v>
      </c>
      <c r="T3" s="202" t="s">
        <v>20</v>
      </c>
      <c r="U3" s="202" t="s">
        <v>21</v>
      </c>
      <c r="V3" s="202" t="s">
        <v>22</v>
      </c>
      <c r="W3" s="202" t="s">
        <v>23</v>
      </c>
      <c r="X3" s="202" t="s">
        <v>24</v>
      </c>
      <c r="Y3" s="202" t="s">
        <v>25</v>
      </c>
      <c r="Z3" s="202" t="s">
        <v>26</v>
      </c>
      <c r="AA3" s="202" t="s">
        <v>27</v>
      </c>
      <c r="AB3" s="202" t="s">
        <v>28</v>
      </c>
      <c r="AC3" s="202" t="s">
        <v>29</v>
      </c>
      <c r="AD3" s="202" t="s">
        <v>30</v>
      </c>
      <c r="AE3" s="202" t="s">
        <v>31</v>
      </c>
      <c r="AF3" s="202" t="s">
        <v>32</v>
      </c>
      <c r="AG3" s="202" t="s">
        <v>33</v>
      </c>
      <c r="AH3" s="202" t="s">
        <v>34</v>
      </c>
      <c r="AI3" s="202" t="s">
        <v>35</v>
      </c>
      <c r="AJ3" s="202" t="s">
        <v>36</v>
      </c>
      <c r="AK3" s="202" t="s">
        <v>37</v>
      </c>
      <c r="AL3" s="202" t="s">
        <v>38</v>
      </c>
      <c r="AM3" s="202" t="s">
        <v>39</v>
      </c>
      <c r="AN3" s="202" t="s">
        <v>40</v>
      </c>
      <c r="AO3" s="203" t="s">
        <v>41</v>
      </c>
      <c r="AP3" s="203" t="s">
        <v>42</v>
      </c>
      <c r="AQ3" s="203" t="s">
        <v>43</v>
      </c>
      <c r="AR3" s="203" t="s">
        <v>44</v>
      </c>
      <c r="AS3" s="203" t="s">
        <v>45</v>
      </c>
      <c r="AT3" s="202" t="s">
        <v>46</v>
      </c>
      <c r="AU3" s="203" t="s">
        <v>47</v>
      </c>
      <c r="AV3" s="203" t="s">
        <v>48</v>
      </c>
      <c r="AW3" s="203" t="s">
        <v>49</v>
      </c>
      <c r="AX3" s="203" t="s">
        <v>50</v>
      </c>
      <c r="AY3" s="203" t="s">
        <v>51</v>
      </c>
      <c r="AZ3" s="203" t="s">
        <v>52</v>
      </c>
      <c r="BA3" s="203" t="s">
        <v>53</v>
      </c>
      <c r="BB3" s="203" t="s">
        <v>54</v>
      </c>
      <c r="BC3" s="203" t="s">
        <v>55</v>
      </c>
      <c r="BD3" s="203" t="s">
        <v>56</v>
      </c>
      <c r="BE3" s="203" t="s">
        <v>57</v>
      </c>
      <c r="BF3" s="203" t="s">
        <v>58</v>
      </c>
      <c r="BG3" s="203" t="s">
        <v>59</v>
      </c>
      <c r="BH3" s="203" t="s">
        <v>60</v>
      </c>
      <c r="BI3" s="203" t="s">
        <v>61</v>
      </c>
      <c r="BJ3" s="203" t="s">
        <v>62</v>
      </c>
      <c r="BK3" s="203" t="s">
        <v>63</v>
      </c>
      <c r="BL3" s="203" t="s">
        <v>64</v>
      </c>
      <c r="BM3" s="203" t="s">
        <v>65</v>
      </c>
      <c r="BN3" s="203" t="s">
        <v>66</v>
      </c>
      <c r="BO3" s="203" t="s">
        <v>67</v>
      </c>
      <c r="BP3" s="203" t="s">
        <v>68</v>
      </c>
      <c r="BQ3" s="203" t="s">
        <v>69</v>
      </c>
      <c r="BR3" s="203" t="s">
        <v>70</v>
      </c>
      <c r="BS3" s="203" t="s">
        <v>71</v>
      </c>
      <c r="BT3" s="203" t="s">
        <v>72</v>
      </c>
      <c r="BU3" s="203" t="s">
        <v>73</v>
      </c>
      <c r="BV3" s="203" t="s">
        <v>74</v>
      </c>
      <c r="BW3" s="203" t="s">
        <v>75</v>
      </c>
    </row>
    <row r="4" spans="1:75" x14ac:dyDescent="0.3">
      <c r="A4" s="204">
        <v>1</v>
      </c>
      <c r="B4" s="205" t="s">
        <v>336</v>
      </c>
      <c r="C4" s="206">
        <v>27</v>
      </c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3"/>
      <c r="BN4" s="213"/>
      <c r="BO4" s="213"/>
      <c r="BP4" s="213"/>
      <c r="BQ4" s="213"/>
      <c r="BR4" s="213"/>
      <c r="BS4" s="213"/>
      <c r="BT4" s="213"/>
      <c r="BU4" s="213"/>
      <c r="BV4" s="213"/>
      <c r="BW4" s="213"/>
    </row>
    <row r="5" spans="1:75" x14ac:dyDescent="0.3">
      <c r="A5" s="98">
        <v>2</v>
      </c>
      <c r="B5" s="207" t="s">
        <v>323</v>
      </c>
      <c r="C5" s="98">
        <v>27</v>
      </c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</row>
    <row r="6" spans="1:75" x14ac:dyDescent="0.3">
      <c r="A6" s="98">
        <v>3</v>
      </c>
      <c r="B6" s="207" t="s">
        <v>324</v>
      </c>
      <c r="C6" s="98">
        <v>27</v>
      </c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4"/>
      <c r="BQ6" s="214"/>
      <c r="BR6" s="214"/>
      <c r="BS6" s="214"/>
      <c r="BT6" s="214"/>
      <c r="BU6" s="214"/>
      <c r="BV6" s="214"/>
      <c r="BW6" s="214"/>
    </row>
    <row r="7" spans="1:75" x14ac:dyDescent="0.3">
      <c r="A7" s="98">
        <v>4</v>
      </c>
      <c r="B7" s="207" t="s">
        <v>325</v>
      </c>
      <c r="C7" s="98">
        <v>27</v>
      </c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14"/>
      <c r="BG7" s="214"/>
      <c r="BH7" s="214"/>
      <c r="BI7" s="214"/>
      <c r="BJ7" s="214"/>
      <c r="BK7" s="214"/>
      <c r="BL7" s="214"/>
      <c r="BM7" s="214"/>
      <c r="BN7" s="214"/>
      <c r="BO7" s="214"/>
      <c r="BP7" s="214"/>
      <c r="BQ7" s="214"/>
      <c r="BR7" s="214"/>
      <c r="BS7" s="214"/>
      <c r="BT7" s="214"/>
      <c r="BU7" s="214"/>
      <c r="BV7" s="214"/>
      <c r="BW7" s="214"/>
    </row>
    <row r="8" spans="1:75" x14ac:dyDescent="0.3">
      <c r="A8" s="98">
        <v>5</v>
      </c>
      <c r="B8" s="207" t="s">
        <v>326</v>
      </c>
      <c r="C8" s="98">
        <v>27</v>
      </c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14"/>
      <c r="BG8" s="214"/>
      <c r="BH8" s="214"/>
      <c r="BI8" s="214"/>
      <c r="BJ8" s="214"/>
      <c r="BK8" s="214"/>
      <c r="BL8" s="214"/>
      <c r="BM8" s="214"/>
      <c r="BN8" s="214"/>
      <c r="BO8" s="214"/>
      <c r="BP8" s="214"/>
      <c r="BQ8" s="214"/>
      <c r="BR8" s="214"/>
      <c r="BS8" s="214"/>
      <c r="BT8" s="214"/>
      <c r="BU8" s="214"/>
      <c r="BV8" s="214"/>
      <c r="BW8" s="214"/>
    </row>
    <row r="9" spans="1:75" x14ac:dyDescent="0.3">
      <c r="A9" s="98">
        <v>6</v>
      </c>
      <c r="B9" s="207" t="s">
        <v>327</v>
      </c>
      <c r="C9" s="98">
        <v>27</v>
      </c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  <c r="AX9" s="214"/>
      <c r="AY9" s="214"/>
      <c r="AZ9" s="214"/>
      <c r="BA9" s="214"/>
      <c r="BB9" s="214"/>
      <c r="BC9" s="214"/>
      <c r="BD9" s="214"/>
      <c r="BE9" s="214"/>
      <c r="BF9" s="214"/>
      <c r="BG9" s="214"/>
      <c r="BH9" s="214"/>
      <c r="BI9" s="214"/>
      <c r="BJ9" s="214"/>
      <c r="BK9" s="214"/>
      <c r="BL9" s="214"/>
      <c r="BM9" s="214"/>
      <c r="BN9" s="214"/>
      <c r="BO9" s="214"/>
      <c r="BP9" s="214"/>
      <c r="BQ9" s="214"/>
      <c r="BR9" s="214"/>
      <c r="BS9" s="214"/>
      <c r="BT9" s="214"/>
      <c r="BU9" s="214"/>
      <c r="BV9" s="214"/>
      <c r="BW9" s="214"/>
    </row>
    <row r="10" spans="1:75" x14ac:dyDescent="0.3">
      <c r="A10" s="98">
        <v>7</v>
      </c>
      <c r="B10" s="207" t="s">
        <v>328</v>
      </c>
      <c r="C10" s="98">
        <v>27</v>
      </c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214"/>
      <c r="AL10" s="214"/>
      <c r="AM10" s="214"/>
      <c r="AN10" s="214"/>
      <c r="AO10" s="214"/>
      <c r="AP10" s="214"/>
      <c r="AQ10" s="214"/>
      <c r="AR10" s="214"/>
      <c r="AS10" s="214"/>
      <c r="AT10" s="214"/>
      <c r="AU10" s="214"/>
      <c r="AV10" s="214"/>
      <c r="AW10" s="214"/>
      <c r="AX10" s="214"/>
      <c r="AY10" s="214"/>
      <c r="AZ10" s="214"/>
      <c r="BA10" s="214"/>
      <c r="BB10" s="214"/>
      <c r="BC10" s="214"/>
      <c r="BD10" s="214"/>
      <c r="BE10" s="214"/>
      <c r="BF10" s="214"/>
      <c r="BG10" s="214"/>
      <c r="BH10" s="214"/>
      <c r="BI10" s="214"/>
      <c r="BJ10" s="214"/>
      <c r="BK10" s="214"/>
      <c r="BL10" s="214"/>
      <c r="BM10" s="214"/>
      <c r="BN10" s="214"/>
      <c r="BO10" s="214"/>
      <c r="BP10" s="214"/>
      <c r="BQ10" s="214"/>
      <c r="BR10" s="214"/>
      <c r="BS10" s="214"/>
      <c r="BT10" s="214"/>
      <c r="BU10" s="214"/>
      <c r="BV10" s="214"/>
      <c r="BW10" s="214"/>
    </row>
    <row r="11" spans="1:75" x14ac:dyDescent="0.3">
      <c r="A11" s="98">
        <v>8</v>
      </c>
      <c r="B11" s="207" t="s">
        <v>329</v>
      </c>
      <c r="C11" s="98">
        <v>27</v>
      </c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  <c r="AX11" s="214"/>
      <c r="AY11" s="214"/>
      <c r="AZ11" s="214"/>
      <c r="BA11" s="214"/>
      <c r="BB11" s="214"/>
      <c r="BC11" s="214"/>
      <c r="BD11" s="214"/>
      <c r="BE11" s="214"/>
      <c r="BF11" s="214"/>
      <c r="BG11" s="214"/>
      <c r="BH11" s="214"/>
      <c r="BI11" s="214"/>
      <c r="BJ11" s="214"/>
      <c r="BK11" s="214"/>
      <c r="BL11" s="214"/>
      <c r="BM11" s="214"/>
      <c r="BN11" s="214"/>
      <c r="BO11" s="214"/>
      <c r="BP11" s="214"/>
      <c r="BQ11" s="214"/>
      <c r="BR11" s="214"/>
      <c r="BS11" s="214"/>
      <c r="BT11" s="214"/>
      <c r="BU11" s="214"/>
      <c r="BV11" s="214"/>
      <c r="BW11" s="214"/>
    </row>
    <row r="12" spans="1:75" x14ac:dyDescent="0.3">
      <c r="A12" s="98">
        <v>9</v>
      </c>
      <c r="B12" s="93"/>
      <c r="C12" s="98">
        <v>27</v>
      </c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4"/>
      <c r="AU12" s="214"/>
      <c r="AV12" s="214"/>
      <c r="AW12" s="214"/>
      <c r="AX12" s="214"/>
      <c r="AY12" s="214"/>
      <c r="AZ12" s="214"/>
      <c r="BA12" s="214"/>
      <c r="BB12" s="214"/>
      <c r="BC12" s="214"/>
      <c r="BD12" s="214"/>
      <c r="BE12" s="214"/>
      <c r="BF12" s="214"/>
      <c r="BG12" s="214"/>
      <c r="BH12" s="214"/>
      <c r="BI12" s="214"/>
      <c r="BJ12" s="214"/>
      <c r="BK12" s="214"/>
      <c r="BL12" s="214"/>
      <c r="BM12" s="214"/>
      <c r="BN12" s="214"/>
      <c r="BO12" s="214"/>
      <c r="BP12" s="214"/>
      <c r="BQ12" s="214"/>
      <c r="BR12" s="214"/>
      <c r="BS12" s="214"/>
      <c r="BT12" s="214"/>
      <c r="BU12" s="214"/>
      <c r="BV12" s="214"/>
      <c r="BW12" s="214"/>
    </row>
    <row r="13" spans="1:75" x14ac:dyDescent="0.3">
      <c r="A13" s="204">
        <v>10</v>
      </c>
      <c r="B13" s="205" t="s">
        <v>322</v>
      </c>
      <c r="C13" s="206">
        <v>27</v>
      </c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3"/>
      <c r="AS13" s="213"/>
      <c r="AT13" s="213"/>
      <c r="AU13" s="213"/>
      <c r="AV13" s="213"/>
      <c r="AW13" s="213"/>
      <c r="AX13" s="213"/>
      <c r="AY13" s="213"/>
      <c r="AZ13" s="213"/>
      <c r="BA13" s="213"/>
      <c r="BB13" s="213"/>
      <c r="BC13" s="213"/>
      <c r="BD13" s="213"/>
      <c r="BE13" s="213"/>
      <c r="BF13" s="213"/>
      <c r="BG13" s="213"/>
      <c r="BH13" s="213"/>
      <c r="BI13" s="213"/>
      <c r="BJ13" s="213"/>
      <c r="BK13" s="213"/>
      <c r="BL13" s="213"/>
      <c r="BM13" s="213"/>
      <c r="BN13" s="213"/>
      <c r="BO13" s="213"/>
      <c r="BP13" s="213"/>
      <c r="BQ13" s="213"/>
      <c r="BR13" s="213"/>
      <c r="BS13" s="213"/>
      <c r="BT13" s="213"/>
      <c r="BU13" s="213"/>
      <c r="BV13" s="213"/>
      <c r="BW13" s="213"/>
    </row>
    <row r="14" spans="1:75" x14ac:dyDescent="0.3">
      <c r="A14" s="98">
        <v>11</v>
      </c>
      <c r="B14" s="207" t="s">
        <v>323</v>
      </c>
      <c r="C14" s="98">
        <v>27</v>
      </c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4"/>
      <c r="AU14" s="214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14"/>
      <c r="BG14" s="214"/>
      <c r="BH14" s="214"/>
      <c r="BI14" s="214"/>
      <c r="BJ14" s="214"/>
      <c r="BK14" s="214"/>
      <c r="BL14" s="214"/>
      <c r="BM14" s="214"/>
      <c r="BN14" s="214"/>
      <c r="BO14" s="214"/>
      <c r="BP14" s="214"/>
      <c r="BQ14" s="214"/>
      <c r="BR14" s="214"/>
      <c r="BS14" s="214"/>
      <c r="BT14" s="214"/>
      <c r="BU14" s="214"/>
      <c r="BV14" s="214"/>
      <c r="BW14" s="214"/>
    </row>
    <row r="15" spans="1:75" x14ac:dyDescent="0.3">
      <c r="A15" s="98">
        <v>12</v>
      </c>
      <c r="B15" s="207" t="s">
        <v>324</v>
      </c>
      <c r="C15" s="98">
        <v>27</v>
      </c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4"/>
      <c r="AH15" s="214"/>
      <c r="AI15" s="214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4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214"/>
      <c r="BG15" s="214"/>
      <c r="BH15" s="214"/>
      <c r="BI15" s="214"/>
      <c r="BJ15" s="214"/>
      <c r="BK15" s="214"/>
      <c r="BL15" s="214"/>
      <c r="BM15" s="214"/>
      <c r="BN15" s="214"/>
      <c r="BO15" s="214"/>
      <c r="BP15" s="214"/>
      <c r="BQ15" s="214"/>
      <c r="BR15" s="214"/>
      <c r="BS15" s="214"/>
      <c r="BT15" s="214"/>
      <c r="BU15" s="214"/>
      <c r="BV15" s="214"/>
      <c r="BW15" s="214"/>
    </row>
    <row r="16" spans="1:75" x14ac:dyDescent="0.3">
      <c r="A16" s="98">
        <v>13</v>
      </c>
      <c r="B16" s="207" t="s">
        <v>325</v>
      </c>
      <c r="C16" s="98">
        <v>27</v>
      </c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4"/>
      <c r="AU16" s="214"/>
      <c r="AV16" s="214"/>
      <c r="AW16" s="214"/>
      <c r="AX16" s="214"/>
      <c r="AY16" s="214"/>
      <c r="AZ16" s="214"/>
      <c r="BA16" s="214"/>
      <c r="BB16" s="214"/>
      <c r="BC16" s="214"/>
      <c r="BD16" s="214"/>
      <c r="BE16" s="214"/>
      <c r="BF16" s="214"/>
      <c r="BG16" s="214"/>
      <c r="BH16" s="214"/>
      <c r="BI16" s="214"/>
      <c r="BJ16" s="214"/>
      <c r="BK16" s="214"/>
      <c r="BL16" s="214"/>
      <c r="BM16" s="214"/>
      <c r="BN16" s="214"/>
      <c r="BO16" s="214"/>
      <c r="BP16" s="214"/>
      <c r="BQ16" s="214"/>
      <c r="BR16" s="214"/>
      <c r="BS16" s="214"/>
      <c r="BT16" s="214"/>
      <c r="BU16" s="214"/>
      <c r="BV16" s="214"/>
      <c r="BW16" s="214"/>
    </row>
    <row r="17" spans="1:75" x14ac:dyDescent="0.3">
      <c r="A17" s="98">
        <v>14</v>
      </c>
      <c r="B17" s="207" t="s">
        <v>326</v>
      </c>
      <c r="C17" s="98">
        <v>27</v>
      </c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4"/>
      <c r="BA17" s="214"/>
      <c r="BB17" s="214"/>
      <c r="BC17" s="214"/>
      <c r="BD17" s="214"/>
      <c r="BE17" s="214"/>
      <c r="BF17" s="214"/>
      <c r="BG17" s="214"/>
      <c r="BH17" s="214"/>
      <c r="BI17" s="214"/>
      <c r="BJ17" s="214"/>
      <c r="BK17" s="214"/>
      <c r="BL17" s="214"/>
      <c r="BM17" s="214"/>
      <c r="BN17" s="214"/>
      <c r="BO17" s="214"/>
      <c r="BP17" s="214"/>
      <c r="BQ17" s="214"/>
      <c r="BR17" s="214"/>
      <c r="BS17" s="214"/>
      <c r="BT17" s="214"/>
      <c r="BU17" s="214"/>
      <c r="BV17" s="214"/>
      <c r="BW17" s="214"/>
    </row>
    <row r="18" spans="1:75" x14ac:dyDescent="0.3">
      <c r="A18" s="98">
        <v>15</v>
      </c>
      <c r="B18" s="207" t="s">
        <v>327</v>
      </c>
      <c r="C18" s="98">
        <v>27</v>
      </c>
      <c r="D18" s="214"/>
      <c r="E18" s="214"/>
      <c r="F18" s="214"/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  <c r="AM18" s="214"/>
      <c r="AN18" s="214"/>
      <c r="AO18" s="214"/>
      <c r="AP18" s="214"/>
      <c r="AQ18" s="214"/>
      <c r="AR18" s="214"/>
      <c r="AS18" s="214"/>
      <c r="AT18" s="214"/>
      <c r="AU18" s="214"/>
      <c r="AV18" s="214"/>
      <c r="AW18" s="214"/>
      <c r="AX18" s="214"/>
      <c r="AY18" s="214"/>
      <c r="AZ18" s="214"/>
      <c r="BA18" s="214"/>
      <c r="BB18" s="214"/>
      <c r="BC18" s="214"/>
      <c r="BD18" s="214"/>
      <c r="BE18" s="214"/>
      <c r="BF18" s="214"/>
      <c r="BG18" s="214"/>
      <c r="BH18" s="214"/>
      <c r="BI18" s="214"/>
      <c r="BJ18" s="214"/>
      <c r="BK18" s="214"/>
      <c r="BL18" s="214"/>
      <c r="BM18" s="214"/>
      <c r="BN18" s="214"/>
      <c r="BO18" s="214"/>
      <c r="BP18" s="214"/>
      <c r="BQ18" s="214"/>
      <c r="BR18" s="214"/>
      <c r="BS18" s="214"/>
      <c r="BT18" s="214"/>
      <c r="BU18" s="214"/>
      <c r="BV18" s="214"/>
      <c r="BW18" s="214"/>
    </row>
    <row r="19" spans="1:75" x14ac:dyDescent="0.3">
      <c r="A19" s="98">
        <v>16</v>
      </c>
      <c r="B19" s="207" t="s">
        <v>328</v>
      </c>
      <c r="C19" s="98">
        <v>27</v>
      </c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214"/>
      <c r="AL19" s="214"/>
      <c r="AM19" s="214"/>
      <c r="AN19" s="214"/>
      <c r="AO19" s="214"/>
      <c r="AP19" s="214"/>
      <c r="AQ19" s="214"/>
      <c r="AR19" s="214"/>
      <c r="AS19" s="214"/>
      <c r="AT19" s="214"/>
      <c r="AU19" s="214"/>
      <c r="AV19" s="214"/>
      <c r="AW19" s="214"/>
      <c r="AX19" s="214"/>
      <c r="AY19" s="214"/>
      <c r="AZ19" s="214"/>
      <c r="BA19" s="214"/>
      <c r="BB19" s="214"/>
      <c r="BC19" s="214"/>
      <c r="BD19" s="214"/>
      <c r="BE19" s="214"/>
      <c r="BF19" s="214"/>
      <c r="BG19" s="214"/>
      <c r="BH19" s="214"/>
      <c r="BI19" s="214"/>
      <c r="BJ19" s="214"/>
      <c r="BK19" s="214"/>
      <c r="BL19" s="214"/>
      <c r="BM19" s="214"/>
      <c r="BN19" s="214"/>
      <c r="BO19" s="214"/>
      <c r="BP19" s="214"/>
      <c r="BQ19" s="214"/>
      <c r="BR19" s="214"/>
      <c r="BS19" s="214"/>
      <c r="BT19" s="214"/>
      <c r="BU19" s="214"/>
      <c r="BV19" s="214"/>
      <c r="BW19" s="214"/>
    </row>
    <row r="20" spans="1:75" x14ac:dyDescent="0.3">
      <c r="A20" s="98">
        <v>17</v>
      </c>
      <c r="B20" s="207" t="s">
        <v>329</v>
      </c>
      <c r="C20" s="98">
        <v>27</v>
      </c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4"/>
      <c r="AN20" s="214"/>
      <c r="AO20" s="214"/>
      <c r="AP20" s="214"/>
      <c r="AQ20" s="214"/>
      <c r="AR20" s="214"/>
      <c r="AS20" s="214"/>
      <c r="AT20" s="214"/>
      <c r="AU20" s="214"/>
      <c r="AV20" s="214"/>
      <c r="AW20" s="214"/>
      <c r="AX20" s="214"/>
      <c r="AY20" s="214"/>
      <c r="AZ20" s="214"/>
      <c r="BA20" s="214"/>
      <c r="BB20" s="214"/>
      <c r="BC20" s="214"/>
      <c r="BD20" s="214"/>
      <c r="BE20" s="214"/>
      <c r="BF20" s="214"/>
      <c r="BG20" s="214"/>
      <c r="BH20" s="214"/>
      <c r="BI20" s="214"/>
      <c r="BJ20" s="214"/>
      <c r="BK20" s="214"/>
      <c r="BL20" s="214"/>
      <c r="BM20" s="214"/>
      <c r="BN20" s="214"/>
      <c r="BO20" s="214"/>
      <c r="BP20" s="214"/>
      <c r="BQ20" s="214"/>
      <c r="BR20" s="214"/>
      <c r="BS20" s="214"/>
      <c r="BT20" s="214"/>
      <c r="BU20" s="214"/>
      <c r="BV20" s="214"/>
      <c r="BW20" s="214"/>
    </row>
    <row r="21" spans="1:75" x14ac:dyDescent="0.3">
      <c r="A21" s="98">
        <v>18</v>
      </c>
      <c r="B21" s="93"/>
      <c r="C21" s="98">
        <v>27</v>
      </c>
      <c r="D21" s="214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4"/>
      <c r="AU21" s="214"/>
      <c r="AV21" s="214"/>
      <c r="AW21" s="214"/>
      <c r="AX21" s="214"/>
      <c r="AY21" s="214"/>
      <c r="AZ21" s="214"/>
      <c r="BA21" s="214"/>
      <c r="BB21" s="214"/>
      <c r="BC21" s="214"/>
      <c r="BD21" s="214"/>
      <c r="BE21" s="214"/>
      <c r="BF21" s="214"/>
      <c r="BG21" s="214"/>
      <c r="BH21" s="214"/>
      <c r="BI21" s="214"/>
      <c r="BJ21" s="214"/>
      <c r="BK21" s="214"/>
      <c r="BL21" s="214"/>
      <c r="BM21" s="214"/>
      <c r="BN21" s="214"/>
      <c r="BO21" s="214"/>
      <c r="BP21" s="214"/>
      <c r="BQ21" s="214"/>
      <c r="BR21" s="214"/>
      <c r="BS21" s="214"/>
      <c r="BT21" s="214"/>
      <c r="BU21" s="214"/>
      <c r="BV21" s="214"/>
      <c r="BW21" s="214"/>
    </row>
    <row r="22" spans="1:75" x14ac:dyDescent="0.3">
      <c r="A22" s="208">
        <v>19</v>
      </c>
      <c r="B22" s="209" t="s">
        <v>330</v>
      </c>
      <c r="C22" s="98">
        <v>27</v>
      </c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  <c r="AK22" s="214"/>
      <c r="AL22" s="214"/>
      <c r="AM22" s="214"/>
      <c r="AN22" s="214"/>
      <c r="AO22" s="214"/>
      <c r="AP22" s="214"/>
      <c r="AQ22" s="214"/>
      <c r="AR22" s="214"/>
      <c r="AS22" s="214"/>
      <c r="AT22" s="214"/>
      <c r="AU22" s="214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14"/>
      <c r="BG22" s="214"/>
      <c r="BH22" s="214"/>
      <c r="BI22" s="214"/>
      <c r="BJ22" s="214"/>
      <c r="BK22" s="214"/>
      <c r="BL22" s="214"/>
      <c r="BM22" s="214"/>
      <c r="BN22" s="214"/>
      <c r="BO22" s="214"/>
      <c r="BP22" s="214"/>
      <c r="BQ22" s="214"/>
      <c r="BR22" s="214"/>
      <c r="BS22" s="214"/>
      <c r="BT22" s="214"/>
      <c r="BU22" s="214"/>
      <c r="BV22" s="214"/>
      <c r="BW22" s="214"/>
    </row>
    <row r="23" spans="1:75" x14ac:dyDescent="0.3">
      <c r="A23" s="98">
        <v>20</v>
      </c>
      <c r="B23" s="207" t="str">
        <f t="shared" ref="B23:B29" si="0">B14</f>
        <v>ACB</v>
      </c>
      <c r="C23" s="98">
        <v>27</v>
      </c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214"/>
      <c r="AL23" s="214"/>
      <c r="AM23" s="214"/>
      <c r="AN23" s="214"/>
      <c r="AO23" s="214"/>
      <c r="AP23" s="214"/>
      <c r="AQ23" s="214"/>
      <c r="AR23" s="214"/>
      <c r="AS23" s="214"/>
      <c r="AT23" s="214"/>
      <c r="AU23" s="214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14"/>
      <c r="BG23" s="214"/>
      <c r="BH23" s="214"/>
      <c r="BI23" s="214"/>
      <c r="BJ23" s="214"/>
      <c r="BK23" s="214"/>
      <c r="BL23" s="214"/>
      <c r="BM23" s="214"/>
      <c r="BN23" s="214"/>
      <c r="BO23" s="214"/>
      <c r="BP23" s="214"/>
      <c r="BQ23" s="214"/>
      <c r="BR23" s="214"/>
      <c r="BS23" s="214"/>
      <c r="BT23" s="214"/>
      <c r="BU23" s="214"/>
      <c r="BV23" s="214"/>
      <c r="BW23" s="214"/>
    </row>
    <row r="24" spans="1:75" x14ac:dyDescent="0.3">
      <c r="A24" s="98">
        <v>21</v>
      </c>
      <c r="B24" s="207" t="str">
        <f t="shared" si="0"/>
        <v>VietinBank</v>
      </c>
      <c r="C24" s="98">
        <v>27</v>
      </c>
      <c r="D24" s="214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4"/>
      <c r="AN24" s="214"/>
      <c r="AO24" s="214"/>
      <c r="AP24" s="214"/>
      <c r="AQ24" s="214"/>
      <c r="AR24" s="214"/>
      <c r="AS24" s="214"/>
      <c r="AT24" s="214"/>
      <c r="AU24" s="214"/>
      <c r="AV24" s="214"/>
      <c r="AW24" s="214"/>
      <c r="AX24" s="214"/>
      <c r="AY24" s="214"/>
      <c r="AZ24" s="214"/>
      <c r="BA24" s="214"/>
      <c r="BB24" s="214"/>
      <c r="BC24" s="214"/>
      <c r="BD24" s="214"/>
      <c r="BE24" s="214"/>
      <c r="BF24" s="214"/>
      <c r="BG24" s="214"/>
      <c r="BH24" s="214"/>
      <c r="BI24" s="214"/>
      <c r="BJ24" s="214"/>
      <c r="BK24" s="214"/>
      <c r="BL24" s="214"/>
      <c r="BM24" s="214"/>
      <c r="BN24" s="214"/>
      <c r="BO24" s="214"/>
      <c r="BP24" s="214"/>
      <c r="BQ24" s="214"/>
      <c r="BR24" s="214"/>
      <c r="BS24" s="214"/>
      <c r="BT24" s="214"/>
      <c r="BU24" s="214"/>
      <c r="BV24" s="214"/>
      <c r="BW24" s="214"/>
    </row>
    <row r="25" spans="1:75" x14ac:dyDescent="0.3">
      <c r="A25" s="98">
        <v>22</v>
      </c>
      <c r="B25" s="207" t="str">
        <f t="shared" si="0"/>
        <v>Vietcombank</v>
      </c>
      <c r="C25" s="98">
        <v>27</v>
      </c>
      <c r="D25" s="214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214"/>
      <c r="AL25" s="214"/>
      <c r="AM25" s="214"/>
      <c r="AN25" s="214"/>
      <c r="AO25" s="214"/>
      <c r="AP25" s="214"/>
      <c r="AQ25" s="214"/>
      <c r="AR25" s="214"/>
      <c r="AS25" s="214"/>
      <c r="AT25" s="214"/>
      <c r="AU25" s="214"/>
      <c r="AV25" s="214"/>
      <c r="AW25" s="214"/>
      <c r="AX25" s="214"/>
      <c r="AY25" s="214"/>
      <c r="AZ25" s="214"/>
      <c r="BA25" s="214"/>
      <c r="BB25" s="214"/>
      <c r="BC25" s="214"/>
      <c r="BD25" s="214"/>
      <c r="BE25" s="214"/>
      <c r="BF25" s="214"/>
      <c r="BG25" s="214"/>
      <c r="BH25" s="214"/>
      <c r="BI25" s="214"/>
      <c r="BJ25" s="214"/>
      <c r="BK25" s="214"/>
      <c r="BL25" s="214"/>
      <c r="BM25" s="214"/>
      <c r="BN25" s="214"/>
      <c r="BO25" s="214"/>
      <c r="BP25" s="214"/>
      <c r="BQ25" s="214"/>
      <c r="BR25" s="214"/>
      <c r="BS25" s="214"/>
      <c r="BT25" s="214"/>
      <c r="BU25" s="214"/>
      <c r="BV25" s="214"/>
      <c r="BW25" s="214"/>
    </row>
    <row r="26" spans="1:75" x14ac:dyDescent="0.3">
      <c r="A26" s="98">
        <v>23</v>
      </c>
      <c r="B26" s="207" t="str">
        <f t="shared" si="0"/>
        <v>BIDV</v>
      </c>
      <c r="C26" s="98">
        <v>27</v>
      </c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4"/>
      <c r="AT26" s="214"/>
      <c r="AU26" s="214"/>
      <c r="AV26" s="214"/>
      <c r="AW26" s="214"/>
      <c r="AX26" s="214"/>
      <c r="AY26" s="214"/>
      <c r="AZ26" s="214"/>
      <c r="BA26" s="214"/>
      <c r="BB26" s="214"/>
      <c r="BC26" s="214"/>
      <c r="BD26" s="214"/>
      <c r="BE26" s="214"/>
      <c r="BF26" s="214"/>
      <c r="BG26" s="214"/>
      <c r="BH26" s="214"/>
      <c r="BI26" s="214"/>
      <c r="BJ26" s="214"/>
      <c r="BK26" s="214"/>
      <c r="BL26" s="214"/>
      <c r="BM26" s="214"/>
      <c r="BN26" s="214"/>
      <c r="BO26" s="214"/>
      <c r="BP26" s="214"/>
      <c r="BQ26" s="214"/>
      <c r="BR26" s="214"/>
      <c r="BS26" s="214"/>
      <c r="BT26" s="214"/>
      <c r="BU26" s="214"/>
      <c r="BV26" s="214"/>
      <c r="BW26" s="214"/>
    </row>
    <row r="27" spans="1:75" x14ac:dyDescent="0.3">
      <c r="A27" s="98">
        <v>24</v>
      </c>
      <c r="B27" s="207" t="str">
        <f t="shared" si="0"/>
        <v>Standard Chartered</v>
      </c>
      <c r="C27" s="98">
        <v>27</v>
      </c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4"/>
      <c r="AX27" s="214"/>
      <c r="AY27" s="214"/>
      <c r="AZ27" s="214"/>
      <c r="BA27" s="214"/>
      <c r="BB27" s="214"/>
      <c r="BC27" s="214"/>
      <c r="BD27" s="214"/>
      <c r="BE27" s="214"/>
      <c r="BF27" s="214"/>
      <c r="BG27" s="214"/>
      <c r="BH27" s="214"/>
      <c r="BI27" s="214"/>
      <c r="BJ27" s="214"/>
      <c r="BK27" s="214"/>
      <c r="BL27" s="214"/>
      <c r="BM27" s="214"/>
      <c r="BN27" s="214"/>
      <c r="BO27" s="214"/>
      <c r="BP27" s="214"/>
      <c r="BQ27" s="214"/>
      <c r="BR27" s="214"/>
      <c r="BS27" s="214"/>
      <c r="BT27" s="214"/>
      <c r="BU27" s="214"/>
      <c r="BV27" s="214"/>
      <c r="BW27" s="214"/>
    </row>
    <row r="28" spans="1:75" x14ac:dyDescent="0.3">
      <c r="A28" s="98">
        <v>25</v>
      </c>
      <c r="B28" s="207" t="str">
        <f t="shared" si="0"/>
        <v>VILC</v>
      </c>
      <c r="C28" s="98">
        <v>27</v>
      </c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  <c r="AA28" s="214"/>
      <c r="AB28" s="214"/>
      <c r="AC28" s="214"/>
      <c r="AD28" s="214"/>
      <c r="AE28" s="214"/>
      <c r="AF28" s="214"/>
      <c r="AG28" s="214"/>
      <c r="AH28" s="214"/>
      <c r="AI28" s="214"/>
      <c r="AJ28" s="214"/>
      <c r="AK28" s="214"/>
      <c r="AL28" s="214"/>
      <c r="AM28" s="214"/>
      <c r="AN28" s="214"/>
      <c r="AO28" s="214"/>
      <c r="AP28" s="214"/>
      <c r="AQ28" s="214"/>
      <c r="AR28" s="214"/>
      <c r="AS28" s="214"/>
      <c r="AT28" s="214"/>
      <c r="AU28" s="214"/>
      <c r="AV28" s="214"/>
      <c r="AW28" s="214"/>
      <c r="AX28" s="214"/>
      <c r="AY28" s="214"/>
      <c r="AZ28" s="214"/>
      <c r="BA28" s="214"/>
      <c r="BB28" s="214"/>
      <c r="BC28" s="214"/>
      <c r="BD28" s="214"/>
      <c r="BE28" s="214"/>
      <c r="BF28" s="214"/>
      <c r="BG28" s="214"/>
      <c r="BH28" s="214"/>
      <c r="BI28" s="214"/>
      <c r="BJ28" s="214"/>
      <c r="BK28" s="214"/>
      <c r="BL28" s="214"/>
      <c r="BM28" s="214"/>
      <c r="BN28" s="214"/>
      <c r="BO28" s="214"/>
      <c r="BP28" s="214"/>
      <c r="BQ28" s="214"/>
      <c r="BR28" s="214"/>
      <c r="BS28" s="214"/>
      <c r="BT28" s="214"/>
      <c r="BU28" s="214"/>
      <c r="BV28" s="214"/>
      <c r="BW28" s="214"/>
    </row>
    <row r="29" spans="1:75" x14ac:dyDescent="0.3">
      <c r="A29" s="98">
        <v>26</v>
      </c>
      <c r="B29" s="207" t="str">
        <f t="shared" si="0"/>
        <v>IVB</v>
      </c>
      <c r="C29" s="98">
        <v>27</v>
      </c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  <c r="AA29" s="214"/>
      <c r="AB29" s="214"/>
      <c r="AC29" s="214"/>
      <c r="AD29" s="214"/>
      <c r="AE29" s="214"/>
      <c r="AF29" s="214"/>
      <c r="AG29" s="214"/>
      <c r="AH29" s="214"/>
      <c r="AI29" s="214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4"/>
      <c r="AU29" s="214"/>
      <c r="AV29" s="214"/>
      <c r="AW29" s="214"/>
      <c r="AX29" s="214"/>
      <c r="AY29" s="214"/>
      <c r="AZ29" s="214"/>
      <c r="BA29" s="214"/>
      <c r="BB29" s="214"/>
      <c r="BC29" s="214"/>
      <c r="BD29" s="214"/>
      <c r="BE29" s="214"/>
      <c r="BF29" s="214"/>
      <c r="BG29" s="214"/>
      <c r="BH29" s="214"/>
      <c r="BI29" s="214"/>
      <c r="BJ29" s="214"/>
      <c r="BK29" s="214"/>
      <c r="BL29" s="214"/>
      <c r="BM29" s="214"/>
      <c r="BN29" s="214"/>
      <c r="BO29" s="214"/>
      <c r="BP29" s="214"/>
      <c r="BQ29" s="214"/>
      <c r="BR29" s="214"/>
      <c r="BS29" s="214"/>
      <c r="BT29" s="214"/>
      <c r="BU29" s="214"/>
      <c r="BV29" s="214"/>
      <c r="BW29" s="214"/>
    </row>
    <row r="30" spans="1:75" x14ac:dyDescent="0.3">
      <c r="A30" s="98">
        <v>27</v>
      </c>
      <c r="B30" s="207"/>
      <c r="C30" s="98">
        <v>27</v>
      </c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14"/>
      <c r="AP30" s="214"/>
      <c r="AQ30" s="214"/>
      <c r="AR30" s="214"/>
      <c r="AS30" s="214"/>
      <c r="AT30" s="214"/>
      <c r="AU30" s="214"/>
      <c r="AV30" s="214"/>
      <c r="AW30" s="214"/>
      <c r="AX30" s="214"/>
      <c r="AY30" s="214"/>
      <c r="AZ30" s="214"/>
      <c r="BA30" s="214"/>
      <c r="BB30" s="214"/>
      <c r="BC30" s="214"/>
      <c r="BD30" s="214"/>
      <c r="BE30" s="214"/>
      <c r="BF30" s="214"/>
      <c r="BG30" s="214"/>
      <c r="BH30" s="214"/>
      <c r="BI30" s="214"/>
      <c r="BJ30" s="214"/>
      <c r="BK30" s="214"/>
      <c r="BL30" s="214"/>
      <c r="BM30" s="214"/>
      <c r="BN30" s="214"/>
      <c r="BO30" s="214"/>
      <c r="BP30" s="214"/>
      <c r="BQ30" s="214"/>
      <c r="BR30" s="214"/>
      <c r="BS30" s="214"/>
      <c r="BT30" s="214"/>
      <c r="BU30" s="214"/>
      <c r="BV30" s="214"/>
      <c r="BW30" s="214"/>
    </row>
    <row r="31" spans="1:75" x14ac:dyDescent="0.3">
      <c r="A31" s="204">
        <v>28</v>
      </c>
      <c r="B31" s="205" t="s">
        <v>331</v>
      </c>
      <c r="C31" s="204">
        <v>27</v>
      </c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3"/>
      <c r="AI31" s="213"/>
      <c r="AJ31" s="213"/>
      <c r="AK31" s="213"/>
      <c r="AL31" s="213"/>
      <c r="AM31" s="213"/>
      <c r="AN31" s="213"/>
      <c r="AO31" s="213"/>
      <c r="AP31" s="213"/>
      <c r="AQ31" s="213"/>
      <c r="AR31" s="213"/>
      <c r="AS31" s="213"/>
      <c r="AT31" s="213"/>
      <c r="AU31" s="213"/>
      <c r="AV31" s="213"/>
      <c r="AW31" s="213"/>
      <c r="AX31" s="213"/>
      <c r="AY31" s="213"/>
      <c r="AZ31" s="213"/>
      <c r="BA31" s="213"/>
      <c r="BB31" s="213"/>
      <c r="BC31" s="213"/>
      <c r="BD31" s="213"/>
      <c r="BE31" s="213"/>
      <c r="BF31" s="213"/>
      <c r="BG31" s="213"/>
      <c r="BH31" s="213"/>
      <c r="BI31" s="213"/>
      <c r="BJ31" s="213"/>
      <c r="BK31" s="213"/>
      <c r="BL31" s="213"/>
      <c r="BM31" s="213"/>
      <c r="BN31" s="213"/>
      <c r="BO31" s="213"/>
      <c r="BP31" s="213"/>
      <c r="BQ31" s="213"/>
      <c r="BR31" s="213"/>
      <c r="BS31" s="213"/>
      <c r="BT31" s="213"/>
      <c r="BU31" s="213"/>
      <c r="BV31" s="213"/>
      <c r="BW31" s="213"/>
    </row>
    <row r="32" spans="1:75" x14ac:dyDescent="0.3">
      <c r="A32" s="98">
        <v>29</v>
      </c>
      <c r="B32" s="207" t="str">
        <f>B14</f>
        <v>ACB</v>
      </c>
      <c r="C32" s="98">
        <v>27</v>
      </c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  <c r="AA32" s="214"/>
      <c r="AB32" s="214"/>
      <c r="AC32" s="214"/>
      <c r="AD32" s="214"/>
      <c r="AE32" s="214"/>
      <c r="AF32" s="214"/>
      <c r="AG32" s="214"/>
      <c r="AH32" s="214"/>
      <c r="AI32" s="214"/>
      <c r="AJ32" s="214"/>
      <c r="AK32" s="214"/>
      <c r="AL32" s="214"/>
      <c r="AM32" s="214"/>
      <c r="AN32" s="214"/>
      <c r="AO32" s="214"/>
      <c r="AP32" s="214"/>
      <c r="AQ32" s="214"/>
      <c r="AR32" s="214"/>
      <c r="AS32" s="214"/>
      <c r="AT32" s="214"/>
      <c r="AU32" s="214"/>
      <c r="AV32" s="214"/>
      <c r="AW32" s="214"/>
      <c r="AX32" s="214"/>
      <c r="AY32" s="214"/>
      <c r="AZ32" s="214"/>
      <c r="BA32" s="214"/>
      <c r="BB32" s="214"/>
      <c r="BC32" s="214"/>
      <c r="BD32" s="214"/>
      <c r="BE32" s="214"/>
      <c r="BF32" s="214"/>
      <c r="BG32" s="214"/>
      <c r="BH32" s="214"/>
      <c r="BI32" s="214"/>
      <c r="BJ32" s="214"/>
      <c r="BK32" s="214"/>
      <c r="BL32" s="214"/>
      <c r="BM32" s="214"/>
      <c r="BN32" s="214"/>
      <c r="BO32" s="214"/>
      <c r="BP32" s="214"/>
      <c r="BQ32" s="214"/>
      <c r="BR32" s="214"/>
      <c r="BS32" s="214"/>
      <c r="BT32" s="214"/>
      <c r="BU32" s="214"/>
      <c r="BV32" s="214"/>
      <c r="BW32" s="214"/>
    </row>
    <row r="33" spans="1:75" x14ac:dyDescent="0.3">
      <c r="A33" s="98">
        <v>30</v>
      </c>
      <c r="B33" s="207" t="str">
        <f>B15</f>
        <v>VietinBank</v>
      </c>
      <c r="C33" s="98">
        <v>27</v>
      </c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  <c r="AA33" s="214"/>
      <c r="AB33" s="214"/>
      <c r="AC33" s="214"/>
      <c r="AD33" s="214"/>
      <c r="AE33" s="214"/>
      <c r="AF33" s="214"/>
      <c r="AG33" s="214"/>
      <c r="AH33" s="214"/>
      <c r="AI33" s="214"/>
      <c r="AJ33" s="214"/>
      <c r="AK33" s="214"/>
      <c r="AL33" s="214"/>
      <c r="AM33" s="214"/>
      <c r="AN33" s="214"/>
      <c r="AO33" s="214"/>
      <c r="AP33" s="214"/>
      <c r="AQ33" s="214"/>
      <c r="AR33" s="214"/>
      <c r="AS33" s="214"/>
      <c r="AT33" s="214"/>
      <c r="AU33" s="214"/>
      <c r="AV33" s="214"/>
      <c r="AW33" s="214"/>
      <c r="AX33" s="214"/>
      <c r="AY33" s="214"/>
      <c r="AZ33" s="214"/>
      <c r="BA33" s="214"/>
      <c r="BB33" s="214"/>
      <c r="BC33" s="214"/>
      <c r="BD33" s="214"/>
      <c r="BE33" s="214"/>
      <c r="BF33" s="214"/>
      <c r="BG33" s="214"/>
      <c r="BH33" s="214"/>
      <c r="BI33" s="214"/>
      <c r="BJ33" s="214"/>
      <c r="BK33" s="214"/>
      <c r="BL33" s="214"/>
      <c r="BM33" s="214"/>
      <c r="BN33" s="214"/>
      <c r="BO33" s="214"/>
      <c r="BP33" s="214"/>
      <c r="BQ33" s="214"/>
      <c r="BR33" s="214"/>
      <c r="BS33" s="214"/>
      <c r="BT33" s="214"/>
      <c r="BU33" s="214"/>
      <c r="BV33" s="214"/>
      <c r="BW33" s="214"/>
    </row>
    <row r="34" spans="1:75" x14ac:dyDescent="0.3">
      <c r="A34" s="98">
        <v>31</v>
      </c>
      <c r="B34" s="207" t="str">
        <f>B16</f>
        <v>Vietcombank</v>
      </c>
      <c r="C34" s="98">
        <v>27</v>
      </c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  <c r="AD34" s="214"/>
      <c r="AE34" s="214"/>
      <c r="AF34" s="214"/>
      <c r="AG34" s="214"/>
      <c r="AH34" s="214"/>
      <c r="AI34" s="214"/>
      <c r="AJ34" s="214"/>
      <c r="AK34" s="214"/>
      <c r="AL34" s="214"/>
      <c r="AM34" s="214"/>
      <c r="AN34" s="214"/>
      <c r="AO34" s="214"/>
      <c r="AP34" s="214"/>
      <c r="AQ34" s="214"/>
      <c r="AR34" s="214"/>
      <c r="AS34" s="214"/>
      <c r="AT34" s="214"/>
      <c r="AU34" s="214"/>
      <c r="AV34" s="214"/>
      <c r="AW34" s="214"/>
      <c r="AX34" s="214"/>
      <c r="AY34" s="214"/>
      <c r="AZ34" s="214"/>
      <c r="BA34" s="214"/>
      <c r="BB34" s="214"/>
      <c r="BC34" s="214"/>
      <c r="BD34" s="214"/>
      <c r="BE34" s="214"/>
      <c r="BF34" s="214"/>
      <c r="BG34" s="214"/>
      <c r="BH34" s="214"/>
      <c r="BI34" s="214"/>
      <c r="BJ34" s="214"/>
      <c r="BK34" s="214"/>
      <c r="BL34" s="214"/>
      <c r="BM34" s="214"/>
      <c r="BN34" s="214"/>
      <c r="BO34" s="214"/>
      <c r="BP34" s="214"/>
      <c r="BQ34" s="214"/>
      <c r="BR34" s="214"/>
      <c r="BS34" s="214"/>
      <c r="BT34" s="214"/>
      <c r="BU34" s="214"/>
      <c r="BV34" s="214"/>
      <c r="BW34" s="214"/>
    </row>
    <row r="35" spans="1:75" x14ac:dyDescent="0.3">
      <c r="A35" s="98">
        <v>32</v>
      </c>
      <c r="B35" s="207" t="s">
        <v>326</v>
      </c>
      <c r="C35" s="98">
        <v>27</v>
      </c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4"/>
      <c r="AE35" s="214"/>
      <c r="AF35" s="214"/>
      <c r="AG35" s="214"/>
      <c r="AH35" s="214"/>
      <c r="AI35" s="214"/>
      <c r="AJ35" s="214"/>
      <c r="AK35" s="214"/>
      <c r="AL35" s="214"/>
      <c r="AM35" s="214"/>
      <c r="AN35" s="214"/>
      <c r="AO35" s="214"/>
      <c r="AP35" s="214"/>
      <c r="AQ35" s="214"/>
      <c r="AR35" s="214"/>
      <c r="AS35" s="214"/>
      <c r="AT35" s="214"/>
      <c r="AU35" s="214"/>
      <c r="AV35" s="214"/>
      <c r="AW35" s="214"/>
      <c r="AX35" s="214"/>
      <c r="AY35" s="214"/>
      <c r="AZ35" s="214"/>
      <c r="BA35" s="214"/>
      <c r="BB35" s="214"/>
      <c r="BC35" s="214"/>
      <c r="BD35" s="214"/>
      <c r="BE35" s="214"/>
      <c r="BF35" s="214"/>
      <c r="BG35" s="214"/>
      <c r="BH35" s="214"/>
      <c r="BI35" s="214"/>
      <c r="BJ35" s="214"/>
      <c r="BK35" s="214"/>
      <c r="BL35" s="214"/>
      <c r="BM35" s="214"/>
      <c r="BN35" s="214"/>
      <c r="BO35" s="214"/>
      <c r="BP35" s="214"/>
      <c r="BQ35" s="214"/>
      <c r="BR35" s="214"/>
      <c r="BS35" s="214"/>
      <c r="BT35" s="214"/>
      <c r="BU35" s="214"/>
      <c r="BV35" s="214"/>
      <c r="BW35" s="214"/>
    </row>
    <row r="36" spans="1:75" x14ac:dyDescent="0.3">
      <c r="A36" s="98">
        <v>33</v>
      </c>
      <c r="B36" s="207" t="str">
        <f>B18</f>
        <v>Standard Chartered</v>
      </c>
      <c r="C36" s="98">
        <v>27</v>
      </c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14"/>
      <c r="AJ36" s="214"/>
      <c r="AK36" s="214"/>
      <c r="AL36" s="214"/>
      <c r="AM36" s="214"/>
      <c r="AN36" s="214"/>
      <c r="AO36" s="214"/>
      <c r="AP36" s="214"/>
      <c r="AQ36" s="214"/>
      <c r="AR36" s="214"/>
      <c r="AS36" s="214"/>
      <c r="AT36" s="214"/>
      <c r="AU36" s="214"/>
      <c r="AV36" s="214"/>
      <c r="AW36" s="214"/>
      <c r="AX36" s="214"/>
      <c r="AY36" s="214"/>
      <c r="AZ36" s="214"/>
      <c r="BA36" s="214"/>
      <c r="BB36" s="214"/>
      <c r="BC36" s="214"/>
      <c r="BD36" s="214"/>
      <c r="BE36" s="214"/>
      <c r="BF36" s="214"/>
      <c r="BG36" s="214"/>
      <c r="BH36" s="214"/>
      <c r="BI36" s="214"/>
      <c r="BJ36" s="214"/>
      <c r="BK36" s="214"/>
      <c r="BL36" s="214"/>
      <c r="BM36" s="214"/>
      <c r="BN36" s="214"/>
      <c r="BO36" s="214"/>
      <c r="BP36" s="214"/>
      <c r="BQ36" s="214"/>
      <c r="BR36" s="214"/>
      <c r="BS36" s="214"/>
      <c r="BT36" s="214"/>
      <c r="BU36" s="214"/>
      <c r="BV36" s="214"/>
      <c r="BW36" s="214"/>
    </row>
    <row r="37" spans="1:75" x14ac:dyDescent="0.3">
      <c r="A37" s="98">
        <v>34</v>
      </c>
      <c r="B37" s="207" t="s">
        <v>328</v>
      </c>
      <c r="C37" s="98">
        <v>27</v>
      </c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214"/>
      <c r="AU37" s="214"/>
      <c r="AV37" s="214"/>
      <c r="AW37" s="214"/>
      <c r="AX37" s="214"/>
      <c r="AY37" s="214"/>
      <c r="AZ37" s="214"/>
      <c r="BA37" s="214"/>
      <c r="BB37" s="214"/>
      <c r="BC37" s="214"/>
      <c r="BD37" s="214"/>
      <c r="BE37" s="214"/>
      <c r="BF37" s="214"/>
      <c r="BG37" s="214"/>
      <c r="BH37" s="214"/>
      <c r="BI37" s="214"/>
      <c r="BJ37" s="214"/>
      <c r="BK37" s="214"/>
      <c r="BL37" s="214"/>
      <c r="BM37" s="214"/>
      <c r="BN37" s="214"/>
      <c r="BO37" s="214"/>
      <c r="BP37" s="214"/>
      <c r="BQ37" s="214"/>
      <c r="BR37" s="214"/>
      <c r="BS37" s="214"/>
      <c r="BT37" s="214"/>
      <c r="BU37" s="214"/>
      <c r="BV37" s="214"/>
      <c r="BW37" s="214"/>
    </row>
    <row r="38" spans="1:75" x14ac:dyDescent="0.3">
      <c r="A38" s="98">
        <v>35</v>
      </c>
      <c r="B38" s="207" t="s">
        <v>329</v>
      </c>
      <c r="C38" s="98">
        <v>27</v>
      </c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  <c r="AH38" s="214"/>
      <c r="AI38" s="214"/>
      <c r="AJ38" s="214"/>
      <c r="AK38" s="214"/>
      <c r="AL38" s="214"/>
      <c r="AM38" s="214"/>
      <c r="AN38" s="214"/>
      <c r="AO38" s="214"/>
      <c r="AP38" s="214"/>
      <c r="AQ38" s="214"/>
      <c r="AR38" s="214"/>
      <c r="AS38" s="214"/>
      <c r="AT38" s="214"/>
      <c r="AU38" s="214"/>
      <c r="AV38" s="214"/>
      <c r="AW38" s="214"/>
      <c r="AX38" s="214"/>
      <c r="AY38" s="214"/>
      <c r="AZ38" s="214"/>
      <c r="BA38" s="214"/>
      <c r="BB38" s="214"/>
      <c r="BC38" s="214"/>
      <c r="BD38" s="214"/>
      <c r="BE38" s="214"/>
      <c r="BF38" s="214"/>
      <c r="BG38" s="214"/>
      <c r="BH38" s="214"/>
      <c r="BI38" s="214"/>
      <c r="BJ38" s="214"/>
      <c r="BK38" s="214"/>
      <c r="BL38" s="214"/>
      <c r="BM38" s="214"/>
      <c r="BN38" s="214"/>
      <c r="BO38" s="214"/>
      <c r="BP38" s="214"/>
      <c r="BQ38" s="214"/>
      <c r="BR38" s="214"/>
      <c r="BS38" s="214"/>
      <c r="BT38" s="214"/>
      <c r="BU38" s="214"/>
      <c r="BV38" s="214"/>
      <c r="BW38" s="214"/>
    </row>
    <row r="39" spans="1:75" x14ac:dyDescent="0.3">
      <c r="A39" s="98">
        <v>36</v>
      </c>
      <c r="B39" s="93"/>
      <c r="C39" s="98">
        <v>27</v>
      </c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4"/>
      <c r="AN39" s="214"/>
      <c r="AO39" s="214"/>
      <c r="AP39" s="214"/>
      <c r="AQ39" s="214"/>
      <c r="AR39" s="214"/>
      <c r="AS39" s="214"/>
      <c r="AT39" s="214"/>
      <c r="AU39" s="214"/>
      <c r="AV39" s="214"/>
      <c r="AW39" s="214"/>
      <c r="AX39" s="214"/>
      <c r="AY39" s="214"/>
      <c r="AZ39" s="214"/>
      <c r="BA39" s="214"/>
      <c r="BB39" s="214"/>
      <c r="BC39" s="214"/>
      <c r="BD39" s="214"/>
      <c r="BE39" s="214"/>
      <c r="BF39" s="214"/>
      <c r="BG39" s="214"/>
      <c r="BH39" s="214"/>
      <c r="BI39" s="214"/>
      <c r="BJ39" s="214"/>
      <c r="BK39" s="214"/>
      <c r="BL39" s="214"/>
      <c r="BM39" s="214"/>
      <c r="BN39" s="214"/>
      <c r="BO39" s="214"/>
      <c r="BP39" s="214"/>
      <c r="BQ39" s="214"/>
      <c r="BR39" s="214"/>
      <c r="BS39" s="214"/>
      <c r="BT39" s="214"/>
      <c r="BU39" s="214"/>
      <c r="BV39" s="214"/>
      <c r="BW39" s="214"/>
    </row>
    <row r="40" spans="1:75" x14ac:dyDescent="0.3">
      <c r="A40" s="208">
        <v>37</v>
      </c>
      <c r="B40" s="209" t="s">
        <v>332</v>
      </c>
      <c r="C40" s="98">
        <v>27</v>
      </c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214"/>
      <c r="AN40" s="214"/>
      <c r="AO40" s="214"/>
      <c r="AP40" s="214"/>
      <c r="AQ40" s="214"/>
      <c r="AR40" s="214"/>
      <c r="AS40" s="214"/>
      <c r="AT40" s="214"/>
      <c r="AU40" s="214"/>
      <c r="AV40" s="214"/>
      <c r="AW40" s="214"/>
      <c r="AX40" s="214"/>
      <c r="AY40" s="214"/>
      <c r="AZ40" s="214"/>
      <c r="BA40" s="214"/>
      <c r="BB40" s="214"/>
      <c r="BC40" s="214"/>
      <c r="BD40" s="214"/>
      <c r="BE40" s="214"/>
      <c r="BF40" s="214"/>
      <c r="BG40" s="214"/>
      <c r="BH40" s="214"/>
      <c r="BI40" s="214"/>
      <c r="BJ40" s="214"/>
      <c r="BK40" s="214"/>
      <c r="BL40" s="214"/>
      <c r="BM40" s="214"/>
      <c r="BN40" s="214"/>
      <c r="BO40" s="214"/>
      <c r="BP40" s="214"/>
      <c r="BQ40" s="214"/>
      <c r="BR40" s="214"/>
      <c r="BS40" s="214"/>
      <c r="BT40" s="214"/>
      <c r="BU40" s="214"/>
      <c r="BV40" s="214"/>
      <c r="BW40" s="214"/>
    </row>
    <row r="41" spans="1:75" x14ac:dyDescent="0.3">
      <c r="A41" s="98">
        <v>38</v>
      </c>
      <c r="B41" s="207" t="str">
        <f t="shared" ref="B41:B47" si="1">B32</f>
        <v>ACB</v>
      </c>
      <c r="C41" s="98">
        <v>27</v>
      </c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4"/>
      <c r="AX41" s="214"/>
      <c r="AY41" s="214"/>
      <c r="AZ41" s="214"/>
      <c r="BA41" s="214"/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214"/>
      <c r="BT41" s="214"/>
      <c r="BU41" s="214"/>
      <c r="BV41" s="214"/>
      <c r="BW41" s="214"/>
    </row>
    <row r="42" spans="1:75" x14ac:dyDescent="0.3">
      <c r="A42" s="98">
        <v>39</v>
      </c>
      <c r="B42" s="207" t="str">
        <f t="shared" si="1"/>
        <v>VietinBank</v>
      </c>
      <c r="C42" s="98">
        <v>27</v>
      </c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  <c r="AA42" s="214"/>
      <c r="AB42" s="214"/>
      <c r="AC42" s="214"/>
      <c r="AD42" s="214"/>
      <c r="AE42" s="214"/>
      <c r="AF42" s="214"/>
      <c r="AG42" s="214"/>
      <c r="AH42" s="214"/>
      <c r="AI42" s="214"/>
      <c r="AJ42" s="214"/>
      <c r="AK42" s="214"/>
      <c r="AL42" s="214"/>
      <c r="AM42" s="214"/>
      <c r="AN42" s="214"/>
      <c r="AO42" s="214"/>
      <c r="AP42" s="214"/>
      <c r="AQ42" s="214"/>
      <c r="AR42" s="214"/>
      <c r="AS42" s="214"/>
      <c r="AT42" s="214"/>
      <c r="AU42" s="214"/>
      <c r="AV42" s="214"/>
      <c r="AW42" s="214"/>
      <c r="AX42" s="214"/>
      <c r="AY42" s="214"/>
      <c r="AZ42" s="214"/>
      <c r="BA42" s="214"/>
      <c r="BB42" s="214"/>
      <c r="BC42" s="214"/>
      <c r="BD42" s="214"/>
      <c r="BE42" s="214"/>
      <c r="BF42" s="214"/>
      <c r="BG42" s="214"/>
      <c r="BH42" s="214"/>
      <c r="BI42" s="214"/>
      <c r="BJ42" s="214"/>
      <c r="BK42" s="214"/>
      <c r="BL42" s="214"/>
      <c r="BM42" s="214"/>
      <c r="BN42" s="214"/>
      <c r="BO42" s="214"/>
      <c r="BP42" s="214"/>
      <c r="BQ42" s="214"/>
      <c r="BR42" s="214"/>
      <c r="BS42" s="214"/>
      <c r="BT42" s="214"/>
      <c r="BU42" s="214"/>
      <c r="BV42" s="214"/>
      <c r="BW42" s="214"/>
    </row>
    <row r="43" spans="1:75" x14ac:dyDescent="0.3">
      <c r="A43" s="98">
        <v>40</v>
      </c>
      <c r="B43" s="207" t="str">
        <f t="shared" si="1"/>
        <v>Vietcombank</v>
      </c>
      <c r="C43" s="98">
        <v>27</v>
      </c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4"/>
      <c r="AU43" s="214"/>
      <c r="AV43" s="214"/>
      <c r="AW43" s="214"/>
      <c r="AX43" s="214"/>
      <c r="AY43" s="214"/>
      <c r="AZ43" s="214"/>
      <c r="BA43" s="214"/>
      <c r="BB43" s="214"/>
      <c r="BC43" s="214"/>
      <c r="BD43" s="214"/>
      <c r="BE43" s="214"/>
      <c r="BF43" s="214"/>
      <c r="BG43" s="214"/>
      <c r="BH43" s="214"/>
      <c r="BI43" s="214"/>
      <c r="BJ43" s="214"/>
      <c r="BK43" s="214"/>
      <c r="BL43" s="214"/>
      <c r="BM43" s="214"/>
      <c r="BN43" s="214"/>
      <c r="BO43" s="214"/>
      <c r="BP43" s="214"/>
      <c r="BQ43" s="214"/>
      <c r="BR43" s="214"/>
      <c r="BS43" s="214"/>
      <c r="BT43" s="214"/>
      <c r="BU43" s="214"/>
      <c r="BV43" s="214"/>
      <c r="BW43" s="214"/>
    </row>
    <row r="44" spans="1:75" x14ac:dyDescent="0.3">
      <c r="A44" s="98">
        <v>41</v>
      </c>
      <c r="B44" s="207" t="str">
        <f t="shared" si="1"/>
        <v>BIDV</v>
      </c>
      <c r="C44" s="98">
        <v>27</v>
      </c>
      <c r="D44" s="214"/>
      <c r="E44" s="214"/>
      <c r="F44" s="214"/>
      <c r="G44" s="214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  <c r="AA44" s="214"/>
      <c r="AB44" s="214"/>
      <c r="AC44" s="214"/>
      <c r="AD44" s="214"/>
      <c r="AE44" s="214"/>
      <c r="AF44" s="214"/>
      <c r="AG44" s="214"/>
      <c r="AH44" s="214"/>
      <c r="AI44" s="214"/>
      <c r="AJ44" s="214"/>
      <c r="AK44" s="214"/>
      <c r="AL44" s="214"/>
      <c r="AM44" s="214"/>
      <c r="AN44" s="214"/>
      <c r="AO44" s="214"/>
      <c r="AP44" s="214"/>
      <c r="AQ44" s="214"/>
      <c r="AR44" s="214"/>
      <c r="AS44" s="214"/>
      <c r="AT44" s="214"/>
      <c r="AU44" s="214"/>
      <c r="AV44" s="214"/>
      <c r="AW44" s="214"/>
      <c r="AX44" s="214"/>
      <c r="AY44" s="214"/>
      <c r="AZ44" s="214"/>
      <c r="BA44" s="214"/>
      <c r="BB44" s="214"/>
      <c r="BC44" s="214"/>
      <c r="BD44" s="214"/>
      <c r="BE44" s="214"/>
      <c r="BF44" s="214"/>
      <c r="BG44" s="214"/>
      <c r="BH44" s="214"/>
      <c r="BI44" s="214"/>
      <c r="BJ44" s="214"/>
      <c r="BK44" s="214"/>
      <c r="BL44" s="214"/>
      <c r="BM44" s="214"/>
      <c r="BN44" s="214"/>
      <c r="BO44" s="214"/>
      <c r="BP44" s="214"/>
      <c r="BQ44" s="214"/>
      <c r="BR44" s="214"/>
      <c r="BS44" s="214"/>
      <c r="BT44" s="214"/>
      <c r="BU44" s="214"/>
      <c r="BV44" s="214"/>
      <c r="BW44" s="214"/>
    </row>
    <row r="45" spans="1:75" x14ac:dyDescent="0.3">
      <c r="A45" s="98">
        <v>42</v>
      </c>
      <c r="B45" s="207" t="str">
        <f t="shared" si="1"/>
        <v>Standard Chartered</v>
      </c>
      <c r="C45" s="98">
        <v>27</v>
      </c>
      <c r="D45" s="214"/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  <c r="AK45" s="214"/>
      <c r="AL45" s="214"/>
      <c r="AM45" s="214"/>
      <c r="AN45" s="214"/>
      <c r="AO45" s="214"/>
      <c r="AP45" s="214"/>
      <c r="AQ45" s="214"/>
      <c r="AR45" s="214"/>
      <c r="AS45" s="214"/>
      <c r="AT45" s="214"/>
      <c r="AU45" s="214"/>
      <c r="AV45" s="214"/>
      <c r="AW45" s="214"/>
      <c r="AX45" s="214"/>
      <c r="AY45" s="214"/>
      <c r="AZ45" s="214"/>
      <c r="BA45" s="214"/>
      <c r="BB45" s="214"/>
      <c r="BC45" s="214"/>
      <c r="BD45" s="214"/>
      <c r="BE45" s="214"/>
      <c r="BF45" s="214"/>
      <c r="BG45" s="214"/>
      <c r="BH45" s="214"/>
      <c r="BI45" s="214"/>
      <c r="BJ45" s="214"/>
      <c r="BK45" s="214"/>
      <c r="BL45" s="214"/>
      <c r="BM45" s="214"/>
      <c r="BN45" s="214"/>
      <c r="BO45" s="214"/>
      <c r="BP45" s="214"/>
      <c r="BQ45" s="214"/>
      <c r="BR45" s="214"/>
      <c r="BS45" s="214"/>
      <c r="BT45" s="214"/>
      <c r="BU45" s="214"/>
      <c r="BV45" s="214"/>
      <c r="BW45" s="214"/>
    </row>
    <row r="46" spans="1:75" x14ac:dyDescent="0.3">
      <c r="A46" s="98">
        <v>43</v>
      </c>
      <c r="B46" s="207" t="str">
        <f t="shared" si="1"/>
        <v>VILC</v>
      </c>
      <c r="C46" s="98">
        <v>27</v>
      </c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  <c r="AK46" s="214"/>
      <c r="AL46" s="214"/>
      <c r="AM46" s="214"/>
      <c r="AN46" s="214"/>
      <c r="AO46" s="214"/>
      <c r="AP46" s="214"/>
      <c r="AQ46" s="214"/>
      <c r="AR46" s="214"/>
      <c r="AS46" s="214"/>
      <c r="AT46" s="214"/>
      <c r="AU46" s="214"/>
      <c r="AV46" s="214"/>
      <c r="AW46" s="214"/>
      <c r="AX46" s="214"/>
      <c r="AY46" s="214"/>
      <c r="AZ46" s="214"/>
      <c r="BA46" s="214"/>
      <c r="BB46" s="214"/>
      <c r="BC46" s="214"/>
      <c r="BD46" s="214"/>
      <c r="BE46" s="214"/>
      <c r="BF46" s="214"/>
      <c r="BG46" s="214"/>
      <c r="BH46" s="214"/>
      <c r="BI46" s="214"/>
      <c r="BJ46" s="214"/>
      <c r="BK46" s="214"/>
      <c r="BL46" s="214"/>
      <c r="BM46" s="214"/>
      <c r="BN46" s="214"/>
      <c r="BO46" s="214"/>
      <c r="BP46" s="214"/>
      <c r="BQ46" s="214"/>
      <c r="BR46" s="214"/>
      <c r="BS46" s="214"/>
      <c r="BT46" s="214"/>
      <c r="BU46" s="214"/>
      <c r="BV46" s="214"/>
      <c r="BW46" s="214"/>
    </row>
    <row r="47" spans="1:75" x14ac:dyDescent="0.3">
      <c r="A47" s="98">
        <v>44</v>
      </c>
      <c r="B47" s="207" t="str">
        <f t="shared" si="1"/>
        <v>IVB</v>
      </c>
      <c r="C47" s="98">
        <v>27</v>
      </c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  <c r="AH47" s="214"/>
      <c r="AI47" s="214"/>
      <c r="AJ47" s="214"/>
      <c r="AK47" s="214"/>
      <c r="AL47" s="214"/>
      <c r="AM47" s="214"/>
      <c r="AN47" s="214"/>
      <c r="AO47" s="214"/>
      <c r="AP47" s="214"/>
      <c r="AQ47" s="214"/>
      <c r="AR47" s="214"/>
      <c r="AS47" s="214"/>
      <c r="AT47" s="214"/>
      <c r="AU47" s="214"/>
      <c r="AV47" s="214"/>
      <c r="AW47" s="214"/>
      <c r="AX47" s="214"/>
      <c r="AY47" s="214"/>
      <c r="AZ47" s="214"/>
      <c r="BA47" s="214"/>
      <c r="BB47" s="214"/>
      <c r="BC47" s="214"/>
      <c r="BD47" s="214"/>
      <c r="BE47" s="214"/>
      <c r="BF47" s="214"/>
      <c r="BG47" s="214"/>
      <c r="BH47" s="214"/>
      <c r="BI47" s="214"/>
      <c r="BJ47" s="214"/>
      <c r="BK47" s="214"/>
      <c r="BL47" s="214"/>
      <c r="BM47" s="214"/>
      <c r="BN47" s="214"/>
      <c r="BO47" s="214"/>
      <c r="BP47" s="214"/>
      <c r="BQ47" s="214"/>
      <c r="BR47" s="214"/>
      <c r="BS47" s="214"/>
      <c r="BT47" s="214"/>
      <c r="BU47" s="214"/>
      <c r="BV47" s="214"/>
      <c r="BW47" s="214"/>
    </row>
    <row r="48" spans="1:75" x14ac:dyDescent="0.3">
      <c r="A48" s="98">
        <v>45</v>
      </c>
      <c r="B48" s="207"/>
      <c r="C48" s="98">
        <v>27</v>
      </c>
      <c r="D48" s="214"/>
      <c r="E48" s="214"/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  <c r="AA48" s="214"/>
      <c r="AB48" s="214"/>
      <c r="AC48" s="214"/>
      <c r="AD48" s="214"/>
      <c r="AE48" s="214"/>
      <c r="AF48" s="214"/>
      <c r="AG48" s="214"/>
      <c r="AH48" s="214"/>
      <c r="AI48" s="214"/>
      <c r="AJ48" s="214"/>
      <c r="AK48" s="214"/>
      <c r="AL48" s="214"/>
      <c r="AM48" s="214"/>
      <c r="AN48" s="214"/>
      <c r="AO48" s="214"/>
      <c r="AP48" s="214"/>
      <c r="AQ48" s="214"/>
      <c r="AR48" s="214"/>
      <c r="AS48" s="214"/>
      <c r="AT48" s="214"/>
      <c r="AU48" s="214"/>
      <c r="AV48" s="214"/>
      <c r="AW48" s="214"/>
      <c r="AX48" s="214"/>
      <c r="AY48" s="214"/>
      <c r="AZ48" s="214"/>
      <c r="BA48" s="214"/>
      <c r="BB48" s="214"/>
      <c r="BC48" s="214"/>
      <c r="BD48" s="214"/>
      <c r="BE48" s="214"/>
      <c r="BF48" s="214"/>
      <c r="BG48" s="214"/>
      <c r="BH48" s="214"/>
      <c r="BI48" s="214"/>
      <c r="BJ48" s="214"/>
      <c r="BK48" s="214"/>
      <c r="BL48" s="214"/>
      <c r="BM48" s="214"/>
      <c r="BN48" s="214"/>
      <c r="BO48" s="214"/>
      <c r="BP48" s="214"/>
      <c r="BQ48" s="214"/>
      <c r="BR48" s="214"/>
      <c r="BS48" s="214"/>
      <c r="BT48" s="214"/>
      <c r="BU48" s="214"/>
      <c r="BV48" s="214"/>
      <c r="BW48" s="214"/>
    </row>
    <row r="49" spans="1:75" ht="15" thickBot="1" x14ac:dyDescent="0.35">
      <c r="A49" s="210">
        <v>46</v>
      </c>
      <c r="B49" s="211" t="s">
        <v>333</v>
      </c>
      <c r="C49" s="210">
        <v>27</v>
      </c>
      <c r="D49" s="215"/>
      <c r="E49" s="215"/>
      <c r="F49" s="215"/>
      <c r="G49" s="215"/>
      <c r="H49" s="215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</row>
    <row r="50" spans="1:75" ht="15" thickTop="1" x14ac:dyDescent="0.3">
      <c r="A50" s="98">
        <v>47</v>
      </c>
      <c r="B50" s="207" t="str">
        <f t="shared" ref="B50:B55" si="2">B32</f>
        <v>ACB</v>
      </c>
      <c r="C50" s="98">
        <v>27</v>
      </c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4"/>
      <c r="AU50" s="214"/>
      <c r="AV50" s="214"/>
      <c r="AW50" s="214"/>
      <c r="AX50" s="214"/>
      <c r="AY50" s="214"/>
      <c r="AZ50" s="214"/>
      <c r="BA50" s="214"/>
      <c r="BB50" s="214"/>
      <c r="BC50" s="214"/>
      <c r="BD50" s="214"/>
      <c r="BE50" s="214"/>
      <c r="BF50" s="214"/>
      <c r="BG50" s="214"/>
      <c r="BH50" s="214"/>
      <c r="BI50" s="214"/>
      <c r="BJ50" s="214"/>
      <c r="BK50" s="214"/>
      <c r="BL50" s="214"/>
      <c r="BM50" s="214"/>
      <c r="BN50" s="214"/>
      <c r="BO50" s="214"/>
      <c r="BP50" s="214"/>
      <c r="BQ50" s="214"/>
      <c r="BR50" s="214"/>
      <c r="BS50" s="214"/>
      <c r="BT50" s="214"/>
      <c r="BU50" s="214"/>
      <c r="BV50" s="214"/>
      <c r="BW50" s="214"/>
    </row>
    <row r="51" spans="1:75" x14ac:dyDescent="0.3">
      <c r="A51" s="98">
        <v>48</v>
      </c>
      <c r="B51" s="207" t="str">
        <f t="shared" si="2"/>
        <v>VietinBank</v>
      </c>
      <c r="C51" s="98">
        <v>27</v>
      </c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4"/>
      <c r="AX51" s="214"/>
      <c r="AY51" s="214"/>
      <c r="AZ51" s="214"/>
      <c r="BA51" s="214"/>
      <c r="BB51" s="214"/>
      <c r="BC51" s="214"/>
      <c r="BD51" s="214"/>
      <c r="BE51" s="214"/>
      <c r="BF51" s="214"/>
      <c r="BG51" s="214"/>
      <c r="BH51" s="214"/>
      <c r="BI51" s="214"/>
      <c r="BJ51" s="214"/>
      <c r="BK51" s="214"/>
      <c r="BL51" s="214"/>
      <c r="BM51" s="214"/>
      <c r="BN51" s="214"/>
      <c r="BO51" s="214"/>
      <c r="BP51" s="214"/>
      <c r="BQ51" s="214"/>
      <c r="BR51" s="214"/>
      <c r="BS51" s="214"/>
      <c r="BT51" s="214"/>
      <c r="BU51" s="214"/>
      <c r="BV51" s="214"/>
      <c r="BW51" s="214"/>
    </row>
    <row r="52" spans="1:75" x14ac:dyDescent="0.3">
      <c r="A52" s="98">
        <v>49</v>
      </c>
      <c r="B52" s="207" t="str">
        <f t="shared" si="2"/>
        <v>Vietcombank</v>
      </c>
      <c r="C52" s="98">
        <v>27</v>
      </c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214"/>
      <c r="AQ52" s="214"/>
      <c r="AR52" s="214"/>
      <c r="AS52" s="214"/>
      <c r="AT52" s="214"/>
      <c r="AU52" s="214"/>
      <c r="AV52" s="214"/>
      <c r="AW52" s="214"/>
      <c r="AX52" s="214"/>
      <c r="AY52" s="214"/>
      <c r="AZ52" s="214"/>
      <c r="BA52" s="214"/>
      <c r="BB52" s="214"/>
      <c r="BC52" s="214"/>
      <c r="BD52" s="214"/>
      <c r="BE52" s="214"/>
      <c r="BF52" s="214"/>
      <c r="BG52" s="214"/>
      <c r="BH52" s="214"/>
      <c r="BI52" s="214"/>
      <c r="BJ52" s="214"/>
      <c r="BK52" s="214"/>
      <c r="BL52" s="214"/>
      <c r="BM52" s="214"/>
      <c r="BN52" s="214"/>
      <c r="BO52" s="214"/>
      <c r="BP52" s="214"/>
      <c r="BQ52" s="214"/>
      <c r="BR52" s="214"/>
      <c r="BS52" s="214"/>
      <c r="BT52" s="214"/>
      <c r="BU52" s="214"/>
      <c r="BV52" s="214"/>
      <c r="BW52" s="214"/>
    </row>
    <row r="53" spans="1:75" x14ac:dyDescent="0.3">
      <c r="A53" s="98">
        <v>50</v>
      </c>
      <c r="B53" s="207" t="str">
        <f t="shared" si="2"/>
        <v>BIDV</v>
      </c>
      <c r="C53" s="98">
        <v>27</v>
      </c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214"/>
      <c r="AW53" s="214"/>
      <c r="AX53" s="214"/>
      <c r="AY53" s="214"/>
      <c r="AZ53" s="214"/>
      <c r="BA53" s="214"/>
      <c r="BB53" s="214"/>
      <c r="BC53" s="214"/>
      <c r="BD53" s="214"/>
      <c r="BE53" s="214"/>
      <c r="BF53" s="214"/>
      <c r="BG53" s="214"/>
      <c r="BH53" s="214"/>
      <c r="BI53" s="214"/>
      <c r="BJ53" s="214"/>
      <c r="BK53" s="214"/>
      <c r="BL53" s="214"/>
      <c r="BM53" s="214"/>
      <c r="BN53" s="214"/>
      <c r="BO53" s="214"/>
      <c r="BP53" s="214"/>
      <c r="BQ53" s="214"/>
      <c r="BR53" s="214"/>
      <c r="BS53" s="214"/>
      <c r="BT53" s="214"/>
      <c r="BU53" s="214"/>
      <c r="BV53" s="214"/>
      <c r="BW53" s="214"/>
    </row>
    <row r="54" spans="1:75" x14ac:dyDescent="0.3">
      <c r="A54" s="98">
        <v>51</v>
      </c>
      <c r="B54" s="207" t="str">
        <f t="shared" si="2"/>
        <v>Standard Chartered</v>
      </c>
      <c r="C54" s="98">
        <v>27</v>
      </c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214"/>
      <c r="AQ54" s="214"/>
      <c r="AR54" s="214"/>
      <c r="AS54" s="214"/>
      <c r="AT54" s="214"/>
      <c r="AU54" s="214"/>
      <c r="AV54" s="214"/>
      <c r="AW54" s="214"/>
      <c r="AX54" s="214"/>
      <c r="AY54" s="214"/>
      <c r="AZ54" s="214"/>
      <c r="BA54" s="214"/>
      <c r="BB54" s="214"/>
      <c r="BC54" s="214"/>
      <c r="BD54" s="214"/>
      <c r="BE54" s="214"/>
      <c r="BF54" s="214"/>
      <c r="BG54" s="214"/>
      <c r="BH54" s="214"/>
      <c r="BI54" s="214"/>
      <c r="BJ54" s="214"/>
      <c r="BK54" s="214"/>
      <c r="BL54" s="214"/>
      <c r="BM54" s="214"/>
      <c r="BN54" s="214"/>
      <c r="BO54" s="214"/>
      <c r="BP54" s="214"/>
      <c r="BQ54" s="214"/>
      <c r="BR54" s="214"/>
      <c r="BS54" s="214"/>
      <c r="BT54" s="214"/>
      <c r="BU54" s="214"/>
      <c r="BV54" s="214"/>
      <c r="BW54" s="214"/>
    </row>
    <row r="55" spans="1:75" x14ac:dyDescent="0.3">
      <c r="A55" s="98">
        <v>52</v>
      </c>
      <c r="B55" s="207" t="str">
        <f t="shared" si="2"/>
        <v>VILC</v>
      </c>
      <c r="C55" s="98">
        <v>27</v>
      </c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214"/>
      <c r="AQ55" s="214"/>
      <c r="AR55" s="214"/>
      <c r="AS55" s="214"/>
      <c r="AT55" s="214"/>
      <c r="AU55" s="214"/>
      <c r="AV55" s="214"/>
      <c r="AW55" s="214"/>
      <c r="AX55" s="214"/>
      <c r="AY55" s="214"/>
      <c r="AZ55" s="214"/>
      <c r="BA55" s="214"/>
      <c r="BB55" s="214"/>
      <c r="BC55" s="214"/>
      <c r="BD55" s="214"/>
      <c r="BE55" s="214"/>
      <c r="BF55" s="214"/>
      <c r="BG55" s="214"/>
      <c r="BH55" s="214"/>
      <c r="BI55" s="214"/>
      <c r="BJ55" s="214"/>
      <c r="BK55" s="214"/>
      <c r="BL55" s="214"/>
      <c r="BM55" s="214"/>
      <c r="BN55" s="214"/>
      <c r="BO55" s="214"/>
      <c r="BP55" s="214"/>
      <c r="BQ55" s="214"/>
      <c r="BR55" s="214"/>
      <c r="BS55" s="214"/>
      <c r="BT55" s="214"/>
      <c r="BU55" s="214"/>
      <c r="BV55" s="214"/>
      <c r="BW55" s="214"/>
    </row>
    <row r="56" spans="1:75" x14ac:dyDescent="0.3">
      <c r="A56" s="98">
        <v>53</v>
      </c>
      <c r="B56" s="207" t="s">
        <v>329</v>
      </c>
      <c r="C56" s="98">
        <v>27</v>
      </c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4"/>
      <c r="AU56" s="214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14"/>
      <c r="BG56" s="214"/>
      <c r="BH56" s="214"/>
      <c r="BI56" s="214"/>
      <c r="BJ56" s="214"/>
      <c r="BK56" s="214"/>
      <c r="BL56" s="214"/>
      <c r="BM56" s="214"/>
      <c r="BN56" s="214"/>
      <c r="BO56" s="214"/>
      <c r="BP56" s="214"/>
      <c r="BQ56" s="214"/>
      <c r="BR56" s="214"/>
      <c r="BS56" s="214"/>
      <c r="BT56" s="214"/>
      <c r="BU56" s="214"/>
      <c r="BV56" s="214"/>
      <c r="BW56" s="214"/>
    </row>
    <row r="57" spans="1:75" x14ac:dyDescent="0.3">
      <c r="A57" s="98">
        <v>54</v>
      </c>
      <c r="B57" s="93"/>
      <c r="C57" s="98">
        <v>27</v>
      </c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216"/>
      <c r="AS57" s="216"/>
      <c r="AT57" s="216"/>
      <c r="AU57" s="216"/>
      <c r="AV57" s="216"/>
      <c r="AW57" s="216"/>
      <c r="AX57" s="216"/>
      <c r="AY57" s="216"/>
      <c r="AZ57" s="216"/>
      <c r="BA57" s="216"/>
      <c r="BB57" s="216"/>
      <c r="BC57" s="216"/>
      <c r="BD57" s="216"/>
      <c r="BE57" s="216"/>
      <c r="BF57" s="216"/>
      <c r="BG57" s="216"/>
      <c r="BH57" s="216"/>
      <c r="BI57" s="216"/>
      <c r="BJ57" s="216"/>
      <c r="BK57" s="216"/>
      <c r="BL57" s="216"/>
      <c r="BM57" s="216"/>
      <c r="BN57" s="216"/>
      <c r="BO57" s="216"/>
      <c r="BP57" s="216"/>
      <c r="BQ57" s="216"/>
      <c r="BR57" s="216"/>
      <c r="BS57" s="216"/>
      <c r="BT57" s="216"/>
      <c r="BU57" s="216"/>
      <c r="BV57" s="216"/>
      <c r="BW57" s="216"/>
    </row>
    <row r="58" spans="1:75" ht="15" thickBot="1" x14ac:dyDescent="0.35">
      <c r="A58" s="210">
        <v>55</v>
      </c>
      <c r="B58" s="211" t="s">
        <v>334</v>
      </c>
      <c r="C58" s="98">
        <v>27</v>
      </c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  <c r="AG58" s="216"/>
      <c r="AH58" s="216"/>
      <c r="AI58" s="216"/>
      <c r="AJ58" s="216"/>
      <c r="AK58" s="216"/>
      <c r="AL58" s="216"/>
      <c r="AM58" s="216"/>
      <c r="AN58" s="216"/>
      <c r="AO58" s="216"/>
      <c r="AP58" s="216"/>
      <c r="AQ58" s="216"/>
      <c r="AR58" s="216"/>
      <c r="AS58" s="216"/>
      <c r="AT58" s="216"/>
      <c r="AU58" s="216"/>
      <c r="AV58" s="216"/>
      <c r="AW58" s="216"/>
      <c r="AX58" s="216"/>
      <c r="AY58" s="216"/>
      <c r="AZ58" s="571"/>
      <c r="BA58" s="571"/>
      <c r="BB58" s="571"/>
      <c r="BC58" s="571"/>
      <c r="BD58" s="571"/>
      <c r="BE58" s="571"/>
      <c r="BF58" s="571"/>
      <c r="BG58" s="571"/>
      <c r="BH58" s="571"/>
      <c r="BI58" s="571"/>
      <c r="BJ58" s="571">
        <f>SUM(BJ59:BJ65)</f>
        <v>403525189</v>
      </c>
      <c r="BK58" s="571">
        <f>SUM(BK59:BK65)</f>
        <v>403528506</v>
      </c>
      <c r="BL58" s="571">
        <f>SUM(BL59:BL65)</f>
        <v>383791926</v>
      </c>
      <c r="BM58" s="571">
        <f>SUM(BM59:BM65)</f>
        <v>366722094</v>
      </c>
      <c r="BN58" s="571">
        <v>175313507</v>
      </c>
      <c r="BO58" s="571">
        <v>1272480544</v>
      </c>
      <c r="BP58" s="571">
        <v>1272491003</v>
      </c>
      <c r="BQ58" s="571"/>
      <c r="BR58" s="571"/>
      <c r="BS58" s="571"/>
      <c r="BT58" s="571"/>
      <c r="BU58" s="571"/>
      <c r="BV58" s="571"/>
      <c r="BW58" s="571"/>
    </row>
    <row r="59" spans="1:75" ht="15" thickTop="1" x14ac:dyDescent="0.3">
      <c r="A59" s="98">
        <v>56</v>
      </c>
      <c r="B59" s="207" t="str">
        <f t="shared" ref="B59:B64" si="3">B50</f>
        <v>ACB</v>
      </c>
      <c r="C59" s="98">
        <v>27</v>
      </c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  <c r="AG59" s="216"/>
      <c r="AH59" s="216"/>
      <c r="AI59" s="216"/>
      <c r="AJ59" s="216"/>
      <c r="AK59" s="216"/>
      <c r="AL59" s="216"/>
      <c r="AM59" s="216"/>
      <c r="AN59" s="216"/>
      <c r="AO59" s="216"/>
      <c r="AP59" s="216"/>
      <c r="AQ59" s="216"/>
      <c r="AR59" s="216"/>
      <c r="AS59" s="216"/>
      <c r="AT59" s="216"/>
      <c r="AU59" s="216"/>
      <c r="AV59" s="216"/>
      <c r="AW59" s="216"/>
      <c r="AX59" s="216"/>
      <c r="AY59" s="216"/>
      <c r="AZ59" s="214"/>
      <c r="BA59" s="214"/>
      <c r="BB59" s="214"/>
      <c r="BC59" s="214"/>
      <c r="BD59" s="214"/>
      <c r="BE59" s="214"/>
      <c r="BF59" s="214"/>
      <c r="BG59" s="214"/>
      <c r="BH59" s="214"/>
      <c r="BI59" s="214"/>
      <c r="BJ59" s="214">
        <v>403525189</v>
      </c>
      <c r="BK59" s="214">
        <v>403528506</v>
      </c>
      <c r="BL59" s="214">
        <v>383791926</v>
      </c>
      <c r="BM59" s="214">
        <v>366722094</v>
      </c>
      <c r="BN59" s="214">
        <v>175313507</v>
      </c>
      <c r="BO59" s="214">
        <v>1272480544</v>
      </c>
      <c r="BP59" s="214">
        <v>1272491003</v>
      </c>
      <c r="BQ59" s="214"/>
      <c r="BR59" s="214"/>
      <c r="BS59" s="214"/>
      <c r="BT59" s="214"/>
      <c r="BU59" s="214"/>
      <c r="BV59" s="214"/>
      <c r="BW59" s="214"/>
    </row>
    <row r="60" spans="1:75" x14ac:dyDescent="0.3">
      <c r="A60" s="98">
        <v>57</v>
      </c>
      <c r="B60" s="207" t="str">
        <f t="shared" si="3"/>
        <v>VietinBank</v>
      </c>
      <c r="C60" s="98">
        <v>27</v>
      </c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  <c r="AD60" s="216"/>
      <c r="AE60" s="216"/>
      <c r="AF60" s="216"/>
      <c r="AG60" s="216"/>
      <c r="AH60" s="216"/>
      <c r="AI60" s="216"/>
      <c r="AJ60" s="216"/>
      <c r="AK60" s="216"/>
      <c r="AL60" s="216"/>
      <c r="AM60" s="216"/>
      <c r="AN60" s="216"/>
      <c r="AO60" s="216"/>
      <c r="AP60" s="216"/>
      <c r="AQ60" s="216"/>
      <c r="AR60" s="216"/>
      <c r="AS60" s="216"/>
      <c r="AT60" s="216"/>
      <c r="AU60" s="216"/>
      <c r="AV60" s="216"/>
      <c r="AW60" s="216"/>
      <c r="AX60" s="216"/>
      <c r="AY60" s="216"/>
      <c r="AZ60" s="214"/>
      <c r="BA60" s="214"/>
      <c r="BB60" s="214"/>
      <c r="BC60" s="214"/>
      <c r="BD60" s="214"/>
      <c r="BE60" s="214"/>
      <c r="BF60" s="214"/>
      <c r="BG60" s="214"/>
      <c r="BH60" s="214"/>
      <c r="BI60" s="214"/>
      <c r="BJ60" s="214"/>
      <c r="BK60" s="214"/>
      <c r="BL60" s="214"/>
      <c r="BM60" s="214"/>
      <c r="BN60" s="214"/>
      <c r="BO60" s="214"/>
      <c r="BP60" s="214"/>
      <c r="BQ60" s="214"/>
      <c r="BR60" s="214"/>
      <c r="BS60" s="214"/>
      <c r="BT60" s="214"/>
      <c r="BU60" s="214"/>
      <c r="BV60" s="214"/>
      <c r="BW60" s="214"/>
    </row>
    <row r="61" spans="1:75" x14ac:dyDescent="0.3">
      <c r="A61" s="98">
        <v>58</v>
      </c>
      <c r="B61" s="207" t="str">
        <f t="shared" si="3"/>
        <v>Vietcombank</v>
      </c>
      <c r="C61" s="98">
        <v>27</v>
      </c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  <c r="AD61" s="216"/>
      <c r="AE61" s="216"/>
      <c r="AF61" s="216"/>
      <c r="AG61" s="216"/>
      <c r="AH61" s="216"/>
      <c r="AI61" s="216"/>
      <c r="AJ61" s="216"/>
      <c r="AK61" s="216"/>
      <c r="AL61" s="216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6"/>
      <c r="AY61" s="216"/>
      <c r="AZ61" s="214"/>
      <c r="BA61" s="214"/>
      <c r="BB61" s="214"/>
      <c r="BC61" s="214"/>
      <c r="BD61" s="214"/>
      <c r="BE61" s="214"/>
      <c r="BF61" s="214"/>
      <c r="BG61" s="214"/>
      <c r="BH61" s="214"/>
      <c r="BI61" s="214"/>
      <c r="BJ61" s="214"/>
      <c r="BK61" s="214"/>
      <c r="BL61" s="214"/>
      <c r="BM61" s="214"/>
      <c r="BN61" s="214"/>
      <c r="BO61" s="214"/>
      <c r="BP61" s="214"/>
      <c r="BQ61" s="214"/>
      <c r="BR61" s="214"/>
      <c r="BS61" s="214"/>
      <c r="BT61" s="214"/>
      <c r="BU61" s="214"/>
      <c r="BV61" s="214"/>
      <c r="BW61" s="214"/>
    </row>
    <row r="62" spans="1:75" x14ac:dyDescent="0.3">
      <c r="A62" s="98">
        <v>59</v>
      </c>
      <c r="B62" s="207" t="str">
        <f t="shared" si="3"/>
        <v>BIDV</v>
      </c>
      <c r="C62" s="98">
        <v>27</v>
      </c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  <c r="AD62" s="216"/>
      <c r="AE62" s="216"/>
      <c r="AF62" s="216"/>
      <c r="AG62" s="216"/>
      <c r="AH62" s="216"/>
      <c r="AI62" s="216"/>
      <c r="AJ62" s="216"/>
      <c r="AK62" s="216"/>
      <c r="AL62" s="216"/>
      <c r="AM62" s="216"/>
      <c r="AN62" s="216"/>
      <c r="AO62" s="216"/>
      <c r="AP62" s="216"/>
      <c r="AQ62" s="216"/>
      <c r="AR62" s="216"/>
      <c r="AS62" s="216"/>
      <c r="AT62" s="216"/>
      <c r="AU62" s="216"/>
      <c r="AV62" s="216"/>
      <c r="AW62" s="216"/>
      <c r="AX62" s="216"/>
      <c r="AY62" s="216"/>
      <c r="AZ62" s="214"/>
      <c r="BA62" s="214"/>
      <c r="BB62" s="214"/>
      <c r="BC62" s="214"/>
      <c r="BD62" s="214"/>
      <c r="BE62" s="214"/>
      <c r="BF62" s="214"/>
      <c r="BG62" s="214"/>
      <c r="BH62" s="214"/>
      <c r="BI62" s="214"/>
      <c r="BJ62" s="214"/>
      <c r="BK62" s="214"/>
      <c r="BL62" s="214"/>
      <c r="BM62" s="214"/>
      <c r="BN62" s="214"/>
      <c r="BO62" s="214"/>
      <c r="BP62" s="214"/>
      <c r="BQ62" s="214"/>
      <c r="BR62" s="214"/>
      <c r="BS62" s="214"/>
      <c r="BT62" s="214"/>
      <c r="BU62" s="214"/>
      <c r="BV62" s="214"/>
      <c r="BW62" s="214"/>
    </row>
    <row r="63" spans="1:75" x14ac:dyDescent="0.3">
      <c r="A63" s="98">
        <v>60</v>
      </c>
      <c r="B63" s="207" t="str">
        <f t="shared" si="3"/>
        <v>Standard Chartered</v>
      </c>
      <c r="C63" s="98">
        <v>27</v>
      </c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  <c r="AB63" s="216"/>
      <c r="AC63" s="216"/>
      <c r="AD63" s="216"/>
      <c r="AE63" s="216"/>
      <c r="AF63" s="216"/>
      <c r="AG63" s="216"/>
      <c r="AH63" s="216"/>
      <c r="AI63" s="216"/>
      <c r="AJ63" s="216"/>
      <c r="AK63" s="216"/>
      <c r="AL63" s="216"/>
      <c r="AM63" s="216"/>
      <c r="AN63" s="216"/>
      <c r="AO63" s="216"/>
      <c r="AP63" s="216"/>
      <c r="AQ63" s="216"/>
      <c r="AR63" s="216"/>
      <c r="AS63" s="216"/>
      <c r="AT63" s="216"/>
      <c r="AU63" s="216"/>
      <c r="AV63" s="216"/>
      <c r="AW63" s="216"/>
      <c r="AX63" s="216"/>
      <c r="AY63" s="216"/>
      <c r="AZ63" s="214"/>
      <c r="BA63" s="214"/>
      <c r="BB63" s="214"/>
      <c r="BC63" s="214"/>
      <c r="BD63" s="214"/>
      <c r="BE63" s="214"/>
      <c r="BF63" s="214"/>
      <c r="BG63" s="214"/>
      <c r="BH63" s="214"/>
      <c r="BI63" s="214"/>
      <c r="BJ63" s="214"/>
      <c r="BK63" s="214"/>
      <c r="BL63" s="214"/>
      <c r="BM63" s="214"/>
      <c r="BN63" s="214"/>
      <c r="BO63" s="214"/>
      <c r="BP63" s="214"/>
      <c r="BQ63" s="214"/>
      <c r="BR63" s="214"/>
      <c r="BS63" s="214"/>
      <c r="BT63" s="214"/>
      <c r="BU63" s="214"/>
      <c r="BV63" s="214"/>
      <c r="BW63" s="214"/>
    </row>
    <row r="64" spans="1:75" x14ac:dyDescent="0.3">
      <c r="A64" s="98">
        <v>61</v>
      </c>
      <c r="B64" s="207" t="str">
        <f t="shared" si="3"/>
        <v>VILC</v>
      </c>
      <c r="C64" s="98">
        <v>27</v>
      </c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  <c r="AB64" s="216"/>
      <c r="AC64" s="216"/>
      <c r="AD64" s="216"/>
      <c r="AE64" s="216"/>
      <c r="AF64" s="216"/>
      <c r="AG64" s="216"/>
      <c r="AH64" s="216"/>
      <c r="AI64" s="216"/>
      <c r="AJ64" s="216"/>
      <c r="AK64" s="216"/>
      <c r="AL64" s="216"/>
      <c r="AM64" s="216"/>
      <c r="AN64" s="216"/>
      <c r="AO64" s="216"/>
      <c r="AP64" s="216"/>
      <c r="AQ64" s="216"/>
      <c r="AR64" s="216"/>
      <c r="AS64" s="216"/>
      <c r="AT64" s="216"/>
      <c r="AU64" s="216"/>
      <c r="AV64" s="216"/>
      <c r="AW64" s="216"/>
      <c r="AX64" s="216"/>
      <c r="AY64" s="216"/>
      <c r="AZ64" s="214"/>
      <c r="BA64" s="214"/>
      <c r="BB64" s="214"/>
      <c r="BC64" s="214"/>
      <c r="BD64" s="214"/>
      <c r="BE64" s="214"/>
      <c r="BF64" s="214"/>
      <c r="BG64" s="214"/>
      <c r="BH64" s="214"/>
      <c r="BI64" s="214"/>
      <c r="BJ64" s="214"/>
      <c r="BK64" s="214"/>
      <c r="BL64" s="214"/>
      <c r="BM64" s="214"/>
      <c r="BN64" s="214"/>
      <c r="BO64" s="214"/>
      <c r="BP64" s="214"/>
      <c r="BQ64" s="214"/>
      <c r="BR64" s="214"/>
      <c r="BS64" s="214"/>
      <c r="BT64" s="214"/>
      <c r="BU64" s="214"/>
      <c r="BV64" s="214"/>
      <c r="BW64" s="214"/>
    </row>
    <row r="65" spans="1:75" x14ac:dyDescent="0.3">
      <c r="A65" s="98">
        <v>62</v>
      </c>
      <c r="B65" s="207" t="s">
        <v>329</v>
      </c>
      <c r="C65" s="98">
        <v>27</v>
      </c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  <c r="AB65" s="216"/>
      <c r="AC65" s="216"/>
      <c r="AD65" s="216"/>
      <c r="AE65" s="216"/>
      <c r="AF65" s="216"/>
      <c r="AG65" s="216"/>
      <c r="AH65" s="216"/>
      <c r="AI65" s="216"/>
      <c r="AJ65" s="216"/>
      <c r="AK65" s="216"/>
      <c r="AL65" s="216"/>
      <c r="AM65" s="216"/>
      <c r="AN65" s="216"/>
      <c r="AO65" s="216"/>
      <c r="AP65" s="216"/>
      <c r="AQ65" s="216"/>
      <c r="AR65" s="216"/>
      <c r="AS65" s="216"/>
      <c r="AT65" s="216"/>
      <c r="AU65" s="216"/>
      <c r="AV65" s="216"/>
      <c r="AW65" s="216"/>
      <c r="AX65" s="216"/>
      <c r="AY65" s="216"/>
      <c r="AZ65" s="214"/>
      <c r="BA65" s="214"/>
      <c r="BB65" s="214"/>
      <c r="BC65" s="214"/>
      <c r="BD65" s="214"/>
      <c r="BE65" s="214"/>
      <c r="BF65" s="214"/>
      <c r="BG65" s="214"/>
      <c r="BH65" s="214"/>
      <c r="BI65" s="214"/>
      <c r="BJ65" s="214"/>
      <c r="BK65" s="214"/>
      <c r="BL65" s="214"/>
      <c r="BM65" s="214"/>
      <c r="BN65" s="214"/>
      <c r="BO65" s="214"/>
      <c r="BP65" s="214"/>
      <c r="BQ65" s="214"/>
      <c r="BR65" s="214"/>
      <c r="BS65" s="214"/>
      <c r="BT65" s="214"/>
      <c r="BU65" s="214"/>
      <c r="BV65" s="214"/>
      <c r="BW65" s="214"/>
    </row>
    <row r="66" spans="1:75" x14ac:dyDescent="0.3">
      <c r="A66" s="98">
        <v>63</v>
      </c>
      <c r="B66" s="207"/>
      <c r="C66" s="98">
        <v>27</v>
      </c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216"/>
      <c r="AH66" s="216"/>
      <c r="AI66" s="216"/>
      <c r="AJ66" s="216"/>
      <c r="AK66" s="216"/>
      <c r="AL66" s="216"/>
      <c r="AM66" s="216"/>
      <c r="AN66" s="216"/>
      <c r="AO66" s="216"/>
      <c r="AP66" s="216"/>
      <c r="AQ66" s="216"/>
      <c r="AR66" s="216"/>
      <c r="AS66" s="216"/>
      <c r="AT66" s="216"/>
      <c r="AU66" s="216"/>
      <c r="AV66" s="216"/>
      <c r="AW66" s="216"/>
      <c r="AX66" s="216"/>
      <c r="AY66" s="216"/>
      <c r="AZ66" s="214"/>
      <c r="BA66" s="214"/>
      <c r="BB66" s="214"/>
      <c r="BC66" s="214"/>
      <c r="BD66" s="214"/>
      <c r="BE66" s="214"/>
      <c r="BF66" s="214"/>
      <c r="BG66" s="214"/>
      <c r="BH66" s="214"/>
      <c r="BI66" s="214"/>
      <c r="BJ66" s="214"/>
      <c r="BK66" s="214"/>
      <c r="BL66" s="214"/>
      <c r="BM66" s="214"/>
      <c r="BN66" s="214"/>
      <c r="BO66" s="214"/>
      <c r="BP66" s="214"/>
      <c r="BQ66" s="214"/>
      <c r="BR66" s="214"/>
      <c r="BS66" s="214"/>
      <c r="BT66" s="214"/>
      <c r="BU66" s="214"/>
      <c r="BV66" s="214"/>
      <c r="BW66" s="214"/>
    </row>
    <row r="67" spans="1:75" ht="15" thickBot="1" x14ac:dyDescent="0.35">
      <c r="A67" s="210">
        <v>64</v>
      </c>
      <c r="B67" s="211" t="s">
        <v>335</v>
      </c>
      <c r="C67" s="98">
        <v>27</v>
      </c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  <c r="AD67" s="216"/>
      <c r="AE67" s="216"/>
      <c r="AF67" s="216"/>
      <c r="AG67" s="216"/>
      <c r="AH67" s="216"/>
      <c r="AI67" s="216"/>
      <c r="AJ67" s="216"/>
      <c r="AK67" s="216"/>
      <c r="AL67" s="216"/>
      <c r="AM67" s="216"/>
      <c r="AN67" s="216"/>
      <c r="AO67" s="216"/>
      <c r="AP67" s="216"/>
      <c r="AQ67" s="216"/>
      <c r="AR67" s="216"/>
      <c r="AS67" s="216"/>
      <c r="AT67" s="216"/>
      <c r="AU67" s="216"/>
      <c r="AV67" s="216"/>
      <c r="AW67" s="216"/>
      <c r="AX67" s="216"/>
      <c r="AY67" s="216"/>
      <c r="AZ67" s="571"/>
      <c r="BA67" s="571"/>
      <c r="BB67" s="571"/>
      <c r="BC67" s="571"/>
      <c r="BD67" s="571"/>
      <c r="BE67" s="571"/>
      <c r="BF67" s="571"/>
      <c r="BG67" s="571"/>
      <c r="BH67" s="571"/>
      <c r="BI67" s="571"/>
      <c r="BJ67" s="571"/>
      <c r="BK67" s="571">
        <f>SUM(BK68:BK74)</f>
        <v>5500000000</v>
      </c>
      <c r="BL67" s="571">
        <f>SUM(BL68:BL74)</f>
        <v>99500000000</v>
      </c>
      <c r="BM67" s="571">
        <f>SUM(BM68:BM74)</f>
        <v>99500000000</v>
      </c>
      <c r="BN67" s="571">
        <f>SUM(BN68:BN74)</f>
        <v>99500000000</v>
      </c>
      <c r="BO67" s="571">
        <f>SUM(BO68:BO74)</f>
        <v>99500000000</v>
      </c>
      <c r="BP67" s="571">
        <f>SUM(BP68:BP74)</f>
        <v>99500000000</v>
      </c>
      <c r="BQ67" s="571"/>
      <c r="BR67" s="571"/>
      <c r="BS67" s="571"/>
      <c r="BT67" s="571"/>
      <c r="BU67" s="571"/>
      <c r="BV67" s="571"/>
      <c r="BW67" s="571"/>
    </row>
    <row r="68" spans="1:75" ht="15" thickTop="1" x14ac:dyDescent="0.3">
      <c r="A68" s="98">
        <v>65</v>
      </c>
      <c r="B68" s="207" t="str">
        <f t="shared" ref="B68:B73" si="4">B50</f>
        <v>ACB</v>
      </c>
      <c r="C68" s="98">
        <v>27</v>
      </c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216"/>
      <c r="AH68" s="216"/>
      <c r="AI68" s="216"/>
      <c r="AJ68" s="216"/>
      <c r="AK68" s="216"/>
      <c r="AL68" s="216"/>
      <c r="AM68" s="216"/>
      <c r="AN68" s="216"/>
      <c r="AO68" s="216"/>
      <c r="AP68" s="216"/>
      <c r="AQ68" s="216"/>
      <c r="AR68" s="216"/>
      <c r="AS68" s="216"/>
      <c r="AT68" s="216"/>
      <c r="AU68" s="216"/>
      <c r="AV68" s="216"/>
      <c r="AW68" s="216"/>
      <c r="AX68" s="216"/>
      <c r="AY68" s="216"/>
      <c r="AZ68" s="214"/>
      <c r="BA68" s="214"/>
      <c r="BB68" s="214"/>
      <c r="BC68" s="214"/>
      <c r="BD68" s="214"/>
      <c r="BE68" s="214"/>
      <c r="BF68" s="214"/>
      <c r="BG68" s="214"/>
      <c r="BH68" s="214"/>
      <c r="BI68" s="214"/>
      <c r="BJ68" s="214"/>
      <c r="BK68" s="214">
        <v>5500000000</v>
      </c>
      <c r="BL68" s="214">
        <v>99500000000</v>
      </c>
      <c r="BM68" s="214">
        <v>99500000000</v>
      </c>
      <c r="BN68" s="214">
        <v>99500000000</v>
      </c>
      <c r="BO68" s="214">
        <v>99500000000</v>
      </c>
      <c r="BP68" s="214">
        <v>99500000000</v>
      </c>
      <c r="BQ68" s="214"/>
      <c r="BR68" s="214"/>
      <c r="BS68" s="214"/>
      <c r="BT68" s="214"/>
      <c r="BU68" s="214"/>
      <c r="BV68" s="214"/>
      <c r="BW68" s="214"/>
    </row>
    <row r="69" spans="1:75" x14ac:dyDescent="0.3">
      <c r="A69" s="98">
        <v>66</v>
      </c>
      <c r="B69" s="207" t="str">
        <f t="shared" si="4"/>
        <v>VietinBank</v>
      </c>
      <c r="C69" s="98">
        <v>27</v>
      </c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16"/>
      <c r="AH69" s="216"/>
      <c r="AI69" s="216"/>
      <c r="AJ69" s="216"/>
      <c r="AK69" s="216"/>
      <c r="AL69" s="216"/>
      <c r="AM69" s="216"/>
      <c r="AN69" s="216"/>
      <c r="AO69" s="216"/>
      <c r="AP69" s="216"/>
      <c r="AQ69" s="216"/>
      <c r="AR69" s="216"/>
      <c r="AS69" s="216"/>
      <c r="AT69" s="216"/>
      <c r="AU69" s="216"/>
      <c r="AV69" s="216"/>
      <c r="AW69" s="216"/>
      <c r="AX69" s="216"/>
      <c r="AY69" s="216"/>
      <c r="AZ69" s="214"/>
      <c r="BA69" s="214"/>
      <c r="BB69" s="214"/>
      <c r="BC69" s="214"/>
      <c r="BD69" s="214"/>
      <c r="BE69" s="214"/>
      <c r="BF69" s="214"/>
      <c r="BG69" s="214"/>
      <c r="BH69" s="214"/>
      <c r="BI69" s="214"/>
      <c r="BJ69" s="214"/>
      <c r="BK69" s="214"/>
      <c r="BL69" s="214"/>
      <c r="BM69" s="214"/>
      <c r="BN69" s="214"/>
      <c r="BO69" s="214"/>
      <c r="BP69" s="214"/>
      <c r="BQ69" s="214"/>
      <c r="BR69" s="214"/>
      <c r="BS69" s="214"/>
      <c r="BT69" s="214"/>
      <c r="BU69" s="214"/>
      <c r="BV69" s="214"/>
      <c r="BW69" s="214"/>
    </row>
    <row r="70" spans="1:75" x14ac:dyDescent="0.3">
      <c r="A70" s="98">
        <v>67</v>
      </c>
      <c r="B70" s="207" t="str">
        <f t="shared" si="4"/>
        <v>Vietcombank</v>
      </c>
      <c r="C70" s="98">
        <v>27</v>
      </c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  <c r="AH70" s="216"/>
      <c r="AI70" s="216"/>
      <c r="AJ70" s="216"/>
      <c r="AK70" s="216"/>
      <c r="AL70" s="216"/>
      <c r="AM70" s="216"/>
      <c r="AN70" s="216"/>
      <c r="AO70" s="216"/>
      <c r="AP70" s="216"/>
      <c r="AQ70" s="216"/>
      <c r="AR70" s="216"/>
      <c r="AS70" s="216"/>
      <c r="AT70" s="216"/>
      <c r="AU70" s="216"/>
      <c r="AV70" s="216"/>
      <c r="AW70" s="216"/>
      <c r="AX70" s="216"/>
      <c r="AY70" s="216"/>
      <c r="AZ70" s="214"/>
      <c r="BA70" s="214"/>
      <c r="BB70" s="214"/>
      <c r="BC70" s="214"/>
      <c r="BD70" s="214"/>
      <c r="BE70" s="214"/>
      <c r="BF70" s="214"/>
      <c r="BG70" s="214"/>
      <c r="BH70" s="214"/>
      <c r="BI70" s="214"/>
      <c r="BJ70" s="214"/>
      <c r="BK70" s="214"/>
      <c r="BL70" s="214"/>
      <c r="BM70" s="214"/>
      <c r="BN70" s="214"/>
      <c r="BO70" s="214"/>
      <c r="BP70" s="214"/>
      <c r="BQ70" s="214"/>
      <c r="BR70" s="214"/>
      <c r="BS70" s="214"/>
      <c r="BT70" s="214"/>
      <c r="BU70" s="214"/>
      <c r="BV70" s="214"/>
      <c r="BW70" s="214"/>
    </row>
    <row r="71" spans="1:75" x14ac:dyDescent="0.3">
      <c r="A71" s="98">
        <v>68</v>
      </c>
      <c r="B71" s="207" t="str">
        <f t="shared" si="4"/>
        <v>BIDV</v>
      </c>
      <c r="C71" s="98">
        <v>27</v>
      </c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  <c r="AH71" s="216"/>
      <c r="AI71" s="216"/>
      <c r="AJ71" s="216"/>
      <c r="AK71" s="216"/>
      <c r="AL71" s="216"/>
      <c r="AM71" s="216"/>
      <c r="AN71" s="216"/>
      <c r="AO71" s="216"/>
      <c r="AP71" s="216"/>
      <c r="AQ71" s="216"/>
      <c r="AR71" s="216"/>
      <c r="AS71" s="216"/>
      <c r="AT71" s="216"/>
      <c r="AU71" s="216"/>
      <c r="AV71" s="216"/>
      <c r="AW71" s="216"/>
      <c r="AX71" s="216"/>
      <c r="AY71" s="216"/>
      <c r="AZ71" s="214"/>
      <c r="BA71" s="214"/>
      <c r="BB71" s="214"/>
      <c r="BC71" s="214"/>
      <c r="BD71" s="214"/>
      <c r="BE71" s="214"/>
      <c r="BF71" s="214"/>
      <c r="BG71" s="214"/>
      <c r="BH71" s="214"/>
      <c r="BI71" s="214"/>
      <c r="BJ71" s="214"/>
      <c r="BK71" s="214"/>
      <c r="BL71" s="214"/>
      <c r="BM71" s="214"/>
      <c r="BN71" s="214"/>
      <c r="BO71" s="214"/>
      <c r="BP71" s="214"/>
      <c r="BQ71" s="214"/>
      <c r="BR71" s="214"/>
      <c r="BS71" s="214"/>
      <c r="BT71" s="214"/>
      <c r="BU71" s="214"/>
      <c r="BV71" s="214"/>
      <c r="BW71" s="214"/>
    </row>
    <row r="72" spans="1:75" x14ac:dyDescent="0.3">
      <c r="A72" s="98">
        <v>69</v>
      </c>
      <c r="B72" s="207" t="str">
        <f t="shared" si="4"/>
        <v>Standard Chartered</v>
      </c>
      <c r="C72" s="98">
        <v>27</v>
      </c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  <c r="AH72" s="216"/>
      <c r="AI72" s="216"/>
      <c r="AJ72" s="216"/>
      <c r="AK72" s="216"/>
      <c r="AL72" s="216"/>
      <c r="AM72" s="216"/>
      <c r="AN72" s="216"/>
      <c r="AO72" s="216"/>
      <c r="AP72" s="216"/>
      <c r="AQ72" s="216"/>
      <c r="AR72" s="216"/>
      <c r="AS72" s="216"/>
      <c r="AT72" s="216"/>
      <c r="AU72" s="216"/>
      <c r="AV72" s="216"/>
      <c r="AW72" s="216"/>
      <c r="AX72" s="216"/>
      <c r="AY72" s="216"/>
      <c r="AZ72" s="214"/>
      <c r="BA72" s="214"/>
      <c r="BB72" s="214"/>
      <c r="BC72" s="214"/>
      <c r="BD72" s="214"/>
      <c r="BE72" s="214"/>
      <c r="BF72" s="214"/>
      <c r="BG72" s="214"/>
      <c r="BH72" s="214"/>
      <c r="BI72" s="214"/>
      <c r="BJ72" s="214"/>
      <c r="BK72" s="214"/>
      <c r="BL72" s="214"/>
      <c r="BM72" s="214"/>
      <c r="BN72" s="214"/>
      <c r="BO72" s="214"/>
      <c r="BP72" s="214"/>
      <c r="BQ72" s="214"/>
      <c r="BR72" s="214"/>
      <c r="BS72" s="214"/>
      <c r="BT72" s="214"/>
      <c r="BU72" s="214"/>
      <c r="BV72" s="214"/>
      <c r="BW72" s="214"/>
    </row>
    <row r="73" spans="1:75" x14ac:dyDescent="0.3">
      <c r="A73" s="98">
        <v>70</v>
      </c>
      <c r="B73" s="207" t="str">
        <f t="shared" si="4"/>
        <v>VILC</v>
      </c>
      <c r="C73" s="98">
        <v>27</v>
      </c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  <c r="AH73" s="216"/>
      <c r="AI73" s="216"/>
      <c r="AJ73" s="216"/>
      <c r="AK73" s="216"/>
      <c r="AL73" s="216"/>
      <c r="AM73" s="216"/>
      <c r="AN73" s="216"/>
      <c r="AO73" s="216"/>
      <c r="AP73" s="216"/>
      <c r="AQ73" s="216"/>
      <c r="AR73" s="216"/>
      <c r="AS73" s="216"/>
      <c r="AT73" s="216"/>
      <c r="AU73" s="216"/>
      <c r="AV73" s="216"/>
      <c r="AW73" s="216"/>
      <c r="AX73" s="216"/>
      <c r="AY73" s="216"/>
      <c r="AZ73" s="214"/>
      <c r="BA73" s="214"/>
      <c r="BB73" s="214"/>
      <c r="BC73" s="214"/>
      <c r="BD73" s="214"/>
      <c r="BE73" s="214"/>
      <c r="BF73" s="214"/>
      <c r="BG73" s="214"/>
      <c r="BH73" s="214"/>
      <c r="BI73" s="214"/>
      <c r="BJ73" s="214"/>
      <c r="BK73" s="214"/>
      <c r="BL73" s="214"/>
      <c r="BM73" s="214"/>
      <c r="BN73" s="214"/>
      <c r="BO73" s="214"/>
      <c r="BP73" s="214"/>
      <c r="BQ73" s="214"/>
      <c r="BR73" s="214"/>
      <c r="BS73" s="214"/>
      <c r="BT73" s="214"/>
      <c r="BU73" s="214"/>
      <c r="BV73" s="214"/>
      <c r="BW73" s="214"/>
    </row>
    <row r="74" spans="1:75" x14ac:dyDescent="0.3">
      <c r="A74" s="98">
        <v>71</v>
      </c>
      <c r="B74" s="207" t="s">
        <v>329</v>
      </c>
      <c r="C74" s="98">
        <v>27</v>
      </c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  <c r="AH74" s="216"/>
      <c r="AI74" s="216"/>
      <c r="AJ74" s="216"/>
      <c r="AK74" s="216"/>
      <c r="AL74" s="216"/>
      <c r="AM74" s="216"/>
      <c r="AN74" s="216"/>
      <c r="AO74" s="216"/>
      <c r="AP74" s="216"/>
      <c r="AQ74" s="216"/>
      <c r="AR74" s="216"/>
      <c r="AS74" s="216"/>
      <c r="AT74" s="216"/>
      <c r="AU74" s="216"/>
      <c r="AV74" s="216"/>
      <c r="AW74" s="216"/>
      <c r="AX74" s="216"/>
      <c r="AY74" s="216"/>
      <c r="AZ74" s="214"/>
      <c r="BA74" s="214"/>
      <c r="BB74" s="214"/>
      <c r="BC74" s="214"/>
      <c r="BD74" s="214"/>
      <c r="BE74" s="214"/>
      <c r="BF74" s="214"/>
      <c r="BG74" s="214"/>
      <c r="BH74" s="214"/>
      <c r="BI74" s="214"/>
      <c r="BJ74" s="214"/>
      <c r="BK74" s="214"/>
      <c r="BL74" s="214"/>
      <c r="BM74" s="214"/>
      <c r="BN74" s="214"/>
      <c r="BO74" s="214"/>
      <c r="BP74" s="214"/>
      <c r="BQ74" s="214"/>
      <c r="BR74" s="214"/>
      <c r="BS74" s="214"/>
      <c r="BT74" s="214"/>
      <c r="BU74" s="214"/>
      <c r="BV74" s="214"/>
      <c r="BW74" s="214"/>
    </row>
  </sheetData>
  <sheetProtection algorithmName="SHA-512" hashValue="ftcCcbQulCTMG1rmXWqw72CNPnpxwkQ4k5gWrTWpEan4NRD0XGwNqTpufvZpJ35HNWnxXHJZwhr9JEpzjRODnQ==" saltValue="tQWFcy+QCENgJPP+5jS/zw==" spinCount="100000" sheet="1" objects="1" scenarios="1"/>
  <protectedRanges>
    <protectedRange sqref="D4:BW74" name="Loan"/>
  </protectedRange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1840-83F4-4A9B-B274-9F4BA3868092}">
  <sheetPr>
    <tabColor theme="9" tint="0.59999389629810485"/>
  </sheetPr>
  <dimension ref="A1:T481"/>
  <sheetViews>
    <sheetView showGridLines="0" zoomScale="90" zoomScaleNormal="90" workbookViewId="0">
      <pane xSplit="5" ySplit="6" topLeftCell="G181" activePane="bottomRight" state="frozen"/>
      <selection activeCell="D8" sqref="D8:E8"/>
      <selection pane="topRight" activeCell="D8" sqref="D8:E8"/>
      <selection pane="bottomLeft" activeCell="D8" sqref="D8:E8"/>
      <selection pane="bottomRight" activeCell="C459" sqref="C459"/>
    </sheetView>
  </sheetViews>
  <sheetFormatPr defaultColWidth="8.6640625" defaultRowHeight="13.2" x14ac:dyDescent="0.25"/>
  <cols>
    <col min="1" max="1" width="3.44140625" style="409" customWidth="1"/>
    <col min="2" max="2" width="49.88671875" style="407" customWidth="1"/>
    <col min="3" max="3" width="12.109375" style="407" bestFit="1" customWidth="1"/>
    <col min="4" max="4" width="25" style="407" bestFit="1" customWidth="1"/>
    <col min="5" max="5" width="7.88671875" style="407" customWidth="1"/>
    <col min="6" max="6" width="11.44140625" style="408" customWidth="1"/>
    <col min="7" max="17" width="11.44140625" style="407" customWidth="1"/>
    <col min="18" max="18" width="17.5546875" style="408" bestFit="1" customWidth="1"/>
    <col min="19" max="19" width="16.33203125" style="407" customWidth="1"/>
    <col min="20" max="20" width="11.33203125" style="407" bestFit="1" customWidth="1"/>
    <col min="21" max="16384" width="8.6640625" style="407"/>
  </cols>
  <sheetData>
    <row r="1" spans="1:18" x14ac:dyDescent="0.25">
      <c r="A1" s="406" t="str">
        <f>'Thong tin'!$A$1</f>
        <v>CÔNG TY CỔ PHẦN NHỰA TÁI CHẾ DUY TÂN VĨNH LONG</v>
      </c>
    </row>
    <row r="2" spans="1:18" ht="13.35" customHeight="1" x14ac:dyDescent="0.25">
      <c r="B2" s="410" t="s">
        <v>468</v>
      </c>
      <c r="C2" s="410"/>
      <c r="D2" s="410"/>
      <c r="E2" s="410"/>
    </row>
    <row r="4" spans="1:18" x14ac:dyDescent="0.25">
      <c r="A4" s="411" t="s">
        <v>469</v>
      </c>
      <c r="B4" s="412" t="s">
        <v>470</v>
      </c>
      <c r="C4" s="412"/>
      <c r="D4" s="413"/>
      <c r="E4" s="413"/>
    </row>
    <row r="5" spans="1:18" x14ac:dyDescent="0.25">
      <c r="F5" s="414" t="s">
        <v>471</v>
      </c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6"/>
    </row>
    <row r="6" spans="1:18" s="422" customFormat="1" ht="26.25" customHeight="1" x14ac:dyDescent="0.3">
      <c r="A6" s="417"/>
      <c r="B6" s="418" t="s">
        <v>472</v>
      </c>
      <c r="C6" s="418" t="s">
        <v>593</v>
      </c>
      <c r="D6" s="418" t="s">
        <v>473</v>
      </c>
      <c r="E6" s="419" t="s">
        <v>474</v>
      </c>
      <c r="F6" s="420" t="s">
        <v>475</v>
      </c>
      <c r="G6" s="420" t="s">
        <v>476</v>
      </c>
      <c r="H6" s="420" t="s">
        <v>477</v>
      </c>
      <c r="I6" s="420" t="s">
        <v>478</v>
      </c>
      <c r="J6" s="420" t="s">
        <v>479</v>
      </c>
      <c r="K6" s="420" t="s">
        <v>480</v>
      </c>
      <c r="L6" s="420" t="s">
        <v>481</v>
      </c>
      <c r="M6" s="420" t="s">
        <v>482</v>
      </c>
      <c r="N6" s="420" t="s">
        <v>483</v>
      </c>
      <c r="O6" s="420" t="s">
        <v>484</v>
      </c>
      <c r="P6" s="420" t="s">
        <v>485</v>
      </c>
      <c r="Q6" s="420" t="s">
        <v>486</v>
      </c>
      <c r="R6" s="421" t="s">
        <v>487</v>
      </c>
    </row>
    <row r="7" spans="1:18" s="422" customFormat="1" x14ac:dyDescent="0.25">
      <c r="A7" s="423" t="s">
        <v>488</v>
      </c>
      <c r="B7" s="424" t="s">
        <v>489</v>
      </c>
      <c r="C7" s="424"/>
      <c r="D7" s="418"/>
      <c r="E7" s="425"/>
      <c r="F7" s="426"/>
      <c r="G7" s="426"/>
      <c r="H7" s="426"/>
      <c r="I7" s="426"/>
      <c r="J7" s="426"/>
      <c r="K7" s="426"/>
      <c r="L7" s="426"/>
      <c r="M7" s="426"/>
      <c r="N7" s="426"/>
      <c r="O7" s="426"/>
      <c r="P7" s="426"/>
      <c r="Q7" s="426"/>
      <c r="R7" s="427"/>
    </row>
    <row r="8" spans="1:18" x14ac:dyDescent="0.25">
      <c r="A8" s="428">
        <v>1</v>
      </c>
      <c r="B8" s="429" t="s">
        <v>490</v>
      </c>
      <c r="C8" s="429" t="s">
        <v>594</v>
      </c>
      <c r="D8" s="430" t="s">
        <v>491</v>
      </c>
      <c r="E8" s="431">
        <v>511</v>
      </c>
      <c r="F8" s="432"/>
      <c r="G8" s="432"/>
      <c r="H8" s="432"/>
      <c r="I8" s="432"/>
      <c r="J8" s="433"/>
      <c r="K8" s="432"/>
      <c r="L8" s="432"/>
      <c r="M8" s="432"/>
      <c r="N8" s="432"/>
      <c r="O8" s="432"/>
      <c r="P8" s="432"/>
      <c r="Q8" s="432"/>
      <c r="R8" s="434">
        <f>SUM(F8:Q8)</f>
        <v>0</v>
      </c>
    </row>
    <row r="9" spans="1:18" x14ac:dyDescent="0.25">
      <c r="A9" s="435"/>
      <c r="B9" s="436"/>
      <c r="C9" s="436"/>
      <c r="D9" s="437" t="s">
        <v>492</v>
      </c>
      <c r="E9" s="438">
        <v>511</v>
      </c>
      <c r="F9" s="432"/>
      <c r="G9" s="432"/>
      <c r="H9" s="432"/>
      <c r="I9" s="432"/>
      <c r="J9" s="432"/>
      <c r="K9" s="432"/>
      <c r="L9" s="432"/>
      <c r="M9" s="432"/>
      <c r="N9" s="432"/>
      <c r="O9" s="432"/>
      <c r="P9" s="432"/>
      <c r="Q9" s="432"/>
      <c r="R9" s="434">
        <f t="shared" ref="R9:R80" si="0">SUM(F9:Q9)</f>
        <v>0</v>
      </c>
    </row>
    <row r="10" spans="1:18" x14ac:dyDescent="0.25">
      <c r="A10" s="435"/>
      <c r="B10" s="436"/>
      <c r="C10" s="439"/>
      <c r="D10" s="439" t="s">
        <v>493</v>
      </c>
      <c r="E10" s="440">
        <v>711</v>
      </c>
      <c r="F10" s="432"/>
      <c r="G10" s="432"/>
      <c r="H10" s="432"/>
      <c r="I10" s="432"/>
      <c r="J10" s="432"/>
      <c r="K10" s="432"/>
      <c r="L10" s="432"/>
      <c r="M10" s="432"/>
      <c r="N10" s="432"/>
      <c r="O10" s="432"/>
      <c r="P10" s="432"/>
      <c r="Q10" s="432"/>
      <c r="R10" s="434">
        <f t="shared" si="0"/>
        <v>0</v>
      </c>
    </row>
    <row r="11" spans="1:18" x14ac:dyDescent="0.25">
      <c r="A11" s="441"/>
      <c r="B11" s="436"/>
      <c r="C11" s="436"/>
      <c r="D11" s="436" t="s">
        <v>494</v>
      </c>
      <c r="E11" s="440">
        <v>515</v>
      </c>
      <c r="F11" s="432"/>
      <c r="G11" s="432"/>
      <c r="H11" s="432"/>
      <c r="I11" s="432"/>
      <c r="J11" s="432"/>
      <c r="K11" s="432"/>
      <c r="L11" s="432"/>
      <c r="M11" s="432"/>
      <c r="N11" s="432"/>
      <c r="O11" s="432"/>
      <c r="P11" s="432"/>
      <c r="Q11" s="432"/>
      <c r="R11" s="434">
        <f t="shared" si="0"/>
        <v>0</v>
      </c>
    </row>
    <row r="12" spans="1:18" x14ac:dyDescent="0.25">
      <c r="A12" s="441"/>
      <c r="B12" s="436"/>
      <c r="C12" s="436"/>
      <c r="D12" s="436" t="s">
        <v>495</v>
      </c>
      <c r="E12" s="440">
        <v>112</v>
      </c>
      <c r="F12" s="432"/>
      <c r="G12" s="432"/>
      <c r="H12" s="432"/>
      <c r="I12" s="432"/>
      <c r="J12" s="432"/>
      <c r="K12" s="432"/>
      <c r="L12" s="432"/>
      <c r="M12" s="432"/>
      <c r="N12" s="432"/>
      <c r="O12" s="432"/>
      <c r="P12" s="432"/>
      <c r="Q12" s="432"/>
      <c r="R12" s="434">
        <f t="shared" si="0"/>
        <v>0</v>
      </c>
    </row>
    <row r="13" spans="1:18" x14ac:dyDescent="0.25">
      <c r="A13" s="441"/>
      <c r="B13" s="436"/>
      <c r="C13" s="436"/>
      <c r="D13" s="442" t="s">
        <v>496</v>
      </c>
      <c r="E13" s="443">
        <v>511</v>
      </c>
      <c r="F13" s="432"/>
      <c r="G13" s="432"/>
      <c r="H13" s="432"/>
      <c r="I13" s="432"/>
      <c r="J13" s="432"/>
      <c r="K13" s="432"/>
      <c r="L13" s="432"/>
      <c r="M13" s="432"/>
      <c r="N13" s="432"/>
      <c r="O13" s="432"/>
      <c r="P13" s="432"/>
      <c r="Q13" s="432"/>
      <c r="R13" s="434">
        <f t="shared" si="0"/>
        <v>0</v>
      </c>
    </row>
    <row r="14" spans="1:18" x14ac:dyDescent="0.25">
      <c r="A14" s="444"/>
      <c r="B14" s="445"/>
      <c r="C14" s="490"/>
      <c r="D14" s="446" t="s">
        <v>497</v>
      </c>
      <c r="E14" s="447" t="s">
        <v>498</v>
      </c>
      <c r="F14" s="448"/>
      <c r="G14" s="448"/>
      <c r="H14" s="448"/>
      <c r="I14" s="448"/>
      <c r="J14" s="448"/>
      <c r="K14" s="448"/>
      <c r="L14" s="448"/>
      <c r="M14" s="448"/>
      <c r="N14" s="448"/>
      <c r="O14" s="448"/>
      <c r="P14" s="448"/>
      <c r="Q14" s="448"/>
      <c r="R14" s="449">
        <f t="shared" si="0"/>
        <v>0</v>
      </c>
    </row>
    <row r="15" spans="1:18" x14ac:dyDescent="0.25">
      <c r="A15" s="561">
        <v>2</v>
      </c>
      <c r="B15" s="552" t="s">
        <v>499</v>
      </c>
      <c r="C15" s="552" t="s">
        <v>595</v>
      </c>
      <c r="D15" s="450" t="s">
        <v>491</v>
      </c>
      <c r="E15" s="451">
        <v>511</v>
      </c>
      <c r="F15" s="432"/>
      <c r="G15" s="432"/>
      <c r="H15" s="432"/>
      <c r="I15" s="432"/>
      <c r="J15" s="433"/>
      <c r="K15" s="432"/>
      <c r="L15" s="432"/>
      <c r="M15" s="432"/>
      <c r="N15" s="432"/>
      <c r="O15" s="432"/>
      <c r="P15" s="432"/>
      <c r="Q15" s="432"/>
      <c r="R15" s="434">
        <f t="shared" si="0"/>
        <v>0</v>
      </c>
    </row>
    <row r="16" spans="1:18" x14ac:dyDescent="0.25">
      <c r="A16" s="428"/>
      <c r="B16" s="452"/>
      <c r="C16" s="452"/>
      <c r="D16" s="442" t="s">
        <v>500</v>
      </c>
      <c r="E16" s="438">
        <v>511</v>
      </c>
      <c r="F16" s="453"/>
      <c r="G16" s="454"/>
      <c r="H16" s="454"/>
      <c r="I16" s="454"/>
      <c r="J16" s="454"/>
      <c r="K16" s="454"/>
      <c r="L16" s="454"/>
      <c r="M16" s="454"/>
      <c r="N16" s="454"/>
      <c r="O16" s="454"/>
      <c r="P16" s="454"/>
      <c r="Q16" s="454"/>
      <c r="R16" s="434">
        <f t="shared" si="0"/>
        <v>0</v>
      </c>
    </row>
    <row r="17" spans="1:18" x14ac:dyDescent="0.25">
      <c r="A17" s="428"/>
      <c r="B17" s="452"/>
      <c r="C17" s="452"/>
      <c r="D17" s="442" t="s">
        <v>492</v>
      </c>
      <c r="E17" s="438">
        <v>511</v>
      </c>
      <c r="F17" s="454"/>
      <c r="G17" s="454"/>
      <c r="H17" s="454"/>
      <c r="I17" s="454"/>
      <c r="J17" s="454"/>
      <c r="K17" s="454"/>
      <c r="L17" s="454"/>
      <c r="M17" s="454"/>
      <c r="N17" s="454"/>
      <c r="O17" s="454"/>
      <c r="P17" s="454"/>
      <c r="Q17" s="454"/>
      <c r="R17" s="434">
        <f t="shared" si="0"/>
        <v>0</v>
      </c>
    </row>
    <row r="18" spans="1:18" x14ac:dyDescent="0.25">
      <c r="A18" s="455"/>
      <c r="B18" s="452"/>
      <c r="C18" s="452"/>
      <c r="D18" s="442" t="s">
        <v>501</v>
      </c>
      <c r="E18" s="443">
        <v>511</v>
      </c>
      <c r="F18" s="454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34">
        <f t="shared" si="0"/>
        <v>0</v>
      </c>
    </row>
    <row r="19" spans="1:18" x14ac:dyDescent="0.25">
      <c r="A19" s="455"/>
      <c r="B19" s="452"/>
      <c r="C19" s="452"/>
      <c r="D19" s="442" t="s">
        <v>502</v>
      </c>
      <c r="E19" s="443">
        <v>511</v>
      </c>
      <c r="F19" s="454"/>
      <c r="G19" s="454"/>
      <c r="H19" s="454"/>
      <c r="I19" s="454"/>
      <c r="J19" s="454"/>
      <c r="K19" s="454"/>
      <c r="L19" s="454"/>
      <c r="M19" s="454"/>
      <c r="N19" s="454"/>
      <c r="O19" s="454"/>
      <c r="P19" s="454"/>
      <c r="Q19" s="454"/>
      <c r="R19" s="434">
        <f t="shared" si="0"/>
        <v>0</v>
      </c>
    </row>
    <row r="20" spans="1:18" x14ac:dyDescent="0.25">
      <c r="A20" s="455"/>
      <c r="B20" s="452"/>
      <c r="C20" s="452"/>
      <c r="D20" s="442" t="s">
        <v>493</v>
      </c>
      <c r="E20" s="443">
        <v>711</v>
      </c>
      <c r="F20" s="454"/>
      <c r="G20" s="454"/>
      <c r="H20" s="454"/>
      <c r="I20" s="454"/>
      <c r="J20" s="454"/>
      <c r="K20" s="454"/>
      <c r="L20" s="454"/>
      <c r="M20" s="454"/>
      <c r="N20" s="454"/>
      <c r="O20" s="454"/>
      <c r="P20" s="454"/>
      <c r="Q20" s="454"/>
      <c r="R20" s="434">
        <f t="shared" si="0"/>
        <v>0</v>
      </c>
    </row>
    <row r="21" spans="1:18" x14ac:dyDescent="0.25">
      <c r="A21" s="455"/>
      <c r="B21" s="452"/>
      <c r="C21" s="553"/>
      <c r="D21" s="456" t="s">
        <v>503</v>
      </c>
      <c r="E21" s="438">
        <v>511</v>
      </c>
      <c r="F21" s="454"/>
      <c r="G21" s="454"/>
      <c r="H21" s="454"/>
      <c r="I21" s="454"/>
      <c r="J21" s="454"/>
      <c r="K21" s="454"/>
      <c r="L21" s="454"/>
      <c r="M21" s="454"/>
      <c r="N21" s="454"/>
      <c r="O21" s="454"/>
      <c r="P21" s="454"/>
      <c r="Q21" s="454"/>
      <c r="R21" s="434">
        <f t="shared" si="0"/>
        <v>0</v>
      </c>
    </row>
    <row r="22" spans="1:18" x14ac:dyDescent="0.25">
      <c r="A22" s="457"/>
      <c r="B22" s="458"/>
      <c r="C22" s="554"/>
      <c r="D22" s="459" t="s">
        <v>497</v>
      </c>
      <c r="E22" s="447" t="s">
        <v>498</v>
      </c>
      <c r="F22" s="460"/>
      <c r="G22" s="460"/>
      <c r="H22" s="460"/>
      <c r="I22" s="460"/>
      <c r="J22" s="460"/>
      <c r="K22" s="460"/>
      <c r="L22" s="460"/>
      <c r="M22" s="460"/>
      <c r="N22" s="460"/>
      <c r="O22" s="460"/>
      <c r="P22" s="460"/>
      <c r="Q22" s="460"/>
      <c r="R22" s="461">
        <f t="shared" si="0"/>
        <v>0</v>
      </c>
    </row>
    <row r="23" spans="1:18" x14ac:dyDescent="0.25">
      <c r="A23" s="561">
        <v>3</v>
      </c>
      <c r="B23" s="552" t="s">
        <v>504</v>
      </c>
      <c r="C23" s="552" t="s">
        <v>596</v>
      </c>
      <c r="D23" s="450" t="s">
        <v>491</v>
      </c>
      <c r="E23" s="451">
        <v>511</v>
      </c>
      <c r="F23" s="462"/>
      <c r="G23" s="462"/>
      <c r="H23" s="462"/>
      <c r="I23" s="462"/>
      <c r="J23" s="462"/>
      <c r="K23" s="462"/>
      <c r="L23" s="462"/>
      <c r="M23" s="462"/>
      <c r="N23" s="462"/>
      <c r="O23" s="462"/>
      <c r="P23" s="462"/>
      <c r="Q23" s="462"/>
      <c r="R23" s="463">
        <f t="shared" si="0"/>
        <v>0</v>
      </c>
    </row>
    <row r="24" spans="1:18" x14ac:dyDescent="0.25">
      <c r="A24" s="455"/>
      <c r="B24" s="452"/>
      <c r="C24" s="452"/>
      <c r="D24" s="442" t="s">
        <v>500</v>
      </c>
      <c r="E24" s="438">
        <v>511</v>
      </c>
      <c r="F24" s="453"/>
      <c r="G24" s="454"/>
      <c r="H24" s="454"/>
      <c r="I24" s="454"/>
      <c r="J24" s="454"/>
      <c r="K24" s="454"/>
      <c r="L24" s="454"/>
      <c r="M24" s="454"/>
      <c r="N24" s="454"/>
      <c r="O24" s="454"/>
      <c r="P24" s="454"/>
      <c r="Q24" s="454"/>
      <c r="R24" s="434">
        <f t="shared" si="0"/>
        <v>0</v>
      </c>
    </row>
    <row r="25" spans="1:18" x14ac:dyDescent="0.25">
      <c r="A25" s="455"/>
      <c r="B25" s="452"/>
      <c r="C25" s="452"/>
      <c r="D25" s="442" t="s">
        <v>492</v>
      </c>
      <c r="E25" s="438">
        <v>511</v>
      </c>
      <c r="F25" s="454"/>
      <c r="G25" s="454"/>
      <c r="H25" s="454"/>
      <c r="I25" s="454"/>
      <c r="J25" s="454"/>
      <c r="K25" s="454"/>
      <c r="L25" s="454"/>
      <c r="M25" s="454"/>
      <c r="N25" s="454"/>
      <c r="O25" s="454"/>
      <c r="P25" s="454"/>
      <c r="Q25" s="454"/>
      <c r="R25" s="434">
        <f t="shared" si="0"/>
        <v>0</v>
      </c>
    </row>
    <row r="26" spans="1:18" x14ac:dyDescent="0.25">
      <c r="A26" s="455"/>
      <c r="B26" s="452"/>
      <c r="C26" s="452"/>
      <c r="D26" s="442" t="s">
        <v>505</v>
      </c>
      <c r="E26" s="443">
        <v>511</v>
      </c>
      <c r="F26" s="454"/>
      <c r="G26" s="454"/>
      <c r="H26" s="454"/>
      <c r="I26" s="454"/>
      <c r="J26" s="454"/>
      <c r="K26" s="454"/>
      <c r="L26" s="454"/>
      <c r="M26" s="454"/>
      <c r="N26" s="454"/>
      <c r="O26" s="454"/>
      <c r="P26" s="454"/>
      <c r="Q26" s="454"/>
      <c r="R26" s="434">
        <f t="shared" si="0"/>
        <v>0</v>
      </c>
    </row>
    <row r="27" spans="1:18" x14ac:dyDescent="0.25">
      <c r="A27" s="455"/>
      <c r="B27" s="452"/>
      <c r="C27" s="452"/>
      <c r="D27" s="442" t="s">
        <v>502</v>
      </c>
      <c r="E27" s="443">
        <v>511</v>
      </c>
      <c r="F27" s="454"/>
      <c r="G27" s="454"/>
      <c r="H27" s="454"/>
      <c r="I27" s="454"/>
      <c r="J27" s="454"/>
      <c r="K27" s="454"/>
      <c r="L27" s="454"/>
      <c r="M27" s="454"/>
      <c r="N27" s="454"/>
      <c r="O27" s="454"/>
      <c r="P27" s="454"/>
      <c r="Q27" s="454"/>
      <c r="R27" s="434">
        <f t="shared" si="0"/>
        <v>0</v>
      </c>
    </row>
    <row r="28" spans="1:18" x14ac:dyDescent="0.25">
      <c r="A28" s="455"/>
      <c r="B28" s="452"/>
      <c r="C28" s="452"/>
      <c r="D28" s="442" t="s">
        <v>497</v>
      </c>
      <c r="E28" s="443">
        <v>711</v>
      </c>
      <c r="F28" s="454"/>
      <c r="G28" s="454"/>
      <c r="H28" s="454"/>
      <c r="I28" s="454"/>
      <c r="J28" s="454"/>
      <c r="K28" s="454"/>
      <c r="L28" s="454"/>
      <c r="M28" s="454"/>
      <c r="N28" s="454"/>
      <c r="O28" s="454"/>
      <c r="P28" s="454"/>
      <c r="Q28" s="454"/>
      <c r="R28" s="434">
        <f t="shared" si="0"/>
        <v>0</v>
      </c>
    </row>
    <row r="29" spans="1:18" x14ac:dyDescent="0.25">
      <c r="A29" s="561">
        <v>4</v>
      </c>
      <c r="B29" s="552" t="s">
        <v>506</v>
      </c>
      <c r="C29" s="552" t="s">
        <v>597</v>
      </c>
      <c r="D29" s="450" t="s">
        <v>491</v>
      </c>
      <c r="E29" s="451">
        <v>511</v>
      </c>
      <c r="F29" s="462"/>
      <c r="G29" s="462"/>
      <c r="H29" s="462"/>
      <c r="I29" s="462"/>
      <c r="J29" s="462"/>
      <c r="K29" s="462"/>
      <c r="L29" s="462"/>
      <c r="M29" s="462"/>
      <c r="N29" s="462"/>
      <c r="O29" s="462"/>
      <c r="P29" s="462"/>
      <c r="Q29" s="462"/>
      <c r="R29" s="463">
        <f t="shared" si="0"/>
        <v>0</v>
      </c>
    </row>
    <row r="30" spans="1:18" x14ac:dyDescent="0.25">
      <c r="A30" s="455"/>
      <c r="B30" s="452"/>
      <c r="C30" s="452"/>
      <c r="D30" s="442" t="s">
        <v>500</v>
      </c>
      <c r="E30" s="443">
        <v>511</v>
      </c>
      <c r="F30" s="454"/>
      <c r="G30" s="454"/>
      <c r="H30" s="454"/>
      <c r="I30" s="454"/>
      <c r="J30" s="454"/>
      <c r="K30" s="454"/>
      <c r="L30" s="454"/>
      <c r="M30" s="454"/>
      <c r="N30" s="454"/>
      <c r="O30" s="454"/>
      <c r="P30" s="454"/>
      <c r="Q30" s="454"/>
      <c r="R30" s="434">
        <f t="shared" si="0"/>
        <v>0</v>
      </c>
    </row>
    <row r="31" spans="1:18" x14ac:dyDescent="0.25">
      <c r="A31" s="455"/>
      <c r="B31" s="452"/>
      <c r="C31" s="452"/>
      <c r="D31" s="442" t="s">
        <v>492</v>
      </c>
      <c r="E31" s="443">
        <v>511</v>
      </c>
      <c r="F31" s="454"/>
      <c r="G31" s="454"/>
      <c r="H31" s="454"/>
      <c r="I31" s="454"/>
      <c r="J31" s="454"/>
      <c r="K31" s="454"/>
      <c r="L31" s="454"/>
      <c r="M31" s="454"/>
      <c r="N31" s="454"/>
      <c r="O31" s="454"/>
      <c r="P31" s="454"/>
      <c r="Q31" s="454"/>
      <c r="R31" s="434">
        <f t="shared" si="0"/>
        <v>0</v>
      </c>
    </row>
    <row r="32" spans="1:18" x14ac:dyDescent="0.25">
      <c r="A32" s="455"/>
      <c r="B32" s="452"/>
      <c r="C32" s="452"/>
      <c r="D32" s="442" t="s">
        <v>501</v>
      </c>
      <c r="E32" s="443">
        <v>511</v>
      </c>
      <c r="F32" s="454"/>
      <c r="G32" s="454"/>
      <c r="H32" s="454"/>
      <c r="I32" s="454"/>
      <c r="J32" s="454"/>
      <c r="K32" s="454"/>
      <c r="L32" s="454"/>
      <c r="M32" s="454"/>
      <c r="N32" s="454"/>
      <c r="O32" s="454"/>
      <c r="P32" s="454"/>
      <c r="Q32" s="454"/>
      <c r="R32" s="434">
        <f t="shared" si="0"/>
        <v>0</v>
      </c>
    </row>
    <row r="33" spans="1:19" x14ac:dyDescent="0.25">
      <c r="A33" s="455"/>
      <c r="B33" s="452"/>
      <c r="C33" s="452"/>
      <c r="D33" s="442" t="s">
        <v>503</v>
      </c>
      <c r="E33" s="443">
        <v>511</v>
      </c>
      <c r="F33" s="454"/>
      <c r="G33" s="454"/>
      <c r="H33" s="454"/>
      <c r="I33" s="454"/>
      <c r="J33" s="454"/>
      <c r="K33" s="454"/>
      <c r="L33" s="454"/>
      <c r="M33" s="454"/>
      <c r="N33" s="454"/>
      <c r="O33" s="454"/>
      <c r="P33" s="454"/>
      <c r="Q33" s="454"/>
      <c r="R33" s="434">
        <f t="shared" si="0"/>
        <v>0</v>
      </c>
    </row>
    <row r="34" spans="1:19" x14ac:dyDescent="0.25">
      <c r="A34" s="455"/>
      <c r="B34" s="452"/>
      <c r="C34" s="452"/>
      <c r="D34" s="442" t="s">
        <v>493</v>
      </c>
      <c r="E34" s="443">
        <v>711</v>
      </c>
      <c r="F34" s="453"/>
      <c r="G34" s="454"/>
      <c r="H34" s="454"/>
      <c r="I34" s="454"/>
      <c r="J34" s="454"/>
      <c r="K34" s="454"/>
      <c r="L34" s="454"/>
      <c r="M34" s="454"/>
      <c r="N34" s="454"/>
      <c r="O34" s="454"/>
      <c r="P34" s="454"/>
      <c r="Q34" s="454"/>
      <c r="R34" s="434">
        <f t="shared" si="0"/>
        <v>0</v>
      </c>
    </row>
    <row r="35" spans="1:19" x14ac:dyDescent="0.25">
      <c r="A35" s="457"/>
      <c r="B35" s="452"/>
      <c r="C35" s="452"/>
      <c r="D35" s="442" t="s">
        <v>497</v>
      </c>
      <c r="E35" s="464">
        <v>7118</v>
      </c>
      <c r="F35" s="454"/>
      <c r="G35" s="454"/>
      <c r="H35" s="454"/>
      <c r="I35" s="454"/>
      <c r="J35" s="454"/>
      <c r="K35" s="454"/>
      <c r="L35" s="454"/>
      <c r="M35" s="454"/>
      <c r="N35" s="454"/>
      <c r="O35" s="454"/>
      <c r="P35" s="454"/>
      <c r="Q35" s="454"/>
      <c r="R35" s="434">
        <f t="shared" si="0"/>
        <v>0</v>
      </c>
    </row>
    <row r="36" spans="1:19" x14ac:dyDescent="0.25">
      <c r="A36" s="561">
        <v>5</v>
      </c>
      <c r="B36" s="552" t="s">
        <v>507</v>
      </c>
      <c r="C36" s="552" t="s">
        <v>598</v>
      </c>
      <c r="D36" s="450" t="s">
        <v>491</v>
      </c>
      <c r="E36" s="451">
        <v>511</v>
      </c>
      <c r="F36" s="465"/>
      <c r="G36" s="462"/>
      <c r="H36" s="462"/>
      <c r="I36" s="462"/>
      <c r="J36" s="462"/>
      <c r="K36" s="462"/>
      <c r="L36" s="462"/>
      <c r="M36" s="462"/>
      <c r="N36" s="462"/>
      <c r="O36" s="462"/>
      <c r="P36" s="462"/>
      <c r="Q36" s="462"/>
      <c r="R36" s="463">
        <f t="shared" si="0"/>
        <v>0</v>
      </c>
    </row>
    <row r="37" spans="1:19" x14ac:dyDescent="0.25">
      <c r="A37" s="457"/>
      <c r="B37" s="452"/>
      <c r="C37" s="452"/>
      <c r="D37" s="442" t="s">
        <v>500</v>
      </c>
      <c r="E37" s="443">
        <v>511</v>
      </c>
      <c r="F37" s="453"/>
      <c r="G37" s="454"/>
      <c r="H37" s="454"/>
      <c r="I37" s="454"/>
      <c r="J37" s="454"/>
      <c r="K37" s="454"/>
      <c r="L37" s="454"/>
      <c r="M37" s="454"/>
      <c r="N37" s="454"/>
      <c r="O37" s="454"/>
      <c r="P37" s="454"/>
      <c r="Q37" s="454"/>
      <c r="R37" s="434">
        <f t="shared" si="0"/>
        <v>0</v>
      </c>
    </row>
    <row r="38" spans="1:19" x14ac:dyDescent="0.25">
      <c r="A38" s="457"/>
      <c r="B38" s="452"/>
      <c r="C38" s="452"/>
      <c r="D38" s="442" t="s">
        <v>493</v>
      </c>
      <c r="E38" s="443">
        <v>711</v>
      </c>
      <c r="F38" s="454"/>
      <c r="G38" s="454"/>
      <c r="H38" s="454"/>
      <c r="I38" s="454"/>
      <c r="J38" s="454"/>
      <c r="K38" s="454"/>
      <c r="L38" s="454"/>
      <c r="M38" s="454"/>
      <c r="N38" s="454"/>
      <c r="O38" s="454"/>
      <c r="P38" s="454"/>
      <c r="Q38" s="454"/>
      <c r="R38" s="434">
        <f t="shared" si="0"/>
        <v>0</v>
      </c>
    </row>
    <row r="39" spans="1:19" x14ac:dyDescent="0.25">
      <c r="A39" s="457"/>
      <c r="B39" s="452"/>
      <c r="C39" s="452"/>
      <c r="D39" s="442" t="s">
        <v>492</v>
      </c>
      <c r="E39" s="443">
        <v>511</v>
      </c>
      <c r="F39" s="454"/>
      <c r="G39" s="454"/>
      <c r="H39" s="454"/>
      <c r="I39" s="454"/>
      <c r="J39" s="454"/>
      <c r="K39" s="454"/>
      <c r="L39" s="454"/>
      <c r="M39" s="454"/>
      <c r="N39" s="454"/>
      <c r="O39" s="454"/>
      <c r="P39" s="454"/>
      <c r="Q39" s="454"/>
      <c r="R39" s="434">
        <f t="shared" si="0"/>
        <v>0</v>
      </c>
    </row>
    <row r="40" spans="1:19" x14ac:dyDescent="0.25">
      <c r="A40" s="457"/>
      <c r="B40" s="452"/>
      <c r="C40" s="452"/>
      <c r="D40" s="442" t="s">
        <v>503</v>
      </c>
      <c r="E40" s="443">
        <v>511</v>
      </c>
      <c r="F40" s="454"/>
      <c r="G40" s="454"/>
      <c r="H40" s="454"/>
      <c r="I40" s="454"/>
      <c r="J40" s="454"/>
      <c r="K40" s="454"/>
      <c r="L40" s="454"/>
      <c r="M40" s="454"/>
      <c r="N40" s="454"/>
      <c r="O40" s="454"/>
      <c r="P40" s="454"/>
      <c r="Q40" s="454"/>
      <c r="R40" s="434">
        <f t="shared" si="0"/>
        <v>0</v>
      </c>
    </row>
    <row r="41" spans="1:19" x14ac:dyDescent="0.25">
      <c r="A41" s="457"/>
      <c r="B41" s="452"/>
      <c r="C41" s="452"/>
      <c r="D41" s="442" t="s">
        <v>501</v>
      </c>
      <c r="E41" s="443">
        <v>511</v>
      </c>
      <c r="F41" s="454"/>
      <c r="G41" s="454"/>
      <c r="H41" s="454"/>
      <c r="I41" s="454"/>
      <c r="J41" s="454"/>
      <c r="K41" s="454"/>
      <c r="L41" s="454"/>
      <c r="M41" s="454"/>
      <c r="N41" s="454"/>
      <c r="O41" s="454"/>
      <c r="P41" s="454"/>
      <c r="Q41" s="454"/>
      <c r="R41" s="434">
        <f t="shared" si="0"/>
        <v>0</v>
      </c>
    </row>
    <row r="42" spans="1:19" x14ac:dyDescent="0.25">
      <c r="A42" s="457"/>
      <c r="B42" s="452"/>
      <c r="C42" s="452"/>
      <c r="D42" s="442" t="s">
        <v>508</v>
      </c>
      <c r="E42" s="443">
        <v>711</v>
      </c>
      <c r="F42" s="454"/>
      <c r="G42" s="454"/>
      <c r="H42" s="454"/>
      <c r="I42" s="454"/>
      <c r="J42" s="454"/>
      <c r="K42" s="454"/>
      <c r="L42" s="454"/>
      <c r="M42" s="454"/>
      <c r="N42" s="454"/>
      <c r="O42" s="454"/>
      <c r="P42" s="454"/>
      <c r="Q42" s="454"/>
      <c r="R42" s="434">
        <f t="shared" si="0"/>
        <v>0</v>
      </c>
    </row>
    <row r="43" spans="1:19" x14ac:dyDescent="0.25">
      <c r="A43" s="457"/>
      <c r="B43" s="452"/>
      <c r="C43" s="452"/>
      <c r="D43" s="442" t="s">
        <v>497</v>
      </c>
      <c r="E43" s="443" t="s">
        <v>498</v>
      </c>
      <c r="F43" s="454"/>
      <c r="G43" s="454"/>
      <c r="H43" s="454"/>
      <c r="I43" s="454"/>
      <c r="J43" s="454"/>
      <c r="K43" s="454"/>
      <c r="L43" s="454"/>
      <c r="M43" s="454"/>
      <c r="N43" s="454"/>
      <c r="O43" s="454"/>
      <c r="P43" s="454"/>
      <c r="Q43" s="454"/>
      <c r="R43" s="434">
        <f t="shared" si="0"/>
        <v>0</v>
      </c>
    </row>
    <row r="44" spans="1:19" x14ac:dyDescent="0.25">
      <c r="A44" s="561">
        <v>6</v>
      </c>
      <c r="B44" s="552" t="s">
        <v>509</v>
      </c>
      <c r="C44" s="552" t="s">
        <v>599</v>
      </c>
      <c r="D44" s="450" t="s">
        <v>491</v>
      </c>
      <c r="E44" s="451">
        <v>511</v>
      </c>
      <c r="F44" s="462"/>
      <c r="G44" s="462"/>
      <c r="H44" s="462"/>
      <c r="I44" s="462"/>
      <c r="J44" s="462"/>
      <c r="K44" s="462"/>
      <c r="L44" s="462"/>
      <c r="M44" s="462"/>
      <c r="N44" s="462"/>
      <c r="O44" s="462"/>
      <c r="P44" s="462"/>
      <c r="Q44" s="462"/>
      <c r="R44" s="463">
        <f t="shared" si="0"/>
        <v>0</v>
      </c>
      <c r="S44" s="466"/>
    </row>
    <row r="45" spans="1:19" x14ac:dyDescent="0.25">
      <c r="A45" s="428"/>
      <c r="B45" s="467"/>
      <c r="C45" s="467"/>
      <c r="D45" s="442" t="s">
        <v>500</v>
      </c>
      <c r="E45" s="438">
        <v>511</v>
      </c>
      <c r="F45" s="454"/>
      <c r="G45" s="454"/>
      <c r="H45" s="454"/>
      <c r="I45" s="454"/>
      <c r="J45" s="454"/>
      <c r="K45" s="454"/>
      <c r="L45" s="454"/>
      <c r="M45" s="454"/>
      <c r="N45" s="454"/>
      <c r="O45" s="454"/>
      <c r="P45" s="454"/>
      <c r="Q45" s="454"/>
      <c r="R45" s="434">
        <f t="shared" si="0"/>
        <v>0</v>
      </c>
    </row>
    <row r="46" spans="1:19" x14ac:dyDescent="0.25">
      <c r="A46" s="428"/>
      <c r="B46" s="467"/>
      <c r="C46" s="467"/>
      <c r="D46" s="442" t="s">
        <v>492</v>
      </c>
      <c r="E46" s="438">
        <v>511</v>
      </c>
      <c r="F46" s="453"/>
      <c r="G46" s="454"/>
      <c r="H46" s="454"/>
      <c r="I46" s="454"/>
      <c r="J46" s="454"/>
      <c r="K46" s="454"/>
      <c r="L46" s="454"/>
      <c r="M46" s="454"/>
      <c r="N46" s="454"/>
      <c r="O46" s="454"/>
      <c r="P46" s="454"/>
      <c r="Q46" s="454"/>
      <c r="R46" s="434">
        <f t="shared" si="0"/>
        <v>0</v>
      </c>
    </row>
    <row r="47" spans="1:19" x14ac:dyDescent="0.25">
      <c r="A47" s="428"/>
      <c r="B47" s="467"/>
      <c r="C47" s="467"/>
      <c r="D47" s="442" t="s">
        <v>510</v>
      </c>
      <c r="E47" s="438">
        <v>511</v>
      </c>
      <c r="F47" s="454"/>
      <c r="G47" s="454"/>
      <c r="H47" s="454"/>
      <c r="I47" s="454"/>
      <c r="J47" s="454"/>
      <c r="K47" s="454"/>
      <c r="L47" s="454"/>
      <c r="M47" s="454"/>
      <c r="N47" s="454"/>
      <c r="O47" s="454"/>
      <c r="P47" s="454"/>
      <c r="Q47" s="454"/>
      <c r="R47" s="434">
        <f t="shared" si="0"/>
        <v>0</v>
      </c>
    </row>
    <row r="48" spans="1:19" x14ac:dyDescent="0.25">
      <c r="A48" s="428"/>
      <c r="B48" s="467"/>
      <c r="C48" s="467"/>
      <c r="D48" s="442" t="s">
        <v>501</v>
      </c>
      <c r="E48" s="443">
        <v>511</v>
      </c>
      <c r="F48" s="454"/>
      <c r="G48" s="454"/>
      <c r="H48" s="454"/>
      <c r="I48" s="454"/>
      <c r="J48" s="454"/>
      <c r="K48" s="454"/>
      <c r="L48" s="454"/>
      <c r="M48" s="454"/>
      <c r="N48" s="454"/>
      <c r="O48" s="454"/>
      <c r="P48" s="454"/>
      <c r="Q48" s="454"/>
      <c r="R48" s="434">
        <f t="shared" si="0"/>
        <v>0</v>
      </c>
    </row>
    <row r="49" spans="1:19" x14ac:dyDescent="0.25">
      <c r="A49" s="428"/>
      <c r="B49" s="467"/>
      <c r="C49" s="467"/>
      <c r="D49" s="442" t="s">
        <v>511</v>
      </c>
      <c r="E49" s="443">
        <v>511</v>
      </c>
      <c r="F49" s="454"/>
      <c r="G49" s="454"/>
      <c r="H49" s="454"/>
      <c r="I49" s="454"/>
      <c r="J49" s="454"/>
      <c r="K49" s="454"/>
      <c r="L49" s="454"/>
      <c r="M49" s="454"/>
      <c r="N49" s="454"/>
      <c r="O49" s="454"/>
      <c r="P49" s="454"/>
      <c r="Q49" s="454"/>
      <c r="R49" s="434">
        <f t="shared" si="0"/>
        <v>0</v>
      </c>
    </row>
    <row r="50" spans="1:19" x14ac:dyDescent="0.25">
      <c r="A50" s="428"/>
      <c r="B50" s="467"/>
      <c r="C50" s="467"/>
      <c r="D50" s="442" t="s">
        <v>493</v>
      </c>
      <c r="E50" s="443">
        <v>711</v>
      </c>
      <c r="F50" s="454"/>
      <c r="G50" s="454"/>
      <c r="H50" s="454"/>
      <c r="I50" s="454"/>
      <c r="J50" s="454"/>
      <c r="K50" s="454"/>
      <c r="L50" s="454"/>
      <c r="M50" s="454"/>
      <c r="N50" s="454"/>
      <c r="O50" s="454"/>
      <c r="P50" s="454"/>
      <c r="Q50" s="454"/>
      <c r="R50" s="434">
        <f t="shared" si="0"/>
        <v>0</v>
      </c>
    </row>
    <row r="51" spans="1:19" x14ac:dyDescent="0.25">
      <c r="A51" s="468"/>
      <c r="B51" s="469"/>
      <c r="C51" s="469"/>
      <c r="D51" s="470" t="s">
        <v>497</v>
      </c>
      <c r="E51" s="447" t="s">
        <v>498</v>
      </c>
      <c r="F51" s="460"/>
      <c r="G51" s="460"/>
      <c r="H51" s="460"/>
      <c r="I51" s="460"/>
      <c r="J51" s="460"/>
      <c r="K51" s="460"/>
      <c r="L51" s="460"/>
      <c r="M51" s="460"/>
      <c r="N51" s="460"/>
      <c r="O51" s="460"/>
      <c r="P51" s="460"/>
      <c r="Q51" s="460"/>
      <c r="R51" s="461">
        <f t="shared" si="0"/>
        <v>0</v>
      </c>
    </row>
    <row r="52" spans="1:19" x14ac:dyDescent="0.25">
      <c r="A52" s="561">
        <v>7</v>
      </c>
      <c r="B52" s="552" t="s">
        <v>600</v>
      </c>
      <c r="C52" s="552" t="s">
        <v>601</v>
      </c>
      <c r="D52" s="450" t="s">
        <v>491</v>
      </c>
      <c r="E52" s="471">
        <v>511</v>
      </c>
      <c r="F52" s="462"/>
      <c r="G52" s="462"/>
      <c r="H52" s="462"/>
      <c r="I52" s="462"/>
      <c r="J52" s="462"/>
      <c r="K52" s="462"/>
      <c r="L52" s="462"/>
      <c r="M52" s="462"/>
      <c r="N52" s="462"/>
      <c r="O52" s="462"/>
      <c r="P52" s="462"/>
      <c r="Q52" s="462"/>
      <c r="R52" s="463">
        <f t="shared" si="0"/>
        <v>0</v>
      </c>
    </row>
    <row r="53" spans="1:19" x14ac:dyDescent="0.25">
      <c r="A53" s="428"/>
      <c r="B53" s="472"/>
      <c r="C53" s="472"/>
      <c r="D53" s="456" t="s">
        <v>500</v>
      </c>
      <c r="E53" s="473">
        <v>511</v>
      </c>
      <c r="F53" s="432"/>
      <c r="G53" s="432"/>
      <c r="H53" s="432"/>
      <c r="I53" s="432"/>
      <c r="J53" s="432"/>
      <c r="K53" s="432"/>
      <c r="L53" s="432"/>
      <c r="M53" s="432"/>
      <c r="N53" s="432"/>
      <c r="O53" s="432"/>
      <c r="P53" s="432"/>
      <c r="Q53" s="432"/>
      <c r="R53" s="434">
        <f t="shared" si="0"/>
        <v>0</v>
      </c>
    </row>
    <row r="54" spans="1:19" x14ac:dyDescent="0.25">
      <c r="A54" s="428"/>
      <c r="B54" s="472"/>
      <c r="C54" s="472"/>
      <c r="D54" s="456" t="s">
        <v>492</v>
      </c>
      <c r="E54" s="473">
        <v>511</v>
      </c>
      <c r="F54" s="432"/>
      <c r="G54" s="432"/>
      <c r="H54" s="432"/>
      <c r="I54" s="432"/>
      <c r="J54" s="432"/>
      <c r="K54" s="432"/>
      <c r="L54" s="432"/>
      <c r="M54" s="432"/>
      <c r="N54" s="432"/>
      <c r="O54" s="432"/>
      <c r="P54" s="432"/>
      <c r="Q54" s="432"/>
      <c r="R54" s="434">
        <f t="shared" si="0"/>
        <v>0</v>
      </c>
    </row>
    <row r="55" spans="1:19" x14ac:dyDescent="0.25">
      <c r="A55" s="428"/>
      <c r="B55" s="472"/>
      <c r="C55" s="472"/>
      <c r="D55" s="456" t="s">
        <v>510</v>
      </c>
      <c r="E55" s="473">
        <v>511</v>
      </c>
      <c r="F55" s="432"/>
      <c r="G55" s="432"/>
      <c r="H55" s="432"/>
      <c r="I55" s="432"/>
      <c r="J55" s="432"/>
      <c r="K55" s="432"/>
      <c r="L55" s="432"/>
      <c r="M55" s="432"/>
      <c r="N55" s="432"/>
      <c r="O55" s="432"/>
      <c r="P55" s="432"/>
      <c r="Q55" s="432"/>
      <c r="R55" s="434">
        <f t="shared" si="0"/>
        <v>0</v>
      </c>
    </row>
    <row r="56" spans="1:19" x14ac:dyDescent="0.25">
      <c r="A56" s="428"/>
      <c r="B56" s="472"/>
      <c r="C56" s="472"/>
      <c r="D56" s="456" t="s">
        <v>501</v>
      </c>
      <c r="E56" s="473">
        <v>511</v>
      </c>
      <c r="F56" s="432"/>
      <c r="G56" s="432"/>
      <c r="H56" s="432"/>
      <c r="I56" s="432"/>
      <c r="J56" s="432"/>
      <c r="K56" s="432"/>
      <c r="L56" s="432"/>
      <c r="M56" s="432"/>
      <c r="N56" s="432"/>
      <c r="O56" s="432"/>
      <c r="P56" s="432"/>
      <c r="Q56" s="432"/>
      <c r="R56" s="434">
        <f t="shared" si="0"/>
        <v>0</v>
      </c>
    </row>
    <row r="57" spans="1:19" x14ac:dyDescent="0.25">
      <c r="A57" s="428"/>
      <c r="B57" s="472"/>
      <c r="C57" s="472"/>
      <c r="D57" s="456" t="s">
        <v>511</v>
      </c>
      <c r="E57" s="473">
        <v>511</v>
      </c>
      <c r="F57" s="432"/>
      <c r="G57" s="432"/>
      <c r="H57" s="432"/>
      <c r="I57" s="432"/>
      <c r="J57" s="432"/>
      <c r="K57" s="432"/>
      <c r="L57" s="432"/>
      <c r="M57" s="432"/>
      <c r="N57" s="432"/>
      <c r="O57" s="432"/>
      <c r="P57" s="432"/>
      <c r="Q57" s="432"/>
      <c r="R57" s="434">
        <f t="shared" si="0"/>
        <v>0</v>
      </c>
    </row>
    <row r="58" spans="1:19" x14ac:dyDescent="0.25">
      <c r="A58" s="428"/>
      <c r="B58" s="472"/>
      <c r="C58" s="472"/>
      <c r="D58" s="456" t="s">
        <v>493</v>
      </c>
      <c r="E58" s="473">
        <v>711</v>
      </c>
      <c r="F58" s="432"/>
      <c r="G58" s="432"/>
      <c r="H58" s="432"/>
      <c r="I58" s="432"/>
      <c r="J58" s="432"/>
      <c r="K58" s="432"/>
      <c r="L58" s="432"/>
      <c r="M58" s="432"/>
      <c r="N58" s="432"/>
      <c r="O58" s="432"/>
      <c r="P58" s="432"/>
      <c r="Q58" s="432"/>
      <c r="R58" s="434">
        <f t="shared" si="0"/>
        <v>0</v>
      </c>
    </row>
    <row r="59" spans="1:19" x14ac:dyDescent="0.25">
      <c r="A59" s="428"/>
      <c r="B59" s="472"/>
      <c r="C59" s="472"/>
      <c r="D59" s="456" t="s">
        <v>497</v>
      </c>
      <c r="E59" s="473" t="s">
        <v>498</v>
      </c>
      <c r="F59" s="432"/>
      <c r="G59" s="432"/>
      <c r="H59" s="432"/>
      <c r="I59" s="432"/>
      <c r="J59" s="432"/>
      <c r="K59" s="432"/>
      <c r="L59" s="432"/>
      <c r="M59" s="432"/>
      <c r="N59" s="432"/>
      <c r="O59" s="432"/>
      <c r="P59" s="432"/>
      <c r="Q59" s="432"/>
      <c r="R59" s="434">
        <f t="shared" si="0"/>
        <v>0</v>
      </c>
    </row>
    <row r="60" spans="1:19" x14ac:dyDescent="0.25">
      <c r="A60" s="561">
        <v>8</v>
      </c>
      <c r="B60" s="552" t="s">
        <v>512</v>
      </c>
      <c r="C60" s="552" t="s">
        <v>602</v>
      </c>
      <c r="D60" s="450" t="s">
        <v>491</v>
      </c>
      <c r="E60" s="451">
        <v>511</v>
      </c>
      <c r="F60" s="462"/>
      <c r="G60" s="462"/>
      <c r="H60" s="462"/>
      <c r="I60" s="462"/>
      <c r="J60" s="462"/>
      <c r="K60" s="462"/>
      <c r="L60" s="462"/>
      <c r="M60" s="462"/>
      <c r="N60" s="462"/>
      <c r="O60" s="462"/>
      <c r="P60" s="462"/>
      <c r="Q60" s="462"/>
      <c r="R60" s="463">
        <f t="shared" si="0"/>
        <v>0</v>
      </c>
      <c r="S60" s="466"/>
    </row>
    <row r="61" spans="1:19" x14ac:dyDescent="0.25">
      <c r="A61" s="428"/>
      <c r="B61" s="472"/>
      <c r="C61" s="472"/>
      <c r="D61" s="456" t="s">
        <v>513</v>
      </c>
      <c r="E61" s="438">
        <v>511</v>
      </c>
      <c r="F61" s="454"/>
      <c r="G61" s="454"/>
      <c r="H61" s="454"/>
      <c r="I61" s="454"/>
      <c r="J61" s="454"/>
      <c r="K61" s="454"/>
      <c r="L61" s="454"/>
      <c r="M61" s="454"/>
      <c r="N61" s="454"/>
      <c r="O61" s="454"/>
      <c r="P61" s="454"/>
      <c r="Q61" s="454"/>
      <c r="R61" s="434">
        <f t="shared" si="0"/>
        <v>0</v>
      </c>
    </row>
    <row r="62" spans="1:19" x14ac:dyDescent="0.25">
      <c r="A62" s="428"/>
      <c r="B62" s="472"/>
      <c r="C62" s="472"/>
      <c r="D62" s="442" t="s">
        <v>500</v>
      </c>
      <c r="E62" s="438">
        <v>511</v>
      </c>
      <c r="F62" s="453"/>
      <c r="G62" s="454"/>
      <c r="H62" s="454"/>
      <c r="I62" s="454"/>
      <c r="J62" s="454"/>
      <c r="K62" s="454"/>
      <c r="L62" s="454"/>
      <c r="M62" s="454"/>
      <c r="N62" s="454"/>
      <c r="O62" s="454"/>
      <c r="P62" s="454"/>
      <c r="Q62" s="454"/>
      <c r="R62" s="434">
        <f t="shared" si="0"/>
        <v>0</v>
      </c>
    </row>
    <row r="63" spans="1:19" x14ac:dyDescent="0.25">
      <c r="A63" s="428"/>
      <c r="B63" s="472"/>
      <c r="C63" s="472"/>
      <c r="D63" s="442" t="s">
        <v>492</v>
      </c>
      <c r="E63" s="438">
        <v>511</v>
      </c>
      <c r="F63" s="454"/>
      <c r="G63" s="454"/>
      <c r="H63" s="454"/>
      <c r="I63" s="454"/>
      <c r="J63" s="454"/>
      <c r="K63" s="454"/>
      <c r="L63" s="454"/>
      <c r="M63" s="454"/>
      <c r="N63" s="454"/>
      <c r="O63" s="454"/>
      <c r="P63" s="454"/>
      <c r="Q63" s="454"/>
      <c r="R63" s="434">
        <f t="shared" si="0"/>
        <v>0</v>
      </c>
    </row>
    <row r="64" spans="1:19" x14ac:dyDescent="0.25">
      <c r="A64" s="428"/>
      <c r="B64" s="472"/>
      <c r="C64" s="472"/>
      <c r="D64" s="442" t="s">
        <v>511</v>
      </c>
      <c r="E64" s="443">
        <v>511</v>
      </c>
      <c r="F64" s="454"/>
      <c r="G64" s="454"/>
      <c r="H64" s="454"/>
      <c r="I64" s="454"/>
      <c r="J64" s="454"/>
      <c r="K64" s="454"/>
      <c r="L64" s="454"/>
      <c r="M64" s="454"/>
      <c r="N64" s="454"/>
      <c r="O64" s="454"/>
      <c r="P64" s="454"/>
      <c r="Q64" s="454"/>
      <c r="R64" s="434">
        <f t="shared" si="0"/>
        <v>0</v>
      </c>
    </row>
    <row r="65" spans="1:18" x14ac:dyDescent="0.25">
      <c r="A65" s="428"/>
      <c r="B65" s="467"/>
      <c r="C65" s="467"/>
      <c r="D65" s="442" t="s">
        <v>493</v>
      </c>
      <c r="E65" s="443">
        <v>711</v>
      </c>
      <c r="F65" s="454"/>
      <c r="G65" s="454"/>
      <c r="H65" s="454"/>
      <c r="I65" s="454"/>
      <c r="J65" s="454"/>
      <c r="K65" s="454"/>
      <c r="L65" s="454"/>
      <c r="M65" s="454"/>
      <c r="N65" s="454"/>
      <c r="O65" s="454"/>
      <c r="P65" s="454"/>
      <c r="Q65" s="454"/>
      <c r="R65" s="434">
        <f t="shared" si="0"/>
        <v>0</v>
      </c>
    </row>
    <row r="66" spans="1:18" x14ac:dyDescent="0.25">
      <c r="A66" s="428"/>
      <c r="B66" s="467"/>
      <c r="C66" s="467"/>
      <c r="D66" s="442" t="s">
        <v>505</v>
      </c>
      <c r="E66" s="443">
        <v>511</v>
      </c>
      <c r="F66" s="454"/>
      <c r="G66" s="454"/>
      <c r="H66" s="454"/>
      <c r="I66" s="454"/>
      <c r="J66" s="454"/>
      <c r="K66" s="454"/>
      <c r="L66" s="454"/>
      <c r="M66" s="454"/>
      <c r="N66" s="454"/>
      <c r="O66" s="454"/>
      <c r="P66" s="454"/>
      <c r="Q66" s="454"/>
      <c r="R66" s="434">
        <f t="shared" si="0"/>
        <v>0</v>
      </c>
    </row>
    <row r="67" spans="1:18" x14ac:dyDescent="0.25">
      <c r="A67" s="428"/>
      <c r="B67" s="467"/>
      <c r="C67" s="472"/>
      <c r="D67" s="456" t="s">
        <v>497</v>
      </c>
      <c r="E67" s="443">
        <v>711</v>
      </c>
      <c r="F67" s="454"/>
      <c r="G67" s="454"/>
      <c r="H67" s="454"/>
      <c r="I67" s="454"/>
      <c r="J67" s="454"/>
      <c r="K67" s="454"/>
      <c r="L67" s="454"/>
      <c r="M67" s="454"/>
      <c r="N67" s="454"/>
      <c r="O67" s="454"/>
      <c r="P67" s="454"/>
      <c r="Q67" s="454"/>
      <c r="R67" s="434">
        <f t="shared" si="0"/>
        <v>0</v>
      </c>
    </row>
    <row r="68" spans="1:18" x14ac:dyDescent="0.25">
      <c r="A68" s="561">
        <v>9</v>
      </c>
      <c r="B68" s="552" t="s">
        <v>514</v>
      </c>
      <c r="C68" s="552" t="s">
        <v>603</v>
      </c>
      <c r="D68" s="450" t="s">
        <v>491</v>
      </c>
      <c r="E68" s="451">
        <v>511</v>
      </c>
      <c r="F68" s="462"/>
      <c r="G68" s="462"/>
      <c r="H68" s="462"/>
      <c r="I68" s="462"/>
      <c r="J68" s="462"/>
      <c r="K68" s="462"/>
      <c r="L68" s="462"/>
      <c r="M68" s="462"/>
      <c r="N68" s="462"/>
      <c r="O68" s="462"/>
      <c r="P68" s="462"/>
      <c r="Q68" s="462"/>
      <c r="R68" s="463">
        <f t="shared" si="0"/>
        <v>0</v>
      </c>
    </row>
    <row r="69" spans="1:18" x14ac:dyDescent="0.25">
      <c r="A69" s="428"/>
      <c r="B69" s="467"/>
      <c r="C69" s="467"/>
      <c r="D69" s="442" t="s">
        <v>500</v>
      </c>
      <c r="E69" s="438">
        <v>511</v>
      </c>
      <c r="F69" s="454"/>
      <c r="G69" s="454"/>
      <c r="H69" s="454"/>
      <c r="I69" s="454"/>
      <c r="J69" s="454"/>
      <c r="K69" s="454"/>
      <c r="L69" s="454"/>
      <c r="M69" s="454"/>
      <c r="N69" s="454"/>
      <c r="O69" s="454"/>
      <c r="P69" s="454"/>
      <c r="Q69" s="454"/>
      <c r="R69" s="434">
        <f t="shared" si="0"/>
        <v>0</v>
      </c>
    </row>
    <row r="70" spans="1:18" x14ac:dyDescent="0.25">
      <c r="A70" s="428"/>
      <c r="B70" s="467"/>
      <c r="C70" s="467"/>
      <c r="D70" s="442" t="s">
        <v>492</v>
      </c>
      <c r="E70" s="438">
        <v>511</v>
      </c>
      <c r="F70" s="454"/>
      <c r="G70" s="454"/>
      <c r="H70" s="454"/>
      <c r="I70" s="454"/>
      <c r="J70" s="454"/>
      <c r="K70" s="454"/>
      <c r="L70" s="454"/>
      <c r="M70" s="454"/>
      <c r="N70" s="454"/>
      <c r="O70" s="454"/>
      <c r="P70" s="454"/>
      <c r="Q70" s="454"/>
      <c r="R70" s="434">
        <f t="shared" si="0"/>
        <v>0</v>
      </c>
    </row>
    <row r="71" spans="1:18" x14ac:dyDescent="0.25">
      <c r="A71" s="428"/>
      <c r="B71" s="467"/>
      <c r="C71" s="467"/>
      <c r="D71" s="442" t="s">
        <v>511</v>
      </c>
      <c r="E71" s="443">
        <v>511</v>
      </c>
      <c r="F71" s="454"/>
      <c r="G71" s="454"/>
      <c r="H71" s="454"/>
      <c r="I71" s="454"/>
      <c r="J71" s="454"/>
      <c r="K71" s="454"/>
      <c r="L71" s="454"/>
      <c r="M71" s="454"/>
      <c r="N71" s="454"/>
      <c r="O71" s="454"/>
      <c r="P71" s="454"/>
      <c r="Q71" s="454"/>
      <c r="R71" s="434">
        <f t="shared" si="0"/>
        <v>0</v>
      </c>
    </row>
    <row r="72" spans="1:18" x14ac:dyDescent="0.25">
      <c r="A72" s="428"/>
      <c r="B72" s="467"/>
      <c r="C72" s="467"/>
      <c r="D72" s="442" t="s">
        <v>497</v>
      </c>
      <c r="E72" s="443">
        <v>711</v>
      </c>
      <c r="F72" s="454"/>
      <c r="G72" s="454"/>
      <c r="H72" s="454"/>
      <c r="I72" s="454"/>
      <c r="J72" s="454"/>
      <c r="K72" s="454"/>
      <c r="L72" s="454"/>
      <c r="M72" s="454"/>
      <c r="N72" s="454"/>
      <c r="O72" s="454"/>
      <c r="P72" s="454"/>
      <c r="Q72" s="454"/>
      <c r="R72" s="434">
        <f t="shared" si="0"/>
        <v>0</v>
      </c>
    </row>
    <row r="73" spans="1:18" x14ac:dyDescent="0.25">
      <c r="A73" s="561">
        <v>10</v>
      </c>
      <c r="B73" s="474" t="s">
        <v>515</v>
      </c>
      <c r="C73" s="552" t="s">
        <v>604</v>
      </c>
      <c r="D73" s="450" t="s">
        <v>491</v>
      </c>
      <c r="E73" s="451">
        <v>511</v>
      </c>
      <c r="F73" s="465"/>
      <c r="G73" s="462"/>
      <c r="H73" s="462"/>
      <c r="I73" s="462"/>
      <c r="J73" s="462"/>
      <c r="K73" s="462"/>
      <c r="L73" s="462"/>
      <c r="M73" s="462"/>
      <c r="N73" s="462"/>
      <c r="O73" s="462"/>
      <c r="P73" s="462"/>
      <c r="Q73" s="462"/>
      <c r="R73" s="463">
        <f t="shared" si="0"/>
        <v>0</v>
      </c>
    </row>
    <row r="74" spans="1:18" x14ac:dyDescent="0.25">
      <c r="A74" s="428"/>
      <c r="B74" s="467"/>
      <c r="C74" s="472"/>
      <c r="D74" s="456" t="s">
        <v>500</v>
      </c>
      <c r="E74" s="443">
        <v>511</v>
      </c>
      <c r="F74" s="454"/>
      <c r="G74" s="454"/>
      <c r="H74" s="454"/>
      <c r="I74" s="454"/>
      <c r="J74" s="454"/>
      <c r="K74" s="454"/>
      <c r="L74" s="454"/>
      <c r="M74" s="454"/>
      <c r="N74" s="454"/>
      <c r="O74" s="454"/>
      <c r="P74" s="454"/>
      <c r="Q74" s="454"/>
      <c r="R74" s="475">
        <f t="shared" si="0"/>
        <v>0</v>
      </c>
    </row>
    <row r="75" spans="1:18" x14ac:dyDescent="0.25">
      <c r="A75" s="455"/>
      <c r="B75" s="469"/>
      <c r="C75" s="469"/>
      <c r="D75" s="442" t="s">
        <v>492</v>
      </c>
      <c r="E75" s="443">
        <v>511</v>
      </c>
      <c r="F75" s="460"/>
      <c r="G75" s="460"/>
      <c r="H75" s="460"/>
      <c r="I75" s="460"/>
      <c r="J75" s="460"/>
      <c r="K75" s="460"/>
      <c r="L75" s="460"/>
      <c r="M75" s="460"/>
      <c r="N75" s="460"/>
      <c r="O75" s="460"/>
      <c r="P75" s="460"/>
      <c r="Q75" s="460"/>
      <c r="R75" s="475">
        <f t="shared" si="0"/>
        <v>0</v>
      </c>
    </row>
    <row r="76" spans="1:18" x14ac:dyDescent="0.25">
      <c r="A76" s="455"/>
      <c r="B76" s="469"/>
      <c r="C76" s="469"/>
      <c r="D76" s="442" t="s">
        <v>511</v>
      </c>
      <c r="E76" s="443">
        <v>511</v>
      </c>
      <c r="F76" s="460"/>
      <c r="G76" s="460"/>
      <c r="H76" s="460"/>
      <c r="I76" s="460"/>
      <c r="J76" s="460"/>
      <c r="K76" s="460"/>
      <c r="L76" s="460"/>
      <c r="M76" s="460"/>
      <c r="N76" s="460"/>
      <c r="O76" s="460"/>
      <c r="P76" s="460"/>
      <c r="Q76" s="460"/>
      <c r="R76" s="475">
        <f t="shared" si="0"/>
        <v>0</v>
      </c>
    </row>
    <row r="77" spans="1:18" x14ac:dyDescent="0.25">
      <c r="A77" s="444"/>
      <c r="B77" s="469"/>
      <c r="C77" s="469"/>
      <c r="D77" s="470" t="s">
        <v>497</v>
      </c>
      <c r="E77" s="476">
        <v>711</v>
      </c>
      <c r="F77" s="460"/>
      <c r="G77" s="460"/>
      <c r="H77" s="460"/>
      <c r="I77" s="460"/>
      <c r="J77" s="460"/>
      <c r="K77" s="460"/>
      <c r="L77" s="460"/>
      <c r="M77" s="460"/>
      <c r="N77" s="460"/>
      <c r="O77" s="460"/>
      <c r="P77" s="460"/>
      <c r="Q77" s="460"/>
      <c r="R77" s="449">
        <f t="shared" si="0"/>
        <v>0</v>
      </c>
    </row>
    <row r="78" spans="1:18" x14ac:dyDescent="0.25">
      <c r="A78" s="561">
        <v>11</v>
      </c>
      <c r="B78" s="552" t="s">
        <v>516</v>
      </c>
      <c r="C78" s="474" t="s">
        <v>605</v>
      </c>
      <c r="D78" s="477" t="s">
        <v>492</v>
      </c>
      <c r="E78" s="478">
        <v>511</v>
      </c>
      <c r="F78" s="462"/>
      <c r="G78" s="462"/>
      <c r="H78" s="462"/>
      <c r="I78" s="462"/>
      <c r="J78" s="462"/>
      <c r="K78" s="462"/>
      <c r="L78" s="462"/>
      <c r="M78" s="462"/>
      <c r="N78" s="462"/>
      <c r="O78" s="462"/>
      <c r="P78" s="462"/>
      <c r="Q78" s="462"/>
      <c r="R78" s="463">
        <f t="shared" si="0"/>
        <v>0</v>
      </c>
    </row>
    <row r="79" spans="1:18" x14ac:dyDescent="0.25">
      <c r="A79" s="455"/>
      <c r="B79" s="469"/>
      <c r="C79" s="469"/>
      <c r="D79" s="470" t="s">
        <v>491</v>
      </c>
      <c r="E79" s="476">
        <v>511</v>
      </c>
      <c r="F79" s="454"/>
      <c r="G79" s="454"/>
      <c r="H79" s="454"/>
      <c r="I79" s="454"/>
      <c r="J79" s="454"/>
      <c r="K79" s="454"/>
      <c r="L79" s="454"/>
      <c r="M79" s="454"/>
      <c r="N79" s="454"/>
      <c r="O79" s="454"/>
      <c r="P79" s="454"/>
      <c r="Q79" s="454"/>
      <c r="R79" s="434">
        <f t="shared" si="0"/>
        <v>0</v>
      </c>
    </row>
    <row r="80" spans="1:18" x14ac:dyDescent="0.25">
      <c r="A80" s="455"/>
      <c r="B80" s="469"/>
      <c r="C80" s="469"/>
      <c r="D80" s="470" t="s">
        <v>500</v>
      </c>
      <c r="E80" s="476">
        <v>511</v>
      </c>
      <c r="F80" s="454"/>
      <c r="G80" s="454"/>
      <c r="H80" s="454"/>
      <c r="I80" s="454"/>
      <c r="J80" s="454"/>
      <c r="K80" s="454"/>
      <c r="L80" s="454"/>
      <c r="M80" s="454"/>
      <c r="N80" s="454"/>
      <c r="O80" s="454"/>
      <c r="P80" s="454"/>
      <c r="Q80" s="454"/>
      <c r="R80" s="434">
        <f t="shared" si="0"/>
        <v>0</v>
      </c>
    </row>
    <row r="81" spans="1:19" x14ac:dyDescent="0.25">
      <c r="A81" s="455"/>
      <c r="B81" s="469"/>
      <c r="C81" s="469"/>
      <c r="D81" s="470" t="s">
        <v>493</v>
      </c>
      <c r="E81" s="476">
        <v>711</v>
      </c>
      <c r="F81" s="454"/>
      <c r="G81" s="454"/>
      <c r="H81" s="454"/>
      <c r="I81" s="454"/>
      <c r="J81" s="454"/>
      <c r="K81" s="454"/>
      <c r="L81" s="454"/>
      <c r="M81" s="454"/>
      <c r="N81" s="454"/>
      <c r="O81" s="454"/>
      <c r="P81" s="454"/>
      <c r="Q81" s="454"/>
      <c r="R81" s="434">
        <f t="shared" ref="R81:R126" si="1">SUM(F81:Q81)</f>
        <v>0</v>
      </c>
    </row>
    <row r="82" spans="1:19" x14ac:dyDescent="0.25">
      <c r="A82" s="455"/>
      <c r="B82" s="469"/>
      <c r="C82" s="467"/>
      <c r="D82" s="442" t="s">
        <v>494</v>
      </c>
      <c r="E82" s="443">
        <v>515</v>
      </c>
      <c r="F82" s="454"/>
      <c r="G82" s="454"/>
      <c r="H82" s="454"/>
      <c r="I82" s="454"/>
      <c r="J82" s="454"/>
      <c r="K82" s="454"/>
      <c r="L82" s="454"/>
      <c r="M82" s="454"/>
      <c r="N82" s="454"/>
      <c r="O82" s="454"/>
      <c r="P82" s="454"/>
      <c r="Q82" s="454"/>
      <c r="R82" s="434">
        <f t="shared" si="1"/>
        <v>0</v>
      </c>
    </row>
    <row r="83" spans="1:19" x14ac:dyDescent="0.25">
      <c r="A83" s="444"/>
      <c r="B83" s="469"/>
      <c r="C83" s="555"/>
      <c r="D83" s="459" t="s">
        <v>497</v>
      </c>
      <c r="E83" s="479">
        <v>7118</v>
      </c>
      <c r="F83" s="460"/>
      <c r="G83" s="460"/>
      <c r="H83" s="460"/>
      <c r="I83" s="460"/>
      <c r="J83" s="460"/>
      <c r="K83" s="460"/>
      <c r="L83" s="460"/>
      <c r="M83" s="460"/>
      <c r="N83" s="460"/>
      <c r="O83" s="460"/>
      <c r="P83" s="460"/>
      <c r="Q83" s="460"/>
      <c r="R83" s="461">
        <f t="shared" si="1"/>
        <v>0</v>
      </c>
    </row>
    <row r="84" spans="1:19" x14ac:dyDescent="0.25">
      <c r="A84" s="561">
        <v>12</v>
      </c>
      <c r="B84" s="552" t="s">
        <v>517</v>
      </c>
      <c r="C84" s="552" t="s">
        <v>606</v>
      </c>
      <c r="D84" s="450" t="s">
        <v>491</v>
      </c>
      <c r="E84" s="451">
        <v>511521</v>
      </c>
      <c r="F84" s="462"/>
      <c r="G84" s="462"/>
      <c r="H84" s="462"/>
      <c r="I84" s="462"/>
      <c r="J84" s="462"/>
      <c r="K84" s="462"/>
      <c r="L84" s="462"/>
      <c r="M84" s="462"/>
      <c r="N84" s="462"/>
      <c r="O84" s="462"/>
      <c r="P84" s="462"/>
      <c r="Q84" s="462"/>
      <c r="R84" s="463">
        <f t="shared" si="1"/>
        <v>0</v>
      </c>
    </row>
    <row r="85" spans="1:19" x14ac:dyDescent="0.25">
      <c r="A85" s="455"/>
      <c r="B85" s="467"/>
      <c r="C85" s="467"/>
      <c r="D85" s="442" t="s">
        <v>500</v>
      </c>
      <c r="E85" s="438">
        <v>511</v>
      </c>
      <c r="F85" s="454"/>
      <c r="G85" s="454"/>
      <c r="H85" s="454"/>
      <c r="I85" s="454"/>
      <c r="J85" s="454"/>
      <c r="K85" s="454"/>
      <c r="L85" s="454"/>
      <c r="M85" s="454"/>
      <c r="N85" s="454"/>
      <c r="O85" s="454"/>
      <c r="P85" s="454"/>
      <c r="Q85" s="454"/>
      <c r="R85" s="434">
        <f t="shared" si="1"/>
        <v>0</v>
      </c>
    </row>
    <row r="86" spans="1:19" x14ac:dyDescent="0.25">
      <c r="A86" s="455"/>
      <c r="B86" s="467"/>
      <c r="C86" s="467"/>
      <c r="D86" s="442" t="s">
        <v>492</v>
      </c>
      <c r="E86" s="438">
        <v>511</v>
      </c>
      <c r="F86" s="454"/>
      <c r="G86" s="454"/>
      <c r="H86" s="454"/>
      <c r="I86" s="454"/>
      <c r="J86" s="454"/>
      <c r="K86" s="454"/>
      <c r="L86" s="454"/>
      <c r="M86" s="454"/>
      <c r="N86" s="454"/>
      <c r="O86" s="454"/>
      <c r="P86" s="454"/>
      <c r="Q86" s="454"/>
      <c r="R86" s="434">
        <f t="shared" si="1"/>
        <v>0</v>
      </c>
    </row>
    <row r="87" spans="1:19" x14ac:dyDescent="0.25">
      <c r="A87" s="455"/>
      <c r="B87" s="467"/>
      <c r="C87" s="467"/>
      <c r="D87" s="442" t="s">
        <v>511</v>
      </c>
      <c r="E87" s="443">
        <v>511</v>
      </c>
      <c r="F87" s="454"/>
      <c r="G87" s="454"/>
      <c r="H87" s="454"/>
      <c r="I87" s="454"/>
      <c r="J87" s="454"/>
      <c r="K87" s="454"/>
      <c r="L87" s="454"/>
      <c r="M87" s="454"/>
      <c r="N87" s="454"/>
      <c r="O87" s="454"/>
      <c r="P87" s="454"/>
      <c r="Q87" s="454"/>
      <c r="R87" s="434">
        <f t="shared" si="1"/>
        <v>0</v>
      </c>
    </row>
    <row r="88" spans="1:19" x14ac:dyDescent="0.25">
      <c r="A88" s="455"/>
      <c r="B88" s="467"/>
      <c r="C88" s="467"/>
      <c r="D88" s="442" t="s">
        <v>493</v>
      </c>
      <c r="E88" s="443">
        <v>711</v>
      </c>
      <c r="F88" s="454"/>
      <c r="G88" s="454"/>
      <c r="H88" s="454"/>
      <c r="I88" s="454"/>
      <c r="J88" s="454"/>
      <c r="K88" s="454"/>
      <c r="L88" s="454"/>
      <c r="M88" s="454"/>
      <c r="N88" s="454"/>
      <c r="O88" s="454"/>
      <c r="P88" s="454"/>
      <c r="Q88" s="454"/>
      <c r="R88" s="434">
        <f t="shared" si="1"/>
        <v>0</v>
      </c>
    </row>
    <row r="89" spans="1:19" x14ac:dyDescent="0.25">
      <c r="A89" s="455"/>
      <c r="B89" s="467"/>
      <c r="C89" s="467"/>
      <c r="D89" s="442" t="s">
        <v>494</v>
      </c>
      <c r="E89" s="443">
        <v>515</v>
      </c>
      <c r="F89" s="454"/>
      <c r="G89" s="454"/>
      <c r="H89" s="454"/>
      <c r="I89" s="454"/>
      <c r="J89" s="454"/>
      <c r="K89" s="454"/>
      <c r="L89" s="454"/>
      <c r="M89" s="454"/>
      <c r="N89" s="454"/>
      <c r="O89" s="454"/>
      <c r="P89" s="454"/>
      <c r="Q89" s="454"/>
      <c r="R89" s="434">
        <f t="shared" si="1"/>
        <v>0</v>
      </c>
    </row>
    <row r="90" spans="1:19" x14ac:dyDescent="0.25">
      <c r="A90" s="457"/>
      <c r="B90" s="469"/>
      <c r="C90" s="469"/>
      <c r="D90" s="470" t="s">
        <v>497</v>
      </c>
      <c r="E90" s="479">
        <v>7118</v>
      </c>
      <c r="F90" s="460"/>
      <c r="G90" s="460"/>
      <c r="H90" s="460"/>
      <c r="I90" s="460"/>
      <c r="J90" s="460"/>
      <c r="K90" s="460"/>
      <c r="L90" s="460"/>
      <c r="M90" s="460"/>
      <c r="N90" s="460"/>
      <c r="O90" s="460"/>
      <c r="P90" s="460"/>
      <c r="Q90" s="460"/>
      <c r="R90" s="461">
        <f t="shared" si="1"/>
        <v>0</v>
      </c>
    </row>
    <row r="91" spans="1:19" x14ac:dyDescent="0.25">
      <c r="A91" s="480">
        <v>13</v>
      </c>
      <c r="B91" s="552" t="s">
        <v>518</v>
      </c>
      <c r="C91" s="552" t="s">
        <v>607</v>
      </c>
      <c r="D91" s="450" t="s">
        <v>492</v>
      </c>
      <c r="E91" s="478">
        <v>511</v>
      </c>
      <c r="F91" s="462"/>
      <c r="G91" s="462"/>
      <c r="H91" s="462"/>
      <c r="I91" s="462"/>
      <c r="J91" s="462"/>
      <c r="K91" s="462"/>
      <c r="L91" s="462"/>
      <c r="M91" s="462"/>
      <c r="N91" s="462"/>
      <c r="O91" s="462"/>
      <c r="P91" s="462"/>
      <c r="Q91" s="462"/>
      <c r="R91" s="463">
        <f t="shared" si="1"/>
        <v>0</v>
      </c>
      <c r="S91" s="466"/>
    </row>
    <row r="92" spans="1:19" x14ac:dyDescent="0.25">
      <c r="A92" s="457"/>
      <c r="B92" s="469"/>
      <c r="C92" s="469"/>
      <c r="D92" s="442" t="s">
        <v>491</v>
      </c>
      <c r="E92" s="476">
        <v>511</v>
      </c>
      <c r="F92" s="454"/>
      <c r="G92" s="454"/>
      <c r="H92" s="454"/>
      <c r="I92" s="454"/>
      <c r="J92" s="454"/>
      <c r="K92" s="454"/>
      <c r="L92" s="454"/>
      <c r="M92" s="454"/>
      <c r="N92" s="454"/>
      <c r="O92" s="454"/>
      <c r="P92" s="454"/>
      <c r="Q92" s="454"/>
      <c r="R92" s="434">
        <f t="shared" si="1"/>
        <v>0</v>
      </c>
    </row>
    <row r="93" spans="1:19" x14ac:dyDescent="0.25">
      <c r="A93" s="457"/>
      <c r="B93" s="469"/>
      <c r="C93" s="469"/>
      <c r="D93" s="470" t="s">
        <v>500</v>
      </c>
      <c r="E93" s="476">
        <v>511</v>
      </c>
      <c r="F93" s="454"/>
      <c r="G93" s="454"/>
      <c r="H93" s="454"/>
      <c r="I93" s="454"/>
      <c r="J93" s="454"/>
      <c r="K93" s="454"/>
      <c r="L93" s="454"/>
      <c r="M93" s="454"/>
      <c r="N93" s="454"/>
      <c r="O93" s="454"/>
      <c r="P93" s="454"/>
      <c r="Q93" s="454"/>
      <c r="R93" s="434">
        <f t="shared" si="1"/>
        <v>0</v>
      </c>
    </row>
    <row r="94" spans="1:19" x14ac:dyDescent="0.25">
      <c r="A94" s="457"/>
      <c r="B94" s="469"/>
      <c r="C94" s="469"/>
      <c r="D94" s="470" t="s">
        <v>493</v>
      </c>
      <c r="E94" s="476">
        <v>711</v>
      </c>
      <c r="F94" s="454"/>
      <c r="G94" s="454"/>
      <c r="H94" s="454"/>
      <c r="I94" s="454"/>
      <c r="J94" s="454"/>
      <c r="K94" s="454"/>
      <c r="L94" s="454"/>
      <c r="M94" s="454"/>
      <c r="N94" s="454"/>
      <c r="O94" s="454"/>
      <c r="P94" s="454"/>
      <c r="Q94" s="454"/>
      <c r="R94" s="434">
        <f t="shared" si="1"/>
        <v>0</v>
      </c>
    </row>
    <row r="95" spans="1:19" x14ac:dyDescent="0.25">
      <c r="A95" s="457"/>
      <c r="B95" s="467"/>
      <c r="C95" s="467"/>
      <c r="D95" s="442" t="s">
        <v>494</v>
      </c>
      <c r="E95" s="443">
        <v>515</v>
      </c>
      <c r="F95" s="454"/>
      <c r="G95" s="454"/>
      <c r="H95" s="454"/>
      <c r="I95" s="454"/>
      <c r="J95" s="454"/>
      <c r="K95" s="454"/>
      <c r="L95" s="454"/>
      <c r="M95" s="454"/>
      <c r="N95" s="454"/>
      <c r="O95" s="454"/>
      <c r="P95" s="454"/>
      <c r="Q95" s="454"/>
      <c r="R95" s="434">
        <f t="shared" si="1"/>
        <v>0</v>
      </c>
    </row>
    <row r="96" spans="1:19" x14ac:dyDescent="0.25">
      <c r="A96" s="457"/>
      <c r="B96" s="481"/>
      <c r="C96" s="483"/>
      <c r="D96" s="459" t="s">
        <v>497</v>
      </c>
      <c r="E96" s="479">
        <v>7118</v>
      </c>
      <c r="F96" s="460"/>
      <c r="G96" s="460"/>
      <c r="H96" s="460"/>
      <c r="I96" s="460"/>
      <c r="J96" s="460"/>
      <c r="K96" s="460"/>
      <c r="L96" s="460"/>
      <c r="M96" s="460"/>
      <c r="N96" s="460"/>
      <c r="O96" s="460"/>
      <c r="P96" s="460"/>
      <c r="Q96" s="460"/>
      <c r="R96" s="461">
        <f t="shared" si="1"/>
        <v>0</v>
      </c>
    </row>
    <row r="97" spans="1:20" x14ac:dyDescent="0.25">
      <c r="A97" s="561">
        <v>14</v>
      </c>
      <c r="B97" s="552" t="s">
        <v>519</v>
      </c>
      <c r="C97" s="552" t="s">
        <v>608</v>
      </c>
      <c r="D97" s="450" t="s">
        <v>491</v>
      </c>
      <c r="E97" s="451">
        <v>511</v>
      </c>
      <c r="F97" s="462"/>
      <c r="G97" s="462"/>
      <c r="H97" s="462"/>
      <c r="I97" s="462"/>
      <c r="J97" s="462"/>
      <c r="K97" s="462"/>
      <c r="L97" s="462"/>
      <c r="M97" s="462"/>
      <c r="N97" s="462"/>
      <c r="O97" s="462"/>
      <c r="P97" s="462"/>
      <c r="Q97" s="462"/>
      <c r="R97" s="463">
        <f t="shared" si="1"/>
        <v>0</v>
      </c>
      <c r="S97" s="482"/>
      <c r="T97" s="482"/>
    </row>
    <row r="98" spans="1:20" x14ac:dyDescent="0.25">
      <c r="A98" s="457"/>
      <c r="B98" s="469"/>
      <c r="C98" s="469"/>
      <c r="D98" s="470" t="s">
        <v>500</v>
      </c>
      <c r="E98" s="476">
        <v>511</v>
      </c>
      <c r="F98" s="454"/>
      <c r="G98" s="454"/>
      <c r="H98" s="454"/>
      <c r="I98" s="454"/>
      <c r="J98" s="454"/>
      <c r="K98" s="454"/>
      <c r="L98" s="454"/>
      <c r="M98" s="454"/>
      <c r="N98" s="454"/>
      <c r="O98" s="454"/>
      <c r="P98" s="454"/>
      <c r="Q98" s="454"/>
      <c r="R98" s="434">
        <f t="shared" si="1"/>
        <v>0</v>
      </c>
    </row>
    <row r="99" spans="1:20" x14ac:dyDescent="0.25">
      <c r="A99" s="457"/>
      <c r="B99" s="469"/>
      <c r="C99" s="469"/>
      <c r="D99" s="442" t="s">
        <v>492</v>
      </c>
      <c r="E99" s="476">
        <v>511</v>
      </c>
      <c r="F99" s="454"/>
      <c r="G99" s="454"/>
      <c r="H99" s="454"/>
      <c r="I99" s="454"/>
      <c r="J99" s="454"/>
      <c r="K99" s="454"/>
      <c r="L99" s="454"/>
      <c r="M99" s="454"/>
      <c r="N99" s="454"/>
      <c r="O99" s="454"/>
      <c r="P99" s="454"/>
      <c r="Q99" s="454"/>
      <c r="R99" s="434">
        <f t="shared" si="1"/>
        <v>0</v>
      </c>
    </row>
    <row r="100" spans="1:20" x14ac:dyDescent="0.25">
      <c r="A100" s="457"/>
      <c r="B100" s="469"/>
      <c r="C100" s="469"/>
      <c r="D100" s="470" t="s">
        <v>497</v>
      </c>
      <c r="E100" s="479">
        <v>7118</v>
      </c>
      <c r="F100" s="460"/>
      <c r="G100" s="460"/>
      <c r="H100" s="460"/>
      <c r="I100" s="460"/>
      <c r="J100" s="460"/>
      <c r="K100" s="460"/>
      <c r="L100" s="460"/>
      <c r="M100" s="460"/>
      <c r="N100" s="460"/>
      <c r="O100" s="460"/>
      <c r="P100" s="460"/>
      <c r="Q100" s="460"/>
      <c r="R100" s="461">
        <f t="shared" si="1"/>
        <v>0</v>
      </c>
    </row>
    <row r="101" spans="1:20" x14ac:dyDescent="0.25">
      <c r="A101" s="561">
        <v>15</v>
      </c>
      <c r="B101" s="552" t="s">
        <v>520</v>
      </c>
      <c r="C101" s="552" t="s">
        <v>609</v>
      </c>
      <c r="D101" s="450" t="s">
        <v>491</v>
      </c>
      <c r="E101" s="451">
        <v>511</v>
      </c>
      <c r="F101" s="462"/>
      <c r="G101" s="462"/>
      <c r="H101" s="462"/>
      <c r="I101" s="462"/>
      <c r="J101" s="462"/>
      <c r="K101" s="462"/>
      <c r="L101" s="462"/>
      <c r="M101" s="462"/>
      <c r="N101" s="462"/>
      <c r="O101" s="462"/>
      <c r="P101" s="462"/>
      <c r="Q101" s="462"/>
      <c r="R101" s="463">
        <f t="shared" si="1"/>
        <v>0</v>
      </c>
    </row>
    <row r="102" spans="1:20" x14ac:dyDescent="0.25">
      <c r="A102" s="457"/>
      <c r="B102" s="469"/>
      <c r="C102" s="469"/>
      <c r="D102" s="470" t="s">
        <v>500</v>
      </c>
      <c r="E102" s="476">
        <v>511</v>
      </c>
      <c r="F102" s="454"/>
      <c r="G102" s="454"/>
      <c r="H102" s="454"/>
      <c r="I102" s="454"/>
      <c r="J102" s="454"/>
      <c r="K102" s="454"/>
      <c r="L102" s="454"/>
      <c r="M102" s="454"/>
      <c r="N102" s="454"/>
      <c r="O102" s="454"/>
      <c r="P102" s="454"/>
      <c r="Q102" s="454"/>
      <c r="R102" s="434">
        <f t="shared" si="1"/>
        <v>0</v>
      </c>
    </row>
    <row r="103" spans="1:20" x14ac:dyDescent="0.25">
      <c r="A103" s="457"/>
      <c r="B103" s="469"/>
      <c r="C103" s="469"/>
      <c r="D103" s="470" t="s">
        <v>497</v>
      </c>
      <c r="E103" s="476">
        <v>511</v>
      </c>
      <c r="F103" s="460"/>
      <c r="G103" s="460"/>
      <c r="H103" s="460"/>
      <c r="I103" s="460"/>
      <c r="J103" s="460"/>
      <c r="K103" s="460"/>
      <c r="L103" s="460"/>
      <c r="M103" s="460"/>
      <c r="N103" s="460"/>
      <c r="O103" s="460"/>
      <c r="P103" s="460"/>
      <c r="Q103" s="460"/>
      <c r="R103" s="461">
        <f t="shared" si="1"/>
        <v>0</v>
      </c>
    </row>
    <row r="104" spans="1:20" x14ac:dyDescent="0.25">
      <c r="A104" s="480">
        <v>16</v>
      </c>
      <c r="B104" s="552" t="s">
        <v>521</v>
      </c>
      <c r="C104" s="552" t="s">
        <v>610</v>
      </c>
      <c r="D104" s="450" t="s">
        <v>491</v>
      </c>
      <c r="E104" s="478">
        <v>511</v>
      </c>
      <c r="F104" s="462"/>
      <c r="G104" s="462"/>
      <c r="H104" s="462"/>
      <c r="I104" s="462"/>
      <c r="J104" s="462"/>
      <c r="K104" s="462"/>
      <c r="L104" s="462"/>
      <c r="M104" s="462"/>
      <c r="N104" s="462"/>
      <c r="O104" s="462"/>
      <c r="P104" s="462"/>
      <c r="Q104" s="462"/>
      <c r="R104" s="463">
        <f t="shared" si="1"/>
        <v>0</v>
      </c>
    </row>
    <row r="105" spans="1:20" x14ac:dyDescent="0.25">
      <c r="A105" s="457"/>
      <c r="B105" s="467"/>
      <c r="C105" s="472"/>
      <c r="D105" s="456" t="s">
        <v>500</v>
      </c>
      <c r="E105" s="476">
        <v>511</v>
      </c>
      <c r="F105" s="454"/>
      <c r="G105" s="454"/>
      <c r="H105" s="454"/>
      <c r="I105" s="454"/>
      <c r="J105" s="454"/>
      <c r="K105" s="454"/>
      <c r="L105" s="454"/>
      <c r="M105" s="454"/>
      <c r="N105" s="454"/>
      <c r="O105" s="454"/>
      <c r="P105" s="454"/>
      <c r="Q105" s="454"/>
      <c r="R105" s="434">
        <f t="shared" si="1"/>
        <v>0</v>
      </c>
    </row>
    <row r="106" spans="1:20" x14ac:dyDescent="0.25">
      <c r="A106" s="457"/>
      <c r="B106" s="483"/>
      <c r="C106" s="555"/>
      <c r="D106" s="459" t="s">
        <v>497</v>
      </c>
      <c r="E106" s="484">
        <v>7118</v>
      </c>
      <c r="F106" s="460"/>
      <c r="G106" s="460"/>
      <c r="H106" s="460"/>
      <c r="I106" s="460"/>
      <c r="J106" s="460"/>
      <c r="K106" s="460"/>
      <c r="L106" s="460"/>
      <c r="M106" s="460"/>
      <c r="N106" s="460"/>
      <c r="O106" s="460"/>
      <c r="P106" s="460"/>
      <c r="Q106" s="460"/>
      <c r="R106" s="461">
        <f t="shared" si="1"/>
        <v>0</v>
      </c>
    </row>
    <row r="107" spans="1:20" x14ac:dyDescent="0.25">
      <c r="A107" s="561">
        <v>17</v>
      </c>
      <c r="B107" s="552" t="s">
        <v>522</v>
      </c>
      <c r="C107" s="552" t="s">
        <v>611</v>
      </c>
      <c r="D107" s="450" t="s">
        <v>491</v>
      </c>
      <c r="E107" s="451">
        <v>511</v>
      </c>
      <c r="F107" s="462"/>
      <c r="G107" s="462"/>
      <c r="H107" s="462"/>
      <c r="I107" s="462"/>
      <c r="J107" s="462"/>
      <c r="K107" s="462"/>
      <c r="L107" s="462"/>
      <c r="M107" s="462"/>
      <c r="N107" s="462"/>
      <c r="O107" s="462"/>
      <c r="P107" s="462"/>
      <c r="Q107" s="462"/>
      <c r="R107" s="463">
        <f t="shared" si="1"/>
        <v>0</v>
      </c>
    </row>
    <row r="108" spans="1:20" x14ac:dyDescent="0.25">
      <c r="A108" s="457"/>
      <c r="B108" s="469"/>
      <c r="C108" s="469"/>
      <c r="D108" s="470" t="s">
        <v>500</v>
      </c>
      <c r="E108" s="476">
        <v>511</v>
      </c>
      <c r="F108" s="454"/>
      <c r="G108" s="454"/>
      <c r="H108" s="454"/>
      <c r="I108" s="454"/>
      <c r="J108" s="454"/>
      <c r="K108" s="454"/>
      <c r="L108" s="454"/>
      <c r="M108" s="454"/>
      <c r="N108" s="454"/>
      <c r="O108" s="454"/>
      <c r="P108" s="454"/>
      <c r="Q108" s="454"/>
      <c r="R108" s="434">
        <f t="shared" si="1"/>
        <v>0</v>
      </c>
    </row>
    <row r="109" spans="1:20" x14ac:dyDescent="0.25">
      <c r="A109" s="457"/>
      <c r="B109" s="469"/>
      <c r="C109" s="469"/>
      <c r="D109" s="442" t="s">
        <v>492</v>
      </c>
      <c r="E109" s="476">
        <v>511</v>
      </c>
      <c r="F109" s="454"/>
      <c r="G109" s="454"/>
      <c r="H109" s="454"/>
      <c r="I109" s="454"/>
      <c r="J109" s="454"/>
      <c r="K109" s="454"/>
      <c r="L109" s="454"/>
      <c r="M109" s="454"/>
      <c r="N109" s="454"/>
      <c r="O109" s="454"/>
      <c r="P109" s="454"/>
      <c r="Q109" s="454"/>
      <c r="R109" s="434">
        <f t="shared" si="1"/>
        <v>0</v>
      </c>
    </row>
    <row r="110" spans="1:20" x14ac:dyDescent="0.25">
      <c r="A110" s="457"/>
      <c r="B110" s="469"/>
      <c r="C110" s="469"/>
      <c r="D110" s="470" t="s">
        <v>497</v>
      </c>
      <c r="E110" s="484">
        <v>7118</v>
      </c>
      <c r="F110" s="460"/>
      <c r="G110" s="460"/>
      <c r="H110" s="460"/>
      <c r="I110" s="460"/>
      <c r="J110" s="460"/>
      <c r="K110" s="460"/>
      <c r="L110" s="460"/>
      <c r="M110" s="460"/>
      <c r="N110" s="460"/>
      <c r="O110" s="460"/>
      <c r="P110" s="460"/>
      <c r="Q110" s="460"/>
      <c r="R110" s="461">
        <f t="shared" si="1"/>
        <v>0</v>
      </c>
    </row>
    <row r="111" spans="1:20" x14ac:dyDescent="0.25">
      <c r="A111" s="561">
        <v>18</v>
      </c>
      <c r="B111" s="552" t="s">
        <v>523</v>
      </c>
      <c r="C111" s="552" t="s">
        <v>612</v>
      </c>
      <c r="D111" s="450" t="s">
        <v>491</v>
      </c>
      <c r="E111" s="451">
        <v>511</v>
      </c>
      <c r="F111" s="462"/>
      <c r="G111" s="462"/>
      <c r="H111" s="462"/>
      <c r="I111" s="462"/>
      <c r="J111" s="462"/>
      <c r="K111" s="462"/>
      <c r="L111" s="462"/>
      <c r="M111" s="462"/>
      <c r="N111" s="462"/>
      <c r="O111" s="462"/>
      <c r="P111" s="462"/>
      <c r="Q111" s="462"/>
      <c r="R111" s="463">
        <f t="shared" si="1"/>
        <v>0</v>
      </c>
    </row>
    <row r="112" spans="1:20" x14ac:dyDescent="0.25">
      <c r="A112" s="457"/>
      <c r="B112" s="469"/>
      <c r="C112" s="469"/>
      <c r="D112" s="470" t="s">
        <v>500</v>
      </c>
      <c r="E112" s="476">
        <v>511</v>
      </c>
      <c r="F112" s="454"/>
      <c r="G112" s="454"/>
      <c r="H112" s="454"/>
      <c r="I112" s="454"/>
      <c r="J112" s="454"/>
      <c r="K112" s="454"/>
      <c r="L112" s="454"/>
      <c r="M112" s="454"/>
      <c r="N112" s="454"/>
      <c r="O112" s="454"/>
      <c r="P112" s="454"/>
      <c r="Q112" s="454"/>
      <c r="R112" s="434">
        <f t="shared" si="1"/>
        <v>0</v>
      </c>
    </row>
    <row r="113" spans="1:19" x14ac:dyDescent="0.25">
      <c r="A113" s="457"/>
      <c r="B113" s="469"/>
      <c r="C113" s="469"/>
      <c r="D113" s="442" t="s">
        <v>492</v>
      </c>
      <c r="E113" s="476">
        <v>511</v>
      </c>
      <c r="F113" s="454"/>
      <c r="G113" s="454"/>
      <c r="H113" s="454"/>
      <c r="I113" s="454"/>
      <c r="J113" s="454"/>
      <c r="K113" s="454"/>
      <c r="L113" s="454"/>
      <c r="M113" s="454"/>
      <c r="N113" s="454"/>
      <c r="O113" s="454"/>
      <c r="P113" s="454"/>
      <c r="Q113" s="454"/>
      <c r="R113" s="434">
        <f t="shared" si="1"/>
        <v>0</v>
      </c>
    </row>
    <row r="114" spans="1:19" x14ac:dyDescent="0.25">
      <c r="A114" s="457"/>
      <c r="B114" s="469"/>
      <c r="C114" s="469"/>
      <c r="D114" s="470" t="s">
        <v>497</v>
      </c>
      <c r="E114" s="485">
        <v>7118</v>
      </c>
      <c r="F114" s="460"/>
      <c r="G114" s="460"/>
      <c r="H114" s="460"/>
      <c r="I114" s="460"/>
      <c r="J114" s="460"/>
      <c r="K114" s="460"/>
      <c r="L114" s="460"/>
      <c r="M114" s="460"/>
      <c r="N114" s="460"/>
      <c r="O114" s="460"/>
      <c r="P114" s="460"/>
      <c r="Q114" s="460"/>
      <c r="R114" s="461">
        <f t="shared" si="1"/>
        <v>0</v>
      </c>
    </row>
    <row r="115" spans="1:19" x14ac:dyDescent="0.25">
      <c r="A115" s="561">
        <v>19</v>
      </c>
      <c r="B115" s="552" t="s">
        <v>613</v>
      </c>
      <c r="C115" s="552" t="s">
        <v>614</v>
      </c>
      <c r="D115" s="450" t="s">
        <v>491</v>
      </c>
      <c r="E115" s="451">
        <v>511</v>
      </c>
      <c r="F115" s="462"/>
      <c r="G115" s="462"/>
      <c r="H115" s="462"/>
      <c r="I115" s="462"/>
      <c r="J115" s="462"/>
      <c r="K115" s="462"/>
      <c r="L115" s="462"/>
      <c r="M115" s="462"/>
      <c r="N115" s="462"/>
      <c r="O115" s="462"/>
      <c r="P115" s="462"/>
      <c r="Q115" s="462"/>
      <c r="R115" s="463">
        <f t="shared" si="1"/>
        <v>0</v>
      </c>
      <c r="S115" s="466"/>
    </row>
    <row r="116" spans="1:19" x14ac:dyDescent="0.25">
      <c r="A116" s="457"/>
      <c r="B116" s="467"/>
      <c r="C116" s="467"/>
      <c r="D116" s="442" t="s">
        <v>500</v>
      </c>
      <c r="E116" s="476">
        <v>511</v>
      </c>
      <c r="F116" s="454"/>
      <c r="G116" s="454"/>
      <c r="H116" s="454"/>
      <c r="I116" s="454"/>
      <c r="J116" s="454"/>
      <c r="K116" s="454"/>
      <c r="L116" s="454"/>
      <c r="M116" s="454"/>
      <c r="N116" s="454"/>
      <c r="O116" s="454"/>
      <c r="P116" s="454"/>
      <c r="Q116" s="454"/>
      <c r="R116" s="434">
        <f t="shared" si="1"/>
        <v>0</v>
      </c>
    </row>
    <row r="117" spans="1:19" x14ac:dyDescent="0.25">
      <c r="A117" s="457"/>
      <c r="B117" s="483"/>
      <c r="C117" s="483"/>
      <c r="D117" s="486" t="s">
        <v>497</v>
      </c>
      <c r="E117" s="476">
        <v>511</v>
      </c>
      <c r="F117" s="487"/>
      <c r="G117" s="460"/>
      <c r="H117" s="460"/>
      <c r="I117" s="460"/>
      <c r="J117" s="460"/>
      <c r="K117" s="460"/>
      <c r="L117" s="460"/>
      <c r="M117" s="460"/>
      <c r="N117" s="460"/>
      <c r="O117" s="460"/>
      <c r="P117" s="460"/>
      <c r="Q117" s="460"/>
      <c r="R117" s="461">
        <f t="shared" si="1"/>
        <v>0</v>
      </c>
    </row>
    <row r="118" spans="1:19" x14ac:dyDescent="0.25">
      <c r="A118" s="480">
        <v>20</v>
      </c>
      <c r="B118" s="552" t="s">
        <v>524</v>
      </c>
      <c r="C118" s="552" t="s">
        <v>615</v>
      </c>
      <c r="D118" s="450" t="s">
        <v>491</v>
      </c>
      <c r="E118" s="488">
        <v>511</v>
      </c>
      <c r="F118" s="465"/>
      <c r="G118" s="462"/>
      <c r="H118" s="462"/>
      <c r="I118" s="462"/>
      <c r="J118" s="462"/>
      <c r="K118" s="462"/>
      <c r="L118" s="462"/>
      <c r="M118" s="462"/>
      <c r="N118" s="462"/>
      <c r="O118" s="462"/>
      <c r="P118" s="462"/>
      <c r="Q118" s="462"/>
      <c r="R118" s="463">
        <f t="shared" si="1"/>
        <v>0</v>
      </c>
    </row>
    <row r="119" spans="1:19" x14ac:dyDescent="0.25">
      <c r="A119" s="457"/>
      <c r="B119" s="467"/>
      <c r="C119" s="467"/>
      <c r="D119" s="442" t="s">
        <v>500</v>
      </c>
      <c r="E119" s="485">
        <v>511</v>
      </c>
      <c r="F119" s="453"/>
      <c r="G119" s="454"/>
      <c r="H119" s="454"/>
      <c r="I119" s="454"/>
      <c r="J119" s="454"/>
      <c r="K119" s="454"/>
      <c r="L119" s="454"/>
      <c r="M119" s="454"/>
      <c r="N119" s="454"/>
      <c r="O119" s="454"/>
      <c r="P119" s="454"/>
      <c r="Q119" s="454"/>
      <c r="R119" s="434">
        <f t="shared" si="1"/>
        <v>0</v>
      </c>
    </row>
    <row r="120" spans="1:19" x14ac:dyDescent="0.25">
      <c r="A120" s="457"/>
      <c r="B120" s="483"/>
      <c r="C120" s="483"/>
      <c r="D120" s="486" t="s">
        <v>497</v>
      </c>
      <c r="E120" s="485">
        <v>7118</v>
      </c>
      <c r="F120" s="487"/>
      <c r="G120" s="460"/>
      <c r="H120" s="460"/>
      <c r="I120" s="460"/>
      <c r="J120" s="460"/>
      <c r="K120" s="460"/>
      <c r="L120" s="460"/>
      <c r="M120" s="460"/>
      <c r="N120" s="460"/>
      <c r="O120" s="460"/>
      <c r="P120" s="460"/>
      <c r="Q120" s="460"/>
      <c r="R120" s="461">
        <f t="shared" si="1"/>
        <v>0</v>
      </c>
    </row>
    <row r="121" spans="1:19" x14ac:dyDescent="0.25">
      <c r="A121" s="480">
        <v>21</v>
      </c>
      <c r="B121" s="552" t="s">
        <v>525</v>
      </c>
      <c r="C121" s="552" t="s">
        <v>616</v>
      </c>
      <c r="D121" s="450" t="s">
        <v>491</v>
      </c>
      <c r="E121" s="478">
        <v>511</v>
      </c>
      <c r="F121" s="462"/>
      <c r="G121" s="462"/>
      <c r="H121" s="462"/>
      <c r="I121" s="462"/>
      <c r="J121" s="462"/>
      <c r="K121" s="462"/>
      <c r="L121" s="462"/>
      <c r="M121" s="462"/>
      <c r="N121" s="462"/>
      <c r="O121" s="462"/>
      <c r="P121" s="462"/>
      <c r="Q121" s="462"/>
      <c r="R121" s="463">
        <f t="shared" si="1"/>
        <v>0</v>
      </c>
    </row>
    <row r="122" spans="1:19" x14ac:dyDescent="0.25">
      <c r="A122" s="455"/>
      <c r="B122" s="467"/>
      <c r="C122" s="467"/>
      <c r="D122" s="442" t="s">
        <v>500</v>
      </c>
      <c r="E122" s="443">
        <v>511</v>
      </c>
      <c r="F122" s="454"/>
      <c r="G122" s="454"/>
      <c r="H122" s="454"/>
      <c r="I122" s="454"/>
      <c r="J122" s="454"/>
      <c r="K122" s="454"/>
      <c r="L122" s="454"/>
      <c r="M122" s="454"/>
      <c r="N122" s="454"/>
      <c r="O122" s="454"/>
      <c r="P122" s="454"/>
      <c r="Q122" s="454"/>
      <c r="R122" s="475">
        <f t="shared" si="1"/>
        <v>0</v>
      </c>
    </row>
    <row r="123" spans="1:19" x14ac:dyDescent="0.25">
      <c r="A123" s="444"/>
      <c r="B123" s="483"/>
      <c r="C123" s="483"/>
      <c r="D123" s="486" t="s">
        <v>497</v>
      </c>
      <c r="E123" s="484">
        <v>7118</v>
      </c>
      <c r="F123" s="448"/>
      <c r="G123" s="448"/>
      <c r="H123" s="448"/>
      <c r="I123" s="448"/>
      <c r="J123" s="448"/>
      <c r="K123" s="448"/>
      <c r="L123" s="448"/>
      <c r="M123" s="448"/>
      <c r="N123" s="448"/>
      <c r="O123" s="448"/>
      <c r="P123" s="448"/>
      <c r="Q123" s="448"/>
      <c r="R123" s="449">
        <f t="shared" si="1"/>
        <v>0</v>
      </c>
    </row>
    <row r="124" spans="1:19" x14ac:dyDescent="0.25">
      <c r="A124" s="561">
        <v>22</v>
      </c>
      <c r="B124" s="552" t="s">
        <v>526</v>
      </c>
      <c r="C124" s="552" t="s">
        <v>617</v>
      </c>
      <c r="D124" s="450" t="s">
        <v>491</v>
      </c>
      <c r="E124" s="451">
        <v>511</v>
      </c>
      <c r="F124" s="462"/>
      <c r="G124" s="462"/>
      <c r="H124" s="462"/>
      <c r="I124" s="462"/>
      <c r="J124" s="462"/>
      <c r="K124" s="462"/>
      <c r="L124" s="462"/>
      <c r="M124" s="462"/>
      <c r="N124" s="462"/>
      <c r="O124" s="462"/>
      <c r="P124" s="462"/>
      <c r="Q124" s="462"/>
      <c r="R124" s="463">
        <f t="shared" si="1"/>
        <v>0</v>
      </c>
    </row>
    <row r="125" spans="1:19" x14ac:dyDescent="0.25">
      <c r="A125" s="455"/>
      <c r="B125" s="467"/>
      <c r="C125" s="467"/>
      <c r="D125" s="442" t="s">
        <v>500</v>
      </c>
      <c r="E125" s="476">
        <v>511</v>
      </c>
      <c r="F125" s="460"/>
      <c r="G125" s="460"/>
      <c r="H125" s="460"/>
      <c r="I125" s="460"/>
      <c r="J125" s="460"/>
      <c r="K125" s="460"/>
      <c r="L125" s="460"/>
      <c r="M125" s="460"/>
      <c r="N125" s="460"/>
      <c r="O125" s="460"/>
      <c r="P125" s="460"/>
      <c r="Q125" s="460"/>
      <c r="R125" s="475">
        <f t="shared" si="1"/>
        <v>0</v>
      </c>
    </row>
    <row r="126" spans="1:19" x14ac:dyDescent="0.25">
      <c r="A126" s="489"/>
      <c r="B126" s="490"/>
      <c r="C126" s="490"/>
      <c r="D126" s="490" t="s">
        <v>497</v>
      </c>
      <c r="E126" s="485">
        <v>7118</v>
      </c>
      <c r="F126" s="454"/>
      <c r="G126" s="454"/>
      <c r="H126" s="454"/>
      <c r="I126" s="454"/>
      <c r="J126" s="454"/>
      <c r="K126" s="454"/>
      <c r="L126" s="454"/>
      <c r="M126" s="454"/>
      <c r="N126" s="454"/>
      <c r="O126" s="454"/>
      <c r="P126" s="454"/>
      <c r="Q126" s="454"/>
      <c r="R126" s="449">
        <f t="shared" si="1"/>
        <v>0</v>
      </c>
    </row>
    <row r="127" spans="1:19" x14ac:dyDescent="0.25">
      <c r="A127" s="491" t="s">
        <v>527</v>
      </c>
      <c r="B127" s="424" t="s">
        <v>528</v>
      </c>
      <c r="C127" s="424"/>
      <c r="D127" s="424"/>
      <c r="E127" s="424"/>
      <c r="F127" s="492"/>
      <c r="G127" s="493"/>
      <c r="H127" s="493"/>
      <c r="I127" s="493"/>
      <c r="J127" s="493"/>
      <c r="K127" s="493"/>
      <c r="L127" s="493"/>
      <c r="M127" s="493"/>
      <c r="N127" s="493"/>
      <c r="O127" s="493"/>
      <c r="P127" s="493"/>
      <c r="Q127" s="493"/>
      <c r="R127" s="493"/>
    </row>
    <row r="128" spans="1:19" x14ac:dyDescent="0.25">
      <c r="A128" s="428">
        <v>1</v>
      </c>
      <c r="B128" s="429" t="s">
        <v>490</v>
      </c>
      <c r="C128" s="429" t="s">
        <v>594</v>
      </c>
      <c r="D128" s="436" t="s">
        <v>529</v>
      </c>
      <c r="E128" s="431">
        <v>641</v>
      </c>
      <c r="F128" s="454"/>
      <c r="G128" s="454"/>
      <c r="H128" s="454"/>
      <c r="I128" s="454"/>
      <c r="J128" s="454"/>
      <c r="K128" s="454"/>
      <c r="L128" s="454"/>
      <c r="M128" s="454"/>
      <c r="N128" s="454"/>
      <c r="O128" s="454"/>
      <c r="P128" s="454"/>
      <c r="Q128" s="454"/>
      <c r="R128" s="434">
        <f t="shared" ref="R128:R199" si="2">SUM(F128:Q128)</f>
        <v>0</v>
      </c>
      <c r="S128" s="466"/>
    </row>
    <row r="129" spans="1:18" x14ac:dyDescent="0.25">
      <c r="A129" s="455"/>
      <c r="B129" s="544"/>
      <c r="C129" s="562"/>
      <c r="D129" s="439"/>
      <c r="E129" s="431">
        <v>642</v>
      </c>
      <c r="F129" s="454"/>
      <c r="G129" s="454"/>
      <c r="H129" s="454"/>
      <c r="I129" s="454"/>
      <c r="J129" s="454"/>
      <c r="K129" s="454"/>
      <c r="L129" s="454"/>
      <c r="M129" s="454"/>
      <c r="N129" s="454"/>
      <c r="O129" s="454"/>
      <c r="P129" s="454"/>
      <c r="Q129" s="454"/>
      <c r="R129" s="434">
        <f t="shared" si="2"/>
        <v>0</v>
      </c>
    </row>
    <row r="130" spans="1:18" x14ac:dyDescent="0.25">
      <c r="A130" s="455"/>
      <c r="B130" s="544"/>
      <c r="C130" s="562"/>
      <c r="D130" s="439"/>
      <c r="E130" s="431">
        <v>627</v>
      </c>
      <c r="F130" s="454"/>
      <c r="G130" s="454"/>
      <c r="H130" s="454"/>
      <c r="I130" s="454"/>
      <c r="J130" s="454"/>
      <c r="K130" s="454"/>
      <c r="L130" s="454"/>
      <c r="M130" s="454"/>
      <c r="N130" s="454"/>
      <c r="O130" s="454"/>
      <c r="P130" s="454"/>
      <c r="Q130" s="454"/>
      <c r="R130" s="434">
        <f t="shared" si="2"/>
        <v>0</v>
      </c>
    </row>
    <row r="131" spans="1:18" x14ac:dyDescent="0.25">
      <c r="A131" s="455"/>
      <c r="B131" s="544"/>
      <c r="C131" s="562"/>
      <c r="D131" s="439" t="s">
        <v>530</v>
      </c>
      <c r="E131" s="431">
        <v>211</v>
      </c>
      <c r="F131" s="454"/>
      <c r="G131" s="454"/>
      <c r="H131" s="454"/>
      <c r="I131" s="454"/>
      <c r="J131" s="454"/>
      <c r="K131" s="454"/>
      <c r="L131" s="454"/>
      <c r="M131" s="454"/>
      <c r="N131" s="454"/>
      <c r="O131" s="454"/>
      <c r="P131" s="454"/>
      <c r="Q131" s="454"/>
      <c r="R131" s="434">
        <f t="shared" si="2"/>
        <v>0</v>
      </c>
    </row>
    <row r="132" spans="1:18" x14ac:dyDescent="0.25">
      <c r="A132" s="455"/>
      <c r="B132" s="544"/>
      <c r="C132" s="562"/>
      <c r="D132" s="439" t="s">
        <v>531</v>
      </c>
      <c r="E132" s="431">
        <v>153</v>
      </c>
      <c r="F132" s="454"/>
      <c r="G132" s="454"/>
      <c r="H132" s="454"/>
      <c r="I132" s="454"/>
      <c r="J132" s="454"/>
      <c r="K132" s="454"/>
      <c r="L132" s="454"/>
      <c r="M132" s="454"/>
      <c r="N132" s="454"/>
      <c r="O132" s="454"/>
      <c r="P132" s="454"/>
      <c r="Q132" s="454"/>
      <c r="R132" s="434">
        <f t="shared" si="2"/>
        <v>0</v>
      </c>
    </row>
    <row r="133" spans="1:18" x14ac:dyDescent="0.25">
      <c r="A133" s="455"/>
      <c r="B133" s="544"/>
      <c r="C133" s="562"/>
      <c r="D133" s="439" t="s">
        <v>532</v>
      </c>
      <c r="E133" s="431">
        <v>642</v>
      </c>
      <c r="F133" s="454"/>
      <c r="G133" s="454"/>
      <c r="H133" s="454"/>
      <c r="I133" s="454"/>
      <c r="J133" s="454"/>
      <c r="K133" s="454"/>
      <c r="L133" s="454"/>
      <c r="M133" s="454"/>
      <c r="N133" s="454"/>
      <c r="O133" s="454"/>
      <c r="P133" s="454"/>
      <c r="Q133" s="454"/>
      <c r="R133" s="494">
        <f t="shared" si="2"/>
        <v>0</v>
      </c>
    </row>
    <row r="134" spans="1:18" x14ac:dyDescent="0.25">
      <c r="A134" s="444"/>
      <c r="B134" s="540"/>
      <c r="C134" s="540"/>
      <c r="D134" s="445" t="s">
        <v>533</v>
      </c>
      <c r="E134" s="495"/>
      <c r="F134" s="449"/>
      <c r="G134" s="445"/>
      <c r="H134" s="445"/>
      <c r="I134" s="445"/>
      <c r="J134" s="445"/>
      <c r="K134" s="445"/>
      <c r="L134" s="445"/>
      <c r="M134" s="445"/>
      <c r="N134" s="445"/>
      <c r="O134" s="445"/>
      <c r="P134" s="445"/>
      <c r="Q134" s="445"/>
      <c r="R134" s="496">
        <f t="shared" si="2"/>
        <v>0</v>
      </c>
    </row>
    <row r="135" spans="1:18" x14ac:dyDescent="0.25">
      <c r="A135" s="561">
        <v>2</v>
      </c>
      <c r="B135" s="552" t="s">
        <v>499</v>
      </c>
      <c r="C135" s="552" t="s">
        <v>595</v>
      </c>
      <c r="D135" s="450" t="s">
        <v>534</v>
      </c>
      <c r="E135" s="497">
        <v>1548</v>
      </c>
      <c r="F135" s="433"/>
      <c r="G135" s="433"/>
      <c r="H135" s="433"/>
      <c r="I135" s="433"/>
      <c r="J135" s="433"/>
      <c r="K135" s="433"/>
      <c r="L135" s="433"/>
      <c r="M135" s="433"/>
      <c r="N135" s="433"/>
      <c r="O135" s="433"/>
      <c r="P135" s="433"/>
      <c r="Q135" s="433"/>
      <c r="R135" s="434">
        <f t="shared" si="2"/>
        <v>0</v>
      </c>
    </row>
    <row r="136" spans="1:18" x14ac:dyDescent="0.25">
      <c r="A136" s="428"/>
      <c r="B136" s="467"/>
      <c r="C136" s="467"/>
      <c r="D136" s="442" t="s">
        <v>535</v>
      </c>
      <c r="E136" s="497">
        <v>152</v>
      </c>
      <c r="F136" s="433"/>
      <c r="G136" s="433"/>
      <c r="H136" s="433"/>
      <c r="I136" s="433"/>
      <c r="J136" s="433"/>
      <c r="K136" s="433"/>
      <c r="L136" s="433"/>
      <c r="M136" s="433"/>
      <c r="N136" s="433"/>
      <c r="O136" s="433"/>
      <c r="P136" s="433"/>
      <c r="Q136" s="433"/>
      <c r="R136" s="434">
        <f t="shared" si="2"/>
        <v>0</v>
      </c>
    </row>
    <row r="137" spans="1:18" x14ac:dyDescent="0.25">
      <c r="A137" s="428"/>
      <c r="B137" s="467"/>
      <c r="C137" s="467"/>
      <c r="D137" s="442" t="s">
        <v>536</v>
      </c>
      <c r="E137" s="497" t="s">
        <v>537</v>
      </c>
      <c r="F137" s="433"/>
      <c r="G137" s="433"/>
      <c r="H137" s="433"/>
      <c r="I137" s="433"/>
      <c r="J137" s="433"/>
      <c r="K137" s="433"/>
      <c r="L137" s="433"/>
      <c r="M137" s="433"/>
      <c r="N137" s="433"/>
      <c r="O137" s="433"/>
      <c r="P137" s="433"/>
      <c r="Q137" s="433"/>
      <c r="R137" s="434">
        <f t="shared" si="2"/>
        <v>0</v>
      </c>
    </row>
    <row r="138" spans="1:18" x14ac:dyDescent="0.25">
      <c r="A138" s="455"/>
      <c r="B138" s="467"/>
      <c r="C138" s="467"/>
      <c r="D138" s="442" t="s">
        <v>538</v>
      </c>
      <c r="E138" s="498">
        <v>641</v>
      </c>
      <c r="F138" s="433"/>
      <c r="G138" s="433"/>
      <c r="H138" s="433"/>
      <c r="I138" s="433"/>
      <c r="J138" s="433"/>
      <c r="K138" s="433"/>
      <c r="L138" s="433"/>
      <c r="M138" s="433"/>
      <c r="N138" s="433"/>
      <c r="O138" s="433"/>
      <c r="P138" s="433"/>
      <c r="Q138" s="433"/>
      <c r="R138" s="434">
        <f t="shared" si="2"/>
        <v>0</v>
      </c>
    </row>
    <row r="139" spans="1:18" x14ac:dyDescent="0.25">
      <c r="A139" s="455"/>
      <c r="B139" s="467"/>
      <c r="C139" s="467"/>
      <c r="D139" s="442" t="s">
        <v>530</v>
      </c>
      <c r="E139" s="498">
        <v>211</v>
      </c>
      <c r="F139" s="433"/>
      <c r="G139" s="433"/>
      <c r="H139" s="433"/>
      <c r="I139" s="433"/>
      <c r="J139" s="433"/>
      <c r="K139" s="433"/>
      <c r="L139" s="433"/>
      <c r="M139" s="433"/>
      <c r="N139" s="433"/>
      <c r="O139" s="433"/>
      <c r="P139" s="433"/>
      <c r="Q139" s="433"/>
      <c r="R139" s="434">
        <f t="shared" si="2"/>
        <v>0</v>
      </c>
    </row>
    <row r="140" spans="1:18" x14ac:dyDescent="0.25">
      <c r="A140" s="457"/>
      <c r="B140" s="469"/>
      <c r="C140" s="469"/>
      <c r="D140" s="470" t="s">
        <v>533</v>
      </c>
      <c r="E140" s="485"/>
      <c r="F140" s="499"/>
      <c r="G140" s="499"/>
      <c r="H140" s="499"/>
      <c r="I140" s="499"/>
      <c r="J140" s="499"/>
      <c r="K140" s="499"/>
      <c r="L140" s="499"/>
      <c r="M140" s="499"/>
      <c r="N140" s="499"/>
      <c r="O140" s="499"/>
      <c r="P140" s="499"/>
      <c r="Q140" s="499"/>
      <c r="R140" s="461">
        <f t="shared" si="2"/>
        <v>0</v>
      </c>
    </row>
    <row r="141" spans="1:18" x14ac:dyDescent="0.25">
      <c r="A141" s="561">
        <v>3</v>
      </c>
      <c r="B141" s="552" t="s">
        <v>504</v>
      </c>
      <c r="C141" s="552" t="s">
        <v>596</v>
      </c>
      <c r="D141" s="450" t="s">
        <v>539</v>
      </c>
      <c r="E141" s="500" t="s">
        <v>537</v>
      </c>
      <c r="F141" s="465"/>
      <c r="G141" s="465"/>
      <c r="H141" s="465"/>
      <c r="I141" s="465"/>
      <c r="J141" s="465"/>
      <c r="K141" s="465"/>
      <c r="L141" s="465"/>
      <c r="M141" s="465"/>
      <c r="N141" s="465"/>
      <c r="O141" s="465"/>
      <c r="P141" s="465"/>
      <c r="Q141" s="465"/>
      <c r="R141" s="463">
        <f t="shared" si="2"/>
        <v>0</v>
      </c>
    </row>
    <row r="142" spans="1:18" x14ac:dyDescent="0.25">
      <c r="A142" s="455"/>
      <c r="B142" s="467"/>
      <c r="C142" s="467"/>
      <c r="D142" s="442" t="s">
        <v>535</v>
      </c>
      <c r="E142" s="497">
        <v>152</v>
      </c>
      <c r="F142" s="433"/>
      <c r="G142" s="433"/>
      <c r="H142" s="433"/>
      <c r="I142" s="433"/>
      <c r="J142" s="433"/>
      <c r="K142" s="433"/>
      <c r="L142" s="433"/>
      <c r="M142" s="433"/>
      <c r="N142" s="433"/>
      <c r="O142" s="433"/>
      <c r="P142" s="433"/>
      <c r="Q142" s="433"/>
      <c r="R142" s="434">
        <f t="shared" si="2"/>
        <v>0</v>
      </c>
    </row>
    <row r="143" spans="1:18" x14ac:dyDescent="0.25">
      <c r="A143" s="455"/>
      <c r="B143" s="467"/>
      <c r="C143" s="467"/>
      <c r="D143" s="442" t="s">
        <v>536</v>
      </c>
      <c r="E143" s="497" t="s">
        <v>537</v>
      </c>
      <c r="F143" s="433"/>
      <c r="G143" s="433"/>
      <c r="H143" s="433"/>
      <c r="I143" s="433"/>
      <c r="J143" s="433"/>
      <c r="K143" s="433"/>
      <c r="L143" s="433"/>
      <c r="M143" s="433"/>
      <c r="N143" s="433"/>
      <c r="O143" s="433"/>
      <c r="P143" s="433"/>
      <c r="Q143" s="433"/>
      <c r="R143" s="434">
        <f t="shared" si="2"/>
        <v>0</v>
      </c>
    </row>
    <row r="144" spans="1:18" x14ac:dyDescent="0.25">
      <c r="A144" s="455"/>
      <c r="B144" s="467"/>
      <c r="C144" s="467"/>
      <c r="D144" s="442" t="s">
        <v>530</v>
      </c>
      <c r="E144" s="498">
        <v>211</v>
      </c>
      <c r="F144" s="433"/>
      <c r="G144" s="433"/>
      <c r="H144" s="433"/>
      <c r="I144" s="433"/>
      <c r="J144" s="433"/>
      <c r="K144" s="433"/>
      <c r="L144" s="433"/>
      <c r="M144" s="433"/>
      <c r="N144" s="433"/>
      <c r="O144" s="433"/>
      <c r="P144" s="433"/>
      <c r="Q144" s="433"/>
      <c r="R144" s="434">
        <f t="shared" si="2"/>
        <v>0</v>
      </c>
    </row>
    <row r="145" spans="1:18" x14ac:dyDescent="0.25">
      <c r="A145" s="457"/>
      <c r="B145" s="469"/>
      <c r="C145" s="469"/>
      <c r="D145" s="470" t="s">
        <v>533</v>
      </c>
      <c r="E145" s="485"/>
      <c r="F145" s="499"/>
      <c r="G145" s="499"/>
      <c r="H145" s="499"/>
      <c r="I145" s="499"/>
      <c r="J145" s="499"/>
      <c r="K145" s="499"/>
      <c r="L145" s="499"/>
      <c r="M145" s="499"/>
      <c r="N145" s="499"/>
      <c r="O145" s="499"/>
      <c r="P145" s="499"/>
      <c r="Q145" s="499"/>
      <c r="R145" s="461">
        <f t="shared" si="2"/>
        <v>0</v>
      </c>
    </row>
    <row r="146" spans="1:18" x14ac:dyDescent="0.25">
      <c r="A146" s="561">
        <v>4</v>
      </c>
      <c r="B146" s="552" t="s">
        <v>506</v>
      </c>
      <c r="C146" s="552" t="s">
        <v>597</v>
      </c>
      <c r="D146" s="450" t="s">
        <v>539</v>
      </c>
      <c r="E146" s="500" t="s">
        <v>537</v>
      </c>
      <c r="F146" s="465"/>
      <c r="G146" s="465"/>
      <c r="H146" s="465"/>
      <c r="I146" s="465"/>
      <c r="J146" s="465"/>
      <c r="K146" s="465"/>
      <c r="L146" s="465"/>
      <c r="M146" s="465"/>
      <c r="N146" s="465"/>
      <c r="O146" s="465"/>
      <c r="P146" s="465"/>
      <c r="Q146" s="465"/>
      <c r="R146" s="463">
        <f t="shared" si="2"/>
        <v>0</v>
      </c>
    </row>
    <row r="147" spans="1:18" x14ac:dyDescent="0.25">
      <c r="A147" s="455"/>
      <c r="B147" s="467"/>
      <c r="C147" s="467"/>
      <c r="D147" s="442" t="s">
        <v>535</v>
      </c>
      <c r="E147" s="497">
        <v>152</v>
      </c>
      <c r="F147" s="433"/>
      <c r="G147" s="433"/>
      <c r="H147" s="433"/>
      <c r="I147" s="433"/>
      <c r="J147" s="433"/>
      <c r="K147" s="433"/>
      <c r="L147" s="433"/>
      <c r="M147" s="433"/>
      <c r="N147" s="433"/>
      <c r="O147" s="433"/>
      <c r="P147" s="433"/>
      <c r="Q147" s="433"/>
      <c r="R147" s="434">
        <f t="shared" si="2"/>
        <v>0</v>
      </c>
    </row>
    <row r="148" spans="1:18" x14ac:dyDescent="0.25">
      <c r="A148" s="455"/>
      <c r="B148" s="467"/>
      <c r="C148" s="467"/>
      <c r="D148" s="442" t="s">
        <v>536</v>
      </c>
      <c r="E148" s="497" t="s">
        <v>537</v>
      </c>
      <c r="F148" s="433"/>
      <c r="G148" s="433"/>
      <c r="H148" s="433"/>
      <c r="I148" s="433"/>
      <c r="J148" s="433"/>
      <c r="K148" s="433"/>
      <c r="L148" s="433"/>
      <c r="M148" s="433"/>
      <c r="N148" s="433"/>
      <c r="O148" s="433"/>
      <c r="P148" s="433"/>
      <c r="Q148" s="433"/>
      <c r="R148" s="434">
        <f t="shared" si="2"/>
        <v>0</v>
      </c>
    </row>
    <row r="149" spans="1:18" x14ac:dyDescent="0.25">
      <c r="A149" s="455"/>
      <c r="B149" s="467"/>
      <c r="C149" s="467"/>
      <c r="D149" s="442" t="s">
        <v>530</v>
      </c>
      <c r="E149" s="498">
        <v>211</v>
      </c>
      <c r="F149" s="433"/>
      <c r="G149" s="433"/>
      <c r="H149" s="433"/>
      <c r="I149" s="433"/>
      <c r="J149" s="433"/>
      <c r="K149" s="433"/>
      <c r="L149" s="433"/>
      <c r="M149" s="433"/>
      <c r="N149" s="433"/>
      <c r="O149" s="433"/>
      <c r="P149" s="433"/>
      <c r="Q149" s="433"/>
      <c r="R149" s="434">
        <f t="shared" si="2"/>
        <v>0</v>
      </c>
    </row>
    <row r="150" spans="1:18" x14ac:dyDescent="0.25">
      <c r="A150" s="455"/>
      <c r="B150" s="467"/>
      <c r="C150" s="467"/>
      <c r="D150" s="442" t="s">
        <v>533</v>
      </c>
      <c r="E150" s="498"/>
      <c r="F150" s="433"/>
      <c r="G150" s="433"/>
      <c r="H150" s="433"/>
      <c r="I150" s="433"/>
      <c r="J150" s="433"/>
      <c r="K150" s="433"/>
      <c r="L150" s="433"/>
      <c r="M150" s="433"/>
      <c r="N150" s="433"/>
      <c r="O150" s="433"/>
      <c r="P150" s="433"/>
      <c r="Q150" s="433"/>
      <c r="R150" s="434">
        <f t="shared" si="2"/>
        <v>0</v>
      </c>
    </row>
    <row r="151" spans="1:18" x14ac:dyDescent="0.25">
      <c r="A151" s="561">
        <v>5</v>
      </c>
      <c r="B151" s="552" t="s">
        <v>507</v>
      </c>
      <c r="C151" s="552" t="s">
        <v>598</v>
      </c>
      <c r="D151" s="450" t="s">
        <v>534</v>
      </c>
      <c r="E151" s="500">
        <v>1548</v>
      </c>
      <c r="F151" s="465"/>
      <c r="G151" s="465"/>
      <c r="H151" s="465"/>
      <c r="I151" s="465"/>
      <c r="J151" s="465"/>
      <c r="K151" s="465"/>
      <c r="L151" s="465"/>
      <c r="M151" s="465"/>
      <c r="N151" s="465"/>
      <c r="O151" s="465"/>
      <c r="P151" s="465"/>
      <c r="Q151" s="465"/>
      <c r="R151" s="463">
        <f t="shared" si="2"/>
        <v>0</v>
      </c>
    </row>
    <row r="152" spans="1:18" x14ac:dyDescent="0.25">
      <c r="A152" s="457"/>
      <c r="B152" s="469"/>
      <c r="C152" s="469"/>
      <c r="D152" s="470" t="s">
        <v>535</v>
      </c>
      <c r="E152" s="498"/>
      <c r="F152" s="433"/>
      <c r="G152" s="433"/>
      <c r="H152" s="433"/>
      <c r="I152" s="433"/>
      <c r="J152" s="433"/>
      <c r="K152" s="433"/>
      <c r="L152" s="433"/>
      <c r="M152" s="433"/>
      <c r="N152" s="433"/>
      <c r="O152" s="433"/>
      <c r="P152" s="433"/>
      <c r="Q152" s="433"/>
      <c r="R152" s="434">
        <f t="shared" si="2"/>
        <v>0</v>
      </c>
    </row>
    <row r="153" spans="1:18" x14ac:dyDescent="0.25">
      <c r="A153" s="457"/>
      <c r="B153" s="469"/>
      <c r="C153" s="469"/>
      <c r="D153" s="442" t="s">
        <v>540</v>
      </c>
      <c r="E153" s="498">
        <v>641</v>
      </c>
      <c r="F153" s="433"/>
      <c r="G153" s="433"/>
      <c r="H153" s="433"/>
      <c r="I153" s="433"/>
      <c r="J153" s="433"/>
      <c r="K153" s="433"/>
      <c r="L153" s="433"/>
      <c r="M153" s="433"/>
      <c r="N153" s="433"/>
      <c r="O153" s="433"/>
      <c r="P153" s="433"/>
      <c r="Q153" s="433"/>
      <c r="R153" s="434">
        <f t="shared" si="2"/>
        <v>0</v>
      </c>
    </row>
    <row r="154" spans="1:18" x14ac:dyDescent="0.25">
      <c r="A154" s="457"/>
      <c r="B154" s="469"/>
      <c r="C154" s="469"/>
      <c r="D154" s="470" t="s">
        <v>541</v>
      </c>
      <c r="E154" s="498">
        <v>627</v>
      </c>
      <c r="F154" s="433"/>
      <c r="G154" s="433"/>
      <c r="H154" s="433"/>
      <c r="I154" s="433"/>
      <c r="J154" s="433"/>
      <c r="K154" s="433"/>
      <c r="L154" s="433"/>
      <c r="M154" s="433"/>
      <c r="N154" s="433"/>
      <c r="O154" s="433"/>
      <c r="P154" s="433"/>
      <c r="Q154" s="433"/>
      <c r="R154" s="434">
        <f t="shared" si="2"/>
        <v>0</v>
      </c>
    </row>
    <row r="155" spans="1:18" x14ac:dyDescent="0.25">
      <c r="A155" s="457"/>
      <c r="B155" s="469"/>
      <c r="C155" s="469"/>
      <c r="D155" s="470" t="s">
        <v>533</v>
      </c>
      <c r="E155" s="485"/>
      <c r="F155" s="499"/>
      <c r="G155" s="499"/>
      <c r="H155" s="499"/>
      <c r="I155" s="499"/>
      <c r="J155" s="499"/>
      <c r="K155" s="499"/>
      <c r="L155" s="499"/>
      <c r="M155" s="499"/>
      <c r="N155" s="499"/>
      <c r="O155" s="499"/>
      <c r="P155" s="499"/>
      <c r="Q155" s="499"/>
      <c r="R155" s="461">
        <f t="shared" si="2"/>
        <v>0</v>
      </c>
    </row>
    <row r="156" spans="1:18" x14ac:dyDescent="0.25">
      <c r="A156" s="561">
        <v>6</v>
      </c>
      <c r="B156" s="552" t="s">
        <v>509</v>
      </c>
      <c r="C156" s="552" t="s">
        <v>599</v>
      </c>
      <c r="D156" s="450" t="s">
        <v>534</v>
      </c>
      <c r="E156" s="500">
        <v>1548</v>
      </c>
      <c r="F156" s="465"/>
      <c r="G156" s="465"/>
      <c r="H156" s="465"/>
      <c r="I156" s="465"/>
      <c r="J156" s="465"/>
      <c r="K156" s="465"/>
      <c r="L156" s="465"/>
      <c r="M156" s="465"/>
      <c r="N156" s="465"/>
      <c r="O156" s="465"/>
      <c r="P156" s="465"/>
      <c r="Q156" s="465"/>
      <c r="R156" s="463">
        <f t="shared" si="2"/>
        <v>0</v>
      </c>
    </row>
    <row r="157" spans="1:18" x14ac:dyDescent="0.25">
      <c r="A157" s="428"/>
      <c r="B157" s="467"/>
      <c r="C157" s="467"/>
      <c r="D157" s="442" t="s">
        <v>535</v>
      </c>
      <c r="E157" s="498">
        <v>152</v>
      </c>
      <c r="F157" s="433"/>
      <c r="G157" s="433"/>
      <c r="H157" s="433"/>
      <c r="I157" s="433"/>
      <c r="J157" s="433"/>
      <c r="K157" s="433"/>
      <c r="L157" s="433"/>
      <c r="M157" s="433"/>
      <c r="N157" s="433"/>
      <c r="O157" s="433"/>
      <c r="P157" s="433"/>
      <c r="Q157" s="433"/>
      <c r="R157" s="434">
        <f t="shared" si="2"/>
        <v>0</v>
      </c>
    </row>
    <row r="158" spans="1:18" x14ac:dyDescent="0.25">
      <c r="A158" s="428"/>
      <c r="B158" s="467"/>
      <c r="C158" s="467"/>
      <c r="D158" s="442" t="s">
        <v>536</v>
      </c>
      <c r="E158" s="497" t="s">
        <v>537</v>
      </c>
      <c r="F158" s="433"/>
      <c r="G158" s="433"/>
      <c r="H158" s="433"/>
      <c r="I158" s="433"/>
      <c r="J158" s="433"/>
      <c r="K158" s="433"/>
      <c r="L158" s="433"/>
      <c r="M158" s="433"/>
      <c r="N158" s="433"/>
      <c r="O158" s="433"/>
      <c r="P158" s="433"/>
      <c r="Q158" s="433"/>
      <c r="R158" s="434">
        <f t="shared" si="2"/>
        <v>0</v>
      </c>
    </row>
    <row r="159" spans="1:18" x14ac:dyDescent="0.25">
      <c r="A159" s="428"/>
      <c r="B159" s="467"/>
      <c r="C159" s="467"/>
      <c r="D159" s="442" t="s">
        <v>541</v>
      </c>
      <c r="E159" s="498">
        <v>627</v>
      </c>
      <c r="F159" s="433"/>
      <c r="G159" s="433"/>
      <c r="H159" s="433"/>
      <c r="I159" s="433"/>
      <c r="J159" s="433"/>
      <c r="K159" s="433"/>
      <c r="L159" s="433"/>
      <c r="M159" s="433"/>
      <c r="N159" s="433"/>
      <c r="O159" s="433"/>
      <c r="P159" s="433"/>
      <c r="Q159" s="433"/>
      <c r="R159" s="434">
        <f t="shared" si="2"/>
        <v>0</v>
      </c>
    </row>
    <row r="160" spans="1:18" x14ac:dyDescent="0.25">
      <c r="A160" s="428"/>
      <c r="B160" s="467"/>
      <c r="C160" s="467"/>
      <c r="D160" s="442" t="s">
        <v>531</v>
      </c>
      <c r="E160" s="498">
        <v>153</v>
      </c>
      <c r="F160" s="433"/>
      <c r="G160" s="433"/>
      <c r="H160" s="433"/>
      <c r="I160" s="433"/>
      <c r="J160" s="433"/>
      <c r="K160" s="433"/>
      <c r="L160" s="433"/>
      <c r="M160" s="433"/>
      <c r="N160" s="433"/>
      <c r="O160" s="433"/>
      <c r="P160" s="433"/>
      <c r="Q160" s="433"/>
      <c r="R160" s="434">
        <f t="shared" si="2"/>
        <v>0</v>
      </c>
    </row>
    <row r="161" spans="1:18" x14ac:dyDescent="0.25">
      <c r="A161" s="428"/>
      <c r="B161" s="467"/>
      <c r="C161" s="467"/>
      <c r="D161" s="442" t="s">
        <v>530</v>
      </c>
      <c r="E161" s="498">
        <v>211</v>
      </c>
      <c r="F161" s="433"/>
      <c r="G161" s="433"/>
      <c r="H161" s="433"/>
      <c r="I161" s="433"/>
      <c r="J161" s="433"/>
      <c r="K161" s="433"/>
      <c r="L161" s="433"/>
      <c r="M161" s="433"/>
      <c r="N161" s="433"/>
      <c r="O161" s="433"/>
      <c r="P161" s="433"/>
      <c r="Q161" s="433"/>
      <c r="R161" s="434">
        <f t="shared" si="2"/>
        <v>0</v>
      </c>
    </row>
    <row r="162" spans="1:18" x14ac:dyDescent="0.25">
      <c r="A162" s="428"/>
      <c r="B162" s="467"/>
      <c r="C162" s="472"/>
      <c r="D162" s="456" t="s">
        <v>494</v>
      </c>
      <c r="E162" s="497">
        <v>635</v>
      </c>
      <c r="F162" s="433"/>
      <c r="G162" s="433"/>
      <c r="H162" s="433"/>
      <c r="I162" s="433"/>
      <c r="J162" s="433"/>
      <c r="K162" s="433"/>
      <c r="L162" s="433"/>
      <c r="M162" s="433"/>
      <c r="N162" s="433"/>
      <c r="O162" s="433"/>
      <c r="P162" s="433"/>
      <c r="Q162" s="433"/>
      <c r="R162" s="434">
        <f t="shared" si="2"/>
        <v>0</v>
      </c>
    </row>
    <row r="163" spans="1:18" x14ac:dyDescent="0.25">
      <c r="A163" s="457"/>
      <c r="B163" s="562"/>
      <c r="C163" s="562"/>
      <c r="D163" s="439" t="s">
        <v>533</v>
      </c>
      <c r="E163" s="439"/>
      <c r="F163" s="499"/>
      <c r="G163" s="499"/>
      <c r="H163" s="499"/>
      <c r="I163" s="499"/>
      <c r="J163" s="499"/>
      <c r="K163" s="499"/>
      <c r="L163" s="499"/>
      <c r="M163" s="499"/>
      <c r="N163" s="499"/>
      <c r="O163" s="499"/>
      <c r="P163" s="499"/>
      <c r="Q163" s="499"/>
      <c r="R163" s="461">
        <f t="shared" si="2"/>
        <v>0</v>
      </c>
    </row>
    <row r="164" spans="1:18" x14ac:dyDescent="0.25">
      <c r="A164" s="561">
        <v>7</v>
      </c>
      <c r="B164" s="552" t="s">
        <v>600</v>
      </c>
      <c r="C164" s="552" t="s">
        <v>601</v>
      </c>
      <c r="D164" s="501" t="s">
        <v>534</v>
      </c>
      <c r="E164" s="502">
        <v>1548</v>
      </c>
      <c r="F164" s="465"/>
      <c r="G164" s="465"/>
      <c r="H164" s="465"/>
      <c r="I164" s="465"/>
      <c r="J164" s="465"/>
      <c r="K164" s="465"/>
      <c r="L164" s="465"/>
      <c r="M164" s="465"/>
      <c r="N164" s="465"/>
      <c r="O164" s="465"/>
      <c r="P164" s="465"/>
      <c r="Q164" s="465"/>
      <c r="R164" s="463">
        <f t="shared" si="2"/>
        <v>0</v>
      </c>
    </row>
    <row r="165" spans="1:18" x14ac:dyDescent="0.25">
      <c r="A165" s="455"/>
      <c r="B165" s="544"/>
      <c r="C165" s="544"/>
      <c r="D165" s="436" t="s">
        <v>535</v>
      </c>
      <c r="E165" s="440">
        <v>152</v>
      </c>
      <c r="F165" s="453"/>
      <c r="G165" s="453"/>
      <c r="H165" s="453"/>
      <c r="I165" s="453"/>
      <c r="J165" s="453"/>
      <c r="K165" s="453"/>
      <c r="L165" s="453"/>
      <c r="M165" s="453"/>
      <c r="N165" s="453"/>
      <c r="O165" s="453"/>
      <c r="P165" s="453"/>
      <c r="Q165" s="453"/>
      <c r="R165" s="475">
        <f t="shared" si="2"/>
        <v>0</v>
      </c>
    </row>
    <row r="166" spans="1:18" x14ac:dyDescent="0.25">
      <c r="A166" s="455"/>
      <c r="B166" s="544"/>
      <c r="C166" s="544"/>
      <c r="D166" s="436" t="s">
        <v>536</v>
      </c>
      <c r="E166" s="440" t="s">
        <v>537</v>
      </c>
      <c r="F166" s="453"/>
      <c r="G166" s="453"/>
      <c r="H166" s="453"/>
      <c r="I166" s="453"/>
      <c r="J166" s="453"/>
      <c r="K166" s="453"/>
      <c r="L166" s="453"/>
      <c r="M166" s="453"/>
      <c r="N166" s="453"/>
      <c r="O166" s="453"/>
      <c r="P166" s="453"/>
      <c r="Q166" s="453"/>
      <c r="R166" s="475">
        <f t="shared" si="2"/>
        <v>0</v>
      </c>
    </row>
    <row r="167" spans="1:18" x14ac:dyDescent="0.25">
      <c r="A167" s="455"/>
      <c r="B167" s="544"/>
      <c r="C167" s="544"/>
      <c r="D167" s="436" t="s">
        <v>541</v>
      </c>
      <c r="E167" s="440">
        <v>627</v>
      </c>
      <c r="F167" s="453"/>
      <c r="G167" s="453"/>
      <c r="H167" s="453"/>
      <c r="I167" s="453"/>
      <c r="J167" s="453"/>
      <c r="K167" s="453"/>
      <c r="L167" s="453"/>
      <c r="M167" s="453"/>
      <c r="N167" s="453"/>
      <c r="O167" s="453"/>
      <c r="P167" s="453"/>
      <c r="Q167" s="453"/>
      <c r="R167" s="475">
        <f t="shared" si="2"/>
        <v>0</v>
      </c>
    </row>
    <row r="168" spans="1:18" x14ac:dyDescent="0.25">
      <c r="A168" s="455"/>
      <c r="B168" s="544"/>
      <c r="C168" s="544"/>
      <c r="D168" s="436" t="s">
        <v>531</v>
      </c>
      <c r="E168" s="440">
        <v>153</v>
      </c>
      <c r="F168" s="453"/>
      <c r="G168" s="453"/>
      <c r="H168" s="453"/>
      <c r="I168" s="453"/>
      <c r="J168" s="453"/>
      <c r="K168" s="453"/>
      <c r="L168" s="453"/>
      <c r="M168" s="453"/>
      <c r="N168" s="453"/>
      <c r="O168" s="453"/>
      <c r="P168" s="453"/>
      <c r="Q168" s="453"/>
      <c r="R168" s="475">
        <f t="shared" si="2"/>
        <v>0</v>
      </c>
    </row>
    <row r="169" spans="1:18" x14ac:dyDescent="0.25">
      <c r="A169" s="455"/>
      <c r="B169" s="544"/>
      <c r="C169" s="544"/>
      <c r="D169" s="436" t="s">
        <v>530</v>
      </c>
      <c r="E169" s="440">
        <v>211</v>
      </c>
      <c r="F169" s="453"/>
      <c r="G169" s="453"/>
      <c r="H169" s="453"/>
      <c r="I169" s="453"/>
      <c r="J169" s="453"/>
      <c r="K169" s="453"/>
      <c r="L169" s="453"/>
      <c r="M169" s="453"/>
      <c r="N169" s="453"/>
      <c r="O169" s="453"/>
      <c r="P169" s="453"/>
      <c r="Q169" s="453"/>
      <c r="R169" s="475">
        <f t="shared" si="2"/>
        <v>0</v>
      </c>
    </row>
    <row r="170" spans="1:18" x14ac:dyDescent="0.25">
      <c r="A170" s="455"/>
      <c r="B170" s="544"/>
      <c r="C170" s="544"/>
      <c r="D170" s="436" t="s">
        <v>494</v>
      </c>
      <c r="E170" s="440">
        <v>635</v>
      </c>
      <c r="F170" s="453"/>
      <c r="G170" s="453"/>
      <c r="H170" s="453"/>
      <c r="I170" s="453"/>
      <c r="J170" s="453"/>
      <c r="K170" s="453"/>
      <c r="L170" s="453"/>
      <c r="M170" s="453"/>
      <c r="N170" s="453"/>
      <c r="O170" s="453"/>
      <c r="P170" s="453"/>
      <c r="Q170" s="453"/>
      <c r="R170" s="475">
        <f t="shared" si="2"/>
        <v>0</v>
      </c>
    </row>
    <row r="171" spans="1:18" x14ac:dyDescent="0.25">
      <c r="A171" s="444"/>
      <c r="B171" s="540"/>
      <c r="C171" s="540"/>
      <c r="D171" s="445" t="s">
        <v>533</v>
      </c>
      <c r="E171" s="495"/>
      <c r="F171" s="503"/>
      <c r="G171" s="503"/>
      <c r="H171" s="503"/>
      <c r="I171" s="503"/>
      <c r="J171" s="503"/>
      <c r="K171" s="503"/>
      <c r="L171" s="503"/>
      <c r="M171" s="503"/>
      <c r="N171" s="503"/>
      <c r="O171" s="503"/>
      <c r="P171" s="503"/>
      <c r="Q171" s="503"/>
      <c r="R171" s="449">
        <f t="shared" si="2"/>
        <v>0</v>
      </c>
    </row>
    <row r="172" spans="1:18" x14ac:dyDescent="0.25">
      <c r="A172" s="561">
        <v>8</v>
      </c>
      <c r="B172" s="552" t="s">
        <v>512</v>
      </c>
      <c r="C172" s="552" t="s">
        <v>602</v>
      </c>
      <c r="D172" s="450" t="s">
        <v>534</v>
      </c>
      <c r="E172" s="500">
        <v>1548</v>
      </c>
      <c r="F172" s="465"/>
      <c r="G172" s="465"/>
      <c r="H172" s="465"/>
      <c r="I172" s="465"/>
      <c r="J172" s="465"/>
      <c r="K172" s="465"/>
      <c r="L172" s="465"/>
      <c r="M172" s="465"/>
      <c r="N172" s="465"/>
      <c r="O172" s="465"/>
      <c r="P172" s="465"/>
      <c r="Q172" s="465"/>
      <c r="R172" s="463">
        <f t="shared" si="2"/>
        <v>0</v>
      </c>
    </row>
    <row r="173" spans="1:18" x14ac:dyDescent="0.25">
      <c r="A173" s="428"/>
      <c r="B173" s="472"/>
      <c r="C173" s="472"/>
      <c r="D173" s="442" t="s">
        <v>535</v>
      </c>
      <c r="E173" s="497">
        <v>152</v>
      </c>
      <c r="F173" s="433"/>
      <c r="G173" s="433"/>
      <c r="H173" s="433"/>
      <c r="I173" s="433"/>
      <c r="J173" s="433"/>
      <c r="K173" s="433"/>
      <c r="L173" s="433"/>
      <c r="M173" s="433"/>
      <c r="N173" s="433"/>
      <c r="O173" s="433"/>
      <c r="P173" s="433"/>
      <c r="Q173" s="433"/>
      <c r="R173" s="434">
        <f t="shared" si="2"/>
        <v>0</v>
      </c>
    </row>
    <row r="174" spans="1:18" x14ac:dyDescent="0.25">
      <c r="A174" s="428"/>
      <c r="B174" s="472"/>
      <c r="C174" s="472"/>
      <c r="D174" s="442" t="s">
        <v>536</v>
      </c>
      <c r="E174" s="497" t="s">
        <v>537</v>
      </c>
      <c r="F174" s="433"/>
      <c r="G174" s="433"/>
      <c r="H174" s="433"/>
      <c r="I174" s="433"/>
      <c r="J174" s="433"/>
      <c r="K174" s="433"/>
      <c r="L174" s="433"/>
      <c r="M174" s="433"/>
      <c r="N174" s="433"/>
      <c r="O174" s="433"/>
      <c r="P174" s="433"/>
      <c r="Q174" s="433"/>
      <c r="R174" s="434">
        <f t="shared" si="2"/>
        <v>0</v>
      </c>
    </row>
    <row r="175" spans="1:18" x14ac:dyDescent="0.25">
      <c r="A175" s="428"/>
      <c r="B175" s="472"/>
      <c r="C175" s="472"/>
      <c r="D175" s="442" t="s">
        <v>538</v>
      </c>
      <c r="E175" s="497">
        <v>627</v>
      </c>
      <c r="F175" s="433"/>
      <c r="G175" s="433"/>
      <c r="H175" s="433"/>
      <c r="I175" s="433"/>
      <c r="J175" s="433"/>
      <c r="K175" s="433"/>
      <c r="L175" s="433"/>
      <c r="M175" s="433"/>
      <c r="N175" s="433"/>
      <c r="O175" s="433"/>
      <c r="P175" s="433"/>
      <c r="Q175" s="433"/>
      <c r="R175" s="434">
        <f t="shared" si="2"/>
        <v>0</v>
      </c>
    </row>
    <row r="176" spans="1:18" x14ac:dyDescent="0.25">
      <c r="A176" s="428"/>
      <c r="B176" s="472"/>
      <c r="C176" s="472"/>
      <c r="D176" s="442" t="s">
        <v>541</v>
      </c>
      <c r="E176" s="498">
        <v>627</v>
      </c>
      <c r="F176" s="433"/>
      <c r="G176" s="433"/>
      <c r="H176" s="433"/>
      <c r="I176" s="433"/>
      <c r="J176" s="433"/>
      <c r="K176" s="433"/>
      <c r="L176" s="433"/>
      <c r="M176" s="433"/>
      <c r="N176" s="433"/>
      <c r="O176" s="433"/>
      <c r="P176" s="433"/>
      <c r="Q176" s="433"/>
      <c r="R176" s="434">
        <f t="shared" si="2"/>
        <v>0</v>
      </c>
    </row>
    <row r="177" spans="1:18" x14ac:dyDescent="0.25">
      <c r="A177" s="428"/>
      <c r="B177" s="472"/>
      <c r="C177" s="472"/>
      <c r="D177" s="442" t="s">
        <v>531</v>
      </c>
      <c r="E177" s="498">
        <v>153</v>
      </c>
      <c r="F177" s="433"/>
      <c r="G177" s="433"/>
      <c r="H177" s="433"/>
      <c r="I177" s="433"/>
      <c r="J177" s="433"/>
      <c r="K177" s="433"/>
      <c r="L177" s="433"/>
      <c r="M177" s="433"/>
      <c r="N177" s="433"/>
      <c r="O177" s="433"/>
      <c r="P177" s="433"/>
      <c r="Q177" s="433"/>
      <c r="R177" s="434">
        <f t="shared" si="2"/>
        <v>0</v>
      </c>
    </row>
    <row r="178" spans="1:18" x14ac:dyDescent="0.25">
      <c r="A178" s="428"/>
      <c r="B178" s="467"/>
      <c r="C178" s="467"/>
      <c r="D178" s="442" t="s">
        <v>530</v>
      </c>
      <c r="E178" s="498">
        <v>211</v>
      </c>
      <c r="F178" s="433"/>
      <c r="G178" s="433"/>
      <c r="H178" s="433"/>
      <c r="I178" s="433"/>
      <c r="J178" s="433"/>
      <c r="K178" s="433"/>
      <c r="L178" s="433"/>
      <c r="M178" s="433"/>
      <c r="N178" s="433"/>
      <c r="O178" s="433"/>
      <c r="P178" s="433"/>
      <c r="Q178" s="433"/>
      <c r="R178" s="434">
        <f t="shared" si="2"/>
        <v>0</v>
      </c>
    </row>
    <row r="179" spans="1:18" x14ac:dyDescent="0.25">
      <c r="A179" s="428"/>
      <c r="B179" s="467"/>
      <c r="C179" s="467"/>
      <c r="D179" s="442" t="s">
        <v>542</v>
      </c>
      <c r="E179" s="497">
        <v>627</v>
      </c>
      <c r="F179" s="433"/>
      <c r="G179" s="433"/>
      <c r="H179" s="433"/>
      <c r="I179" s="433"/>
      <c r="J179" s="433"/>
      <c r="K179" s="433"/>
      <c r="L179" s="433"/>
      <c r="M179" s="433"/>
      <c r="N179" s="433"/>
      <c r="O179" s="433"/>
      <c r="P179" s="433"/>
      <c r="Q179" s="433"/>
      <c r="R179" s="434">
        <f t="shared" si="2"/>
        <v>0</v>
      </c>
    </row>
    <row r="180" spans="1:18" x14ac:dyDescent="0.25">
      <c r="A180" s="428"/>
      <c r="B180" s="467"/>
      <c r="C180" s="467"/>
      <c r="D180" s="442" t="s">
        <v>494</v>
      </c>
      <c r="E180" s="497">
        <v>635</v>
      </c>
      <c r="F180" s="433"/>
      <c r="G180" s="433"/>
      <c r="H180" s="433"/>
      <c r="I180" s="433"/>
      <c r="J180" s="433"/>
      <c r="K180" s="433"/>
      <c r="L180" s="433"/>
      <c r="M180" s="433"/>
      <c r="N180" s="433"/>
      <c r="O180" s="433"/>
      <c r="P180" s="433"/>
      <c r="Q180" s="433"/>
      <c r="R180" s="434">
        <f t="shared" si="2"/>
        <v>0</v>
      </c>
    </row>
    <row r="181" spans="1:18" x14ac:dyDescent="0.25">
      <c r="A181" s="468"/>
      <c r="B181" s="469"/>
      <c r="C181" s="555"/>
      <c r="D181" s="459" t="s">
        <v>533</v>
      </c>
      <c r="E181" s="479">
        <v>156</v>
      </c>
      <c r="F181" s="499"/>
      <c r="G181" s="499"/>
      <c r="H181" s="499"/>
      <c r="I181" s="499"/>
      <c r="J181" s="499"/>
      <c r="K181" s="499"/>
      <c r="L181" s="499"/>
      <c r="M181" s="499"/>
      <c r="N181" s="499"/>
      <c r="O181" s="499"/>
      <c r="P181" s="499"/>
      <c r="Q181" s="499"/>
      <c r="R181" s="461">
        <f t="shared" si="2"/>
        <v>0</v>
      </c>
    </row>
    <row r="182" spans="1:18" x14ac:dyDescent="0.25">
      <c r="A182" s="561">
        <v>9</v>
      </c>
      <c r="B182" s="552" t="s">
        <v>514</v>
      </c>
      <c r="C182" s="552" t="s">
        <v>603</v>
      </c>
      <c r="D182" s="450" t="s">
        <v>539</v>
      </c>
      <c r="E182" s="500" t="s">
        <v>537</v>
      </c>
      <c r="F182" s="465"/>
      <c r="G182" s="465"/>
      <c r="H182" s="465"/>
      <c r="I182" s="465"/>
      <c r="J182" s="465"/>
      <c r="K182" s="465"/>
      <c r="L182" s="465"/>
      <c r="M182" s="465"/>
      <c r="N182" s="465"/>
      <c r="O182" s="465"/>
      <c r="P182" s="465"/>
      <c r="Q182" s="465"/>
      <c r="R182" s="463">
        <f t="shared" si="2"/>
        <v>0</v>
      </c>
    </row>
    <row r="183" spans="1:18" x14ac:dyDescent="0.25">
      <c r="A183" s="428"/>
      <c r="B183" s="467"/>
      <c r="C183" s="467"/>
      <c r="D183" s="442" t="s">
        <v>535</v>
      </c>
      <c r="E183" s="497">
        <v>152</v>
      </c>
      <c r="F183" s="433"/>
      <c r="G183" s="433"/>
      <c r="H183" s="433"/>
      <c r="I183" s="433"/>
      <c r="J183" s="433"/>
      <c r="K183" s="433"/>
      <c r="L183" s="433"/>
      <c r="M183" s="433"/>
      <c r="N183" s="433"/>
      <c r="O183" s="433"/>
      <c r="P183" s="433"/>
      <c r="Q183" s="433"/>
      <c r="R183" s="434">
        <f t="shared" si="2"/>
        <v>0</v>
      </c>
    </row>
    <row r="184" spans="1:18" x14ac:dyDescent="0.25">
      <c r="A184" s="428"/>
      <c r="B184" s="467"/>
      <c r="C184" s="467"/>
      <c r="D184" s="442" t="s">
        <v>536</v>
      </c>
      <c r="E184" s="497" t="s">
        <v>537</v>
      </c>
      <c r="F184" s="433"/>
      <c r="G184" s="433"/>
      <c r="H184" s="433"/>
      <c r="I184" s="433"/>
      <c r="J184" s="433"/>
      <c r="K184" s="433"/>
      <c r="L184" s="433"/>
      <c r="M184" s="433"/>
      <c r="N184" s="433"/>
      <c r="O184" s="433"/>
      <c r="P184" s="433"/>
      <c r="Q184" s="433"/>
      <c r="R184" s="434">
        <f t="shared" si="2"/>
        <v>0</v>
      </c>
    </row>
    <row r="185" spans="1:18" x14ac:dyDescent="0.25">
      <c r="A185" s="428"/>
      <c r="B185" s="467"/>
      <c r="C185" s="467"/>
      <c r="D185" s="442" t="s">
        <v>530</v>
      </c>
      <c r="E185" s="498">
        <v>211</v>
      </c>
      <c r="F185" s="433"/>
      <c r="G185" s="433"/>
      <c r="H185" s="433"/>
      <c r="I185" s="433"/>
      <c r="J185" s="433"/>
      <c r="K185" s="433"/>
      <c r="L185" s="433"/>
      <c r="M185" s="433"/>
      <c r="N185" s="433"/>
      <c r="O185" s="433"/>
      <c r="P185" s="433"/>
      <c r="Q185" s="433"/>
      <c r="R185" s="434">
        <f t="shared" si="2"/>
        <v>0</v>
      </c>
    </row>
    <row r="186" spans="1:18" x14ac:dyDescent="0.25">
      <c r="A186" s="468"/>
      <c r="B186" s="469"/>
      <c r="C186" s="469"/>
      <c r="D186" s="470" t="s">
        <v>533</v>
      </c>
      <c r="E186" s="485"/>
      <c r="F186" s="499"/>
      <c r="G186" s="499"/>
      <c r="H186" s="499"/>
      <c r="I186" s="499"/>
      <c r="J186" s="499"/>
      <c r="K186" s="499"/>
      <c r="L186" s="499"/>
      <c r="M186" s="499"/>
      <c r="N186" s="499"/>
      <c r="O186" s="499"/>
      <c r="P186" s="499"/>
      <c r="Q186" s="499"/>
      <c r="R186" s="461">
        <f t="shared" si="2"/>
        <v>0</v>
      </c>
    </row>
    <row r="187" spans="1:18" x14ac:dyDescent="0.25">
      <c r="A187" s="561">
        <v>10</v>
      </c>
      <c r="B187" s="559" t="s">
        <v>515</v>
      </c>
      <c r="C187" s="559" t="s">
        <v>604</v>
      </c>
      <c r="D187" s="450" t="s">
        <v>542</v>
      </c>
      <c r="E187" s="500">
        <v>627</v>
      </c>
      <c r="F187" s="465"/>
      <c r="G187" s="465"/>
      <c r="H187" s="465"/>
      <c r="I187" s="465"/>
      <c r="J187" s="465"/>
      <c r="K187" s="465"/>
      <c r="L187" s="465"/>
      <c r="M187" s="465"/>
      <c r="N187" s="465"/>
      <c r="O187" s="465"/>
      <c r="P187" s="465"/>
      <c r="Q187" s="465"/>
      <c r="R187" s="463">
        <f t="shared" si="2"/>
        <v>0</v>
      </c>
    </row>
    <row r="188" spans="1:18" x14ac:dyDescent="0.25">
      <c r="A188" s="457"/>
      <c r="B188" s="562"/>
      <c r="C188" s="562"/>
      <c r="D188" s="470" t="s">
        <v>530</v>
      </c>
      <c r="E188" s="485">
        <v>211</v>
      </c>
      <c r="F188" s="433"/>
      <c r="G188" s="433"/>
      <c r="H188" s="433"/>
      <c r="I188" s="433"/>
      <c r="J188" s="433"/>
      <c r="K188" s="433"/>
      <c r="L188" s="433"/>
      <c r="M188" s="433"/>
      <c r="N188" s="433"/>
      <c r="O188" s="433"/>
      <c r="P188" s="433"/>
      <c r="Q188" s="433"/>
      <c r="R188" s="434">
        <f t="shared" si="2"/>
        <v>0</v>
      </c>
    </row>
    <row r="189" spans="1:18" x14ac:dyDescent="0.25">
      <c r="A189" s="457"/>
      <c r="B189" s="562"/>
      <c r="C189" s="562"/>
      <c r="D189" s="470" t="s">
        <v>533</v>
      </c>
      <c r="E189" s="485">
        <v>156</v>
      </c>
      <c r="F189" s="499"/>
      <c r="G189" s="499"/>
      <c r="H189" s="499"/>
      <c r="I189" s="499"/>
      <c r="J189" s="499"/>
      <c r="K189" s="499"/>
      <c r="L189" s="499"/>
      <c r="M189" s="499"/>
      <c r="N189" s="499"/>
      <c r="O189" s="499"/>
      <c r="P189" s="499"/>
      <c r="Q189" s="499"/>
      <c r="R189" s="461">
        <f t="shared" si="2"/>
        <v>0</v>
      </c>
    </row>
    <row r="190" spans="1:18" x14ac:dyDescent="0.25">
      <c r="A190" s="561">
        <v>11</v>
      </c>
      <c r="B190" s="552" t="s">
        <v>516</v>
      </c>
      <c r="C190" s="552" t="s">
        <v>605</v>
      </c>
      <c r="D190" s="450" t="s">
        <v>534</v>
      </c>
      <c r="E190" s="500">
        <v>1548</v>
      </c>
      <c r="F190" s="465"/>
      <c r="G190" s="465"/>
      <c r="H190" s="465"/>
      <c r="I190" s="465"/>
      <c r="J190" s="465"/>
      <c r="K190" s="465"/>
      <c r="L190" s="465"/>
      <c r="M190" s="465"/>
      <c r="N190" s="465"/>
      <c r="O190" s="465"/>
      <c r="P190" s="465"/>
      <c r="Q190" s="465"/>
      <c r="R190" s="463">
        <f t="shared" si="2"/>
        <v>0</v>
      </c>
    </row>
    <row r="191" spans="1:18" x14ac:dyDescent="0.25">
      <c r="A191" s="455"/>
      <c r="B191" s="467"/>
      <c r="C191" s="472"/>
      <c r="D191" s="456" t="s">
        <v>539</v>
      </c>
      <c r="E191" s="497" t="s">
        <v>537</v>
      </c>
      <c r="F191" s="433"/>
      <c r="G191" s="433"/>
      <c r="H191" s="433"/>
      <c r="I191" s="433"/>
      <c r="J191" s="433"/>
      <c r="K191" s="433"/>
      <c r="L191" s="433"/>
      <c r="M191" s="433"/>
      <c r="N191" s="433"/>
      <c r="O191" s="433"/>
      <c r="P191" s="433"/>
      <c r="Q191" s="433"/>
      <c r="R191" s="434">
        <f t="shared" si="2"/>
        <v>0</v>
      </c>
    </row>
    <row r="192" spans="1:18" x14ac:dyDescent="0.25">
      <c r="A192" s="455"/>
      <c r="B192" s="467"/>
      <c r="C192" s="467"/>
      <c r="D192" s="442" t="s">
        <v>535</v>
      </c>
      <c r="E192" s="497">
        <v>152</v>
      </c>
      <c r="F192" s="433"/>
      <c r="G192" s="433"/>
      <c r="H192" s="433"/>
      <c r="I192" s="433"/>
      <c r="J192" s="433"/>
      <c r="K192" s="433"/>
      <c r="L192" s="433"/>
      <c r="M192" s="433"/>
      <c r="N192" s="433"/>
      <c r="O192" s="433"/>
      <c r="P192" s="433"/>
      <c r="Q192" s="433"/>
      <c r="R192" s="434">
        <f t="shared" si="2"/>
        <v>0</v>
      </c>
    </row>
    <row r="193" spans="1:18" x14ac:dyDescent="0.25">
      <c r="A193" s="455"/>
      <c r="B193" s="467"/>
      <c r="C193" s="467"/>
      <c r="D193" s="442" t="s">
        <v>536</v>
      </c>
      <c r="E193" s="497" t="s">
        <v>537</v>
      </c>
      <c r="F193" s="433"/>
      <c r="G193" s="433"/>
      <c r="H193" s="433"/>
      <c r="I193" s="433"/>
      <c r="J193" s="433"/>
      <c r="K193" s="433"/>
      <c r="L193" s="433"/>
      <c r="M193" s="433"/>
      <c r="N193" s="433"/>
      <c r="O193" s="433"/>
      <c r="P193" s="433"/>
      <c r="Q193" s="433"/>
      <c r="R193" s="434">
        <f t="shared" si="2"/>
        <v>0</v>
      </c>
    </row>
    <row r="194" spans="1:18" x14ac:dyDescent="0.25">
      <c r="A194" s="455"/>
      <c r="B194" s="467"/>
      <c r="C194" s="467"/>
      <c r="D194" s="442" t="s">
        <v>530</v>
      </c>
      <c r="E194" s="498">
        <v>211</v>
      </c>
      <c r="F194" s="433"/>
      <c r="G194" s="433"/>
      <c r="H194" s="433"/>
      <c r="I194" s="433"/>
      <c r="J194" s="433"/>
      <c r="K194" s="433"/>
      <c r="L194" s="433"/>
      <c r="M194" s="433"/>
      <c r="N194" s="433"/>
      <c r="O194" s="433"/>
      <c r="P194" s="433"/>
      <c r="Q194" s="433"/>
      <c r="R194" s="434">
        <f t="shared" si="2"/>
        <v>0</v>
      </c>
    </row>
    <row r="195" spans="1:18" x14ac:dyDescent="0.25">
      <c r="A195" s="457"/>
      <c r="B195" s="469"/>
      <c r="C195" s="469"/>
      <c r="D195" s="470" t="s">
        <v>533</v>
      </c>
      <c r="E195" s="485">
        <v>211</v>
      </c>
      <c r="F195" s="499"/>
      <c r="G195" s="499"/>
      <c r="H195" s="499"/>
      <c r="I195" s="499"/>
      <c r="J195" s="499"/>
      <c r="K195" s="499"/>
      <c r="L195" s="499"/>
      <c r="M195" s="499"/>
      <c r="N195" s="499"/>
      <c r="O195" s="499"/>
      <c r="P195" s="499"/>
      <c r="Q195" s="499"/>
      <c r="R195" s="461">
        <f t="shared" si="2"/>
        <v>0</v>
      </c>
    </row>
    <row r="196" spans="1:18" x14ac:dyDescent="0.25">
      <c r="A196" s="561">
        <v>12</v>
      </c>
      <c r="B196" s="552" t="s">
        <v>517</v>
      </c>
      <c r="C196" s="552" t="s">
        <v>606</v>
      </c>
      <c r="D196" s="450" t="s">
        <v>539</v>
      </c>
      <c r="E196" s="500" t="s">
        <v>537</v>
      </c>
      <c r="F196" s="465"/>
      <c r="G196" s="465"/>
      <c r="H196" s="465"/>
      <c r="I196" s="465"/>
      <c r="J196" s="465"/>
      <c r="K196" s="465"/>
      <c r="L196" s="465"/>
      <c r="M196" s="465"/>
      <c r="N196" s="465"/>
      <c r="O196" s="465"/>
      <c r="P196" s="465"/>
      <c r="Q196" s="465"/>
      <c r="R196" s="463">
        <f t="shared" si="2"/>
        <v>0</v>
      </c>
    </row>
    <row r="197" spans="1:18" x14ac:dyDescent="0.25">
      <c r="A197" s="457"/>
      <c r="B197" s="469"/>
      <c r="C197" s="469"/>
      <c r="D197" s="470" t="s">
        <v>530</v>
      </c>
      <c r="E197" s="485">
        <v>211</v>
      </c>
      <c r="F197" s="433"/>
      <c r="G197" s="433"/>
      <c r="H197" s="433"/>
      <c r="I197" s="433"/>
      <c r="J197" s="433"/>
      <c r="K197" s="433"/>
      <c r="L197" s="433"/>
      <c r="M197" s="433"/>
      <c r="N197" s="433"/>
      <c r="O197" s="433"/>
      <c r="P197" s="433"/>
      <c r="Q197" s="433"/>
      <c r="R197" s="434">
        <f t="shared" si="2"/>
        <v>0</v>
      </c>
    </row>
    <row r="198" spans="1:18" x14ac:dyDescent="0.25">
      <c r="A198" s="457"/>
      <c r="B198" s="469"/>
      <c r="C198" s="469"/>
      <c r="D198" s="470" t="s">
        <v>533</v>
      </c>
      <c r="E198" s="485">
        <v>152</v>
      </c>
      <c r="F198" s="499"/>
      <c r="G198" s="499"/>
      <c r="H198" s="499"/>
      <c r="I198" s="499"/>
      <c r="J198" s="499"/>
      <c r="K198" s="499"/>
      <c r="L198" s="499"/>
      <c r="M198" s="499"/>
      <c r="N198" s="499"/>
      <c r="O198" s="499"/>
      <c r="P198" s="499"/>
      <c r="Q198" s="499"/>
      <c r="R198" s="461">
        <f t="shared" si="2"/>
        <v>0</v>
      </c>
    </row>
    <row r="199" spans="1:18" x14ac:dyDescent="0.25">
      <c r="A199" s="561">
        <v>13</v>
      </c>
      <c r="B199" s="552" t="s">
        <v>518</v>
      </c>
      <c r="C199" s="552" t="s">
        <v>607</v>
      </c>
      <c r="D199" s="450" t="s">
        <v>543</v>
      </c>
      <c r="E199" s="500">
        <v>152</v>
      </c>
      <c r="F199" s="465"/>
      <c r="G199" s="465"/>
      <c r="H199" s="465"/>
      <c r="I199" s="465"/>
      <c r="J199" s="465"/>
      <c r="K199" s="465"/>
      <c r="L199" s="465"/>
      <c r="M199" s="465"/>
      <c r="N199" s="465"/>
      <c r="O199" s="465"/>
      <c r="P199" s="465"/>
      <c r="Q199" s="465"/>
      <c r="R199" s="463">
        <f t="shared" si="2"/>
        <v>0</v>
      </c>
    </row>
    <row r="200" spans="1:18" x14ac:dyDescent="0.25">
      <c r="A200" s="457"/>
      <c r="B200" s="467"/>
      <c r="C200" s="469"/>
      <c r="D200" s="470" t="s">
        <v>535</v>
      </c>
      <c r="E200" s="485" t="s">
        <v>544</v>
      </c>
      <c r="F200" s="433"/>
      <c r="G200" s="433"/>
      <c r="H200" s="433"/>
      <c r="I200" s="433"/>
      <c r="J200" s="433"/>
      <c r="K200" s="433"/>
      <c r="L200" s="433"/>
      <c r="M200" s="433"/>
      <c r="N200" s="433"/>
      <c r="O200" s="433"/>
      <c r="P200" s="433"/>
      <c r="Q200" s="433"/>
      <c r="R200" s="434">
        <f t="shared" ref="R200:R230" si="3">SUM(F200:Q200)</f>
        <v>0</v>
      </c>
    </row>
    <row r="201" spans="1:18" x14ac:dyDescent="0.25">
      <c r="A201" s="457"/>
      <c r="B201" s="467"/>
      <c r="C201" s="469"/>
      <c r="D201" s="470" t="s">
        <v>535</v>
      </c>
      <c r="E201" s="485" t="s">
        <v>544</v>
      </c>
      <c r="F201" s="433"/>
      <c r="G201" s="433"/>
      <c r="H201" s="433"/>
      <c r="I201" s="433"/>
      <c r="J201" s="433"/>
      <c r="K201" s="433"/>
      <c r="L201" s="433"/>
      <c r="M201" s="433"/>
      <c r="N201" s="433"/>
      <c r="O201" s="433"/>
      <c r="P201" s="433"/>
      <c r="Q201" s="433"/>
      <c r="R201" s="434">
        <f t="shared" si="3"/>
        <v>0</v>
      </c>
    </row>
    <row r="202" spans="1:18" x14ac:dyDescent="0.25">
      <c r="A202" s="457"/>
      <c r="B202" s="469"/>
      <c r="C202" s="469"/>
      <c r="D202" s="470" t="s">
        <v>533</v>
      </c>
      <c r="E202" s="485"/>
      <c r="F202" s="499"/>
      <c r="G202" s="499"/>
      <c r="H202" s="499"/>
      <c r="I202" s="499"/>
      <c r="J202" s="499"/>
      <c r="K202" s="499"/>
      <c r="L202" s="499"/>
      <c r="M202" s="499"/>
      <c r="N202" s="499"/>
      <c r="O202" s="499"/>
      <c r="P202" s="499"/>
      <c r="Q202" s="499"/>
      <c r="R202" s="461">
        <f t="shared" si="3"/>
        <v>0</v>
      </c>
    </row>
    <row r="203" spans="1:18" x14ac:dyDescent="0.25">
      <c r="A203" s="561">
        <v>14</v>
      </c>
      <c r="B203" s="552" t="s">
        <v>519</v>
      </c>
      <c r="C203" s="552" t="s">
        <v>608</v>
      </c>
      <c r="D203" s="450" t="s">
        <v>539</v>
      </c>
      <c r="E203" s="500" t="s">
        <v>537</v>
      </c>
      <c r="F203" s="465"/>
      <c r="G203" s="465"/>
      <c r="H203" s="465"/>
      <c r="I203" s="465"/>
      <c r="J203" s="465"/>
      <c r="K203" s="465"/>
      <c r="L203" s="465"/>
      <c r="M203" s="465"/>
      <c r="N203" s="465"/>
      <c r="O203" s="465"/>
      <c r="P203" s="465"/>
      <c r="Q203" s="465"/>
      <c r="R203" s="463">
        <f t="shared" si="3"/>
        <v>0</v>
      </c>
    </row>
    <row r="204" spans="1:18" x14ac:dyDescent="0.25">
      <c r="A204" s="457"/>
      <c r="B204" s="467"/>
      <c r="C204" s="469"/>
      <c r="D204" s="470" t="s">
        <v>530</v>
      </c>
      <c r="E204" s="485">
        <v>211</v>
      </c>
      <c r="F204" s="433"/>
      <c r="G204" s="433"/>
      <c r="H204" s="433"/>
      <c r="I204" s="433"/>
      <c r="J204" s="433"/>
      <c r="K204" s="433"/>
      <c r="L204" s="433"/>
      <c r="M204" s="433"/>
      <c r="N204" s="433"/>
      <c r="O204" s="433"/>
      <c r="P204" s="433"/>
      <c r="Q204" s="433"/>
      <c r="R204" s="434">
        <f t="shared" si="3"/>
        <v>0</v>
      </c>
    </row>
    <row r="205" spans="1:18" x14ac:dyDescent="0.25">
      <c r="A205" s="457"/>
      <c r="B205" s="469"/>
      <c r="C205" s="469"/>
      <c r="D205" s="470" t="s">
        <v>533</v>
      </c>
      <c r="E205" s="485">
        <v>152</v>
      </c>
      <c r="F205" s="499"/>
      <c r="G205" s="499"/>
      <c r="H205" s="499"/>
      <c r="I205" s="499"/>
      <c r="J205" s="499"/>
      <c r="K205" s="499"/>
      <c r="L205" s="499"/>
      <c r="M205" s="499"/>
      <c r="N205" s="499"/>
      <c r="O205" s="499"/>
      <c r="P205" s="499"/>
      <c r="Q205" s="499"/>
      <c r="R205" s="461">
        <f t="shared" si="3"/>
        <v>0</v>
      </c>
    </row>
    <row r="206" spans="1:18" x14ac:dyDescent="0.25">
      <c r="A206" s="561">
        <v>15</v>
      </c>
      <c r="B206" s="559" t="s">
        <v>520</v>
      </c>
      <c r="C206" s="559" t="s">
        <v>609</v>
      </c>
      <c r="D206" s="450" t="s">
        <v>539</v>
      </c>
      <c r="E206" s="500" t="s">
        <v>537</v>
      </c>
      <c r="F206" s="465"/>
      <c r="G206" s="465"/>
      <c r="H206" s="465"/>
      <c r="I206" s="465"/>
      <c r="J206" s="465"/>
      <c r="K206" s="465"/>
      <c r="L206" s="465"/>
      <c r="M206" s="465"/>
      <c r="N206" s="465"/>
      <c r="O206" s="465"/>
      <c r="P206" s="465"/>
      <c r="Q206" s="465"/>
      <c r="R206" s="463">
        <f t="shared" si="3"/>
        <v>0</v>
      </c>
    </row>
    <row r="207" spans="1:18" x14ac:dyDescent="0.25">
      <c r="A207" s="457"/>
      <c r="B207" s="544"/>
      <c r="C207" s="562"/>
      <c r="D207" s="470" t="s">
        <v>530</v>
      </c>
      <c r="E207" s="485">
        <v>211</v>
      </c>
      <c r="F207" s="433"/>
      <c r="G207" s="433"/>
      <c r="H207" s="433"/>
      <c r="I207" s="433"/>
      <c r="J207" s="433"/>
      <c r="K207" s="433"/>
      <c r="L207" s="433"/>
      <c r="M207" s="433"/>
      <c r="N207" s="433"/>
      <c r="O207" s="433"/>
      <c r="P207" s="433"/>
      <c r="Q207" s="433"/>
      <c r="R207" s="434">
        <f t="shared" si="3"/>
        <v>0</v>
      </c>
    </row>
    <row r="208" spans="1:18" x14ac:dyDescent="0.25">
      <c r="A208" s="457"/>
      <c r="B208" s="562"/>
      <c r="C208" s="562"/>
      <c r="D208" s="470" t="s">
        <v>533</v>
      </c>
      <c r="E208" s="485">
        <v>152</v>
      </c>
      <c r="F208" s="499"/>
      <c r="G208" s="499"/>
      <c r="H208" s="499"/>
      <c r="I208" s="499"/>
      <c r="J208" s="499"/>
      <c r="K208" s="499"/>
      <c r="L208" s="499"/>
      <c r="M208" s="499"/>
      <c r="N208" s="499"/>
      <c r="O208" s="499"/>
      <c r="P208" s="499"/>
      <c r="Q208" s="499"/>
      <c r="R208" s="461">
        <f t="shared" si="3"/>
        <v>0</v>
      </c>
    </row>
    <row r="209" spans="1:18" x14ac:dyDescent="0.25">
      <c r="A209" s="561">
        <v>16</v>
      </c>
      <c r="B209" s="559" t="s">
        <v>521</v>
      </c>
      <c r="C209" s="559" t="s">
        <v>610</v>
      </c>
      <c r="D209" s="450" t="s">
        <v>539</v>
      </c>
      <c r="E209" s="500" t="s">
        <v>537</v>
      </c>
      <c r="F209" s="465"/>
      <c r="G209" s="465"/>
      <c r="H209" s="465"/>
      <c r="I209" s="465"/>
      <c r="J209" s="465"/>
      <c r="K209" s="465"/>
      <c r="L209" s="465"/>
      <c r="M209" s="465"/>
      <c r="N209" s="465"/>
      <c r="O209" s="465"/>
      <c r="P209" s="465"/>
      <c r="Q209" s="465"/>
      <c r="R209" s="463">
        <f t="shared" si="3"/>
        <v>0</v>
      </c>
    </row>
    <row r="210" spans="1:18" x14ac:dyDescent="0.25">
      <c r="A210" s="457"/>
      <c r="B210" s="544"/>
      <c r="C210" s="562"/>
      <c r="D210" s="470" t="s">
        <v>530</v>
      </c>
      <c r="E210" s="485">
        <v>211</v>
      </c>
      <c r="F210" s="433"/>
      <c r="G210" s="433"/>
      <c r="H210" s="433"/>
      <c r="I210" s="433"/>
      <c r="J210" s="433"/>
      <c r="K210" s="433"/>
      <c r="L210" s="433"/>
      <c r="M210" s="433"/>
      <c r="N210" s="433"/>
      <c r="O210" s="433"/>
      <c r="P210" s="433"/>
      <c r="Q210" s="433"/>
      <c r="R210" s="434">
        <f t="shared" si="3"/>
        <v>0</v>
      </c>
    </row>
    <row r="211" spans="1:18" x14ac:dyDescent="0.25">
      <c r="A211" s="457"/>
      <c r="B211" s="562"/>
      <c r="C211" s="562"/>
      <c r="D211" s="470" t="s">
        <v>533</v>
      </c>
      <c r="E211" s="485">
        <v>152</v>
      </c>
      <c r="F211" s="499"/>
      <c r="G211" s="499"/>
      <c r="H211" s="499"/>
      <c r="I211" s="499"/>
      <c r="J211" s="499"/>
      <c r="K211" s="499"/>
      <c r="L211" s="499"/>
      <c r="M211" s="499"/>
      <c r="N211" s="499"/>
      <c r="O211" s="499"/>
      <c r="P211" s="499"/>
      <c r="Q211" s="499"/>
      <c r="R211" s="461">
        <f t="shared" si="3"/>
        <v>0</v>
      </c>
    </row>
    <row r="212" spans="1:18" x14ac:dyDescent="0.25">
      <c r="A212" s="561">
        <v>17</v>
      </c>
      <c r="B212" s="559" t="s">
        <v>522</v>
      </c>
      <c r="C212" s="559" t="s">
        <v>611</v>
      </c>
      <c r="D212" s="450" t="s">
        <v>539</v>
      </c>
      <c r="E212" s="500" t="s">
        <v>537</v>
      </c>
      <c r="F212" s="465"/>
      <c r="G212" s="465"/>
      <c r="H212" s="465"/>
      <c r="I212" s="465"/>
      <c r="J212" s="465"/>
      <c r="K212" s="465"/>
      <c r="L212" s="465"/>
      <c r="M212" s="465"/>
      <c r="N212" s="465"/>
      <c r="O212" s="465"/>
      <c r="P212" s="465"/>
      <c r="Q212" s="465"/>
      <c r="R212" s="463">
        <f t="shared" si="3"/>
        <v>0</v>
      </c>
    </row>
    <row r="213" spans="1:18" x14ac:dyDescent="0.25">
      <c r="A213" s="457"/>
      <c r="B213" s="544"/>
      <c r="C213" s="562"/>
      <c r="D213" s="470" t="s">
        <v>530</v>
      </c>
      <c r="E213" s="485">
        <v>211</v>
      </c>
      <c r="F213" s="433"/>
      <c r="G213" s="433"/>
      <c r="H213" s="433"/>
      <c r="I213" s="433"/>
      <c r="J213" s="433"/>
      <c r="K213" s="433"/>
      <c r="L213" s="433"/>
      <c r="M213" s="433"/>
      <c r="N213" s="433"/>
      <c r="O213" s="433"/>
      <c r="P213" s="433"/>
      <c r="Q213" s="433"/>
      <c r="R213" s="434">
        <f t="shared" si="3"/>
        <v>0</v>
      </c>
    </row>
    <row r="214" spans="1:18" x14ac:dyDescent="0.25">
      <c r="A214" s="457"/>
      <c r="B214" s="562"/>
      <c r="C214" s="562"/>
      <c r="D214" s="470" t="s">
        <v>533</v>
      </c>
      <c r="E214" s="485">
        <v>152</v>
      </c>
      <c r="F214" s="499"/>
      <c r="G214" s="499"/>
      <c r="H214" s="499"/>
      <c r="I214" s="499"/>
      <c r="J214" s="499"/>
      <c r="K214" s="499"/>
      <c r="L214" s="499"/>
      <c r="M214" s="499"/>
      <c r="N214" s="499"/>
      <c r="O214" s="499"/>
      <c r="P214" s="499"/>
      <c r="Q214" s="499"/>
      <c r="R214" s="461">
        <f t="shared" si="3"/>
        <v>0</v>
      </c>
    </row>
    <row r="215" spans="1:18" x14ac:dyDescent="0.25">
      <c r="A215" s="561">
        <v>18</v>
      </c>
      <c r="B215" s="552" t="s">
        <v>523</v>
      </c>
      <c r="C215" s="552" t="s">
        <v>612</v>
      </c>
      <c r="D215" s="450" t="s">
        <v>539</v>
      </c>
      <c r="E215" s="500" t="s">
        <v>537</v>
      </c>
      <c r="F215" s="465"/>
      <c r="G215" s="465"/>
      <c r="H215" s="465"/>
      <c r="I215" s="465"/>
      <c r="J215" s="465"/>
      <c r="K215" s="465"/>
      <c r="L215" s="465"/>
      <c r="M215" s="465"/>
      <c r="N215" s="465"/>
      <c r="O215" s="465"/>
      <c r="P215" s="465"/>
      <c r="Q215" s="465"/>
      <c r="R215" s="463">
        <f t="shared" si="3"/>
        <v>0</v>
      </c>
    </row>
    <row r="216" spans="1:18" x14ac:dyDescent="0.25">
      <c r="A216" s="457"/>
      <c r="B216" s="467"/>
      <c r="C216" s="467"/>
      <c r="D216" s="442" t="s">
        <v>530</v>
      </c>
      <c r="E216" s="498">
        <v>211</v>
      </c>
      <c r="F216" s="453"/>
      <c r="G216" s="453"/>
      <c r="H216" s="453"/>
      <c r="I216" s="453"/>
      <c r="J216" s="453"/>
      <c r="K216" s="453"/>
      <c r="L216" s="453"/>
      <c r="M216" s="453"/>
      <c r="N216" s="453"/>
      <c r="O216" s="453"/>
      <c r="P216" s="453"/>
      <c r="Q216" s="453"/>
      <c r="R216" s="475">
        <f t="shared" si="3"/>
        <v>0</v>
      </c>
    </row>
    <row r="217" spans="1:18" x14ac:dyDescent="0.25">
      <c r="A217" s="457"/>
      <c r="B217" s="562"/>
      <c r="C217" s="562"/>
      <c r="D217" s="470" t="s">
        <v>533</v>
      </c>
      <c r="E217" s="485">
        <v>152</v>
      </c>
      <c r="F217" s="487"/>
      <c r="G217" s="487"/>
      <c r="H217" s="487"/>
      <c r="I217" s="487"/>
      <c r="J217" s="487"/>
      <c r="K217" s="487"/>
      <c r="L217" s="487"/>
      <c r="M217" s="487"/>
      <c r="N217" s="487"/>
      <c r="O217" s="487"/>
      <c r="P217" s="487"/>
      <c r="Q217" s="487"/>
      <c r="R217" s="504">
        <f t="shared" si="3"/>
        <v>0</v>
      </c>
    </row>
    <row r="218" spans="1:18" x14ac:dyDescent="0.25">
      <c r="A218" s="561">
        <v>19</v>
      </c>
      <c r="B218" s="552" t="s">
        <v>613</v>
      </c>
      <c r="C218" s="552" t="s">
        <v>614</v>
      </c>
      <c r="D218" s="450" t="s">
        <v>539</v>
      </c>
      <c r="E218" s="500" t="s">
        <v>537</v>
      </c>
      <c r="F218" s="465"/>
      <c r="G218" s="465"/>
      <c r="H218" s="465"/>
      <c r="I218" s="465"/>
      <c r="J218" s="465"/>
      <c r="K218" s="465"/>
      <c r="L218" s="465"/>
      <c r="M218" s="465"/>
      <c r="N218" s="465"/>
      <c r="O218" s="465"/>
      <c r="P218" s="465"/>
      <c r="Q218" s="465"/>
      <c r="R218" s="463">
        <f t="shared" si="3"/>
        <v>0</v>
      </c>
    </row>
    <row r="219" spans="1:18" x14ac:dyDescent="0.25">
      <c r="A219" s="457"/>
      <c r="B219" s="544"/>
      <c r="C219" s="562"/>
      <c r="D219" s="470" t="s">
        <v>530</v>
      </c>
      <c r="E219" s="485">
        <v>211</v>
      </c>
      <c r="F219" s="433"/>
      <c r="G219" s="433"/>
      <c r="H219" s="433"/>
      <c r="I219" s="433"/>
      <c r="J219" s="433"/>
      <c r="K219" s="433"/>
      <c r="L219" s="433"/>
      <c r="M219" s="433"/>
      <c r="N219" s="433"/>
      <c r="O219" s="433"/>
      <c r="P219" s="433"/>
      <c r="Q219" s="433"/>
      <c r="R219" s="434">
        <f t="shared" si="3"/>
        <v>0</v>
      </c>
    </row>
    <row r="220" spans="1:18" x14ac:dyDescent="0.25">
      <c r="A220" s="457"/>
      <c r="B220" s="562"/>
      <c r="C220" s="562"/>
      <c r="D220" s="470" t="s">
        <v>533</v>
      </c>
      <c r="E220" s="485">
        <v>152</v>
      </c>
      <c r="F220" s="499"/>
      <c r="G220" s="499"/>
      <c r="H220" s="499"/>
      <c r="I220" s="499"/>
      <c r="J220" s="499"/>
      <c r="K220" s="499"/>
      <c r="L220" s="499"/>
      <c r="M220" s="499"/>
      <c r="N220" s="499"/>
      <c r="O220" s="499"/>
      <c r="P220" s="499"/>
      <c r="Q220" s="499"/>
      <c r="R220" s="461">
        <f t="shared" si="3"/>
        <v>0</v>
      </c>
    </row>
    <row r="221" spans="1:18" x14ac:dyDescent="0.25">
      <c r="A221" s="561">
        <v>20</v>
      </c>
      <c r="B221" s="559" t="s">
        <v>524</v>
      </c>
      <c r="C221" s="563" t="s">
        <v>615</v>
      </c>
      <c r="D221" s="505" t="s">
        <v>539</v>
      </c>
      <c r="E221" s="500" t="s">
        <v>537</v>
      </c>
      <c r="F221" s="465"/>
      <c r="G221" s="465"/>
      <c r="H221" s="465"/>
      <c r="I221" s="465"/>
      <c r="J221" s="465"/>
      <c r="K221" s="465"/>
      <c r="L221" s="465"/>
      <c r="M221" s="465"/>
      <c r="N221" s="465"/>
      <c r="O221" s="465"/>
      <c r="P221" s="465"/>
      <c r="Q221" s="465"/>
      <c r="R221" s="463">
        <f t="shared" si="3"/>
        <v>0</v>
      </c>
    </row>
    <row r="222" spans="1:18" x14ac:dyDescent="0.25">
      <c r="A222" s="457"/>
      <c r="B222" s="544"/>
      <c r="C222" s="562"/>
      <c r="D222" s="470" t="s">
        <v>530</v>
      </c>
      <c r="E222" s="485">
        <v>211</v>
      </c>
      <c r="F222" s="433"/>
      <c r="G222" s="433"/>
      <c r="H222" s="433"/>
      <c r="I222" s="433"/>
      <c r="J222" s="433"/>
      <c r="K222" s="433"/>
      <c r="L222" s="433"/>
      <c r="M222" s="433"/>
      <c r="N222" s="433"/>
      <c r="O222" s="433"/>
      <c r="P222" s="433"/>
      <c r="Q222" s="433"/>
      <c r="R222" s="434">
        <f t="shared" si="3"/>
        <v>0</v>
      </c>
    </row>
    <row r="223" spans="1:18" x14ac:dyDescent="0.25">
      <c r="A223" s="457"/>
      <c r="B223" s="562"/>
      <c r="C223" s="562"/>
      <c r="D223" s="470" t="s">
        <v>533</v>
      </c>
      <c r="E223" s="485">
        <v>152</v>
      </c>
      <c r="F223" s="499"/>
      <c r="G223" s="499"/>
      <c r="H223" s="499"/>
      <c r="I223" s="499"/>
      <c r="J223" s="499"/>
      <c r="K223" s="499"/>
      <c r="L223" s="499"/>
      <c r="M223" s="499"/>
      <c r="N223" s="499"/>
      <c r="O223" s="499"/>
      <c r="P223" s="499"/>
      <c r="Q223" s="499"/>
      <c r="R223" s="461">
        <f t="shared" si="3"/>
        <v>0</v>
      </c>
    </row>
    <row r="224" spans="1:18" x14ac:dyDescent="0.25">
      <c r="A224" s="561">
        <v>21</v>
      </c>
      <c r="B224" s="559" t="s">
        <v>525</v>
      </c>
      <c r="C224" s="559" t="s">
        <v>616</v>
      </c>
      <c r="D224" s="450" t="s">
        <v>539</v>
      </c>
      <c r="E224" s="500" t="s">
        <v>537</v>
      </c>
      <c r="F224" s="465"/>
      <c r="G224" s="465"/>
      <c r="H224" s="465"/>
      <c r="I224" s="465"/>
      <c r="J224" s="465"/>
      <c r="K224" s="465"/>
      <c r="L224" s="465"/>
      <c r="M224" s="465"/>
      <c r="N224" s="465"/>
      <c r="O224" s="465"/>
      <c r="P224" s="465"/>
      <c r="Q224" s="465"/>
      <c r="R224" s="463">
        <f t="shared" si="3"/>
        <v>0</v>
      </c>
    </row>
    <row r="225" spans="1:18" x14ac:dyDescent="0.25">
      <c r="A225" s="457"/>
      <c r="B225" s="544"/>
      <c r="C225" s="562"/>
      <c r="D225" s="470" t="s">
        <v>530</v>
      </c>
      <c r="E225" s="485">
        <v>211</v>
      </c>
      <c r="F225" s="433"/>
      <c r="G225" s="433"/>
      <c r="H225" s="433"/>
      <c r="I225" s="433"/>
      <c r="J225" s="433"/>
      <c r="K225" s="433"/>
      <c r="L225" s="433"/>
      <c r="M225" s="433"/>
      <c r="N225" s="433"/>
      <c r="O225" s="433"/>
      <c r="P225" s="433"/>
      <c r="Q225" s="433"/>
      <c r="R225" s="434">
        <f t="shared" si="3"/>
        <v>0</v>
      </c>
    </row>
    <row r="226" spans="1:18" x14ac:dyDescent="0.25">
      <c r="A226" s="457"/>
      <c r="B226" s="562"/>
      <c r="C226" s="562"/>
      <c r="D226" s="470" t="s">
        <v>533</v>
      </c>
      <c r="E226" s="485">
        <v>152</v>
      </c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61">
        <f t="shared" si="3"/>
        <v>0</v>
      </c>
    </row>
    <row r="227" spans="1:18" x14ac:dyDescent="0.25">
      <c r="A227" s="561">
        <v>22</v>
      </c>
      <c r="B227" s="559" t="s">
        <v>526</v>
      </c>
      <c r="C227" s="559" t="s">
        <v>617</v>
      </c>
      <c r="D227" s="450" t="s">
        <v>539</v>
      </c>
      <c r="E227" s="500" t="s">
        <v>537</v>
      </c>
      <c r="F227" s="465"/>
      <c r="G227" s="465"/>
      <c r="H227" s="465"/>
      <c r="I227" s="465"/>
      <c r="J227" s="465"/>
      <c r="K227" s="465"/>
      <c r="L227" s="465"/>
      <c r="M227" s="465"/>
      <c r="N227" s="465"/>
      <c r="O227" s="465"/>
      <c r="P227" s="465"/>
      <c r="Q227" s="465"/>
      <c r="R227" s="463">
        <f t="shared" si="3"/>
        <v>0</v>
      </c>
    </row>
    <row r="228" spans="1:18" x14ac:dyDescent="0.25">
      <c r="A228" s="457"/>
      <c r="B228" s="544"/>
      <c r="C228" s="562"/>
      <c r="D228" s="470" t="s">
        <v>530</v>
      </c>
      <c r="E228" s="485">
        <v>211</v>
      </c>
      <c r="F228" s="433"/>
      <c r="G228" s="433"/>
      <c r="H228" s="433"/>
      <c r="I228" s="433"/>
      <c r="J228" s="433"/>
      <c r="K228" s="433"/>
      <c r="L228" s="433"/>
      <c r="M228" s="433"/>
      <c r="N228" s="433"/>
      <c r="O228" s="433"/>
      <c r="P228" s="433"/>
      <c r="Q228" s="433"/>
      <c r="R228" s="434">
        <f t="shared" si="3"/>
        <v>0</v>
      </c>
    </row>
    <row r="229" spans="1:18" x14ac:dyDescent="0.25">
      <c r="A229" s="457"/>
      <c r="B229" s="544"/>
      <c r="C229" s="562"/>
      <c r="D229" s="470" t="s">
        <v>533</v>
      </c>
      <c r="E229" s="485">
        <v>152</v>
      </c>
      <c r="F229" s="433"/>
      <c r="G229" s="433"/>
      <c r="H229" s="433"/>
      <c r="I229" s="433"/>
      <c r="J229" s="433"/>
      <c r="K229" s="433"/>
      <c r="L229" s="433"/>
      <c r="M229" s="433"/>
      <c r="N229" s="433"/>
      <c r="O229" s="433"/>
      <c r="P229" s="433"/>
      <c r="Q229" s="433"/>
      <c r="R229" s="434">
        <f t="shared" si="3"/>
        <v>0</v>
      </c>
    </row>
    <row r="230" spans="1:18" x14ac:dyDescent="0.25">
      <c r="A230" s="457"/>
      <c r="B230" s="562"/>
      <c r="C230" s="562"/>
      <c r="D230" s="439"/>
      <c r="E230" s="439"/>
      <c r="F230" s="433"/>
      <c r="G230" s="433"/>
      <c r="H230" s="433"/>
      <c r="I230" s="433"/>
      <c r="J230" s="433"/>
      <c r="K230" s="433"/>
      <c r="L230" s="433"/>
      <c r="M230" s="433"/>
      <c r="N230" s="433"/>
      <c r="O230" s="433"/>
      <c r="P230" s="433"/>
      <c r="Q230" s="433"/>
      <c r="R230" s="434">
        <f t="shared" si="3"/>
        <v>0</v>
      </c>
    </row>
    <row r="231" spans="1:18" x14ac:dyDescent="0.25">
      <c r="A231" s="491" t="s">
        <v>545</v>
      </c>
      <c r="B231" s="424" t="s">
        <v>546</v>
      </c>
      <c r="C231" s="424"/>
      <c r="D231" s="506" t="s">
        <v>547</v>
      </c>
      <c r="E231" s="507" t="s">
        <v>548</v>
      </c>
      <c r="F231" s="492"/>
      <c r="G231" s="493"/>
      <c r="H231" s="493"/>
      <c r="I231" s="493"/>
      <c r="J231" s="493"/>
      <c r="K231" s="493"/>
      <c r="L231" s="493"/>
      <c r="M231" s="493"/>
      <c r="N231" s="493"/>
      <c r="O231" s="493"/>
      <c r="P231" s="493"/>
      <c r="Q231" s="493"/>
      <c r="R231" s="493"/>
    </row>
    <row r="232" spans="1:18" x14ac:dyDescent="0.25">
      <c r="A232" s="508"/>
      <c r="B232" s="544" t="s">
        <v>490</v>
      </c>
      <c r="C232" s="429" t="s">
        <v>594</v>
      </c>
      <c r="D232" s="501" t="s">
        <v>549</v>
      </c>
      <c r="E232" s="509">
        <v>128</v>
      </c>
      <c r="F232" s="463"/>
      <c r="G232" s="501"/>
      <c r="H232" s="501"/>
      <c r="I232" s="501"/>
      <c r="J232" s="501"/>
      <c r="K232" s="501"/>
      <c r="L232" s="501"/>
      <c r="M232" s="501"/>
      <c r="N232" s="501"/>
      <c r="O232" s="501"/>
      <c r="P232" s="501"/>
      <c r="Q232" s="501"/>
      <c r="R232" s="434">
        <f t="shared" ref="R232:R239" si="4">SUM(F232:Q232)</f>
        <v>0</v>
      </c>
    </row>
    <row r="233" spans="1:18" x14ac:dyDescent="0.25">
      <c r="A233" s="508"/>
      <c r="B233" s="564"/>
      <c r="C233" s="498"/>
      <c r="D233" s="436"/>
      <c r="E233" s="509">
        <v>138</v>
      </c>
      <c r="F233" s="475"/>
      <c r="G233" s="436"/>
      <c r="H233" s="436"/>
      <c r="I233" s="436"/>
      <c r="J233" s="436"/>
      <c r="K233" s="436"/>
      <c r="L233" s="436"/>
      <c r="M233" s="436"/>
      <c r="N233" s="436"/>
      <c r="O233" s="436"/>
      <c r="P233" s="436"/>
      <c r="Q233" s="436"/>
      <c r="R233" s="434">
        <f t="shared" si="4"/>
        <v>0</v>
      </c>
    </row>
    <row r="234" spans="1:18" x14ac:dyDescent="0.25">
      <c r="A234" s="508"/>
      <c r="B234" s="467" t="s">
        <v>521</v>
      </c>
      <c r="C234" s="467" t="s">
        <v>610</v>
      </c>
      <c r="D234" s="436" t="s">
        <v>472</v>
      </c>
      <c r="E234" s="509">
        <v>128</v>
      </c>
      <c r="F234" s="475"/>
      <c r="G234" s="436"/>
      <c r="H234" s="436"/>
      <c r="I234" s="436"/>
      <c r="J234" s="436"/>
      <c r="K234" s="436"/>
      <c r="L234" s="436"/>
      <c r="M234" s="436"/>
      <c r="N234" s="436"/>
      <c r="O234" s="436"/>
      <c r="P234" s="436"/>
      <c r="Q234" s="436"/>
      <c r="R234" s="434">
        <f t="shared" si="4"/>
        <v>0</v>
      </c>
    </row>
    <row r="235" spans="1:18" x14ac:dyDescent="0.25">
      <c r="A235" s="508"/>
      <c r="B235" s="467"/>
      <c r="C235" s="472"/>
      <c r="D235" s="430"/>
      <c r="E235" s="511">
        <v>138</v>
      </c>
      <c r="F235" s="475"/>
      <c r="G235" s="436"/>
      <c r="H235" s="436"/>
      <c r="I235" s="436"/>
      <c r="J235" s="436"/>
      <c r="K235" s="436"/>
      <c r="L235" s="436"/>
      <c r="M235" s="436"/>
      <c r="N235" s="436"/>
      <c r="O235" s="436"/>
      <c r="P235" s="436"/>
      <c r="Q235" s="436"/>
      <c r="R235" s="434">
        <f t="shared" si="4"/>
        <v>0</v>
      </c>
    </row>
    <row r="236" spans="1:18" x14ac:dyDescent="0.25">
      <c r="A236" s="508"/>
      <c r="B236" s="467" t="s">
        <v>515</v>
      </c>
      <c r="C236" s="467" t="s">
        <v>604</v>
      </c>
      <c r="D236" s="436" t="s">
        <v>472</v>
      </c>
      <c r="E236" s="511">
        <v>128</v>
      </c>
      <c r="F236" s="475"/>
      <c r="G236" s="436"/>
      <c r="H236" s="436"/>
      <c r="I236" s="436"/>
      <c r="J236" s="436"/>
      <c r="K236" s="436"/>
      <c r="L236" s="436"/>
      <c r="M236" s="436"/>
      <c r="N236" s="436"/>
      <c r="O236" s="436"/>
      <c r="P236" s="436"/>
      <c r="Q236" s="436"/>
      <c r="R236" s="434">
        <f t="shared" si="4"/>
        <v>0</v>
      </c>
    </row>
    <row r="237" spans="1:18" x14ac:dyDescent="0.25">
      <c r="A237" s="508"/>
      <c r="B237" s="544" t="s">
        <v>550</v>
      </c>
      <c r="C237" s="429"/>
      <c r="D237" s="512" t="s">
        <v>551</v>
      </c>
      <c r="E237" s="511">
        <v>128</v>
      </c>
      <c r="F237" s="475"/>
      <c r="G237" s="436"/>
      <c r="H237" s="436"/>
      <c r="I237" s="436"/>
      <c r="J237" s="436"/>
      <c r="K237" s="436"/>
      <c r="L237" s="436"/>
      <c r="M237" s="436"/>
      <c r="N237" s="436"/>
      <c r="O237" s="436"/>
      <c r="P237" s="436"/>
      <c r="Q237" s="436"/>
      <c r="R237" s="434">
        <f t="shared" si="4"/>
        <v>0</v>
      </c>
    </row>
    <row r="238" spans="1:18" x14ac:dyDescent="0.25">
      <c r="A238" s="508"/>
      <c r="B238" s="544" t="s">
        <v>552</v>
      </c>
      <c r="C238" s="544"/>
      <c r="D238" s="513"/>
      <c r="E238" s="509">
        <v>138</v>
      </c>
      <c r="F238" s="475"/>
      <c r="G238" s="436"/>
      <c r="H238" s="436"/>
      <c r="I238" s="436"/>
      <c r="J238" s="436"/>
      <c r="K238" s="436"/>
      <c r="L238" s="436"/>
      <c r="M238" s="436"/>
      <c r="N238" s="436"/>
      <c r="O238" s="436"/>
      <c r="P238" s="436"/>
      <c r="Q238" s="436"/>
      <c r="R238" s="434">
        <f t="shared" si="4"/>
        <v>0</v>
      </c>
    </row>
    <row r="239" spans="1:18" x14ac:dyDescent="0.25">
      <c r="A239" s="514"/>
      <c r="B239" s="540" t="s">
        <v>553</v>
      </c>
      <c r="C239" s="540"/>
      <c r="D239" s="515"/>
      <c r="E239" s="516">
        <v>138</v>
      </c>
      <c r="F239" s="449"/>
      <c r="G239" s="445"/>
      <c r="H239" s="445"/>
      <c r="I239" s="445"/>
      <c r="J239" s="445"/>
      <c r="K239" s="445"/>
      <c r="L239" s="445"/>
      <c r="M239" s="445"/>
      <c r="N239" s="445"/>
      <c r="O239" s="445"/>
      <c r="P239" s="445"/>
      <c r="Q239" s="445"/>
      <c r="R239" s="434">
        <f t="shared" si="4"/>
        <v>0</v>
      </c>
    </row>
    <row r="240" spans="1:18" x14ac:dyDescent="0.25">
      <c r="A240" s="491" t="s">
        <v>554</v>
      </c>
      <c r="B240" s="424" t="s">
        <v>555</v>
      </c>
      <c r="C240" s="424"/>
      <c r="D240" s="506" t="s">
        <v>547</v>
      </c>
      <c r="E240" s="507" t="s">
        <v>548</v>
      </c>
      <c r="F240" s="492"/>
      <c r="G240" s="493"/>
      <c r="H240" s="493"/>
      <c r="I240" s="493"/>
      <c r="J240" s="493"/>
      <c r="K240" s="493"/>
      <c r="L240" s="493"/>
      <c r="M240" s="493"/>
      <c r="N240" s="493"/>
      <c r="O240" s="493"/>
      <c r="P240" s="493"/>
      <c r="Q240" s="493"/>
      <c r="R240" s="493"/>
    </row>
    <row r="241" spans="1:18" x14ac:dyDescent="0.25">
      <c r="A241" s="517"/>
      <c r="B241" s="436" t="s">
        <v>490</v>
      </c>
      <c r="C241" s="430" t="s">
        <v>594</v>
      </c>
      <c r="D241" s="501" t="s">
        <v>549</v>
      </c>
      <c r="E241" s="509">
        <v>128</v>
      </c>
      <c r="F241" s="463"/>
      <c r="G241" s="501"/>
      <c r="H241" s="501"/>
      <c r="I241" s="501"/>
      <c r="J241" s="501"/>
      <c r="K241" s="501"/>
      <c r="L241" s="501"/>
      <c r="M241" s="501"/>
      <c r="N241" s="501"/>
      <c r="O241" s="501"/>
      <c r="P241" s="501"/>
      <c r="Q241" s="501"/>
      <c r="R241" s="434">
        <f t="shared" ref="R241:R246" si="5">SUM(F241:Q241)</f>
        <v>0</v>
      </c>
    </row>
    <row r="242" spans="1:18" x14ac:dyDescent="0.25">
      <c r="A242" s="517"/>
      <c r="B242" s="510"/>
      <c r="C242" s="440"/>
      <c r="D242" s="436"/>
      <c r="E242" s="509">
        <v>138</v>
      </c>
      <c r="F242" s="475"/>
      <c r="G242" s="436"/>
      <c r="H242" s="436"/>
      <c r="I242" s="436"/>
      <c r="J242" s="436"/>
      <c r="K242" s="436"/>
      <c r="L242" s="436"/>
      <c r="M242" s="436"/>
      <c r="N242" s="436"/>
      <c r="O242" s="436"/>
      <c r="P242" s="436"/>
      <c r="Q242" s="436"/>
      <c r="R242" s="434">
        <f t="shared" si="5"/>
        <v>0</v>
      </c>
    </row>
    <row r="243" spans="1:18" x14ac:dyDescent="0.25">
      <c r="A243" s="517"/>
      <c r="B243" s="467" t="s">
        <v>521</v>
      </c>
      <c r="C243" s="467" t="s">
        <v>610</v>
      </c>
      <c r="D243" s="436" t="s">
        <v>472</v>
      </c>
      <c r="E243" s="509">
        <v>128</v>
      </c>
      <c r="F243" s="475"/>
      <c r="G243" s="436"/>
      <c r="H243" s="436"/>
      <c r="I243" s="436"/>
      <c r="J243" s="436"/>
      <c r="K243" s="436"/>
      <c r="L243" s="436"/>
      <c r="M243" s="436"/>
      <c r="N243" s="436"/>
      <c r="O243" s="436"/>
      <c r="P243" s="436"/>
      <c r="Q243" s="436"/>
      <c r="R243" s="434">
        <f t="shared" si="5"/>
        <v>0</v>
      </c>
    </row>
    <row r="244" spans="1:18" x14ac:dyDescent="0.25">
      <c r="A244" s="517"/>
      <c r="B244" s="467"/>
      <c r="C244" s="472"/>
      <c r="D244" s="430"/>
      <c r="E244" s="511">
        <v>138</v>
      </c>
      <c r="F244" s="475"/>
      <c r="G244" s="436"/>
      <c r="H244" s="436"/>
      <c r="I244" s="436"/>
      <c r="J244" s="436"/>
      <c r="K244" s="436"/>
      <c r="L244" s="436"/>
      <c r="M244" s="436"/>
      <c r="N244" s="436"/>
      <c r="O244" s="436"/>
      <c r="P244" s="436"/>
      <c r="Q244" s="436"/>
      <c r="R244" s="434">
        <f t="shared" si="5"/>
        <v>0</v>
      </c>
    </row>
    <row r="245" spans="1:18" x14ac:dyDescent="0.25">
      <c r="A245" s="517"/>
      <c r="B245" s="467" t="s">
        <v>515</v>
      </c>
      <c r="C245" s="467" t="s">
        <v>604</v>
      </c>
      <c r="D245" s="436" t="s">
        <v>472</v>
      </c>
      <c r="E245" s="511">
        <v>128</v>
      </c>
      <c r="F245" s="475"/>
      <c r="G245" s="436"/>
      <c r="H245" s="436"/>
      <c r="I245" s="436"/>
      <c r="J245" s="436"/>
      <c r="K245" s="436"/>
      <c r="L245" s="436"/>
      <c r="M245" s="436"/>
      <c r="N245" s="436"/>
      <c r="O245" s="436"/>
      <c r="P245" s="436"/>
      <c r="Q245" s="436"/>
      <c r="R245" s="434">
        <f t="shared" si="5"/>
        <v>0</v>
      </c>
    </row>
    <row r="246" spans="1:18" x14ac:dyDescent="0.25">
      <c r="A246" s="517"/>
      <c r="B246" s="436" t="s">
        <v>550</v>
      </c>
      <c r="C246" s="430"/>
      <c r="D246" s="512" t="s">
        <v>551</v>
      </c>
      <c r="E246" s="511">
        <v>128</v>
      </c>
      <c r="F246" s="449"/>
      <c r="G246" s="445"/>
      <c r="H246" s="445"/>
      <c r="I246" s="445"/>
      <c r="J246" s="445"/>
      <c r="K246" s="445"/>
      <c r="L246" s="445"/>
      <c r="M246" s="445"/>
      <c r="N246" s="445"/>
      <c r="O246" s="445"/>
      <c r="P246" s="445"/>
      <c r="Q246" s="445"/>
      <c r="R246" s="434">
        <f t="shared" si="5"/>
        <v>0</v>
      </c>
    </row>
    <row r="247" spans="1:18" x14ac:dyDescent="0.25">
      <c r="A247" s="491" t="s">
        <v>556</v>
      </c>
      <c r="B247" s="424" t="s">
        <v>557</v>
      </c>
      <c r="C247" s="424"/>
      <c r="D247" s="506" t="s">
        <v>547</v>
      </c>
      <c r="E247" s="507" t="s">
        <v>548</v>
      </c>
      <c r="F247" s="492"/>
      <c r="G247" s="493"/>
      <c r="H247" s="493"/>
      <c r="I247" s="493"/>
      <c r="J247" s="493"/>
      <c r="K247" s="493"/>
      <c r="L247" s="493"/>
      <c r="M247" s="493"/>
      <c r="N247" s="493"/>
      <c r="O247" s="493"/>
      <c r="P247" s="493"/>
      <c r="Q247" s="493"/>
      <c r="R247" s="493"/>
    </row>
    <row r="248" spans="1:18" x14ac:dyDescent="0.25">
      <c r="A248" s="508"/>
      <c r="B248" s="552" t="s">
        <v>512</v>
      </c>
      <c r="C248" s="552" t="s">
        <v>602</v>
      </c>
      <c r="D248" s="518" t="s">
        <v>472</v>
      </c>
      <c r="E248" s="509">
        <v>341</v>
      </c>
      <c r="F248" s="463"/>
      <c r="G248" s="501"/>
      <c r="H248" s="501"/>
      <c r="I248" s="501"/>
      <c r="J248" s="501"/>
      <c r="K248" s="501"/>
      <c r="L248" s="501"/>
      <c r="M248" s="501"/>
      <c r="N248" s="501"/>
      <c r="O248" s="501"/>
      <c r="P248" s="501"/>
      <c r="Q248" s="501"/>
      <c r="R248" s="434">
        <f t="shared" ref="R248:R250" si="6">SUM(F248:Q248)</f>
        <v>0</v>
      </c>
    </row>
    <row r="249" spans="1:18" x14ac:dyDescent="0.25">
      <c r="A249" s="508"/>
      <c r="B249" s="467" t="s">
        <v>499</v>
      </c>
      <c r="C249" s="472" t="s">
        <v>595</v>
      </c>
      <c r="D249" s="429" t="s">
        <v>472</v>
      </c>
      <c r="E249" s="509">
        <v>338</v>
      </c>
      <c r="F249" s="475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4">
        <f t="shared" si="6"/>
        <v>0</v>
      </c>
    </row>
    <row r="250" spans="1:18" x14ac:dyDescent="0.25">
      <c r="A250" s="517"/>
      <c r="B250" s="436" t="s">
        <v>550</v>
      </c>
      <c r="C250" s="519"/>
      <c r="D250" s="519"/>
      <c r="E250" s="509">
        <v>341</v>
      </c>
      <c r="F250" s="520"/>
      <c r="G250" s="445"/>
      <c r="H250" s="445"/>
      <c r="I250" s="445"/>
      <c r="J250" s="445"/>
      <c r="K250" s="445"/>
      <c r="L250" s="445"/>
      <c r="M250" s="445"/>
      <c r="N250" s="445"/>
      <c r="O250" s="445"/>
      <c r="P250" s="445"/>
      <c r="Q250" s="445"/>
      <c r="R250" s="521">
        <f t="shared" si="6"/>
        <v>0</v>
      </c>
    </row>
    <row r="251" spans="1:18" x14ac:dyDescent="0.25">
      <c r="A251" s="491" t="s">
        <v>558</v>
      </c>
      <c r="B251" s="424" t="s">
        <v>559</v>
      </c>
      <c r="C251" s="424"/>
      <c r="D251" s="506" t="s">
        <v>547</v>
      </c>
      <c r="E251" s="507" t="s">
        <v>548</v>
      </c>
      <c r="F251" s="492"/>
      <c r="G251" s="493"/>
      <c r="H251" s="493"/>
      <c r="I251" s="493"/>
      <c r="J251" s="493"/>
      <c r="K251" s="493"/>
      <c r="L251" s="493"/>
      <c r="M251" s="493"/>
      <c r="N251" s="493"/>
      <c r="O251" s="493"/>
      <c r="P251" s="493"/>
      <c r="Q251" s="493"/>
      <c r="R251" s="493"/>
    </row>
    <row r="252" spans="1:18" x14ac:dyDescent="0.25">
      <c r="A252" s="522"/>
      <c r="B252" s="552" t="s">
        <v>512</v>
      </c>
      <c r="C252" s="552" t="s">
        <v>602</v>
      </c>
      <c r="D252" s="518" t="s">
        <v>472</v>
      </c>
      <c r="E252" s="509">
        <v>341</v>
      </c>
      <c r="F252" s="463"/>
      <c r="G252" s="501"/>
      <c r="H252" s="501"/>
      <c r="I252" s="501"/>
      <c r="J252" s="501"/>
      <c r="K252" s="501"/>
      <c r="L252" s="501"/>
      <c r="M252" s="501"/>
      <c r="N252" s="501"/>
      <c r="O252" s="501"/>
      <c r="P252" s="501"/>
      <c r="Q252" s="501"/>
      <c r="R252" s="434">
        <f t="shared" ref="R252:R254" si="7">SUM(F252:Q252)</f>
        <v>0</v>
      </c>
    </row>
    <row r="253" spans="1:18" x14ac:dyDescent="0.25">
      <c r="A253" s="522"/>
      <c r="B253" s="544" t="s">
        <v>550</v>
      </c>
      <c r="C253" s="523"/>
      <c r="D253" s="523"/>
      <c r="E253" s="524"/>
      <c r="F253" s="525"/>
      <c r="G253" s="436"/>
      <c r="H253" s="436"/>
      <c r="I253" s="436"/>
      <c r="J253" s="436"/>
      <c r="K253" s="436"/>
      <c r="L253" s="436"/>
      <c r="M253" s="436"/>
      <c r="N253" s="436"/>
      <c r="O253" s="436"/>
      <c r="P253" s="436"/>
      <c r="Q253" s="436"/>
      <c r="R253" s="521">
        <f t="shared" si="7"/>
        <v>0</v>
      </c>
    </row>
    <row r="254" spans="1:18" x14ac:dyDescent="0.25">
      <c r="A254" s="514"/>
      <c r="B254" s="467"/>
      <c r="C254" s="469"/>
      <c r="D254" s="445"/>
      <c r="E254" s="445"/>
      <c r="F254" s="449"/>
      <c r="G254" s="445"/>
      <c r="H254" s="445"/>
      <c r="I254" s="445"/>
      <c r="J254" s="445"/>
      <c r="K254" s="445"/>
      <c r="L254" s="445"/>
      <c r="M254" s="445"/>
      <c r="N254" s="445"/>
      <c r="O254" s="445"/>
      <c r="P254" s="445"/>
      <c r="Q254" s="445"/>
      <c r="R254" s="434">
        <f t="shared" si="7"/>
        <v>0</v>
      </c>
    </row>
    <row r="255" spans="1:18" x14ac:dyDescent="0.25">
      <c r="A255" s="491" t="s">
        <v>560</v>
      </c>
      <c r="B255" s="424" t="s">
        <v>561</v>
      </c>
      <c r="C255" s="424"/>
      <c r="D255" s="506" t="s">
        <v>547</v>
      </c>
      <c r="E255" s="507" t="s">
        <v>548</v>
      </c>
      <c r="F255" s="492"/>
      <c r="G255" s="493"/>
      <c r="H255" s="493"/>
      <c r="I255" s="493"/>
      <c r="J255" s="493"/>
      <c r="K255" s="493"/>
      <c r="L255" s="493"/>
      <c r="M255" s="493"/>
      <c r="N255" s="493"/>
      <c r="O255" s="493"/>
      <c r="P255" s="493"/>
      <c r="Q255" s="493"/>
      <c r="R255" s="493"/>
    </row>
    <row r="256" spans="1:18" x14ac:dyDescent="0.25">
      <c r="A256" s="565"/>
      <c r="B256" s="552"/>
      <c r="C256" s="552"/>
      <c r="D256" s="501" t="s">
        <v>562</v>
      </c>
      <c r="E256" s="526">
        <v>515</v>
      </c>
      <c r="F256" s="463"/>
      <c r="G256" s="501"/>
      <c r="H256" s="501"/>
      <c r="I256" s="501"/>
      <c r="J256" s="501"/>
      <c r="K256" s="501"/>
      <c r="L256" s="501"/>
      <c r="M256" s="501"/>
      <c r="N256" s="501"/>
      <c r="O256" s="501"/>
      <c r="P256" s="501"/>
      <c r="Q256" s="501"/>
      <c r="R256" s="434">
        <f t="shared" ref="R256:R264" si="8">SUM(F256:Q256)</f>
        <v>0</v>
      </c>
    </row>
    <row r="257" spans="1:18" x14ac:dyDescent="0.25">
      <c r="A257" s="508"/>
      <c r="B257" s="544"/>
      <c r="C257" s="544"/>
      <c r="D257" s="436"/>
      <c r="E257" s="440">
        <v>138</v>
      </c>
      <c r="F257" s="475"/>
      <c r="G257" s="436"/>
      <c r="H257" s="436"/>
      <c r="I257" s="436"/>
      <c r="J257" s="436"/>
      <c r="K257" s="436"/>
      <c r="L257" s="436"/>
      <c r="M257" s="436"/>
      <c r="N257" s="436"/>
      <c r="O257" s="436"/>
      <c r="P257" s="436"/>
      <c r="Q257" s="436"/>
      <c r="R257" s="434">
        <f t="shared" si="8"/>
        <v>0</v>
      </c>
    </row>
    <row r="258" spans="1:18" x14ac:dyDescent="0.25">
      <c r="A258" s="508"/>
      <c r="B258" s="544"/>
      <c r="C258" s="544"/>
      <c r="D258" s="436" t="s">
        <v>562</v>
      </c>
      <c r="E258" s="509">
        <v>515</v>
      </c>
      <c r="F258" s="475"/>
      <c r="G258" s="436"/>
      <c r="H258" s="436"/>
      <c r="I258" s="436"/>
      <c r="J258" s="436"/>
      <c r="K258" s="436"/>
      <c r="L258" s="436"/>
      <c r="M258" s="436"/>
      <c r="N258" s="436"/>
      <c r="O258" s="436"/>
      <c r="P258" s="436"/>
      <c r="Q258" s="436"/>
      <c r="R258" s="434">
        <f t="shared" si="8"/>
        <v>0</v>
      </c>
    </row>
    <row r="259" spans="1:18" x14ac:dyDescent="0.25">
      <c r="A259" s="508"/>
      <c r="B259" s="544"/>
      <c r="C259" s="544"/>
      <c r="D259" s="436"/>
      <c r="E259" s="440">
        <v>138</v>
      </c>
      <c r="F259" s="475"/>
      <c r="G259" s="436"/>
      <c r="H259" s="436"/>
      <c r="I259" s="436"/>
      <c r="J259" s="436"/>
      <c r="K259" s="436"/>
      <c r="L259" s="436"/>
      <c r="M259" s="436"/>
      <c r="N259" s="436"/>
      <c r="O259" s="436"/>
      <c r="P259" s="436"/>
      <c r="Q259" s="436"/>
      <c r="R259" s="434">
        <f t="shared" si="8"/>
        <v>0</v>
      </c>
    </row>
    <row r="260" spans="1:18" x14ac:dyDescent="0.25">
      <c r="A260" s="508"/>
      <c r="B260" s="566"/>
      <c r="C260" s="498"/>
      <c r="D260" s="436" t="s">
        <v>562</v>
      </c>
      <c r="E260" s="509">
        <v>515</v>
      </c>
      <c r="F260" s="475"/>
      <c r="G260" s="436"/>
      <c r="H260" s="436"/>
      <c r="I260" s="436"/>
      <c r="J260" s="436"/>
      <c r="K260" s="436"/>
      <c r="L260" s="436"/>
      <c r="M260" s="436"/>
      <c r="N260" s="436"/>
      <c r="O260" s="436"/>
      <c r="P260" s="436"/>
      <c r="Q260" s="436"/>
      <c r="R260" s="434">
        <f t="shared" si="8"/>
        <v>0</v>
      </c>
    </row>
    <row r="261" spans="1:18" x14ac:dyDescent="0.25">
      <c r="A261" s="508"/>
      <c r="B261" s="567"/>
      <c r="C261" s="544"/>
      <c r="D261" s="436"/>
      <c r="E261" s="440">
        <v>138</v>
      </c>
      <c r="F261" s="475"/>
      <c r="G261" s="436"/>
      <c r="H261" s="436"/>
      <c r="I261" s="436"/>
      <c r="J261" s="436"/>
      <c r="K261" s="436"/>
      <c r="L261" s="436"/>
      <c r="M261" s="436"/>
      <c r="N261" s="436"/>
      <c r="O261" s="436"/>
      <c r="P261" s="436"/>
      <c r="Q261" s="436"/>
      <c r="R261" s="434">
        <f t="shared" si="8"/>
        <v>0</v>
      </c>
    </row>
    <row r="262" spans="1:18" x14ac:dyDescent="0.25">
      <c r="A262" s="508"/>
      <c r="B262" s="566"/>
      <c r="C262" s="498"/>
      <c r="D262" s="436" t="s">
        <v>562</v>
      </c>
      <c r="E262" s="509">
        <v>515</v>
      </c>
      <c r="F262" s="475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4">
        <f t="shared" si="8"/>
        <v>0</v>
      </c>
    </row>
    <row r="263" spans="1:18" x14ac:dyDescent="0.25">
      <c r="A263" s="508"/>
      <c r="B263" s="567"/>
      <c r="C263" s="544"/>
      <c r="D263" s="436"/>
      <c r="E263" s="440">
        <v>138</v>
      </c>
      <c r="F263" s="475"/>
      <c r="G263" s="436"/>
      <c r="H263" s="436"/>
      <c r="I263" s="436"/>
      <c r="J263" s="436"/>
      <c r="K263" s="436"/>
      <c r="L263" s="436"/>
      <c r="M263" s="436"/>
      <c r="N263" s="436"/>
      <c r="O263" s="436"/>
      <c r="P263" s="436"/>
      <c r="Q263" s="436"/>
      <c r="R263" s="434">
        <f t="shared" si="8"/>
        <v>0</v>
      </c>
    </row>
    <row r="264" spans="1:18" x14ac:dyDescent="0.25">
      <c r="A264" s="514"/>
      <c r="B264" s="540"/>
      <c r="C264" s="540"/>
      <c r="D264" s="445"/>
      <c r="E264" s="444"/>
      <c r="F264" s="449"/>
      <c r="G264" s="445"/>
      <c r="H264" s="445"/>
      <c r="I264" s="445"/>
      <c r="J264" s="445"/>
      <c r="K264" s="445"/>
      <c r="L264" s="445"/>
      <c r="M264" s="445"/>
      <c r="N264" s="445"/>
      <c r="O264" s="445"/>
      <c r="P264" s="445"/>
      <c r="Q264" s="445"/>
      <c r="R264" s="434">
        <f t="shared" si="8"/>
        <v>0</v>
      </c>
    </row>
    <row r="265" spans="1:18" x14ac:dyDescent="0.25">
      <c r="A265" s="491" t="s">
        <v>563</v>
      </c>
      <c r="B265" s="424" t="s">
        <v>564</v>
      </c>
      <c r="C265" s="424"/>
      <c r="D265" s="506" t="s">
        <v>547</v>
      </c>
      <c r="E265" s="507" t="s">
        <v>548</v>
      </c>
      <c r="F265" s="492"/>
      <c r="G265" s="493"/>
      <c r="H265" s="493"/>
      <c r="I265" s="493"/>
      <c r="J265" s="493"/>
      <c r="K265" s="493"/>
      <c r="L265" s="493"/>
      <c r="M265" s="493"/>
      <c r="N265" s="493"/>
      <c r="O265" s="493"/>
      <c r="P265" s="493"/>
      <c r="Q265" s="493"/>
      <c r="R265" s="493"/>
    </row>
    <row r="266" spans="1:18" x14ac:dyDescent="0.25">
      <c r="A266" s="517"/>
      <c r="B266" s="544" t="s">
        <v>490</v>
      </c>
      <c r="C266" s="429" t="s">
        <v>594</v>
      </c>
      <c r="D266" s="501"/>
      <c r="E266" s="509" t="s">
        <v>565</v>
      </c>
      <c r="F266" s="463"/>
      <c r="G266" s="501"/>
      <c r="H266" s="501"/>
      <c r="I266" s="501"/>
      <c r="J266" s="501"/>
      <c r="K266" s="501"/>
      <c r="L266" s="501"/>
      <c r="M266" s="501"/>
      <c r="N266" s="501"/>
      <c r="O266" s="501"/>
      <c r="P266" s="501"/>
      <c r="Q266" s="501"/>
      <c r="R266" s="434">
        <f t="shared" ref="R266:R270" si="9">SUM(F266:Q266)</f>
        <v>0</v>
      </c>
    </row>
    <row r="267" spans="1:18" x14ac:dyDescent="0.25">
      <c r="A267" s="517"/>
      <c r="B267" s="544"/>
      <c r="C267" s="429"/>
      <c r="D267" s="430"/>
      <c r="E267" s="509" t="s">
        <v>566</v>
      </c>
      <c r="F267" s="475"/>
      <c r="G267" s="436"/>
      <c r="H267" s="436"/>
      <c r="I267" s="436"/>
      <c r="J267" s="436"/>
      <c r="K267" s="436"/>
      <c r="L267" s="436"/>
      <c r="M267" s="436"/>
      <c r="N267" s="436"/>
      <c r="O267" s="436"/>
      <c r="P267" s="436"/>
      <c r="Q267" s="436"/>
      <c r="R267" s="434">
        <f t="shared" si="9"/>
        <v>0</v>
      </c>
    </row>
    <row r="268" spans="1:18" x14ac:dyDescent="0.25">
      <c r="A268" s="517"/>
      <c r="B268" s="544" t="s">
        <v>550</v>
      </c>
      <c r="C268" s="429"/>
      <c r="D268" s="512"/>
      <c r="E268" s="509" t="s">
        <v>566</v>
      </c>
      <c r="F268" s="475"/>
      <c r="G268" s="436"/>
      <c r="H268" s="436"/>
      <c r="I268" s="436"/>
      <c r="J268" s="436"/>
      <c r="K268" s="436"/>
      <c r="L268" s="436"/>
      <c r="M268" s="436"/>
      <c r="N268" s="436"/>
      <c r="O268" s="436"/>
      <c r="P268" s="436"/>
      <c r="Q268" s="436"/>
      <c r="R268" s="434">
        <f t="shared" si="9"/>
        <v>0</v>
      </c>
    </row>
    <row r="269" spans="1:18" x14ac:dyDescent="0.25">
      <c r="A269" s="517"/>
      <c r="B269" s="467" t="s">
        <v>567</v>
      </c>
      <c r="C269" s="472"/>
      <c r="D269" s="512"/>
      <c r="E269" s="509" t="s">
        <v>566</v>
      </c>
      <c r="F269" s="475"/>
      <c r="G269" s="436"/>
      <c r="H269" s="436"/>
      <c r="I269" s="436"/>
      <c r="J269" s="436"/>
      <c r="K269" s="436"/>
      <c r="L269" s="436"/>
      <c r="M269" s="436"/>
      <c r="N269" s="436"/>
      <c r="O269" s="436"/>
      <c r="P269" s="436"/>
      <c r="Q269" s="436"/>
      <c r="R269" s="434">
        <f t="shared" si="9"/>
        <v>0</v>
      </c>
    </row>
    <row r="270" spans="1:18" x14ac:dyDescent="0.25">
      <c r="A270" s="517"/>
      <c r="B270" s="467" t="s">
        <v>568</v>
      </c>
      <c r="C270" s="472"/>
      <c r="D270" s="512"/>
      <c r="E270" s="509" t="s">
        <v>566</v>
      </c>
      <c r="F270" s="449"/>
      <c r="G270" s="445"/>
      <c r="H270" s="445"/>
      <c r="I270" s="445"/>
      <c r="J270" s="445"/>
      <c r="K270" s="445"/>
      <c r="L270" s="445"/>
      <c r="M270" s="445"/>
      <c r="N270" s="445"/>
      <c r="O270" s="445"/>
      <c r="P270" s="445"/>
      <c r="Q270" s="445"/>
      <c r="R270" s="434">
        <f t="shared" si="9"/>
        <v>0</v>
      </c>
    </row>
    <row r="271" spans="1:18" x14ac:dyDescent="0.25">
      <c r="A271" s="491" t="s">
        <v>569</v>
      </c>
      <c r="B271" s="424" t="s">
        <v>570</v>
      </c>
      <c r="C271" s="424"/>
      <c r="D271" s="506" t="s">
        <v>547</v>
      </c>
      <c r="E271" s="507" t="s">
        <v>548</v>
      </c>
      <c r="F271" s="492"/>
      <c r="G271" s="493"/>
      <c r="H271" s="493"/>
      <c r="I271" s="493"/>
      <c r="J271" s="493"/>
      <c r="K271" s="493"/>
      <c r="L271" s="493"/>
      <c r="M271" s="493"/>
      <c r="N271" s="493"/>
      <c r="O271" s="493"/>
      <c r="P271" s="493"/>
      <c r="Q271" s="493"/>
      <c r="R271" s="493"/>
    </row>
    <row r="272" spans="1:18" x14ac:dyDescent="0.25">
      <c r="A272" s="517"/>
      <c r="B272" s="544" t="s">
        <v>490</v>
      </c>
      <c r="C272" s="429" t="s">
        <v>594</v>
      </c>
      <c r="D272" s="501"/>
      <c r="E272" s="509" t="s">
        <v>571</v>
      </c>
      <c r="F272" s="463"/>
      <c r="G272" s="501"/>
      <c r="H272" s="501"/>
      <c r="I272" s="501"/>
      <c r="J272" s="501"/>
      <c r="K272" s="501"/>
      <c r="L272" s="501"/>
      <c r="M272" s="501"/>
      <c r="N272" s="501"/>
      <c r="O272" s="501"/>
      <c r="P272" s="501"/>
      <c r="Q272" s="501"/>
      <c r="R272" s="434">
        <f t="shared" ref="R272:R279" si="10">SUM(F272:Q272)</f>
        <v>0</v>
      </c>
    </row>
    <row r="273" spans="1:18" x14ac:dyDescent="0.25">
      <c r="A273" s="517"/>
      <c r="B273" s="544"/>
      <c r="C273" s="429"/>
      <c r="D273" s="430"/>
      <c r="E273" s="509"/>
      <c r="F273" s="475"/>
      <c r="G273" s="436"/>
      <c r="H273" s="436"/>
      <c r="I273" s="436"/>
      <c r="J273" s="436"/>
      <c r="K273" s="436"/>
      <c r="L273" s="436"/>
      <c r="M273" s="436"/>
      <c r="N273" s="436"/>
      <c r="O273" s="436"/>
      <c r="P273" s="436"/>
      <c r="Q273" s="436"/>
      <c r="R273" s="434">
        <f t="shared" si="10"/>
        <v>0</v>
      </c>
    </row>
    <row r="274" spans="1:18" x14ac:dyDescent="0.25">
      <c r="A274" s="517"/>
      <c r="B274" s="544" t="s">
        <v>550</v>
      </c>
      <c r="C274" s="429"/>
      <c r="D274" s="512"/>
      <c r="E274" s="509" t="s">
        <v>571</v>
      </c>
      <c r="F274" s="475"/>
      <c r="G274" s="436"/>
      <c r="H274" s="436"/>
      <c r="I274" s="436"/>
      <c r="J274" s="436"/>
      <c r="K274" s="436"/>
      <c r="L274" s="436"/>
      <c r="M274" s="436"/>
      <c r="N274" s="436"/>
      <c r="O274" s="436"/>
      <c r="P274" s="436"/>
      <c r="Q274" s="436"/>
      <c r="R274" s="434">
        <f t="shared" si="10"/>
        <v>0</v>
      </c>
    </row>
    <row r="275" spans="1:18" x14ac:dyDescent="0.25">
      <c r="A275" s="517"/>
      <c r="B275" s="544"/>
      <c r="C275" s="429"/>
      <c r="D275" s="512"/>
      <c r="E275" s="509" t="s">
        <v>572</v>
      </c>
      <c r="F275" s="475"/>
      <c r="G275" s="436"/>
      <c r="H275" s="436"/>
      <c r="I275" s="436"/>
      <c r="J275" s="436"/>
      <c r="K275" s="436"/>
      <c r="L275" s="436"/>
      <c r="M275" s="436"/>
      <c r="N275" s="436"/>
      <c r="O275" s="436"/>
      <c r="P275" s="436"/>
      <c r="Q275" s="436"/>
      <c r="R275" s="434">
        <f t="shared" si="10"/>
        <v>0</v>
      </c>
    </row>
    <row r="276" spans="1:18" x14ac:dyDescent="0.25">
      <c r="A276" s="517"/>
      <c r="B276" s="467" t="s">
        <v>567</v>
      </c>
      <c r="C276" s="472"/>
      <c r="D276" s="512"/>
      <c r="E276" s="509" t="s">
        <v>571</v>
      </c>
      <c r="F276" s="475"/>
      <c r="G276" s="436"/>
      <c r="H276" s="436"/>
      <c r="I276" s="436"/>
      <c r="J276" s="436"/>
      <c r="K276" s="436"/>
      <c r="L276" s="436"/>
      <c r="M276" s="436"/>
      <c r="N276" s="436"/>
      <c r="O276" s="436"/>
      <c r="P276" s="436"/>
      <c r="Q276" s="436"/>
      <c r="R276" s="434">
        <f t="shared" si="10"/>
        <v>0</v>
      </c>
    </row>
    <row r="277" spans="1:18" x14ac:dyDescent="0.25">
      <c r="B277" s="467"/>
      <c r="C277" s="472"/>
      <c r="D277" s="512"/>
      <c r="E277" s="509" t="s">
        <v>572</v>
      </c>
      <c r="F277" s="475"/>
      <c r="G277" s="436"/>
      <c r="H277" s="436"/>
      <c r="I277" s="436"/>
      <c r="J277" s="436"/>
      <c r="K277" s="436"/>
      <c r="L277" s="436"/>
      <c r="M277" s="436"/>
      <c r="N277" s="436"/>
      <c r="O277" s="436"/>
      <c r="P277" s="436"/>
      <c r="Q277" s="436"/>
      <c r="R277" s="434">
        <f t="shared" si="10"/>
        <v>0</v>
      </c>
    </row>
    <row r="278" spans="1:18" x14ac:dyDescent="0.25">
      <c r="A278" s="517"/>
      <c r="B278" s="467" t="s">
        <v>568</v>
      </c>
      <c r="C278" s="472"/>
      <c r="D278" s="512" t="s">
        <v>573</v>
      </c>
      <c r="E278" s="509" t="s">
        <v>571</v>
      </c>
      <c r="F278" s="475"/>
      <c r="G278" s="436"/>
      <c r="H278" s="436"/>
      <c r="I278" s="436"/>
      <c r="J278" s="436"/>
      <c r="K278" s="436"/>
      <c r="L278" s="436"/>
      <c r="M278" s="436"/>
      <c r="N278" s="436"/>
      <c r="O278" s="436"/>
      <c r="P278" s="436"/>
      <c r="Q278" s="436"/>
      <c r="R278" s="434">
        <f t="shared" si="10"/>
        <v>0</v>
      </c>
    </row>
    <row r="279" spans="1:18" x14ac:dyDescent="0.25">
      <c r="A279" s="527"/>
      <c r="B279" s="483"/>
      <c r="C279" s="557"/>
      <c r="D279" s="528"/>
      <c r="E279" s="516" t="s">
        <v>572</v>
      </c>
      <c r="F279" s="449"/>
      <c r="G279" s="445"/>
      <c r="H279" s="445"/>
      <c r="I279" s="445"/>
      <c r="J279" s="445"/>
      <c r="K279" s="445"/>
      <c r="L279" s="445"/>
      <c r="M279" s="445"/>
      <c r="N279" s="445"/>
      <c r="O279" s="445"/>
      <c r="P279" s="445"/>
      <c r="Q279" s="445"/>
      <c r="R279" s="449">
        <f t="shared" si="10"/>
        <v>0</v>
      </c>
    </row>
    <row r="280" spans="1:18" x14ac:dyDescent="0.25">
      <c r="B280" s="481"/>
      <c r="C280" s="481"/>
      <c r="D280" s="529"/>
      <c r="E280" s="530"/>
    </row>
    <row r="282" spans="1:18" x14ac:dyDescent="0.25">
      <c r="A282" s="411" t="s">
        <v>574</v>
      </c>
      <c r="B282" s="412" t="s">
        <v>575</v>
      </c>
      <c r="C282" s="412"/>
      <c r="D282" s="413"/>
    </row>
    <row r="283" spans="1:18" x14ac:dyDescent="0.25">
      <c r="F283" s="414" t="s">
        <v>576</v>
      </c>
      <c r="G283" s="415"/>
      <c r="H283" s="415"/>
      <c r="I283" s="415"/>
      <c r="J283" s="415"/>
      <c r="K283" s="415"/>
      <c r="L283" s="415"/>
      <c r="M283" s="415"/>
      <c r="N283" s="415"/>
      <c r="O283" s="415"/>
      <c r="P283" s="415"/>
      <c r="Q283" s="415"/>
    </row>
    <row r="284" spans="1:18" x14ac:dyDescent="0.25">
      <c r="A284" s="568" t="s">
        <v>488</v>
      </c>
      <c r="B284" s="558" t="s">
        <v>577</v>
      </c>
      <c r="C284" s="558"/>
      <c r="D284" s="531" t="s">
        <v>548</v>
      </c>
      <c r="E284" s="501"/>
      <c r="F284" s="532" t="s">
        <v>475</v>
      </c>
      <c r="G284" s="532" t="s">
        <v>476</v>
      </c>
      <c r="H284" s="532" t="s">
        <v>477</v>
      </c>
      <c r="I284" s="532" t="s">
        <v>478</v>
      </c>
      <c r="J284" s="532" t="s">
        <v>479</v>
      </c>
      <c r="K284" s="532" t="s">
        <v>480</v>
      </c>
      <c r="L284" s="532" t="s">
        <v>481</v>
      </c>
      <c r="M284" s="532" t="s">
        <v>482</v>
      </c>
      <c r="N284" s="532" t="s">
        <v>483</v>
      </c>
      <c r="O284" s="532" t="s">
        <v>484</v>
      </c>
      <c r="P284" s="532" t="s">
        <v>485</v>
      </c>
      <c r="Q284" s="532" t="s">
        <v>486</v>
      </c>
    </row>
    <row r="285" spans="1:18" x14ac:dyDescent="0.25">
      <c r="A285" s="569">
        <v>1</v>
      </c>
      <c r="B285" s="559" t="s">
        <v>490</v>
      </c>
      <c r="C285" s="559" t="s">
        <v>594</v>
      </c>
      <c r="D285" s="502">
        <v>131</v>
      </c>
      <c r="E285" s="501"/>
      <c r="F285" s="533"/>
      <c r="G285" s="533"/>
      <c r="H285" s="533"/>
      <c r="I285" s="533"/>
      <c r="J285" s="533"/>
      <c r="K285" s="533"/>
      <c r="L285" s="533"/>
      <c r="M285" s="533"/>
      <c r="N285" s="533"/>
      <c r="O285" s="533"/>
      <c r="P285" s="533"/>
      <c r="Q285" s="465"/>
    </row>
    <row r="286" spans="1:18" x14ac:dyDescent="0.25">
      <c r="A286" s="534"/>
      <c r="B286" s="535"/>
      <c r="C286" s="535"/>
      <c r="D286" s="536">
        <v>138</v>
      </c>
      <c r="E286" s="490"/>
      <c r="F286" s="537"/>
      <c r="G286" s="537"/>
      <c r="H286" s="537"/>
      <c r="I286" s="537"/>
      <c r="J286" s="537"/>
      <c r="K286" s="537"/>
      <c r="L286" s="537"/>
      <c r="M286" s="537"/>
      <c r="N286" s="537"/>
      <c r="O286" s="537"/>
      <c r="P286" s="537"/>
      <c r="Q286" s="538"/>
    </row>
    <row r="287" spans="1:18" x14ac:dyDescent="0.25">
      <c r="A287" s="569">
        <v>2</v>
      </c>
      <c r="B287" s="559" t="s">
        <v>499</v>
      </c>
      <c r="C287" s="559" t="s">
        <v>595</v>
      </c>
      <c r="D287" s="502">
        <v>131</v>
      </c>
      <c r="E287" s="501"/>
      <c r="F287" s="533"/>
      <c r="G287" s="533"/>
      <c r="H287" s="533"/>
      <c r="I287" s="533"/>
      <c r="J287" s="533"/>
      <c r="K287" s="533"/>
      <c r="L287" s="533"/>
      <c r="M287" s="533"/>
      <c r="N287" s="533"/>
      <c r="O287" s="533"/>
      <c r="P287" s="533"/>
      <c r="Q287" s="465"/>
    </row>
    <row r="288" spans="1:18" x14ac:dyDescent="0.25">
      <c r="A288" s="534"/>
      <c r="B288" s="535"/>
      <c r="C288" s="535"/>
      <c r="D288" s="536">
        <v>138</v>
      </c>
      <c r="E288" s="490"/>
      <c r="F288" s="537"/>
      <c r="G288" s="537"/>
      <c r="H288" s="537"/>
      <c r="I288" s="537"/>
      <c r="J288" s="537"/>
      <c r="K288" s="537"/>
      <c r="L288" s="537"/>
      <c r="M288" s="537"/>
      <c r="N288" s="537"/>
      <c r="O288" s="537"/>
      <c r="P288" s="537"/>
      <c r="Q288" s="538"/>
    </row>
    <row r="289" spans="1:17" s="408" customFormat="1" x14ac:dyDescent="0.25">
      <c r="A289" s="569">
        <v>3</v>
      </c>
      <c r="B289" s="559" t="s">
        <v>504</v>
      </c>
      <c r="C289" s="559" t="s">
        <v>596</v>
      </c>
      <c r="D289" s="502">
        <v>131</v>
      </c>
      <c r="E289" s="501"/>
      <c r="F289" s="533"/>
      <c r="G289" s="533"/>
      <c r="H289" s="533"/>
      <c r="I289" s="533"/>
      <c r="J289" s="533"/>
      <c r="K289" s="533"/>
      <c r="L289" s="533"/>
      <c r="M289" s="533"/>
      <c r="N289" s="533"/>
      <c r="O289" s="533"/>
      <c r="P289" s="533"/>
      <c r="Q289" s="465"/>
    </row>
    <row r="290" spans="1:17" s="408" customFormat="1" x14ac:dyDescent="0.25">
      <c r="A290" s="534"/>
      <c r="B290" s="535"/>
      <c r="C290" s="535"/>
      <c r="D290" s="536">
        <v>138</v>
      </c>
      <c r="E290" s="490"/>
      <c r="F290" s="537"/>
      <c r="G290" s="537"/>
      <c r="H290" s="537"/>
      <c r="I290" s="537"/>
      <c r="J290" s="537"/>
      <c r="K290" s="537"/>
      <c r="L290" s="537"/>
      <c r="M290" s="537"/>
      <c r="N290" s="537"/>
      <c r="O290" s="537"/>
      <c r="P290" s="537"/>
      <c r="Q290" s="538"/>
    </row>
    <row r="291" spans="1:17" s="408" customFormat="1" x14ac:dyDescent="0.25">
      <c r="A291" s="569">
        <v>4</v>
      </c>
      <c r="B291" s="559" t="s">
        <v>506</v>
      </c>
      <c r="C291" s="559" t="s">
        <v>597</v>
      </c>
      <c r="D291" s="502">
        <v>131</v>
      </c>
      <c r="E291" s="501"/>
      <c r="F291" s="533"/>
      <c r="G291" s="533"/>
      <c r="H291" s="533"/>
      <c r="I291" s="533"/>
      <c r="J291" s="533"/>
      <c r="K291" s="533"/>
      <c r="L291" s="533"/>
      <c r="M291" s="533"/>
      <c r="N291" s="533"/>
      <c r="O291" s="533"/>
      <c r="P291" s="533"/>
      <c r="Q291" s="465"/>
    </row>
    <row r="292" spans="1:17" s="408" customFormat="1" x14ac:dyDescent="0.25">
      <c r="A292" s="534"/>
      <c r="B292" s="535"/>
      <c r="C292" s="535"/>
      <c r="D292" s="536">
        <v>138</v>
      </c>
      <c r="E292" s="490"/>
      <c r="F292" s="537"/>
      <c r="G292" s="537"/>
      <c r="H292" s="537"/>
      <c r="I292" s="537"/>
      <c r="J292" s="537"/>
      <c r="K292" s="537"/>
      <c r="L292" s="537"/>
      <c r="M292" s="537"/>
      <c r="N292" s="537"/>
      <c r="O292" s="537"/>
      <c r="P292" s="537"/>
      <c r="Q292" s="538"/>
    </row>
    <row r="293" spans="1:17" s="408" customFormat="1" x14ac:dyDescent="0.25">
      <c r="A293" s="569">
        <v>5</v>
      </c>
      <c r="B293" s="559" t="s">
        <v>507</v>
      </c>
      <c r="C293" s="559" t="s">
        <v>598</v>
      </c>
      <c r="D293" s="502">
        <v>131</v>
      </c>
      <c r="E293" s="501"/>
      <c r="F293" s="533"/>
      <c r="G293" s="533"/>
      <c r="H293" s="533"/>
      <c r="I293" s="533"/>
      <c r="J293" s="533"/>
      <c r="K293" s="533"/>
      <c r="L293" s="533"/>
      <c r="M293" s="533"/>
      <c r="N293" s="533"/>
      <c r="O293" s="533"/>
      <c r="P293" s="533"/>
      <c r="Q293" s="465"/>
    </row>
    <row r="294" spans="1:17" s="408" customFormat="1" x14ac:dyDescent="0.25">
      <c r="A294" s="534"/>
      <c r="B294" s="535"/>
      <c r="C294" s="535"/>
      <c r="D294" s="536">
        <v>138</v>
      </c>
      <c r="E294" s="490"/>
      <c r="F294" s="537"/>
      <c r="G294" s="537"/>
      <c r="H294" s="537"/>
      <c r="I294" s="537"/>
      <c r="J294" s="537"/>
      <c r="K294" s="537"/>
      <c r="L294" s="537"/>
      <c r="M294" s="537"/>
      <c r="N294" s="537"/>
      <c r="O294" s="537"/>
      <c r="P294" s="537"/>
      <c r="Q294" s="538"/>
    </row>
    <row r="295" spans="1:17" s="408" customFormat="1" x14ac:dyDescent="0.25">
      <c r="A295" s="569">
        <v>6</v>
      </c>
      <c r="B295" s="559" t="s">
        <v>509</v>
      </c>
      <c r="C295" s="559" t="s">
        <v>599</v>
      </c>
      <c r="D295" s="502">
        <v>131</v>
      </c>
      <c r="E295" s="501"/>
      <c r="F295" s="533"/>
      <c r="G295" s="533"/>
      <c r="H295" s="533"/>
      <c r="I295" s="533"/>
      <c r="J295" s="533"/>
      <c r="K295" s="533"/>
      <c r="L295" s="533"/>
      <c r="M295" s="533"/>
      <c r="N295" s="533"/>
      <c r="O295" s="533"/>
      <c r="P295" s="533"/>
      <c r="Q295" s="465"/>
    </row>
    <row r="296" spans="1:17" s="408" customFormat="1" x14ac:dyDescent="0.25">
      <c r="A296" s="534"/>
      <c r="B296" s="535"/>
      <c r="C296" s="535"/>
      <c r="D296" s="536">
        <v>138</v>
      </c>
      <c r="E296" s="490"/>
      <c r="F296" s="537"/>
      <c r="G296" s="537"/>
      <c r="H296" s="537"/>
      <c r="I296" s="537"/>
      <c r="J296" s="537"/>
      <c r="K296" s="537"/>
      <c r="L296" s="537"/>
      <c r="M296" s="537"/>
      <c r="N296" s="537"/>
      <c r="O296" s="537"/>
      <c r="P296" s="537"/>
      <c r="Q296" s="538"/>
    </row>
    <row r="297" spans="1:17" s="408" customFormat="1" x14ac:dyDescent="0.25">
      <c r="A297" s="569">
        <v>7</v>
      </c>
      <c r="B297" s="552" t="s">
        <v>600</v>
      </c>
      <c r="C297" s="552" t="s">
        <v>601</v>
      </c>
      <c r="D297" s="502">
        <v>131</v>
      </c>
      <c r="E297" s="501"/>
      <c r="F297" s="533"/>
      <c r="G297" s="533"/>
      <c r="H297" s="533"/>
      <c r="I297" s="533"/>
      <c r="J297" s="533"/>
      <c r="K297" s="533"/>
      <c r="L297" s="533"/>
      <c r="M297" s="533"/>
      <c r="N297" s="533"/>
      <c r="O297" s="533"/>
      <c r="P297" s="533"/>
      <c r="Q297" s="465"/>
    </row>
    <row r="298" spans="1:17" s="408" customFormat="1" x14ac:dyDescent="0.25">
      <c r="A298" s="539"/>
      <c r="B298" s="540"/>
      <c r="C298" s="540"/>
      <c r="D298" s="495">
        <v>138</v>
      </c>
      <c r="E298" s="445"/>
      <c r="F298" s="541"/>
      <c r="G298" s="541"/>
      <c r="H298" s="541"/>
      <c r="I298" s="541"/>
      <c r="J298" s="541"/>
      <c r="K298" s="541"/>
      <c r="L298" s="541"/>
      <c r="M298" s="541"/>
      <c r="N298" s="541"/>
      <c r="O298" s="541"/>
      <c r="P298" s="541"/>
      <c r="Q298" s="503"/>
    </row>
    <row r="299" spans="1:17" s="408" customFormat="1" x14ac:dyDescent="0.25">
      <c r="A299" s="569">
        <v>8</v>
      </c>
      <c r="B299" s="559" t="s">
        <v>512</v>
      </c>
      <c r="C299" s="559" t="s">
        <v>602</v>
      </c>
      <c r="D299" s="502">
        <v>131</v>
      </c>
      <c r="E299" s="501"/>
      <c r="F299" s="533"/>
      <c r="G299" s="533"/>
      <c r="H299" s="533"/>
      <c r="I299" s="533"/>
      <c r="J299" s="533"/>
      <c r="K299" s="533"/>
      <c r="L299" s="533"/>
      <c r="M299" s="533"/>
      <c r="N299" s="533"/>
      <c r="O299" s="533"/>
      <c r="P299" s="533"/>
      <c r="Q299" s="465"/>
    </row>
    <row r="300" spans="1:17" s="408" customFormat="1" x14ac:dyDescent="0.25">
      <c r="A300" s="534"/>
      <c r="B300" s="535"/>
      <c r="C300" s="535"/>
      <c r="D300" s="536">
        <v>138</v>
      </c>
      <c r="E300" s="490"/>
      <c r="F300" s="537"/>
      <c r="G300" s="537"/>
      <c r="H300" s="537"/>
      <c r="I300" s="537"/>
      <c r="J300" s="537"/>
      <c r="K300" s="537"/>
      <c r="L300" s="537"/>
      <c r="M300" s="537"/>
      <c r="N300" s="537"/>
      <c r="O300" s="537"/>
      <c r="P300" s="537"/>
      <c r="Q300" s="538"/>
    </row>
    <row r="301" spans="1:17" s="408" customFormat="1" x14ac:dyDescent="0.25">
      <c r="A301" s="569">
        <v>9</v>
      </c>
      <c r="B301" s="559" t="s">
        <v>514</v>
      </c>
      <c r="C301" s="559" t="s">
        <v>603</v>
      </c>
      <c r="D301" s="502">
        <v>131</v>
      </c>
      <c r="E301" s="501"/>
      <c r="F301" s="533"/>
      <c r="G301" s="533"/>
      <c r="H301" s="533"/>
      <c r="I301" s="533"/>
      <c r="J301" s="533"/>
      <c r="K301" s="533"/>
      <c r="L301" s="533"/>
      <c r="M301" s="533"/>
      <c r="N301" s="533"/>
      <c r="O301" s="533"/>
      <c r="P301" s="533"/>
      <c r="Q301" s="465"/>
    </row>
    <row r="302" spans="1:17" s="408" customFormat="1" x14ac:dyDescent="0.25">
      <c r="A302" s="534"/>
      <c r="B302" s="535"/>
      <c r="C302" s="535"/>
      <c r="D302" s="536">
        <v>138</v>
      </c>
      <c r="E302" s="490"/>
      <c r="F302" s="537"/>
      <c r="G302" s="537"/>
      <c r="H302" s="537"/>
      <c r="I302" s="537"/>
      <c r="J302" s="537"/>
      <c r="K302" s="537"/>
      <c r="L302" s="537"/>
      <c r="M302" s="537"/>
      <c r="N302" s="537"/>
      <c r="O302" s="537"/>
      <c r="P302" s="537"/>
      <c r="Q302" s="538"/>
    </row>
    <row r="303" spans="1:17" s="408" customFormat="1" x14ac:dyDescent="0.25">
      <c r="A303" s="569">
        <v>10</v>
      </c>
      <c r="B303" s="559" t="s">
        <v>515</v>
      </c>
      <c r="C303" s="559" t="s">
        <v>604</v>
      </c>
      <c r="D303" s="502">
        <v>131</v>
      </c>
      <c r="E303" s="501"/>
      <c r="F303" s="533"/>
      <c r="G303" s="533"/>
      <c r="H303" s="533"/>
      <c r="I303" s="533"/>
      <c r="J303" s="533"/>
      <c r="K303" s="533"/>
      <c r="L303" s="533"/>
      <c r="M303" s="533"/>
      <c r="N303" s="533"/>
      <c r="O303" s="533"/>
      <c r="P303" s="533"/>
      <c r="Q303" s="465"/>
    </row>
    <row r="304" spans="1:17" s="408" customFormat="1" x14ac:dyDescent="0.25">
      <c r="A304" s="534"/>
      <c r="B304" s="535"/>
      <c r="C304" s="535"/>
      <c r="D304" s="536">
        <v>138</v>
      </c>
      <c r="E304" s="490"/>
      <c r="F304" s="537"/>
      <c r="G304" s="537"/>
      <c r="H304" s="537"/>
      <c r="I304" s="537"/>
      <c r="J304" s="537"/>
      <c r="K304" s="537"/>
      <c r="L304" s="537"/>
      <c r="M304" s="537"/>
      <c r="N304" s="537"/>
      <c r="O304" s="537"/>
      <c r="P304" s="537"/>
      <c r="Q304" s="538"/>
    </row>
    <row r="305" spans="1:17" s="408" customFormat="1" x14ac:dyDescent="0.25">
      <c r="A305" s="569">
        <v>11</v>
      </c>
      <c r="B305" s="559" t="s">
        <v>516</v>
      </c>
      <c r="C305" s="559" t="s">
        <v>605</v>
      </c>
      <c r="D305" s="502">
        <v>131</v>
      </c>
      <c r="E305" s="501"/>
      <c r="F305" s="533"/>
      <c r="G305" s="533"/>
      <c r="H305" s="533"/>
      <c r="I305" s="533"/>
      <c r="J305" s="533"/>
      <c r="K305" s="533"/>
      <c r="L305" s="533"/>
      <c r="M305" s="533"/>
      <c r="N305" s="533"/>
      <c r="O305" s="533"/>
      <c r="P305" s="533"/>
      <c r="Q305" s="465"/>
    </row>
    <row r="306" spans="1:17" s="408" customFormat="1" x14ac:dyDescent="0.25">
      <c r="A306" s="534"/>
      <c r="B306" s="535"/>
      <c r="C306" s="535"/>
      <c r="D306" s="536">
        <v>138</v>
      </c>
      <c r="E306" s="490"/>
      <c r="F306" s="537"/>
      <c r="G306" s="537"/>
      <c r="H306" s="537"/>
      <c r="I306" s="537"/>
      <c r="J306" s="537"/>
      <c r="K306" s="537"/>
      <c r="L306" s="537"/>
      <c r="M306" s="537"/>
      <c r="N306" s="537"/>
      <c r="O306" s="537"/>
      <c r="P306" s="537"/>
      <c r="Q306" s="538"/>
    </row>
    <row r="307" spans="1:17" s="408" customFormat="1" x14ac:dyDescent="0.25">
      <c r="A307" s="569">
        <v>12</v>
      </c>
      <c r="B307" s="559" t="s">
        <v>517</v>
      </c>
      <c r="C307" s="559" t="s">
        <v>606</v>
      </c>
      <c r="D307" s="502">
        <v>131</v>
      </c>
      <c r="E307" s="501"/>
      <c r="F307" s="533"/>
      <c r="G307" s="533"/>
      <c r="H307" s="533"/>
      <c r="I307" s="533"/>
      <c r="J307" s="533"/>
      <c r="K307" s="533"/>
      <c r="L307" s="533"/>
      <c r="M307" s="533"/>
      <c r="N307" s="533"/>
      <c r="O307" s="533"/>
      <c r="P307" s="533"/>
      <c r="Q307" s="465"/>
    </row>
    <row r="308" spans="1:17" s="408" customFormat="1" x14ac:dyDescent="0.25">
      <c r="A308" s="534"/>
      <c r="B308" s="535"/>
      <c r="C308" s="535"/>
      <c r="D308" s="536">
        <v>138</v>
      </c>
      <c r="E308" s="490"/>
      <c r="F308" s="537"/>
      <c r="G308" s="537"/>
      <c r="H308" s="537"/>
      <c r="I308" s="537"/>
      <c r="J308" s="537"/>
      <c r="K308" s="537"/>
      <c r="L308" s="537"/>
      <c r="M308" s="537"/>
      <c r="N308" s="537"/>
      <c r="O308" s="537"/>
      <c r="P308" s="537"/>
      <c r="Q308" s="538"/>
    </row>
    <row r="309" spans="1:17" s="408" customFormat="1" x14ac:dyDescent="0.25">
      <c r="A309" s="569">
        <v>13</v>
      </c>
      <c r="B309" s="559" t="s">
        <v>518</v>
      </c>
      <c r="C309" s="559" t="s">
        <v>607</v>
      </c>
      <c r="D309" s="502">
        <v>131</v>
      </c>
      <c r="E309" s="501"/>
      <c r="F309" s="533"/>
      <c r="G309" s="533"/>
      <c r="H309" s="533"/>
      <c r="I309" s="533"/>
      <c r="J309" s="533"/>
      <c r="K309" s="533"/>
      <c r="L309" s="533"/>
      <c r="M309" s="533"/>
      <c r="N309" s="533"/>
      <c r="O309" s="533"/>
      <c r="P309" s="533"/>
      <c r="Q309" s="465"/>
    </row>
    <row r="310" spans="1:17" s="408" customFormat="1" x14ac:dyDescent="0.25">
      <c r="A310" s="534"/>
      <c r="B310" s="535"/>
      <c r="C310" s="535"/>
      <c r="D310" s="536">
        <v>138</v>
      </c>
      <c r="E310" s="490"/>
      <c r="F310" s="537"/>
      <c r="G310" s="537"/>
      <c r="H310" s="537"/>
      <c r="I310" s="537"/>
      <c r="J310" s="537"/>
      <c r="K310" s="537"/>
      <c r="L310" s="537"/>
      <c r="M310" s="537"/>
      <c r="N310" s="537"/>
      <c r="O310" s="537"/>
      <c r="P310" s="537"/>
      <c r="Q310" s="538"/>
    </row>
    <row r="311" spans="1:17" s="408" customFormat="1" x14ac:dyDescent="0.25">
      <c r="A311" s="569">
        <v>14</v>
      </c>
      <c r="B311" s="559" t="s">
        <v>519</v>
      </c>
      <c r="C311" s="559" t="s">
        <v>608</v>
      </c>
      <c r="D311" s="502">
        <v>131</v>
      </c>
      <c r="E311" s="501"/>
      <c r="F311" s="533"/>
      <c r="G311" s="533"/>
      <c r="H311" s="533"/>
      <c r="I311" s="533"/>
      <c r="J311" s="533"/>
      <c r="K311" s="533"/>
      <c r="L311" s="533"/>
      <c r="M311" s="533"/>
      <c r="N311" s="533"/>
      <c r="O311" s="533"/>
      <c r="P311" s="533"/>
      <c r="Q311" s="465"/>
    </row>
    <row r="312" spans="1:17" s="408" customFormat="1" x14ac:dyDescent="0.25">
      <c r="A312" s="534"/>
      <c r="B312" s="535"/>
      <c r="C312" s="535"/>
      <c r="D312" s="536">
        <v>138</v>
      </c>
      <c r="E312" s="490"/>
      <c r="F312" s="537"/>
      <c r="G312" s="537"/>
      <c r="H312" s="537"/>
      <c r="I312" s="537"/>
      <c r="J312" s="537"/>
      <c r="K312" s="537"/>
      <c r="L312" s="537"/>
      <c r="M312" s="537"/>
      <c r="N312" s="537"/>
      <c r="O312" s="537"/>
      <c r="P312" s="537"/>
      <c r="Q312" s="538"/>
    </row>
    <row r="313" spans="1:17" s="408" customFormat="1" x14ac:dyDescent="0.25">
      <c r="A313" s="569">
        <v>15</v>
      </c>
      <c r="B313" s="559" t="s">
        <v>520</v>
      </c>
      <c r="C313" s="559" t="s">
        <v>609</v>
      </c>
      <c r="D313" s="502">
        <v>131</v>
      </c>
      <c r="E313" s="501"/>
      <c r="F313" s="533"/>
      <c r="G313" s="533"/>
      <c r="H313" s="533"/>
      <c r="I313" s="533"/>
      <c r="J313" s="533"/>
      <c r="K313" s="533"/>
      <c r="L313" s="533"/>
      <c r="M313" s="533"/>
      <c r="N313" s="533"/>
      <c r="O313" s="533"/>
      <c r="P313" s="533"/>
      <c r="Q313" s="465"/>
    </row>
    <row r="314" spans="1:17" s="408" customFormat="1" x14ac:dyDescent="0.25">
      <c r="A314" s="534"/>
      <c r="B314" s="535"/>
      <c r="C314" s="535"/>
      <c r="D314" s="536">
        <v>138</v>
      </c>
      <c r="E314" s="490"/>
      <c r="F314" s="537"/>
      <c r="G314" s="537"/>
      <c r="H314" s="537"/>
      <c r="I314" s="537"/>
      <c r="J314" s="537"/>
      <c r="K314" s="537"/>
      <c r="L314" s="537"/>
      <c r="M314" s="537"/>
      <c r="N314" s="537"/>
      <c r="O314" s="537"/>
      <c r="P314" s="537"/>
      <c r="Q314" s="538"/>
    </row>
    <row r="315" spans="1:17" s="408" customFormat="1" x14ac:dyDescent="0.25">
      <c r="A315" s="569">
        <v>16</v>
      </c>
      <c r="B315" s="559" t="s">
        <v>521</v>
      </c>
      <c r="C315" s="559" t="s">
        <v>610</v>
      </c>
      <c r="D315" s="502">
        <v>131</v>
      </c>
      <c r="E315" s="501"/>
      <c r="F315" s="533"/>
      <c r="G315" s="533"/>
      <c r="H315" s="533"/>
      <c r="I315" s="533"/>
      <c r="J315" s="533"/>
      <c r="K315" s="533"/>
      <c r="L315" s="533"/>
      <c r="M315" s="533"/>
      <c r="N315" s="533"/>
      <c r="O315" s="533"/>
      <c r="P315" s="533"/>
      <c r="Q315" s="465"/>
    </row>
    <row r="316" spans="1:17" s="408" customFormat="1" x14ac:dyDescent="0.25">
      <c r="A316" s="534"/>
      <c r="B316" s="535"/>
      <c r="C316" s="535"/>
      <c r="D316" s="536">
        <v>138</v>
      </c>
      <c r="E316" s="490"/>
      <c r="F316" s="537"/>
      <c r="G316" s="537"/>
      <c r="H316" s="537"/>
      <c r="I316" s="537"/>
      <c r="J316" s="537"/>
      <c r="K316" s="537"/>
      <c r="L316" s="537"/>
      <c r="M316" s="537"/>
      <c r="N316" s="537"/>
      <c r="O316" s="537"/>
      <c r="P316" s="537"/>
      <c r="Q316" s="538"/>
    </row>
    <row r="317" spans="1:17" s="408" customFormat="1" x14ac:dyDescent="0.25">
      <c r="A317" s="569">
        <v>17</v>
      </c>
      <c r="B317" s="559" t="s">
        <v>522</v>
      </c>
      <c r="C317" s="559" t="s">
        <v>611</v>
      </c>
      <c r="D317" s="502">
        <v>131</v>
      </c>
      <c r="E317" s="501"/>
      <c r="F317" s="533"/>
      <c r="G317" s="533"/>
      <c r="H317" s="533"/>
      <c r="I317" s="533"/>
      <c r="J317" s="533"/>
      <c r="K317" s="533"/>
      <c r="L317" s="533"/>
      <c r="M317" s="533"/>
      <c r="N317" s="533"/>
      <c r="O317" s="533"/>
      <c r="P317" s="533"/>
      <c r="Q317" s="465"/>
    </row>
    <row r="318" spans="1:17" s="408" customFormat="1" x14ac:dyDescent="0.25">
      <c r="A318" s="534"/>
      <c r="B318" s="535"/>
      <c r="C318" s="535"/>
      <c r="D318" s="536">
        <v>138</v>
      </c>
      <c r="E318" s="490"/>
      <c r="F318" s="537"/>
      <c r="G318" s="537"/>
      <c r="H318" s="537"/>
      <c r="I318" s="537"/>
      <c r="J318" s="537"/>
      <c r="K318" s="537"/>
      <c r="L318" s="537"/>
      <c r="M318" s="537"/>
      <c r="N318" s="537"/>
      <c r="O318" s="537"/>
      <c r="P318" s="537"/>
      <c r="Q318" s="538"/>
    </row>
    <row r="319" spans="1:17" s="408" customFormat="1" x14ac:dyDescent="0.25">
      <c r="A319" s="569">
        <v>18</v>
      </c>
      <c r="B319" s="559" t="s">
        <v>523</v>
      </c>
      <c r="C319" s="559" t="s">
        <v>612</v>
      </c>
      <c r="D319" s="502">
        <v>131</v>
      </c>
      <c r="E319" s="501"/>
      <c r="F319" s="533"/>
      <c r="G319" s="533"/>
      <c r="H319" s="533"/>
      <c r="I319" s="533"/>
      <c r="J319" s="533"/>
      <c r="K319" s="533"/>
      <c r="L319" s="533"/>
      <c r="M319" s="533"/>
      <c r="N319" s="533"/>
      <c r="O319" s="533"/>
      <c r="P319" s="533"/>
      <c r="Q319" s="465"/>
    </row>
    <row r="320" spans="1:17" s="408" customFormat="1" x14ac:dyDescent="0.25">
      <c r="A320" s="534"/>
      <c r="B320" s="535"/>
      <c r="C320" s="535"/>
      <c r="D320" s="536">
        <v>138</v>
      </c>
      <c r="E320" s="490"/>
      <c r="F320" s="537"/>
      <c r="G320" s="537"/>
      <c r="H320" s="537"/>
      <c r="I320" s="537"/>
      <c r="J320" s="537"/>
      <c r="K320" s="537"/>
      <c r="L320" s="537"/>
      <c r="M320" s="537"/>
      <c r="N320" s="537"/>
      <c r="O320" s="537"/>
      <c r="P320" s="537"/>
      <c r="Q320" s="538"/>
    </row>
    <row r="321" spans="1:17" s="408" customFormat="1" x14ac:dyDescent="0.25">
      <c r="A321" s="569">
        <v>19</v>
      </c>
      <c r="B321" s="552" t="s">
        <v>613</v>
      </c>
      <c r="C321" s="552" t="s">
        <v>614</v>
      </c>
      <c r="D321" s="502">
        <v>131</v>
      </c>
      <c r="E321" s="501"/>
      <c r="F321" s="533"/>
      <c r="G321" s="533"/>
      <c r="H321" s="533"/>
      <c r="I321" s="533"/>
      <c r="J321" s="533"/>
      <c r="K321" s="533"/>
      <c r="L321" s="533"/>
      <c r="M321" s="533"/>
      <c r="N321" s="533"/>
      <c r="O321" s="533"/>
      <c r="P321" s="533"/>
      <c r="Q321" s="465"/>
    </row>
    <row r="322" spans="1:17" s="408" customFormat="1" x14ac:dyDescent="0.25">
      <c r="A322" s="534"/>
      <c r="B322" s="535"/>
      <c r="C322" s="535"/>
      <c r="D322" s="536">
        <v>138</v>
      </c>
      <c r="E322" s="490"/>
      <c r="F322" s="537"/>
      <c r="G322" s="537"/>
      <c r="H322" s="537"/>
      <c r="I322" s="537"/>
      <c r="J322" s="537"/>
      <c r="K322" s="537"/>
      <c r="L322" s="537"/>
      <c r="M322" s="537"/>
      <c r="N322" s="537"/>
      <c r="O322" s="537"/>
      <c r="P322" s="537"/>
      <c r="Q322" s="538"/>
    </row>
    <row r="323" spans="1:17" s="408" customFormat="1" x14ac:dyDescent="0.25">
      <c r="A323" s="569">
        <v>20</v>
      </c>
      <c r="B323" s="559" t="s">
        <v>524</v>
      </c>
      <c r="C323" s="559" t="s">
        <v>615</v>
      </c>
      <c r="D323" s="502">
        <v>131</v>
      </c>
      <c r="E323" s="501"/>
      <c r="F323" s="533"/>
      <c r="G323" s="533"/>
      <c r="H323" s="533"/>
      <c r="I323" s="533"/>
      <c r="J323" s="533"/>
      <c r="K323" s="533"/>
      <c r="L323" s="533"/>
      <c r="M323" s="533"/>
      <c r="N323" s="533"/>
      <c r="O323" s="533"/>
      <c r="P323" s="533"/>
      <c r="Q323" s="465"/>
    </row>
    <row r="324" spans="1:17" s="408" customFormat="1" x14ac:dyDescent="0.25">
      <c r="A324" s="534"/>
      <c r="B324" s="535"/>
      <c r="C324" s="535"/>
      <c r="D324" s="536">
        <v>138</v>
      </c>
      <c r="E324" s="490"/>
      <c r="F324" s="537"/>
      <c r="G324" s="537"/>
      <c r="H324" s="537"/>
      <c r="I324" s="537"/>
      <c r="J324" s="537"/>
      <c r="K324" s="537"/>
      <c r="L324" s="537"/>
      <c r="M324" s="537"/>
      <c r="N324" s="537"/>
      <c r="O324" s="537"/>
      <c r="P324" s="537"/>
      <c r="Q324" s="538"/>
    </row>
    <row r="325" spans="1:17" s="408" customFormat="1" x14ac:dyDescent="0.25">
      <c r="A325" s="569">
        <v>21</v>
      </c>
      <c r="B325" s="559" t="s">
        <v>525</v>
      </c>
      <c r="C325" s="559" t="s">
        <v>616</v>
      </c>
      <c r="D325" s="502">
        <v>131</v>
      </c>
      <c r="E325" s="501"/>
      <c r="F325" s="533"/>
      <c r="G325" s="533"/>
      <c r="H325" s="533"/>
      <c r="I325" s="533"/>
      <c r="J325" s="533"/>
      <c r="K325" s="533"/>
      <c r="L325" s="533"/>
      <c r="M325" s="533"/>
      <c r="N325" s="533"/>
      <c r="O325" s="533"/>
      <c r="P325" s="533"/>
      <c r="Q325" s="465"/>
    </row>
    <row r="326" spans="1:17" s="408" customFormat="1" x14ac:dyDescent="0.25">
      <c r="A326" s="534"/>
      <c r="B326" s="535"/>
      <c r="C326" s="535"/>
      <c r="D326" s="536">
        <v>138</v>
      </c>
      <c r="E326" s="490"/>
      <c r="F326" s="537"/>
      <c r="G326" s="537"/>
      <c r="H326" s="537"/>
      <c r="I326" s="537"/>
      <c r="J326" s="537"/>
      <c r="K326" s="537"/>
      <c r="L326" s="537"/>
      <c r="M326" s="537"/>
      <c r="N326" s="537"/>
      <c r="O326" s="537"/>
      <c r="P326" s="537"/>
      <c r="Q326" s="538"/>
    </row>
    <row r="327" spans="1:17" s="408" customFormat="1" x14ac:dyDescent="0.25">
      <c r="A327" s="569">
        <v>22</v>
      </c>
      <c r="B327" s="559" t="s">
        <v>526</v>
      </c>
      <c r="C327" s="559" t="s">
        <v>617</v>
      </c>
      <c r="D327" s="502">
        <v>131</v>
      </c>
      <c r="E327" s="501"/>
      <c r="F327" s="533"/>
      <c r="G327" s="533"/>
      <c r="H327" s="533"/>
      <c r="I327" s="533"/>
      <c r="J327" s="533"/>
      <c r="K327" s="533"/>
      <c r="L327" s="533"/>
      <c r="M327" s="533"/>
      <c r="N327" s="533"/>
      <c r="O327" s="533"/>
      <c r="P327" s="533"/>
      <c r="Q327" s="465"/>
    </row>
    <row r="328" spans="1:17" s="408" customFormat="1" x14ac:dyDescent="0.25">
      <c r="A328" s="522"/>
      <c r="B328" s="544"/>
      <c r="C328" s="562"/>
      <c r="D328" s="542">
        <v>138</v>
      </c>
      <c r="E328" s="519"/>
      <c r="F328" s="503"/>
      <c r="G328" s="503"/>
      <c r="H328" s="503"/>
      <c r="I328" s="503"/>
      <c r="J328" s="503"/>
      <c r="K328" s="503"/>
      <c r="L328" s="503"/>
      <c r="M328" s="503"/>
      <c r="N328" s="503"/>
      <c r="O328" s="503"/>
      <c r="P328" s="503"/>
      <c r="Q328" s="503"/>
    </row>
    <row r="329" spans="1:17" s="408" customFormat="1" x14ac:dyDescent="0.25">
      <c r="A329" s="491" t="s">
        <v>527</v>
      </c>
      <c r="B329" s="424" t="s">
        <v>578</v>
      </c>
      <c r="C329" s="424"/>
      <c r="D329" s="493"/>
      <c r="E329" s="493"/>
      <c r="F329" s="532" t="s">
        <v>475</v>
      </c>
      <c r="G329" s="532" t="s">
        <v>476</v>
      </c>
      <c r="H329" s="532" t="s">
        <v>477</v>
      </c>
      <c r="I329" s="532" t="s">
        <v>478</v>
      </c>
      <c r="J329" s="532" t="s">
        <v>479</v>
      </c>
      <c r="K329" s="532" t="s">
        <v>480</v>
      </c>
      <c r="L329" s="532" t="s">
        <v>481</v>
      </c>
      <c r="M329" s="532" t="s">
        <v>482</v>
      </c>
      <c r="N329" s="532" t="s">
        <v>483</v>
      </c>
      <c r="O329" s="532" t="s">
        <v>484</v>
      </c>
      <c r="P329" s="532" t="s">
        <v>485</v>
      </c>
      <c r="Q329" s="532" t="s">
        <v>486</v>
      </c>
    </row>
    <row r="330" spans="1:17" s="408" customFormat="1" x14ac:dyDescent="0.25">
      <c r="A330" s="569">
        <v>1</v>
      </c>
      <c r="B330" s="559" t="s">
        <v>490</v>
      </c>
      <c r="C330" s="559" t="s">
        <v>594</v>
      </c>
      <c r="D330" s="502">
        <v>131</v>
      </c>
      <c r="E330" s="501"/>
      <c r="F330" s="463"/>
      <c r="G330" s="501"/>
      <c r="H330" s="501"/>
      <c r="I330" s="501"/>
      <c r="J330" s="501"/>
      <c r="K330" s="501"/>
      <c r="L330" s="501"/>
      <c r="M330" s="501"/>
      <c r="N330" s="501"/>
      <c r="O330" s="501"/>
      <c r="P330" s="501"/>
      <c r="Q330" s="501"/>
    </row>
    <row r="331" spans="1:17" s="408" customFormat="1" x14ac:dyDescent="0.25">
      <c r="A331" s="543">
        <v>2</v>
      </c>
      <c r="B331" s="544" t="s">
        <v>499</v>
      </c>
      <c r="C331" s="544" t="s">
        <v>595</v>
      </c>
      <c r="D331" s="440">
        <v>131</v>
      </c>
      <c r="E331" s="436"/>
      <c r="F331" s="475"/>
      <c r="G331" s="436"/>
      <c r="H331" s="436"/>
      <c r="I331" s="436"/>
      <c r="J331" s="436"/>
      <c r="K331" s="436"/>
      <c r="L331" s="436"/>
      <c r="M331" s="436"/>
      <c r="N331" s="436"/>
      <c r="O331" s="436"/>
      <c r="P331" s="436"/>
      <c r="Q331" s="436"/>
    </row>
    <row r="332" spans="1:17" s="408" customFormat="1" x14ac:dyDescent="0.25">
      <c r="A332" s="543">
        <v>3</v>
      </c>
      <c r="B332" s="467" t="s">
        <v>504</v>
      </c>
      <c r="C332" s="467" t="s">
        <v>596</v>
      </c>
      <c r="D332" s="440">
        <v>131</v>
      </c>
      <c r="E332" s="436"/>
      <c r="F332" s="475"/>
      <c r="G332" s="436"/>
      <c r="H332" s="436"/>
      <c r="I332" s="436"/>
      <c r="J332" s="436"/>
      <c r="K332" s="436"/>
      <c r="L332" s="436"/>
      <c r="M332" s="436"/>
      <c r="N332" s="436"/>
      <c r="O332" s="436"/>
      <c r="P332" s="436"/>
      <c r="Q332" s="436"/>
    </row>
    <row r="333" spans="1:17" s="408" customFormat="1" x14ac:dyDescent="0.25">
      <c r="A333" s="543">
        <v>4</v>
      </c>
      <c r="B333" s="467" t="s">
        <v>506</v>
      </c>
      <c r="C333" s="467" t="s">
        <v>597</v>
      </c>
      <c r="D333" s="440">
        <v>131</v>
      </c>
      <c r="E333" s="436"/>
      <c r="F333" s="475"/>
      <c r="G333" s="436"/>
      <c r="H333" s="436"/>
      <c r="I333" s="436"/>
      <c r="J333" s="436"/>
      <c r="K333" s="436"/>
      <c r="L333" s="436"/>
      <c r="M333" s="436"/>
      <c r="N333" s="436"/>
      <c r="O333" s="436"/>
      <c r="P333" s="436"/>
      <c r="Q333" s="436"/>
    </row>
    <row r="334" spans="1:17" s="408" customFormat="1" x14ac:dyDescent="0.25">
      <c r="A334" s="543">
        <v>5</v>
      </c>
      <c r="B334" s="467" t="s">
        <v>507</v>
      </c>
      <c r="C334" s="467" t="s">
        <v>598</v>
      </c>
      <c r="D334" s="440">
        <v>131</v>
      </c>
      <c r="E334" s="436"/>
      <c r="F334" s="475"/>
      <c r="G334" s="436"/>
      <c r="H334" s="436"/>
      <c r="I334" s="436"/>
      <c r="J334" s="436"/>
      <c r="K334" s="436"/>
      <c r="L334" s="436"/>
      <c r="M334" s="436"/>
      <c r="N334" s="436"/>
      <c r="O334" s="436"/>
      <c r="P334" s="436"/>
      <c r="Q334" s="436"/>
    </row>
    <row r="335" spans="1:17" s="408" customFormat="1" x14ac:dyDescent="0.25">
      <c r="A335" s="543">
        <v>6</v>
      </c>
      <c r="B335" s="467" t="s">
        <v>509</v>
      </c>
      <c r="C335" s="467" t="s">
        <v>599</v>
      </c>
      <c r="D335" s="440">
        <v>131</v>
      </c>
      <c r="E335" s="436"/>
      <c r="F335" s="475"/>
      <c r="G335" s="436"/>
      <c r="H335" s="436"/>
      <c r="I335" s="436"/>
      <c r="J335" s="436"/>
      <c r="K335" s="436"/>
      <c r="L335" s="436"/>
      <c r="M335" s="436"/>
      <c r="N335" s="436"/>
      <c r="O335" s="436"/>
      <c r="P335" s="436"/>
      <c r="Q335" s="436"/>
    </row>
    <row r="336" spans="1:17" s="408" customFormat="1" x14ac:dyDescent="0.25">
      <c r="A336" s="543">
        <v>7</v>
      </c>
      <c r="B336" s="472" t="s">
        <v>600</v>
      </c>
      <c r="C336" s="472" t="s">
        <v>601</v>
      </c>
      <c r="D336" s="440">
        <v>131</v>
      </c>
      <c r="E336" s="436"/>
      <c r="F336" s="475"/>
      <c r="G336" s="436"/>
      <c r="H336" s="436"/>
      <c r="I336" s="436"/>
      <c r="J336" s="436"/>
      <c r="K336" s="436"/>
      <c r="L336" s="436"/>
      <c r="M336" s="436"/>
      <c r="N336" s="436"/>
      <c r="O336" s="436"/>
      <c r="P336" s="436"/>
      <c r="Q336" s="436"/>
    </row>
    <row r="337" spans="1:17" s="408" customFormat="1" x14ac:dyDescent="0.25">
      <c r="A337" s="543">
        <v>8</v>
      </c>
      <c r="B337" s="467" t="s">
        <v>512</v>
      </c>
      <c r="C337" s="467" t="s">
        <v>602</v>
      </c>
      <c r="D337" s="440">
        <v>131</v>
      </c>
      <c r="E337" s="436"/>
      <c r="F337" s="475"/>
      <c r="G337" s="436"/>
      <c r="H337" s="436"/>
      <c r="I337" s="436"/>
      <c r="J337" s="436"/>
      <c r="K337" s="436"/>
      <c r="L337" s="436"/>
      <c r="M337" s="436"/>
      <c r="N337" s="436"/>
      <c r="O337" s="436"/>
      <c r="P337" s="436"/>
      <c r="Q337" s="436"/>
    </row>
    <row r="338" spans="1:17" s="408" customFormat="1" x14ac:dyDescent="0.25">
      <c r="A338" s="543">
        <v>9</v>
      </c>
      <c r="B338" s="467" t="s">
        <v>514</v>
      </c>
      <c r="C338" s="467" t="s">
        <v>603</v>
      </c>
      <c r="D338" s="440">
        <v>131</v>
      </c>
      <c r="E338" s="436"/>
      <c r="F338" s="475"/>
      <c r="G338" s="436"/>
      <c r="H338" s="436"/>
      <c r="I338" s="436"/>
      <c r="J338" s="436"/>
      <c r="K338" s="436"/>
      <c r="L338" s="436"/>
      <c r="M338" s="436"/>
      <c r="N338" s="436"/>
      <c r="O338" s="436"/>
      <c r="P338" s="436"/>
      <c r="Q338" s="436"/>
    </row>
    <row r="339" spans="1:17" s="408" customFormat="1" x14ac:dyDescent="0.25">
      <c r="A339" s="543">
        <v>10</v>
      </c>
      <c r="B339" s="467" t="s">
        <v>515</v>
      </c>
      <c r="C339" s="467" t="s">
        <v>604</v>
      </c>
      <c r="D339" s="440">
        <v>131</v>
      </c>
      <c r="E339" s="436"/>
      <c r="F339" s="475"/>
      <c r="G339" s="436"/>
      <c r="H339" s="436"/>
      <c r="I339" s="436"/>
      <c r="J339" s="436"/>
      <c r="K339" s="436"/>
      <c r="L339" s="436"/>
      <c r="M339" s="436"/>
      <c r="N339" s="436"/>
      <c r="O339" s="436"/>
      <c r="P339" s="436"/>
      <c r="Q339" s="436"/>
    </row>
    <row r="340" spans="1:17" s="408" customFormat="1" x14ac:dyDescent="0.25">
      <c r="A340" s="543">
        <v>11</v>
      </c>
      <c r="B340" s="467" t="s">
        <v>516</v>
      </c>
      <c r="C340" s="467" t="s">
        <v>605</v>
      </c>
      <c r="D340" s="440">
        <v>131</v>
      </c>
      <c r="E340" s="436"/>
      <c r="F340" s="475"/>
      <c r="G340" s="436"/>
      <c r="H340" s="436"/>
      <c r="I340" s="436"/>
      <c r="J340" s="436"/>
      <c r="K340" s="436"/>
      <c r="L340" s="436"/>
      <c r="M340" s="436"/>
      <c r="N340" s="436"/>
      <c r="O340" s="436"/>
      <c r="P340" s="436"/>
      <c r="Q340" s="436"/>
    </row>
    <row r="341" spans="1:17" s="408" customFormat="1" x14ac:dyDescent="0.25">
      <c r="A341" s="543">
        <v>12</v>
      </c>
      <c r="B341" s="467" t="s">
        <v>517</v>
      </c>
      <c r="C341" s="467" t="s">
        <v>606</v>
      </c>
      <c r="D341" s="440">
        <v>131</v>
      </c>
      <c r="E341" s="436"/>
      <c r="F341" s="475"/>
      <c r="G341" s="436"/>
      <c r="H341" s="436"/>
      <c r="I341" s="436"/>
      <c r="J341" s="436"/>
      <c r="K341" s="436"/>
      <c r="L341" s="436"/>
      <c r="M341" s="436"/>
      <c r="N341" s="436"/>
      <c r="O341" s="436"/>
      <c r="P341" s="436"/>
      <c r="Q341" s="436"/>
    </row>
    <row r="342" spans="1:17" s="408" customFormat="1" x14ac:dyDescent="0.25">
      <c r="A342" s="543">
        <v>13</v>
      </c>
      <c r="B342" s="467" t="s">
        <v>518</v>
      </c>
      <c r="C342" s="467" t="s">
        <v>607</v>
      </c>
      <c r="D342" s="440">
        <v>131</v>
      </c>
      <c r="E342" s="436"/>
      <c r="F342" s="475"/>
      <c r="G342" s="436"/>
      <c r="H342" s="436"/>
      <c r="I342" s="436"/>
      <c r="J342" s="436"/>
      <c r="K342" s="436"/>
      <c r="L342" s="453"/>
      <c r="M342" s="453"/>
      <c r="N342" s="436"/>
      <c r="O342" s="436"/>
      <c r="P342" s="436"/>
      <c r="Q342" s="436"/>
    </row>
    <row r="343" spans="1:17" s="408" customFormat="1" x14ac:dyDescent="0.25">
      <c r="A343" s="543">
        <v>14</v>
      </c>
      <c r="B343" s="469" t="s">
        <v>519</v>
      </c>
      <c r="C343" s="469" t="s">
        <v>608</v>
      </c>
      <c r="D343" s="440">
        <v>131</v>
      </c>
      <c r="E343" s="439"/>
      <c r="F343" s="504"/>
      <c r="G343" s="439"/>
      <c r="H343" s="439"/>
      <c r="I343" s="439"/>
      <c r="J343" s="439"/>
      <c r="K343" s="439"/>
      <c r="L343" s="487"/>
      <c r="M343" s="487"/>
      <c r="N343" s="439"/>
      <c r="O343" s="439"/>
      <c r="P343" s="439"/>
      <c r="Q343" s="439"/>
    </row>
    <row r="344" spans="1:17" s="408" customFormat="1" x14ac:dyDescent="0.25">
      <c r="A344" s="543">
        <v>15</v>
      </c>
      <c r="B344" s="469" t="s">
        <v>520</v>
      </c>
      <c r="C344" s="469" t="s">
        <v>609</v>
      </c>
      <c r="D344" s="440">
        <v>131</v>
      </c>
      <c r="E344" s="439"/>
      <c r="F344" s="504"/>
      <c r="G344" s="439"/>
      <c r="H344" s="439"/>
      <c r="I344" s="439"/>
      <c r="J344" s="439"/>
      <c r="K344" s="439"/>
      <c r="L344" s="487"/>
      <c r="M344" s="487"/>
      <c r="N344" s="439"/>
      <c r="O344" s="439"/>
      <c r="P344" s="439"/>
      <c r="Q344" s="439"/>
    </row>
    <row r="345" spans="1:17" s="408" customFormat="1" x14ac:dyDescent="0.25">
      <c r="A345" s="543">
        <v>16</v>
      </c>
      <c r="B345" s="469" t="s">
        <v>521</v>
      </c>
      <c r="C345" s="469" t="s">
        <v>610</v>
      </c>
      <c r="D345" s="440">
        <v>131</v>
      </c>
      <c r="E345" s="439"/>
      <c r="F345" s="504"/>
      <c r="G345" s="439"/>
      <c r="H345" s="439"/>
      <c r="I345" s="439"/>
      <c r="J345" s="439"/>
      <c r="K345" s="439"/>
      <c r="L345" s="487"/>
      <c r="M345" s="487"/>
      <c r="N345" s="439"/>
      <c r="O345" s="439"/>
      <c r="P345" s="439"/>
      <c r="Q345" s="439"/>
    </row>
    <row r="346" spans="1:17" s="408" customFormat="1" x14ac:dyDescent="0.25">
      <c r="A346" s="543">
        <v>17</v>
      </c>
      <c r="B346" s="469" t="s">
        <v>522</v>
      </c>
      <c r="C346" s="469" t="s">
        <v>611</v>
      </c>
      <c r="D346" s="440">
        <v>131</v>
      </c>
      <c r="E346" s="439"/>
      <c r="F346" s="504"/>
      <c r="G346" s="439"/>
      <c r="H346" s="439"/>
      <c r="I346" s="439"/>
      <c r="J346" s="439"/>
      <c r="K346" s="439"/>
      <c r="L346" s="487"/>
      <c r="M346" s="487"/>
      <c r="N346" s="439"/>
      <c r="O346" s="439"/>
      <c r="P346" s="439"/>
      <c r="Q346" s="439"/>
    </row>
    <row r="347" spans="1:17" s="408" customFormat="1" x14ac:dyDescent="0.25">
      <c r="A347" s="543">
        <v>18</v>
      </c>
      <c r="B347" s="467" t="s">
        <v>523</v>
      </c>
      <c r="C347" s="467" t="s">
        <v>612</v>
      </c>
      <c r="D347" s="440">
        <v>131</v>
      </c>
      <c r="E347" s="439"/>
      <c r="F347" s="504"/>
      <c r="G347" s="439"/>
      <c r="H347" s="439"/>
      <c r="I347" s="439"/>
      <c r="J347" s="439"/>
      <c r="K347" s="439"/>
      <c r="L347" s="487"/>
      <c r="M347" s="487"/>
      <c r="N347" s="439"/>
      <c r="O347" s="439"/>
      <c r="P347" s="439"/>
      <c r="Q347" s="439"/>
    </row>
    <row r="348" spans="1:17" s="408" customFormat="1" x14ac:dyDescent="0.25">
      <c r="A348" s="543">
        <v>19</v>
      </c>
      <c r="B348" s="472" t="s">
        <v>613</v>
      </c>
      <c r="C348" s="472" t="s">
        <v>614</v>
      </c>
      <c r="D348" s="440">
        <v>131</v>
      </c>
      <c r="E348" s="439"/>
      <c r="F348" s="504"/>
      <c r="G348" s="439"/>
      <c r="H348" s="439"/>
      <c r="I348" s="439"/>
      <c r="J348" s="439"/>
      <c r="K348" s="439"/>
      <c r="L348" s="487"/>
      <c r="M348" s="487"/>
      <c r="N348" s="439"/>
      <c r="O348" s="439"/>
      <c r="P348" s="439"/>
      <c r="Q348" s="439"/>
    </row>
    <row r="349" spans="1:17" s="408" customFormat="1" x14ac:dyDescent="0.25">
      <c r="A349" s="543">
        <v>20</v>
      </c>
      <c r="B349" s="469" t="s">
        <v>524</v>
      </c>
      <c r="C349" s="469" t="s">
        <v>615</v>
      </c>
      <c r="D349" s="440">
        <v>131</v>
      </c>
      <c r="E349" s="439"/>
      <c r="F349" s="504"/>
      <c r="G349" s="439"/>
      <c r="H349" s="439"/>
      <c r="I349" s="439"/>
      <c r="J349" s="439"/>
      <c r="K349" s="439"/>
      <c r="L349" s="487"/>
      <c r="M349" s="487"/>
      <c r="N349" s="439"/>
      <c r="O349" s="439"/>
      <c r="P349" s="439"/>
      <c r="Q349" s="439"/>
    </row>
    <row r="350" spans="1:17" s="408" customFormat="1" x14ac:dyDescent="0.25">
      <c r="A350" s="543">
        <v>21</v>
      </c>
      <c r="B350" s="469" t="s">
        <v>525</v>
      </c>
      <c r="C350" s="469" t="s">
        <v>616</v>
      </c>
      <c r="D350" s="440">
        <v>131</v>
      </c>
      <c r="E350" s="439"/>
      <c r="F350" s="504"/>
      <c r="G350" s="439"/>
      <c r="H350" s="439"/>
      <c r="I350" s="439"/>
      <c r="J350" s="439"/>
      <c r="K350" s="439"/>
      <c r="L350" s="487"/>
      <c r="M350" s="487"/>
      <c r="N350" s="439"/>
      <c r="O350" s="439"/>
      <c r="P350" s="439"/>
      <c r="Q350" s="439"/>
    </row>
    <row r="351" spans="1:17" s="408" customFormat="1" x14ac:dyDescent="0.25">
      <c r="A351" s="543">
        <v>22</v>
      </c>
      <c r="B351" s="469" t="s">
        <v>526</v>
      </c>
      <c r="C351" s="469" t="s">
        <v>617</v>
      </c>
      <c r="D351" s="440">
        <v>131</v>
      </c>
      <c r="E351" s="439"/>
      <c r="F351" s="504"/>
      <c r="G351" s="439"/>
      <c r="H351" s="439"/>
      <c r="I351" s="439"/>
      <c r="J351" s="439"/>
      <c r="K351" s="439"/>
      <c r="L351" s="487"/>
      <c r="M351" s="487"/>
      <c r="N351" s="439"/>
      <c r="O351" s="439"/>
      <c r="P351" s="439"/>
      <c r="Q351" s="439"/>
    </row>
    <row r="352" spans="1:17" s="408" customFormat="1" x14ac:dyDescent="0.25">
      <c r="A352" s="539"/>
      <c r="B352" s="540"/>
      <c r="C352" s="540"/>
      <c r="D352" s="445"/>
      <c r="E352" s="445"/>
      <c r="F352" s="449"/>
      <c r="G352" s="445"/>
      <c r="H352" s="445"/>
      <c r="I352" s="445"/>
      <c r="J352" s="445"/>
      <c r="K352" s="445"/>
      <c r="L352" s="445"/>
      <c r="M352" s="445"/>
      <c r="N352" s="445"/>
      <c r="O352" s="445"/>
      <c r="P352" s="445"/>
      <c r="Q352" s="445"/>
    </row>
    <row r="353" spans="1:17" s="408" customFormat="1" x14ac:dyDescent="0.25">
      <c r="A353" s="491" t="s">
        <v>545</v>
      </c>
      <c r="B353" s="424" t="s">
        <v>579</v>
      </c>
      <c r="C353" s="560"/>
      <c r="D353" s="430"/>
      <c r="E353" s="430"/>
      <c r="F353" s="532" t="s">
        <v>475</v>
      </c>
      <c r="G353" s="532" t="s">
        <v>476</v>
      </c>
      <c r="H353" s="532" t="s">
        <v>477</v>
      </c>
      <c r="I353" s="532" t="s">
        <v>478</v>
      </c>
      <c r="J353" s="532" t="s">
        <v>479</v>
      </c>
      <c r="K353" s="532" t="s">
        <v>480</v>
      </c>
      <c r="L353" s="532" t="s">
        <v>481</v>
      </c>
      <c r="M353" s="532" t="s">
        <v>482</v>
      </c>
      <c r="N353" s="532" t="s">
        <v>483</v>
      </c>
      <c r="O353" s="532" t="s">
        <v>484</v>
      </c>
      <c r="P353" s="532" t="s">
        <v>485</v>
      </c>
      <c r="Q353" s="532" t="s">
        <v>486</v>
      </c>
    </row>
    <row r="354" spans="1:17" s="408" customFormat="1" x14ac:dyDescent="0.25">
      <c r="A354" s="561">
        <v>1</v>
      </c>
      <c r="B354" s="559" t="s">
        <v>490</v>
      </c>
      <c r="C354" s="559" t="s">
        <v>594</v>
      </c>
      <c r="D354" s="502">
        <v>331</v>
      </c>
      <c r="E354" s="501"/>
      <c r="F354" s="463"/>
      <c r="G354" s="501"/>
      <c r="H354" s="501"/>
      <c r="I354" s="501"/>
      <c r="J354" s="501"/>
      <c r="K354" s="501"/>
      <c r="L354" s="501"/>
      <c r="M354" s="501"/>
      <c r="N354" s="501"/>
      <c r="O354" s="501"/>
      <c r="P354" s="501"/>
      <c r="Q354" s="501"/>
    </row>
    <row r="355" spans="1:17" s="408" customFormat="1" x14ac:dyDescent="0.25">
      <c r="A355" s="444"/>
      <c r="B355" s="540"/>
      <c r="C355" s="540"/>
      <c r="D355" s="495">
        <v>338</v>
      </c>
      <c r="E355" s="545"/>
      <c r="F355" s="449"/>
      <c r="G355" s="445"/>
      <c r="H355" s="445"/>
      <c r="I355" s="445"/>
      <c r="J355" s="445"/>
      <c r="K355" s="445"/>
      <c r="L355" s="445"/>
      <c r="M355" s="445"/>
      <c r="N355" s="445"/>
      <c r="O355" s="445"/>
      <c r="P355" s="445"/>
      <c r="Q355" s="445"/>
    </row>
    <row r="356" spans="1:17" s="408" customFormat="1" x14ac:dyDescent="0.25">
      <c r="A356" s="561">
        <v>2</v>
      </c>
      <c r="B356" s="559" t="s">
        <v>499</v>
      </c>
      <c r="C356" s="559" t="s">
        <v>595</v>
      </c>
      <c r="D356" s="502">
        <v>331</v>
      </c>
      <c r="E356" s="501"/>
      <c r="F356" s="463"/>
      <c r="G356" s="501"/>
      <c r="H356" s="501"/>
      <c r="I356" s="501"/>
      <c r="J356" s="501"/>
      <c r="K356" s="501"/>
      <c r="L356" s="501"/>
      <c r="M356" s="501"/>
      <c r="N356" s="501"/>
      <c r="O356" s="501"/>
      <c r="P356" s="501"/>
      <c r="Q356" s="501"/>
    </row>
    <row r="357" spans="1:17" s="408" customFormat="1" x14ac:dyDescent="0.25">
      <c r="A357" s="444"/>
      <c r="B357" s="540"/>
      <c r="C357" s="540"/>
      <c r="D357" s="495">
        <v>338</v>
      </c>
      <c r="E357" s="545"/>
      <c r="F357" s="449"/>
      <c r="G357" s="445"/>
      <c r="H357" s="445"/>
      <c r="I357" s="445"/>
      <c r="J357" s="445"/>
      <c r="K357" s="445"/>
      <c r="L357" s="445"/>
      <c r="M357" s="445"/>
      <c r="N357" s="445"/>
      <c r="O357" s="445"/>
      <c r="P357" s="445"/>
      <c r="Q357" s="445"/>
    </row>
    <row r="358" spans="1:17" s="408" customFormat="1" x14ac:dyDescent="0.25">
      <c r="A358" s="561">
        <v>3</v>
      </c>
      <c r="B358" s="559" t="s">
        <v>504</v>
      </c>
      <c r="C358" s="559" t="s">
        <v>596</v>
      </c>
      <c r="D358" s="502">
        <v>331</v>
      </c>
      <c r="E358" s="501"/>
      <c r="F358" s="463"/>
      <c r="G358" s="501"/>
      <c r="H358" s="501"/>
      <c r="I358" s="501"/>
      <c r="J358" s="501"/>
      <c r="K358" s="501"/>
      <c r="L358" s="501"/>
      <c r="M358" s="501"/>
      <c r="N358" s="501"/>
      <c r="O358" s="501"/>
      <c r="P358" s="501"/>
      <c r="Q358" s="501"/>
    </row>
    <row r="359" spans="1:17" s="408" customFormat="1" x14ac:dyDescent="0.25">
      <c r="A359" s="444"/>
      <c r="B359" s="540"/>
      <c r="C359" s="540"/>
      <c r="D359" s="495">
        <v>338</v>
      </c>
      <c r="E359" s="545"/>
      <c r="F359" s="449"/>
      <c r="G359" s="445"/>
      <c r="H359" s="445"/>
      <c r="I359" s="445"/>
      <c r="J359" s="445"/>
      <c r="K359" s="445"/>
      <c r="L359" s="445"/>
      <c r="M359" s="445"/>
      <c r="N359" s="445"/>
      <c r="O359" s="445"/>
      <c r="P359" s="445"/>
      <c r="Q359" s="445"/>
    </row>
    <row r="360" spans="1:17" s="408" customFormat="1" x14ac:dyDescent="0.25">
      <c r="A360" s="561">
        <v>4</v>
      </c>
      <c r="B360" s="559" t="s">
        <v>506</v>
      </c>
      <c r="C360" s="559" t="s">
        <v>597</v>
      </c>
      <c r="D360" s="502">
        <v>331</v>
      </c>
      <c r="E360" s="501"/>
      <c r="F360" s="463"/>
      <c r="G360" s="501"/>
      <c r="H360" s="501"/>
      <c r="I360" s="501"/>
      <c r="J360" s="501"/>
      <c r="K360" s="501"/>
      <c r="L360" s="501"/>
      <c r="M360" s="501"/>
      <c r="N360" s="501"/>
      <c r="O360" s="501"/>
      <c r="P360" s="501"/>
      <c r="Q360" s="501"/>
    </row>
    <row r="361" spans="1:17" s="408" customFormat="1" x14ac:dyDescent="0.25">
      <c r="A361" s="444"/>
      <c r="B361" s="540"/>
      <c r="C361" s="540"/>
      <c r="D361" s="495">
        <v>338</v>
      </c>
      <c r="E361" s="545"/>
      <c r="F361" s="449"/>
      <c r="G361" s="445"/>
      <c r="H361" s="445"/>
      <c r="I361" s="445"/>
      <c r="J361" s="445"/>
      <c r="K361" s="445"/>
      <c r="L361" s="445"/>
      <c r="M361" s="445"/>
      <c r="N361" s="445"/>
      <c r="O361" s="445"/>
      <c r="P361" s="445"/>
      <c r="Q361" s="445"/>
    </row>
    <row r="362" spans="1:17" s="408" customFormat="1" x14ac:dyDescent="0.25">
      <c r="A362" s="561">
        <v>5</v>
      </c>
      <c r="B362" s="559" t="s">
        <v>507</v>
      </c>
      <c r="C362" s="559" t="s">
        <v>598</v>
      </c>
      <c r="D362" s="502">
        <v>331</v>
      </c>
      <c r="E362" s="501"/>
      <c r="F362" s="463"/>
      <c r="G362" s="501"/>
      <c r="H362" s="501"/>
      <c r="I362" s="501"/>
      <c r="J362" s="501"/>
      <c r="K362" s="501"/>
      <c r="L362" s="501"/>
      <c r="M362" s="501"/>
      <c r="N362" s="501"/>
      <c r="O362" s="501"/>
      <c r="P362" s="501"/>
      <c r="Q362" s="501"/>
    </row>
    <row r="363" spans="1:17" s="408" customFormat="1" x14ac:dyDescent="0.25">
      <c r="A363" s="444"/>
      <c r="B363" s="540"/>
      <c r="C363" s="540"/>
      <c r="D363" s="495">
        <v>338</v>
      </c>
      <c r="E363" s="545"/>
      <c r="F363" s="449"/>
      <c r="G363" s="445"/>
      <c r="H363" s="445"/>
      <c r="I363" s="445"/>
      <c r="J363" s="445"/>
      <c r="K363" s="445"/>
      <c r="L363" s="445"/>
      <c r="M363" s="445"/>
      <c r="N363" s="445"/>
      <c r="O363" s="445"/>
      <c r="P363" s="445"/>
      <c r="Q363" s="445"/>
    </row>
    <row r="364" spans="1:17" s="408" customFormat="1" x14ac:dyDescent="0.25">
      <c r="A364" s="561">
        <v>6</v>
      </c>
      <c r="B364" s="559" t="s">
        <v>509</v>
      </c>
      <c r="C364" s="559" t="s">
        <v>599</v>
      </c>
      <c r="D364" s="502">
        <v>331</v>
      </c>
      <c r="E364" s="501"/>
      <c r="F364" s="463"/>
      <c r="G364" s="501"/>
      <c r="H364" s="501"/>
      <c r="I364" s="501"/>
      <c r="J364" s="501"/>
      <c r="K364" s="501"/>
      <c r="L364" s="501"/>
      <c r="M364" s="501"/>
      <c r="N364" s="501"/>
      <c r="O364" s="501"/>
      <c r="P364" s="501"/>
      <c r="Q364" s="501"/>
    </row>
    <row r="365" spans="1:17" s="408" customFormat="1" x14ac:dyDescent="0.25">
      <c r="A365" s="444"/>
      <c r="B365" s="540"/>
      <c r="C365" s="540"/>
      <c r="D365" s="495">
        <v>338</v>
      </c>
      <c r="E365" s="445"/>
      <c r="F365" s="449"/>
      <c r="G365" s="445"/>
      <c r="H365" s="445"/>
      <c r="I365" s="445"/>
      <c r="J365" s="445"/>
      <c r="K365" s="445"/>
      <c r="L365" s="445"/>
      <c r="M365" s="445"/>
      <c r="N365" s="445"/>
      <c r="O365" s="445"/>
      <c r="P365" s="445"/>
      <c r="Q365" s="445"/>
    </row>
    <row r="366" spans="1:17" s="408" customFormat="1" x14ac:dyDescent="0.25">
      <c r="A366" s="561">
        <v>7</v>
      </c>
      <c r="B366" s="552" t="s">
        <v>600</v>
      </c>
      <c r="C366" s="552" t="s">
        <v>601</v>
      </c>
      <c r="D366" s="502">
        <v>331</v>
      </c>
      <c r="E366" s="546"/>
      <c r="F366" s="463"/>
      <c r="G366" s="501"/>
      <c r="H366" s="501"/>
      <c r="I366" s="501"/>
      <c r="J366" s="501"/>
      <c r="K366" s="501"/>
      <c r="L366" s="501"/>
      <c r="M366" s="501"/>
      <c r="N366" s="501"/>
      <c r="O366" s="501"/>
      <c r="P366" s="501"/>
      <c r="Q366" s="501"/>
    </row>
    <row r="367" spans="1:17" s="408" customFormat="1" x14ac:dyDescent="0.25">
      <c r="A367" s="444"/>
      <c r="B367" s="540"/>
      <c r="C367" s="540"/>
      <c r="D367" s="495">
        <v>338</v>
      </c>
      <c r="E367" s="547"/>
      <c r="F367" s="449"/>
      <c r="G367" s="445"/>
      <c r="H367" s="445"/>
      <c r="I367" s="445"/>
      <c r="J367" s="445"/>
      <c r="K367" s="445"/>
      <c r="L367" s="445"/>
      <c r="M367" s="445"/>
      <c r="N367" s="445"/>
      <c r="O367" s="445"/>
      <c r="P367" s="445"/>
      <c r="Q367" s="445"/>
    </row>
    <row r="368" spans="1:17" s="408" customFormat="1" x14ac:dyDescent="0.25">
      <c r="A368" s="561">
        <v>8</v>
      </c>
      <c r="B368" s="559" t="s">
        <v>512</v>
      </c>
      <c r="C368" s="559" t="s">
        <v>602</v>
      </c>
      <c r="D368" s="502">
        <v>331</v>
      </c>
      <c r="E368" s="501"/>
      <c r="F368" s="463"/>
      <c r="G368" s="501"/>
      <c r="H368" s="501"/>
      <c r="I368" s="501"/>
      <c r="J368" s="501"/>
      <c r="K368" s="501"/>
      <c r="L368" s="501"/>
      <c r="M368" s="501"/>
      <c r="N368" s="501"/>
      <c r="O368" s="501"/>
      <c r="P368" s="501"/>
      <c r="Q368" s="501"/>
    </row>
    <row r="369" spans="1:17" s="408" customFormat="1" x14ac:dyDescent="0.25">
      <c r="A369" s="444"/>
      <c r="B369" s="540"/>
      <c r="C369" s="540"/>
      <c r="D369" s="495">
        <v>338</v>
      </c>
      <c r="E369" s="545"/>
      <c r="F369" s="449"/>
      <c r="G369" s="445"/>
      <c r="H369" s="445"/>
      <c r="I369" s="445"/>
      <c r="J369" s="445"/>
      <c r="K369" s="445"/>
      <c r="L369" s="445"/>
      <c r="M369" s="445"/>
      <c r="N369" s="445"/>
      <c r="O369" s="445"/>
      <c r="P369" s="445"/>
      <c r="Q369" s="445"/>
    </row>
    <row r="370" spans="1:17" s="408" customFormat="1" x14ac:dyDescent="0.25">
      <c r="A370" s="561">
        <v>9</v>
      </c>
      <c r="B370" s="559" t="s">
        <v>514</v>
      </c>
      <c r="C370" s="559" t="s">
        <v>603</v>
      </c>
      <c r="D370" s="502">
        <v>331</v>
      </c>
      <c r="E370" s="501"/>
      <c r="F370" s="463"/>
      <c r="G370" s="501"/>
      <c r="H370" s="501"/>
      <c r="I370" s="501"/>
      <c r="J370" s="501"/>
      <c r="K370" s="501"/>
      <c r="L370" s="501"/>
      <c r="M370" s="501"/>
      <c r="N370" s="501"/>
      <c r="O370" s="501"/>
      <c r="P370" s="501"/>
      <c r="Q370" s="501"/>
    </row>
    <row r="371" spans="1:17" s="408" customFormat="1" x14ac:dyDescent="0.25">
      <c r="A371" s="444"/>
      <c r="B371" s="540"/>
      <c r="C371" s="540"/>
      <c r="D371" s="495">
        <v>338</v>
      </c>
      <c r="E371" s="545"/>
      <c r="F371" s="449"/>
      <c r="G371" s="445"/>
      <c r="H371" s="445"/>
      <c r="I371" s="445"/>
      <c r="J371" s="445"/>
      <c r="K371" s="445"/>
      <c r="L371" s="445"/>
      <c r="M371" s="445"/>
      <c r="N371" s="445"/>
      <c r="O371" s="445"/>
      <c r="P371" s="445"/>
      <c r="Q371" s="445"/>
    </row>
    <row r="372" spans="1:17" s="408" customFormat="1" x14ac:dyDescent="0.25">
      <c r="A372" s="561">
        <v>10</v>
      </c>
      <c r="B372" s="559" t="s">
        <v>515</v>
      </c>
      <c r="C372" s="559" t="s">
        <v>604</v>
      </c>
      <c r="D372" s="502">
        <v>331</v>
      </c>
      <c r="E372" s="501"/>
      <c r="F372" s="463"/>
      <c r="G372" s="501"/>
      <c r="H372" s="501"/>
      <c r="I372" s="501"/>
      <c r="J372" s="501"/>
      <c r="K372" s="501"/>
      <c r="L372" s="501"/>
      <c r="M372" s="501"/>
      <c r="N372" s="501"/>
      <c r="O372" s="501"/>
      <c r="P372" s="501"/>
      <c r="Q372" s="501"/>
    </row>
    <row r="373" spans="1:17" s="408" customFormat="1" x14ac:dyDescent="0.25">
      <c r="A373" s="444"/>
      <c r="B373" s="540"/>
      <c r="C373" s="540"/>
      <c r="D373" s="495">
        <v>338</v>
      </c>
      <c r="E373" s="545"/>
      <c r="F373" s="449"/>
      <c r="G373" s="445"/>
      <c r="H373" s="445"/>
      <c r="I373" s="445"/>
      <c r="J373" s="445"/>
      <c r="K373" s="445"/>
      <c r="L373" s="445"/>
      <c r="M373" s="445"/>
      <c r="N373" s="445"/>
      <c r="O373" s="445"/>
      <c r="P373" s="445"/>
      <c r="Q373" s="445"/>
    </row>
    <row r="374" spans="1:17" s="408" customFormat="1" x14ac:dyDescent="0.25">
      <c r="A374" s="561">
        <v>11</v>
      </c>
      <c r="B374" s="559" t="s">
        <v>516</v>
      </c>
      <c r="C374" s="559" t="s">
        <v>605</v>
      </c>
      <c r="D374" s="502">
        <v>331</v>
      </c>
      <c r="E374" s="501"/>
      <c r="F374" s="463"/>
      <c r="G374" s="501"/>
      <c r="H374" s="501"/>
      <c r="I374" s="501"/>
      <c r="J374" s="501"/>
      <c r="K374" s="501"/>
      <c r="L374" s="501"/>
      <c r="M374" s="501"/>
      <c r="N374" s="501"/>
      <c r="O374" s="501"/>
      <c r="P374" s="501"/>
      <c r="Q374" s="501"/>
    </row>
    <row r="375" spans="1:17" s="408" customFormat="1" x14ac:dyDescent="0.25">
      <c r="A375" s="444"/>
      <c r="B375" s="540"/>
      <c r="C375" s="540"/>
      <c r="D375" s="495">
        <v>338</v>
      </c>
      <c r="E375" s="545"/>
      <c r="F375" s="449"/>
      <c r="G375" s="445"/>
      <c r="H375" s="445"/>
      <c r="I375" s="445"/>
      <c r="J375" s="445"/>
      <c r="K375" s="445"/>
      <c r="L375" s="445"/>
      <c r="M375" s="445"/>
      <c r="N375" s="445"/>
      <c r="O375" s="445"/>
      <c r="P375" s="445"/>
      <c r="Q375" s="445"/>
    </row>
    <row r="376" spans="1:17" s="408" customFormat="1" x14ac:dyDescent="0.25">
      <c r="A376" s="561">
        <v>12</v>
      </c>
      <c r="B376" s="559" t="s">
        <v>517</v>
      </c>
      <c r="C376" s="559" t="s">
        <v>606</v>
      </c>
      <c r="D376" s="502">
        <v>331</v>
      </c>
      <c r="E376" s="501"/>
      <c r="F376" s="463"/>
      <c r="G376" s="501"/>
      <c r="H376" s="501"/>
      <c r="I376" s="501"/>
      <c r="J376" s="501"/>
      <c r="K376" s="501"/>
      <c r="L376" s="501"/>
      <c r="M376" s="501"/>
      <c r="N376" s="501"/>
      <c r="O376" s="501"/>
      <c r="P376" s="501"/>
      <c r="Q376" s="501"/>
    </row>
    <row r="377" spans="1:17" s="408" customFormat="1" x14ac:dyDescent="0.25">
      <c r="A377" s="444"/>
      <c r="B377" s="540"/>
      <c r="C377" s="540"/>
      <c r="D377" s="495">
        <v>338</v>
      </c>
      <c r="E377" s="545"/>
      <c r="F377" s="449"/>
      <c r="G377" s="445"/>
      <c r="H377" s="445"/>
      <c r="I377" s="445"/>
      <c r="J377" s="445"/>
      <c r="K377" s="445"/>
      <c r="L377" s="445"/>
      <c r="M377" s="445"/>
      <c r="N377" s="445"/>
      <c r="O377" s="445"/>
      <c r="P377" s="445"/>
      <c r="Q377" s="445"/>
    </row>
    <row r="378" spans="1:17" s="408" customFormat="1" x14ac:dyDescent="0.25">
      <c r="A378" s="561">
        <v>13</v>
      </c>
      <c r="B378" s="559" t="s">
        <v>518</v>
      </c>
      <c r="C378" s="559" t="s">
        <v>607</v>
      </c>
      <c r="D378" s="502">
        <v>331</v>
      </c>
      <c r="E378" s="501"/>
      <c r="F378" s="463"/>
      <c r="G378" s="501"/>
      <c r="H378" s="501"/>
      <c r="I378" s="501"/>
      <c r="J378" s="501"/>
      <c r="K378" s="501"/>
      <c r="L378" s="501"/>
      <c r="M378" s="501"/>
      <c r="N378" s="501"/>
      <c r="O378" s="501"/>
      <c r="P378" s="501"/>
      <c r="Q378" s="501"/>
    </row>
    <row r="379" spans="1:17" s="408" customFormat="1" x14ac:dyDescent="0.25">
      <c r="A379" s="444"/>
      <c r="B379" s="540"/>
      <c r="C379" s="540"/>
      <c r="D379" s="495">
        <v>338</v>
      </c>
      <c r="E379" s="545"/>
      <c r="F379" s="449"/>
      <c r="G379" s="445"/>
      <c r="H379" s="445"/>
      <c r="I379" s="445"/>
      <c r="J379" s="445"/>
      <c r="K379" s="445"/>
      <c r="L379" s="445"/>
      <c r="M379" s="445"/>
      <c r="N379" s="445"/>
      <c r="O379" s="445"/>
      <c r="P379" s="445"/>
      <c r="Q379" s="445"/>
    </row>
    <row r="380" spans="1:17" s="408" customFormat="1" x14ac:dyDescent="0.25">
      <c r="A380" s="561">
        <v>14</v>
      </c>
      <c r="B380" s="559" t="s">
        <v>519</v>
      </c>
      <c r="C380" s="559" t="s">
        <v>608</v>
      </c>
      <c r="D380" s="502">
        <v>331</v>
      </c>
      <c r="E380" s="501"/>
      <c r="F380" s="463"/>
      <c r="G380" s="501"/>
      <c r="H380" s="501"/>
      <c r="I380" s="501"/>
      <c r="J380" s="501"/>
      <c r="K380" s="501"/>
      <c r="L380" s="501"/>
      <c r="M380" s="501"/>
      <c r="N380" s="501"/>
      <c r="O380" s="501"/>
      <c r="P380" s="501"/>
      <c r="Q380" s="501"/>
    </row>
    <row r="381" spans="1:17" s="408" customFormat="1" x14ac:dyDescent="0.25">
      <c r="A381" s="444"/>
      <c r="B381" s="540"/>
      <c r="C381" s="540"/>
      <c r="D381" s="495">
        <v>338</v>
      </c>
      <c r="E381" s="545"/>
      <c r="F381" s="449"/>
      <c r="G381" s="445"/>
      <c r="H381" s="445"/>
      <c r="I381" s="445"/>
      <c r="J381" s="445"/>
      <c r="K381" s="445"/>
      <c r="L381" s="445"/>
      <c r="M381" s="445"/>
      <c r="N381" s="445"/>
      <c r="O381" s="445"/>
      <c r="P381" s="445"/>
      <c r="Q381" s="445"/>
    </row>
    <row r="382" spans="1:17" s="408" customFormat="1" x14ac:dyDescent="0.25">
      <c r="A382" s="561">
        <v>15</v>
      </c>
      <c r="B382" s="559" t="s">
        <v>520</v>
      </c>
      <c r="C382" s="559" t="s">
        <v>609</v>
      </c>
      <c r="D382" s="502">
        <v>331</v>
      </c>
      <c r="E382" s="501"/>
      <c r="F382" s="463"/>
      <c r="G382" s="501"/>
      <c r="H382" s="501"/>
      <c r="I382" s="501"/>
      <c r="J382" s="501"/>
      <c r="K382" s="501"/>
      <c r="L382" s="501"/>
      <c r="M382" s="501"/>
      <c r="N382" s="501"/>
      <c r="O382" s="501"/>
      <c r="P382" s="501"/>
      <c r="Q382" s="501"/>
    </row>
    <row r="383" spans="1:17" s="408" customFormat="1" x14ac:dyDescent="0.25">
      <c r="A383" s="444"/>
      <c r="B383" s="540"/>
      <c r="C383" s="540"/>
      <c r="D383" s="495">
        <v>338</v>
      </c>
      <c r="E383" s="545"/>
      <c r="F383" s="449"/>
      <c r="G383" s="445"/>
      <c r="H383" s="445"/>
      <c r="I383" s="445"/>
      <c r="J383" s="445"/>
      <c r="K383" s="445"/>
      <c r="L383" s="445"/>
      <c r="M383" s="445"/>
      <c r="N383" s="445"/>
      <c r="O383" s="445"/>
      <c r="P383" s="445"/>
      <c r="Q383" s="445"/>
    </row>
    <row r="384" spans="1:17" s="408" customFormat="1" x14ac:dyDescent="0.25">
      <c r="A384" s="561">
        <v>16</v>
      </c>
      <c r="B384" s="559" t="s">
        <v>521</v>
      </c>
      <c r="C384" s="559" t="s">
        <v>610</v>
      </c>
      <c r="D384" s="502">
        <v>331</v>
      </c>
      <c r="E384" s="501"/>
      <c r="F384" s="463"/>
      <c r="G384" s="501"/>
      <c r="H384" s="501"/>
      <c r="I384" s="501"/>
      <c r="J384" s="501"/>
      <c r="K384" s="501"/>
      <c r="L384" s="501"/>
      <c r="M384" s="501"/>
      <c r="N384" s="501"/>
      <c r="O384" s="501"/>
      <c r="P384" s="501"/>
      <c r="Q384" s="501"/>
    </row>
    <row r="385" spans="1:17" s="408" customFormat="1" x14ac:dyDescent="0.25">
      <c r="A385" s="444"/>
      <c r="B385" s="540"/>
      <c r="C385" s="540"/>
      <c r="D385" s="495">
        <v>338</v>
      </c>
      <c r="E385" s="545"/>
      <c r="F385" s="449"/>
      <c r="G385" s="445"/>
      <c r="H385" s="445"/>
      <c r="I385" s="445"/>
      <c r="J385" s="445"/>
      <c r="K385" s="445"/>
      <c r="L385" s="445"/>
      <c r="M385" s="445"/>
      <c r="N385" s="445"/>
      <c r="O385" s="445"/>
      <c r="P385" s="445"/>
      <c r="Q385" s="445"/>
    </row>
    <row r="386" spans="1:17" s="408" customFormat="1" x14ac:dyDescent="0.25">
      <c r="A386" s="561">
        <v>17</v>
      </c>
      <c r="B386" s="559" t="s">
        <v>522</v>
      </c>
      <c r="C386" s="559" t="s">
        <v>611</v>
      </c>
      <c r="D386" s="502">
        <v>331</v>
      </c>
      <c r="E386" s="501"/>
      <c r="F386" s="463"/>
      <c r="G386" s="501"/>
      <c r="H386" s="501"/>
      <c r="I386" s="501"/>
      <c r="J386" s="501"/>
      <c r="K386" s="501"/>
      <c r="L386" s="501"/>
      <c r="M386" s="501"/>
      <c r="N386" s="501"/>
      <c r="O386" s="501"/>
      <c r="P386" s="501"/>
      <c r="Q386" s="501"/>
    </row>
    <row r="387" spans="1:17" s="408" customFormat="1" x14ac:dyDescent="0.25">
      <c r="A387" s="444"/>
      <c r="B387" s="540"/>
      <c r="C387" s="540"/>
      <c r="D387" s="495">
        <v>338</v>
      </c>
      <c r="E387" s="545"/>
      <c r="F387" s="449"/>
      <c r="G387" s="445"/>
      <c r="H387" s="445"/>
      <c r="I387" s="445"/>
      <c r="J387" s="445"/>
      <c r="K387" s="445"/>
      <c r="L387" s="445"/>
      <c r="M387" s="445"/>
      <c r="N387" s="445"/>
      <c r="O387" s="445"/>
      <c r="P387" s="445"/>
      <c r="Q387" s="445"/>
    </row>
    <row r="388" spans="1:17" s="408" customFormat="1" x14ac:dyDescent="0.25">
      <c r="A388" s="561">
        <v>18</v>
      </c>
      <c r="B388" s="559" t="s">
        <v>523</v>
      </c>
      <c r="C388" s="559" t="s">
        <v>612</v>
      </c>
      <c r="D388" s="502">
        <v>331</v>
      </c>
      <c r="E388" s="501"/>
      <c r="F388" s="463"/>
      <c r="G388" s="501"/>
      <c r="H388" s="501"/>
      <c r="I388" s="501"/>
      <c r="J388" s="501"/>
      <c r="K388" s="501"/>
      <c r="L388" s="501"/>
      <c r="M388" s="501"/>
      <c r="N388" s="501"/>
      <c r="O388" s="501"/>
      <c r="P388" s="501"/>
      <c r="Q388" s="501"/>
    </row>
    <row r="389" spans="1:17" s="408" customFormat="1" x14ac:dyDescent="0.25">
      <c r="A389" s="444"/>
      <c r="B389" s="540"/>
      <c r="C389" s="540"/>
      <c r="D389" s="495">
        <v>338</v>
      </c>
      <c r="E389" s="545"/>
      <c r="F389" s="449"/>
      <c r="G389" s="445"/>
      <c r="H389" s="445"/>
      <c r="I389" s="445"/>
      <c r="J389" s="445"/>
      <c r="K389" s="445"/>
      <c r="L389" s="445"/>
      <c r="M389" s="445"/>
      <c r="N389" s="445"/>
      <c r="O389" s="445"/>
      <c r="P389" s="445"/>
      <c r="Q389" s="445"/>
    </row>
    <row r="390" spans="1:17" s="408" customFormat="1" x14ac:dyDescent="0.25">
      <c r="A390" s="561">
        <v>19</v>
      </c>
      <c r="B390" s="552" t="s">
        <v>613</v>
      </c>
      <c r="C390" s="552" t="s">
        <v>614</v>
      </c>
      <c r="D390" s="502">
        <v>331</v>
      </c>
      <c r="E390" s="501"/>
      <c r="F390" s="463"/>
      <c r="G390" s="501"/>
      <c r="H390" s="501"/>
      <c r="I390" s="501"/>
      <c r="J390" s="501"/>
      <c r="K390" s="501"/>
      <c r="L390" s="501"/>
      <c r="M390" s="501"/>
      <c r="N390" s="501"/>
      <c r="O390" s="501"/>
      <c r="P390" s="501"/>
      <c r="Q390" s="501"/>
    </row>
    <row r="391" spans="1:17" s="408" customFormat="1" x14ac:dyDescent="0.25">
      <c r="A391" s="444"/>
      <c r="B391" s="540"/>
      <c r="C391" s="540"/>
      <c r="D391" s="495">
        <v>338</v>
      </c>
      <c r="E391" s="545"/>
      <c r="F391" s="449"/>
      <c r="G391" s="445"/>
      <c r="H391" s="445"/>
      <c r="I391" s="445"/>
      <c r="J391" s="445"/>
      <c r="K391" s="445"/>
      <c r="L391" s="445"/>
      <c r="M391" s="445"/>
      <c r="N391" s="445"/>
      <c r="O391" s="445"/>
      <c r="P391" s="445"/>
      <c r="Q391" s="445"/>
    </row>
    <row r="392" spans="1:17" s="408" customFormat="1" x14ac:dyDescent="0.25">
      <c r="A392" s="561">
        <v>20</v>
      </c>
      <c r="B392" s="559" t="s">
        <v>524</v>
      </c>
      <c r="C392" s="559" t="s">
        <v>615</v>
      </c>
      <c r="D392" s="502">
        <v>331</v>
      </c>
      <c r="E392" s="501"/>
      <c r="F392" s="463"/>
      <c r="G392" s="501"/>
      <c r="H392" s="501"/>
      <c r="I392" s="501"/>
      <c r="J392" s="501"/>
      <c r="K392" s="501"/>
      <c r="L392" s="501"/>
      <c r="M392" s="501"/>
      <c r="N392" s="501"/>
      <c r="O392" s="501"/>
      <c r="P392" s="501"/>
      <c r="Q392" s="501"/>
    </row>
    <row r="393" spans="1:17" s="408" customFormat="1" x14ac:dyDescent="0.25">
      <c r="A393" s="444"/>
      <c r="B393" s="540"/>
      <c r="C393" s="540"/>
      <c r="D393" s="495">
        <v>338</v>
      </c>
      <c r="E393" s="445"/>
      <c r="F393" s="449"/>
      <c r="G393" s="445"/>
      <c r="H393" s="445"/>
      <c r="I393" s="445"/>
      <c r="J393" s="445"/>
      <c r="K393" s="503"/>
      <c r="L393" s="445"/>
      <c r="M393" s="445"/>
      <c r="N393" s="445"/>
      <c r="O393" s="445"/>
      <c r="P393" s="445"/>
      <c r="Q393" s="445"/>
    </row>
    <row r="394" spans="1:17" s="408" customFormat="1" x14ac:dyDescent="0.25">
      <c r="A394" s="561">
        <v>21</v>
      </c>
      <c r="B394" s="559" t="s">
        <v>525</v>
      </c>
      <c r="C394" s="559" t="s">
        <v>616</v>
      </c>
      <c r="D394" s="502">
        <v>331</v>
      </c>
      <c r="E394" s="501"/>
      <c r="F394" s="463"/>
      <c r="G394" s="501"/>
      <c r="H394" s="501"/>
      <c r="I394" s="501"/>
      <c r="J394" s="501"/>
      <c r="K394" s="465"/>
      <c r="L394" s="501"/>
      <c r="M394" s="501"/>
      <c r="N394" s="501"/>
      <c r="O394" s="501"/>
      <c r="P394" s="501"/>
      <c r="Q394" s="501"/>
    </row>
    <row r="395" spans="1:17" s="408" customFormat="1" x14ac:dyDescent="0.25">
      <c r="A395" s="444"/>
      <c r="B395" s="540"/>
      <c r="C395" s="540"/>
      <c r="D395" s="495">
        <v>338</v>
      </c>
      <c r="E395" s="445"/>
      <c r="F395" s="449"/>
      <c r="G395" s="445"/>
      <c r="H395" s="445"/>
      <c r="I395" s="445"/>
      <c r="J395" s="445"/>
      <c r="K395" s="503"/>
      <c r="L395" s="445"/>
      <c r="M395" s="445"/>
      <c r="N395" s="445"/>
      <c r="O395" s="445"/>
      <c r="P395" s="445"/>
      <c r="Q395" s="445"/>
    </row>
    <row r="396" spans="1:17" s="408" customFormat="1" x14ac:dyDescent="0.25">
      <c r="A396" s="428">
        <v>22</v>
      </c>
      <c r="B396" s="429" t="s">
        <v>526</v>
      </c>
      <c r="C396" s="429" t="s">
        <v>617</v>
      </c>
      <c r="D396" s="431">
        <v>331</v>
      </c>
      <c r="E396" s="430"/>
      <c r="F396" s="434"/>
      <c r="G396" s="430"/>
      <c r="H396" s="430"/>
      <c r="I396" s="430"/>
      <c r="J396" s="430"/>
      <c r="K396" s="433"/>
      <c r="L396" s="430"/>
      <c r="M396" s="430"/>
      <c r="N396" s="430"/>
      <c r="O396" s="430"/>
      <c r="P396" s="430"/>
      <c r="Q396" s="430"/>
    </row>
    <row r="397" spans="1:17" s="408" customFormat="1" x14ac:dyDescent="0.25">
      <c r="A397" s="514"/>
      <c r="B397" s="540"/>
      <c r="C397" s="540"/>
      <c r="D397" s="495">
        <v>338</v>
      </c>
      <c r="E397" s="445"/>
      <c r="F397" s="449"/>
      <c r="G397" s="445"/>
      <c r="H397" s="445"/>
      <c r="I397" s="445"/>
      <c r="J397" s="445"/>
      <c r="K397" s="503"/>
      <c r="L397" s="445"/>
      <c r="M397" s="445"/>
      <c r="N397" s="445"/>
      <c r="O397" s="445"/>
      <c r="P397" s="445"/>
      <c r="Q397" s="445"/>
    </row>
    <row r="398" spans="1:17" s="408" customFormat="1" x14ac:dyDescent="0.25">
      <c r="A398" s="491" t="s">
        <v>554</v>
      </c>
      <c r="B398" s="424" t="s">
        <v>580</v>
      </c>
      <c r="C398" s="424"/>
      <c r="D398" s="493"/>
      <c r="E398" s="430"/>
      <c r="F398" s="532" t="s">
        <v>475</v>
      </c>
      <c r="G398" s="532" t="s">
        <v>476</v>
      </c>
      <c r="H398" s="532" t="s">
        <v>477</v>
      </c>
      <c r="I398" s="532" t="s">
        <v>478</v>
      </c>
      <c r="J398" s="532" t="s">
        <v>479</v>
      </c>
      <c r="K398" s="532" t="s">
        <v>480</v>
      </c>
      <c r="L398" s="532" t="s">
        <v>481</v>
      </c>
      <c r="M398" s="532" t="s">
        <v>482</v>
      </c>
      <c r="N398" s="532" t="s">
        <v>483</v>
      </c>
      <c r="O398" s="532" t="s">
        <v>484</v>
      </c>
      <c r="P398" s="532" t="s">
        <v>485</v>
      </c>
      <c r="Q398" s="532" t="s">
        <v>486</v>
      </c>
    </row>
    <row r="399" spans="1:17" s="408" customFormat="1" x14ac:dyDescent="0.25">
      <c r="A399" s="561">
        <v>1</v>
      </c>
      <c r="B399" s="556" t="s">
        <v>490</v>
      </c>
      <c r="C399" s="556" t="s">
        <v>594</v>
      </c>
      <c r="D399" s="502">
        <v>331</v>
      </c>
      <c r="E399" s="501"/>
      <c r="F399" s="463"/>
      <c r="G399" s="501"/>
      <c r="H399" s="501"/>
      <c r="I399" s="501"/>
      <c r="J399" s="501"/>
      <c r="K399" s="501"/>
      <c r="L399" s="501"/>
      <c r="M399" s="501"/>
      <c r="N399" s="501"/>
      <c r="O399" s="501"/>
      <c r="P399" s="501"/>
      <c r="Q399" s="501"/>
    </row>
    <row r="400" spans="1:17" s="408" customFormat="1" x14ac:dyDescent="0.25">
      <c r="A400" s="455">
        <v>2</v>
      </c>
      <c r="B400" s="436" t="s">
        <v>499</v>
      </c>
      <c r="C400" s="436" t="s">
        <v>595</v>
      </c>
      <c r="D400" s="440">
        <v>331</v>
      </c>
      <c r="E400" s="436"/>
      <c r="F400" s="475"/>
      <c r="G400" s="436"/>
      <c r="H400" s="436"/>
      <c r="I400" s="436"/>
      <c r="J400" s="436"/>
      <c r="K400" s="436"/>
      <c r="L400" s="436"/>
      <c r="M400" s="436"/>
      <c r="N400" s="436"/>
      <c r="O400" s="436"/>
      <c r="P400" s="436"/>
      <c r="Q400" s="436"/>
    </row>
    <row r="401" spans="1:17" s="408" customFormat="1" x14ac:dyDescent="0.25">
      <c r="A401" s="455">
        <v>3</v>
      </c>
      <c r="B401" s="467" t="s">
        <v>504</v>
      </c>
      <c r="C401" s="467" t="s">
        <v>596</v>
      </c>
      <c r="D401" s="440">
        <v>331</v>
      </c>
      <c r="E401" s="436"/>
      <c r="F401" s="475"/>
      <c r="G401" s="436"/>
      <c r="H401" s="436"/>
      <c r="I401" s="436"/>
      <c r="J401" s="436"/>
      <c r="K401" s="436"/>
      <c r="L401" s="436"/>
      <c r="M401" s="436"/>
      <c r="N401" s="436"/>
      <c r="O401" s="436"/>
      <c r="P401" s="436"/>
      <c r="Q401" s="436"/>
    </row>
    <row r="402" spans="1:17" s="408" customFormat="1" x14ac:dyDescent="0.25">
      <c r="A402" s="455">
        <v>4</v>
      </c>
      <c r="B402" s="467" t="s">
        <v>506</v>
      </c>
      <c r="C402" s="467" t="s">
        <v>597</v>
      </c>
      <c r="D402" s="440">
        <v>331</v>
      </c>
      <c r="E402" s="436"/>
      <c r="F402" s="475"/>
      <c r="G402" s="436"/>
      <c r="H402" s="436"/>
      <c r="I402" s="436"/>
      <c r="J402" s="436"/>
      <c r="K402" s="436"/>
      <c r="L402" s="475"/>
      <c r="M402" s="436"/>
      <c r="N402" s="436"/>
      <c r="O402" s="436"/>
      <c r="P402" s="436"/>
      <c r="Q402" s="436"/>
    </row>
    <row r="403" spans="1:17" s="408" customFormat="1" x14ac:dyDescent="0.25">
      <c r="A403" s="435">
        <v>5</v>
      </c>
      <c r="B403" s="467" t="s">
        <v>507</v>
      </c>
      <c r="C403" s="467" t="s">
        <v>598</v>
      </c>
      <c r="D403" s="440">
        <v>331</v>
      </c>
      <c r="E403" s="436"/>
      <c r="F403" s="475"/>
      <c r="G403" s="436"/>
      <c r="H403" s="436"/>
      <c r="I403" s="436"/>
      <c r="J403" s="436"/>
      <c r="K403" s="436"/>
      <c r="L403" s="436"/>
      <c r="M403" s="436"/>
      <c r="N403" s="436"/>
      <c r="O403" s="436"/>
      <c r="P403" s="436"/>
      <c r="Q403" s="436"/>
    </row>
    <row r="404" spans="1:17" s="408" customFormat="1" x14ac:dyDescent="0.25">
      <c r="A404" s="455">
        <v>6</v>
      </c>
      <c r="B404" s="467" t="s">
        <v>509</v>
      </c>
      <c r="C404" s="467" t="s">
        <v>599</v>
      </c>
      <c r="D404" s="440">
        <v>331</v>
      </c>
      <c r="E404" s="436"/>
      <c r="F404" s="475"/>
      <c r="G404" s="436"/>
      <c r="H404" s="436"/>
      <c r="I404" s="436"/>
      <c r="J404" s="436"/>
      <c r="K404" s="436"/>
      <c r="L404" s="436"/>
      <c r="M404" s="436"/>
      <c r="N404" s="436"/>
      <c r="O404" s="436"/>
      <c r="P404" s="436"/>
      <c r="Q404" s="436"/>
    </row>
    <row r="405" spans="1:17" s="408" customFormat="1" x14ac:dyDescent="0.25">
      <c r="A405" s="455">
        <v>7</v>
      </c>
      <c r="B405" s="472" t="s">
        <v>600</v>
      </c>
      <c r="C405" s="472" t="s">
        <v>601</v>
      </c>
      <c r="D405" s="440">
        <v>331</v>
      </c>
      <c r="E405" s="436"/>
      <c r="F405" s="475"/>
      <c r="G405" s="436"/>
      <c r="H405" s="436"/>
      <c r="I405" s="436"/>
      <c r="J405" s="436"/>
      <c r="K405" s="436"/>
      <c r="L405" s="436"/>
      <c r="M405" s="436"/>
      <c r="N405" s="436"/>
      <c r="O405" s="436"/>
      <c r="P405" s="436"/>
      <c r="Q405" s="436"/>
    </row>
    <row r="406" spans="1:17" s="408" customFormat="1" x14ac:dyDescent="0.25">
      <c r="A406" s="455">
        <v>8</v>
      </c>
      <c r="B406" s="467" t="s">
        <v>512</v>
      </c>
      <c r="C406" s="467" t="s">
        <v>602</v>
      </c>
      <c r="D406" s="440">
        <v>331</v>
      </c>
      <c r="E406" s="436"/>
      <c r="F406" s="475"/>
      <c r="G406" s="436"/>
      <c r="H406" s="436"/>
      <c r="I406" s="436"/>
      <c r="J406" s="436"/>
      <c r="K406" s="436"/>
      <c r="L406" s="436"/>
      <c r="M406" s="436"/>
      <c r="N406" s="436"/>
      <c r="O406" s="436"/>
      <c r="P406" s="436"/>
      <c r="Q406" s="436"/>
    </row>
    <row r="407" spans="1:17" s="408" customFormat="1" x14ac:dyDescent="0.25">
      <c r="A407" s="455">
        <v>9</v>
      </c>
      <c r="B407" s="467" t="s">
        <v>514</v>
      </c>
      <c r="C407" s="467" t="s">
        <v>603</v>
      </c>
      <c r="D407" s="440">
        <v>331</v>
      </c>
      <c r="E407" s="436"/>
      <c r="F407" s="475"/>
      <c r="G407" s="436"/>
      <c r="H407" s="436"/>
      <c r="I407" s="436"/>
      <c r="J407" s="436"/>
      <c r="K407" s="436"/>
      <c r="L407" s="436"/>
      <c r="M407" s="436"/>
      <c r="N407" s="436"/>
      <c r="O407" s="436"/>
      <c r="P407" s="436"/>
      <c r="Q407" s="436"/>
    </row>
    <row r="408" spans="1:17" s="408" customFormat="1" x14ac:dyDescent="0.25">
      <c r="A408" s="455">
        <v>10</v>
      </c>
      <c r="B408" s="436" t="s">
        <v>515</v>
      </c>
      <c r="C408" s="436" t="s">
        <v>604</v>
      </c>
      <c r="D408" s="440">
        <v>331</v>
      </c>
      <c r="E408" s="436"/>
      <c r="F408" s="475"/>
      <c r="G408" s="436"/>
      <c r="H408" s="436"/>
      <c r="I408" s="436"/>
      <c r="J408" s="436"/>
      <c r="K408" s="436"/>
      <c r="L408" s="436"/>
      <c r="M408" s="436"/>
      <c r="N408" s="436"/>
      <c r="O408" s="436"/>
      <c r="P408" s="436"/>
      <c r="Q408" s="436"/>
    </row>
    <row r="409" spans="1:17" s="408" customFormat="1" x14ac:dyDescent="0.25">
      <c r="A409" s="455">
        <v>11</v>
      </c>
      <c r="B409" s="467" t="s">
        <v>516</v>
      </c>
      <c r="C409" s="467" t="s">
        <v>605</v>
      </c>
      <c r="D409" s="440">
        <v>331</v>
      </c>
      <c r="E409" s="436"/>
      <c r="F409" s="475"/>
      <c r="G409" s="436"/>
      <c r="H409" s="436"/>
      <c r="I409" s="436"/>
      <c r="J409" s="436"/>
      <c r="K409" s="436"/>
      <c r="L409" s="436"/>
      <c r="M409" s="436"/>
      <c r="N409" s="436"/>
      <c r="O409" s="436"/>
      <c r="P409" s="436"/>
      <c r="Q409" s="436"/>
    </row>
    <row r="410" spans="1:17" s="408" customFormat="1" x14ac:dyDescent="0.25">
      <c r="A410" s="455">
        <v>12</v>
      </c>
      <c r="B410" s="467" t="s">
        <v>517</v>
      </c>
      <c r="C410" s="467" t="s">
        <v>606</v>
      </c>
      <c r="D410" s="440">
        <v>331</v>
      </c>
      <c r="E410" s="436"/>
      <c r="F410" s="475"/>
      <c r="G410" s="436"/>
      <c r="H410" s="436"/>
      <c r="I410" s="436"/>
      <c r="J410" s="436"/>
      <c r="K410" s="436"/>
      <c r="L410" s="436"/>
      <c r="M410" s="436"/>
      <c r="N410" s="436"/>
      <c r="O410" s="436"/>
      <c r="P410" s="436"/>
      <c r="Q410" s="436"/>
    </row>
    <row r="411" spans="1:17" s="408" customFormat="1" x14ac:dyDescent="0.25">
      <c r="A411" s="455">
        <v>13</v>
      </c>
      <c r="B411" s="436" t="s">
        <v>518</v>
      </c>
      <c r="C411" s="436" t="s">
        <v>607</v>
      </c>
      <c r="D411" s="440">
        <v>331</v>
      </c>
      <c r="E411" s="436"/>
      <c r="F411" s="525"/>
      <c r="G411" s="436"/>
      <c r="H411" s="436"/>
      <c r="I411" s="436"/>
      <c r="J411" s="436"/>
      <c r="K411" s="436"/>
      <c r="L411" s="436"/>
      <c r="M411" s="436"/>
      <c r="N411" s="436"/>
      <c r="O411" s="436"/>
      <c r="P411" s="436"/>
      <c r="Q411" s="436"/>
    </row>
    <row r="412" spans="1:17" s="408" customFormat="1" x14ac:dyDescent="0.25">
      <c r="A412" s="455">
        <v>14</v>
      </c>
      <c r="B412" s="436" t="s">
        <v>519</v>
      </c>
      <c r="C412" s="436" t="s">
        <v>608</v>
      </c>
      <c r="D412" s="440">
        <v>331</v>
      </c>
      <c r="E412" s="436"/>
      <c r="F412" s="525"/>
      <c r="G412" s="436"/>
      <c r="H412" s="436"/>
      <c r="I412" s="436"/>
      <c r="J412" s="436"/>
      <c r="K412" s="436"/>
      <c r="L412" s="436"/>
      <c r="M412" s="436"/>
      <c r="N412" s="436"/>
      <c r="O412" s="436"/>
      <c r="P412" s="436"/>
      <c r="Q412" s="436"/>
    </row>
    <row r="413" spans="1:17" s="408" customFormat="1" x14ac:dyDescent="0.25">
      <c r="A413" s="455">
        <v>15</v>
      </c>
      <c r="B413" s="436" t="s">
        <v>520</v>
      </c>
      <c r="C413" s="436" t="s">
        <v>609</v>
      </c>
      <c r="D413" s="440">
        <v>331</v>
      </c>
      <c r="E413" s="436"/>
      <c r="F413" s="525"/>
      <c r="G413" s="436"/>
      <c r="H413" s="436"/>
      <c r="I413" s="436"/>
      <c r="J413" s="436"/>
      <c r="K413" s="436"/>
      <c r="L413" s="436"/>
      <c r="M413" s="436"/>
      <c r="N413" s="436"/>
      <c r="O413" s="436"/>
      <c r="P413" s="436"/>
      <c r="Q413" s="436"/>
    </row>
    <row r="414" spans="1:17" s="408" customFormat="1" x14ac:dyDescent="0.25">
      <c r="A414" s="455">
        <v>16</v>
      </c>
      <c r="B414" s="436" t="s">
        <v>521</v>
      </c>
      <c r="C414" s="436" t="s">
        <v>610</v>
      </c>
      <c r="D414" s="440">
        <v>331</v>
      </c>
      <c r="E414" s="436"/>
      <c r="F414" s="525"/>
      <c r="G414" s="436"/>
      <c r="H414" s="436"/>
      <c r="I414" s="436"/>
      <c r="J414" s="436"/>
      <c r="K414" s="436"/>
      <c r="L414" s="436"/>
      <c r="M414" s="436"/>
      <c r="N414" s="436"/>
      <c r="O414" s="436"/>
      <c r="P414" s="436"/>
      <c r="Q414" s="436"/>
    </row>
    <row r="415" spans="1:17" s="408" customFormat="1" x14ac:dyDescent="0.25">
      <c r="A415" s="455">
        <v>17</v>
      </c>
      <c r="B415" s="436" t="s">
        <v>522</v>
      </c>
      <c r="C415" s="436" t="s">
        <v>611</v>
      </c>
      <c r="D415" s="440">
        <v>331</v>
      </c>
      <c r="E415" s="436"/>
      <c r="F415" s="525"/>
      <c r="G415" s="436"/>
      <c r="H415" s="436"/>
      <c r="I415" s="436"/>
      <c r="J415" s="436"/>
      <c r="K415" s="436"/>
      <c r="L415" s="436"/>
      <c r="M415" s="436"/>
      <c r="N415" s="436"/>
      <c r="O415" s="436"/>
      <c r="P415" s="436"/>
      <c r="Q415" s="436"/>
    </row>
    <row r="416" spans="1:17" s="408" customFormat="1" x14ac:dyDescent="0.25">
      <c r="A416" s="455">
        <v>18</v>
      </c>
      <c r="B416" s="436" t="s">
        <v>523</v>
      </c>
      <c r="C416" s="436" t="s">
        <v>612</v>
      </c>
      <c r="D416" s="440">
        <v>331</v>
      </c>
      <c r="E416" s="436"/>
      <c r="F416" s="525"/>
      <c r="G416" s="436"/>
      <c r="H416" s="436"/>
      <c r="I416" s="436"/>
      <c r="J416" s="436"/>
      <c r="K416" s="436"/>
      <c r="L416" s="436"/>
      <c r="M416" s="436"/>
      <c r="N416" s="436"/>
      <c r="O416" s="436"/>
      <c r="P416" s="436"/>
      <c r="Q416" s="436"/>
    </row>
    <row r="417" spans="1:17" s="408" customFormat="1" x14ac:dyDescent="0.25">
      <c r="A417" s="455">
        <v>19</v>
      </c>
      <c r="B417" s="472" t="s">
        <v>613</v>
      </c>
      <c r="C417" s="472" t="s">
        <v>614</v>
      </c>
      <c r="D417" s="440">
        <v>331</v>
      </c>
      <c r="E417" s="436"/>
      <c r="F417" s="525"/>
      <c r="G417" s="436"/>
      <c r="H417" s="436"/>
      <c r="I417" s="436"/>
      <c r="J417" s="436"/>
      <c r="K417" s="436"/>
      <c r="L417" s="436"/>
      <c r="M417" s="436"/>
      <c r="N417" s="436"/>
      <c r="O417" s="436"/>
      <c r="P417" s="436"/>
      <c r="Q417" s="436"/>
    </row>
    <row r="418" spans="1:17" s="408" customFormat="1" x14ac:dyDescent="0.25">
      <c r="A418" s="455">
        <v>20</v>
      </c>
      <c r="B418" s="436" t="s">
        <v>524</v>
      </c>
      <c r="C418" s="436" t="s">
        <v>615</v>
      </c>
      <c r="D418" s="440">
        <v>331</v>
      </c>
      <c r="E418" s="436"/>
      <c r="F418" s="525"/>
      <c r="G418" s="436"/>
      <c r="H418" s="436"/>
      <c r="I418" s="436"/>
      <c r="J418" s="436"/>
      <c r="K418" s="436"/>
      <c r="L418" s="436"/>
      <c r="M418" s="436"/>
      <c r="N418" s="436"/>
      <c r="O418" s="436"/>
      <c r="P418" s="436"/>
      <c r="Q418" s="436"/>
    </row>
    <row r="419" spans="1:17" s="408" customFormat="1" x14ac:dyDescent="0.25">
      <c r="A419" s="455">
        <v>21</v>
      </c>
      <c r="B419" s="436" t="s">
        <v>525</v>
      </c>
      <c r="C419" s="436" t="s">
        <v>616</v>
      </c>
      <c r="D419" s="440">
        <v>331</v>
      </c>
      <c r="E419" s="436"/>
      <c r="F419" s="525"/>
      <c r="G419" s="436"/>
      <c r="H419" s="436"/>
      <c r="I419" s="436"/>
      <c r="J419" s="436"/>
      <c r="K419" s="436"/>
      <c r="L419" s="436"/>
      <c r="M419" s="436"/>
      <c r="N419" s="436"/>
      <c r="O419" s="436"/>
      <c r="P419" s="436"/>
      <c r="Q419" s="436"/>
    </row>
    <row r="420" spans="1:17" s="408" customFormat="1" x14ac:dyDescent="0.25">
      <c r="A420" s="455">
        <v>22</v>
      </c>
      <c r="B420" s="436" t="s">
        <v>526</v>
      </c>
      <c r="C420" s="436" t="s">
        <v>617</v>
      </c>
      <c r="D420" s="440">
        <v>331</v>
      </c>
      <c r="E420" s="436"/>
      <c r="F420" s="525"/>
      <c r="G420" s="436"/>
      <c r="H420" s="436"/>
      <c r="I420" s="436"/>
      <c r="J420" s="436"/>
      <c r="K420" s="436"/>
      <c r="L420" s="436"/>
      <c r="M420" s="436"/>
      <c r="N420" s="436"/>
      <c r="O420" s="436"/>
      <c r="P420" s="436"/>
      <c r="Q420" s="436"/>
    </row>
    <row r="421" spans="1:17" s="408" customFormat="1" x14ac:dyDescent="0.25">
      <c r="A421" s="514"/>
      <c r="B421" s="445"/>
      <c r="C421" s="445"/>
      <c r="D421" s="445"/>
      <c r="E421" s="445"/>
      <c r="F421" s="449"/>
      <c r="G421" s="445"/>
      <c r="H421" s="445"/>
      <c r="I421" s="445"/>
      <c r="J421" s="445"/>
      <c r="K421" s="445"/>
      <c r="L421" s="445"/>
      <c r="M421" s="445"/>
      <c r="N421" s="445"/>
      <c r="O421" s="445"/>
      <c r="P421" s="445"/>
      <c r="Q421" s="445"/>
    </row>
    <row r="422" spans="1:17" s="408" customFormat="1" x14ac:dyDescent="0.25">
      <c r="A422" s="491" t="s">
        <v>581</v>
      </c>
      <c r="B422" s="424" t="s">
        <v>582</v>
      </c>
      <c r="C422" s="424"/>
      <c r="D422" s="493"/>
      <c r="E422" s="493"/>
      <c r="F422" s="532" t="s">
        <v>475</v>
      </c>
      <c r="G422" s="532" t="s">
        <v>476</v>
      </c>
      <c r="H422" s="532" t="s">
        <v>477</v>
      </c>
      <c r="I422" s="532" t="s">
        <v>478</v>
      </c>
      <c r="J422" s="532" t="s">
        <v>479</v>
      </c>
      <c r="K422" s="532" t="s">
        <v>480</v>
      </c>
      <c r="L422" s="532" t="s">
        <v>481</v>
      </c>
      <c r="M422" s="532" t="s">
        <v>482</v>
      </c>
      <c r="N422" s="532" t="s">
        <v>483</v>
      </c>
      <c r="O422" s="532" t="s">
        <v>484</v>
      </c>
      <c r="P422" s="532" t="s">
        <v>485</v>
      </c>
      <c r="Q422" s="532" t="s">
        <v>486</v>
      </c>
    </row>
    <row r="423" spans="1:17" s="408" customFormat="1" x14ac:dyDescent="0.25">
      <c r="A423" s="508"/>
      <c r="B423" s="548" t="s">
        <v>583</v>
      </c>
      <c r="C423" s="548"/>
      <c r="D423" s="549"/>
      <c r="E423" s="436"/>
      <c r="F423" s="462"/>
      <c r="G423" s="501"/>
      <c r="H423" s="501"/>
      <c r="I423" s="501"/>
      <c r="J423" s="501"/>
      <c r="K423" s="501"/>
      <c r="L423" s="501"/>
      <c r="M423" s="501"/>
      <c r="N423" s="501"/>
      <c r="O423" s="501"/>
      <c r="P423" s="501"/>
      <c r="Q423" s="501"/>
    </row>
    <row r="424" spans="1:17" s="408" customFormat="1" x14ac:dyDescent="0.25">
      <c r="A424" s="455">
        <v>1</v>
      </c>
      <c r="B424" s="544" t="s">
        <v>490</v>
      </c>
      <c r="C424" s="544" t="s">
        <v>594</v>
      </c>
      <c r="D424" s="440">
        <v>128</v>
      </c>
      <c r="E424" s="436"/>
      <c r="F424" s="475"/>
      <c r="G424" s="436"/>
      <c r="H424" s="436"/>
      <c r="I424" s="436"/>
      <c r="J424" s="436"/>
      <c r="K424" s="436"/>
      <c r="L424" s="436"/>
      <c r="M424" s="436"/>
      <c r="N424" s="436"/>
      <c r="O424" s="436"/>
      <c r="P424" s="436"/>
      <c r="Q424" s="436"/>
    </row>
    <row r="425" spans="1:17" s="408" customFormat="1" x14ac:dyDescent="0.25">
      <c r="A425" s="455">
        <v>2</v>
      </c>
      <c r="B425" s="467" t="s">
        <v>499</v>
      </c>
      <c r="C425" s="467" t="s">
        <v>595</v>
      </c>
      <c r="D425" s="440">
        <v>128</v>
      </c>
      <c r="E425" s="436"/>
      <c r="F425" s="475"/>
      <c r="G425" s="436"/>
      <c r="H425" s="436"/>
      <c r="I425" s="436"/>
      <c r="J425" s="436"/>
      <c r="K425" s="436"/>
      <c r="L425" s="436"/>
      <c r="M425" s="436"/>
      <c r="N425" s="436"/>
      <c r="O425" s="436"/>
      <c r="P425" s="436"/>
      <c r="Q425" s="436"/>
    </row>
    <row r="426" spans="1:17" s="408" customFormat="1" x14ac:dyDescent="0.25">
      <c r="A426" s="455">
        <v>3</v>
      </c>
      <c r="B426" s="544" t="s">
        <v>504</v>
      </c>
      <c r="C426" s="544" t="s">
        <v>596</v>
      </c>
      <c r="D426" s="440">
        <v>128</v>
      </c>
      <c r="E426" s="436"/>
      <c r="F426" s="475"/>
      <c r="G426" s="436"/>
      <c r="H426" s="436"/>
      <c r="I426" s="436"/>
      <c r="J426" s="436"/>
      <c r="K426" s="436"/>
      <c r="L426" s="436"/>
      <c r="M426" s="436"/>
      <c r="N426" s="436"/>
      <c r="O426" s="436"/>
      <c r="P426" s="436"/>
      <c r="Q426" s="436"/>
    </row>
    <row r="427" spans="1:17" s="408" customFormat="1" x14ac:dyDescent="0.25">
      <c r="A427" s="455">
        <v>4</v>
      </c>
      <c r="B427" s="544" t="s">
        <v>506</v>
      </c>
      <c r="C427" s="544" t="s">
        <v>597</v>
      </c>
      <c r="D427" s="440">
        <v>128</v>
      </c>
      <c r="E427" s="436"/>
      <c r="F427" s="475"/>
      <c r="G427" s="436"/>
      <c r="H427" s="436"/>
      <c r="I427" s="436"/>
      <c r="J427" s="436"/>
      <c r="K427" s="436"/>
      <c r="L427" s="436"/>
      <c r="M427" s="436"/>
      <c r="N427" s="436"/>
      <c r="O427" s="436"/>
      <c r="P427" s="436"/>
      <c r="Q427" s="436"/>
    </row>
    <row r="428" spans="1:17" s="408" customFormat="1" x14ac:dyDescent="0.25">
      <c r="A428" s="455">
        <v>5</v>
      </c>
      <c r="B428" s="544" t="s">
        <v>507</v>
      </c>
      <c r="C428" s="544" t="s">
        <v>598</v>
      </c>
      <c r="D428" s="440">
        <v>128</v>
      </c>
      <c r="E428" s="436"/>
      <c r="F428" s="475"/>
      <c r="G428" s="436"/>
      <c r="H428" s="436"/>
      <c r="I428" s="436"/>
      <c r="J428" s="436"/>
      <c r="K428" s="436"/>
      <c r="L428" s="436"/>
      <c r="M428" s="436"/>
      <c r="N428" s="436"/>
      <c r="O428" s="436"/>
      <c r="P428" s="436"/>
      <c r="Q428" s="436"/>
    </row>
    <row r="429" spans="1:17" s="408" customFormat="1" x14ac:dyDescent="0.25">
      <c r="A429" s="455">
        <v>6</v>
      </c>
      <c r="B429" s="544" t="s">
        <v>509</v>
      </c>
      <c r="C429" s="544" t="s">
        <v>599</v>
      </c>
      <c r="D429" s="440">
        <v>128</v>
      </c>
      <c r="E429" s="436"/>
      <c r="F429" s="475"/>
      <c r="G429" s="436"/>
      <c r="H429" s="436"/>
      <c r="I429" s="436"/>
      <c r="J429" s="436"/>
      <c r="K429" s="436"/>
      <c r="L429" s="436"/>
      <c r="M429" s="436"/>
      <c r="N429" s="436"/>
      <c r="O429" s="436"/>
      <c r="P429" s="436"/>
      <c r="Q429" s="436"/>
    </row>
    <row r="430" spans="1:17" s="408" customFormat="1" x14ac:dyDescent="0.25">
      <c r="A430" s="455">
        <v>7</v>
      </c>
      <c r="B430" s="472" t="s">
        <v>600</v>
      </c>
      <c r="C430" s="472" t="s">
        <v>601</v>
      </c>
      <c r="D430" s="440">
        <v>128</v>
      </c>
      <c r="E430" s="436"/>
      <c r="F430" s="475"/>
      <c r="G430" s="436"/>
      <c r="H430" s="436"/>
      <c r="I430" s="436"/>
      <c r="J430" s="436"/>
      <c r="K430" s="436"/>
      <c r="L430" s="436"/>
      <c r="M430" s="436"/>
      <c r="N430" s="436"/>
      <c r="O430" s="436"/>
      <c r="P430" s="436"/>
      <c r="Q430" s="436"/>
    </row>
    <row r="431" spans="1:17" s="408" customFormat="1" x14ac:dyDescent="0.25">
      <c r="A431" s="455">
        <v>8</v>
      </c>
      <c r="B431" s="544" t="s">
        <v>512</v>
      </c>
      <c r="C431" s="544" t="s">
        <v>602</v>
      </c>
      <c r="D431" s="440">
        <v>128</v>
      </c>
      <c r="E431" s="436"/>
      <c r="F431" s="475"/>
      <c r="G431" s="436"/>
      <c r="H431" s="436"/>
      <c r="I431" s="436"/>
      <c r="J431" s="436"/>
      <c r="K431" s="436"/>
      <c r="L431" s="436"/>
      <c r="M431" s="436"/>
      <c r="N431" s="436"/>
      <c r="O431" s="436"/>
      <c r="P431" s="436"/>
      <c r="Q431" s="436"/>
    </row>
    <row r="432" spans="1:17" s="408" customFormat="1" x14ac:dyDescent="0.25">
      <c r="A432" s="455">
        <v>9</v>
      </c>
      <c r="B432" s="544" t="s">
        <v>514</v>
      </c>
      <c r="C432" s="544" t="s">
        <v>603</v>
      </c>
      <c r="D432" s="440">
        <v>128</v>
      </c>
      <c r="E432" s="436"/>
      <c r="F432" s="475"/>
      <c r="G432" s="436"/>
      <c r="H432" s="436"/>
      <c r="I432" s="436"/>
      <c r="J432" s="436"/>
      <c r="K432" s="436"/>
      <c r="L432" s="436"/>
      <c r="M432" s="436"/>
      <c r="N432" s="436"/>
      <c r="O432" s="436"/>
      <c r="P432" s="436"/>
      <c r="Q432" s="436"/>
    </row>
    <row r="433" spans="1:17" s="408" customFormat="1" x14ac:dyDescent="0.25">
      <c r="A433" s="455">
        <v>10</v>
      </c>
      <c r="B433" s="544" t="s">
        <v>515</v>
      </c>
      <c r="C433" s="544" t="s">
        <v>604</v>
      </c>
      <c r="D433" s="440">
        <v>128</v>
      </c>
      <c r="E433" s="436"/>
      <c r="F433" s="475"/>
      <c r="G433" s="436"/>
      <c r="H433" s="436"/>
      <c r="I433" s="436"/>
      <c r="J433" s="436"/>
      <c r="K433" s="436"/>
      <c r="L433" s="436"/>
      <c r="M433" s="436"/>
      <c r="N433" s="436"/>
      <c r="O433" s="436"/>
      <c r="P433" s="436"/>
      <c r="Q433" s="436"/>
    </row>
    <row r="434" spans="1:17" s="408" customFormat="1" x14ac:dyDescent="0.25">
      <c r="A434" s="455">
        <v>11</v>
      </c>
      <c r="B434" s="544" t="s">
        <v>516</v>
      </c>
      <c r="C434" s="544" t="s">
        <v>605</v>
      </c>
      <c r="D434" s="440">
        <v>128</v>
      </c>
      <c r="E434" s="436"/>
      <c r="F434" s="475"/>
      <c r="G434" s="436"/>
      <c r="H434" s="436"/>
      <c r="I434" s="436"/>
      <c r="J434" s="436"/>
      <c r="K434" s="436"/>
      <c r="L434" s="436"/>
      <c r="M434" s="436"/>
      <c r="N434" s="436"/>
      <c r="O434" s="436"/>
      <c r="P434" s="436"/>
      <c r="Q434" s="436"/>
    </row>
    <row r="435" spans="1:17" s="408" customFormat="1" x14ac:dyDescent="0.25">
      <c r="A435" s="455">
        <v>12</v>
      </c>
      <c r="B435" s="544" t="s">
        <v>517</v>
      </c>
      <c r="C435" s="544" t="s">
        <v>606</v>
      </c>
      <c r="D435" s="440">
        <v>128</v>
      </c>
      <c r="E435" s="436"/>
      <c r="F435" s="475"/>
      <c r="G435" s="436"/>
      <c r="H435" s="436"/>
      <c r="I435" s="436"/>
      <c r="J435" s="436"/>
      <c r="K435" s="436"/>
      <c r="L435" s="436"/>
      <c r="M435" s="436"/>
      <c r="N435" s="436"/>
      <c r="O435" s="436"/>
      <c r="P435" s="436"/>
      <c r="Q435" s="436"/>
    </row>
    <row r="436" spans="1:17" s="408" customFormat="1" x14ac:dyDescent="0.25">
      <c r="A436" s="455">
        <v>13</v>
      </c>
      <c r="B436" s="544" t="s">
        <v>518</v>
      </c>
      <c r="C436" s="544" t="s">
        <v>607</v>
      </c>
      <c r="D436" s="440">
        <v>128</v>
      </c>
      <c r="E436" s="436"/>
      <c r="F436" s="475"/>
      <c r="G436" s="436"/>
      <c r="H436" s="436"/>
      <c r="I436" s="436"/>
      <c r="J436" s="436"/>
      <c r="K436" s="436"/>
      <c r="L436" s="436"/>
      <c r="M436" s="436"/>
      <c r="N436" s="436"/>
      <c r="O436" s="436"/>
      <c r="P436" s="436"/>
      <c r="Q436" s="436"/>
    </row>
    <row r="437" spans="1:17" s="408" customFormat="1" x14ac:dyDescent="0.25">
      <c r="A437" s="455">
        <v>14</v>
      </c>
      <c r="B437" s="544" t="s">
        <v>519</v>
      </c>
      <c r="C437" s="544" t="s">
        <v>608</v>
      </c>
      <c r="D437" s="440">
        <v>128</v>
      </c>
      <c r="E437" s="436"/>
      <c r="F437" s="475"/>
      <c r="G437" s="436"/>
      <c r="H437" s="436"/>
      <c r="I437" s="436"/>
      <c r="J437" s="436"/>
      <c r="K437" s="436"/>
      <c r="L437" s="436"/>
      <c r="M437" s="436"/>
      <c r="N437" s="436"/>
      <c r="O437" s="436"/>
      <c r="P437" s="436"/>
      <c r="Q437" s="436"/>
    </row>
    <row r="438" spans="1:17" s="408" customFormat="1" x14ac:dyDescent="0.25">
      <c r="A438" s="455">
        <v>15</v>
      </c>
      <c r="B438" s="544" t="s">
        <v>520</v>
      </c>
      <c r="C438" s="544" t="s">
        <v>609</v>
      </c>
      <c r="D438" s="440">
        <v>128</v>
      </c>
      <c r="E438" s="436"/>
      <c r="F438" s="475"/>
      <c r="G438" s="436"/>
      <c r="H438" s="436"/>
      <c r="I438" s="436"/>
      <c r="J438" s="436"/>
      <c r="K438" s="436"/>
      <c r="L438" s="436"/>
      <c r="M438" s="436"/>
      <c r="N438" s="436"/>
      <c r="O438" s="436"/>
      <c r="P438" s="436"/>
      <c r="Q438" s="436"/>
    </row>
    <row r="439" spans="1:17" s="408" customFormat="1" x14ac:dyDescent="0.25">
      <c r="A439" s="455">
        <v>16</v>
      </c>
      <c r="B439" s="544" t="s">
        <v>521</v>
      </c>
      <c r="C439" s="544" t="s">
        <v>610</v>
      </c>
      <c r="D439" s="440">
        <v>128</v>
      </c>
      <c r="E439" s="436"/>
      <c r="F439" s="475"/>
      <c r="G439" s="436"/>
      <c r="H439" s="436"/>
      <c r="I439" s="436"/>
      <c r="J439" s="436"/>
      <c r="K439" s="436"/>
      <c r="L439" s="436"/>
      <c r="M439" s="436"/>
      <c r="N439" s="436"/>
      <c r="O439" s="436"/>
      <c r="P439" s="436"/>
      <c r="Q439" s="436"/>
    </row>
    <row r="440" spans="1:17" s="408" customFormat="1" x14ac:dyDescent="0.25">
      <c r="A440" s="455">
        <v>17</v>
      </c>
      <c r="B440" s="544" t="s">
        <v>522</v>
      </c>
      <c r="C440" s="544" t="s">
        <v>611</v>
      </c>
      <c r="D440" s="440">
        <v>128</v>
      </c>
      <c r="E440" s="436"/>
      <c r="F440" s="475"/>
      <c r="G440" s="436"/>
      <c r="H440" s="436"/>
      <c r="I440" s="436"/>
      <c r="J440" s="436"/>
      <c r="K440" s="436"/>
      <c r="L440" s="436"/>
      <c r="M440" s="436"/>
      <c r="N440" s="436"/>
      <c r="O440" s="436"/>
      <c r="P440" s="436"/>
      <c r="Q440" s="436"/>
    </row>
    <row r="441" spans="1:17" s="408" customFormat="1" x14ac:dyDescent="0.25">
      <c r="A441" s="455">
        <v>18</v>
      </c>
      <c r="B441" s="544" t="s">
        <v>523</v>
      </c>
      <c r="C441" s="544" t="s">
        <v>612</v>
      </c>
      <c r="D441" s="440">
        <v>128</v>
      </c>
      <c r="E441" s="436"/>
      <c r="F441" s="475"/>
      <c r="G441" s="436"/>
      <c r="H441" s="436"/>
      <c r="I441" s="436"/>
      <c r="J441" s="436"/>
      <c r="K441" s="436"/>
      <c r="L441" s="436"/>
      <c r="M441" s="436"/>
      <c r="N441" s="436"/>
      <c r="O441" s="436"/>
      <c r="P441" s="436"/>
      <c r="Q441" s="436"/>
    </row>
    <row r="442" spans="1:17" s="408" customFormat="1" x14ac:dyDescent="0.25">
      <c r="A442" s="455">
        <v>19</v>
      </c>
      <c r="B442" s="472" t="s">
        <v>613</v>
      </c>
      <c r="C442" s="472" t="s">
        <v>614</v>
      </c>
      <c r="D442" s="440">
        <v>128</v>
      </c>
      <c r="E442" s="436"/>
      <c r="F442" s="475"/>
      <c r="G442" s="436"/>
      <c r="H442" s="436"/>
      <c r="I442" s="436"/>
      <c r="J442" s="436"/>
      <c r="K442" s="436"/>
      <c r="L442" s="436"/>
      <c r="M442" s="436"/>
      <c r="N442" s="436"/>
      <c r="O442" s="436"/>
      <c r="P442" s="436"/>
      <c r="Q442" s="436"/>
    </row>
    <row r="443" spans="1:17" s="408" customFormat="1" x14ac:dyDescent="0.25">
      <c r="A443" s="455">
        <v>20</v>
      </c>
      <c r="B443" s="544" t="s">
        <v>524</v>
      </c>
      <c r="C443" s="544" t="s">
        <v>615</v>
      </c>
      <c r="D443" s="440">
        <v>128</v>
      </c>
      <c r="E443" s="436"/>
      <c r="F443" s="475"/>
      <c r="G443" s="436"/>
      <c r="H443" s="436"/>
      <c r="I443" s="436"/>
      <c r="J443" s="436"/>
      <c r="K443" s="436"/>
      <c r="L443" s="436"/>
      <c r="M443" s="436"/>
      <c r="N443" s="436"/>
      <c r="O443" s="436"/>
      <c r="P443" s="436"/>
      <c r="Q443" s="436"/>
    </row>
    <row r="444" spans="1:17" s="408" customFormat="1" x14ac:dyDescent="0.25">
      <c r="A444" s="455">
        <v>21</v>
      </c>
      <c r="B444" s="544" t="s">
        <v>525</v>
      </c>
      <c r="C444" s="544" t="s">
        <v>616</v>
      </c>
      <c r="D444" s="440">
        <v>128</v>
      </c>
      <c r="E444" s="436"/>
      <c r="F444" s="475"/>
      <c r="G444" s="436"/>
      <c r="H444" s="436"/>
      <c r="I444" s="436"/>
      <c r="J444" s="436"/>
      <c r="K444" s="436"/>
      <c r="L444" s="436"/>
      <c r="M444" s="436"/>
      <c r="N444" s="436"/>
      <c r="O444" s="436"/>
      <c r="P444" s="436"/>
      <c r="Q444" s="436"/>
    </row>
    <row r="445" spans="1:17" s="408" customFormat="1" x14ac:dyDescent="0.25">
      <c r="A445" s="455">
        <v>22</v>
      </c>
      <c r="B445" s="544" t="s">
        <v>526</v>
      </c>
      <c r="C445" s="544" t="s">
        <v>617</v>
      </c>
      <c r="D445" s="440">
        <v>128</v>
      </c>
      <c r="E445" s="436"/>
      <c r="F445" s="475"/>
      <c r="G445" s="436"/>
      <c r="H445" s="436"/>
      <c r="I445" s="436"/>
      <c r="J445" s="436"/>
      <c r="K445" s="436"/>
      <c r="L445" s="436"/>
      <c r="M445" s="436"/>
      <c r="N445" s="436"/>
      <c r="O445" s="436"/>
      <c r="P445" s="436"/>
      <c r="Q445" s="436"/>
    </row>
    <row r="446" spans="1:17" s="408" customFormat="1" x14ac:dyDescent="0.25">
      <c r="A446" s="455"/>
      <c r="B446" s="544"/>
      <c r="C446" s="544"/>
      <c r="D446" s="440"/>
      <c r="E446" s="436"/>
      <c r="F446" s="475"/>
      <c r="G446" s="436"/>
      <c r="H446" s="436"/>
      <c r="I446" s="436"/>
      <c r="J446" s="436"/>
      <c r="K446" s="436"/>
      <c r="L446" s="436"/>
      <c r="M446" s="436"/>
      <c r="N446" s="436"/>
      <c r="O446" s="436"/>
      <c r="P446" s="436"/>
      <c r="Q446" s="436"/>
    </row>
    <row r="447" spans="1:17" s="408" customFormat="1" x14ac:dyDescent="0.25">
      <c r="A447" s="508"/>
      <c r="B447" s="548" t="s">
        <v>584</v>
      </c>
      <c r="C447" s="548"/>
      <c r="D447" s="549"/>
      <c r="E447" s="436"/>
      <c r="F447" s="454"/>
      <c r="G447" s="436"/>
      <c r="H447" s="436"/>
      <c r="I447" s="436"/>
      <c r="J447" s="436"/>
      <c r="K447" s="436"/>
      <c r="L447" s="436"/>
      <c r="M447" s="436"/>
      <c r="N447" s="436"/>
      <c r="O447" s="436"/>
      <c r="P447" s="436"/>
      <c r="Q447" s="436"/>
    </row>
    <row r="448" spans="1:17" s="408" customFormat="1" x14ac:dyDescent="0.25">
      <c r="A448" s="457"/>
      <c r="B448" s="436" t="s">
        <v>550</v>
      </c>
      <c r="C448" s="436"/>
      <c r="D448" s="440">
        <v>128</v>
      </c>
      <c r="E448" s="439"/>
      <c r="F448" s="475"/>
      <c r="G448" s="436"/>
      <c r="H448" s="436"/>
      <c r="I448" s="436"/>
      <c r="J448" s="436"/>
      <c r="K448" s="436"/>
      <c r="L448" s="436"/>
      <c r="M448" s="436"/>
      <c r="N448" s="436"/>
      <c r="O448" s="436"/>
      <c r="P448" s="436"/>
      <c r="Q448" s="436"/>
    </row>
    <row r="449" spans="1:17" s="408" customFormat="1" x14ac:dyDescent="0.25">
      <c r="A449" s="457"/>
      <c r="B449" s="562"/>
      <c r="C449" s="562"/>
      <c r="D449" s="542"/>
      <c r="E449" s="439"/>
      <c r="F449" s="449"/>
      <c r="G449" s="445"/>
      <c r="H449" s="445"/>
      <c r="I449" s="445"/>
      <c r="J449" s="445"/>
      <c r="K449" s="445"/>
      <c r="L449" s="445"/>
      <c r="M449" s="445"/>
      <c r="N449" s="445"/>
      <c r="O449" s="445"/>
      <c r="P449" s="445"/>
      <c r="Q449" s="445"/>
    </row>
    <row r="450" spans="1:17" s="408" customFormat="1" x14ac:dyDescent="0.25">
      <c r="A450" s="491" t="s">
        <v>585</v>
      </c>
      <c r="B450" s="424" t="s">
        <v>586</v>
      </c>
      <c r="C450" s="424"/>
      <c r="D450" s="493"/>
      <c r="E450" s="493"/>
      <c r="F450" s="532" t="s">
        <v>475</v>
      </c>
      <c r="G450" s="532" t="s">
        <v>476</v>
      </c>
      <c r="H450" s="532" t="s">
        <v>477</v>
      </c>
      <c r="I450" s="532" t="s">
        <v>478</v>
      </c>
      <c r="J450" s="532" t="s">
        <v>479</v>
      </c>
      <c r="K450" s="532" t="s">
        <v>480</v>
      </c>
      <c r="L450" s="532" t="s">
        <v>481</v>
      </c>
      <c r="M450" s="532" t="s">
        <v>482</v>
      </c>
      <c r="N450" s="532" t="s">
        <v>483</v>
      </c>
      <c r="O450" s="532" t="s">
        <v>484</v>
      </c>
      <c r="P450" s="532" t="s">
        <v>485</v>
      </c>
      <c r="Q450" s="532" t="s">
        <v>486</v>
      </c>
    </row>
    <row r="451" spans="1:17" s="408" customFormat="1" x14ac:dyDescent="0.25">
      <c r="A451" s="508"/>
      <c r="B451" s="550" t="s">
        <v>583</v>
      </c>
      <c r="C451" s="550"/>
      <c r="D451" s="548"/>
      <c r="E451" s="436"/>
      <c r="F451" s="462"/>
      <c r="G451" s="501"/>
      <c r="H451" s="501"/>
      <c r="I451" s="501"/>
      <c r="J451" s="501"/>
      <c r="K451" s="501"/>
      <c r="L451" s="501"/>
      <c r="M451" s="501"/>
      <c r="N451" s="501"/>
      <c r="O451" s="501"/>
      <c r="P451" s="501"/>
      <c r="Q451" s="501"/>
    </row>
    <row r="452" spans="1:17" s="408" customFormat="1" x14ac:dyDescent="0.25">
      <c r="A452" s="455">
        <v>1</v>
      </c>
      <c r="B452" s="472" t="s">
        <v>490</v>
      </c>
      <c r="C452" s="472" t="s">
        <v>594</v>
      </c>
      <c r="D452" s="440">
        <v>341</v>
      </c>
      <c r="E452" s="436"/>
      <c r="F452" s="475"/>
      <c r="G452" s="436"/>
      <c r="H452" s="436"/>
      <c r="I452" s="436"/>
      <c r="J452" s="436"/>
      <c r="K452" s="436"/>
      <c r="L452" s="436"/>
      <c r="M452" s="436"/>
      <c r="N452" s="436"/>
      <c r="O452" s="436"/>
      <c r="P452" s="436"/>
      <c r="Q452" s="436"/>
    </row>
    <row r="453" spans="1:17" s="408" customFormat="1" x14ac:dyDescent="0.25">
      <c r="A453" s="455">
        <v>2</v>
      </c>
      <c r="B453" s="467" t="s">
        <v>499</v>
      </c>
      <c r="C453" s="467" t="s">
        <v>595</v>
      </c>
      <c r="D453" s="440">
        <v>341</v>
      </c>
      <c r="E453" s="436"/>
      <c r="F453" s="475"/>
      <c r="G453" s="436"/>
      <c r="H453" s="436"/>
      <c r="I453" s="436"/>
      <c r="J453" s="436"/>
      <c r="K453" s="436"/>
      <c r="L453" s="436"/>
      <c r="M453" s="436"/>
      <c r="N453" s="436"/>
      <c r="O453" s="436"/>
      <c r="P453" s="436"/>
      <c r="Q453" s="436"/>
    </row>
    <row r="454" spans="1:17" s="408" customFormat="1" x14ac:dyDescent="0.25">
      <c r="A454" s="455">
        <v>3</v>
      </c>
      <c r="B454" s="544" t="s">
        <v>504</v>
      </c>
      <c r="C454" s="544" t="s">
        <v>596</v>
      </c>
      <c r="D454" s="440">
        <v>341</v>
      </c>
      <c r="E454" s="436"/>
      <c r="F454" s="475"/>
      <c r="G454" s="436"/>
      <c r="H454" s="436"/>
      <c r="I454" s="436"/>
      <c r="J454" s="436"/>
      <c r="K454" s="436"/>
      <c r="L454" s="436"/>
      <c r="M454" s="436"/>
      <c r="N454" s="436"/>
      <c r="O454" s="436"/>
      <c r="P454" s="436"/>
      <c r="Q454" s="436"/>
    </row>
    <row r="455" spans="1:17" s="408" customFormat="1" x14ac:dyDescent="0.25">
      <c r="A455" s="455">
        <v>4</v>
      </c>
      <c r="B455" s="544" t="s">
        <v>506</v>
      </c>
      <c r="C455" s="544" t="s">
        <v>597</v>
      </c>
      <c r="D455" s="440">
        <v>341</v>
      </c>
      <c r="E455" s="436"/>
      <c r="F455" s="475"/>
      <c r="G455" s="436"/>
      <c r="H455" s="436"/>
      <c r="I455" s="436"/>
      <c r="J455" s="436"/>
      <c r="K455" s="436"/>
      <c r="L455" s="436"/>
      <c r="M455" s="436"/>
      <c r="N455" s="436"/>
      <c r="O455" s="436"/>
      <c r="P455" s="436"/>
      <c r="Q455" s="436"/>
    </row>
    <row r="456" spans="1:17" s="408" customFormat="1" x14ac:dyDescent="0.25">
      <c r="A456" s="455">
        <v>5</v>
      </c>
      <c r="B456" s="544" t="s">
        <v>507</v>
      </c>
      <c r="C456" s="544" t="s">
        <v>598</v>
      </c>
      <c r="D456" s="440">
        <v>341</v>
      </c>
      <c r="E456" s="436"/>
      <c r="F456" s="475"/>
      <c r="G456" s="436"/>
      <c r="H456" s="436"/>
      <c r="I456" s="436"/>
      <c r="J456" s="436"/>
      <c r="K456" s="436"/>
      <c r="L456" s="436"/>
      <c r="M456" s="436"/>
      <c r="N456" s="436"/>
      <c r="O456" s="436"/>
      <c r="P456" s="436"/>
      <c r="Q456" s="436"/>
    </row>
    <row r="457" spans="1:17" s="408" customFormat="1" x14ac:dyDescent="0.25">
      <c r="A457" s="455">
        <v>6</v>
      </c>
      <c r="B457" s="544" t="s">
        <v>509</v>
      </c>
      <c r="C457" s="544" t="s">
        <v>599</v>
      </c>
      <c r="D457" s="440">
        <v>341</v>
      </c>
      <c r="E457" s="436"/>
      <c r="F457" s="475"/>
      <c r="G457" s="436"/>
      <c r="H457" s="436"/>
      <c r="I457" s="436"/>
      <c r="J457" s="436"/>
      <c r="K457" s="436"/>
      <c r="L457" s="436"/>
      <c r="M457" s="436"/>
      <c r="N457" s="436"/>
      <c r="O457" s="436"/>
      <c r="P457" s="436"/>
      <c r="Q457" s="436"/>
    </row>
    <row r="458" spans="1:17" s="408" customFormat="1" x14ac:dyDescent="0.25">
      <c r="A458" s="455">
        <v>7</v>
      </c>
      <c r="B458" s="472" t="s">
        <v>600</v>
      </c>
      <c r="C458" s="472" t="s">
        <v>601</v>
      </c>
      <c r="D458" s="440">
        <v>341</v>
      </c>
      <c r="E458" s="436"/>
      <c r="F458" s="475"/>
      <c r="G458" s="436"/>
      <c r="H458" s="436"/>
      <c r="I458" s="436"/>
      <c r="J458" s="436"/>
      <c r="K458" s="436"/>
      <c r="L458" s="436"/>
      <c r="M458" s="436"/>
      <c r="N458" s="436"/>
      <c r="O458" s="436"/>
      <c r="P458" s="436"/>
      <c r="Q458" s="436"/>
    </row>
    <row r="459" spans="1:17" s="408" customFormat="1" x14ac:dyDescent="0.25">
      <c r="A459" s="455">
        <v>8</v>
      </c>
      <c r="B459" s="544" t="s">
        <v>512</v>
      </c>
      <c r="C459" s="544" t="s">
        <v>602</v>
      </c>
      <c r="D459" s="440">
        <v>341</v>
      </c>
      <c r="E459" s="436"/>
      <c r="F459" s="475"/>
      <c r="G459" s="436"/>
      <c r="H459" s="436"/>
      <c r="I459" s="436"/>
      <c r="J459" s="436"/>
      <c r="K459" s="436"/>
      <c r="L459" s="436"/>
      <c r="M459" s="436"/>
      <c r="N459" s="436"/>
      <c r="O459" s="436"/>
      <c r="P459" s="436"/>
      <c r="Q459" s="436"/>
    </row>
    <row r="460" spans="1:17" s="408" customFormat="1" x14ac:dyDescent="0.25">
      <c r="A460" s="455">
        <v>9</v>
      </c>
      <c r="B460" s="544" t="s">
        <v>514</v>
      </c>
      <c r="C460" s="544" t="s">
        <v>603</v>
      </c>
      <c r="D460" s="440">
        <v>341</v>
      </c>
      <c r="E460" s="436"/>
      <c r="F460" s="475"/>
      <c r="G460" s="436"/>
      <c r="H460" s="436"/>
      <c r="I460" s="436"/>
      <c r="J460" s="436"/>
      <c r="K460" s="436"/>
      <c r="L460" s="436"/>
      <c r="M460" s="436"/>
      <c r="N460" s="436"/>
      <c r="O460" s="436"/>
      <c r="P460" s="436"/>
      <c r="Q460" s="436"/>
    </row>
    <row r="461" spans="1:17" s="408" customFormat="1" x14ac:dyDescent="0.25">
      <c r="A461" s="455">
        <v>10</v>
      </c>
      <c r="B461" s="544" t="s">
        <v>515</v>
      </c>
      <c r="C461" s="544" t="s">
        <v>604</v>
      </c>
      <c r="D461" s="440">
        <v>341</v>
      </c>
      <c r="E461" s="436"/>
      <c r="F461" s="475"/>
      <c r="G461" s="436"/>
      <c r="H461" s="436"/>
      <c r="I461" s="436"/>
      <c r="J461" s="436"/>
      <c r="K461" s="436"/>
      <c r="L461" s="436"/>
      <c r="M461" s="436"/>
      <c r="N461" s="436"/>
      <c r="O461" s="436"/>
      <c r="P461" s="436"/>
      <c r="Q461" s="436"/>
    </row>
    <row r="462" spans="1:17" s="408" customFormat="1" x14ac:dyDescent="0.25">
      <c r="A462" s="455">
        <v>11</v>
      </c>
      <c r="B462" s="544" t="s">
        <v>516</v>
      </c>
      <c r="C462" s="544" t="s">
        <v>605</v>
      </c>
      <c r="D462" s="440">
        <v>341</v>
      </c>
      <c r="E462" s="436"/>
      <c r="F462" s="475"/>
      <c r="G462" s="436"/>
      <c r="H462" s="436"/>
      <c r="I462" s="436"/>
      <c r="J462" s="436"/>
      <c r="K462" s="436"/>
      <c r="L462" s="436"/>
      <c r="M462" s="436"/>
      <c r="N462" s="436"/>
      <c r="O462" s="436"/>
      <c r="P462" s="436"/>
      <c r="Q462" s="436"/>
    </row>
    <row r="463" spans="1:17" s="408" customFormat="1" x14ac:dyDescent="0.25">
      <c r="A463" s="455">
        <v>12</v>
      </c>
      <c r="B463" s="544" t="s">
        <v>517</v>
      </c>
      <c r="C463" s="544" t="s">
        <v>606</v>
      </c>
      <c r="D463" s="440">
        <v>341</v>
      </c>
      <c r="E463" s="436"/>
      <c r="F463" s="475"/>
      <c r="G463" s="436"/>
      <c r="H463" s="436"/>
      <c r="I463" s="436"/>
      <c r="J463" s="436"/>
      <c r="K463" s="436"/>
      <c r="L463" s="436"/>
      <c r="M463" s="436"/>
      <c r="N463" s="436"/>
      <c r="O463" s="436"/>
      <c r="P463" s="436"/>
      <c r="Q463" s="436"/>
    </row>
    <row r="464" spans="1:17" s="408" customFormat="1" x14ac:dyDescent="0.25">
      <c r="A464" s="455">
        <v>13</v>
      </c>
      <c r="B464" s="544" t="s">
        <v>518</v>
      </c>
      <c r="C464" s="544" t="s">
        <v>607</v>
      </c>
      <c r="D464" s="440">
        <v>341</v>
      </c>
      <c r="E464" s="436"/>
      <c r="F464" s="475"/>
      <c r="G464" s="436"/>
      <c r="H464" s="436"/>
      <c r="I464" s="436"/>
      <c r="J464" s="436"/>
      <c r="K464" s="436"/>
      <c r="L464" s="436"/>
      <c r="M464" s="436"/>
      <c r="N464" s="436"/>
      <c r="O464" s="436"/>
      <c r="P464" s="436"/>
      <c r="Q464" s="436"/>
    </row>
    <row r="465" spans="1:17" s="408" customFormat="1" x14ac:dyDescent="0.25">
      <c r="A465" s="455">
        <v>14</v>
      </c>
      <c r="B465" s="544" t="s">
        <v>519</v>
      </c>
      <c r="C465" s="544" t="s">
        <v>608</v>
      </c>
      <c r="D465" s="440">
        <v>341</v>
      </c>
      <c r="E465" s="436"/>
      <c r="F465" s="475"/>
      <c r="G465" s="436"/>
      <c r="H465" s="436"/>
      <c r="I465" s="436"/>
      <c r="J465" s="436"/>
      <c r="K465" s="436"/>
      <c r="L465" s="436"/>
      <c r="M465" s="436"/>
      <c r="N465" s="436"/>
      <c r="O465" s="436"/>
      <c r="P465" s="436"/>
      <c r="Q465" s="436"/>
    </row>
    <row r="466" spans="1:17" s="408" customFormat="1" x14ac:dyDescent="0.25">
      <c r="A466" s="455">
        <v>15</v>
      </c>
      <c r="B466" s="544" t="s">
        <v>520</v>
      </c>
      <c r="C466" s="544" t="s">
        <v>609</v>
      </c>
      <c r="D466" s="440">
        <v>341</v>
      </c>
      <c r="E466" s="436"/>
      <c r="F466" s="475"/>
      <c r="G466" s="436"/>
      <c r="H466" s="436"/>
      <c r="I466" s="436"/>
      <c r="J466" s="436"/>
      <c r="K466" s="436"/>
      <c r="L466" s="436"/>
      <c r="M466" s="436"/>
      <c r="N466" s="436"/>
      <c r="O466" s="436"/>
      <c r="P466" s="436"/>
      <c r="Q466" s="436"/>
    </row>
    <row r="467" spans="1:17" s="408" customFormat="1" x14ac:dyDescent="0.25">
      <c r="A467" s="455">
        <v>16</v>
      </c>
      <c r="B467" s="544" t="s">
        <v>521</v>
      </c>
      <c r="C467" s="544" t="s">
        <v>610</v>
      </c>
      <c r="D467" s="440">
        <v>341</v>
      </c>
      <c r="E467" s="436"/>
      <c r="F467" s="475"/>
      <c r="G467" s="436"/>
      <c r="H467" s="436"/>
      <c r="I467" s="436"/>
      <c r="J467" s="436"/>
      <c r="K467" s="436"/>
      <c r="L467" s="436"/>
      <c r="M467" s="436"/>
      <c r="N467" s="436"/>
      <c r="O467" s="436"/>
      <c r="P467" s="436"/>
      <c r="Q467" s="436"/>
    </row>
    <row r="468" spans="1:17" s="408" customFormat="1" x14ac:dyDescent="0.25">
      <c r="A468" s="455">
        <v>17</v>
      </c>
      <c r="B468" s="544" t="s">
        <v>522</v>
      </c>
      <c r="C468" s="544" t="s">
        <v>611</v>
      </c>
      <c r="D468" s="440">
        <v>341</v>
      </c>
      <c r="E468" s="436"/>
      <c r="F468" s="475"/>
      <c r="G468" s="436"/>
      <c r="H468" s="436"/>
      <c r="I468" s="436"/>
      <c r="J468" s="436"/>
      <c r="K468" s="436"/>
      <c r="L468" s="436"/>
      <c r="M468" s="436"/>
      <c r="N468" s="436"/>
      <c r="O468" s="436"/>
      <c r="P468" s="436"/>
      <c r="Q468" s="436"/>
    </row>
    <row r="469" spans="1:17" s="408" customFormat="1" x14ac:dyDescent="0.25">
      <c r="A469" s="455">
        <v>18</v>
      </c>
      <c r="B469" s="544" t="s">
        <v>523</v>
      </c>
      <c r="C469" s="544" t="s">
        <v>612</v>
      </c>
      <c r="D469" s="440">
        <v>341</v>
      </c>
      <c r="E469" s="436"/>
      <c r="F469" s="475"/>
      <c r="G469" s="436"/>
      <c r="H469" s="436"/>
      <c r="I469" s="436"/>
      <c r="J469" s="436"/>
      <c r="K469" s="436"/>
      <c r="L469" s="436"/>
      <c r="M469" s="436"/>
      <c r="N469" s="436"/>
      <c r="O469" s="436"/>
      <c r="P469" s="436"/>
      <c r="Q469" s="436"/>
    </row>
    <row r="470" spans="1:17" s="408" customFormat="1" x14ac:dyDescent="0.25">
      <c r="A470" s="455">
        <v>19</v>
      </c>
      <c r="B470" s="472" t="s">
        <v>613</v>
      </c>
      <c r="C470" s="472" t="s">
        <v>614</v>
      </c>
      <c r="D470" s="440">
        <v>341</v>
      </c>
      <c r="E470" s="436"/>
      <c r="F470" s="475"/>
      <c r="G470" s="436"/>
      <c r="H470" s="436"/>
      <c r="I470" s="436"/>
      <c r="J470" s="436"/>
      <c r="K470" s="436"/>
      <c r="L470" s="436"/>
      <c r="M470" s="436"/>
      <c r="N470" s="436"/>
      <c r="O470" s="436"/>
      <c r="P470" s="436"/>
      <c r="Q470" s="436"/>
    </row>
    <row r="471" spans="1:17" s="408" customFormat="1" x14ac:dyDescent="0.25">
      <c r="A471" s="455">
        <v>20</v>
      </c>
      <c r="B471" s="544" t="s">
        <v>524</v>
      </c>
      <c r="C471" s="544" t="s">
        <v>615</v>
      </c>
      <c r="D471" s="440">
        <v>341</v>
      </c>
      <c r="E471" s="436"/>
      <c r="F471" s="475"/>
      <c r="G471" s="436"/>
      <c r="H471" s="436"/>
      <c r="I471" s="436"/>
      <c r="J471" s="436"/>
      <c r="K471" s="436"/>
      <c r="L471" s="436"/>
      <c r="M471" s="436"/>
      <c r="N471" s="436"/>
      <c r="O471" s="436"/>
      <c r="P471" s="436"/>
      <c r="Q471" s="436"/>
    </row>
    <row r="472" spans="1:17" s="408" customFormat="1" x14ac:dyDescent="0.25">
      <c r="A472" s="455">
        <v>21</v>
      </c>
      <c r="B472" s="544" t="s">
        <v>525</v>
      </c>
      <c r="C472" s="544" t="s">
        <v>616</v>
      </c>
      <c r="D472" s="440">
        <v>341</v>
      </c>
      <c r="E472" s="436"/>
      <c r="F472" s="475"/>
      <c r="G472" s="436"/>
      <c r="H472" s="436"/>
      <c r="I472" s="436"/>
      <c r="J472" s="436"/>
      <c r="K472" s="436"/>
      <c r="L472" s="436"/>
      <c r="M472" s="436"/>
      <c r="N472" s="436"/>
      <c r="O472" s="436"/>
      <c r="P472" s="436"/>
      <c r="Q472" s="436"/>
    </row>
    <row r="473" spans="1:17" s="408" customFormat="1" x14ac:dyDescent="0.25">
      <c r="A473" s="455">
        <v>22</v>
      </c>
      <c r="B473" s="544" t="s">
        <v>526</v>
      </c>
      <c r="C473" s="544" t="s">
        <v>617</v>
      </c>
      <c r="D473" s="440">
        <v>341</v>
      </c>
      <c r="E473" s="436"/>
      <c r="F473" s="475"/>
      <c r="G473" s="436"/>
      <c r="H473" s="436"/>
      <c r="I473" s="436"/>
      <c r="J473" s="436"/>
      <c r="K473" s="436"/>
      <c r="L473" s="436"/>
      <c r="M473" s="436"/>
      <c r="N473" s="436"/>
      <c r="O473" s="436"/>
      <c r="P473" s="436"/>
      <c r="Q473" s="436"/>
    </row>
    <row r="474" spans="1:17" s="408" customFormat="1" x14ac:dyDescent="0.25">
      <c r="A474" s="508"/>
      <c r="B474" s="544"/>
      <c r="C474" s="544"/>
      <c r="D474" s="440"/>
      <c r="E474" s="436"/>
      <c r="F474" s="475"/>
      <c r="G474" s="436"/>
      <c r="H474" s="436"/>
      <c r="I474" s="436"/>
      <c r="J474" s="436"/>
      <c r="K474" s="436"/>
      <c r="L474" s="436"/>
      <c r="M474" s="436"/>
      <c r="N474" s="436"/>
      <c r="O474" s="436"/>
      <c r="P474" s="436"/>
      <c r="Q474" s="436"/>
    </row>
    <row r="475" spans="1:17" s="408" customFormat="1" x14ac:dyDescent="0.25">
      <c r="A475" s="508"/>
      <c r="B475" s="550" t="s">
        <v>584</v>
      </c>
      <c r="C475" s="550"/>
      <c r="D475" s="549"/>
      <c r="E475" s="436"/>
      <c r="F475" s="475"/>
      <c r="G475" s="436"/>
      <c r="H475" s="436"/>
      <c r="I475" s="436"/>
      <c r="J475" s="436"/>
      <c r="K475" s="436"/>
      <c r="L475" s="436"/>
      <c r="M475" s="436"/>
      <c r="N475" s="436"/>
      <c r="O475" s="436"/>
      <c r="P475" s="436"/>
      <c r="Q475" s="436"/>
    </row>
    <row r="476" spans="1:17" s="408" customFormat="1" x14ac:dyDescent="0.25">
      <c r="A476" s="508"/>
      <c r="B476" s="544" t="s">
        <v>550</v>
      </c>
      <c r="C476" s="544"/>
      <c r="D476" s="440">
        <v>341</v>
      </c>
      <c r="E476" s="436"/>
      <c r="F476" s="475"/>
      <c r="G476" s="436"/>
      <c r="H476" s="436"/>
      <c r="I476" s="436"/>
      <c r="J476" s="436"/>
      <c r="K476" s="436"/>
      <c r="L476" s="436"/>
      <c r="M476" s="436"/>
      <c r="N476" s="436"/>
      <c r="O476" s="436"/>
      <c r="P476" s="436"/>
      <c r="Q476" s="436"/>
    </row>
    <row r="477" spans="1:17" s="408" customFormat="1" x14ac:dyDescent="0.25">
      <c r="A477" s="508"/>
      <c r="B477" s="544" t="s">
        <v>587</v>
      </c>
      <c r="C477" s="544"/>
      <c r="D477" s="440">
        <v>341</v>
      </c>
      <c r="E477" s="436"/>
      <c r="F477" s="475"/>
      <c r="G477" s="436"/>
      <c r="H477" s="436"/>
      <c r="I477" s="436"/>
      <c r="J477" s="436"/>
      <c r="K477" s="436"/>
      <c r="L477" s="436"/>
      <c r="M477" s="436"/>
      <c r="N477" s="436"/>
      <c r="O477" s="436"/>
      <c r="P477" s="436"/>
      <c r="Q477" s="436"/>
    </row>
    <row r="478" spans="1:17" s="408" customFormat="1" x14ac:dyDescent="0.25">
      <c r="A478" s="551"/>
      <c r="B478" s="540"/>
      <c r="C478" s="540"/>
      <c r="D478" s="445"/>
      <c r="E478" s="445"/>
      <c r="F478" s="449"/>
      <c r="G478" s="445"/>
      <c r="H478" s="445"/>
      <c r="I478" s="445"/>
      <c r="J478" s="445"/>
      <c r="K478" s="445"/>
      <c r="L478" s="445"/>
      <c r="M478" s="445"/>
      <c r="N478" s="445"/>
      <c r="O478" s="445"/>
      <c r="P478" s="445"/>
      <c r="Q478" s="445"/>
    </row>
    <row r="479" spans="1:17" s="408" customFormat="1" x14ac:dyDescent="0.25">
      <c r="A479" s="491" t="s">
        <v>588</v>
      </c>
      <c r="B479" s="424" t="s">
        <v>589</v>
      </c>
      <c r="C479" s="424"/>
      <c r="D479" s="493"/>
      <c r="E479" s="493"/>
      <c r="F479" s="420" t="s">
        <v>475</v>
      </c>
      <c r="G479" s="420" t="s">
        <v>476</v>
      </c>
      <c r="H479" s="420" t="s">
        <v>477</v>
      </c>
      <c r="I479" s="420" t="s">
        <v>478</v>
      </c>
      <c r="J479" s="420" t="s">
        <v>479</v>
      </c>
      <c r="K479" s="420" t="s">
        <v>480</v>
      </c>
      <c r="L479" s="420" t="s">
        <v>481</v>
      </c>
      <c r="M479" s="420" t="s">
        <v>482</v>
      </c>
      <c r="N479" s="420" t="s">
        <v>483</v>
      </c>
      <c r="O479" s="420" t="s">
        <v>484</v>
      </c>
      <c r="P479" s="420" t="s">
        <v>485</v>
      </c>
      <c r="Q479" s="420" t="s">
        <v>486</v>
      </c>
    </row>
    <row r="480" spans="1:17" s="408" customFormat="1" x14ac:dyDescent="0.25">
      <c r="A480" s="570"/>
      <c r="B480" s="556" t="s">
        <v>550</v>
      </c>
      <c r="C480" s="556"/>
      <c r="D480" s="501" t="s">
        <v>590</v>
      </c>
      <c r="E480" s="501"/>
      <c r="F480" s="463"/>
      <c r="G480" s="501"/>
      <c r="H480" s="501"/>
      <c r="I480" s="501"/>
      <c r="J480" s="501"/>
      <c r="K480" s="501"/>
      <c r="L480" s="501"/>
      <c r="M480" s="501"/>
      <c r="N480" s="501"/>
      <c r="O480" s="501"/>
      <c r="P480" s="501"/>
      <c r="Q480" s="501"/>
    </row>
    <row r="481" spans="1:17" s="408" customFormat="1" x14ac:dyDescent="0.25">
      <c r="A481" s="551"/>
      <c r="B481" s="483"/>
      <c r="C481" s="483"/>
      <c r="D481" s="445"/>
      <c r="E481" s="445"/>
      <c r="F481" s="449"/>
      <c r="G481" s="445"/>
      <c r="H481" s="445"/>
      <c r="I481" s="445"/>
      <c r="J481" s="445"/>
      <c r="K481" s="445"/>
      <c r="L481" s="445"/>
      <c r="M481" s="445"/>
      <c r="N481" s="445"/>
      <c r="O481" s="445"/>
      <c r="P481" s="445"/>
      <c r="Q481" s="44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F33AB55D4C32428B0185C3015CD415" ma:contentTypeVersion="3" ma:contentTypeDescription="Create a new document." ma:contentTypeScope="" ma:versionID="ecd092494d94b9c5afa01149f09c00bb">
  <xsd:schema xmlns:xsd="http://www.w3.org/2001/XMLSchema" xmlns:xs="http://www.w3.org/2001/XMLSchema" xmlns:p="http://schemas.microsoft.com/office/2006/metadata/properties" xmlns:ns2="543c1bda-7ab4-496b-90de-e61f6375a792" targetNamespace="http://schemas.microsoft.com/office/2006/metadata/properties" ma:root="true" ma:fieldsID="c3289f7d8f8ce0911a9bc9aa4db0a163" ns2:_="">
    <xsd:import namespace="543c1bda-7ab4-496b-90de-e61f6375a7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c1bda-7ab4-496b-90de-e61f6375a7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A60A05-929F-412B-AB0F-D8973FC215F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17C7530-A66D-4887-9A2F-12FDCA78A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c1bda-7ab4-496b-90de-e61f6375a7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774756-7451-485A-8696-29DD5DD784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Thong tin</vt:lpstr>
      <vt:lpstr>BIA</vt:lpstr>
      <vt:lpstr>Index</vt:lpstr>
      <vt:lpstr>THTC in</vt:lpstr>
      <vt:lpstr>KQKD in</vt:lpstr>
      <vt:lpstr>LCTT_GT in</vt:lpstr>
      <vt:lpstr>Tinh hinh tai chinh</vt:lpstr>
      <vt:lpstr>Ket qua kinh doanh</vt:lpstr>
      <vt:lpstr>Luu chuyen tien te</vt:lpstr>
      <vt:lpstr>KQKD theo yeu to</vt:lpstr>
      <vt:lpstr>No vay</vt:lpstr>
      <vt:lpstr>Giao dich voi BLQ</vt:lpstr>
      <vt:lpstr>'LCTT_GT in'!Print_Titles</vt:lpstr>
      <vt:lpstr>'THTC in'!Print_Titles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Thọ, Trần Hữu</dc:creator>
  <cp:keywords/>
  <dc:description/>
  <cp:lastModifiedBy>Ngân, Lê Thùy</cp:lastModifiedBy>
  <cp:revision/>
  <dcterms:created xsi:type="dcterms:W3CDTF">2025-10-30T04:37:55Z</dcterms:created>
  <dcterms:modified xsi:type="dcterms:W3CDTF">2026-06-06T07:40:08Z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0x01010095F33AB55D4C32428B0185C3015CD415</vt:lpwstr>
  </property>
</Properties>
</file>