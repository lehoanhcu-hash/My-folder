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ata\COO\Giá bán_Thạch\"/>
    </mc:Choice>
  </mc:AlternateContent>
  <xr:revisionPtr revIDLastSave="0" documentId="13_ncr:1_{5FD75329-B691-4AE3-BEED-F1FA8E89B1AB}" xr6:coauthVersionLast="47" xr6:coauthVersionMax="47" xr10:uidLastSave="{00000000-0000-0000-0000-000000000000}"/>
  <bookViews>
    <workbookView xWindow="0" yWindow="360" windowWidth="19420" windowHeight="10300" tabRatio="848" activeTab="7" xr2:uid="{67F768A9-BCA9-47FF-960E-E407AF766A87}"/>
  </bookViews>
  <sheets>
    <sheet name="1. rPET" sheetId="11" r:id="rId1"/>
    <sheet name="2. rHDPE " sheetId="2" r:id="rId2"/>
    <sheet name="3.Vảy HDPE- Ép" sheetId="9" r:id="rId3"/>
    <sheet name="4. rPP " sheetId="10" r:id="rId4"/>
    <sheet name="5. Vảy PP" sheetId="4" r:id="rId5"/>
    <sheet name="6. Hạt phó sản" sheetId="14" r:id="rId6"/>
    <sheet name="rPET- nội bộ " sheetId="7" r:id="rId7"/>
    <sheet name="Tính giá" sheetId="16" r:id="rId8"/>
    <sheet name="KTQT_Trình bày" sheetId="15" r:id="rId9"/>
    <sheet name="Chart giá các năm" sheetId="18" r:id="rId10"/>
    <sheet name="Thach" sheetId="17" r:id="rId11"/>
  </sheets>
  <externalReferences>
    <externalReference r:id="rId12"/>
  </externalReferences>
  <definedNames>
    <definedName name="\T">#REF!</definedName>
    <definedName name="__dao1">#REF!</definedName>
    <definedName name="__dao2">#REF!</definedName>
    <definedName name="__dap2">#REF!</definedName>
    <definedName name="__day1">#REF!</definedName>
    <definedName name="__day2">#REF!</definedName>
    <definedName name="__dbu1">#REF!</definedName>
    <definedName name="__dbu2">#REF!</definedName>
    <definedName name="__doi3">#REF!</definedName>
    <definedName name="__E99999">#REF!</definedName>
    <definedName name="__Jan02">#REF!</definedName>
    <definedName name="__lap1">#REF!</definedName>
    <definedName name="__lap2">#REF!</definedName>
    <definedName name="__vc1">#REF!</definedName>
    <definedName name="__vc2">#REF!</definedName>
    <definedName name="__vc3">#REF!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1CAP002">#REF!</definedName>
    <definedName name="_2STREO7">#REF!</definedName>
    <definedName name="_4GOIC01">#REF!</definedName>
    <definedName name="_4OSLCTT">#REF!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DNCABC">#REF!</definedName>
    <definedName name="_7HDCTBU">#REF!</definedName>
    <definedName name="_7PKTUBU">#REF!</definedName>
    <definedName name="_7TBHT20">#REF!</definedName>
    <definedName name="_7TBHT30">#REF!</definedName>
    <definedName name="_7TDCABC">#REF!</definedName>
    <definedName name="_dao1">#REF!</definedName>
    <definedName name="_dao2">#REF!</definedName>
    <definedName name="_dap2">#REF!</definedName>
    <definedName name="_day1">#REF!</definedName>
    <definedName name="_day2">#REF!</definedName>
    <definedName name="_dbu1">#REF!</definedName>
    <definedName name="_dbu2">#REF!</definedName>
    <definedName name="_doi3">#REF!</definedName>
    <definedName name="_E99999">#REF!</definedName>
    <definedName name="_Fill" hidden="1">#REF!</definedName>
    <definedName name="_Jan02">#REF!</definedName>
    <definedName name="_lap1">#REF!</definedName>
    <definedName name="_lap2">#REF!</definedName>
    <definedName name="_Order1" hidden="1">255</definedName>
    <definedName name="_Order2" hidden="1">255</definedName>
    <definedName name="_Sort" hidden="1">#REF!</definedName>
    <definedName name="_tram" hidden="1">#REF!</definedName>
    <definedName name="_vc1">#REF!</definedName>
    <definedName name="_vc2">#REF!</definedName>
    <definedName name="_vc3">#REF!</definedName>
    <definedName name="A">#REF!</definedName>
    <definedName name="AAA">#REF!</definedName>
    <definedName name="Account">#REF!</definedName>
    <definedName name="All_list">#REF!</definedName>
    <definedName name="anscount" hidden="1">2</definedName>
    <definedName name="AOP">#REF!</definedName>
    <definedName name="AOPP">#REF!</definedName>
    <definedName name="Apr">#REF!</definedName>
    <definedName name="Asset">#REF!</definedName>
    <definedName name="aù0">#REF!</definedName>
    <definedName name="Aug">#REF!</definedName>
    <definedName name="B">#REF!</definedName>
    <definedName name="BarData">#REF!</definedName>
    <definedName name="BLOCK1">#REF!</definedName>
    <definedName name="BLOCK2">#REF!</definedName>
    <definedName name="BLOCK3">#REF!</definedName>
    <definedName name="BOY">#REF!</definedName>
    <definedName name="Brand_Label">#REF!</definedName>
    <definedName name="BREAKDOWN">#REF!</definedName>
    <definedName name="C_">#REF!</definedName>
    <definedName name="cap">#REF!</definedName>
    <definedName name="cap0.7">#REF!</definedName>
    <definedName name="CCNK">#REF!</definedName>
    <definedName name="ChemicalReagent">#REF!</definedName>
    <definedName name="CL">#REF!</definedName>
    <definedName name="CLTMP">#REF!</definedName>
    <definedName name="CLVC">#REF!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kcs">#REF!</definedName>
    <definedName name="cong_nb">#REF!</definedName>
    <definedName name="cong_ngio">#REF!</definedName>
    <definedName name="cong_nv">#REF!</definedName>
    <definedName name="cong_t3">#REF!</definedName>
    <definedName name="cong_t4">#REF!</definedName>
    <definedName name="cong_t5">#REF!</definedName>
    <definedName name="cong_t6">#REF!</definedName>
    <definedName name="cong_tc">#REF!</definedName>
    <definedName name="cong_tm">#REF!</definedName>
    <definedName name="cong_vs">#REF!</definedName>
    <definedName name="cong_xh">#REF!</definedName>
    <definedName name="Contingency">#REF!</definedName>
    <definedName name="COPY">#REF!</definedName>
    <definedName name="COST">#REF!</definedName>
    <definedName name="Cost_Allocation_wage">#REF!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D">#REF!</definedName>
    <definedName name="Dandoc">#REF!</definedName>
    <definedName name="daotd">#REF!</definedName>
    <definedName name="dap">#REF!</definedName>
    <definedName name="daptd">#REF!</definedName>
    <definedName name="Data">#REF!</definedName>
    <definedName name="DATA_DATA2_List">#REF!</definedName>
    <definedName name="Data11">#REF!</definedName>
    <definedName name="Data41">#REF!</definedName>
    <definedName name="_xlnm.Database">#REF!</definedName>
    <definedName name="DDAY">#REF!</definedName>
    <definedName name="ddtt1pnc">#REF!</definedName>
    <definedName name="ddtt1pvl">#REF!</definedName>
    <definedName name="ddtt3pnc">#REF!</definedName>
    <definedName name="ddtt3pvl">#REF!</definedName>
    <definedName name="Dec">#REF!</definedName>
    <definedName name="DL50SEC">#REF!</definedName>
    <definedName name="DLSCM15">#REF!</definedName>
    <definedName name="DLSCM30">#REF!</definedName>
    <definedName name="DLSCM40">#REF!</definedName>
    <definedName name="DLUHT">#REF!</definedName>
    <definedName name="DM">#REF!</definedName>
    <definedName name="dobt">#REF!</definedName>
    <definedName name="Document_array">{"Book1"}</definedName>
    <definedName name="DocumentYear">#REF!</definedName>
    <definedName name="domestic">#REF!</definedName>
    <definedName name="domesticcost">#REF!</definedName>
    <definedName name="domesticcostt">#REF!</definedName>
    <definedName name="domesticostts">#REF!</definedName>
    <definedName name="domestics">#REF!</definedName>
    <definedName name="DONVI">OFFSET(#REF!,1,0,COUNTA(#REF!)-1,5)</definedName>
    <definedName name="DONVIDG">OFFSET(#REF!,COUNTIF(#REF!,"&lt;&gt;0")-1,0,1)</definedName>
    <definedName name="DT">[1]Sheet3!$C$2:$C$26</definedName>
    <definedName name="E">#REF!</definedName>
    <definedName name="Equipmentsupplies">#REF!</definedName>
    <definedName name="Eur">13240</definedName>
    <definedName name="F">#REF!</definedName>
    <definedName name="feb">#REF!</definedName>
    <definedName name="forex">17054</definedName>
    <definedName name="Full">#REF!</definedName>
    <definedName name="G">#REF!</definedName>
    <definedName name="G23_">#REF!</definedName>
    <definedName name="Gas">#REF!</definedName>
    <definedName name="giaca">#REF!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raph_Contract">OFFSET(#REF!,#REF!,COLUMN(#REF!)-COLUMN(#REF!),1,2)</definedName>
    <definedName name="Graph_DA">OFFSET(#REF!,#REF!,COLUMN(#REF!)-COLUMN(#REF!),1,2)</definedName>
    <definedName name="Graph_Discret">OFFSET(#REF!,#REF!,COLUMN(#REF!)-COLUMN(#REF!),1,2)</definedName>
    <definedName name="Graph_growth">OFFSET(#REF!,#REF!,COLUMN(#REF!)-COLUMN(#REF!),1,2)</definedName>
    <definedName name="Graph_growth2">OFFSET(#REF!,#REF!,COLUMN(#REF!)-COLUMN(#REF!),1,2)</definedName>
    <definedName name="Graph_NDisc">OFFSET(#REF!,#REF!,COLUMN(#REF!)-COLUMN(#REF!),1,2)</definedName>
    <definedName name="Graph_Stale">OFFSET(#REF!,#REF!,COLUMN(#REF!)-COLUMN(#REF!),1,2)</definedName>
    <definedName name="Graph_volume">OFFSET(#REF!,#REF!,COLUMN(#REF!)-COLUMN(#REF!),1,2)</definedName>
    <definedName name="Graph_volume2">OFFSET(#REF!,#REF!,COLUMN(#REF!)-COLUMN(#REF!),1,2)</definedName>
    <definedName name="HDCCT">#REF!</definedName>
    <definedName name="HDCD">#REF!</definedName>
    <definedName name="HM">#REF!</definedName>
    <definedName name="HSKK">#REF!</definedName>
    <definedName name="Index">100%</definedName>
    <definedName name="Inflation_WC">#REF!</definedName>
    <definedName name="jan">#REF!</definedName>
    <definedName name="Jul">#REF!</definedName>
    <definedName name="Jun">#REF!</definedName>
    <definedName name="Justification">#REF!</definedName>
    <definedName name="K">#REF!</definedName>
    <definedName name="K_1">#REF!</definedName>
    <definedName name="K_2">#REF!</definedName>
    <definedName name="KCSCM">#REF!</definedName>
    <definedName name="KH">[1]Sheet3!$A$2:$A$26</definedName>
    <definedName name="KVC">#REF!</definedName>
    <definedName name="L">#REF!</definedName>
    <definedName name="Lab_supplies_lists">#REF!</definedName>
    <definedName name="Labsupplieslist">#REF!</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a">#REF!</definedName>
    <definedName name="lapb">#REF!</definedName>
    <definedName name="lapc">#REF!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imcount" hidden="1">1</definedName>
    <definedName name="list">#REF!</definedName>
    <definedName name="Location">#REF!</definedName>
    <definedName name="lVC">#REF!</definedName>
    <definedName name="MADONVI">OFFSET(#REF!,COUNTA(#REF!)-1,0,1)</definedName>
    <definedName name="MajorHeader">#REF!</definedName>
    <definedName name="mar">#REF!</definedName>
    <definedName name="mat">#REF!</definedName>
    <definedName name="may">#REF!</definedName>
    <definedName name="MPETABLE">#REF!</definedName>
    <definedName name="N">[1]Sheet3!$B$2:$B$26</definedName>
    <definedName name="NCcap0.7">#REF!</definedName>
    <definedName name="NCcap1">#REF!</definedName>
    <definedName name="NGANHANG">OFFSET(#REF!,COUNTIF(#REF!,"&lt;&gt;0")-1,0,1)</definedName>
    <definedName name="NGAØY">#REF!</definedName>
    <definedName name="NGAY">OFFSET(#REF!,COUNTA(#REF!)-1,0,1)</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hap">#REF!</definedName>
    <definedName name="NHAP1">#REF!</definedName>
    <definedName name="NHAP2">#REF!</definedName>
    <definedName name="NOIDUNG">OFFSET(#REF!,COUNTA(#REF!)-1,0,1)</definedName>
    <definedName name="Nov">#REF!</definedName>
    <definedName name="NToS">#REF!</definedName>
    <definedName name="Oct">#REF!</definedName>
    <definedName name="OneTwoThree">#REF!</definedName>
    <definedName name="oo">#REF!</definedName>
    <definedName name="ooo">#REF!</definedName>
    <definedName name="Other_Lab_Supplies">#REF!</definedName>
    <definedName name="oversea">#REF!</definedName>
    <definedName name="PackMat">#REF!</definedName>
    <definedName name="PC_LB">#REF!</definedName>
    <definedName name="PG_LB">#REF!</definedName>
    <definedName name="PHUONG" hidden="1">#REF!</definedName>
    <definedName name="_xlnm.Print_Area" localSheetId="0">'1. rPET'!$B:$Q</definedName>
    <definedName name="_xlnm.Print_Area" localSheetId="1">'2. rHDPE '!$A$2:$Q$38</definedName>
    <definedName name="_xlnm.Print_Area" localSheetId="2">'3.Vảy HDPE- Ép'!$A$2:$Q$34</definedName>
    <definedName name="_xlnm.Print_Area" localSheetId="3">'4. rPP '!$B$2:$Q$30</definedName>
    <definedName name="_xlnm.Print_Area" localSheetId="4">'5. Vảy PP'!$B$2:$Q$31</definedName>
    <definedName name="_xlnm.Print_Area" localSheetId="5">'6. Hạt phó sản'!$B$2:$R$39</definedName>
    <definedName name="_xlnm.Print_Area" localSheetId="6">'rPET- nội bộ '!$A$2:$Q$53</definedName>
    <definedName name="Print_Area_MI">#REF!</definedName>
    <definedName name="_xlnm.Print_Titles" localSheetId="6">'rPET- nội bộ '!$6:$8</definedName>
    <definedName name="_xlnm.Print_Titles">#N/A</definedName>
    <definedName name="QUYLUONG">#REF!</definedName>
    <definedName name="RawMat">#REF!</definedName>
    <definedName name="re">#REF!</definedName>
    <definedName name="ree">#REF!</definedName>
    <definedName name="rr">#REF!</definedName>
    <definedName name="SALES">#REF!</definedName>
    <definedName name="sau">#REF!</definedName>
    <definedName name="sdafds">#REF!</definedName>
    <definedName name="SDDL">#REF!</definedName>
    <definedName name="sdgt" hidden="1">#REF!</definedName>
    <definedName name="sencount" hidden="1">1</definedName>
    <definedName name="Sep">#REF!</definedName>
    <definedName name="Sheet1">#REF!</definedName>
    <definedName name="shii">#REF!</definedName>
    <definedName name="SKU">#REF!</definedName>
    <definedName name="SO">OFFSET(#REF!,COUNTA(#REF!)-1,0,1)</definedName>
    <definedName name="Sort" hidden="1">#REF!</definedName>
    <definedName name="SORT_AREA">#REF!</definedName>
    <definedName name="SOTIEN">OFFSET(#REF!,COUNTA(#REF!)-1,0,1)</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ss">#REF!</definedName>
    <definedName name="TAIKHOAN">OFFSET(#REF!,COUNTIF(#REF!,"&lt;&gt;0")-1,0,1)</definedName>
    <definedName name="TAMTINH">#REF!</definedName>
    <definedName name="tdtrnc">#REF!</definedName>
    <definedName name="tdtrvl">#REF!</definedName>
    <definedName name="TG">#REF!</definedName>
    <definedName name="TGxayduong">#REF!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INHTP">OFFSET(#REF!,COUNTIF(#REF!,"&lt;&gt;0")-1,0,1)</definedName>
    <definedName name="tluong">#REF!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ON">#REF!</definedName>
    <definedName name="TOP">#REF!</definedName>
    <definedName name="tram" hidden="1">#REF!</definedName>
    <definedName name="TSSCM">#REF!</definedName>
    <definedName name="TSSlist">#REF!</definedName>
    <definedName name="ttbt">#REF!</definedName>
    <definedName name="ttt">#REF!</definedName>
    <definedName name="tttb">#REF!</definedName>
    <definedName name="vc3.">#REF!</definedName>
    <definedName name="vca">#REF!</definedName>
    <definedName name="vccot">#REF!</definedName>
    <definedName name="vccot.">#REF!</definedName>
    <definedName name="vcdbt">#REF!</definedName>
    <definedName name="vcdc.">#REF!</definedName>
    <definedName name="vcdd">#REF!</definedName>
    <definedName name="vcdt">#REF!</definedName>
    <definedName name="vcdtb">#REF!</definedName>
    <definedName name="vctb">#REF!</definedName>
    <definedName name="vctt">#REF!</definedName>
    <definedName name="VDCLY">#REF!</definedName>
    <definedName name="Vlcap0.7">#REF!</definedName>
    <definedName name="VLcap1">#REF!</definedName>
    <definedName name="WeekNumbers">#REF!</definedName>
    <definedName name="xfconc">#REF!</definedName>
    <definedName name="xfcovl">#REF!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gio">#REF!</definedName>
    <definedName name="xh_nv">#REF!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Yomos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gio">#REF!</definedName>
    <definedName name="yt_nv">#REF!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14" l="1"/>
  <c r="AE98" i="16"/>
  <c r="AD98" i="16"/>
  <c r="AB98" i="16"/>
  <c r="AC98" i="16" s="1"/>
  <c r="Z98" i="16"/>
  <c r="AA98" i="16" s="1"/>
  <c r="X98" i="16"/>
  <c r="Y98" i="16" s="1"/>
  <c r="T98" i="16"/>
  <c r="R98" i="16"/>
  <c r="S98" i="16" s="1"/>
  <c r="AE97" i="16"/>
  <c r="AD97" i="16"/>
  <c r="AB97" i="16"/>
  <c r="AC97" i="16" s="1"/>
  <c r="Z97" i="16"/>
  <c r="AA97" i="16" s="1"/>
  <c r="X97" i="16"/>
  <c r="Y97" i="16" s="1"/>
  <c r="T97" i="16"/>
  <c r="R97" i="16"/>
  <c r="S97" i="16" s="1"/>
  <c r="AE96" i="16"/>
  <c r="AD96" i="16"/>
  <c r="AC96" i="16"/>
  <c r="AB96" i="16"/>
  <c r="Z96" i="16"/>
  <c r="AA96" i="16" s="1"/>
  <c r="X96" i="16"/>
  <c r="Y96" i="16" s="1"/>
  <c r="T96" i="16"/>
  <c r="R96" i="16"/>
  <c r="S96" i="16" s="1"/>
  <c r="AE93" i="16"/>
  <c r="AD93" i="16"/>
  <c r="AB93" i="16"/>
  <c r="AC93" i="16" s="1"/>
  <c r="Z93" i="16"/>
  <c r="AA93" i="16" s="1"/>
  <c r="X93" i="16"/>
  <c r="Y93" i="16" s="1"/>
  <c r="T93" i="16"/>
  <c r="R93" i="16"/>
  <c r="S93" i="16" s="1"/>
  <c r="AE92" i="16"/>
  <c r="AD92" i="16"/>
  <c r="AC92" i="16"/>
  <c r="AB92" i="16"/>
  <c r="Z92" i="16"/>
  <c r="AA92" i="16" s="1"/>
  <c r="X92" i="16"/>
  <c r="Y92" i="16" s="1"/>
  <c r="T92" i="16"/>
  <c r="V92" i="16" s="1"/>
  <c r="R92" i="16"/>
  <c r="S92" i="16" s="1"/>
  <c r="AE88" i="16"/>
  <c r="AD88" i="16"/>
  <c r="AB88" i="16"/>
  <c r="AC88" i="16" s="1"/>
  <c r="Z88" i="16"/>
  <c r="AA88" i="16" s="1"/>
  <c r="X88" i="16"/>
  <c r="Y88" i="16" s="1"/>
  <c r="T88" i="16"/>
  <c r="R88" i="16"/>
  <c r="S88" i="16" s="1"/>
  <c r="AE87" i="16"/>
  <c r="AD87" i="16"/>
  <c r="AC87" i="16"/>
  <c r="AB87" i="16"/>
  <c r="Z87" i="16"/>
  <c r="AA87" i="16" s="1"/>
  <c r="X87" i="16"/>
  <c r="Y87" i="16" s="1"/>
  <c r="T87" i="16"/>
  <c r="R87" i="16"/>
  <c r="S87" i="16" s="1"/>
  <c r="AE86" i="16"/>
  <c r="AD86" i="16"/>
  <c r="AB86" i="16"/>
  <c r="AC86" i="16" s="1"/>
  <c r="Z86" i="16"/>
  <c r="AA86" i="16" s="1"/>
  <c r="X86" i="16"/>
  <c r="Y86" i="16" s="1"/>
  <c r="T86" i="16"/>
  <c r="R86" i="16"/>
  <c r="S86" i="16" s="1"/>
  <c r="AE85" i="16"/>
  <c r="AD85" i="16"/>
  <c r="AC85" i="16"/>
  <c r="AB85" i="16"/>
  <c r="AA85" i="16"/>
  <c r="Z85" i="16"/>
  <c r="X85" i="16"/>
  <c r="Y85" i="16" s="1"/>
  <c r="T85" i="16"/>
  <c r="R85" i="16"/>
  <c r="S85" i="16" s="1"/>
  <c r="AE83" i="16"/>
  <c r="AD83" i="16"/>
  <c r="AB83" i="16"/>
  <c r="AC83" i="16" s="1"/>
  <c r="Z83" i="16"/>
  <c r="AA83" i="16" s="1"/>
  <c r="X83" i="16"/>
  <c r="Y83" i="16" s="1"/>
  <c r="T83" i="16"/>
  <c r="R83" i="16"/>
  <c r="S83" i="16" s="1"/>
  <c r="AE82" i="16"/>
  <c r="AD82" i="16"/>
  <c r="AB82" i="16"/>
  <c r="AC82" i="16" s="1"/>
  <c r="Z82" i="16"/>
  <c r="AA82" i="16" s="1"/>
  <c r="X82" i="16"/>
  <c r="Y82" i="16" s="1"/>
  <c r="T82" i="16"/>
  <c r="R82" i="16"/>
  <c r="S82" i="16" s="1"/>
  <c r="AE81" i="16"/>
  <c r="AD81" i="16"/>
  <c r="AC81" i="16"/>
  <c r="AB81" i="16"/>
  <c r="Z81" i="16"/>
  <c r="AA81" i="16" s="1"/>
  <c r="X81" i="16"/>
  <c r="Y81" i="16" s="1"/>
  <c r="T81" i="16"/>
  <c r="R81" i="16"/>
  <c r="S81" i="16" s="1"/>
  <c r="AE80" i="16"/>
  <c r="AD80" i="16"/>
  <c r="AB80" i="16"/>
  <c r="AC80" i="16" s="1"/>
  <c r="Z80" i="16"/>
  <c r="AA80" i="16" s="1"/>
  <c r="X80" i="16"/>
  <c r="Y80" i="16" s="1"/>
  <c r="T80" i="16"/>
  <c r="R80" i="16"/>
  <c r="S80" i="16" s="1"/>
  <c r="AE79" i="16"/>
  <c r="AD79" i="16"/>
  <c r="AB79" i="16"/>
  <c r="AC79" i="16" s="1"/>
  <c r="AA79" i="16"/>
  <c r="Z79" i="16"/>
  <c r="X79" i="16"/>
  <c r="Y79" i="16" s="1"/>
  <c r="T79" i="16"/>
  <c r="R79" i="16"/>
  <c r="S79" i="16" s="1"/>
  <c r="AE78" i="16"/>
  <c r="AD78" i="16"/>
  <c r="AB78" i="16"/>
  <c r="AC78" i="16" s="1"/>
  <c r="Z78" i="16"/>
  <c r="AA78" i="16" s="1"/>
  <c r="X78" i="16"/>
  <c r="Y78" i="16" s="1"/>
  <c r="T78" i="16"/>
  <c r="V78" i="16" s="1"/>
  <c r="R78" i="16"/>
  <c r="S78" i="16" s="1"/>
  <c r="AE77" i="16"/>
  <c r="AD77" i="16"/>
  <c r="AB77" i="16"/>
  <c r="AC77" i="16" s="1"/>
  <c r="Z77" i="16"/>
  <c r="AA77" i="16" s="1"/>
  <c r="Y77" i="16"/>
  <c r="X77" i="16"/>
  <c r="T77" i="16"/>
  <c r="R77" i="16"/>
  <c r="S77" i="16" s="1"/>
  <c r="AE76" i="16"/>
  <c r="AD76" i="16"/>
  <c r="AB76" i="16"/>
  <c r="AC76" i="16" s="1"/>
  <c r="Z76" i="16"/>
  <c r="AA76" i="16" s="1"/>
  <c r="X76" i="16"/>
  <c r="Y76" i="16" s="1"/>
  <c r="T76" i="16"/>
  <c r="R76" i="16"/>
  <c r="S76" i="16" s="1"/>
  <c r="AE75" i="16"/>
  <c r="AD75" i="16"/>
  <c r="AB75" i="16"/>
  <c r="AC75" i="16" s="1"/>
  <c r="Z75" i="16"/>
  <c r="AA75" i="16" s="1"/>
  <c r="X75" i="16"/>
  <c r="Y75" i="16" s="1"/>
  <c r="T75" i="16"/>
  <c r="V75" i="16" s="1"/>
  <c r="W75" i="16" s="1"/>
  <c r="R75" i="16"/>
  <c r="S75" i="16" s="1"/>
  <c r="AE71" i="16"/>
  <c r="AD71" i="16"/>
  <c r="AB71" i="16"/>
  <c r="AC71" i="16" s="1"/>
  <c r="Z71" i="16"/>
  <c r="AA71" i="16" s="1"/>
  <c r="X71" i="16"/>
  <c r="Y71" i="16" s="1"/>
  <c r="T71" i="16"/>
  <c r="R71" i="16"/>
  <c r="S71" i="16" s="1"/>
  <c r="AE69" i="16"/>
  <c r="AD69" i="16"/>
  <c r="AB69" i="16"/>
  <c r="AC69" i="16" s="1"/>
  <c r="Z69" i="16"/>
  <c r="AA69" i="16" s="1"/>
  <c r="X69" i="16"/>
  <c r="Y69" i="16" s="1"/>
  <c r="T69" i="16"/>
  <c r="R69" i="16"/>
  <c r="S69" i="16" s="1"/>
  <c r="AE68" i="16"/>
  <c r="AD68" i="16"/>
  <c r="AC68" i="16"/>
  <c r="AB68" i="16"/>
  <c r="Z68" i="16"/>
  <c r="AA68" i="16" s="1"/>
  <c r="X68" i="16"/>
  <c r="Y68" i="16" s="1"/>
  <c r="T68" i="16"/>
  <c r="R68" i="16"/>
  <c r="S68" i="16" s="1"/>
  <c r="AE67" i="16"/>
  <c r="AD67" i="16"/>
  <c r="AB67" i="16"/>
  <c r="AC67" i="16" s="1"/>
  <c r="Z67" i="16"/>
  <c r="AA67" i="16" s="1"/>
  <c r="X67" i="16"/>
  <c r="Y67" i="16" s="1"/>
  <c r="T67" i="16"/>
  <c r="R67" i="16"/>
  <c r="S67" i="16" s="1"/>
  <c r="AE66" i="16"/>
  <c r="AD66" i="16"/>
  <c r="AB66" i="16"/>
  <c r="AC66" i="16" s="1"/>
  <c r="AA66" i="16"/>
  <c r="Z66" i="16"/>
  <c r="X66" i="16"/>
  <c r="Y66" i="16" s="1"/>
  <c r="T66" i="16"/>
  <c r="R66" i="16"/>
  <c r="S66" i="16" s="1"/>
  <c r="AE65" i="16"/>
  <c r="AD65" i="16"/>
  <c r="AB65" i="16"/>
  <c r="AC65" i="16" s="1"/>
  <c r="Z65" i="16"/>
  <c r="AA65" i="16" s="1"/>
  <c r="X65" i="16"/>
  <c r="Y65" i="16" s="1"/>
  <c r="T65" i="16"/>
  <c r="R65" i="16"/>
  <c r="S65" i="16" s="1"/>
  <c r="AE64" i="16"/>
  <c r="AD64" i="16"/>
  <c r="AB64" i="16"/>
  <c r="AC64" i="16" s="1"/>
  <c r="Z64" i="16"/>
  <c r="AA64" i="16" s="1"/>
  <c r="Y64" i="16"/>
  <c r="X64" i="16"/>
  <c r="T64" i="16"/>
  <c r="R64" i="16"/>
  <c r="S64" i="16" s="1"/>
  <c r="AE63" i="16"/>
  <c r="AD63" i="16"/>
  <c r="AB63" i="16"/>
  <c r="AC63" i="16" s="1"/>
  <c r="Z63" i="16"/>
  <c r="AA63" i="16" s="1"/>
  <c r="X63" i="16"/>
  <c r="Y63" i="16" s="1"/>
  <c r="T63" i="16"/>
  <c r="R63" i="16"/>
  <c r="S63" i="16" s="1"/>
  <c r="AE59" i="16"/>
  <c r="AD59" i="16"/>
  <c r="AB59" i="16"/>
  <c r="AC59" i="16" s="1"/>
  <c r="Z59" i="16"/>
  <c r="AA59" i="16" s="1"/>
  <c r="Y59" i="16"/>
  <c r="X59" i="16"/>
  <c r="T59" i="16"/>
  <c r="V59" i="16" s="1"/>
  <c r="W59" i="16" s="1"/>
  <c r="R59" i="16"/>
  <c r="S59" i="16" s="1"/>
  <c r="AE57" i="16"/>
  <c r="AD57" i="16"/>
  <c r="AB57" i="16"/>
  <c r="AC57" i="16" s="1"/>
  <c r="Z57" i="16"/>
  <c r="AA57" i="16" s="1"/>
  <c r="X57" i="16"/>
  <c r="Y57" i="16" s="1"/>
  <c r="V57" i="16"/>
  <c r="W57" i="16" s="1"/>
  <c r="T57" i="16"/>
  <c r="R57" i="16"/>
  <c r="S57" i="16" s="1"/>
  <c r="AE56" i="16"/>
  <c r="AD56" i="16"/>
  <c r="AB56" i="16"/>
  <c r="AC56" i="16" s="1"/>
  <c r="Z56" i="16"/>
  <c r="AA56" i="16" s="1"/>
  <c r="X56" i="16"/>
  <c r="Y56" i="16" s="1"/>
  <c r="T56" i="16"/>
  <c r="R56" i="16"/>
  <c r="S56" i="16" s="1"/>
  <c r="AE55" i="16"/>
  <c r="AD55" i="16"/>
  <c r="AC55" i="16"/>
  <c r="AB55" i="16"/>
  <c r="Z55" i="16"/>
  <c r="AA55" i="16" s="1"/>
  <c r="X55" i="16"/>
  <c r="Y55" i="16" s="1"/>
  <c r="T55" i="16"/>
  <c r="S55" i="16"/>
  <c r="R55" i="16"/>
  <c r="AE54" i="16"/>
  <c r="AD54" i="16"/>
  <c r="AB54" i="16"/>
  <c r="AC54" i="16" s="1"/>
  <c r="Z54" i="16"/>
  <c r="AA54" i="16" s="1"/>
  <c r="X54" i="16"/>
  <c r="Y54" i="16" s="1"/>
  <c r="T54" i="16"/>
  <c r="R54" i="16"/>
  <c r="S54" i="16" s="1"/>
  <c r="AE53" i="16"/>
  <c r="AD53" i="16"/>
  <c r="AB53" i="16"/>
  <c r="AC53" i="16" s="1"/>
  <c r="AA53" i="16"/>
  <c r="Z53" i="16"/>
  <c r="X53" i="16"/>
  <c r="Y53" i="16" s="1"/>
  <c r="T53" i="16"/>
  <c r="R53" i="16"/>
  <c r="S53" i="16" s="1"/>
  <c r="AE52" i="16"/>
  <c r="AD52" i="16"/>
  <c r="AB52" i="16"/>
  <c r="AC52" i="16" s="1"/>
  <c r="Z52" i="16"/>
  <c r="AA52" i="16" s="1"/>
  <c r="X52" i="16"/>
  <c r="Y52" i="16" s="1"/>
  <c r="T52" i="16"/>
  <c r="R52" i="16"/>
  <c r="S52" i="16" s="1"/>
  <c r="AE51" i="16"/>
  <c r="AD51" i="16"/>
  <c r="AB51" i="16"/>
  <c r="AC51" i="16" s="1"/>
  <c r="Z51" i="16"/>
  <c r="AA51" i="16" s="1"/>
  <c r="Y51" i="16"/>
  <c r="X51" i="16"/>
  <c r="T51" i="16"/>
  <c r="R51" i="16"/>
  <c r="S51" i="16" s="1"/>
  <c r="AE50" i="16"/>
  <c r="AD50" i="16"/>
  <c r="AC50" i="16"/>
  <c r="AB50" i="16"/>
  <c r="Z50" i="16"/>
  <c r="AA50" i="16" s="1"/>
  <c r="X50" i="16"/>
  <c r="Y50" i="16" s="1"/>
  <c r="T50" i="16"/>
  <c r="R50" i="16"/>
  <c r="S50" i="16" s="1"/>
  <c r="AE47" i="16"/>
  <c r="AD47" i="16"/>
  <c r="AB47" i="16"/>
  <c r="AC47" i="16" s="1"/>
  <c r="Z47" i="16"/>
  <c r="AA47" i="16" s="1"/>
  <c r="X47" i="16"/>
  <c r="Y47" i="16" s="1"/>
  <c r="T47" i="16"/>
  <c r="R47" i="16"/>
  <c r="S47" i="16" s="1"/>
  <c r="AE45" i="16"/>
  <c r="AD45" i="16"/>
  <c r="AB45" i="16"/>
  <c r="AC45" i="16" s="1"/>
  <c r="Z45" i="16"/>
  <c r="AA45" i="16" s="1"/>
  <c r="X45" i="16"/>
  <c r="Y45" i="16" s="1"/>
  <c r="T45" i="16"/>
  <c r="R45" i="16"/>
  <c r="S45" i="16" s="1"/>
  <c r="AE44" i="16"/>
  <c r="AD44" i="16"/>
  <c r="AB44" i="16"/>
  <c r="AC44" i="16" s="1"/>
  <c r="Z44" i="16"/>
  <c r="AA44" i="16" s="1"/>
  <c r="X44" i="16"/>
  <c r="Y44" i="16" s="1"/>
  <c r="T44" i="16"/>
  <c r="R44" i="16"/>
  <c r="S44" i="16" s="1"/>
  <c r="AE43" i="16"/>
  <c r="AD43" i="16"/>
  <c r="AB43" i="16"/>
  <c r="AC43" i="16" s="1"/>
  <c r="Z43" i="16"/>
  <c r="AA43" i="16" s="1"/>
  <c r="X43" i="16"/>
  <c r="Y43" i="16" s="1"/>
  <c r="T43" i="16"/>
  <c r="R43" i="16"/>
  <c r="S43" i="16" s="1"/>
  <c r="AE42" i="16"/>
  <c r="AD42" i="16"/>
  <c r="AC42" i="16"/>
  <c r="AB42" i="16"/>
  <c r="Z42" i="16"/>
  <c r="AA42" i="16" s="1"/>
  <c r="X42" i="16"/>
  <c r="Y42" i="16" s="1"/>
  <c r="T42" i="16"/>
  <c r="R42" i="16"/>
  <c r="S42" i="16" s="1"/>
  <c r="AE41" i="16"/>
  <c r="AD41" i="16"/>
  <c r="AB41" i="16"/>
  <c r="AC41" i="16" s="1"/>
  <c r="Z41" i="16"/>
  <c r="AA41" i="16" s="1"/>
  <c r="X41" i="16"/>
  <c r="Y41" i="16" s="1"/>
  <c r="T41" i="16"/>
  <c r="R41" i="16"/>
  <c r="S41" i="16" s="1"/>
  <c r="AE40" i="16"/>
  <c r="AD40" i="16"/>
  <c r="AB40" i="16"/>
  <c r="AC40" i="16" s="1"/>
  <c r="AA40" i="16"/>
  <c r="Z40" i="16"/>
  <c r="X40" i="16"/>
  <c r="Y40" i="16" s="1"/>
  <c r="T40" i="16"/>
  <c r="V40" i="16" s="1"/>
  <c r="R40" i="16"/>
  <c r="S40" i="16" s="1"/>
  <c r="AE38" i="16"/>
  <c r="AD38" i="16"/>
  <c r="AB38" i="16"/>
  <c r="AC38" i="16" s="1"/>
  <c r="Z38" i="16"/>
  <c r="AA38" i="16" s="1"/>
  <c r="X38" i="16"/>
  <c r="Y38" i="16" s="1"/>
  <c r="T38" i="16"/>
  <c r="R38" i="16"/>
  <c r="S38" i="16" s="1"/>
  <c r="AE37" i="16"/>
  <c r="AD37" i="16"/>
  <c r="AB37" i="16"/>
  <c r="AC37" i="16" s="1"/>
  <c r="Z37" i="16"/>
  <c r="AA37" i="16" s="1"/>
  <c r="X37" i="16"/>
  <c r="Y37" i="16" s="1"/>
  <c r="T37" i="16"/>
  <c r="R37" i="16"/>
  <c r="S37" i="16" s="1"/>
  <c r="AE36" i="16"/>
  <c r="AD36" i="16"/>
  <c r="AB36" i="16"/>
  <c r="AC36" i="16" s="1"/>
  <c r="Z36" i="16"/>
  <c r="AA36" i="16" s="1"/>
  <c r="X36" i="16"/>
  <c r="Y36" i="16" s="1"/>
  <c r="T36" i="16"/>
  <c r="R36" i="16"/>
  <c r="S36" i="16" s="1"/>
  <c r="AE35" i="16"/>
  <c r="AD35" i="16"/>
  <c r="AC35" i="16"/>
  <c r="AB35" i="16"/>
  <c r="Z35" i="16"/>
  <c r="AA35" i="16" s="1"/>
  <c r="X35" i="16"/>
  <c r="Y35" i="16" s="1"/>
  <c r="T35" i="16"/>
  <c r="R35" i="16"/>
  <c r="S35" i="16" s="1"/>
  <c r="AE34" i="16"/>
  <c r="AD34" i="16"/>
  <c r="AB34" i="16"/>
  <c r="AC34" i="16" s="1"/>
  <c r="Z34" i="16"/>
  <c r="AA34" i="16" s="1"/>
  <c r="X34" i="16"/>
  <c r="Y34" i="16" s="1"/>
  <c r="T34" i="16"/>
  <c r="R34" i="16"/>
  <c r="S34" i="16" s="1"/>
  <c r="AE33" i="16"/>
  <c r="AD33" i="16"/>
  <c r="AB33" i="16"/>
  <c r="AC33" i="16" s="1"/>
  <c r="AA33" i="16"/>
  <c r="Z33" i="16"/>
  <c r="X33" i="16"/>
  <c r="Y33" i="16" s="1"/>
  <c r="T33" i="16"/>
  <c r="R33" i="16"/>
  <c r="S33" i="16" s="1"/>
  <c r="AE32" i="16"/>
  <c r="AD32" i="16"/>
  <c r="AB32" i="16"/>
  <c r="AC32" i="16" s="1"/>
  <c r="Z32" i="16"/>
  <c r="AA32" i="16" s="1"/>
  <c r="X32" i="16"/>
  <c r="Y32" i="16" s="1"/>
  <c r="T32" i="16"/>
  <c r="R32" i="16"/>
  <c r="S32" i="16" s="1"/>
  <c r="AE29" i="16"/>
  <c r="AD29" i="16"/>
  <c r="AB29" i="16"/>
  <c r="AC29" i="16" s="1"/>
  <c r="Z29" i="16"/>
  <c r="AA29" i="16" s="1"/>
  <c r="X29" i="16"/>
  <c r="Y29" i="16" s="1"/>
  <c r="T29" i="16"/>
  <c r="R29" i="16"/>
  <c r="S29" i="16" s="1"/>
  <c r="AE28" i="16"/>
  <c r="AD28" i="16"/>
  <c r="AC28" i="16"/>
  <c r="AB28" i="16"/>
  <c r="Z28" i="16"/>
  <c r="AA28" i="16" s="1"/>
  <c r="X28" i="16"/>
  <c r="Y28" i="16" s="1"/>
  <c r="T28" i="16"/>
  <c r="R28" i="16"/>
  <c r="S28" i="16" s="1"/>
  <c r="AE27" i="16"/>
  <c r="AD27" i="16"/>
  <c r="AB27" i="16"/>
  <c r="AC27" i="16" s="1"/>
  <c r="Z27" i="16"/>
  <c r="AA27" i="16" s="1"/>
  <c r="X27" i="16"/>
  <c r="Y27" i="16" s="1"/>
  <c r="T27" i="16"/>
  <c r="R27" i="16"/>
  <c r="S27" i="16" s="1"/>
  <c r="AE26" i="16"/>
  <c r="AD26" i="16"/>
  <c r="AC26" i="16"/>
  <c r="AB26" i="16"/>
  <c r="AA26" i="16"/>
  <c r="Z26" i="16"/>
  <c r="X26" i="16"/>
  <c r="Y26" i="16" s="1"/>
  <c r="T26" i="16"/>
  <c r="R26" i="16"/>
  <c r="S26" i="16" s="1"/>
  <c r="AE25" i="16"/>
  <c r="AD25" i="16"/>
  <c r="AB25" i="16"/>
  <c r="AC25" i="16" s="1"/>
  <c r="Z25" i="16"/>
  <c r="AA25" i="16" s="1"/>
  <c r="X25" i="16"/>
  <c r="Y25" i="16" s="1"/>
  <c r="T25" i="16"/>
  <c r="R25" i="16"/>
  <c r="S25" i="16" s="1"/>
  <c r="AE24" i="16"/>
  <c r="AD24" i="16"/>
  <c r="AB24" i="16"/>
  <c r="AC24" i="16" s="1"/>
  <c r="AA24" i="16"/>
  <c r="Z24" i="16"/>
  <c r="Y24" i="16"/>
  <c r="X24" i="16"/>
  <c r="T24" i="16"/>
  <c r="R24" i="16"/>
  <c r="S24" i="16" s="1"/>
  <c r="AE23" i="16"/>
  <c r="AD23" i="16"/>
  <c r="AB23" i="16"/>
  <c r="AC23" i="16" s="1"/>
  <c r="Z23" i="16"/>
  <c r="AA23" i="16" s="1"/>
  <c r="X23" i="16"/>
  <c r="Y23" i="16" s="1"/>
  <c r="T23" i="16"/>
  <c r="R23" i="16"/>
  <c r="S23" i="16" s="1"/>
  <c r="AE22" i="16"/>
  <c r="AD22" i="16"/>
  <c r="AB22" i="16"/>
  <c r="AC22" i="16" s="1"/>
  <c r="Z22" i="16"/>
  <c r="AA22" i="16" s="1"/>
  <c r="X22" i="16"/>
  <c r="Y22" i="16" s="1"/>
  <c r="T22" i="16"/>
  <c r="V22" i="16" s="1"/>
  <c r="W22" i="16" s="1"/>
  <c r="R22" i="16"/>
  <c r="S22" i="16" s="1"/>
  <c r="AE20" i="16"/>
  <c r="AD20" i="16"/>
  <c r="AB20" i="16"/>
  <c r="AC20" i="16" s="1"/>
  <c r="Z20" i="16"/>
  <c r="AA20" i="16" s="1"/>
  <c r="X20" i="16"/>
  <c r="Y20" i="16" s="1"/>
  <c r="T20" i="16"/>
  <c r="R20" i="16"/>
  <c r="S20" i="16" s="1"/>
  <c r="AE19" i="16"/>
  <c r="AD19" i="16"/>
  <c r="AB19" i="16"/>
  <c r="AC19" i="16" s="1"/>
  <c r="Z19" i="16"/>
  <c r="AA19" i="16" s="1"/>
  <c r="X19" i="16"/>
  <c r="Y19" i="16" s="1"/>
  <c r="T19" i="16"/>
  <c r="R19" i="16"/>
  <c r="S19" i="16" s="1"/>
  <c r="AE18" i="16"/>
  <c r="AD18" i="16"/>
  <c r="AB18" i="16"/>
  <c r="AC18" i="16" s="1"/>
  <c r="Z18" i="16"/>
  <c r="AA18" i="16" s="1"/>
  <c r="X18" i="16"/>
  <c r="Y18" i="16" s="1"/>
  <c r="T18" i="16"/>
  <c r="R18" i="16"/>
  <c r="S18" i="16" s="1"/>
  <c r="AE17" i="16"/>
  <c r="AD17" i="16"/>
  <c r="AC17" i="16"/>
  <c r="AB17" i="16"/>
  <c r="Z17" i="16"/>
  <c r="AA17" i="16" s="1"/>
  <c r="X17" i="16"/>
  <c r="Y17" i="16" s="1"/>
  <c r="T17" i="16"/>
  <c r="R17" i="16"/>
  <c r="S17" i="16" s="1"/>
  <c r="AE16" i="16"/>
  <c r="AD16" i="16"/>
  <c r="AB16" i="16"/>
  <c r="AC16" i="16" s="1"/>
  <c r="Z16" i="16"/>
  <c r="AA16" i="16" s="1"/>
  <c r="X16" i="16"/>
  <c r="Y16" i="16" s="1"/>
  <c r="T16" i="16"/>
  <c r="R16" i="16"/>
  <c r="S16" i="16" s="1"/>
  <c r="AE14" i="16"/>
  <c r="AD14" i="16"/>
  <c r="AB14" i="16"/>
  <c r="AC14" i="16" s="1"/>
  <c r="Z14" i="16"/>
  <c r="AA14" i="16" s="1"/>
  <c r="X14" i="16"/>
  <c r="Y14" i="16" s="1"/>
  <c r="T14" i="16"/>
  <c r="R14" i="16"/>
  <c r="S14" i="16" s="1"/>
  <c r="AE13" i="16"/>
  <c r="AD13" i="16"/>
  <c r="AB13" i="16"/>
  <c r="AC13" i="16" s="1"/>
  <c r="Z13" i="16"/>
  <c r="AA13" i="16" s="1"/>
  <c r="X13" i="16"/>
  <c r="Y13" i="16" s="1"/>
  <c r="T13" i="16"/>
  <c r="R13" i="16"/>
  <c r="S13" i="16" s="1"/>
  <c r="AE12" i="16"/>
  <c r="AD12" i="16"/>
  <c r="AC12" i="16"/>
  <c r="AB12" i="16"/>
  <c r="Z12" i="16"/>
  <c r="AA12" i="16" s="1"/>
  <c r="X12" i="16"/>
  <c r="Y12" i="16" s="1"/>
  <c r="T12" i="16"/>
  <c r="R12" i="16"/>
  <c r="S12" i="16" s="1"/>
  <c r="AE11" i="16"/>
  <c r="AD11" i="16"/>
  <c r="AB11" i="16"/>
  <c r="AC11" i="16" s="1"/>
  <c r="Z11" i="16"/>
  <c r="AA11" i="16" s="1"/>
  <c r="X11" i="16"/>
  <c r="Y11" i="16" s="1"/>
  <c r="T11" i="16"/>
  <c r="R11" i="16"/>
  <c r="S11" i="16" s="1"/>
  <c r="AE10" i="16"/>
  <c r="AD10" i="16"/>
  <c r="AB10" i="16"/>
  <c r="AC10" i="16" s="1"/>
  <c r="AA10" i="16"/>
  <c r="Z10" i="16"/>
  <c r="X10" i="16"/>
  <c r="Y10" i="16" s="1"/>
  <c r="T10" i="16"/>
  <c r="R10" i="16"/>
  <c r="S10" i="16" s="1"/>
  <c r="AE9" i="16"/>
  <c r="AD9" i="16"/>
  <c r="AB9" i="16"/>
  <c r="AC9" i="16" s="1"/>
  <c r="Z9" i="16"/>
  <c r="AA9" i="16" s="1"/>
  <c r="X9" i="16"/>
  <c r="Y9" i="16" s="1"/>
  <c r="T9" i="16"/>
  <c r="R9" i="16"/>
  <c r="S9" i="16" s="1"/>
  <c r="AE8" i="16"/>
  <c r="AD8" i="16"/>
  <c r="AB8" i="16"/>
  <c r="AC8" i="16" s="1"/>
  <c r="Z8" i="16"/>
  <c r="AA8" i="16" s="1"/>
  <c r="Y8" i="16"/>
  <c r="X8" i="16"/>
  <c r="T8" i="16"/>
  <c r="R8" i="16"/>
  <c r="S8" i="16" s="1"/>
  <c r="AE7" i="16"/>
  <c r="AD7" i="16"/>
  <c r="AB7" i="16"/>
  <c r="AC7" i="16" s="1"/>
  <c r="X3" i="16"/>
  <c r="T3" i="16"/>
  <c r="P3" i="16"/>
  <c r="P98" i="16"/>
  <c r="P97" i="16"/>
  <c r="P96" i="16"/>
  <c r="P93" i="16"/>
  <c r="P92" i="16"/>
  <c r="P88" i="16"/>
  <c r="P87" i="16"/>
  <c r="P86" i="16"/>
  <c r="P85" i="16"/>
  <c r="P83" i="16"/>
  <c r="P82" i="16"/>
  <c r="P81" i="16"/>
  <c r="P80" i="16"/>
  <c r="P79" i="16"/>
  <c r="P78" i="16"/>
  <c r="P77" i="16"/>
  <c r="P76" i="16"/>
  <c r="P75" i="16"/>
  <c r="P71" i="16"/>
  <c r="P69" i="16"/>
  <c r="P68" i="16"/>
  <c r="P67" i="16"/>
  <c r="P66" i="16"/>
  <c r="P65" i="16"/>
  <c r="P64" i="16"/>
  <c r="P63" i="16"/>
  <c r="P59" i="16"/>
  <c r="P57" i="16"/>
  <c r="P56" i="16"/>
  <c r="P55" i="16"/>
  <c r="P54" i="16"/>
  <c r="P53" i="16"/>
  <c r="P52" i="16"/>
  <c r="P51" i="16"/>
  <c r="P50" i="16"/>
  <c r="P47" i="16"/>
  <c r="P45" i="16"/>
  <c r="P44" i="16"/>
  <c r="P43" i="16"/>
  <c r="P42" i="16"/>
  <c r="P41" i="16"/>
  <c r="P40" i="16"/>
  <c r="P38" i="16"/>
  <c r="P37" i="16"/>
  <c r="P36" i="16"/>
  <c r="P35" i="16"/>
  <c r="P34" i="16"/>
  <c r="P33" i="16"/>
  <c r="P32" i="16"/>
  <c r="P29" i="16"/>
  <c r="P28" i="16"/>
  <c r="P27" i="16"/>
  <c r="P26" i="16"/>
  <c r="P25" i="16"/>
  <c r="P24" i="16"/>
  <c r="P23" i="16"/>
  <c r="P22" i="16"/>
  <c r="P20" i="16"/>
  <c r="P19" i="16"/>
  <c r="P18" i="16"/>
  <c r="P17" i="16"/>
  <c r="P16" i="16"/>
  <c r="P14" i="16"/>
  <c r="P13" i="16"/>
  <c r="P12" i="16"/>
  <c r="P11" i="16"/>
  <c r="P10" i="16"/>
  <c r="P9" i="16"/>
  <c r="P8" i="16"/>
  <c r="P7" i="16"/>
  <c r="X7" i="16" s="1"/>
  <c r="V7" i="15"/>
  <c r="V98" i="15"/>
  <c r="W98" i="15" s="1"/>
  <c r="X98" i="15" s="1"/>
  <c r="S98" i="15"/>
  <c r="T98" i="15" s="1"/>
  <c r="U98" i="15" s="1"/>
  <c r="V97" i="15"/>
  <c r="Z97" i="15" s="1"/>
  <c r="AD97" i="15" s="1"/>
  <c r="S97" i="15"/>
  <c r="T97" i="15" s="1"/>
  <c r="U97" i="15" s="1"/>
  <c r="V96" i="15"/>
  <c r="W96" i="15" s="1"/>
  <c r="S96" i="15"/>
  <c r="V93" i="15"/>
  <c r="W93" i="15" s="1"/>
  <c r="X93" i="15" s="1"/>
  <c r="S93" i="15"/>
  <c r="T93" i="15" s="1"/>
  <c r="U93" i="15" s="1"/>
  <c r="V92" i="15"/>
  <c r="S92" i="15"/>
  <c r="T96" i="15"/>
  <c r="U96" i="15" s="1"/>
  <c r="W92" i="15"/>
  <c r="X92" i="15" s="1"/>
  <c r="T92" i="15"/>
  <c r="U92" i="15" s="1"/>
  <c r="X89" i="15"/>
  <c r="W89" i="15"/>
  <c r="V89" i="15"/>
  <c r="S89" i="15"/>
  <c r="T89" i="15" s="1"/>
  <c r="U89" i="15" s="1"/>
  <c r="V88" i="15"/>
  <c r="W88" i="15" s="1"/>
  <c r="X88" i="15" s="1"/>
  <c r="S88" i="15"/>
  <c r="T88" i="15" s="1"/>
  <c r="U88" i="15" s="1"/>
  <c r="V87" i="15"/>
  <c r="Z87" i="15" s="1"/>
  <c r="AA87" i="15" s="1"/>
  <c r="AB87" i="15" s="1"/>
  <c r="S87" i="15"/>
  <c r="T87" i="15" s="1"/>
  <c r="U87" i="15" s="1"/>
  <c r="V86" i="15"/>
  <c r="Z86" i="15" s="1"/>
  <c r="AD86" i="15" s="1"/>
  <c r="S86" i="15"/>
  <c r="T86" i="15" s="1"/>
  <c r="U86" i="15" s="1"/>
  <c r="V85" i="15"/>
  <c r="W85" i="15" s="1"/>
  <c r="X85" i="15" s="1"/>
  <c r="S85" i="15"/>
  <c r="T85" i="15"/>
  <c r="U85" i="15" s="1"/>
  <c r="W83" i="15"/>
  <c r="X83" i="15" s="1"/>
  <c r="V83" i="15"/>
  <c r="S83" i="15"/>
  <c r="T83" i="15" s="1"/>
  <c r="U83" i="15" s="1"/>
  <c r="V82" i="15"/>
  <c r="W82" i="15" s="1"/>
  <c r="X82" i="15" s="1"/>
  <c r="S82" i="15"/>
  <c r="T82" i="15" s="1"/>
  <c r="U82" i="15" s="1"/>
  <c r="W81" i="15"/>
  <c r="X81" i="15" s="1"/>
  <c r="V81" i="15"/>
  <c r="S81" i="15"/>
  <c r="T81" i="15" s="1"/>
  <c r="U81" i="15" s="1"/>
  <c r="V80" i="15"/>
  <c r="W80" i="15" s="1"/>
  <c r="X80" i="15" s="1"/>
  <c r="S80" i="15"/>
  <c r="T80" i="15" s="1"/>
  <c r="U80" i="15" s="1"/>
  <c r="V79" i="15"/>
  <c r="W79" i="15" s="1"/>
  <c r="X79" i="15" s="1"/>
  <c r="S79" i="15"/>
  <c r="T79" i="15" s="1"/>
  <c r="U79" i="15" s="1"/>
  <c r="V78" i="15"/>
  <c r="Z78" i="15" s="1"/>
  <c r="AD78" i="15" s="1"/>
  <c r="S78" i="15"/>
  <c r="T78" i="15" s="1"/>
  <c r="U78" i="15" s="1"/>
  <c r="V77" i="15"/>
  <c r="Z77" i="15" s="1"/>
  <c r="AD77" i="15" s="1"/>
  <c r="S77" i="15"/>
  <c r="T77" i="15" s="1"/>
  <c r="U77" i="15" s="1"/>
  <c r="W76" i="15"/>
  <c r="X76" i="15" s="1"/>
  <c r="V76" i="15"/>
  <c r="S76" i="15"/>
  <c r="T76" i="15" s="1"/>
  <c r="U76" i="15" s="1"/>
  <c r="V75" i="15"/>
  <c r="Z75" i="15" s="1"/>
  <c r="AD75" i="15" s="1"/>
  <c r="S75" i="15"/>
  <c r="T75" i="15" s="1"/>
  <c r="U75" i="15" s="1"/>
  <c r="V71" i="15"/>
  <c r="Z71" i="15" s="1"/>
  <c r="AD71" i="15" s="1"/>
  <c r="S71" i="15"/>
  <c r="W71" i="15"/>
  <c r="X71" i="15" s="1"/>
  <c r="T71" i="15"/>
  <c r="U71" i="15" s="1"/>
  <c r="V69" i="15"/>
  <c r="W69" i="15" s="1"/>
  <c r="X69" i="15" s="1"/>
  <c r="S69" i="15"/>
  <c r="T69" i="15" s="1"/>
  <c r="U69" i="15" s="1"/>
  <c r="V68" i="15"/>
  <c r="Z68" i="15" s="1"/>
  <c r="AD68" i="15" s="1"/>
  <c r="S68" i="15"/>
  <c r="T68" i="15" s="1"/>
  <c r="U68" i="15" s="1"/>
  <c r="W67" i="15"/>
  <c r="X67" i="15" s="1"/>
  <c r="V67" i="15"/>
  <c r="S67" i="15"/>
  <c r="T67" i="15" s="1"/>
  <c r="U67" i="15" s="1"/>
  <c r="V66" i="15"/>
  <c r="W66" i="15" s="1"/>
  <c r="X66" i="15" s="1"/>
  <c r="S66" i="15"/>
  <c r="V65" i="15"/>
  <c r="Z65" i="15" s="1"/>
  <c r="AD65" i="15" s="1"/>
  <c r="S65" i="15"/>
  <c r="T65" i="15" s="1"/>
  <c r="U65" i="15" s="1"/>
  <c r="W64" i="15"/>
  <c r="X64" i="15" s="1"/>
  <c r="V64" i="15"/>
  <c r="S64" i="15"/>
  <c r="T64" i="15" s="1"/>
  <c r="U64" i="15" s="1"/>
  <c r="V63" i="15"/>
  <c r="W63" i="15" s="1"/>
  <c r="X63" i="15" s="1"/>
  <c r="S63" i="15"/>
  <c r="T63" i="15"/>
  <c r="U63" i="15" s="1"/>
  <c r="V59" i="15"/>
  <c r="S59" i="15"/>
  <c r="T59" i="15" s="1"/>
  <c r="U59" i="15" s="1"/>
  <c r="V57" i="15"/>
  <c r="W57" i="15" s="1"/>
  <c r="X57" i="15" s="1"/>
  <c r="S57" i="15"/>
  <c r="T57" i="15" s="1"/>
  <c r="U57" i="15" s="1"/>
  <c r="V56" i="15"/>
  <c r="Z56" i="15" s="1"/>
  <c r="AA56" i="15" s="1"/>
  <c r="AB56" i="15" s="1"/>
  <c r="S56" i="15"/>
  <c r="T56" i="15" s="1"/>
  <c r="U56" i="15" s="1"/>
  <c r="W55" i="15"/>
  <c r="X55" i="15" s="1"/>
  <c r="V55" i="15"/>
  <c r="S55" i="15"/>
  <c r="T55" i="15" s="1"/>
  <c r="U55" i="15" s="1"/>
  <c r="V54" i="15"/>
  <c r="W54" i="15" s="1"/>
  <c r="X54" i="15" s="1"/>
  <c r="S54" i="15"/>
  <c r="T54" i="15" s="1"/>
  <c r="U54" i="15" s="1"/>
  <c r="V53" i="15"/>
  <c r="Z53" i="15" s="1"/>
  <c r="AD53" i="15" s="1"/>
  <c r="S53" i="15"/>
  <c r="T53" i="15" s="1"/>
  <c r="U53" i="15" s="1"/>
  <c r="V52" i="15"/>
  <c r="W52" i="15" s="1"/>
  <c r="X52" i="15" s="1"/>
  <c r="S52" i="15"/>
  <c r="T52" i="15" s="1"/>
  <c r="U52" i="15" s="1"/>
  <c r="V51" i="15"/>
  <c r="W51" i="15" s="1"/>
  <c r="X51" i="15" s="1"/>
  <c r="S51" i="15"/>
  <c r="T51" i="15" s="1"/>
  <c r="U51" i="15" s="1"/>
  <c r="V50" i="15"/>
  <c r="W50" i="15" s="1"/>
  <c r="X50" i="15" s="1"/>
  <c r="S50" i="15"/>
  <c r="T50" i="15"/>
  <c r="U50" i="15" s="1"/>
  <c r="V47" i="15"/>
  <c r="Z47" i="15" s="1"/>
  <c r="AD47" i="15" s="1"/>
  <c r="S47" i="15"/>
  <c r="T47" i="15"/>
  <c r="U47" i="15" s="1"/>
  <c r="V45" i="15"/>
  <c r="Z45" i="15" s="1"/>
  <c r="AD45" i="15" s="1"/>
  <c r="S45" i="15"/>
  <c r="T45" i="15" s="1"/>
  <c r="U45" i="15" s="1"/>
  <c r="V44" i="15"/>
  <c r="Z44" i="15" s="1"/>
  <c r="AD44" i="15" s="1"/>
  <c r="S44" i="15"/>
  <c r="T44" i="15" s="1"/>
  <c r="U44" i="15" s="1"/>
  <c r="W43" i="15"/>
  <c r="X43" i="15" s="1"/>
  <c r="V43" i="15"/>
  <c r="S43" i="15"/>
  <c r="T43" i="15" s="1"/>
  <c r="U43" i="15" s="1"/>
  <c r="V42" i="15"/>
  <c r="Z42" i="15" s="1"/>
  <c r="AD42" i="15" s="1"/>
  <c r="S42" i="15"/>
  <c r="V41" i="15"/>
  <c r="Z41" i="15" s="1"/>
  <c r="AD41" i="15" s="1"/>
  <c r="S41" i="15"/>
  <c r="T41" i="15" s="1"/>
  <c r="U41" i="15" s="1"/>
  <c r="V40" i="15"/>
  <c r="S40" i="15"/>
  <c r="W40" i="15"/>
  <c r="X40" i="15" s="1"/>
  <c r="T40" i="15"/>
  <c r="U40" i="15" s="1"/>
  <c r="Z98" i="15"/>
  <c r="AA98" i="15" s="1"/>
  <c r="AB98" i="15" s="1"/>
  <c r="Z94" i="15"/>
  <c r="AD94" i="15" s="1"/>
  <c r="Z93" i="15"/>
  <c r="AD93" i="15" s="1"/>
  <c r="Z92" i="15"/>
  <c r="AD92" i="15" s="1"/>
  <c r="Z88" i="15"/>
  <c r="AD88" i="15" s="1"/>
  <c r="Z83" i="15"/>
  <c r="AD83" i="15" s="1"/>
  <c r="Z82" i="15"/>
  <c r="AD82" i="15" s="1"/>
  <c r="Z81" i="15"/>
  <c r="AA81" i="15" s="1"/>
  <c r="AB81" i="15" s="1"/>
  <c r="Z80" i="15"/>
  <c r="Z79" i="15"/>
  <c r="AD79" i="15" s="1"/>
  <c r="Z76" i="15"/>
  <c r="AA76" i="15" s="1"/>
  <c r="AB76" i="15" s="1"/>
  <c r="Z69" i="15"/>
  <c r="AD69" i="15" s="1"/>
  <c r="Z67" i="15"/>
  <c r="AD67" i="15" s="1"/>
  <c r="Z66" i="15"/>
  <c r="AD66" i="15" s="1"/>
  <c r="Z64" i="15"/>
  <c r="AD64" i="15" s="1"/>
  <c r="Z55" i="15"/>
  <c r="AD55" i="15" s="1"/>
  <c r="Z54" i="15"/>
  <c r="AD54" i="15" s="1"/>
  <c r="Z52" i="15"/>
  <c r="AD52" i="15" s="1"/>
  <c r="Z51" i="15"/>
  <c r="AA51" i="15" s="1"/>
  <c r="AB51" i="15" s="1"/>
  <c r="Z43" i="15"/>
  <c r="AA43" i="15" s="1"/>
  <c r="AB43" i="15" s="1"/>
  <c r="Z40" i="15"/>
  <c r="AD40" i="15" s="1"/>
  <c r="Z38" i="15"/>
  <c r="AD38" i="15" s="1"/>
  <c r="Z37" i="15"/>
  <c r="AD37" i="15" s="1"/>
  <c r="AD36" i="15"/>
  <c r="AH36" i="15" s="1"/>
  <c r="Z36" i="15"/>
  <c r="AA36" i="15" s="1"/>
  <c r="AB36" i="15" s="1"/>
  <c r="Z35" i="15"/>
  <c r="AD35" i="15" s="1"/>
  <c r="Z34" i="15"/>
  <c r="AD34" i="15" s="1"/>
  <c r="Z33" i="15"/>
  <c r="AD33" i="15" s="1"/>
  <c r="Z32" i="15"/>
  <c r="AD32" i="15" s="1"/>
  <c r="Z29" i="15"/>
  <c r="AD29" i="15" s="1"/>
  <c r="Z28" i="15"/>
  <c r="AD28" i="15" s="1"/>
  <c r="Z27" i="15"/>
  <c r="AD27" i="15" s="1"/>
  <c r="AD26" i="15"/>
  <c r="AH26" i="15" s="1"/>
  <c r="Z26" i="15"/>
  <c r="AA26" i="15" s="1"/>
  <c r="AB26" i="15" s="1"/>
  <c r="Z25" i="15"/>
  <c r="AD25" i="15" s="1"/>
  <c r="Z24" i="15"/>
  <c r="AD24" i="15" s="1"/>
  <c r="Z23" i="15"/>
  <c r="AD23" i="15" s="1"/>
  <c r="Z22" i="15"/>
  <c r="AD22" i="15" s="1"/>
  <c r="Z20" i="15"/>
  <c r="AD20" i="15" s="1"/>
  <c r="Z19" i="15"/>
  <c r="AD19" i="15" s="1"/>
  <c r="Z18" i="15"/>
  <c r="AD18" i="15" s="1"/>
  <c r="AD17" i="15"/>
  <c r="AH17" i="15" s="1"/>
  <c r="Z17" i="15"/>
  <c r="AA17" i="15" s="1"/>
  <c r="AB17" i="15" s="1"/>
  <c r="Z16" i="15"/>
  <c r="AD16" i="15" s="1"/>
  <c r="Z8" i="15"/>
  <c r="Z14" i="15"/>
  <c r="AD14" i="15" s="1"/>
  <c r="Z13" i="15"/>
  <c r="AD13" i="15" s="1"/>
  <c r="Z12" i="15"/>
  <c r="AD12" i="15" s="1"/>
  <c r="Z11" i="15"/>
  <c r="AA11" i="15" s="1"/>
  <c r="AB11" i="15" s="1"/>
  <c r="Z10" i="15"/>
  <c r="AA10" i="15" s="1"/>
  <c r="AB10" i="15" s="1"/>
  <c r="Z9" i="15"/>
  <c r="AD9" i="15" s="1"/>
  <c r="AD8" i="15"/>
  <c r="Z7" i="15"/>
  <c r="AA7" i="15" s="1"/>
  <c r="AB7" i="15" s="1"/>
  <c r="AB6" i="15"/>
  <c r="AA6" i="15"/>
  <c r="AA5" i="15"/>
  <c r="Z5" i="15"/>
  <c r="X7" i="15"/>
  <c r="AH3" i="15"/>
  <c r="AD3" i="15"/>
  <c r="V38" i="15"/>
  <c r="W38" i="15" s="1"/>
  <c r="V37" i="15"/>
  <c r="W37" i="15" s="1"/>
  <c r="V36" i="15"/>
  <c r="W36" i="15" s="1"/>
  <c r="X36" i="15" s="1"/>
  <c r="S36" i="15"/>
  <c r="T36" i="15" s="1"/>
  <c r="U36" i="15" s="1"/>
  <c r="V35" i="15"/>
  <c r="W35" i="15" s="1"/>
  <c r="S35" i="15"/>
  <c r="T35" i="15" s="1"/>
  <c r="U35" i="15" s="1"/>
  <c r="V34" i="15"/>
  <c r="W34" i="15" s="1"/>
  <c r="S34" i="15"/>
  <c r="T34" i="15" s="1"/>
  <c r="U34" i="15" s="1"/>
  <c r="V33" i="15"/>
  <c r="W33" i="15" s="1"/>
  <c r="V32" i="15"/>
  <c r="W32" i="15" s="1"/>
  <c r="V29" i="15"/>
  <c r="W29" i="15" s="1"/>
  <c r="V28" i="15"/>
  <c r="W28" i="15" s="1"/>
  <c r="V27" i="15"/>
  <c r="W27" i="15" s="1"/>
  <c r="X27" i="15" s="1"/>
  <c r="S27" i="15"/>
  <c r="T27" i="15" s="1"/>
  <c r="U27" i="15" s="1"/>
  <c r="V26" i="15"/>
  <c r="W26" i="15" s="1"/>
  <c r="V25" i="15"/>
  <c r="W25" i="15" s="1"/>
  <c r="V24" i="15"/>
  <c r="W24" i="15" s="1"/>
  <c r="V23" i="15"/>
  <c r="W23" i="15" s="1"/>
  <c r="S23" i="15"/>
  <c r="T23" i="15" s="1"/>
  <c r="U23" i="15" s="1"/>
  <c r="V22" i="15"/>
  <c r="W22" i="15" s="1"/>
  <c r="S22" i="15"/>
  <c r="T22" i="15"/>
  <c r="U22" i="15" s="1"/>
  <c r="V20" i="15"/>
  <c r="W20" i="15" s="1"/>
  <c r="S20" i="15"/>
  <c r="T20" i="15" s="1"/>
  <c r="U20" i="15" s="1"/>
  <c r="V19" i="15"/>
  <c r="W19" i="15" s="1"/>
  <c r="S19" i="15"/>
  <c r="T19" i="15" s="1"/>
  <c r="U19" i="15" s="1"/>
  <c r="V18" i="15"/>
  <c r="W18" i="15" s="1"/>
  <c r="V17" i="15"/>
  <c r="W17" i="15" s="1"/>
  <c r="V16" i="15"/>
  <c r="W16" i="15" s="1"/>
  <c r="V14" i="15"/>
  <c r="W14" i="15" s="1"/>
  <c r="S14" i="15"/>
  <c r="T14" i="15" s="1"/>
  <c r="U14" i="15" s="1"/>
  <c r="V13" i="15"/>
  <c r="W13" i="15" s="1"/>
  <c r="S13" i="15"/>
  <c r="T13" i="15" s="1"/>
  <c r="U13" i="15" s="1"/>
  <c r="V12" i="15"/>
  <c r="W12" i="15" s="1"/>
  <c r="V11" i="15"/>
  <c r="W11" i="15" s="1"/>
  <c r="V10" i="15"/>
  <c r="W10" i="15" s="1"/>
  <c r="V9" i="15"/>
  <c r="W9" i="15" s="1"/>
  <c r="V8" i="15"/>
  <c r="W8" i="15" s="1"/>
  <c r="W7" i="15"/>
  <c r="J98" i="15"/>
  <c r="J97" i="15"/>
  <c r="J96" i="15"/>
  <c r="J93" i="15"/>
  <c r="J92" i="15"/>
  <c r="J88" i="15"/>
  <c r="J87" i="15"/>
  <c r="J86" i="15"/>
  <c r="J85" i="15"/>
  <c r="J83" i="15"/>
  <c r="J82" i="15"/>
  <c r="J81" i="15"/>
  <c r="J80" i="15"/>
  <c r="J79" i="15"/>
  <c r="J78" i="15"/>
  <c r="J77" i="15"/>
  <c r="J76" i="15"/>
  <c r="J75" i="15"/>
  <c r="J71" i="15"/>
  <c r="J69" i="15"/>
  <c r="J68" i="15"/>
  <c r="J67" i="15"/>
  <c r="J66" i="15"/>
  <c r="J65" i="15"/>
  <c r="J64" i="15"/>
  <c r="J63" i="15"/>
  <c r="J59" i="15"/>
  <c r="J57" i="15"/>
  <c r="J56" i="15"/>
  <c r="J55" i="15"/>
  <c r="J54" i="15"/>
  <c r="J53" i="15"/>
  <c r="J52" i="15"/>
  <c r="J51" i="15"/>
  <c r="J50" i="15"/>
  <c r="J47" i="15"/>
  <c r="J45" i="15"/>
  <c r="J44" i="15"/>
  <c r="J43" i="15"/>
  <c r="J42" i="15"/>
  <c r="J41" i="15"/>
  <c r="J40" i="15"/>
  <c r="J38" i="15"/>
  <c r="S38" i="15" s="1"/>
  <c r="T38" i="15" s="1"/>
  <c r="U38" i="15" s="1"/>
  <c r="J37" i="15"/>
  <c r="S37" i="15" s="1"/>
  <c r="T37" i="15" s="1"/>
  <c r="U37" i="15" s="1"/>
  <c r="J36" i="15"/>
  <c r="J35" i="15"/>
  <c r="J34" i="15"/>
  <c r="J33" i="15"/>
  <c r="J32" i="15"/>
  <c r="J29" i="15"/>
  <c r="S29" i="15" s="1"/>
  <c r="T29" i="15" s="1"/>
  <c r="U29" i="15" s="1"/>
  <c r="J28" i="15"/>
  <c r="S28" i="15" s="1"/>
  <c r="T28" i="15" s="1"/>
  <c r="U28" i="15" s="1"/>
  <c r="J27" i="15"/>
  <c r="J26" i="15"/>
  <c r="S26" i="15" s="1"/>
  <c r="T26" i="15" s="1"/>
  <c r="U26" i="15" s="1"/>
  <c r="J25" i="15"/>
  <c r="S25" i="15" s="1"/>
  <c r="J24" i="15"/>
  <c r="S24" i="15" s="1"/>
  <c r="T24" i="15" s="1"/>
  <c r="U24" i="15" s="1"/>
  <c r="J23" i="15"/>
  <c r="J22" i="15"/>
  <c r="J20" i="15"/>
  <c r="J19" i="15"/>
  <c r="J18" i="15"/>
  <c r="S18" i="15" s="1"/>
  <c r="T18" i="15" s="1"/>
  <c r="U18" i="15" s="1"/>
  <c r="J17" i="15"/>
  <c r="S17" i="15" s="1"/>
  <c r="T17" i="15" s="1"/>
  <c r="U17" i="15" s="1"/>
  <c r="J16" i="15"/>
  <c r="S16" i="15" s="1"/>
  <c r="T16" i="15" s="1"/>
  <c r="U16" i="15" s="1"/>
  <c r="J14" i="15"/>
  <c r="J13" i="15"/>
  <c r="J12" i="15"/>
  <c r="J11" i="15"/>
  <c r="S11" i="15" s="1"/>
  <c r="T11" i="15" s="1"/>
  <c r="U11" i="15" s="1"/>
  <c r="J10" i="15"/>
  <c r="S10" i="15" s="1"/>
  <c r="T10" i="15" s="1"/>
  <c r="U10" i="15" s="1"/>
  <c r="J9" i="15"/>
  <c r="J8" i="15"/>
  <c r="S8" i="15" s="1"/>
  <c r="T8" i="15" s="1"/>
  <c r="U8" i="15" s="1"/>
  <c r="J7" i="15"/>
  <c r="S7" i="15" s="1"/>
  <c r="V98" i="16" l="1"/>
  <c r="W98" i="16" s="1"/>
  <c r="V97" i="16"/>
  <c r="W97" i="16" s="1"/>
  <c r="V96" i="16"/>
  <c r="W96" i="16" s="1"/>
  <c r="V93" i="16"/>
  <c r="W93" i="16" s="1"/>
  <c r="W92" i="16"/>
  <c r="V88" i="16"/>
  <c r="W88" i="16" s="1"/>
  <c r="V87" i="16"/>
  <c r="W87" i="16" s="1"/>
  <c r="V86" i="16"/>
  <c r="W86" i="16" s="1"/>
  <c r="V85" i="16"/>
  <c r="W85" i="16" s="1"/>
  <c r="W79" i="16"/>
  <c r="W80" i="16"/>
  <c r="W81" i="16"/>
  <c r="W76" i="16"/>
  <c r="V83" i="16"/>
  <c r="W83" i="16" s="1"/>
  <c r="V82" i="16"/>
  <c r="W82" i="16" s="1"/>
  <c r="V81" i="16"/>
  <c r="V80" i="16"/>
  <c r="V79" i="16"/>
  <c r="W78" i="16"/>
  <c r="V77" i="16"/>
  <c r="W77" i="16" s="1"/>
  <c r="V76" i="16"/>
  <c r="W71" i="16"/>
  <c r="V71" i="16"/>
  <c r="W68" i="16"/>
  <c r="W63" i="16"/>
  <c r="V69" i="16"/>
  <c r="W69" i="16" s="1"/>
  <c r="V68" i="16"/>
  <c r="V67" i="16"/>
  <c r="W67" i="16" s="1"/>
  <c r="V66" i="16"/>
  <c r="W66" i="16" s="1"/>
  <c r="V65" i="16"/>
  <c r="W65" i="16" s="1"/>
  <c r="V64" i="16"/>
  <c r="W64" i="16" s="1"/>
  <c r="V63" i="16"/>
  <c r="V56" i="16"/>
  <c r="W56" i="16" s="1"/>
  <c r="V55" i="16"/>
  <c r="W55" i="16" s="1"/>
  <c r="V54" i="16"/>
  <c r="W54" i="16" s="1"/>
  <c r="V53" i="16"/>
  <c r="W53" i="16" s="1"/>
  <c r="V52" i="16"/>
  <c r="W52" i="16" s="1"/>
  <c r="V51" i="16"/>
  <c r="W51" i="16" s="1"/>
  <c r="V50" i="16"/>
  <c r="W50" i="16" s="1"/>
  <c r="W47" i="16"/>
  <c r="V47" i="16"/>
  <c r="W45" i="16"/>
  <c r="V45" i="16"/>
  <c r="V43" i="16"/>
  <c r="W43" i="16" s="1"/>
  <c r="V42" i="16"/>
  <c r="W42" i="16" s="1"/>
  <c r="W40" i="16"/>
  <c r="V44" i="16"/>
  <c r="W44" i="16" s="1"/>
  <c r="V41" i="16"/>
  <c r="W41" i="16" s="1"/>
  <c r="W32" i="16"/>
  <c r="V38" i="16"/>
  <c r="W38" i="16" s="1"/>
  <c r="V37" i="16"/>
  <c r="W37" i="16" s="1"/>
  <c r="V36" i="16"/>
  <c r="W36" i="16" s="1"/>
  <c r="V35" i="16"/>
  <c r="W35" i="16" s="1"/>
  <c r="V34" i="16"/>
  <c r="W34" i="16" s="1"/>
  <c r="V33" i="16"/>
  <c r="W33" i="16" s="1"/>
  <c r="V32" i="16"/>
  <c r="V29" i="16"/>
  <c r="W29" i="16" s="1"/>
  <c r="V28" i="16"/>
  <c r="W28" i="16" s="1"/>
  <c r="V27" i="16"/>
  <c r="W27" i="16" s="1"/>
  <c r="V26" i="16"/>
  <c r="W26" i="16" s="1"/>
  <c r="V25" i="16"/>
  <c r="W25" i="16" s="1"/>
  <c r="V24" i="16"/>
  <c r="W24" i="16" s="1"/>
  <c r="V23" i="16"/>
  <c r="W23" i="16" s="1"/>
  <c r="V20" i="16"/>
  <c r="W20" i="16" s="1"/>
  <c r="V19" i="16"/>
  <c r="W19" i="16" s="1"/>
  <c r="V18" i="16"/>
  <c r="W18" i="16" s="1"/>
  <c r="V17" i="16"/>
  <c r="W17" i="16" s="1"/>
  <c r="V16" i="16"/>
  <c r="W16" i="16" s="1"/>
  <c r="V14" i="16"/>
  <c r="W14" i="16" s="1"/>
  <c r="V13" i="16"/>
  <c r="W13" i="16" s="1"/>
  <c r="V12" i="16"/>
  <c r="W12" i="16" s="1"/>
  <c r="V11" i="16"/>
  <c r="W11" i="16" s="1"/>
  <c r="V10" i="16"/>
  <c r="W10" i="16" s="1"/>
  <c r="V9" i="16"/>
  <c r="W9" i="16" s="1"/>
  <c r="V8" i="16"/>
  <c r="W8" i="16" s="1"/>
  <c r="Z7" i="16"/>
  <c r="AA7" i="16" s="1"/>
  <c r="W97" i="15"/>
  <c r="X97" i="15" s="1"/>
  <c r="Z96" i="15"/>
  <c r="AA96" i="15" s="1"/>
  <c r="AB96" i="15" s="1"/>
  <c r="X96" i="15"/>
  <c r="W87" i="15"/>
  <c r="X87" i="15" s="1"/>
  <c r="W86" i="15"/>
  <c r="X86" i="15" s="1"/>
  <c r="Z85" i="15"/>
  <c r="AA85" i="15" s="1"/>
  <c r="AB85" i="15" s="1"/>
  <c r="AD85" i="15"/>
  <c r="AF85" i="15" s="1"/>
  <c r="AG85" i="15" s="1"/>
  <c r="AL85" i="15" s="1"/>
  <c r="AD81" i="15"/>
  <c r="W77" i="15"/>
  <c r="X77" i="15" s="1"/>
  <c r="W78" i="15"/>
  <c r="X78" i="15" s="1"/>
  <c r="AD76" i="15"/>
  <c r="AH76" i="15" s="1"/>
  <c r="W75" i="15"/>
  <c r="X75" i="15" s="1"/>
  <c r="AH67" i="15"/>
  <c r="AF67" i="15"/>
  <c r="W65" i="15"/>
  <c r="X65" i="15" s="1"/>
  <c r="T66" i="15"/>
  <c r="U66" i="15" s="1"/>
  <c r="AA67" i="15"/>
  <c r="AB67" i="15" s="1"/>
  <c r="AA66" i="15"/>
  <c r="AB66" i="15" s="1"/>
  <c r="W68" i="15"/>
  <c r="X68" i="15" s="1"/>
  <c r="Z63" i="15"/>
  <c r="AA63" i="15" s="1"/>
  <c r="AB63" i="15" s="1"/>
  <c r="AF54" i="15"/>
  <c r="AG54" i="15" s="1"/>
  <c r="AL54" i="15" s="1"/>
  <c r="W53" i="15"/>
  <c r="X53" i="15" s="1"/>
  <c r="W56" i="15"/>
  <c r="X56" i="15" s="1"/>
  <c r="AA54" i="15"/>
  <c r="AB54" i="15" s="1"/>
  <c r="Z57" i="15"/>
  <c r="AA57" i="15" s="1"/>
  <c r="AB57" i="15" s="1"/>
  <c r="Z50" i="15"/>
  <c r="AD50" i="15" s="1"/>
  <c r="AH50" i="15" s="1"/>
  <c r="W47" i="15"/>
  <c r="X47" i="15" s="1"/>
  <c r="W41" i="15"/>
  <c r="X41" i="15" s="1"/>
  <c r="T42" i="15"/>
  <c r="U42" i="15" s="1"/>
  <c r="W44" i="15"/>
  <c r="X44" i="15" s="1"/>
  <c r="W42" i="15"/>
  <c r="X42" i="15" s="1"/>
  <c r="AD43" i="15"/>
  <c r="AH43" i="15" s="1"/>
  <c r="W45" i="15"/>
  <c r="X45" i="15" s="1"/>
  <c r="AF97" i="15"/>
  <c r="AG97" i="15" s="1"/>
  <c r="AL97" i="15" s="1"/>
  <c r="AH97" i="15"/>
  <c r="AD98" i="15"/>
  <c r="AA97" i="15"/>
  <c r="AB97" i="15" s="1"/>
  <c r="AD96" i="15"/>
  <c r="AH93" i="15"/>
  <c r="AF93" i="15"/>
  <c r="AG93" i="15" s="1"/>
  <c r="AL93" i="15" s="1"/>
  <c r="AH94" i="15"/>
  <c r="AF94" i="15"/>
  <c r="AG94" i="15" s="1"/>
  <c r="AL94" i="15" s="1"/>
  <c r="AF92" i="15"/>
  <c r="AH92" i="15"/>
  <c r="AG92" i="15"/>
  <c r="AL92" i="15" s="1"/>
  <c r="AA94" i="15"/>
  <c r="AB94" i="15" s="1"/>
  <c r="AA93" i="15"/>
  <c r="AB93" i="15" s="1"/>
  <c r="AA92" i="15"/>
  <c r="AB92" i="15" s="1"/>
  <c r="AF86" i="15"/>
  <c r="AH86" i="15"/>
  <c r="AG86" i="15"/>
  <c r="AL86" i="15" s="1"/>
  <c r="AH88" i="15"/>
  <c r="AF88" i="15"/>
  <c r="AG88" i="15" s="1"/>
  <c r="AL88" i="15" s="1"/>
  <c r="AA88" i="15"/>
  <c r="AB88" i="15" s="1"/>
  <c r="AD87" i="15"/>
  <c r="AA86" i="15"/>
  <c r="AB86" i="15" s="1"/>
  <c r="AF82" i="15"/>
  <c r="AG82" i="15" s="1"/>
  <c r="AL82" i="15" s="1"/>
  <c r="AH82" i="15"/>
  <c r="AH83" i="15"/>
  <c r="AF83" i="15"/>
  <c r="AG83" i="15" s="1"/>
  <c r="AL83" i="15" s="1"/>
  <c r="AH75" i="15"/>
  <c r="AF75" i="15"/>
  <c r="AG75" i="15" s="1"/>
  <c r="AL75" i="15" s="1"/>
  <c r="AJ76" i="15"/>
  <c r="AK76" i="15" s="1"/>
  <c r="AM76" i="15" s="1"/>
  <c r="AF77" i="15"/>
  <c r="AG77" i="15" s="1"/>
  <c r="AL77" i="15" s="1"/>
  <c r="AH77" i="15"/>
  <c r="AH78" i="15"/>
  <c r="AF78" i="15"/>
  <c r="AG78" i="15" s="1"/>
  <c r="AL78" i="15" s="1"/>
  <c r="AH79" i="15"/>
  <c r="AF79" i="15"/>
  <c r="AG79" i="15" s="1"/>
  <c r="AL79" i="15" s="1"/>
  <c r="AD80" i="15"/>
  <c r="AA80" i="15"/>
  <c r="AB80" i="15" s="1"/>
  <c r="AH81" i="15"/>
  <c r="AF81" i="15"/>
  <c r="AG81" i="15" s="1"/>
  <c r="AL81" i="15" s="1"/>
  <c r="AA75" i="15"/>
  <c r="AB75" i="15" s="1"/>
  <c r="AF76" i="15"/>
  <c r="AG76" i="15" s="1"/>
  <c r="AL76" i="15" s="1"/>
  <c r="AA79" i="15"/>
  <c r="AB79" i="15" s="1"/>
  <c r="AA83" i="15"/>
  <c r="AB83" i="15" s="1"/>
  <c r="AA78" i="15"/>
  <c r="AB78" i="15" s="1"/>
  <c r="AA82" i="15"/>
  <c r="AB82" i="15" s="1"/>
  <c r="AA77" i="15"/>
  <c r="AB77" i="15" s="1"/>
  <c r="AH71" i="15"/>
  <c r="AF71" i="15"/>
  <c r="AG71" i="15" s="1"/>
  <c r="AL71" i="15" s="1"/>
  <c r="AA71" i="15"/>
  <c r="AB71" i="15" s="1"/>
  <c r="AF64" i="15"/>
  <c r="AG64" i="15" s="1"/>
  <c r="AL64" i="15" s="1"/>
  <c r="AH64" i="15"/>
  <c r="AH65" i="15"/>
  <c r="AF65" i="15"/>
  <c r="AG65" i="15" s="1"/>
  <c r="AL65" i="15" s="1"/>
  <c r="AH66" i="15"/>
  <c r="AF66" i="15"/>
  <c r="AG66" i="15" s="1"/>
  <c r="AL66" i="15" s="1"/>
  <c r="AJ67" i="15"/>
  <c r="AK67" i="15" s="1"/>
  <c r="AM67" i="15" s="1"/>
  <c r="AH68" i="15"/>
  <c r="AF68" i="15"/>
  <c r="AG68" i="15" s="1"/>
  <c r="AL68" i="15" s="1"/>
  <c r="AH69" i="15"/>
  <c r="AF69" i="15"/>
  <c r="AG69" i="15" s="1"/>
  <c r="AL69" i="15" s="1"/>
  <c r="AG67" i="15"/>
  <c r="AL67" i="15" s="1"/>
  <c r="AA65" i="15"/>
  <c r="AB65" i="15" s="1"/>
  <c r="AA69" i="15"/>
  <c r="AB69" i="15" s="1"/>
  <c r="AA64" i="15"/>
  <c r="AB64" i="15" s="1"/>
  <c r="AA68" i="15"/>
  <c r="AB68" i="15" s="1"/>
  <c r="AH52" i="15"/>
  <c r="AF52" i="15"/>
  <c r="AG52" i="15" s="1"/>
  <c r="AL52" i="15" s="1"/>
  <c r="AH53" i="15"/>
  <c r="AF53" i="15"/>
  <c r="AG53" i="15"/>
  <c r="AL53" i="15" s="1"/>
  <c r="AF55" i="15"/>
  <c r="AH55" i="15"/>
  <c r="AG55" i="15"/>
  <c r="AL55" i="15" s="1"/>
  <c r="AF50" i="15"/>
  <c r="AG50" i="15" s="1"/>
  <c r="AL50" i="15" s="1"/>
  <c r="AH54" i="15"/>
  <c r="AA52" i="15"/>
  <c r="AB52" i="15" s="1"/>
  <c r="AD57" i="15"/>
  <c r="AD56" i="15"/>
  <c r="AD51" i="15"/>
  <c r="AA55" i="15"/>
  <c r="AB55" i="15" s="1"/>
  <c r="AA53" i="15"/>
  <c r="AB53" i="15" s="1"/>
  <c r="AH47" i="15"/>
  <c r="AF47" i="15"/>
  <c r="AG47" i="15" s="1"/>
  <c r="AL47" i="15" s="1"/>
  <c r="AA47" i="15"/>
  <c r="AB47" i="15" s="1"/>
  <c r="AH40" i="15"/>
  <c r="AF40" i="15"/>
  <c r="AG40" i="15" s="1"/>
  <c r="AL40" i="15" s="1"/>
  <c r="AH42" i="15"/>
  <c r="AF42" i="15"/>
  <c r="AG42" i="15" s="1"/>
  <c r="AL42" i="15" s="1"/>
  <c r="AJ43" i="15"/>
  <c r="AK43" i="15" s="1"/>
  <c r="AM43" i="15" s="1"/>
  <c r="AH41" i="15"/>
  <c r="AF41" i="15"/>
  <c r="AG41" i="15" s="1"/>
  <c r="AL41" i="15" s="1"/>
  <c r="AF44" i="15"/>
  <c r="AG44" i="15" s="1"/>
  <c r="AL44" i="15" s="1"/>
  <c r="AH44" i="15"/>
  <c r="AH45" i="15"/>
  <c r="AF45" i="15"/>
  <c r="AG45" i="15" s="1"/>
  <c r="AL45" i="15" s="1"/>
  <c r="AA42" i="15"/>
  <c r="AB42" i="15" s="1"/>
  <c r="AF43" i="15"/>
  <c r="AG43" i="15"/>
  <c r="AL43" i="15" s="1"/>
  <c r="AA41" i="15"/>
  <c r="AB41" i="15" s="1"/>
  <c r="AA45" i="15"/>
  <c r="AB45" i="15" s="1"/>
  <c r="AA40" i="15"/>
  <c r="AB40" i="15" s="1"/>
  <c r="AA44" i="15"/>
  <c r="AB44" i="15" s="1"/>
  <c r="AF37" i="15"/>
  <c r="AG37" i="15" s="1"/>
  <c r="AL37" i="15" s="1"/>
  <c r="AH37" i="15"/>
  <c r="AH38" i="15"/>
  <c r="AF38" i="15"/>
  <c r="AG38" i="15" s="1"/>
  <c r="AL38" i="15" s="1"/>
  <c r="AF32" i="15"/>
  <c r="AH32" i="15"/>
  <c r="AG32" i="15"/>
  <c r="AL32" i="15" s="1"/>
  <c r="AH33" i="15"/>
  <c r="AF33" i="15"/>
  <c r="AG33" i="15" s="1"/>
  <c r="AL33" i="15" s="1"/>
  <c r="AH34" i="15"/>
  <c r="AG34" i="15"/>
  <c r="AL34" i="15" s="1"/>
  <c r="AF34" i="15"/>
  <c r="AH35" i="15"/>
  <c r="AF35" i="15"/>
  <c r="AG35" i="15" s="1"/>
  <c r="AL35" i="15" s="1"/>
  <c r="AJ36" i="15"/>
  <c r="AK36" i="15" s="1"/>
  <c r="AM36" i="15" s="1"/>
  <c r="AA35" i="15"/>
  <c r="AB35" i="15" s="1"/>
  <c r="AF36" i="15"/>
  <c r="AG36" i="15"/>
  <c r="AL36" i="15" s="1"/>
  <c r="AA34" i="15"/>
  <c r="AB34" i="15" s="1"/>
  <c r="AA38" i="15"/>
  <c r="AB38" i="15" s="1"/>
  <c r="AA33" i="15"/>
  <c r="AB33" i="15" s="1"/>
  <c r="AA37" i="15"/>
  <c r="AB37" i="15" s="1"/>
  <c r="AA32" i="15"/>
  <c r="AB32" i="15" s="1"/>
  <c r="AH22" i="15"/>
  <c r="AF22" i="15"/>
  <c r="AG22" i="15" s="1"/>
  <c r="AL22" i="15" s="1"/>
  <c r="AH23" i="15"/>
  <c r="AG23" i="15"/>
  <c r="AL23" i="15" s="1"/>
  <c r="AF23" i="15"/>
  <c r="AH24" i="15"/>
  <c r="AF24" i="15"/>
  <c r="AG24" i="15" s="1"/>
  <c r="AL24" i="15" s="1"/>
  <c r="AH25" i="15"/>
  <c r="AF25" i="15"/>
  <c r="AG25" i="15" s="1"/>
  <c r="AL25" i="15" s="1"/>
  <c r="AJ26" i="15"/>
  <c r="AK26" i="15" s="1"/>
  <c r="AM26" i="15" s="1"/>
  <c r="AF27" i="15"/>
  <c r="AG27" i="15" s="1"/>
  <c r="AL27" i="15" s="1"/>
  <c r="AH27" i="15"/>
  <c r="AH28" i="15"/>
  <c r="AG28" i="15"/>
  <c r="AL28" i="15" s="1"/>
  <c r="AF28" i="15"/>
  <c r="AH29" i="15"/>
  <c r="AF29" i="15"/>
  <c r="AG29" i="15" s="1"/>
  <c r="AL29" i="15" s="1"/>
  <c r="AA25" i="15"/>
  <c r="AB25" i="15" s="1"/>
  <c r="AF26" i="15"/>
  <c r="AG26" i="15"/>
  <c r="AL26" i="15" s="1"/>
  <c r="AA29" i="15"/>
  <c r="AB29" i="15" s="1"/>
  <c r="AA24" i="15"/>
  <c r="AB24" i="15" s="1"/>
  <c r="AA28" i="15"/>
  <c r="AB28" i="15" s="1"/>
  <c r="AA23" i="15"/>
  <c r="AB23" i="15" s="1"/>
  <c r="AA27" i="15"/>
  <c r="AB27" i="15" s="1"/>
  <c r="AA22" i="15"/>
  <c r="AB22" i="15" s="1"/>
  <c r="AJ17" i="15"/>
  <c r="AK17" i="15" s="1"/>
  <c r="AM17" i="15" s="1"/>
  <c r="AF18" i="15"/>
  <c r="AH18" i="15"/>
  <c r="AG18" i="15"/>
  <c r="AL18" i="15" s="1"/>
  <c r="AH19" i="15"/>
  <c r="AF19" i="15"/>
  <c r="AG19" i="15" s="1"/>
  <c r="AL19" i="15" s="1"/>
  <c r="AH20" i="15"/>
  <c r="AF20" i="15"/>
  <c r="AG20" i="15" s="1"/>
  <c r="AL20" i="15" s="1"/>
  <c r="AF17" i="15"/>
  <c r="AG17" i="15"/>
  <c r="AL17" i="15" s="1"/>
  <c r="AA20" i="15"/>
  <c r="AB20" i="15" s="1"/>
  <c r="AA19" i="15"/>
  <c r="AB19" i="15" s="1"/>
  <c r="AA18" i="15"/>
  <c r="AB18" i="15" s="1"/>
  <c r="AH16" i="15"/>
  <c r="AF16" i="15"/>
  <c r="AG16" i="15" s="1"/>
  <c r="AL16" i="15" s="1"/>
  <c r="AA16" i="15"/>
  <c r="AB16" i="15" s="1"/>
  <c r="AD7" i="15"/>
  <c r="AF7" i="15" s="1"/>
  <c r="AD11" i="15"/>
  <c r="AH11" i="15" s="1"/>
  <c r="AH14" i="15"/>
  <c r="AF14" i="15"/>
  <c r="AG14" i="15" s="1"/>
  <c r="AL14" i="15" s="1"/>
  <c r="AH8" i="15"/>
  <c r="AF8" i="15"/>
  <c r="AG8" i="15" s="1"/>
  <c r="AL8" i="15" s="1"/>
  <c r="AH9" i="15"/>
  <c r="AF9" i="15"/>
  <c r="AG9" i="15" s="1"/>
  <c r="AL9" i="15" s="1"/>
  <c r="AJ11" i="15"/>
  <c r="AK11" i="15" s="1"/>
  <c r="AM11" i="15" s="1"/>
  <c r="AF12" i="15"/>
  <c r="AG12" i="15"/>
  <c r="AL12" i="15" s="1"/>
  <c r="AH12" i="15"/>
  <c r="AH13" i="15"/>
  <c r="AF13" i="15"/>
  <c r="AG13" i="15" s="1"/>
  <c r="AL13" i="15" s="1"/>
  <c r="AF11" i="15"/>
  <c r="AG11" i="15"/>
  <c r="AL11" i="15" s="1"/>
  <c r="AD10" i="15"/>
  <c r="AA14" i="15"/>
  <c r="AB14" i="15" s="1"/>
  <c r="AA9" i="15"/>
  <c r="AB9" i="15" s="1"/>
  <c r="AA13" i="15"/>
  <c r="AB13" i="15" s="1"/>
  <c r="AA8" i="15"/>
  <c r="AB8" i="15" s="1"/>
  <c r="AA12" i="15"/>
  <c r="AB12" i="15" s="1"/>
  <c r="AB5" i="15"/>
  <c r="T25" i="15"/>
  <c r="U25" i="15" s="1"/>
  <c r="X18" i="15"/>
  <c r="X35" i="15"/>
  <c r="X37" i="15"/>
  <c r="X20" i="15"/>
  <c r="X14" i="15"/>
  <c r="X8" i="15"/>
  <c r="S9" i="15"/>
  <c r="T9" i="15" s="1"/>
  <c r="U9" i="15" s="1"/>
  <c r="X16" i="15"/>
  <c r="X23" i="15"/>
  <c r="X10" i="15"/>
  <c r="X17" i="15"/>
  <c r="X24" i="15"/>
  <c r="X22" i="15"/>
  <c r="S32" i="15"/>
  <c r="T32" i="15" s="1"/>
  <c r="U32" i="15" s="1"/>
  <c r="X38" i="15"/>
  <c r="X34" i="15"/>
  <c r="X13" i="15"/>
  <c r="X28" i="15"/>
  <c r="X29" i="15"/>
  <c r="X11" i="15"/>
  <c r="X25" i="15"/>
  <c r="X26" i="15"/>
  <c r="X19" i="15"/>
  <c r="S12" i="15"/>
  <c r="T12" i="15" s="1"/>
  <c r="U12" i="15" s="1"/>
  <c r="S33" i="15"/>
  <c r="T33" i="15" s="1"/>
  <c r="U33" i="15" s="1"/>
  <c r="Y7" i="16"/>
  <c r="T7" i="15"/>
  <c r="Q28" i="14"/>
  <c r="Q21" i="4"/>
  <c r="Q21" i="10"/>
  <c r="Q24" i="9"/>
  <c r="Q29" i="2"/>
  <c r="Q28" i="11"/>
  <c r="M10" i="11"/>
  <c r="S9" i="7"/>
  <c r="AH85" i="15" l="1"/>
  <c r="AD63" i="15"/>
  <c r="AA50" i="15"/>
  <c r="AB50" i="15" s="1"/>
  <c r="AF96" i="15"/>
  <c r="AG96" i="15" s="1"/>
  <c r="AL96" i="15" s="1"/>
  <c r="AH96" i="15"/>
  <c r="AH98" i="15"/>
  <c r="AF98" i="15"/>
  <c r="AG98" i="15" s="1"/>
  <c r="AL98" i="15" s="1"/>
  <c r="AJ97" i="15"/>
  <c r="AK97" i="15"/>
  <c r="AM97" i="15" s="1"/>
  <c r="AJ93" i="15"/>
  <c r="AK93" i="15"/>
  <c r="AM93" i="15" s="1"/>
  <c r="AJ92" i="15"/>
  <c r="AK92" i="15" s="1"/>
  <c r="AM92" i="15" s="1"/>
  <c r="AJ94" i="15"/>
  <c r="AK94" i="15" s="1"/>
  <c r="AM94" i="15" s="1"/>
  <c r="AJ86" i="15"/>
  <c r="AK86" i="15" s="1"/>
  <c r="AM86" i="15" s="1"/>
  <c r="AJ85" i="15"/>
  <c r="AK85" i="15" s="1"/>
  <c r="AM85" i="15" s="1"/>
  <c r="AJ88" i="15"/>
  <c r="AK88" i="15" s="1"/>
  <c r="AM88" i="15" s="1"/>
  <c r="AH87" i="15"/>
  <c r="AF87" i="15"/>
  <c r="AG87" i="15" s="1"/>
  <c r="AL87" i="15" s="1"/>
  <c r="AJ78" i="15"/>
  <c r="AK78" i="15" s="1"/>
  <c r="AM78" i="15" s="1"/>
  <c r="AJ77" i="15"/>
  <c r="AK77" i="15" s="1"/>
  <c r="AM77" i="15" s="1"/>
  <c r="AJ81" i="15"/>
  <c r="AK81" i="15" s="1"/>
  <c r="AM81" i="15" s="1"/>
  <c r="AH80" i="15"/>
  <c r="AF80" i="15"/>
  <c r="AG80" i="15" s="1"/>
  <c r="AL80" i="15" s="1"/>
  <c r="AJ75" i="15"/>
  <c r="AK75" i="15" s="1"/>
  <c r="AM75" i="15" s="1"/>
  <c r="AJ79" i="15"/>
  <c r="AK79" i="15" s="1"/>
  <c r="AM79" i="15" s="1"/>
  <c r="AJ83" i="15"/>
  <c r="AK83" i="15" s="1"/>
  <c r="AM83" i="15" s="1"/>
  <c r="AJ82" i="15"/>
  <c r="AK82" i="15" s="1"/>
  <c r="AM82" i="15" s="1"/>
  <c r="AJ71" i="15"/>
  <c r="AK71" i="15" s="1"/>
  <c r="AM71" i="15" s="1"/>
  <c r="AJ68" i="15"/>
  <c r="AK68" i="15"/>
  <c r="AM68" i="15" s="1"/>
  <c r="AJ66" i="15"/>
  <c r="AK66" i="15" s="1"/>
  <c r="AM66" i="15" s="1"/>
  <c r="AJ65" i="15"/>
  <c r="AK65" i="15" s="1"/>
  <c r="AM65" i="15" s="1"/>
  <c r="AJ64" i="15"/>
  <c r="AK64" i="15" s="1"/>
  <c r="AM64" i="15" s="1"/>
  <c r="AJ69" i="15"/>
  <c r="AK69" i="15"/>
  <c r="AM69" i="15" s="1"/>
  <c r="AJ55" i="15"/>
  <c r="AK55" i="15" s="1"/>
  <c r="AM55" i="15" s="1"/>
  <c r="AJ54" i="15"/>
  <c r="AK54" i="15" s="1"/>
  <c r="AM54" i="15" s="1"/>
  <c r="AJ50" i="15"/>
  <c r="AK50" i="15" s="1"/>
  <c r="AM50" i="15" s="1"/>
  <c r="AH56" i="15"/>
  <c r="AF56" i="15"/>
  <c r="AG56" i="15" s="1"/>
  <c r="AL56" i="15" s="1"/>
  <c r="AJ52" i="15"/>
  <c r="AK52" i="15" s="1"/>
  <c r="AM52" i="15" s="1"/>
  <c r="AJ53" i="15"/>
  <c r="AK53" i="15"/>
  <c r="AM53" i="15" s="1"/>
  <c r="AF51" i="15"/>
  <c r="AG51" i="15" s="1"/>
  <c r="AL51" i="15" s="1"/>
  <c r="AH51" i="15"/>
  <c r="AH57" i="15"/>
  <c r="AF57" i="15"/>
  <c r="AG57" i="15" s="1"/>
  <c r="AL57" i="15" s="1"/>
  <c r="AJ47" i="15"/>
  <c r="AK47" i="15" s="1"/>
  <c r="AM47" i="15" s="1"/>
  <c r="AJ44" i="15"/>
  <c r="AK44" i="15" s="1"/>
  <c r="AM44" i="15" s="1"/>
  <c r="AJ41" i="15"/>
  <c r="AK41" i="15" s="1"/>
  <c r="AM41" i="15" s="1"/>
  <c r="AJ42" i="15"/>
  <c r="AK42" i="15" s="1"/>
  <c r="AM42" i="15" s="1"/>
  <c r="AJ45" i="15"/>
  <c r="AK45" i="15" s="1"/>
  <c r="AM45" i="15" s="1"/>
  <c r="AJ40" i="15"/>
  <c r="AK40" i="15" s="1"/>
  <c r="AM40" i="15" s="1"/>
  <c r="AJ34" i="15"/>
  <c r="AK34" i="15" s="1"/>
  <c r="AM34" i="15" s="1"/>
  <c r="AJ33" i="15"/>
  <c r="AK33" i="15"/>
  <c r="AM33" i="15" s="1"/>
  <c r="AJ32" i="15"/>
  <c r="AK32" i="15" s="1"/>
  <c r="AM32" i="15" s="1"/>
  <c r="AJ38" i="15"/>
  <c r="AK38" i="15" s="1"/>
  <c r="AM38" i="15" s="1"/>
  <c r="AJ37" i="15"/>
  <c r="AK37" i="15" s="1"/>
  <c r="AM37" i="15" s="1"/>
  <c r="AJ35" i="15"/>
  <c r="AK35" i="15" s="1"/>
  <c r="AM35" i="15" s="1"/>
  <c r="AJ29" i="15"/>
  <c r="AK29" i="15" s="1"/>
  <c r="AM29" i="15" s="1"/>
  <c r="AJ28" i="15"/>
  <c r="AK28" i="15"/>
  <c r="AM28" i="15" s="1"/>
  <c r="AJ23" i="15"/>
  <c r="AK23" i="15" s="1"/>
  <c r="AM23" i="15" s="1"/>
  <c r="AJ27" i="15"/>
  <c r="AK27" i="15" s="1"/>
  <c r="AM27" i="15" s="1"/>
  <c r="AK25" i="15"/>
  <c r="AM25" i="15" s="1"/>
  <c r="AJ25" i="15"/>
  <c r="AJ24" i="15"/>
  <c r="AK24" i="15" s="1"/>
  <c r="AM24" i="15" s="1"/>
  <c r="AJ22" i="15"/>
  <c r="AK22" i="15" s="1"/>
  <c r="AM22" i="15" s="1"/>
  <c r="AJ20" i="15"/>
  <c r="AK20" i="15" s="1"/>
  <c r="AM20" i="15" s="1"/>
  <c r="AJ19" i="15"/>
  <c r="AK19" i="15"/>
  <c r="AM19" i="15" s="1"/>
  <c r="AJ18" i="15"/>
  <c r="AK18" i="15" s="1"/>
  <c r="AM18" i="15" s="1"/>
  <c r="AJ16" i="15"/>
  <c r="AK16" i="15" s="1"/>
  <c r="AM16" i="15" s="1"/>
  <c r="AH10" i="15"/>
  <c r="AF10" i="15"/>
  <c r="AG10" i="15" s="1"/>
  <c r="AL10" i="15" s="1"/>
  <c r="AJ8" i="15"/>
  <c r="AK8" i="15" s="1"/>
  <c r="AM8" i="15" s="1"/>
  <c r="AJ13" i="15"/>
  <c r="AK13" i="15" s="1"/>
  <c r="AM13" i="15" s="1"/>
  <c r="AJ12" i="15"/>
  <c r="AK12" i="15" s="1"/>
  <c r="AM12" i="15" s="1"/>
  <c r="AJ9" i="15"/>
  <c r="AK9" i="15" s="1"/>
  <c r="AM9" i="15" s="1"/>
  <c r="AJ14" i="15"/>
  <c r="AK14" i="15" s="1"/>
  <c r="AM14" i="15" s="1"/>
  <c r="X33" i="15"/>
  <c r="X12" i="15"/>
  <c r="X9" i="15"/>
  <c r="X32" i="15"/>
  <c r="U7" i="15"/>
  <c r="R7" i="16"/>
  <c r="S7" i="16" s="1"/>
  <c r="T7" i="16"/>
  <c r="V7" i="16" s="1"/>
  <c r="W7" i="16" s="1"/>
  <c r="M10" i="4"/>
  <c r="M13" i="10"/>
  <c r="M10" i="10"/>
  <c r="M10" i="9"/>
  <c r="M19" i="2"/>
  <c r="M16" i="2"/>
  <c r="I20" i="2"/>
  <c r="M17" i="2"/>
  <c r="O4" i="7"/>
  <c r="P4" i="14"/>
  <c r="O4" i="4"/>
  <c r="O4" i="10"/>
  <c r="O4" i="9"/>
  <c r="O4" i="2"/>
  <c r="O14" i="14"/>
  <c r="M15" i="7"/>
  <c r="AF63" i="15" l="1"/>
  <c r="AG63" i="15" s="1"/>
  <c r="AL63" i="15" s="1"/>
  <c r="AH63" i="15"/>
  <c r="AJ63" i="15" s="1"/>
  <c r="AK63" i="15" s="1"/>
  <c r="AM63" i="15" s="1"/>
  <c r="AJ98" i="15"/>
  <c r="AK98" i="15" s="1"/>
  <c r="AM98" i="15" s="1"/>
  <c r="AJ96" i="15"/>
  <c r="AK96" i="15" s="1"/>
  <c r="AM96" i="15" s="1"/>
  <c r="AJ87" i="15"/>
  <c r="AK87" i="15"/>
  <c r="AM87" i="15" s="1"/>
  <c r="AJ80" i="15"/>
  <c r="AK80" i="15" s="1"/>
  <c r="AM80" i="15" s="1"/>
  <c r="AJ56" i="15"/>
  <c r="AK56" i="15" s="1"/>
  <c r="AM56" i="15" s="1"/>
  <c r="AJ57" i="15"/>
  <c r="AK57" i="15" s="1"/>
  <c r="AM57" i="15" s="1"/>
  <c r="AJ51" i="15"/>
  <c r="AK51" i="15" s="1"/>
  <c r="AM51" i="15" s="1"/>
  <c r="AJ10" i="15"/>
  <c r="AK10" i="15" s="1"/>
  <c r="AM10" i="15" s="1"/>
  <c r="F7" i="11"/>
  <c r="J7" i="11"/>
  <c r="M9" i="7" l="1"/>
  <c r="M10" i="7"/>
  <c r="M11" i="10"/>
  <c r="S10" i="7" l="1"/>
  <c r="M13" i="7"/>
  <c r="M14" i="10" l="1"/>
  <c r="P19" i="2"/>
  <c r="Q19" i="2" s="1"/>
  <c r="H11" i="10"/>
  <c r="G11" i="10" s="1"/>
  <c r="M14" i="2"/>
  <c r="M20" i="2"/>
  <c r="H17" i="2"/>
  <c r="G17" i="2" s="1"/>
  <c r="L11" i="9"/>
  <c r="K11" i="9" s="1"/>
  <c r="H11" i="9"/>
  <c r="G11" i="9"/>
  <c r="P14" i="10" l="1"/>
  <c r="Q14" i="10" s="1"/>
  <c r="O14" i="10"/>
  <c r="N14" i="10"/>
  <c r="L14" i="10"/>
  <c r="K14" i="10" s="1"/>
  <c r="P11" i="10"/>
  <c r="Q11" i="10" s="1"/>
  <c r="N11" i="10"/>
  <c r="L11" i="10"/>
  <c r="K11" i="10" s="1"/>
  <c r="O11" i="10"/>
  <c r="L17" i="2"/>
  <c r="K17" i="2" s="1"/>
  <c r="N17" i="2"/>
  <c r="O17" i="2"/>
  <c r="P17" i="2"/>
  <c r="Q17" i="2" s="1"/>
  <c r="H19" i="2" l="1"/>
  <c r="G19" i="2" s="1"/>
  <c r="H10" i="9"/>
  <c r="G10" i="9" s="1"/>
  <c r="P13" i="10" l="1"/>
  <c r="P10" i="9" l="1"/>
  <c r="M20" i="7"/>
  <c r="Q17" i="14" l="1"/>
  <c r="R17" i="14" s="1"/>
  <c r="P17" i="14"/>
  <c r="O17" i="14"/>
  <c r="Q16" i="14"/>
  <c r="R16" i="14" s="1"/>
  <c r="P16" i="14"/>
  <c r="O16" i="14"/>
  <c r="Q13" i="14"/>
  <c r="R13" i="14" s="1"/>
  <c r="P13" i="14"/>
  <c r="O13" i="14"/>
  <c r="G13" i="14"/>
  <c r="I13" i="14" s="1"/>
  <c r="T19" i="14"/>
  <c r="P14" i="14" l="1"/>
  <c r="Q14" i="14"/>
  <c r="R14" i="14" s="1"/>
  <c r="T13" i="14"/>
  <c r="T14" i="14"/>
  <c r="T10" i="14"/>
  <c r="W10" i="14" s="1"/>
  <c r="T17" i="14" l="1"/>
  <c r="T11" i="14"/>
  <c r="W11" i="14" s="1"/>
  <c r="T16" i="14" l="1"/>
  <c r="K16" i="14" l="1"/>
  <c r="M16" i="14" s="1"/>
  <c r="K17" i="14"/>
  <c r="M17" i="14" s="1"/>
  <c r="K13" i="14"/>
  <c r="M13" i="14" s="1"/>
  <c r="M12" i="14"/>
  <c r="M29" i="7"/>
  <c r="M19" i="7" l="1"/>
  <c r="J21" i="7" l="1"/>
  <c r="Q12" i="14"/>
  <c r="R12" i="14" s="1"/>
  <c r="P12" i="14"/>
  <c r="O12" i="14"/>
  <c r="L12" i="14"/>
  <c r="I12" i="14"/>
  <c r="H12" i="14" s="1"/>
  <c r="P29" i="7" l="1"/>
  <c r="Q29" i="7" s="1"/>
  <c r="M30" i="7"/>
  <c r="P30" i="7" s="1"/>
  <c r="Q30" i="7" s="1"/>
  <c r="M18" i="7"/>
  <c r="M12" i="7"/>
  <c r="P12" i="7" s="1"/>
  <c r="Q12" i="7" s="1"/>
  <c r="P32" i="7"/>
  <c r="Q32" i="7" s="1"/>
  <c r="O31" i="7"/>
  <c r="O19" i="7"/>
  <c r="M17" i="7"/>
  <c r="O17" i="7" s="1"/>
  <c r="M16" i="7"/>
  <c r="M14" i="7" l="1"/>
  <c r="P14" i="7" s="1"/>
  <c r="Q14" i="7" s="1"/>
  <c r="M28" i="7"/>
  <c r="M24" i="7" s="1"/>
  <c r="N24" i="7" s="1"/>
  <c r="O12" i="7"/>
  <c r="N12" i="7"/>
  <c r="P31" i="7"/>
  <c r="Q31" i="7" s="1"/>
  <c r="N32" i="7"/>
  <c r="O32" i="7"/>
  <c r="N31" i="7"/>
  <c r="N29" i="7"/>
  <c r="N30" i="7"/>
  <c r="O30" i="7"/>
  <c r="O29" i="7"/>
  <c r="N19" i="7"/>
  <c r="P19" i="7"/>
  <c r="Q19" i="7" s="1"/>
  <c r="N17" i="7"/>
  <c r="P17" i="7"/>
  <c r="Q17" i="7" s="1"/>
  <c r="P28" i="7" l="1"/>
  <c r="Q28" i="7" s="1"/>
  <c r="N14" i="7"/>
  <c r="O14" i="7"/>
  <c r="J14" i="7"/>
  <c r="L14" i="7" s="1"/>
  <c r="K14" i="7" s="1"/>
  <c r="M25" i="7"/>
  <c r="P25" i="7" s="1"/>
  <c r="Q25" i="7" s="1"/>
  <c r="N28" i="7"/>
  <c r="O28" i="7"/>
  <c r="M27" i="7"/>
  <c r="M26" i="7"/>
  <c r="P24" i="7"/>
  <c r="Q24" i="7" s="1"/>
  <c r="O24" i="7"/>
  <c r="N25" i="7" l="1"/>
  <c r="O25" i="7"/>
  <c r="P26" i="7"/>
  <c r="Q26" i="7" s="1"/>
  <c r="N26" i="7"/>
  <c r="O26" i="7"/>
  <c r="O27" i="7"/>
  <c r="J27" i="7"/>
  <c r="N27" i="7"/>
  <c r="P27" i="7"/>
  <c r="Q27" i="7" s="1"/>
  <c r="J28" i="7" l="1"/>
  <c r="J24" i="7"/>
  <c r="L24" i="7" s="1"/>
  <c r="K24" i="7" s="1"/>
  <c r="J26" i="7"/>
  <c r="L27" i="7"/>
  <c r="K27" i="7" s="1"/>
  <c r="L26" i="7" l="1"/>
  <c r="K26" i="7" s="1"/>
  <c r="J25" i="7"/>
  <c r="L25" i="7" s="1"/>
  <c r="K25" i="7" s="1"/>
  <c r="J31" i="7"/>
  <c r="L31" i="7" s="1"/>
  <c r="K31" i="7" s="1"/>
  <c r="J29" i="7"/>
  <c r="L28" i="7"/>
  <c r="K28" i="7" s="1"/>
  <c r="J23" i="7"/>
  <c r="J22" i="7"/>
  <c r="N7" i="11"/>
  <c r="O7" i="14" s="1"/>
  <c r="J7" i="4"/>
  <c r="F7" i="2"/>
  <c r="Q13" i="10"/>
  <c r="O13" i="10"/>
  <c r="N13" i="10"/>
  <c r="L13" i="10"/>
  <c r="K13" i="10" s="1"/>
  <c r="J32" i="7" l="1"/>
  <c r="L32" i="7" s="1"/>
  <c r="K32" i="7" s="1"/>
  <c r="L29" i="7"/>
  <c r="K29" i="7" s="1"/>
  <c r="J30" i="7"/>
  <c r="L30" i="7" s="1"/>
  <c r="K30" i="7" s="1"/>
  <c r="J7" i="2"/>
  <c r="J7" i="9"/>
  <c r="J7" i="10"/>
  <c r="K7" i="14"/>
  <c r="F7" i="9"/>
  <c r="G7" i="14"/>
  <c r="F7" i="4"/>
  <c r="F7" i="10"/>
  <c r="N7" i="2"/>
  <c r="N7" i="10"/>
  <c r="N7" i="9"/>
  <c r="N7" i="4"/>
  <c r="Q10" i="14"/>
  <c r="R10" i="14" s="1"/>
  <c r="O11" i="14"/>
  <c r="P11" i="14"/>
  <c r="O19" i="14"/>
  <c r="P19" i="14"/>
  <c r="O21" i="14"/>
  <c r="P21" i="14"/>
  <c r="O10" i="14"/>
  <c r="P10" i="14"/>
  <c r="G21" i="14"/>
  <c r="I21" i="14" s="1"/>
  <c r="H21" i="14" s="1"/>
  <c r="G11" i="14"/>
  <c r="I11" i="14" s="1"/>
  <c r="H11" i="14" s="1"/>
  <c r="G10" i="14"/>
  <c r="I10" i="14" s="1"/>
  <c r="H10" i="14" s="1"/>
  <c r="Q11" i="14"/>
  <c r="R11" i="14" s="1"/>
  <c r="Q19" i="14"/>
  <c r="R19" i="14" s="1"/>
  <c r="Q21" i="14"/>
  <c r="R21" i="14" s="1"/>
  <c r="K19" i="14"/>
  <c r="M19" i="14" s="1"/>
  <c r="L19" i="14" s="1"/>
  <c r="K11" i="14"/>
  <c r="M11" i="14" s="1"/>
  <c r="L11" i="14" s="1"/>
  <c r="K21" i="14"/>
  <c r="M21" i="14" s="1"/>
  <c r="L21" i="14" s="1"/>
  <c r="H11" i="4"/>
  <c r="G11" i="4" s="1"/>
  <c r="H12" i="4"/>
  <c r="G12" i="4" s="1"/>
  <c r="H13" i="4"/>
  <c r="G13" i="4" s="1"/>
  <c r="M10" i="14"/>
  <c r="L10" i="14" s="1"/>
  <c r="L10" i="9" l="1"/>
  <c r="K10" i="9" s="1"/>
  <c r="P11" i="11"/>
  <c r="H14" i="2" l="1"/>
  <c r="G14" i="2" s="1"/>
  <c r="P10" i="4"/>
  <c r="Q10" i="4" s="1"/>
  <c r="L19" i="2"/>
  <c r="L10" i="10"/>
  <c r="N19" i="2"/>
  <c r="P16" i="2"/>
  <c r="Q16" i="2" s="1"/>
  <c r="N14" i="2"/>
  <c r="P14" i="2" l="1"/>
  <c r="Q14" i="2" s="1"/>
  <c r="O14" i="2"/>
  <c r="L14" i="2"/>
  <c r="K14" i="2" s="1"/>
  <c r="P11" i="2"/>
  <c r="B11" i="11" l="1"/>
  <c r="Q11" i="11"/>
  <c r="O11" i="11"/>
  <c r="N11" i="11"/>
  <c r="L11" i="11"/>
  <c r="K11" i="11" s="1"/>
  <c r="H11" i="11"/>
  <c r="G11" i="11" s="1"/>
  <c r="P10" i="10" l="1"/>
  <c r="Q10" i="10" s="1"/>
  <c r="O10" i="10"/>
  <c r="N10" i="10"/>
  <c r="K10" i="10"/>
  <c r="H10" i="10"/>
  <c r="G10" i="10" s="1"/>
  <c r="N11" i="9"/>
  <c r="O11" i="9"/>
  <c r="N12" i="9"/>
  <c r="O12" i="9"/>
  <c r="N13" i="9"/>
  <c r="O13" i="9"/>
  <c r="N14" i="9"/>
  <c r="O14" i="9"/>
  <c r="O10" i="9"/>
  <c r="N10" i="9"/>
  <c r="H14" i="9"/>
  <c r="G14" i="9" s="1"/>
  <c r="H13" i="9"/>
  <c r="G13" i="9" s="1"/>
  <c r="H12" i="9"/>
  <c r="G12" i="9" s="1"/>
  <c r="N11" i="4"/>
  <c r="O11" i="4"/>
  <c r="N12" i="4"/>
  <c r="O12" i="4"/>
  <c r="N13" i="4"/>
  <c r="O13" i="4"/>
  <c r="N10" i="4"/>
  <c r="O10" i="4"/>
  <c r="P12" i="4"/>
  <c r="Q12" i="4" s="1"/>
  <c r="L12" i="4"/>
  <c r="K12" i="4" s="1"/>
  <c r="P11" i="4"/>
  <c r="Q11" i="4" s="1"/>
  <c r="L11" i="4"/>
  <c r="K11" i="4" s="1"/>
  <c r="L13" i="4" l="1"/>
  <c r="K13" i="4" s="1"/>
  <c r="L10" i="4"/>
  <c r="K10" i="4" s="1"/>
  <c r="P13" i="9"/>
  <c r="Q13" i="9" s="1"/>
  <c r="L13" i="9"/>
  <c r="K13" i="9" s="1"/>
  <c r="P12" i="9"/>
  <c r="Q12" i="9" s="1"/>
  <c r="L12" i="9"/>
  <c r="K12" i="9" s="1"/>
  <c r="P14" i="9" l="1"/>
  <c r="Q14" i="9" s="1"/>
  <c r="L14" i="9"/>
  <c r="K14" i="9" s="1"/>
  <c r="P11" i="9"/>
  <c r="Q11" i="9" s="1"/>
  <c r="Q10" i="9"/>
  <c r="P13" i="4" l="1"/>
  <c r="Q13" i="4" s="1"/>
  <c r="P20" i="2"/>
  <c r="Q20" i="2" s="1"/>
  <c r="P21" i="2"/>
  <c r="Q21" i="2" s="1"/>
  <c r="Q11" i="2"/>
  <c r="P15" i="7"/>
  <c r="Q15" i="7" s="1"/>
  <c r="P20" i="7"/>
  <c r="Q20" i="7" s="1"/>
  <c r="O20" i="7" l="1"/>
  <c r="N20" i="7"/>
  <c r="L20" i="7"/>
  <c r="K20" i="7" s="1"/>
  <c r="O15" i="7"/>
  <c r="N15" i="7"/>
  <c r="M11" i="7"/>
  <c r="B10" i="7"/>
  <c r="B11" i="7" s="1"/>
  <c r="B12" i="7" s="1"/>
  <c r="B13" i="7" s="1"/>
  <c r="B14" i="7" s="1"/>
  <c r="B15" i="7" s="1"/>
  <c r="B16" i="7" s="1"/>
  <c r="B17" i="7" s="1"/>
  <c r="P9" i="7"/>
  <c r="Q9" i="7" s="1"/>
  <c r="B18" i="7" l="1"/>
  <c r="B19" i="7" s="1"/>
  <c r="B20" i="7" s="1"/>
  <c r="B21" i="7" s="1"/>
  <c r="B22" i="7" s="1"/>
  <c r="B23" i="7" s="1"/>
  <c r="B24" i="7" s="1"/>
  <c r="B25" i="7" s="1"/>
  <c r="B26" i="7" s="1"/>
  <c r="B27" i="7" s="1"/>
  <c r="B28" i="7" s="1"/>
  <c r="B29" i="7" s="1"/>
  <c r="B30" i="7" s="1"/>
  <c r="B31" i="7" s="1"/>
  <c r="J13" i="7"/>
  <c r="O11" i="7"/>
  <c r="P11" i="7"/>
  <c r="Q11" i="7" s="1"/>
  <c r="P16" i="7"/>
  <c r="Q16" i="7" s="1"/>
  <c r="P18" i="7"/>
  <c r="Q18" i="7" s="1"/>
  <c r="O9" i="7"/>
  <c r="O13" i="7"/>
  <c r="P13" i="7"/>
  <c r="Q13" i="7" s="1"/>
  <c r="P10" i="7"/>
  <c r="Q10" i="7" s="1"/>
  <c r="N13" i="7"/>
  <c r="N18" i="7"/>
  <c r="N9" i="7"/>
  <c r="O10" i="7"/>
  <c r="N11" i="7"/>
  <c r="O16" i="7"/>
  <c r="N10" i="7"/>
  <c r="O18" i="7"/>
  <c r="N16" i="7"/>
  <c r="P21" i="7" l="1"/>
  <c r="Q21" i="7" s="1"/>
  <c r="J9" i="7"/>
  <c r="L9" i="7" s="1"/>
  <c r="K9" i="7" s="1"/>
  <c r="J11" i="7"/>
  <c r="J15" i="7"/>
  <c r="J12" i="7" s="1"/>
  <c r="L12" i="7" s="1"/>
  <c r="K12" i="7" s="1"/>
  <c r="P22" i="7"/>
  <c r="Q22" i="7" s="1"/>
  <c r="L22" i="7"/>
  <c r="K22" i="7" s="1"/>
  <c r="O22" i="7"/>
  <c r="N22" i="7"/>
  <c r="L13" i="7"/>
  <c r="K13" i="7" s="1"/>
  <c r="O21" i="7" l="1"/>
  <c r="N21" i="7"/>
  <c r="L21" i="7"/>
  <c r="K21" i="7" s="1"/>
  <c r="P23" i="7"/>
  <c r="Q23" i="7" s="1"/>
  <c r="L23" i="7"/>
  <c r="K23" i="7" s="1"/>
  <c r="O23" i="7"/>
  <c r="N23" i="7"/>
  <c r="L15" i="7"/>
  <c r="K15" i="7" s="1"/>
  <c r="J16" i="7"/>
  <c r="J19" i="7" s="1"/>
  <c r="L19" i="7" s="1"/>
  <c r="K19" i="7" s="1"/>
  <c r="J18" i="7"/>
  <c r="L18" i="7" s="1"/>
  <c r="K18" i="7" s="1"/>
  <c r="J10" i="7"/>
  <c r="L10" i="7" s="1"/>
  <c r="K10" i="7" s="1"/>
  <c r="L11" i="7"/>
  <c r="K11" i="7" s="1"/>
  <c r="L16" i="7" l="1"/>
  <c r="K16" i="7" s="1"/>
  <c r="J17" i="7"/>
  <c r="L17" i="7" s="1"/>
  <c r="K17" i="7" s="1"/>
  <c r="O21" i="2" l="1"/>
  <c r="N21" i="2"/>
  <c r="O20" i="2"/>
  <c r="N20" i="2"/>
  <c r="O19" i="2"/>
  <c r="H21" i="2"/>
  <c r="G21" i="2" s="1"/>
  <c r="H20" i="2"/>
  <c r="G20" i="2" s="1"/>
  <c r="B12" i="2" l="1"/>
  <c r="J12" i="2"/>
  <c r="F12" i="2"/>
  <c r="H11" i="2"/>
  <c r="L21" i="2"/>
  <c r="K21" i="2" s="1"/>
  <c r="L20" i="2"/>
  <c r="K20" i="2" s="1"/>
  <c r="K19" i="2"/>
  <c r="N16" i="2"/>
  <c r="N11" i="2"/>
  <c r="P12" i="2" l="1"/>
  <c r="Q12" i="2" s="1"/>
  <c r="O12" i="2"/>
  <c r="L12" i="2"/>
  <c r="K12" i="2" s="1"/>
  <c r="H12" i="2"/>
  <c r="G12" i="2" s="1"/>
  <c r="N12" i="2"/>
  <c r="O16" i="2" l="1"/>
  <c r="L16" i="2"/>
  <c r="K16" i="2" s="1"/>
  <c r="H16" i="2"/>
  <c r="G16" i="2" s="1"/>
  <c r="O11" i="2"/>
  <c r="L11" i="2"/>
  <c r="K11" i="2" s="1"/>
  <c r="G11" i="2"/>
  <c r="N10" i="11" l="1"/>
  <c r="P10" i="11"/>
  <c r="Q10" i="11" s="1"/>
  <c r="O10" i="11"/>
  <c r="L10" i="11"/>
  <c r="K10" i="11" s="1"/>
  <c r="AH7" i="15"/>
  <c r="AG7" i="15"/>
  <c r="AL7" i="15" s="1"/>
  <c r="AJ7" i="15" l="1"/>
  <c r="AK7" i="15"/>
  <c r="AM7" i="15" s="1"/>
  <c r="W59" i="15"/>
  <c r="X59" i="15" s="1"/>
  <c r="Z59" i="15"/>
  <c r="AA59" i="15" s="1"/>
  <c r="AB59" i="15" s="1"/>
  <c r="AD59" i="15" l="1"/>
  <c r="AF59" i="15" l="1"/>
  <c r="AH59" i="15"/>
  <c r="AG59" i="15"/>
  <c r="AL59" i="15" s="1"/>
  <c r="AJ59" i="15" l="1"/>
  <c r="AK59" i="15" s="1"/>
  <c r="AM5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8B6BCF2B-29E3-4551-B9A1-F7B4CF82716C}">
      <text>
        <r>
          <rPr>
            <b/>
            <sz val="9"/>
            <color indexed="81"/>
            <rFont val="Tahoma"/>
            <family val="2"/>
          </rPr>
          <t>Tâm, Lưu Thị Minh:</t>
        </r>
        <r>
          <rPr>
            <sz val="9"/>
            <color indexed="81"/>
            <rFont val="Tahoma"/>
            <family val="2"/>
          </rPr>
          <t xml:space="preserve">
</t>
        </r>
        <r>
          <rPr>
            <sz val="12"/>
            <color indexed="81"/>
            <rFont val="Tahoma"/>
            <family val="2"/>
          </rPr>
          <t>T12/24: 860 USD
T1/25: 820 USD
T2: 850 USD
T3: 840 USD
T4: 810 USD
T5: 750 USD
T6: 800 USD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8D58C7A6-BEE6-479B-8684-A004D9C0407B}">
      <text>
        <r>
          <rPr>
            <b/>
            <sz val="9"/>
            <color indexed="81"/>
            <rFont val="Tahoma"/>
            <family val="2"/>
          </rPr>
          <t>Tâm, Lưu Thị Minh:</t>
        </r>
        <r>
          <rPr>
            <sz val="9"/>
            <color indexed="81"/>
            <rFont val="Tahoma"/>
            <family val="2"/>
          </rPr>
          <t xml:space="preserve">
</t>
        </r>
        <r>
          <rPr>
            <sz val="11"/>
            <color indexed="81"/>
            <rFont val="Tahoma"/>
            <family val="2"/>
          </rPr>
          <t>T12: 970 USD
T1: 940 USD
T2: 940 USD
T3: 896 USD
T4: 896 USD
T5: 890 USD
T6: 860 USD</t>
        </r>
      </text>
    </comment>
    <comment ref="D14" authorId="0" shapeId="0" xr:uid="{EB7F079E-7245-43A7-B436-59D89F1B2B8C}">
      <text>
        <r>
          <rPr>
            <b/>
            <sz val="9"/>
            <color indexed="81"/>
            <rFont val="Tahoma"/>
            <family val="2"/>
          </rPr>
          <t>Tâm, Lưu Thị Minh:</t>
        </r>
        <r>
          <rPr>
            <sz val="9"/>
            <color indexed="81"/>
            <rFont val="Tahoma"/>
            <family val="2"/>
          </rPr>
          <t xml:space="preserve">
MBF01</t>
        </r>
      </text>
    </comment>
    <comment ref="R16" authorId="0" shapeId="0" xr:uid="{A7F38A13-1329-4A66-AA0E-EA79BC629CF3}">
      <text>
        <r>
          <rPr>
            <b/>
            <sz val="9"/>
            <color indexed="81"/>
            <rFont val="Tahoma"/>
            <family val="2"/>
          </rPr>
          <t>Tâm, Lưu Thị Minh:</t>
        </r>
        <r>
          <rPr>
            <sz val="9"/>
            <color indexed="81"/>
            <rFont val="Tahoma"/>
            <family val="2"/>
          </rPr>
          <t xml:space="preserve">
giá chính phẳm
T12: 940 USD
T1: 940 USD
T2: 940 USD
T3: 950 USD
T4: 950 USD
T5: 900 USD
T6: 910 USD</t>
        </r>
      </text>
    </comment>
    <comment ref="Q19" authorId="0" shapeId="0" xr:uid="{F43EBE22-2EAF-4992-9DC8-CB824F9E1DF9}">
      <text>
        <r>
          <rPr>
            <b/>
            <sz val="9"/>
            <color indexed="81"/>
            <rFont val="Tahoma"/>
            <family val="2"/>
          </rPr>
          <t>Tâm, Lưu Thị Minh:</t>
        </r>
        <r>
          <rPr>
            <sz val="9"/>
            <color indexed="81"/>
            <rFont val="Tahoma"/>
            <family val="2"/>
          </rPr>
          <t xml:space="preserve">
</t>
        </r>
        <r>
          <rPr>
            <sz val="12"/>
            <color indexed="81"/>
            <rFont val="Tahoma"/>
            <family val="2"/>
          </rPr>
          <t>Hạt rẻ hơn chính phẩm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D35CC372-CDD0-4C88-872A-5679C915D414}">
      <text>
        <r>
          <rPr>
            <b/>
            <sz val="9"/>
            <color indexed="81"/>
            <rFont val="Tahoma"/>
            <family val="2"/>
          </rPr>
          <t>Tâm, Lưu Thị Minh:</t>
        </r>
        <r>
          <rPr>
            <sz val="9"/>
            <color indexed="81"/>
            <rFont val="Tahoma"/>
            <family val="2"/>
          </rPr>
          <t xml:space="preserve">
</t>
        </r>
        <r>
          <rPr>
            <sz val="11"/>
            <color indexed="81"/>
            <rFont val="Tahoma"/>
            <family val="2"/>
          </rPr>
          <t>T12: 940 USD
T1: 940 USD
T2: 940 USD
T3: 950 USD
T4: 950 USD
T5: 900 USD
T6: 910 USD</t>
        </r>
      </text>
    </comment>
    <comment ref="Q10" authorId="0" shapeId="0" xr:uid="{959F9A7D-B7BA-4DA2-86B7-1AC50046E107}">
      <text>
        <r>
          <rPr>
            <b/>
            <sz val="9"/>
            <color indexed="81"/>
            <rFont val="Tahoma"/>
            <family val="2"/>
          </rPr>
          <t>Tâm, Lưu Thị Minh:</t>
        </r>
        <r>
          <rPr>
            <sz val="9"/>
            <color indexed="81"/>
            <rFont val="Tahoma"/>
            <family val="2"/>
          </rPr>
          <t xml:space="preserve">
</t>
        </r>
        <r>
          <rPr>
            <sz val="11"/>
            <color indexed="81"/>
            <rFont val="Tahoma"/>
            <family val="2"/>
          </rPr>
          <t>Vảy rẻ hơn chính phẩm 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92E06F01-F41C-406E-91DC-98B78843B8D9}">
      <text>
        <r>
          <rPr>
            <b/>
            <sz val="9"/>
            <color indexed="81"/>
            <rFont val="Tahoma"/>
            <family val="2"/>
          </rPr>
          <t>Tâm, Lưu Thị Minh:</t>
        </r>
        <r>
          <rPr>
            <sz val="9"/>
            <color indexed="81"/>
            <rFont val="Tahoma"/>
            <family val="2"/>
          </rPr>
          <t xml:space="preserve">
</t>
        </r>
        <r>
          <rPr>
            <sz val="11"/>
            <color indexed="81"/>
            <rFont val="Tahoma"/>
            <family val="2"/>
          </rPr>
          <t>T12: 970 USD
T1: 960 USD
T2: 980 USD
T3: 990 USD
T4: 980 USD
T5: 960 USD</t>
        </r>
      </text>
    </comment>
    <comment ref="Q13" authorId="0" shapeId="0" xr:uid="{57F05BAF-1922-4C49-AF27-E1A214C70F0D}">
      <text>
        <r>
          <rPr>
            <b/>
            <sz val="9"/>
            <color indexed="81"/>
            <rFont val="Tahoma"/>
            <family val="2"/>
          </rPr>
          <t>Tâm, Lưu Thị Minh:</t>
        </r>
        <r>
          <rPr>
            <sz val="9"/>
            <color indexed="81"/>
            <rFont val="Tahoma"/>
            <family val="2"/>
          </rPr>
          <t xml:space="preserve">
</t>
        </r>
        <r>
          <rPr>
            <sz val="12"/>
            <color indexed="81"/>
            <rFont val="Tahoma"/>
            <family val="2"/>
          </rPr>
          <t>Hạt rẻ hơn chính phẩm 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E991F6C6-282D-4786-83F4-A0DDC98607B8}">
      <text>
        <r>
          <rPr>
            <b/>
            <sz val="9"/>
            <color indexed="81"/>
            <rFont val="Tahoma"/>
            <family val="2"/>
          </rPr>
          <t>Tâm, Lưu Thị Minh:</t>
        </r>
        <r>
          <rPr>
            <sz val="9"/>
            <color indexed="81"/>
            <rFont val="Tahoma"/>
            <family val="2"/>
          </rPr>
          <t xml:space="preserve">
T12: 970 USD
T1: 960 USD
T2: 980 USD
T3: 990 USD
T4: 980 USD
T5: 960 USD
T6: 930 USD</t>
        </r>
      </text>
    </comment>
    <comment ref="Q10" authorId="0" shapeId="0" xr:uid="{E3798C23-90D1-4CCC-8205-2BF9C0BF0A58}">
      <text>
        <r>
          <rPr>
            <b/>
            <sz val="9"/>
            <color indexed="81"/>
            <rFont val="Tahoma"/>
            <family val="2"/>
          </rPr>
          <t>Tâm, Lưu Thị Minh:</t>
        </r>
        <r>
          <rPr>
            <sz val="9"/>
            <color indexed="81"/>
            <rFont val="Tahoma"/>
            <family val="2"/>
          </rPr>
          <t xml:space="preserve">
</t>
        </r>
        <r>
          <rPr>
            <sz val="11"/>
            <color indexed="81"/>
            <rFont val="Tahoma"/>
            <family val="2"/>
          </rPr>
          <t>Vảy rẻ hơn chính phẩm 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P6" authorId="0" shapeId="0" xr:uid="{1CDF25A9-1612-47C1-A73E-4619CE18DF84}">
      <text>
        <r>
          <rPr>
            <b/>
            <sz val="9"/>
            <color indexed="81"/>
            <rFont val="Tahoma"/>
            <family val="2"/>
          </rPr>
          <t>Tâm, Lưu Thị Minh:</t>
        </r>
        <r>
          <rPr>
            <sz val="9"/>
            <color indexed="81"/>
            <rFont val="Tahoma"/>
            <family val="2"/>
          </rPr>
          <t xml:space="preserve">
</t>
        </r>
        <r>
          <rPr>
            <sz val="12"/>
            <color indexed="81"/>
            <rFont val="Tahoma"/>
            <family val="2"/>
          </rPr>
          <t>T12: 860 USD
T1: 820 USD
T2: 850 USD
T3: 840 USD
T4: 810 USD
T5: 750 USD
T6: 800 USD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Z3" authorId="0" shapeId="0" xr:uid="{B2EB7821-060B-4810-A4C6-199203590EA5}">
      <text>
        <r>
          <rPr>
            <b/>
            <sz val="9"/>
            <color indexed="81"/>
            <rFont val="Tahoma"/>
            <family val="2"/>
          </rPr>
          <t>Tâm, Lưu Thị Minh:</t>
        </r>
        <r>
          <rPr>
            <sz val="9"/>
            <color indexed="81"/>
            <rFont val="Tahoma"/>
            <family val="2"/>
          </rPr>
          <t xml:space="preserve">
</t>
        </r>
        <r>
          <rPr>
            <sz val="12"/>
            <color indexed="81"/>
            <rFont val="Tahoma"/>
            <family val="2"/>
          </rPr>
          <t>T12/24: 860 USD
T1/25: 820 USD
T2: 850 USD
T3: 840 USD
T4: 810 USD
T5: 750 USD
T6: 800 USD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tc={D10953EA-3446-4048-9FEE-3C12F7F6DEA7}</author>
    <author>Tâm, Lưu Thị Minh</author>
  </authors>
  <commentList>
    <comment ref="Z6" authorId="0" shapeId="0" xr:uid="{D10953EA-3446-4048-9FEE-3C12F7F6DEA7}">
      <text>
        <t xml:space="preserve">[Threaded comment]
Your version of Excel allows you to read this threaded comment; however, any edits to it will get removed if the file is opened in a newer version of Excel. Learn more: https://go.microsoft.com/fwlink/?linkid=870924
Comment:
    Cho phép </t>
      </text>
    </comment>
    <comment ref="P20" authorId="1" shapeId="0" xr:uid="{104D57C7-9A39-48E4-A9A4-71C0E9ACE429}">
      <text>
        <r>
          <rPr>
            <sz val="9"/>
            <color indexed="81"/>
            <rFont val="Tahoma"/>
            <family val="2"/>
          </rPr>
          <t>Hàng chuyển mã do kiểm kê</t>
        </r>
      </text>
    </comment>
  </commentList>
</comments>
</file>

<file path=xl/sharedStrings.xml><?xml version="1.0" encoding="utf-8"?>
<sst xmlns="http://schemas.openxmlformats.org/spreadsheetml/2006/main" count="1247" uniqueCount="445">
  <si>
    <t>Sản phẩm</t>
  </si>
  <si>
    <t>Trần Duy Hy</t>
  </si>
  <si>
    <t>STT</t>
  </si>
  <si>
    <t>Mức IV</t>
  </si>
  <si>
    <t>Hạt rPET WSS03</t>
  </si>
  <si>
    <t>Hạt rPET WSS02</t>
  </si>
  <si>
    <t>Hạt rPET ISS01</t>
  </si>
  <si>
    <t>Lưu ý:</t>
  </si>
  <si>
    <t xml:space="preserve"> </t>
  </si>
  <si>
    <t>Mã sản phẩm</t>
  </si>
  <si>
    <t>110000332</t>
  </si>
  <si>
    <t>110000355</t>
  </si>
  <si>
    <t>110000330</t>
  </si>
  <si>
    <t>110000354</t>
  </si>
  <si>
    <t>110000329</t>
  </si>
  <si>
    <t>110000331</t>
  </si>
  <si>
    <t>110000333</t>
  </si>
  <si>
    <t>110000361</t>
  </si>
  <si>
    <t>110000373</t>
  </si>
  <si>
    <t>Chủ Tịch</t>
  </si>
  <si>
    <t>Giám Đốc Tài Chính</t>
  </si>
  <si>
    <t>Kế Toán</t>
  </si>
  <si>
    <t>0.84</t>
  </si>
  <si>
    <t>0.80</t>
  </si>
  <si>
    <t>0.78</t>
  </si>
  <si>
    <t>0.74</t>
  </si>
  <si>
    <t>0.70</t>
  </si>
  <si>
    <t>Giá xuất xưởng DTR (USD/tấn)</t>
  </si>
  <si>
    <t>Giám Đốc Kinh Doanh</t>
  </si>
  <si>
    <t xml:space="preserve">Huỳnh Ngọc Thạch            </t>
  </si>
  <si>
    <t xml:space="preserve"> Dương Từ Uyên Thảo</t>
  </si>
  <si>
    <t>Giá Bán
(1)</t>
  </si>
  <si>
    <t>$</t>
  </si>
  <si>
    <t>%</t>
  </si>
  <si>
    <t>Màu đỏ</t>
  </si>
  <si>
    <t>Chiết Khấu
(3)</t>
  </si>
  <si>
    <t>Giá bán sau chiết khấu
(4)=(1)-(3)</t>
  </si>
  <si>
    <t>% Chiết khấu 
(2)</t>
  </si>
  <si>
    <t>Hạt rHDI3R01</t>
  </si>
  <si>
    <r>
      <t>1. Giá FOB = Giá xuất xưởng (EXW) +</t>
    </r>
    <r>
      <rPr>
        <sz val="13"/>
        <color rgb="FFC00000"/>
        <rFont val="Times New Roman"/>
        <family val="1"/>
      </rPr>
      <t xml:space="preserve"> USD 20/tấn</t>
    </r>
  </si>
  <si>
    <t>Không màu</t>
  </si>
  <si>
    <t>Màu</t>
  </si>
  <si>
    <t>Hạt nhựa rPET iSS01L</t>
  </si>
  <si>
    <t>I</t>
  </si>
  <si>
    <t>II</t>
  </si>
  <si>
    <t>Đen</t>
  </si>
  <si>
    <t>0.63</t>
  </si>
  <si>
    <t>3. Bảng giá áp dụng cho việc phát triển khách hàng mới, lưu hành nội bộ</t>
  </si>
  <si>
    <t>Vảy HD Ép Vàng</t>
  </si>
  <si>
    <t>Vảy HD Ép Lá</t>
  </si>
  <si>
    <t>Vảy HD Ép Dương</t>
  </si>
  <si>
    <t>110000421</t>
  </si>
  <si>
    <t>110000422</t>
  </si>
  <si>
    <t>110000423</t>
  </si>
  <si>
    <t>110000424</t>
  </si>
  <si>
    <t>Vảy PP Đỏ Đậm</t>
  </si>
  <si>
    <t>Vảy PP Dương Nhạt</t>
  </si>
  <si>
    <t>Vảy PP Dương Đậm</t>
  </si>
  <si>
    <t>Đỏ, dương</t>
  </si>
  <si>
    <t>Vảy PP màu</t>
  </si>
  <si>
    <t>Đỏ, Trắng, Vàng, Lá, Dương</t>
  </si>
  <si>
    <t>Vảy HD màu</t>
  </si>
  <si>
    <t>Hạt nhựa rPP màu</t>
  </si>
  <si>
    <t>Trắng, lá, vàng</t>
  </si>
  <si>
    <t>Hạt rHD ép màu</t>
  </si>
  <si>
    <t>Hạt nhựa rHD Thổi màu</t>
  </si>
  <si>
    <t>NHÓM KHÁCH HÀNG PHÁT TRIỂN BỀN VỮNG</t>
  </si>
  <si>
    <t xml:space="preserve">2. Ủy quyền cho GĐĐH duyệt theo đơn đặt hàng: biên độ +/-10%  so với giá xuất xưởng DTR </t>
  </si>
  <si>
    <t>1. Giá trên là giá xuất xưởng (EXW), nếu vận chuyển đến khách hàng thì cộng thêm phí vận chuyển</t>
  </si>
  <si>
    <t>A</t>
  </si>
  <si>
    <t>B</t>
  </si>
  <si>
    <t xml:space="preserve">III. rHDPE ÉP </t>
  </si>
  <si>
    <t>Hạt nhựa rPP20B01</t>
  </si>
  <si>
    <t>Trong</t>
  </si>
  <si>
    <t>Đục</t>
  </si>
  <si>
    <t>0.40 ~ 0.50</t>
  </si>
  <si>
    <t>Xám</t>
  </si>
  <si>
    <t>IV/MI</t>
  </si>
  <si>
    <t>3.00 ± 2.00</t>
  </si>
  <si>
    <t>20.00 ± 10.00</t>
  </si>
  <si>
    <t>Lưu Thị Minh Tâm</t>
  </si>
  <si>
    <t>Hạt Nhựa rPET WSS06SP-1</t>
  </si>
  <si>
    <t>Hạt Nhựa rPET WSS06SP-2</t>
  </si>
  <si>
    <t>110000358</t>
  </si>
  <si>
    <t>Hạt nhựa rPET WSS02G</t>
  </si>
  <si>
    <t>110000359</t>
  </si>
  <si>
    <t>Hạt nhựa rPET WSS03G</t>
  </si>
  <si>
    <t>110000376</t>
  </si>
  <si>
    <t>110000381</t>
  </si>
  <si>
    <t>110000382</t>
  </si>
  <si>
    <t>110000378</t>
  </si>
  <si>
    <t>Hạt nhựa rPET iSS01G 2</t>
  </si>
  <si>
    <t>110000377</t>
  </si>
  <si>
    <t>Hạt nhựa rPET WSS01G 2</t>
  </si>
  <si>
    <t>110000387</t>
  </si>
  <si>
    <t xml:space="preserve">0.70 </t>
  </si>
  <si>
    <t>Hạt nhựa rPET WSS03SD</t>
  </si>
  <si>
    <t>Hạt nhựa rPET WSS05SB</t>
  </si>
  <si>
    <t>Hòa vốn</t>
  </si>
  <si>
    <t>Hạt Nhựa rPET WSS05SB-2</t>
  </si>
  <si>
    <t>Hạt Nhựa rPET WSS05SB-3</t>
  </si>
  <si>
    <t>0.50 ~ 0.60</t>
  </si>
  <si>
    <t>Hạt nhựa rPET WSS04SD</t>
  </si>
  <si>
    <t>Hạt nhựa rPET WSS04SB</t>
  </si>
  <si>
    <t>Hạt Nhựa rHDI3Gy02</t>
  </si>
  <si>
    <t>Hạt nhựa rHDB04B01</t>
  </si>
  <si>
    <t>Hạt Nhựa rHDB03N03</t>
  </si>
  <si>
    <t xml:space="preserve">0.4 ± 0.1 </t>
  </si>
  <si>
    <t>0.3 ± 0.05</t>
  </si>
  <si>
    <t>100% B6</t>
  </si>
  <si>
    <t>Công thức</t>
  </si>
  <si>
    <t>80% PS hạt HD thổi lẫn màu/kim loại</t>
  </si>
  <si>
    <t>WSS006SP-2 (bụi tank C,D đã gia công)</t>
  </si>
  <si>
    <t>WSS006SP-1 (vảy PET tuyển nổi 2)</t>
  </si>
  <si>
    <t>82%B6+18%B7</t>
  </si>
  <si>
    <t>90%B6+10%B5</t>
  </si>
  <si>
    <t xml:space="preserve">Vảy B6 mua Đại Lộc: 18.250, Bình B7 mua lavie : 8.550, Chai B5 mua trạm: 12.000:  </t>
  </si>
  <si>
    <t>2. Hạt xơ sợi: giá bán 1.100 usd/tấn, chào khách để bán được hàng là +/- 55usd/tấn</t>
  </si>
  <si>
    <t>Không mua giá ICIS HD, PP nữa</t>
  </si>
  <si>
    <t>Không màu, Trắng, lá, vàng, đen</t>
  </si>
  <si>
    <t>TC-TCH-01/ BM01</t>
  </si>
  <si>
    <t>TC-TCH-01/ BM02</t>
  </si>
  <si>
    <t>TC-TCH-01/ BM04</t>
  </si>
  <si>
    <t>TC-TCH-01/ BM05</t>
  </si>
  <si>
    <t>TC-TCH-01/ BM06</t>
  </si>
  <si>
    <t>TC-TCH-01/ BM07</t>
  </si>
  <si>
    <t>TC-TCH-01/ BM08</t>
  </si>
  <si>
    <t>V0 -04/10/2024</t>
  </si>
  <si>
    <t>110000488</t>
  </si>
  <si>
    <t>110000486</t>
  </si>
  <si>
    <t>110000493</t>
  </si>
  <si>
    <t>110000492</t>
  </si>
  <si>
    <t>110000484</t>
  </si>
  <si>
    <t>Hạt nhựa rPET WSS03</t>
  </si>
  <si>
    <t>Hạt nhựa rPET WSS02</t>
  </si>
  <si>
    <t>Hạt nhựa rPET WSS01</t>
  </si>
  <si>
    <t>Hạt nhựa rPET WSS01G 1</t>
  </si>
  <si>
    <t>Hạt nhựa rPET iSS01G 1</t>
  </si>
  <si>
    <t>Hạt nhựa rPET iSS01</t>
  </si>
  <si>
    <t>Hạt nhựa rPET iSS01084G</t>
  </si>
  <si>
    <t>Hạt Nhựa rPET iSS01084G PL</t>
  </si>
  <si>
    <t>Hạt Nhựa rPET WSS03G PL</t>
  </si>
  <si>
    <t>Hạt Nhựa rPET WSS01 PL</t>
  </si>
  <si>
    <t>Hạt Nhựa rPET WSS01G 1 PL</t>
  </si>
  <si>
    <t>Hạt Nhựa rPET iSS01G 1 PL</t>
  </si>
  <si>
    <t>Hạt nhựa rPET WSS03SD, WSS04SB, WSS04SD (xơ sợi)</t>
  </si>
  <si>
    <t>Màu dương, trắng, đỏ, lá, xám</t>
  </si>
  <si>
    <t>Hạt rHD ép đen</t>
  </si>
  <si>
    <t>Màu đen</t>
  </si>
  <si>
    <t>110000412</t>
  </si>
  <si>
    <t>Vảy HD Ép Đen</t>
  </si>
  <si>
    <t>Hạt nhựa rPP đen</t>
  </si>
  <si>
    <t>110000371</t>
  </si>
  <si>
    <t>Đỏ, dương, trắng, lá, xám</t>
  </si>
  <si>
    <t>I. rHDPE THỔI (PERSONAL CARE) (ĐÃ KHỬ MÙI)</t>
  </si>
  <si>
    <t>II. rHDPE THỔI (HOME CARE) (CHƯA KHỬ MÙI)</t>
  </si>
  <si>
    <t>iSS01084G</t>
  </si>
  <si>
    <t>Hạt nhựa rPET WSS01G</t>
  </si>
  <si>
    <t>NHÓM KHÁCH HÀNG CHƯA CAM KẾT PHÁT TRIỂN BỀN VỮNG</t>
  </si>
  <si>
    <t>Đỏ, dương, trắng, lá</t>
  </si>
  <si>
    <t>Nhóm Sản Phẩm</t>
  </si>
  <si>
    <t>HẠT FOOD GRADE</t>
  </si>
  <si>
    <t>+ 30</t>
  </si>
  <si>
    <t>WSS01G  / WSS01 / WSS01L</t>
  </si>
  <si>
    <t>WSS03G/ WSS03</t>
  </si>
  <si>
    <t>- 70</t>
  </si>
  <si>
    <t>HẠT XƠ SỢI</t>
  </si>
  <si>
    <t>WSS03SD/WSS03SB</t>
  </si>
  <si>
    <t>WSS04SD/WSS04SB</t>
  </si>
  <si>
    <t>0.8</t>
  </si>
  <si>
    <t>0.7</t>
  </si>
  <si>
    <t>iSS01G / iSS01</t>
  </si>
  <si>
    <t>+ 90</t>
  </si>
  <si>
    <r>
      <t>Giá bán</t>
    </r>
    <r>
      <rPr>
        <b/>
        <sz val="11"/>
        <color rgb="FFFF0000"/>
        <rFont val="Times New Roman"/>
        <family val="1"/>
      </rPr>
      <t xml:space="preserve"> </t>
    </r>
    <r>
      <rPr>
        <b/>
        <sz val="18"/>
        <color rgb="FFFF0000"/>
        <rFont val="Aptos Narrow"/>
        <family val="2"/>
      </rPr>
      <t>±</t>
    </r>
    <r>
      <rPr>
        <b/>
        <sz val="11"/>
        <color rgb="FFFF0000"/>
        <rFont val="Aptos Narrow"/>
        <family val="2"/>
      </rPr>
      <t xml:space="preserve"> </t>
    </r>
    <r>
      <rPr>
        <b/>
        <sz val="11"/>
        <color rgb="FF002060"/>
        <rFont val="Times New Roman"/>
        <family val="1"/>
      </rPr>
      <t>theo IV
 ( USD )</t>
    </r>
  </si>
  <si>
    <t>USD</t>
  </si>
  <si>
    <t>Bảng chi tiết giá theo IV:</t>
  </si>
  <si>
    <r>
      <t>Giá bán ± thêm so với giá gốc IV</t>
    </r>
    <r>
      <rPr>
        <b/>
        <i/>
        <sz val="13"/>
        <color rgb="FF0000FF"/>
        <rFont val="Times New Roman"/>
        <family val="1"/>
      </rPr>
      <t xml:space="preserve"> 0.78</t>
    </r>
  </si>
  <si>
    <t>1. Giá trên là giá xuất xưởng (EXW), nếu vận chuyển đến khách hàng thì cộng thêm phí vận chuyển.</t>
  </si>
  <si>
    <t>2. Ủy quyền cho GĐĐH duyệt theo đơn đặt hàng: biên độ +/-10%  so với giá xuất xưởng DTR .</t>
  </si>
  <si>
    <t>2. Ủy quyền cho GĐĐH duyệt theo đơn đặt hàng: biên độ +/-10%  so với giá xuất xưởng DTR.</t>
  </si>
  <si>
    <t>NHÓM XƠ SỢI</t>
  </si>
  <si>
    <t>III</t>
  </si>
  <si>
    <t>IV</t>
  </si>
  <si>
    <t>NHÓM rHDPE THỔI</t>
  </si>
  <si>
    <t>NHÓM rHDPE ÉP</t>
  </si>
  <si>
    <t>NHÓM rPP</t>
  </si>
  <si>
    <t>Hạt Nhựa rHDA03N01</t>
  </si>
  <si>
    <r>
      <t xml:space="preserve">1. Giá FOB = Giá xuất xưởng (EXW) + </t>
    </r>
    <r>
      <rPr>
        <sz val="13"/>
        <color rgb="FFFF0000"/>
        <rFont val="Times New Roman"/>
        <family val="1"/>
      </rPr>
      <t>USD 22/tấn</t>
    </r>
    <r>
      <rPr>
        <sz val="13"/>
        <color theme="1"/>
        <rFont val="Times New Roman"/>
        <family val="1"/>
      </rPr>
      <t xml:space="preserve"> (trường hợp bán full cont, nếu bán ít hơn cont liên hệ bộ phận Logistics lấy chi phí phù hợp)</t>
    </r>
  </si>
  <si>
    <t>Hạt Nhựa rHDB03N01/ rHDB03N02</t>
  </si>
  <si>
    <r>
      <t xml:space="preserve">GIÁ BÁN HẠT </t>
    </r>
    <r>
      <rPr>
        <b/>
        <sz val="22"/>
        <color rgb="FFFF0000"/>
        <rFont val="Times New Roman"/>
        <family val="1"/>
      </rPr>
      <t>rPET</t>
    </r>
    <r>
      <rPr>
        <b/>
        <sz val="22"/>
        <color rgb="FF0000FF"/>
        <rFont val="Times New Roman"/>
        <family val="1"/>
      </rPr>
      <t xml:space="preserve"> - THÁNG 06 NĂM 2025
</t>
    </r>
    <r>
      <rPr>
        <b/>
        <sz val="18"/>
        <color rgb="FF0000FF"/>
        <rFont val="Times New Roman"/>
        <family val="1"/>
      </rPr>
      <t>HỖ TRỢ PHÁT TRIỂN KHÁCH HÀNG MỚI</t>
    </r>
  </si>
  <si>
    <r>
      <t xml:space="preserve">GIÁ BÁN HẠT </t>
    </r>
    <r>
      <rPr>
        <b/>
        <sz val="22"/>
        <color rgb="FFFF0000"/>
        <rFont val="Times New Roman"/>
        <family val="1"/>
      </rPr>
      <t>rHDPE</t>
    </r>
    <r>
      <rPr>
        <b/>
        <sz val="22"/>
        <color rgb="FF0000FF"/>
        <rFont val="Times New Roman"/>
        <family val="1"/>
      </rPr>
      <t xml:space="preserve"> - THÁNG 06 NĂM 2025
</t>
    </r>
    <r>
      <rPr>
        <b/>
        <sz val="18"/>
        <color rgb="FF0000FF"/>
        <rFont val="Times New Roman"/>
        <family val="1"/>
      </rPr>
      <t>HỖ TRỢ PHÁT TRIỂN KHÁCH HÀNG MỚI</t>
    </r>
  </si>
  <si>
    <r>
      <t xml:space="preserve">Chênh lệch Giá tháng 06 vs </t>
    </r>
    <r>
      <rPr>
        <b/>
        <sz val="13"/>
        <color rgb="FFFF0000"/>
        <rFont val="Times New Roman"/>
        <family val="1"/>
      </rPr>
      <t>chính phẩm (860 $/tấn HD thổi &amp; 910  $/tấn HD ép )</t>
    </r>
  </si>
  <si>
    <r>
      <t xml:space="preserve">GIÁ BÁN </t>
    </r>
    <r>
      <rPr>
        <b/>
        <sz val="22"/>
        <color rgb="FFFF0000"/>
        <rFont val="Times New Roman"/>
        <family val="1"/>
      </rPr>
      <t>VẢY HDPE ÉP</t>
    </r>
    <r>
      <rPr>
        <b/>
        <sz val="22"/>
        <color rgb="FF0000FF"/>
        <rFont val="Times New Roman"/>
        <family val="1"/>
      </rPr>
      <t xml:space="preserve">- THÁNG 06 NĂM 2025
</t>
    </r>
    <r>
      <rPr>
        <b/>
        <sz val="18"/>
        <color rgb="FF0000FF"/>
        <rFont val="Times New Roman"/>
        <family val="1"/>
      </rPr>
      <t>HỖ TRỢ PHÁT TRIỂN KHÁCH HÀNG MỚI</t>
    </r>
  </si>
  <si>
    <r>
      <t xml:space="preserve">Chênh lệch Giá tháng 06 vs </t>
    </r>
    <r>
      <rPr>
        <b/>
        <sz val="13"/>
        <color rgb="FFFF0000"/>
        <rFont val="Times New Roman"/>
        <family val="1"/>
      </rPr>
      <t>chính phẩm (910 $/tấn)</t>
    </r>
  </si>
  <si>
    <r>
      <t xml:space="preserve">GIÁ BÁN HẠT </t>
    </r>
    <r>
      <rPr>
        <b/>
        <sz val="22"/>
        <color rgb="FFFF0000"/>
        <rFont val="Times New Roman"/>
        <family val="1"/>
      </rPr>
      <t>rPP</t>
    </r>
    <r>
      <rPr>
        <b/>
        <sz val="22"/>
        <color rgb="FF0000FF"/>
        <rFont val="Times New Roman"/>
        <family val="1"/>
      </rPr>
      <t xml:space="preserve"> - THÁNG 06 NĂM 2025
</t>
    </r>
    <r>
      <rPr>
        <b/>
        <sz val="18"/>
        <color rgb="FF0000FF"/>
        <rFont val="Times New Roman"/>
        <family val="1"/>
      </rPr>
      <t>HỖ TRỢ PHÁT TRIỂN KHÁCH HÀNG MỚI</t>
    </r>
  </si>
  <si>
    <r>
      <t xml:space="preserve">Chênh lệch Giá tháng 06 vs </t>
    </r>
    <r>
      <rPr>
        <b/>
        <sz val="13"/>
        <color rgb="FFFF0000"/>
        <rFont val="Times New Roman"/>
        <family val="1"/>
      </rPr>
      <t>chính phẩm (930 $/tấn)</t>
    </r>
  </si>
  <si>
    <r>
      <t xml:space="preserve">GIÁ BÁN </t>
    </r>
    <r>
      <rPr>
        <b/>
        <sz val="22"/>
        <color rgb="FFFF0000"/>
        <rFont val="Times New Roman"/>
        <family val="1"/>
      </rPr>
      <t>VẢY PP</t>
    </r>
    <r>
      <rPr>
        <b/>
        <sz val="22"/>
        <color rgb="FF0000FF"/>
        <rFont val="Times New Roman"/>
        <family val="1"/>
      </rPr>
      <t xml:space="preserve"> - THÁNG 06 NĂM 2025
</t>
    </r>
    <r>
      <rPr>
        <b/>
        <sz val="18"/>
        <color rgb="FF0000FF"/>
        <rFont val="Times New Roman"/>
        <family val="1"/>
      </rPr>
      <t>HỖ TRỢ PHÁT TRIỂN KHÁCH HÀNG MỚI</t>
    </r>
  </si>
  <si>
    <r>
      <t xml:space="preserve">GIÁ BÁN HẠT SẢN XUẤT TỪ </t>
    </r>
    <r>
      <rPr>
        <b/>
        <sz val="22"/>
        <color rgb="FFFF0000"/>
        <rFont val="Times New Roman"/>
        <family val="1"/>
      </rPr>
      <t>PHÓ SẢN</t>
    </r>
    <r>
      <rPr>
        <b/>
        <sz val="22"/>
        <color rgb="FF0000FF"/>
        <rFont val="Times New Roman"/>
        <family val="1"/>
      </rPr>
      <t xml:space="preserve"> - THÁNG 06 NĂM 2025
</t>
    </r>
    <r>
      <rPr>
        <b/>
        <sz val="18"/>
        <color rgb="FF0000FF"/>
        <rFont val="Times New Roman"/>
        <family val="1"/>
      </rPr>
      <t>HỖ TRỢ PHÁT TRIỂN KHÁCH HÀNG MỚI</t>
    </r>
  </si>
  <si>
    <t>Lê Hoành Cư</t>
  </si>
  <si>
    <t>Ngày áp dụng: 01/04/2026</t>
  </si>
  <si>
    <t>Tháng 03 (đã duyệt)</t>
  </si>
  <si>
    <t>Tháng 04</t>
  </si>
  <si>
    <t>Chênh lệch
 tháng 04 vs tháng 03</t>
  </si>
  <si>
    <r>
      <t xml:space="preserve">Chênh lệch Giá tháng 04 vs </t>
    </r>
    <r>
      <rPr>
        <b/>
        <sz val="13"/>
        <color rgb="FFFF0000"/>
        <rFont val="Times New Roman"/>
        <family val="1"/>
      </rPr>
      <t>chính phẩm (800 $/tấn)</t>
    </r>
  </si>
  <si>
    <t>DANH MỤC THÀNH PHẨM</t>
  </si>
  <si>
    <t>Mã SAP</t>
  </si>
  <si>
    <t>Tên hàng hóa</t>
  </si>
  <si>
    <t>Tồn kho
24/02/2026
(kg)</t>
  </si>
  <si>
    <t>Số lượng bán BQ 2026
(kg/ tháng)</t>
  </si>
  <si>
    <t>Giá duyệt T2 (USD/ tấn)</t>
  </si>
  <si>
    <t>Giá bán đề nghị T3 (USD/ tấn)</t>
  </si>
  <si>
    <t>CL T3 sv T2 (USD/ tấn)</t>
  </si>
  <si>
    <t>Giá thành</t>
  </si>
  <si>
    <t>CPQL</t>
  </si>
  <si>
    <t>Giá vốn</t>
  </si>
  <si>
    <t>Lợi nhuận trước thuế</t>
  </si>
  <si>
    <t>% lợi nhuận trước thuế</t>
  </si>
  <si>
    <t>Giá đề nghị của kinh doanh</t>
  </si>
  <si>
    <t>Ghi chú</t>
  </si>
  <si>
    <t>Sử dụng phó sản</t>
  </si>
  <si>
    <t>rPET</t>
  </si>
  <si>
    <t>MÃ HÀNG ĐANG BÁN</t>
  </si>
  <si>
    <t>Bán cho Lavie</t>
  </si>
  <si>
    <t>110000499</t>
  </si>
  <si>
    <t>Hạt Nhựa rPET WSS01L</t>
  </si>
  <si>
    <t>110000506</t>
  </si>
  <si>
    <t>Hạt Nhựa rPET WSS01 &amp; WSS01G-L</t>
  </si>
  <si>
    <t>Giá tồn kho</t>
  </si>
  <si>
    <t>110000483</t>
  </si>
  <si>
    <t>Hạt Nhựa rPET iSS01G-S</t>
  </si>
  <si>
    <t>Sản phẩm mới</t>
  </si>
  <si>
    <t>MÃ HÀNG BÁN CHẬM</t>
  </si>
  <si>
    <t>Chuyển thành mã iSS01G 1 để bán</t>
  </si>
  <si>
    <t>Chuyển thành mã wSS01G 1 để bán</t>
  </si>
  <si>
    <t>110000383</t>
  </si>
  <si>
    <t>Hạt Nhựa rPET iSS84G-P</t>
  </si>
  <si>
    <t>Không báo giá (SP SX bán cho Amcor)</t>
  </si>
  <si>
    <t>110000468</t>
  </si>
  <si>
    <t>Hạt Nhựa rPET iSS80G-P</t>
  </si>
  <si>
    <t>Không báo giá (hàng chờ xử lý)</t>
  </si>
  <si>
    <t>MÃ HÀNG SẢN XUẤT TỪ PHÓ SẢN NGÀNH PET</t>
  </si>
  <si>
    <t>110000466</t>
  </si>
  <si>
    <t>82% Vảy B6.2_A3 và 18% vảy B7_A3</t>
  </si>
  <si>
    <t>110000436</t>
  </si>
  <si>
    <t>100% Vảy B6.2_A3 và 90% B6.2_A3, 10% Bụi tank C,D sau vắt</t>
  </si>
  <si>
    <t>100% vảy PET B1_A3</t>
  </si>
  <si>
    <t>110000384</t>
  </si>
  <si>
    <t>Hạt Nhựa Xơ Sợi Thử Nghiệm</t>
  </si>
  <si>
    <t>Không đạt WSS04SB, WSS04SB, WSS04SD rớt xuống mã xơ sợi thử nghiệm</t>
  </si>
  <si>
    <t>Tomra_A1/ Zigzag_A1</t>
  </si>
  <si>
    <t>110000464</t>
  </si>
  <si>
    <t>Chuyển từ hàng xơ sợi thử nghiệm qua</t>
  </si>
  <si>
    <t>110000430</t>
  </si>
  <si>
    <t>Hạt Nhựa rPET Bán Thành Phẩm</t>
  </si>
  <si>
    <t>Phó sản PET tuyển nổi 2 + phó sản hạt cắt lỗi</t>
  </si>
  <si>
    <t>rHDPE THỔI</t>
  </si>
  <si>
    <t>110000339</t>
  </si>
  <si>
    <t>Hạt Nhựa rHDPE MBF01</t>
  </si>
  <si>
    <t>Theo giá U =&gt; ko đề xuất trong duyệt giá</t>
  </si>
  <si>
    <t>110000426</t>
  </si>
  <si>
    <t>Hạt Nhựa HCBF-Yel-U</t>
  </si>
  <si>
    <t>Vàng</t>
  </si>
  <si>
    <t>110000374</t>
  </si>
  <si>
    <t>Hạt Nhựa rHDB03N02</t>
  </si>
  <si>
    <t>110000443</t>
  </si>
  <si>
    <t>110000481</t>
  </si>
  <si>
    <t>Hạt Nhựa rHDPE PCF01</t>
  </si>
  <si>
    <t>110000425</t>
  </si>
  <si>
    <t>Hạt Nhựa HCBF-Whi-U</t>
  </si>
  <si>
    <t>Trắng</t>
  </si>
  <si>
    <t>110000495</t>
  </si>
  <si>
    <t>Hạt Nhựa rHDA03W01</t>
  </si>
  <si>
    <t>110000385</t>
  </si>
  <si>
    <t>Hạt Nhựa rHDB05N01</t>
  </si>
  <si>
    <t>Giá tồn kho từ 2023</t>
  </si>
  <si>
    <t>mix với hàng MI thấp, do hết hạt MBF01 phân lập MI thấp nên còn tồn kho</t>
  </si>
  <si>
    <t>110000345</t>
  </si>
  <si>
    <t>Hạt Nhựa rHDB03Y01</t>
  </si>
  <si>
    <t>Giá tồn kho từ 2024</t>
  </si>
  <si>
    <t>110000427</t>
  </si>
  <si>
    <t>Hạt Nhựa HCBF-Gre-U</t>
  </si>
  <si>
    <t>Lá</t>
  </si>
  <si>
    <t>110000343</t>
  </si>
  <si>
    <t>Hạt Nhựa rHDB03G01</t>
  </si>
  <si>
    <t>110000336</t>
  </si>
  <si>
    <t>Hạt nhựa rHDPE thử nghiệm</t>
  </si>
  <si>
    <t>110000337</t>
  </si>
  <si>
    <t>Hạt Nhựa rHDB03W01</t>
  </si>
  <si>
    <t>MÃ HÀNG SẢN SUẤT TỪ PHÓ SẢN NGÀNH HDPE</t>
  </si>
  <si>
    <t>110000341</t>
  </si>
  <si>
    <t>Vảy HD ép đen mix phó sản HD thổi các loại</t>
  </si>
  <si>
    <t>C</t>
  </si>
  <si>
    <t>rHDPE ÉP</t>
  </si>
  <si>
    <t>110000360</t>
  </si>
  <si>
    <t>Hạt nhựa rHDI4L01</t>
  </si>
  <si>
    <t>Dương</t>
  </si>
  <si>
    <t>Không bền vững</t>
  </si>
  <si>
    <t>110000366</t>
  </si>
  <si>
    <t>Hạt nhựa rHDI3G01</t>
  </si>
  <si>
    <t>Hạt nhựa rHDI3R01</t>
  </si>
  <si>
    <t>Đỏ</t>
  </si>
  <si>
    <t>110000496</t>
  </si>
  <si>
    <t>Hạt Nhựa rHDI7DL02</t>
  </si>
  <si>
    <t>Hàng tồn kho từ tháng 2.2025 sx cho Outerinho</t>
  </si>
  <si>
    <t>110000364</t>
  </si>
  <si>
    <t>Hạt nhựa rHDI3Y01</t>
  </si>
  <si>
    <t>110000365</t>
  </si>
  <si>
    <t>Hạt nhựa rHDI3W01</t>
  </si>
  <si>
    <t>110000431</t>
  </si>
  <si>
    <t>Phó sản</t>
  </si>
  <si>
    <t>110000363</t>
  </si>
  <si>
    <t>Hạt nhựa rHDI3Gy01</t>
  </si>
  <si>
    <t>Hàng tồn từ tháng 12.2024</t>
  </si>
  <si>
    <t>Hạt nhựa rHDI4DL01</t>
  </si>
  <si>
    <t>Hàng tồn kho từ tháng 2.2025</t>
  </si>
  <si>
    <t>D</t>
  </si>
  <si>
    <t>Vảy HDPE ép</t>
  </si>
  <si>
    <t>110000407</t>
  </si>
  <si>
    <t>Vảy HD Ép Đỏ</t>
  </si>
  <si>
    <t>Đang bán gía thấp để giảm tồn kho</t>
  </si>
  <si>
    <t>110000409</t>
  </si>
  <si>
    <t>110000410</t>
  </si>
  <si>
    <t>110000411</t>
  </si>
  <si>
    <t>110000408</t>
  </si>
  <si>
    <t>Vảy HD Ép Trắng</t>
  </si>
  <si>
    <t>110000413</t>
  </si>
  <si>
    <t>Vảy HD Ép Đồng</t>
  </si>
  <si>
    <t>Đồng</t>
  </si>
  <si>
    <t>110000469</t>
  </si>
  <si>
    <t>Vảy HD Ép Dương Bình Thuận</t>
  </si>
  <si>
    <t>SP bán cho Bình Thuận</t>
  </si>
  <si>
    <t>Hàng tồn kho từ T11.2024</t>
  </si>
  <si>
    <t>E</t>
  </si>
  <si>
    <t>rPP</t>
  </si>
  <si>
    <t>110000389</t>
  </si>
  <si>
    <t>Hạt nhựa rPP20R02</t>
  </si>
  <si>
    <t>900/695</t>
  </si>
  <si>
    <t>935/720</t>
  </si>
  <si>
    <t>35/25</t>
  </si>
  <si>
    <t>-107/-322</t>
  </si>
  <si>
    <t>-11%/-45%</t>
  </si>
  <si>
    <t>Bền vững/ ko bền vững</t>
  </si>
  <si>
    <t>110000471</t>
  </si>
  <si>
    <t>Hạt Nhựa rPP20L05</t>
  </si>
  <si>
    <t>-76/-291</t>
  </si>
  <si>
    <t>-8%/-40%</t>
  </si>
  <si>
    <t>110000472</t>
  </si>
  <si>
    <t>Hạt Nhựa rPP20Gy01</t>
  </si>
  <si>
    <t>-283/-498</t>
  </si>
  <si>
    <t>-30%/-69%</t>
  </si>
  <si>
    <t>110000435</t>
  </si>
  <si>
    <t>Hạt Nhựa rPP20L03</t>
  </si>
  <si>
    <t>-200/-415</t>
  </si>
  <si>
    <t>-21%/-58%</t>
  </si>
  <si>
    <t>110000508</t>
  </si>
  <si>
    <t>Hạt Nhựa rPP20W02</t>
  </si>
  <si>
    <t>-390/-605</t>
  </si>
  <si>
    <t>-42%/-84%</t>
  </si>
  <si>
    <t>110000392</t>
  </si>
  <si>
    <t>800/595</t>
  </si>
  <si>
    <t>244/29</t>
  </si>
  <si>
    <t>26%/4%</t>
  </si>
  <si>
    <t>110000482</t>
  </si>
  <si>
    <t>Hạt Nhựa rPP20W01</t>
  </si>
  <si>
    <t>-428/-643</t>
  </si>
  <si>
    <t>-46%/-89%</t>
  </si>
  <si>
    <t>110000394</t>
  </si>
  <si>
    <t>Hạt nhựa rPP15Gy02</t>
  </si>
  <si>
    <t>-182/-397</t>
  </si>
  <si>
    <t>-19%/-55%</t>
  </si>
  <si>
    <t>110000470</t>
  </si>
  <si>
    <t>Hạt Nhựa rPP20L04</t>
  </si>
  <si>
    <t>86/-129</t>
  </si>
  <si>
    <t>9%/-18%</t>
  </si>
  <si>
    <t>110000367</t>
  </si>
  <si>
    <t>Hạt nhựa rPP15R01</t>
  </si>
  <si>
    <t>105/-110</t>
  </si>
  <si>
    <t>11%/-15%</t>
  </si>
  <si>
    <t>Hàng tồn kho từ T6.2025</t>
  </si>
  <si>
    <t>110000369</t>
  </si>
  <si>
    <t>Hạt nhựa rPP25W01</t>
  </si>
  <si>
    <t>259/44</t>
  </si>
  <si>
    <t>28%/6%</t>
  </si>
  <si>
    <t>110000388</t>
  </si>
  <si>
    <t>Hạt nhựa rPP20R01</t>
  </si>
  <si>
    <t>-16/-231</t>
  </si>
  <si>
    <t>-2%/-32%</t>
  </si>
  <si>
    <t>Hàng tồn kho từ T8.2025</t>
  </si>
  <si>
    <t>110000393</t>
  </si>
  <si>
    <t>Hạt nhựa rPP20Be01</t>
  </si>
  <si>
    <t>Be</t>
  </si>
  <si>
    <t>104/-111</t>
  </si>
  <si>
    <t>Hàng tồn kho từ T9.2025</t>
  </si>
  <si>
    <t>110000441</t>
  </si>
  <si>
    <t>Hạt Nhựa PP Thử Nghiệm</t>
  </si>
  <si>
    <t>F</t>
  </si>
  <si>
    <t>Vảy rPP</t>
  </si>
  <si>
    <t>Vảy PP Đỏ Nhạt</t>
  </si>
  <si>
    <t>Hàng tồn kho từ T3.2025</t>
  </si>
  <si>
    <t>110000439</t>
  </si>
  <si>
    <t>Vảy PP Trắng Sữa</t>
  </si>
  <si>
    <t>Tách 11,7 tấn HD ép trắng lẫn PP qua meyer, thu được 7,5 tấn vảy PP trắng (Thu hồi 64% TP, còn lại phó sản)</t>
  </si>
  <si>
    <t>Phát sinh tháng 12/2025</t>
  </si>
  <si>
    <t>Nguyễn Bảo Quốc</t>
  </si>
  <si>
    <t>GĐĐH Tài Chính</t>
  </si>
  <si>
    <t>GĐĐH DTR</t>
  </si>
  <si>
    <t>Đái Trung Quân</t>
  </si>
  <si>
    <t>Ngày 19 tháng 03 năm 2026</t>
  </si>
  <si>
    <t>TGĐ</t>
  </si>
  <si>
    <t xml:space="preserve">GĐĐH Tài Chính     </t>
  </si>
  <si>
    <t>Giá chính phẩm</t>
  </si>
  <si>
    <t>Giá Nguyên sinh</t>
  </si>
  <si>
    <t>Lợi nhuận gộp</t>
  </si>
  <si>
    <t>% Lợi nhuận gộp</t>
  </si>
  <si>
    <t>% Lợi nhuận trước thuế</t>
  </si>
  <si>
    <t>Giá bán đảm bảo LH 20%</t>
  </si>
  <si>
    <t>Giá bán đảm bảo LNTT 10%</t>
  </si>
  <si>
    <t>CK KD</t>
  </si>
  <si>
    <t>Dear anh Cư,</t>
  </si>
  <si>
    <t>Hiện tại em thấy việc tính toán giá bán hàng tháng của DTR đang chưa hiệu quả và gây ra nhiều workload cho KTQT cũng như bên Kinh doanh không linh hoạt để làm việc nhanh với khách hàng được. Nên em đề nghị anh xem xét để thiết lập Nguyên tắc Tính Toán Giá Bán để trình TGĐ phê duyệt sau đó áp dụng để hệ thống chạy tốt hơn nhé. Em có đề nghị như bên dưới, anh Cư nghiên cứu và trao riêng với em với anh Quân và người chuyên trách tính Giá Thành - Giá Bán của team anh thôi nhé:</t>
  </si>
  <si>
    <t>1. Giá bán trình duyệt tháng cần thỏa mãn các yếu tố sau (nên đính kèm trong hồ sơ khi trình duyệt giá tháng):</t>
  </si>
  <si>
    <t>Lịch sử giá và trend giá của ICIS</t>
  </si>
  <si>
    <t>Lịch sử giá và trend giá của mã hàng cần duyệt</t>
  </si>
  <si>
    <t>Giá thành và P/l của từng mã trình duyệt (làm rõ công thức nguyên liệu sản xuất)</t>
  </si>
  <si>
    <t>Lũy kế sản lượng đã bán và sản lượng theo kế hoạch bán hàng cả năm</t>
  </si>
  <si>
    <t>Danh sách khách hàng đang sử dụng mã hàng trình duyệt giá</t>
  </si>
  <si>
    <t>Toàn bộ giá bán của tất cả các mã hàng trình duyệt PHẢI ĐẢM BẢO LỢI NHUẬN GỘP LÀ ......% để đảm bảo kế hoạch P/l và đảm bảo phù hợp với phân quyền CHỐT GIÁ như bên dưới. (Nghĩa là giá bán trình duyệt phải đảm bảo sao cho sau khi khách thương lượng và cấp thẩm quyền cao nhất chốt giá cuối với khách vẫn đảm bảo tỷ lệ lợi nhuận gộp tối thiểu)</t>
  </si>
  <si>
    <t>2. Giá bán tháng sau khi được duyệt xong thì phân quyền duyệt giá cuối để chốt nhanh với khách như sau:</t>
  </si>
  <si>
    <t> - GĐKD: được phép chốt giá với khách hàng giảm Max 3% so với giá duyệt tháng. </t>
  </si>
  <si>
    <t>- GDĐH: được phép chốt giá với khách hàng giảm Max 5% so với giá duyệt của tháng</t>
  </si>
  <si>
    <t>- Từ 5-10% TGĐ phê duyệt</t>
  </si>
  <si>
    <t>- Trên 10% thì cần tổ chức cuộc họp giữa Kinh Doanh - KTQT - GDDH _ TGĐ để thống nhất giá cuối cho khách hàng.</t>
  </si>
  <si>
    <t>Như vậy có nghĩa GIÁ BÁN theo tháng cho tất cả các mã hàng phải ĐẢM BẢO: </t>
  </si>
  <si>
    <t>GIÁ BÁN THÁNG = GIÁ THÀNH + LÃI GỘP TỐI THIỂU + 10%</t>
  </si>
  <si>
    <t>Như vậy khi Kinh doanh cần duyệt giá nhanh cho khách hàng thì các cấp duyệt sẽ không cần phải hỏi lại KTQT về p/l và sẽ không mất thời gian chờ đợi vì giá bán duyệt tháng đã đảm bảo cover được Room duyệt giá.</t>
  </si>
  <si>
    <t>Anh Cư nghiên cứu và làm demo thử dự trên lịch sử giá thành, và giá bán --&gt; Sau đó xem xem phù hợp không thì trao đổi thêm với em nhé!</t>
  </si>
  <si>
    <t>(-) USD</t>
  </si>
  <si>
    <t>SV KTQT</t>
  </si>
  <si>
    <r>
      <t xml:space="preserve">Chênh lệch Giá tháng 04 vs </t>
    </r>
    <r>
      <rPr>
        <b/>
        <sz val="13"/>
        <color rgb="FFFF0000"/>
        <rFont val="Times New Roman"/>
        <family val="1"/>
      </rPr>
      <t>chính phẩm ($/tấn)</t>
    </r>
  </si>
  <si>
    <r>
      <t>Chênh lệch Giá tháng 04 vs nhựa nguyên sinh</t>
    </r>
    <r>
      <rPr>
        <b/>
        <sz val="13"/>
        <color rgb="FFFF0000"/>
        <rFont val="Times New Roman"/>
        <family val="1"/>
      </rPr>
      <t xml:space="preserve"> ($/tấn)</t>
    </r>
  </si>
  <si>
    <t>Hiện tại</t>
  </si>
  <si>
    <t>T3</t>
  </si>
  <si>
    <t>Chính phẩm tăng</t>
  </si>
  <si>
    <t>N.Sinh tăng</t>
  </si>
  <si>
    <t>C:\Data\COO\Giá bán_Thạch\DTR-giaban.xlsx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</si>
</sst>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164" formatCode="_-* #,##0.00_-;\-* #,##0.00_-;_-* &quot;-&quot;??_-;_-@_-"/>
    <numFmt numFmtId="165" formatCode="_-* #,##0.0_-;\-* #,##0.0_-;_-* &quot;-&quot;??_-;_-@_-"/>
    <numFmt numFmtId="166" formatCode="_-* #,##0_-;\-* #,##0_-;_-* &quot;-&quot;??_-;_-@_-"/>
    <numFmt numFmtId="167" formatCode="&quot;$&quot;#,##0"/>
    <numFmt numFmtId="168" formatCode="_-* #,##0\ [$USD]_-;\-* #,##0\ [$USD]_-;_-* &quot;-&quot;\ [$USD]_-;_-@_-"/>
    <numFmt numFmtId="169" formatCode="_-* #,##0.00\ _₫_-;\-* #,##0.00\ _₫_-;_-* &quot;-&quot;??\ _₫_-;_-@_-"/>
    <numFmt numFmtId="170" formatCode="_ * #,##0.00_)_ ;_ * \(#,##0.00\)_ ;_ * &quot;-&quot;??_)_ ;_ @_ "/>
    <numFmt numFmtId="171" formatCode="_(* #,##0_);_(* \(#,##0\);_(* &quot;-&quot;??_);_(@_)"/>
  </numFmts>
  <fonts count="73">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1"/>
      <color theme="1"/>
      <name val="Times New Roman"/>
      <family val="1"/>
    </font>
    <font>
      <sz val="14"/>
      <color theme="1"/>
      <name val="Times New Roman"/>
      <family val="1"/>
    </font>
    <font>
      <sz val="12"/>
      <color theme="1"/>
      <name val="Times New Roman"/>
      <family val="1"/>
    </font>
    <font>
      <sz val="11"/>
      <color rgb="FF002060"/>
      <name val="Times New Roman"/>
      <family val="1"/>
    </font>
    <font>
      <sz val="12"/>
      <color rgb="FF002060"/>
      <name val="Times New Roman"/>
      <family val="1"/>
    </font>
    <font>
      <sz val="11"/>
      <name val="Times New Roman"/>
      <family val="1"/>
    </font>
    <font>
      <sz val="13"/>
      <color rgb="FF002060"/>
      <name val="Times New Roman"/>
      <family val="1"/>
    </font>
    <font>
      <sz val="13"/>
      <color rgb="FFFF0000"/>
      <name val="Times New Roman"/>
      <family val="1"/>
    </font>
    <font>
      <b/>
      <sz val="11"/>
      <color theme="1"/>
      <name val="Times New Roman"/>
      <family val="1"/>
    </font>
    <font>
      <b/>
      <sz val="13"/>
      <color rgb="FF002060"/>
      <name val="Times New Roman"/>
      <family val="1"/>
    </font>
    <font>
      <b/>
      <sz val="12"/>
      <color rgb="FF002060"/>
      <name val="Times New Roman"/>
      <family val="1"/>
    </font>
    <font>
      <sz val="13"/>
      <color theme="1"/>
      <name val="Times New Roman"/>
      <family val="1"/>
    </font>
    <font>
      <sz val="13"/>
      <color rgb="FFC00000"/>
      <name val="Times New Roman"/>
      <family val="1"/>
    </font>
    <font>
      <sz val="13"/>
      <name val="Times New Roman"/>
      <family val="1"/>
    </font>
    <font>
      <sz val="13"/>
      <color rgb="FF0000FF"/>
      <name val="Times New Roman"/>
      <family val="1"/>
    </font>
    <font>
      <b/>
      <sz val="13"/>
      <color rgb="FF0000FF"/>
      <name val="Times New Roman"/>
      <family val="1"/>
    </font>
    <font>
      <sz val="13"/>
      <color theme="0"/>
      <name val="Times New Roman"/>
      <family val="1"/>
    </font>
    <font>
      <b/>
      <sz val="11"/>
      <color rgb="FF002060"/>
      <name val="Times New Roman"/>
      <family val="1"/>
    </font>
    <font>
      <b/>
      <sz val="13"/>
      <name val="Times New Roman"/>
      <family val="1"/>
    </font>
    <font>
      <b/>
      <sz val="13"/>
      <color rgb="FFFF0000"/>
      <name val="Times New Roman"/>
      <family val="1"/>
    </font>
    <font>
      <b/>
      <sz val="13"/>
      <color theme="1"/>
      <name val="Times New Roman"/>
      <family val="1"/>
    </font>
    <font>
      <b/>
      <sz val="11"/>
      <name val="Times New Roman"/>
      <family val="1"/>
    </font>
    <font>
      <sz val="14"/>
      <name val="Times New Roman"/>
      <family val="1"/>
    </font>
    <font>
      <sz val="12"/>
      <name val="Times New Roman"/>
      <family val="1"/>
    </font>
    <font>
      <b/>
      <sz val="22"/>
      <color rgb="FFFF0000"/>
      <name val="Times New Roman"/>
      <family val="1"/>
    </font>
    <font>
      <sz val="12"/>
      <color rgb="FF0000FF"/>
      <name val="Times New Roman"/>
      <family val="1"/>
    </font>
    <font>
      <b/>
      <sz val="11"/>
      <color rgb="FF0000FF"/>
      <name val="Times New Roman"/>
      <family val="1"/>
    </font>
    <font>
      <sz val="9"/>
      <color indexed="81"/>
      <name val="Tahoma"/>
      <family val="2"/>
    </font>
    <font>
      <b/>
      <sz val="9"/>
      <color indexed="81"/>
      <name val="Tahoma"/>
      <family val="2"/>
    </font>
    <font>
      <sz val="11"/>
      <color indexed="81"/>
      <name val="Tahoma"/>
      <family val="2"/>
    </font>
    <font>
      <sz val="12"/>
      <color indexed="81"/>
      <name val="Tahoma"/>
      <family val="2"/>
    </font>
    <font>
      <sz val="10"/>
      <color theme="1"/>
      <name val=".VnArial"/>
      <family val="2"/>
    </font>
    <font>
      <sz val="10"/>
      <name val="Arial"/>
      <family val="2"/>
    </font>
    <font>
      <sz val="10"/>
      <color theme="1"/>
      <name val="Times New Roman"/>
      <family val="2"/>
    </font>
    <font>
      <b/>
      <sz val="11"/>
      <color rgb="FFFF33CC"/>
      <name val="Times New Roman"/>
      <family val="1"/>
    </font>
    <font>
      <sz val="14"/>
      <color rgb="FFFF33CC"/>
      <name val="Times New Roman"/>
      <family val="1"/>
    </font>
    <font>
      <b/>
      <sz val="11"/>
      <color rgb="FF00B050"/>
      <name val="Times New Roman"/>
      <family val="1"/>
    </font>
    <font>
      <sz val="14"/>
      <color rgb="FF00B050"/>
      <name val="Times New Roman"/>
      <family val="1"/>
    </font>
    <font>
      <sz val="12"/>
      <color rgb="FFFF0000"/>
      <name val="Times New Roman"/>
      <family val="1"/>
    </font>
    <font>
      <b/>
      <sz val="14"/>
      <color theme="1"/>
      <name val="Times New Roman"/>
      <family val="1"/>
    </font>
    <font>
      <b/>
      <sz val="11"/>
      <color rgb="FFFF0000"/>
      <name val="Times New Roman"/>
      <family val="1"/>
    </font>
    <font>
      <b/>
      <sz val="18"/>
      <color rgb="FFFF0000"/>
      <name val="Aptos Narrow"/>
      <family val="2"/>
    </font>
    <font>
      <b/>
      <sz val="11"/>
      <color rgb="FFFF0000"/>
      <name val="Aptos Narrow"/>
      <family val="2"/>
    </font>
    <font>
      <b/>
      <sz val="12"/>
      <color theme="1"/>
      <name val="Times New Roman"/>
      <family val="1"/>
    </font>
    <font>
      <i/>
      <sz val="13"/>
      <color rgb="FF0000FF"/>
      <name val="Times New Roman"/>
      <family val="1"/>
    </font>
    <font>
      <b/>
      <i/>
      <sz val="13"/>
      <color rgb="FF0000FF"/>
      <name val="Times New Roman"/>
      <family val="1"/>
    </font>
    <font>
      <b/>
      <sz val="22"/>
      <color rgb="FF0000FF"/>
      <name val="Times New Roman"/>
      <family val="1"/>
    </font>
    <font>
      <b/>
      <sz val="18"/>
      <color rgb="FF0000FF"/>
      <name val="Times New Roman"/>
      <family val="1"/>
    </font>
    <font>
      <b/>
      <u/>
      <sz val="13"/>
      <color rgb="FF0000FF"/>
      <name val="Times New Roman"/>
      <family val="1"/>
    </font>
    <font>
      <b/>
      <sz val="14"/>
      <color rgb="FF0000FF"/>
      <name val="Times New Roman"/>
      <family val="1"/>
    </font>
    <font>
      <b/>
      <sz val="12"/>
      <color rgb="FF0000FF"/>
      <name val="Times New Roman"/>
      <family val="1"/>
    </font>
    <font>
      <sz val="11"/>
      <color rgb="FFFF0000"/>
      <name val="Calibri"/>
      <family val="2"/>
      <scheme val="minor"/>
    </font>
    <font>
      <sz val="11"/>
      <color rgb="FFFF0000"/>
      <name val="Times New Roman"/>
      <family val="1"/>
    </font>
    <font>
      <b/>
      <sz val="16"/>
      <color rgb="FF0000FF"/>
      <name val="Calibri"/>
      <family val="2"/>
      <scheme val="minor"/>
    </font>
    <font>
      <b/>
      <sz val="12"/>
      <color theme="0"/>
      <name val="Calibri"/>
      <family val="2"/>
      <scheme val="minor"/>
    </font>
    <font>
      <b/>
      <sz val="12"/>
      <color rgb="FF0000FF"/>
      <name val="Calibri"/>
      <family val="2"/>
      <scheme val="minor"/>
    </font>
    <font>
      <sz val="11"/>
      <color rgb="FF0000FF"/>
      <name val="Calibri"/>
      <family val="2"/>
      <charset val="163"/>
      <scheme val="minor"/>
    </font>
    <font>
      <sz val="11"/>
      <color rgb="FFFF0000"/>
      <name val="Calibri"/>
      <family val="2"/>
      <charset val="163"/>
      <scheme val="minor"/>
    </font>
    <font>
      <b/>
      <sz val="11"/>
      <color rgb="FFFF33CC"/>
      <name val="Calibri"/>
      <family val="2"/>
      <scheme val="minor"/>
    </font>
    <font>
      <b/>
      <sz val="12"/>
      <color rgb="FFFF33CC"/>
      <name val="Calibri"/>
      <family val="2"/>
      <scheme val="minor"/>
    </font>
    <font>
      <b/>
      <sz val="12"/>
      <color rgb="FFFF0000"/>
      <name val="Calibri"/>
      <family val="2"/>
      <scheme val="minor"/>
    </font>
    <font>
      <sz val="11"/>
      <name val="Calibri"/>
      <family val="2"/>
      <charset val="163"/>
      <scheme val="minor"/>
    </font>
    <font>
      <sz val="11"/>
      <color rgb="FF0000FF"/>
      <name val="Calibri"/>
      <family val="2"/>
      <scheme val="minor"/>
    </font>
    <font>
      <b/>
      <sz val="11"/>
      <color rgb="FF0000FF"/>
      <name val="Calibri"/>
      <family val="2"/>
      <scheme val="minor"/>
    </font>
    <font>
      <b/>
      <sz val="11"/>
      <color theme="0"/>
      <name val="Calibri"/>
      <family val="2"/>
      <scheme val="minor"/>
    </font>
    <font>
      <sz val="12"/>
      <color rgb="FF0C64C0"/>
      <name val="Times New Roman"/>
      <family val="1"/>
    </font>
    <font>
      <b/>
      <sz val="12"/>
      <color rgb="FFC82613"/>
      <name val="Times New Roman"/>
      <family val="1"/>
    </font>
    <font>
      <b/>
      <sz val="11"/>
      <color rgb="FFFF0000"/>
      <name val="Calibri"/>
      <family val="2"/>
      <scheme val="minor"/>
    </font>
    <font>
      <u/>
      <sz val="11"/>
      <color theme="10"/>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00B050"/>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0000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s>
  <cellStyleXfs count="31">
    <xf numFmtId="0" fontId="0" fillId="0" borderId="0"/>
    <xf numFmtId="164" fontId="3" fillId="0" borderId="0" applyFont="0" applyFill="0" applyBorder="0" applyAlignment="0" applyProtection="0"/>
    <xf numFmtId="9" fontId="3" fillId="0" borderId="0" applyFont="0" applyFill="0" applyBorder="0" applyAlignment="0" applyProtection="0"/>
    <xf numFmtId="164" fontId="2" fillId="0" borderId="0" applyFont="0" applyFill="0" applyBorder="0" applyAlignment="0" applyProtection="0"/>
    <xf numFmtId="0" fontId="1" fillId="0" borderId="0"/>
    <xf numFmtId="0" fontId="1" fillId="0" borderId="0"/>
    <xf numFmtId="164" fontId="3" fillId="0" borderId="0" applyFont="0" applyFill="0" applyBorder="0" applyAlignment="0" applyProtection="0"/>
    <xf numFmtId="0" fontId="1" fillId="0" borderId="0"/>
    <xf numFmtId="169" fontId="1" fillId="0" borderId="0" applyFont="0" applyFill="0" applyBorder="0" applyAlignment="0" applyProtection="0"/>
    <xf numFmtId="9" fontId="1" fillId="0" borderId="0" applyFont="0" applyFill="0" applyBorder="0" applyAlignment="0" applyProtection="0"/>
    <xf numFmtId="44" fontId="3" fillId="0" borderId="0" applyFont="0" applyFill="0" applyBorder="0" applyAlignment="0" applyProtection="0"/>
    <xf numFmtId="0" fontId="1" fillId="0" borderId="0"/>
    <xf numFmtId="0" fontId="35" fillId="0" borderId="0"/>
    <xf numFmtId="0" fontId="1" fillId="0" borderId="0"/>
    <xf numFmtId="170" fontId="1" fillId="0" borderId="0" applyFont="0" applyFill="0" applyBorder="0" applyAlignment="0" applyProtection="0"/>
    <xf numFmtId="9" fontId="1" fillId="0" borderId="0" applyFont="0" applyFill="0" applyBorder="0" applyAlignment="0" applyProtection="0"/>
    <xf numFmtId="0" fontId="36" fillId="0" borderId="0"/>
    <xf numFmtId="0" fontId="36" fillId="0" borderId="0"/>
    <xf numFmtId="0" fontId="1" fillId="0" borderId="0"/>
    <xf numFmtId="170" fontId="1" fillId="0" borderId="0" applyFont="0" applyFill="0" applyBorder="0" applyAlignment="0" applyProtection="0"/>
    <xf numFmtId="9" fontId="1" fillId="0" borderId="0" applyFont="0" applyFill="0" applyBorder="0" applyAlignment="0" applyProtection="0"/>
    <xf numFmtId="169" fontId="1" fillId="0" borderId="0" applyFont="0" applyFill="0" applyBorder="0" applyAlignment="0" applyProtection="0"/>
    <xf numFmtId="0" fontId="1" fillId="0" borderId="0"/>
    <xf numFmtId="0" fontId="37" fillId="0" borderId="0"/>
    <xf numFmtId="0" fontId="36" fillId="0" borderId="0"/>
    <xf numFmtId="0" fontId="1" fillId="0" borderId="0"/>
    <xf numFmtId="0" fontId="1" fillId="0" borderId="0"/>
    <xf numFmtId="41"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72" fillId="0" borderId="0" applyNumberFormat="0" applyFill="0" applyBorder="0" applyAlignment="0" applyProtection="0"/>
  </cellStyleXfs>
  <cellXfs count="378">
    <xf numFmtId="0" fontId="0" fillId="0" borderId="0" xfId="0"/>
    <xf numFmtId="0" fontId="4" fillId="0" borderId="0" xfId="0" applyFont="1"/>
    <xf numFmtId="0" fontId="5" fillId="0" borderId="0" xfId="0" applyFont="1"/>
    <xf numFmtId="0" fontId="6" fillId="0" borderId="0" xfId="0" applyFont="1"/>
    <xf numFmtId="0" fontId="8" fillId="0" borderId="0" xfId="0" applyFont="1"/>
    <xf numFmtId="0" fontId="7" fillId="0" borderId="0" xfId="0" applyFont="1" applyAlignment="1">
      <alignment horizontal="center"/>
    </xf>
    <xf numFmtId="0" fontId="9" fillId="0" borderId="0" xfId="0" applyFont="1" applyAlignment="1">
      <alignment horizontal="center"/>
    </xf>
    <xf numFmtId="0" fontId="12" fillId="0" borderId="0" xfId="0" applyFont="1"/>
    <xf numFmtId="0" fontId="8" fillId="0" borderId="0" xfId="0" applyFont="1" applyAlignment="1">
      <alignment horizontal="center"/>
    </xf>
    <xf numFmtId="0" fontId="12" fillId="0" borderId="0" xfId="0" applyFont="1" applyAlignment="1">
      <alignment horizontal="center"/>
    </xf>
    <xf numFmtId="0" fontId="10" fillId="0" borderId="1" xfId="0" applyFont="1" applyBorder="1" applyAlignment="1">
      <alignment horizontal="center" vertical="center"/>
    </xf>
    <xf numFmtId="167" fontId="10" fillId="0" borderId="1" xfId="1" applyNumberFormat="1" applyFont="1" applyFill="1" applyBorder="1" applyAlignment="1">
      <alignment horizontal="center" vertical="center"/>
    </xf>
    <xf numFmtId="0" fontId="10" fillId="2" borderId="1" xfId="0" applyFont="1" applyFill="1" applyBorder="1"/>
    <xf numFmtId="167" fontId="10" fillId="2" borderId="1" xfId="1" applyNumberFormat="1" applyFont="1" applyFill="1" applyBorder="1" applyAlignment="1">
      <alignment horizontal="center"/>
    </xf>
    <xf numFmtId="0" fontId="13" fillId="0" borderId="1" xfId="0" applyFont="1" applyBorder="1" applyAlignment="1">
      <alignment horizontal="center" vertical="center" wrapText="1"/>
    </xf>
    <xf numFmtId="0" fontId="13" fillId="0" borderId="1" xfId="0" quotePrefix="1"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vertical="center"/>
    </xf>
    <xf numFmtId="9" fontId="10" fillId="0" borderId="1" xfId="2" applyFont="1" applyFill="1" applyBorder="1" applyAlignment="1">
      <alignment horizontal="center" vertical="center"/>
    </xf>
    <xf numFmtId="167" fontId="11" fillId="2" borderId="1" xfId="1" applyNumberFormat="1" applyFont="1" applyFill="1" applyBorder="1" applyAlignment="1">
      <alignment horizontal="center"/>
    </xf>
    <xf numFmtId="0" fontId="13" fillId="0" borderId="2" xfId="0" applyFont="1" applyBorder="1" applyAlignment="1">
      <alignment horizontal="center" vertical="center" wrapText="1"/>
    </xf>
    <xf numFmtId="167" fontId="11" fillId="0" borderId="1" xfId="1" applyNumberFormat="1" applyFont="1" applyFill="1" applyBorder="1" applyAlignment="1">
      <alignment horizontal="center" vertical="center"/>
    </xf>
    <xf numFmtId="0" fontId="13" fillId="0" borderId="1" xfId="0" applyFont="1" applyBorder="1" applyAlignment="1">
      <alignment horizontal="centerContinuous" vertical="center" wrapText="1"/>
    </xf>
    <xf numFmtId="0" fontId="10" fillId="2" borderId="1" xfId="0" applyFont="1" applyFill="1" applyBorder="1" applyAlignment="1">
      <alignment vertical="center"/>
    </xf>
    <xf numFmtId="167" fontId="10" fillId="2" borderId="1" xfId="1" applyNumberFormat="1" applyFont="1" applyFill="1" applyBorder="1" applyAlignment="1">
      <alignment horizontal="center" vertical="center"/>
    </xf>
    <xf numFmtId="167" fontId="11" fillId="2" borderId="1" xfId="1" applyNumberFormat="1"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center"/>
    </xf>
    <xf numFmtId="0" fontId="15" fillId="0" borderId="0" xfId="0" applyFont="1" applyAlignment="1">
      <alignment horizontal="left"/>
    </xf>
    <xf numFmtId="0" fontId="10" fillId="0" borderId="0" xfId="0" applyFont="1" applyAlignment="1">
      <alignment horizontal="left"/>
    </xf>
    <xf numFmtId="0" fontId="15" fillId="0" borderId="0" xfId="0" applyFont="1" applyAlignment="1">
      <alignment horizontal="center"/>
    </xf>
    <xf numFmtId="0" fontId="16" fillId="0" borderId="0" xfId="0" applyFont="1" applyAlignment="1">
      <alignment vertical="center"/>
    </xf>
    <xf numFmtId="0" fontId="16" fillId="0" borderId="0" xfId="0" applyFont="1" applyAlignment="1">
      <alignment horizontal="left"/>
    </xf>
    <xf numFmtId="0" fontId="15" fillId="0" borderId="0" xfId="0" applyFont="1"/>
    <xf numFmtId="0" fontId="15" fillId="0" borderId="0" xfId="0" applyFont="1" applyAlignment="1">
      <alignment horizontal="center" vertical="top"/>
    </xf>
    <xf numFmtId="165" fontId="15" fillId="0" borderId="0" xfId="0" applyNumberFormat="1" applyFont="1"/>
    <xf numFmtId="0" fontId="15" fillId="0" borderId="0" xfId="0" applyFont="1" applyAlignment="1">
      <alignment horizontal="right" vertical="center"/>
    </xf>
    <xf numFmtId="0" fontId="15" fillId="0" borderId="0" xfId="0" applyFont="1" applyAlignment="1">
      <alignment vertical="center"/>
    </xf>
    <xf numFmtId="0" fontId="17" fillId="0" borderId="0" xfId="0" applyFont="1" applyAlignment="1">
      <alignment horizontal="center"/>
    </xf>
    <xf numFmtId="167" fontId="10" fillId="2" borderId="4" xfId="1" applyNumberFormat="1" applyFont="1" applyFill="1" applyBorder="1" applyAlignment="1">
      <alignment horizontal="center" vertical="center"/>
    </xf>
    <xf numFmtId="167" fontId="11" fillId="2" borderId="5" xfId="1" applyNumberFormat="1" applyFont="1" applyFill="1" applyBorder="1" applyAlignment="1">
      <alignment horizontal="center" vertical="center"/>
    </xf>
    <xf numFmtId="0" fontId="18" fillId="0" borderId="0" xfId="0" applyFont="1" applyAlignment="1">
      <alignment vertical="center"/>
    </xf>
    <xf numFmtId="0" fontId="18" fillId="2" borderId="4" xfId="0" applyFont="1" applyFill="1" applyBorder="1" applyAlignment="1">
      <alignment vertical="center"/>
    </xf>
    <xf numFmtId="167" fontId="18" fillId="2" borderId="4" xfId="1" applyNumberFormat="1" applyFont="1" applyFill="1" applyBorder="1" applyAlignment="1">
      <alignment horizontal="center" vertical="center"/>
    </xf>
    <xf numFmtId="0" fontId="18" fillId="2" borderId="4" xfId="0" applyFont="1" applyFill="1" applyBorder="1" applyAlignment="1">
      <alignment horizontal="left" vertical="center"/>
    </xf>
    <xf numFmtId="167" fontId="10" fillId="2" borderId="3" xfId="1" applyNumberFormat="1" applyFont="1" applyFill="1" applyBorder="1" applyAlignment="1">
      <alignment horizontal="center" vertical="center"/>
    </xf>
    <xf numFmtId="0" fontId="10" fillId="0" borderId="0" xfId="0" applyFont="1" applyAlignment="1">
      <alignment horizontal="right"/>
    </xf>
    <xf numFmtId="0" fontId="16" fillId="0" borderId="0" xfId="0" applyFont="1" applyAlignment="1">
      <alignment horizontal="right"/>
    </xf>
    <xf numFmtId="168" fontId="20" fillId="0" borderId="0" xfId="0" applyNumberFormat="1" applyFont="1" applyAlignment="1">
      <alignment horizontal="right"/>
    </xf>
    <xf numFmtId="166" fontId="11" fillId="0" borderId="6" xfId="1" applyNumberFormat="1" applyFont="1" applyFill="1" applyBorder="1" applyAlignment="1">
      <alignment vertical="center"/>
    </xf>
    <xf numFmtId="0" fontId="22" fillId="0" borderId="2" xfId="0" applyFont="1" applyBorder="1" applyAlignment="1">
      <alignment horizontal="center" vertical="center" wrapText="1"/>
    </xf>
    <xf numFmtId="167" fontId="17" fillId="2" borderId="5" xfId="1" applyNumberFormat="1" applyFont="1" applyFill="1" applyBorder="1" applyAlignment="1">
      <alignment horizontal="center" vertical="center"/>
    </xf>
    <xf numFmtId="167" fontId="17" fillId="2" borderId="1" xfId="1" applyNumberFormat="1" applyFont="1" applyFill="1" applyBorder="1" applyAlignment="1">
      <alignment horizontal="center" vertical="center"/>
    </xf>
    <xf numFmtId="165" fontId="17" fillId="0" borderId="0" xfId="0" applyNumberFormat="1" applyFont="1"/>
    <xf numFmtId="0" fontId="17" fillId="0" borderId="0" xfId="0" applyFont="1"/>
    <xf numFmtId="0" fontId="17" fillId="0" borderId="0" xfId="0" applyFont="1" applyAlignment="1">
      <alignment horizontal="right"/>
    </xf>
    <xf numFmtId="0" fontId="17" fillId="0" borderId="0" xfId="0" applyFont="1" applyAlignment="1">
      <alignment horizontal="left"/>
    </xf>
    <xf numFmtId="167" fontId="23" fillId="0" borderId="1" xfId="1" applyNumberFormat="1" applyFont="1" applyFill="1" applyBorder="1" applyAlignment="1">
      <alignment horizontal="center" vertical="center"/>
    </xf>
    <xf numFmtId="167" fontId="19" fillId="2" borderId="4" xfId="1" applyNumberFormat="1" applyFont="1" applyFill="1" applyBorder="1" applyAlignment="1">
      <alignment horizontal="center" vertical="center"/>
    </xf>
    <xf numFmtId="37" fontId="11" fillId="0" borderId="6" xfId="1" applyNumberFormat="1" applyFont="1" applyFill="1" applyBorder="1" applyAlignment="1">
      <alignment vertical="center"/>
    </xf>
    <xf numFmtId="0" fontId="24" fillId="0" borderId="0" xfId="0" applyFont="1"/>
    <xf numFmtId="0" fontId="9" fillId="0" borderId="0" xfId="0" applyFont="1"/>
    <xf numFmtId="0" fontId="25" fillId="0" borderId="0" xfId="0" applyFont="1"/>
    <xf numFmtId="0" fontId="25" fillId="0" borderId="0" xfId="0" applyFont="1" applyAlignment="1">
      <alignment horizontal="center"/>
    </xf>
    <xf numFmtId="9" fontId="26" fillId="0" borderId="0" xfId="2" applyFont="1"/>
    <xf numFmtId="0" fontId="17" fillId="0" borderId="0" xfId="0" applyFont="1" applyAlignment="1">
      <alignment vertical="center"/>
    </xf>
    <xf numFmtId="168" fontId="17" fillId="0" borderId="0" xfId="0" applyNumberFormat="1" applyFont="1" applyAlignment="1">
      <alignment horizontal="right"/>
    </xf>
    <xf numFmtId="0" fontId="19" fillId="0" borderId="0" xfId="0" applyFont="1" applyAlignment="1">
      <alignment vertical="center"/>
    </xf>
    <xf numFmtId="0" fontId="26" fillId="0" borderId="0" xfId="0" applyFont="1"/>
    <xf numFmtId="0" fontId="27" fillId="0" borderId="0" xfId="0" applyFont="1"/>
    <xf numFmtId="166" fontId="26" fillId="0" borderId="0" xfId="1" applyNumberFormat="1" applyFont="1"/>
    <xf numFmtId="37" fontId="11" fillId="0" borderId="1" xfId="1" applyNumberFormat="1" applyFont="1" applyFill="1" applyBorder="1" applyAlignment="1">
      <alignment vertical="center"/>
    </xf>
    <xf numFmtId="0" fontId="19" fillId="3" borderId="3" xfId="0" applyFont="1" applyFill="1" applyBorder="1" applyAlignment="1">
      <alignment vertical="center"/>
    </xf>
    <xf numFmtId="0" fontId="19" fillId="3" borderId="4" xfId="0" applyFont="1" applyFill="1" applyBorder="1" applyAlignment="1">
      <alignment vertical="center"/>
    </xf>
    <xf numFmtId="167" fontId="19" fillId="3" borderId="4" xfId="1" applyNumberFormat="1" applyFont="1" applyFill="1" applyBorder="1" applyAlignment="1">
      <alignment horizontal="center" vertical="center"/>
    </xf>
    <xf numFmtId="167" fontId="19" fillId="3" borderId="9" xfId="1" applyNumberFormat="1" applyFont="1" applyFill="1" applyBorder="1" applyAlignment="1">
      <alignment horizontal="center" vertical="center"/>
    </xf>
    <xf numFmtId="0" fontId="19" fillId="3" borderId="4" xfId="0" applyFont="1" applyFill="1" applyBorder="1" applyAlignment="1">
      <alignment horizontal="left" vertical="center"/>
    </xf>
    <xf numFmtId="0" fontId="10" fillId="0" borderId="0" xfId="0" applyFont="1"/>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7" fillId="5" borderId="0" xfId="0" applyFont="1" applyFill="1"/>
    <xf numFmtId="166" fontId="5" fillId="0" borderId="0" xfId="0" applyNumberFormat="1" applyFont="1"/>
    <xf numFmtId="0" fontId="23" fillId="0" borderId="1" xfId="0" quotePrefix="1" applyFont="1" applyBorder="1" applyAlignment="1">
      <alignment horizontal="center" vertical="center" wrapText="1"/>
    </xf>
    <xf numFmtId="167" fontId="15" fillId="0" borderId="0" xfId="0" applyNumberFormat="1" applyFont="1" applyAlignment="1">
      <alignment horizontal="center"/>
    </xf>
    <xf numFmtId="166" fontId="15" fillId="0" borderId="0" xfId="0" applyNumberFormat="1" applyFont="1" applyAlignment="1">
      <alignment horizontal="center"/>
    </xf>
    <xf numFmtId="166" fontId="15" fillId="0" borderId="0" xfId="1" applyNumberFormat="1" applyFont="1"/>
    <xf numFmtId="0" fontId="29" fillId="0" borderId="0" xfId="0" applyFont="1"/>
    <xf numFmtId="9" fontId="26" fillId="0" borderId="0" xfId="2" applyFont="1" applyAlignment="1">
      <alignment wrapText="1"/>
    </xf>
    <xf numFmtId="0" fontId="19" fillId="3" borderId="3" xfId="0" applyFont="1" applyFill="1" applyBorder="1" applyAlignment="1">
      <alignment horizontal="left" vertical="center"/>
    </xf>
    <xf numFmtId="167" fontId="19" fillId="3" borderId="5" xfId="1" applyNumberFormat="1" applyFont="1" applyFill="1" applyBorder="1" applyAlignment="1">
      <alignment horizontal="center" vertical="center"/>
    </xf>
    <xf numFmtId="0" fontId="30" fillId="0" borderId="0" xfId="0" applyFont="1" applyAlignment="1">
      <alignment horizontal="center"/>
    </xf>
    <xf numFmtId="0" fontId="22" fillId="2" borderId="3" xfId="0" applyFont="1" applyFill="1" applyBorder="1" applyAlignment="1">
      <alignment vertical="center"/>
    </xf>
    <xf numFmtId="0" fontId="17" fillId="2" borderId="4" xfId="0" applyFont="1" applyFill="1" applyBorder="1" applyAlignment="1">
      <alignment vertical="center"/>
    </xf>
    <xf numFmtId="167" fontId="17" fillId="2" borderId="4" xfId="1" applyNumberFormat="1" applyFont="1" applyFill="1" applyBorder="1" applyAlignment="1">
      <alignment horizontal="center" vertical="center"/>
    </xf>
    <xf numFmtId="0" fontId="19" fillId="0" borderId="1" xfId="0" applyFont="1" applyBorder="1" applyAlignment="1">
      <alignment vertical="center"/>
    </xf>
    <xf numFmtId="167" fontId="18" fillId="2" borderId="5" xfId="1" applyNumberFormat="1" applyFont="1" applyFill="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1" xfId="0" quotePrefix="1" applyFont="1" applyBorder="1" applyAlignment="1">
      <alignment horizontal="center" vertical="center" wrapText="1"/>
    </xf>
    <xf numFmtId="0" fontId="19" fillId="0" borderId="2" xfId="0" applyFont="1" applyBorder="1" applyAlignment="1">
      <alignment horizontal="center" vertical="center" wrapText="1"/>
    </xf>
    <xf numFmtId="0" fontId="19" fillId="0" borderId="7" xfId="0" applyFont="1" applyBorder="1" applyAlignment="1">
      <alignment horizontal="center" vertical="center" wrapText="1"/>
    </xf>
    <xf numFmtId="166" fontId="26" fillId="6" borderId="0" xfId="1" applyNumberFormat="1" applyFont="1" applyFill="1"/>
    <xf numFmtId="49" fontId="10" fillId="0" borderId="1" xfId="0" applyNumberFormat="1" applyFont="1" applyBorder="1" applyAlignment="1">
      <alignment horizontal="left" vertical="center"/>
    </xf>
    <xf numFmtId="0" fontId="5" fillId="0" borderId="0" xfId="0" applyFont="1" applyAlignment="1">
      <alignment horizontal="left"/>
    </xf>
    <xf numFmtId="166" fontId="26" fillId="0" borderId="0" xfId="1" applyNumberFormat="1" applyFont="1" applyFill="1"/>
    <xf numFmtId="0" fontId="5" fillId="0" borderId="0" xfId="0" applyFont="1" applyAlignment="1">
      <alignment horizontal="left" vertical="top"/>
    </xf>
    <xf numFmtId="0" fontId="0" fillId="4" borderId="15" xfId="0" applyFill="1" applyBorder="1" applyAlignment="1">
      <alignment vertical="center"/>
    </xf>
    <xf numFmtId="0" fontId="38" fillId="0" borderId="0" xfId="0" applyFont="1" applyAlignment="1">
      <alignment horizontal="center"/>
    </xf>
    <xf numFmtId="166" fontId="39" fillId="0" borderId="0" xfId="1" applyNumberFormat="1" applyFont="1"/>
    <xf numFmtId="0" fontId="40" fillId="0" borderId="0" xfId="0" applyFont="1" applyAlignment="1">
      <alignment horizontal="center"/>
    </xf>
    <xf numFmtId="0" fontId="41" fillId="0" borderId="0" xfId="0" applyFont="1"/>
    <xf numFmtId="166" fontId="41" fillId="0" borderId="0" xfId="1" applyNumberFormat="1" applyFont="1" applyFill="1"/>
    <xf numFmtId="0" fontId="42" fillId="0" borderId="0" xfId="0" applyFont="1" applyAlignment="1">
      <alignment vertical="center"/>
    </xf>
    <xf numFmtId="0" fontId="42" fillId="0" borderId="1" xfId="0" applyFont="1" applyBorder="1" applyAlignment="1">
      <alignment vertical="center"/>
    </xf>
    <xf numFmtId="0" fontId="22" fillId="0" borderId="1" xfId="0" applyFont="1" applyBorder="1" applyAlignment="1">
      <alignment horizontal="center" vertical="center" wrapText="1"/>
    </xf>
    <xf numFmtId="0" fontId="39" fillId="0" borderId="0" xfId="0" applyFont="1"/>
    <xf numFmtId="0" fontId="5" fillId="0" borderId="0" xfId="0" applyFont="1" applyAlignment="1">
      <alignment vertical="center"/>
    </xf>
    <xf numFmtId="166" fontId="5" fillId="0" borderId="0" xfId="1" applyNumberFormat="1" applyFont="1" applyFill="1"/>
    <xf numFmtId="0" fontId="39" fillId="0" borderId="0" xfId="0" applyFont="1" applyAlignment="1">
      <alignment vertical="center"/>
    </xf>
    <xf numFmtId="167" fontId="26" fillId="0" borderId="0" xfId="0" applyNumberFormat="1" applyFont="1"/>
    <xf numFmtId="49" fontId="10" fillId="0" borderId="1" xfId="0" applyNumberFormat="1" applyFont="1" applyBorder="1" applyAlignment="1">
      <alignment vertical="center" wrapText="1"/>
    </xf>
    <xf numFmtId="0" fontId="26" fillId="0" borderId="0" xfId="0" applyFont="1" applyAlignment="1">
      <alignment vertical="top" wrapText="1"/>
    </xf>
    <xf numFmtId="0" fontId="26" fillId="0" borderId="0" xfId="0" applyFont="1" applyAlignment="1">
      <alignment vertical="top"/>
    </xf>
    <xf numFmtId="0" fontId="10" fillId="0" borderId="11" xfId="0" applyFont="1" applyBorder="1" applyAlignment="1">
      <alignment horizontal="left" vertical="center"/>
    </xf>
    <xf numFmtId="0" fontId="10" fillId="0" borderId="11" xfId="0" applyFont="1" applyBorder="1" applyAlignment="1">
      <alignment vertical="center" wrapText="1"/>
    </xf>
    <xf numFmtId="0" fontId="10" fillId="0" borderId="11" xfId="0" applyFont="1" applyBorder="1" applyAlignment="1">
      <alignment horizontal="center" vertical="center"/>
    </xf>
    <xf numFmtId="9" fontId="10" fillId="0" borderId="11" xfId="2" applyFont="1" applyFill="1" applyBorder="1" applyAlignment="1">
      <alignment horizontal="center" vertical="center"/>
    </xf>
    <xf numFmtId="0" fontId="10" fillId="0" borderId="12" xfId="0" applyFont="1" applyBorder="1" applyAlignment="1">
      <alignment vertical="center"/>
    </xf>
    <xf numFmtId="0" fontId="10" fillId="0" borderId="12" xfId="0" applyFont="1" applyBorder="1" applyAlignment="1">
      <alignment horizontal="center" vertical="center"/>
    </xf>
    <xf numFmtId="9" fontId="10" fillId="0" borderId="12" xfId="2" applyFont="1" applyFill="1" applyBorder="1" applyAlignment="1">
      <alignment horizontal="center"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13" xfId="0" applyFont="1" applyBorder="1" applyAlignment="1">
      <alignment horizontal="center" vertical="center"/>
    </xf>
    <xf numFmtId="9" fontId="10" fillId="0" borderId="13" xfId="2" applyFont="1" applyFill="1" applyBorder="1" applyAlignment="1">
      <alignment horizontal="center" vertical="center"/>
    </xf>
    <xf numFmtId="0" fontId="10" fillId="0" borderId="11" xfId="0" applyFont="1" applyBorder="1" applyAlignment="1">
      <alignment vertical="center"/>
    </xf>
    <xf numFmtId="0" fontId="10" fillId="0" borderId="13" xfId="0" applyFont="1" applyBorder="1" applyAlignment="1">
      <alignment vertical="center"/>
    </xf>
    <xf numFmtId="0" fontId="10" fillId="0" borderId="13" xfId="0" applyFont="1" applyBorder="1" applyAlignment="1">
      <alignment vertical="center" wrapText="1"/>
    </xf>
    <xf numFmtId="9" fontId="26" fillId="0" borderId="0" xfId="2" applyFont="1" applyFill="1"/>
    <xf numFmtId="0" fontId="43" fillId="0" borderId="0" xfId="0" applyFont="1"/>
    <xf numFmtId="166" fontId="11" fillId="0" borderId="1" xfId="1" applyNumberFormat="1" applyFont="1" applyFill="1" applyBorder="1" applyAlignment="1">
      <alignment vertical="center"/>
    </xf>
    <xf numFmtId="0" fontId="14" fillId="0" borderId="1" xfId="0" applyFont="1" applyBorder="1" applyAlignment="1">
      <alignment horizontal="center" vertical="center" wrapText="1"/>
    </xf>
    <xf numFmtId="0" fontId="21" fillId="0" borderId="1" xfId="0" applyFont="1" applyBorder="1" applyAlignment="1">
      <alignment horizontal="center" vertical="center"/>
    </xf>
    <xf numFmtId="0" fontId="10" fillId="7" borderId="1" xfId="0" applyFont="1" applyFill="1" applyBorder="1" applyAlignment="1">
      <alignment horizontal="center" vertical="center"/>
    </xf>
    <xf numFmtId="49" fontId="10" fillId="7" borderId="1" xfId="0" applyNumberFormat="1" applyFont="1" applyFill="1" applyBorder="1" applyAlignment="1">
      <alignment horizontal="left" vertical="center"/>
    </xf>
    <xf numFmtId="0" fontId="10" fillId="7" borderId="1" xfId="0" applyFont="1" applyFill="1" applyBorder="1" applyAlignment="1">
      <alignment vertical="center"/>
    </xf>
    <xf numFmtId="167" fontId="10" fillId="7" borderId="1" xfId="1" applyNumberFormat="1" applyFont="1" applyFill="1" applyBorder="1" applyAlignment="1">
      <alignment horizontal="center" vertical="center"/>
    </xf>
    <xf numFmtId="9" fontId="10" fillId="7" borderId="1" xfId="2" applyFont="1" applyFill="1" applyBorder="1" applyAlignment="1">
      <alignment horizontal="center" vertical="center"/>
    </xf>
    <xf numFmtId="167" fontId="23" fillId="7" borderId="1" xfId="1" applyNumberFormat="1" applyFont="1" applyFill="1" applyBorder="1" applyAlignment="1">
      <alignment horizontal="center" vertical="center"/>
    </xf>
    <xf numFmtId="166" fontId="11" fillId="7" borderId="6" xfId="1" applyNumberFormat="1" applyFont="1" applyFill="1" applyBorder="1" applyAlignment="1">
      <alignment vertical="center"/>
    </xf>
    <xf numFmtId="0" fontId="26" fillId="7" borderId="0" xfId="0" applyFont="1" applyFill="1"/>
    <xf numFmtId="166" fontId="5" fillId="7" borderId="0" xfId="1" applyNumberFormat="1" applyFont="1" applyFill="1"/>
    <xf numFmtId="0" fontId="5" fillId="7" borderId="0" xfId="0" applyFont="1" applyFill="1"/>
    <xf numFmtId="167" fontId="26" fillId="7" borderId="0" xfId="0" applyNumberFormat="1" applyFont="1" applyFill="1"/>
    <xf numFmtId="0" fontId="19" fillId="3" borderId="5" xfId="0" applyFont="1" applyFill="1" applyBorder="1" applyAlignment="1">
      <alignment vertical="center"/>
    </xf>
    <xf numFmtId="0" fontId="13" fillId="0" borderId="11" xfId="0" applyFont="1" applyBorder="1" applyAlignment="1">
      <alignment horizontal="center" vertical="center" wrapText="1"/>
    </xf>
    <xf numFmtId="2" fontId="47" fillId="0" borderId="11" xfId="0" applyNumberFormat="1" applyFont="1" applyBorder="1" applyAlignment="1">
      <alignment horizontal="center" vertical="center"/>
    </xf>
    <xf numFmtId="0" fontId="4" fillId="0" borderId="11" xfId="0" applyFont="1" applyBorder="1" applyAlignment="1">
      <alignment horizontal="left" vertical="center"/>
    </xf>
    <xf numFmtId="0" fontId="13" fillId="0" borderId="12" xfId="0" applyFont="1" applyBorder="1" applyAlignment="1">
      <alignment horizontal="center" vertical="center" wrapText="1"/>
    </xf>
    <xf numFmtId="2" fontId="47" fillId="0" borderId="12" xfId="0" applyNumberFormat="1" applyFont="1" applyBorder="1" applyAlignment="1">
      <alignment horizontal="center" vertical="center"/>
    </xf>
    <xf numFmtId="0" fontId="4" fillId="0" borderId="12" xfId="0" applyFont="1" applyBorder="1" applyAlignment="1">
      <alignment horizontal="left" vertical="center"/>
    </xf>
    <xf numFmtId="0" fontId="13" fillId="0" borderId="13" xfId="0" applyFont="1" applyBorder="1" applyAlignment="1">
      <alignment horizontal="center" vertical="center" wrapText="1"/>
    </xf>
    <xf numFmtId="2" fontId="47" fillId="0" borderId="13" xfId="0" applyNumberFormat="1" applyFont="1" applyBorder="1" applyAlignment="1">
      <alignment horizontal="center" vertical="center"/>
    </xf>
    <xf numFmtId="0" fontId="4" fillId="0" borderId="13" xfId="0" applyFont="1" applyBorder="1" applyAlignment="1">
      <alignment horizontal="left" vertical="center"/>
    </xf>
    <xf numFmtId="165" fontId="15" fillId="0" borderId="0" xfId="0" applyNumberFormat="1" applyFont="1" applyAlignment="1">
      <alignment vertical="center"/>
    </xf>
    <xf numFmtId="0" fontId="48" fillId="0" borderId="0" xfId="0" applyFont="1"/>
    <xf numFmtId="167" fontId="10" fillId="0" borderId="11" xfId="1" applyNumberFormat="1" applyFont="1" applyFill="1" applyBorder="1" applyAlignment="1">
      <alignment horizontal="center" vertical="center"/>
    </xf>
    <xf numFmtId="167" fontId="23" fillId="0" borderId="11" xfId="1" applyNumberFormat="1" applyFont="1" applyFill="1" applyBorder="1" applyAlignment="1">
      <alignment horizontal="center" vertical="center"/>
    </xf>
    <xf numFmtId="166" fontId="11" fillId="0" borderId="11" xfId="1" applyNumberFormat="1" applyFont="1" applyFill="1" applyBorder="1" applyAlignment="1">
      <alignment vertical="center"/>
    </xf>
    <xf numFmtId="167" fontId="10" fillId="0" borderId="13" xfId="1" applyNumberFormat="1" applyFont="1" applyFill="1" applyBorder="1" applyAlignment="1">
      <alignment horizontal="center" vertical="center"/>
    </xf>
    <xf numFmtId="167" fontId="23" fillId="0" borderId="13" xfId="1" applyNumberFormat="1" applyFont="1" applyFill="1" applyBorder="1" applyAlignment="1">
      <alignment horizontal="center" vertical="center"/>
    </xf>
    <xf numFmtId="166" fontId="11" fillId="0" borderId="13" xfId="1" applyNumberFormat="1" applyFont="1" applyFill="1" applyBorder="1" applyAlignment="1">
      <alignment vertical="center"/>
    </xf>
    <xf numFmtId="0" fontId="10" fillId="0" borderId="11" xfId="0" applyFont="1" applyBorder="1" applyAlignment="1">
      <alignment horizontal="left" vertical="center" wrapText="1"/>
    </xf>
    <xf numFmtId="37" fontId="11" fillId="0" borderId="11" xfId="1" applyNumberFormat="1" applyFont="1" applyFill="1" applyBorder="1" applyAlignment="1">
      <alignment vertical="center"/>
    </xf>
    <xf numFmtId="37" fontId="11" fillId="0" borderId="13" xfId="1" applyNumberFormat="1" applyFont="1" applyFill="1" applyBorder="1" applyAlignment="1">
      <alignment vertical="center"/>
    </xf>
    <xf numFmtId="0" fontId="52" fillId="0" borderId="0" xfId="0" applyFont="1"/>
    <xf numFmtId="0" fontId="19" fillId="0" borderId="1" xfId="0" applyFont="1" applyBorder="1" applyAlignment="1">
      <alignment horizontal="left" vertical="center"/>
    </xf>
    <xf numFmtId="167" fontId="19" fillId="0" borderId="1" xfId="1" applyNumberFormat="1" applyFont="1" applyFill="1" applyBorder="1" applyAlignment="1">
      <alignment horizontal="center" vertical="center"/>
    </xf>
    <xf numFmtId="0" fontId="19" fillId="0" borderId="1" xfId="0" applyFont="1" applyBorder="1" applyAlignment="1">
      <alignment vertical="center" wrapText="1"/>
    </xf>
    <xf numFmtId="9" fontId="19" fillId="0" borderId="1" xfId="2" applyFont="1" applyFill="1" applyBorder="1" applyAlignment="1">
      <alignment horizontal="center" vertical="center"/>
    </xf>
    <xf numFmtId="37" fontId="19" fillId="0" borderId="6" xfId="1" applyNumberFormat="1" applyFont="1" applyFill="1" applyBorder="1" applyAlignment="1">
      <alignment vertical="center"/>
    </xf>
    <xf numFmtId="166" fontId="53" fillId="0" borderId="0" xfId="1" applyNumberFormat="1" applyFont="1"/>
    <xf numFmtId="0" fontId="53" fillId="0" borderId="0" xfId="0" applyFont="1"/>
    <xf numFmtId="166" fontId="53" fillId="0" borderId="0" xfId="1" applyNumberFormat="1" applyFont="1" applyFill="1"/>
    <xf numFmtId="0" fontId="54" fillId="0" borderId="0" xfId="0" applyFont="1" applyAlignment="1">
      <alignment vertical="center"/>
    </xf>
    <xf numFmtId="167" fontId="10" fillId="0" borderId="12" xfId="1" applyNumberFormat="1" applyFont="1" applyFill="1" applyBorder="1" applyAlignment="1">
      <alignment horizontal="center" vertical="center"/>
    </xf>
    <xf numFmtId="167" fontId="23" fillId="0" borderId="12" xfId="1" applyNumberFormat="1" applyFont="1" applyFill="1" applyBorder="1" applyAlignment="1">
      <alignment horizontal="center" vertical="center"/>
    </xf>
    <xf numFmtId="37" fontId="11" fillId="0" borderId="12" xfId="1" applyNumberFormat="1" applyFont="1" applyFill="1" applyBorder="1" applyAlignment="1">
      <alignment vertical="center"/>
    </xf>
    <xf numFmtId="0" fontId="19" fillId="0" borderId="0" xfId="0" applyFont="1"/>
    <xf numFmtId="167" fontId="17" fillId="0" borderId="11" xfId="1" applyNumberFormat="1" applyFont="1" applyFill="1" applyBorder="1" applyAlignment="1">
      <alignment horizontal="center" vertical="center"/>
    </xf>
    <xf numFmtId="9" fontId="17" fillId="0" borderId="11" xfId="2" applyFont="1" applyFill="1" applyBorder="1" applyAlignment="1">
      <alignment horizontal="center" vertical="center"/>
    </xf>
    <xf numFmtId="167" fontId="17" fillId="0" borderId="13" xfId="1" applyNumberFormat="1" applyFont="1" applyFill="1" applyBorder="1" applyAlignment="1">
      <alignment horizontal="center" vertical="center"/>
    </xf>
    <xf numFmtId="9" fontId="17" fillId="0" borderId="13" xfId="2" applyFont="1" applyFill="1" applyBorder="1" applyAlignment="1">
      <alignment horizontal="center" vertical="center"/>
    </xf>
    <xf numFmtId="0" fontId="19" fillId="3" borderId="6" xfId="0" applyFont="1" applyFill="1" applyBorder="1" applyAlignment="1">
      <alignment horizontal="left" vertical="center"/>
    </xf>
    <xf numFmtId="0" fontId="19" fillId="3" borderId="6" xfId="0" applyFont="1" applyFill="1" applyBorder="1" applyAlignment="1">
      <alignment vertical="center"/>
    </xf>
    <xf numFmtId="167" fontId="19" fillId="3" borderId="6" xfId="1" applyNumberFormat="1" applyFont="1" applyFill="1" applyBorder="1" applyAlignment="1">
      <alignment horizontal="center" vertical="center"/>
    </xf>
    <xf numFmtId="0" fontId="19" fillId="3" borderId="2" xfId="0" applyFont="1" applyFill="1" applyBorder="1" applyAlignment="1">
      <alignment horizontal="left" vertical="center"/>
    </xf>
    <xf numFmtId="0" fontId="22" fillId="3" borderId="2" xfId="0" applyFont="1" applyFill="1" applyBorder="1" applyAlignment="1">
      <alignment horizontal="left" vertical="center"/>
    </xf>
    <xf numFmtId="0" fontId="23" fillId="3" borderId="2" xfId="0" applyFont="1" applyFill="1" applyBorder="1" applyAlignment="1">
      <alignment horizontal="left" vertical="center"/>
    </xf>
    <xf numFmtId="166" fontId="26" fillId="0" borderId="0" xfId="0" applyNumberFormat="1" applyFont="1"/>
    <xf numFmtId="0" fontId="56" fillId="0" borderId="0" xfId="0" applyFont="1"/>
    <xf numFmtId="0" fontId="0" fillId="0" borderId="0" xfId="0" applyAlignment="1">
      <alignment horizontal="center"/>
    </xf>
    <xf numFmtId="0" fontId="57" fillId="0" borderId="0" xfId="0" applyFont="1"/>
    <xf numFmtId="0" fontId="0" fillId="0" borderId="0" xfId="0" applyAlignment="1">
      <alignment horizontal="center" vertical="center"/>
    </xf>
    <xf numFmtId="171" fontId="0" fillId="0" borderId="0" xfId="1" applyNumberFormat="1" applyFont="1" applyAlignment="1">
      <alignment horizontal="center"/>
    </xf>
    <xf numFmtId="9" fontId="0" fillId="0" borderId="0" xfId="9" applyFont="1" applyAlignment="1">
      <alignment horizontal="center"/>
    </xf>
    <xf numFmtId="41" fontId="0" fillId="0" borderId="0" xfId="27" applyFont="1" applyAlignment="1">
      <alignment horizontal="center"/>
    </xf>
    <xf numFmtId="0" fontId="58" fillId="8" borderId="11" xfId="0" applyFont="1" applyFill="1" applyBorder="1" applyAlignment="1">
      <alignment horizontal="center" vertical="center"/>
    </xf>
    <xf numFmtId="0" fontId="58" fillId="8" borderId="11" xfId="0" applyFont="1" applyFill="1" applyBorder="1" applyAlignment="1">
      <alignment horizontal="center" vertical="center" wrapText="1"/>
    </xf>
    <xf numFmtId="0" fontId="58" fillId="9" borderId="11" xfId="0" applyFont="1" applyFill="1" applyBorder="1" applyAlignment="1">
      <alignment horizontal="center" vertical="center" wrapText="1"/>
    </xf>
    <xf numFmtId="0" fontId="58" fillId="8" borderId="11" xfId="0" quotePrefix="1" applyFont="1" applyFill="1" applyBorder="1" applyAlignment="1">
      <alignment horizontal="center" vertical="center" wrapText="1"/>
    </xf>
    <xf numFmtId="41" fontId="58" fillId="10" borderId="11" xfId="27" quotePrefix="1" applyFont="1" applyFill="1" applyBorder="1" applyAlignment="1">
      <alignment horizontal="center" vertical="center" wrapText="1"/>
    </xf>
    <xf numFmtId="0" fontId="59" fillId="11" borderId="12" xfId="0" applyFont="1" applyFill="1" applyBorder="1" applyAlignment="1">
      <alignment horizontal="center"/>
    </xf>
    <xf numFmtId="0" fontId="59" fillId="11" borderId="12" xfId="0" applyFont="1" applyFill="1" applyBorder="1"/>
    <xf numFmtId="0" fontId="59" fillId="11" borderId="12" xfId="0" applyFont="1" applyFill="1" applyBorder="1" applyAlignment="1">
      <alignment horizontal="center" vertical="center"/>
    </xf>
    <xf numFmtId="171" fontId="59" fillId="11" borderId="12" xfId="1" applyNumberFormat="1" applyFont="1" applyFill="1" applyBorder="1" applyAlignment="1">
      <alignment horizontal="center"/>
    </xf>
    <xf numFmtId="9" fontId="59" fillId="11" borderId="12" xfId="9" applyFont="1" applyFill="1" applyBorder="1" applyAlignment="1">
      <alignment horizontal="center"/>
    </xf>
    <xf numFmtId="41" fontId="59" fillId="11" borderId="12" xfId="27" applyFont="1" applyFill="1" applyBorder="1" applyAlignment="1">
      <alignment horizontal="center"/>
    </xf>
    <xf numFmtId="0" fontId="60" fillId="0" borderId="0" xfId="0" applyFont="1"/>
    <xf numFmtId="0" fontId="59" fillId="3" borderId="12" xfId="0" applyFont="1" applyFill="1" applyBorder="1" applyAlignment="1">
      <alignment horizontal="center"/>
    </xf>
    <xf numFmtId="0" fontId="59" fillId="3" borderId="12" xfId="0" applyFont="1" applyFill="1" applyBorder="1"/>
    <xf numFmtId="0" fontId="59" fillId="3" borderId="12" xfId="0" applyFont="1" applyFill="1" applyBorder="1" applyAlignment="1">
      <alignment horizontal="center" vertical="center"/>
    </xf>
    <xf numFmtId="171" fontId="59" fillId="3" borderId="12" xfId="1" applyNumberFormat="1" applyFont="1" applyFill="1" applyBorder="1" applyAlignment="1">
      <alignment horizontal="center"/>
    </xf>
    <xf numFmtId="9" fontId="59" fillId="3" borderId="12" xfId="9" applyFont="1" applyFill="1" applyBorder="1" applyAlignment="1">
      <alignment horizontal="center"/>
    </xf>
    <xf numFmtId="41" fontId="59" fillId="3" borderId="12" xfId="27" applyFont="1" applyFill="1" applyBorder="1" applyAlignment="1">
      <alignment horizontal="center"/>
    </xf>
    <xf numFmtId="0" fontId="0" fillId="0" borderId="12" xfId="0" applyBorder="1" applyAlignment="1">
      <alignment horizontal="center"/>
    </xf>
    <xf numFmtId="0" fontId="61" fillId="0" borderId="12" xfId="0" applyFont="1" applyBorder="1"/>
    <xf numFmtId="0" fontId="0" fillId="0" borderId="12" xfId="0" applyBorder="1"/>
    <xf numFmtId="0" fontId="0" fillId="0" borderId="12" xfId="0" applyBorder="1" applyAlignment="1">
      <alignment horizontal="center" vertical="center"/>
    </xf>
    <xf numFmtId="3" fontId="61" fillId="0" borderId="12" xfId="27" applyNumberFormat="1" applyFont="1" applyBorder="1"/>
    <xf numFmtId="3" fontId="0" fillId="0" borderId="12" xfId="27" applyNumberFormat="1" applyFont="1" applyBorder="1"/>
    <xf numFmtId="3" fontId="62" fillId="0" borderId="12" xfId="27" applyNumberFormat="1" applyFont="1" applyBorder="1"/>
    <xf numFmtId="171" fontId="55" fillId="0" borderId="12" xfId="1" applyNumberFormat="1" applyFont="1" applyBorder="1" applyAlignment="1">
      <alignment horizontal="center"/>
    </xf>
    <xf numFmtId="3" fontId="0" fillId="0" borderId="12" xfId="1" applyNumberFormat="1" applyFont="1" applyBorder="1" applyAlignment="1">
      <alignment horizontal="center"/>
    </xf>
    <xf numFmtId="3" fontId="55" fillId="0" borderId="12" xfId="1" applyNumberFormat="1" applyFont="1" applyBorder="1" applyAlignment="1">
      <alignment horizontal="center"/>
    </xf>
    <xf numFmtId="9" fontId="55" fillId="0" borderId="12" xfId="9" applyFont="1" applyBorder="1" applyAlignment="1">
      <alignment horizontal="center"/>
    </xf>
    <xf numFmtId="41" fontId="55" fillId="0" borderId="12" xfId="27" applyFont="1" applyBorder="1" applyAlignment="1">
      <alignment horizontal="center"/>
    </xf>
    <xf numFmtId="3" fontId="0" fillId="7" borderId="12" xfId="27" applyNumberFormat="1" applyFont="1" applyFill="1" applyBorder="1"/>
    <xf numFmtId="3" fontId="62" fillId="7" borderId="12" xfId="27" applyNumberFormat="1" applyFont="1" applyFill="1" applyBorder="1"/>
    <xf numFmtId="41" fontId="55" fillId="7" borderId="12" xfId="27" applyFont="1" applyFill="1" applyBorder="1" applyAlignment="1">
      <alignment horizontal="center"/>
    </xf>
    <xf numFmtId="3" fontId="61" fillId="5" borderId="12" xfId="1" applyNumberFormat="1" applyFont="1" applyFill="1" applyBorder="1" applyAlignment="1">
      <alignment horizontal="center"/>
    </xf>
    <xf numFmtId="3" fontId="0" fillId="0" borderId="12" xfId="28" applyNumberFormat="1" applyFont="1" applyBorder="1" applyAlignment="1">
      <alignment horizontal="center"/>
    </xf>
    <xf numFmtId="3" fontId="0" fillId="0" borderId="12" xfId="29" applyNumberFormat="1" applyFont="1" applyBorder="1" applyAlignment="1">
      <alignment horizontal="center"/>
    </xf>
    <xf numFmtId="3" fontId="59" fillId="3" borderId="12" xfId="0" applyNumberFormat="1" applyFont="1" applyFill="1" applyBorder="1"/>
    <xf numFmtId="3" fontId="63" fillId="3" borderId="12" xfId="0" applyNumberFormat="1" applyFont="1" applyFill="1" applyBorder="1"/>
    <xf numFmtId="3" fontId="64" fillId="3" borderId="12" xfId="1" applyNumberFormat="1" applyFont="1" applyFill="1" applyBorder="1" applyAlignment="1">
      <alignment horizontal="center"/>
    </xf>
    <xf numFmtId="3" fontId="59" fillId="3" borderId="12" xfId="1" applyNumberFormat="1" applyFont="1" applyFill="1" applyBorder="1" applyAlignment="1">
      <alignment horizontal="center"/>
    </xf>
    <xf numFmtId="9" fontId="64" fillId="3" borderId="12" xfId="9" applyFont="1" applyFill="1" applyBorder="1" applyAlignment="1">
      <alignment horizontal="center"/>
    </xf>
    <xf numFmtId="41" fontId="64" fillId="3" borderId="12" xfId="27" applyFont="1" applyFill="1" applyBorder="1" applyAlignment="1">
      <alignment horizontal="center"/>
    </xf>
    <xf numFmtId="0" fontId="61" fillId="5" borderId="12" xfId="0" applyFont="1" applyFill="1" applyBorder="1"/>
    <xf numFmtId="0" fontId="0" fillId="5" borderId="12" xfId="0" applyFill="1" applyBorder="1"/>
    <xf numFmtId="0" fontId="65" fillId="0" borderId="12" xfId="0" applyFont="1" applyBorder="1"/>
    <xf numFmtId="0" fontId="65" fillId="0" borderId="12" xfId="0" applyFont="1" applyBorder="1" applyAlignment="1">
      <alignment horizontal="center" vertical="center"/>
    </xf>
    <xf numFmtId="3" fontId="65" fillId="0" borderId="12" xfId="27" applyNumberFormat="1" applyFont="1" applyBorder="1"/>
    <xf numFmtId="3" fontId="65" fillId="0" borderId="12" xfId="1" applyNumberFormat="1" applyFont="1" applyBorder="1" applyAlignment="1">
      <alignment horizontal="center"/>
    </xf>
    <xf numFmtId="0" fontId="65" fillId="0" borderId="0" xfId="0" applyFont="1"/>
    <xf numFmtId="3" fontId="59" fillId="11" borderId="12" xfId="0" applyNumberFormat="1" applyFont="1" applyFill="1" applyBorder="1"/>
    <xf numFmtId="3" fontId="63" fillId="11" borderId="12" xfId="0" applyNumberFormat="1" applyFont="1" applyFill="1" applyBorder="1"/>
    <xf numFmtId="3" fontId="64" fillId="11" borderId="12" xfId="1" applyNumberFormat="1" applyFont="1" applyFill="1" applyBorder="1" applyAlignment="1">
      <alignment horizontal="center"/>
    </xf>
    <xf numFmtId="3" fontId="59" fillId="11" borderId="12" xfId="1" applyNumberFormat="1" applyFont="1" applyFill="1" applyBorder="1" applyAlignment="1">
      <alignment horizontal="center"/>
    </xf>
    <xf numFmtId="9" fontId="64" fillId="11" borderId="12" xfId="9" applyFont="1" applyFill="1" applyBorder="1" applyAlignment="1">
      <alignment horizontal="center"/>
    </xf>
    <xf numFmtId="41" fontId="64" fillId="11" borderId="12" xfId="27" applyFont="1" applyFill="1" applyBorder="1" applyAlignment="1">
      <alignment horizontal="center"/>
    </xf>
    <xf numFmtId="3" fontId="0" fillId="0" borderId="12" xfId="27" quotePrefix="1" applyNumberFormat="1" applyFont="1" applyBorder="1" applyAlignment="1">
      <alignment horizontal="center"/>
    </xf>
    <xf numFmtId="0" fontId="0" fillId="7" borderId="12" xfId="0" applyFill="1" applyBorder="1"/>
    <xf numFmtId="3" fontId="0" fillId="5" borderId="12" xfId="27" applyNumberFormat="1" applyFont="1" applyFill="1" applyBorder="1"/>
    <xf numFmtId="3" fontId="0" fillId="4" borderId="12" xfId="1" applyNumberFormat="1" applyFont="1" applyFill="1" applyBorder="1" applyAlignment="1">
      <alignment horizontal="center"/>
    </xf>
    <xf numFmtId="171" fontId="64" fillId="11" borderId="12" xfId="1" applyNumberFormat="1" applyFont="1" applyFill="1" applyBorder="1" applyAlignment="1">
      <alignment horizontal="center"/>
    </xf>
    <xf numFmtId="171" fontId="64" fillId="3" borderId="12" xfId="1" applyNumberFormat="1" applyFont="1" applyFill="1" applyBorder="1" applyAlignment="1">
      <alignment horizontal="center"/>
    </xf>
    <xf numFmtId="3" fontId="0" fillId="0" borderId="12" xfId="27" quotePrefix="1" applyNumberFormat="1" applyFont="1" applyBorder="1"/>
    <xf numFmtId="3" fontId="62" fillId="0" borderId="12" xfId="27" quotePrefix="1" applyNumberFormat="1" applyFont="1" applyBorder="1" applyAlignment="1">
      <alignment horizontal="right"/>
    </xf>
    <xf numFmtId="3" fontId="66" fillId="0" borderId="12" xfId="1" quotePrefix="1" applyNumberFormat="1" applyFont="1" applyBorder="1" applyAlignment="1">
      <alignment horizontal="center"/>
    </xf>
    <xf numFmtId="171" fontId="55" fillId="0" borderId="12" xfId="1" quotePrefix="1" applyNumberFormat="1" applyFont="1" applyBorder="1" applyAlignment="1">
      <alignment horizontal="center"/>
    </xf>
    <xf numFmtId="9" fontId="55" fillId="0" borderId="12" xfId="9" quotePrefix="1" applyFont="1" applyBorder="1" applyAlignment="1">
      <alignment horizontal="center"/>
    </xf>
    <xf numFmtId="41" fontId="55" fillId="0" borderId="12" xfId="27" quotePrefix="1" applyFont="1" applyBorder="1" applyAlignment="1">
      <alignment horizontal="center"/>
    </xf>
    <xf numFmtId="13" fontId="55" fillId="0" borderId="12" xfId="27" quotePrefix="1" applyNumberFormat="1" applyFont="1" applyBorder="1" applyAlignment="1">
      <alignment horizontal="center"/>
    </xf>
    <xf numFmtId="3" fontId="63" fillId="3" borderId="12" xfId="0" applyNumberFormat="1" applyFont="1" applyFill="1" applyBorder="1" applyAlignment="1">
      <alignment horizontal="right"/>
    </xf>
    <xf numFmtId="0" fontId="0" fillId="0" borderId="12" xfId="0" applyBorder="1" applyAlignment="1">
      <alignment vertical="center"/>
    </xf>
    <xf numFmtId="3" fontId="0" fillId="0" borderId="12" xfId="27" applyNumberFormat="1" applyFont="1" applyBorder="1" applyAlignment="1">
      <alignment vertical="center"/>
    </xf>
    <xf numFmtId="3" fontId="62" fillId="0" borderId="12" xfId="27" applyNumberFormat="1" applyFont="1" applyBorder="1" applyAlignment="1">
      <alignment vertical="center"/>
    </xf>
    <xf numFmtId="3" fontId="55" fillId="0" borderId="12" xfId="1" applyNumberFormat="1" applyFont="1" applyBorder="1" applyAlignment="1">
      <alignment horizontal="center" vertical="center"/>
    </xf>
    <xf numFmtId="3" fontId="0" fillId="0" borderId="12" xfId="1" applyNumberFormat="1" applyFont="1" applyBorder="1" applyAlignment="1">
      <alignment horizontal="center" vertical="center"/>
    </xf>
    <xf numFmtId="9" fontId="55" fillId="0" borderId="12" xfId="9" applyFont="1" applyBorder="1" applyAlignment="1">
      <alignment horizontal="center" vertical="center"/>
    </xf>
    <xf numFmtId="41" fontId="55" fillId="0" borderId="12" xfId="27" applyFont="1" applyBorder="1" applyAlignment="1">
      <alignment horizontal="center" vertical="center"/>
    </xf>
    <xf numFmtId="0" fontId="0" fillId="0" borderId="12" xfId="0" applyBorder="1" applyAlignment="1">
      <alignment vertical="center" wrapText="1"/>
    </xf>
    <xf numFmtId="0" fontId="0" fillId="0" borderId="0" xfId="0" applyAlignment="1">
      <alignment vertical="center"/>
    </xf>
    <xf numFmtId="0" fontId="0" fillId="0" borderId="13" xfId="0" applyBorder="1"/>
    <xf numFmtId="0" fontId="0" fillId="0" borderId="13" xfId="0" applyBorder="1" applyAlignment="1">
      <alignment horizontal="center" vertical="center"/>
    </xf>
    <xf numFmtId="3" fontId="0" fillId="0" borderId="13" xfId="27" applyNumberFormat="1" applyFont="1" applyBorder="1"/>
    <xf numFmtId="3" fontId="62" fillId="0" borderId="13" xfId="27" applyNumberFormat="1" applyFont="1" applyBorder="1"/>
    <xf numFmtId="3" fontId="55" fillId="0" borderId="13" xfId="1" applyNumberFormat="1" applyFont="1" applyBorder="1" applyAlignment="1">
      <alignment horizontal="center"/>
    </xf>
    <xf numFmtId="3" fontId="0" fillId="0" borderId="13" xfId="1" applyNumberFormat="1" applyFont="1" applyBorder="1" applyAlignment="1">
      <alignment horizontal="center"/>
    </xf>
    <xf numFmtId="9" fontId="55" fillId="0" borderId="13" xfId="9" applyFont="1" applyBorder="1" applyAlignment="1">
      <alignment horizontal="center"/>
    </xf>
    <xf numFmtId="41" fontId="55" fillId="0" borderId="13" xfId="27" applyFont="1" applyBorder="1" applyAlignment="1">
      <alignment horizontal="center"/>
    </xf>
    <xf numFmtId="171" fontId="0" fillId="0" borderId="0" xfId="0" applyNumberFormat="1"/>
    <xf numFmtId="9" fontId="60" fillId="5" borderId="0" xfId="0" applyNumberFormat="1" applyFont="1" applyFill="1"/>
    <xf numFmtId="9" fontId="67" fillId="0" borderId="0" xfId="0" applyNumberFormat="1" applyFont="1"/>
    <xf numFmtId="9" fontId="67" fillId="5" borderId="0" xfId="0" applyNumberFormat="1" applyFont="1" applyFill="1"/>
    <xf numFmtId="0" fontId="19" fillId="11" borderId="12" xfId="0" applyFont="1" applyFill="1" applyBorder="1"/>
    <xf numFmtId="0" fontId="19" fillId="3" borderId="12" xfId="0" applyFont="1" applyFill="1" applyBorder="1"/>
    <xf numFmtId="3" fontId="15" fillId="0" borderId="12" xfId="0" applyNumberFormat="1" applyFont="1" applyBorder="1"/>
    <xf numFmtId="0" fontId="15" fillId="0" borderId="12" xfId="0" applyFont="1" applyBorder="1"/>
    <xf numFmtId="0" fontId="59" fillId="3" borderId="21" xfId="0" applyFont="1" applyFill="1" applyBorder="1"/>
    <xf numFmtId="166" fontId="10" fillId="0" borderId="12" xfId="1" applyNumberFormat="1" applyFont="1" applyFill="1" applyBorder="1" applyAlignment="1">
      <alignment horizontal="center" vertical="center"/>
    </xf>
    <xf numFmtId="38" fontId="10" fillId="0" borderId="12" xfId="1" applyNumberFormat="1" applyFont="1" applyFill="1" applyBorder="1" applyAlignment="1">
      <alignment horizontal="center" vertical="center"/>
    </xf>
    <xf numFmtId="0" fontId="0" fillId="0" borderId="0" xfId="0" applyAlignment="1">
      <alignment horizontal="center" vertical="center" wrapText="1"/>
    </xf>
    <xf numFmtId="0" fontId="13" fillId="0" borderId="7" xfId="0" applyFont="1" applyBorder="1" applyAlignment="1">
      <alignment horizontal="center" vertical="center" wrapText="1"/>
    </xf>
    <xf numFmtId="0" fontId="55" fillId="0" borderId="0" xfId="0" applyFont="1"/>
    <xf numFmtId="0" fontId="67" fillId="0" borderId="0" xfId="0" applyFont="1" applyAlignment="1">
      <alignment horizontal="center" vertical="center" wrapText="1"/>
    </xf>
    <xf numFmtId="9" fontId="0" fillId="0" borderId="0" xfId="2" applyFont="1"/>
    <xf numFmtId="0" fontId="69" fillId="0" borderId="0" xfId="0" applyFont="1" applyAlignment="1">
      <alignment vertical="center"/>
    </xf>
    <xf numFmtId="0" fontId="0" fillId="0" borderId="0" xfId="0" applyAlignment="1">
      <alignment horizontal="left" vertical="center" indent="1"/>
    </xf>
    <xf numFmtId="0" fontId="69" fillId="0" borderId="0" xfId="0" applyFont="1" applyAlignment="1">
      <alignment horizontal="left" vertical="center" indent="1"/>
    </xf>
    <xf numFmtId="0" fontId="70" fillId="0" borderId="0" xfId="0" applyFont="1" applyAlignment="1">
      <alignment horizontal="left" vertical="center" indent="1"/>
    </xf>
    <xf numFmtId="0" fontId="69" fillId="0" borderId="0" xfId="0" applyFont="1" applyAlignment="1">
      <alignment horizontal="left" vertical="center" indent="4"/>
    </xf>
    <xf numFmtId="0" fontId="69" fillId="0" borderId="0" xfId="0" applyFont="1"/>
    <xf numFmtId="10" fontId="0" fillId="0" borderId="0" xfId="2" applyNumberFormat="1" applyFont="1"/>
    <xf numFmtId="166" fontId="0" fillId="0" borderId="0" xfId="1" applyNumberFormat="1" applyFont="1"/>
    <xf numFmtId="38" fontId="71" fillId="5" borderId="0" xfId="0" applyNumberFormat="1" applyFont="1" applyFill="1"/>
    <xf numFmtId="38" fontId="71" fillId="5" borderId="0" xfId="1" applyNumberFormat="1" applyFont="1" applyFill="1"/>
    <xf numFmtId="3" fontId="11" fillId="0" borderId="12" xfId="0" applyNumberFormat="1" applyFont="1" applyBorder="1"/>
    <xf numFmtId="9" fontId="11" fillId="0" borderId="12" xfId="2" applyFont="1" applyFill="1" applyBorder="1" applyAlignment="1">
      <alignment horizontal="center" vertical="center"/>
    </xf>
    <xf numFmtId="166" fontId="11" fillId="0" borderId="12" xfId="1" applyNumberFormat="1" applyFont="1" applyFill="1" applyBorder="1" applyAlignment="1">
      <alignment horizontal="center" vertical="center"/>
    </xf>
    <xf numFmtId="9" fontId="71" fillId="5" borderId="0" xfId="0" applyNumberFormat="1" applyFont="1" applyFill="1"/>
    <xf numFmtId="171" fontId="55" fillId="0" borderId="0" xfId="0" applyNumberFormat="1" applyFont="1"/>
    <xf numFmtId="9" fontId="55" fillId="0" borderId="0" xfId="2" applyFont="1"/>
    <xf numFmtId="0" fontId="68" fillId="12" borderId="0" xfId="0" applyFont="1" applyFill="1" applyAlignment="1">
      <alignment horizontal="center" vertical="center" wrapText="1"/>
    </xf>
    <xf numFmtId="171" fontId="60" fillId="0" borderId="0" xfId="0" applyNumberFormat="1" applyFont="1"/>
    <xf numFmtId="0" fontId="13" fillId="0" borderId="0" xfId="0" applyFont="1" applyAlignment="1">
      <alignment horizontal="center" vertical="center" wrapText="1"/>
    </xf>
    <xf numFmtId="0" fontId="59" fillId="11" borderId="0" xfId="0" applyFont="1" applyFill="1"/>
    <xf numFmtId="0" fontId="59" fillId="3" borderId="0" xfId="0" applyFont="1" applyFill="1"/>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166" fontId="10" fillId="0" borderId="0" xfId="2" applyNumberFormat="1" applyFont="1" applyFill="1" applyBorder="1" applyAlignment="1">
      <alignment horizontal="center" vertical="center"/>
    </xf>
    <xf numFmtId="0" fontId="72" fillId="0" borderId="0" xfId="30"/>
    <xf numFmtId="0" fontId="15" fillId="0" borderId="3" xfId="0" applyFont="1" applyBorder="1" applyAlignment="1">
      <alignment horizontal="left"/>
    </xf>
    <xf numFmtId="0" fontId="15" fillId="0" borderId="4" xfId="0" applyFont="1" applyBorder="1" applyAlignment="1">
      <alignment horizontal="left"/>
    </xf>
    <xf numFmtId="0" fontId="15" fillId="0" borderId="5" xfId="0" applyFont="1" applyBorder="1" applyAlignment="1">
      <alignment horizontal="left"/>
    </xf>
    <xf numFmtId="0" fontId="50" fillId="0" borderId="5" xfId="0" applyFont="1" applyBorder="1" applyAlignment="1">
      <alignment horizontal="center" vertical="top" wrapText="1"/>
    </xf>
    <xf numFmtId="0" fontId="50" fillId="0" borderId="1" xfId="0" applyFont="1" applyBorder="1" applyAlignment="1">
      <alignment horizontal="center" vertical="top" wrapText="1"/>
    </xf>
    <xf numFmtId="0" fontId="4" fillId="0" borderId="1" xfId="0" applyFont="1" applyBorder="1" applyAlignment="1">
      <alignment horizontal="center"/>
    </xf>
    <xf numFmtId="0" fontId="10" fillId="0" borderId="0" xfId="0" applyFont="1" applyAlignment="1">
      <alignment horizontal="center"/>
    </xf>
    <xf numFmtId="0" fontId="4" fillId="0" borderId="12" xfId="0" quotePrefix="1" applyFont="1" applyBorder="1" applyAlignment="1">
      <alignment horizontal="center" vertical="center"/>
    </xf>
    <xf numFmtId="0" fontId="4" fillId="0" borderId="12" xfId="0" applyFont="1" applyBorder="1" applyAlignment="1">
      <alignment horizontal="center" vertical="center"/>
    </xf>
    <xf numFmtId="0" fontId="4" fillId="0" borderId="11" xfId="0" quotePrefix="1" applyFont="1" applyBorder="1" applyAlignment="1">
      <alignment horizontal="center" vertical="center"/>
    </xf>
    <xf numFmtId="0" fontId="4" fillId="0" borderId="13" xfId="0" quotePrefix="1" applyFont="1" applyBorder="1" applyAlignment="1">
      <alignment horizontal="center" vertical="center"/>
    </xf>
    <xf numFmtId="0" fontId="4" fillId="0" borderId="19" xfId="0" quotePrefix="1" applyFont="1" applyBorder="1" applyAlignment="1">
      <alignment horizontal="center" vertical="center"/>
    </xf>
    <xf numFmtId="0" fontId="4" fillId="0" borderId="20" xfId="0" quotePrefix="1" applyFont="1" applyBorder="1" applyAlignment="1">
      <alignment horizontal="center" vertical="center"/>
    </xf>
    <xf numFmtId="0" fontId="15" fillId="0" borderId="0" xfId="0" applyFont="1" applyAlignment="1">
      <alignment horizontal="left"/>
    </xf>
    <xf numFmtId="0" fontId="10" fillId="0" borderId="0" xfId="0" applyFont="1" applyAlignment="1">
      <alignment horizontal="center" vertical="center"/>
    </xf>
    <xf numFmtId="0" fontId="15" fillId="0" borderId="1" xfId="0" applyFont="1" applyBorder="1" applyAlignment="1">
      <alignment horizontal="left"/>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21" fillId="0" borderId="1" xfId="0" applyFont="1" applyBorder="1" applyAlignment="1">
      <alignment horizontal="center" vertical="center" wrapText="1"/>
    </xf>
    <xf numFmtId="0" fontId="4" fillId="0" borderId="11" xfId="0" applyFont="1" applyBorder="1" applyAlignment="1">
      <alignment horizontal="center" vertical="center"/>
    </xf>
    <xf numFmtId="0" fontId="15" fillId="0" borderId="1" xfId="0" applyFont="1" applyBorder="1" applyAlignment="1">
      <alignment horizontal="center"/>
    </xf>
    <xf numFmtId="0" fontId="15" fillId="0" borderId="1" xfId="0" applyFont="1" applyBorder="1" applyAlignment="1">
      <alignment horizontal="left" vertical="center"/>
    </xf>
    <xf numFmtId="0" fontId="50" fillId="0" borderId="1"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 xfId="0" applyFont="1" applyBorder="1" applyAlignment="1">
      <alignment horizontal="center" vertical="center"/>
    </xf>
    <xf numFmtId="0" fontId="15" fillId="0" borderId="1" xfId="0" applyFont="1" applyBorder="1" applyAlignment="1">
      <alignment horizontal="center" vertical="center"/>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0" fontId="10" fillId="0" borderId="0" xfId="0" applyFont="1" applyAlignment="1">
      <alignment horizontal="left"/>
    </xf>
    <xf numFmtId="0" fontId="4" fillId="0" borderId="8" xfId="0" applyFont="1" applyBorder="1" applyAlignment="1">
      <alignment horizontal="center"/>
    </xf>
    <xf numFmtId="0" fontId="4" fillId="0" borderId="10" xfId="0" applyFont="1" applyBorder="1" applyAlignment="1">
      <alignment horizontal="center"/>
    </xf>
    <xf numFmtId="0" fontId="4" fillId="0" borderId="14" xfId="0" applyFont="1" applyBorder="1" applyAlignment="1">
      <alignment horizontal="center"/>
    </xf>
    <xf numFmtId="0" fontId="4" fillId="0" borderId="18"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0" fillId="0" borderId="21" xfId="0" applyBorder="1" applyAlignment="1">
      <alignment horizontal="left" vertical="center" wrapText="1"/>
    </xf>
    <xf numFmtId="0" fontId="0" fillId="0" borderId="7" xfId="0" applyBorder="1" applyAlignment="1">
      <alignment horizontal="left" vertical="center" wrapText="1"/>
    </xf>
    <xf numFmtId="0" fontId="0" fillId="0" borderId="22" xfId="0" applyBorder="1" applyAlignment="1">
      <alignment horizontal="left" vertical="center" wrapText="1"/>
    </xf>
  </cellXfs>
  <cellStyles count="31">
    <cellStyle name="Comma" xfId="1" builtinId="3"/>
    <cellStyle name="Comma [0]" xfId="27" builtinId="6"/>
    <cellStyle name="Comma 12" xfId="28" xr:uid="{E8778305-0DA5-4ED1-BA9D-E51430DF9423}"/>
    <cellStyle name="Comma 13" xfId="29" xr:uid="{8238EDF2-B7DE-4D88-A1C7-75EE7AAD3DBB}"/>
    <cellStyle name="Comma 2" xfId="8" xr:uid="{1D4D0BD3-0135-43EF-90B0-A55FA45DADD1}"/>
    <cellStyle name="Comma 2 2" xfId="19" xr:uid="{D0E14C7F-030D-4EEC-91CF-0825FEE4DBA1}"/>
    <cellStyle name="Comma 2 3" xfId="21" xr:uid="{712DD6AE-66A9-41C7-926C-8405C541379D}"/>
    <cellStyle name="Comma 3" xfId="14" xr:uid="{1BAFD3D8-2BA9-4609-9E54-B85A7B58D080}"/>
    <cellStyle name="Comma 4" xfId="3" xr:uid="{C5CA10F9-D1C0-45B3-B721-9884CDB13EEF}"/>
    <cellStyle name="Comma 4 2" xfId="6" xr:uid="{B8D7C8D2-92FF-4DBB-98A2-08406EF212F9}"/>
    <cellStyle name="Currency 2" xfId="10" xr:uid="{D48CDE93-D029-48F8-A2F5-E27503AF4A8A}"/>
    <cellStyle name="Hyperlink" xfId="30" builtinId="8"/>
    <cellStyle name="Normal" xfId="0" builtinId="0"/>
    <cellStyle name="Normal 10" xfId="12" xr:uid="{07E5CF99-97DC-49AE-BFAF-84A2EF757B2C}"/>
    <cellStyle name="Normal 2" xfId="5" xr:uid="{1038F218-BF0B-4341-878D-65450F0612A6}"/>
    <cellStyle name="Normal 2 2" xfId="4" xr:uid="{A5D3326E-B969-4EF9-B83B-0D6EA0A9499A}"/>
    <cellStyle name="Normal 2 2 2" xfId="22" xr:uid="{383F0192-6AAF-418B-822A-458A473820A4}"/>
    <cellStyle name="Normal 2 2 3" xfId="11" xr:uid="{FCDA1E00-8871-4CE6-9DE6-E1F9FC5D82CA}"/>
    <cellStyle name="Normal 2 3" xfId="13" xr:uid="{8A7651DC-7CFF-4740-8DE7-A4D111702B1D}"/>
    <cellStyle name="Normal 2 3 2" xfId="24" xr:uid="{77A282CD-4127-43C8-9AA3-121C4414590E}"/>
    <cellStyle name="Normal 2 4" xfId="16" xr:uid="{3EDE1C06-8DF2-4033-B688-AD32F11DCC2E}"/>
    <cellStyle name="Normal 2 4 2" xfId="26" xr:uid="{7BD8AE0E-295E-426B-83E5-5FA3523BCA1C}"/>
    <cellStyle name="Normal 2 5" xfId="7" xr:uid="{2B3AF246-C9A9-4994-AE83-9AE5DD210A48}"/>
    <cellStyle name="Normal 2 6" xfId="25" xr:uid="{D7B76172-0A6B-433B-B4AA-F3C104453FCD}"/>
    <cellStyle name="Normal 3" xfId="17" xr:uid="{20FC5B1F-4EDB-4BA9-BCE7-F28057660DFC}"/>
    <cellStyle name="Normal 4" xfId="18" xr:uid="{0FA42F11-DE6A-44D8-ADF3-50004F1236C5}"/>
    <cellStyle name="Normal 6" xfId="23" xr:uid="{C9B3733F-C919-4F64-A2CE-0211D0791102}"/>
    <cellStyle name="Percent" xfId="2" builtinId="5"/>
    <cellStyle name="Percent 2" xfId="9" xr:uid="{9E29885F-E948-410B-9FC4-62B39600EC25}"/>
    <cellStyle name="Percent 2 2" xfId="20" xr:uid="{6BE04692-1F5F-42AB-A141-5F8DFD24D76A}"/>
    <cellStyle name="Percent 3" xfId="15" xr:uid="{74E9EF8A-95D6-49F9-9EAC-2CF5F644520D}"/>
  </cellStyles>
  <dxfs count="20">
    <dxf>
      <font>
        <color rgb="FF9C0006"/>
      </font>
    </dxf>
    <dxf>
      <font>
        <color rgb="FF0000FF"/>
      </font>
    </dxf>
    <dxf>
      <font>
        <color rgb="FFFF0000"/>
      </font>
    </dxf>
    <dxf>
      <font>
        <color rgb="FF9C0006"/>
      </font>
    </dxf>
    <dxf>
      <font>
        <color rgb="FF0000FF"/>
      </font>
    </dxf>
    <dxf>
      <font>
        <color rgb="FF9C0006"/>
      </font>
    </dxf>
    <dxf>
      <font>
        <color rgb="FFFF0000"/>
      </font>
    </dxf>
    <dxf>
      <font>
        <color rgb="FF0000FF"/>
      </font>
    </dxf>
    <dxf>
      <font>
        <color rgb="FF9C0006"/>
      </font>
    </dxf>
    <dxf>
      <font>
        <color rgb="FFFF0000"/>
      </font>
    </dxf>
    <dxf>
      <font>
        <color rgb="FF0000FF"/>
      </font>
    </dxf>
    <dxf>
      <font>
        <color rgb="FF9C0006"/>
      </font>
    </dxf>
    <dxf>
      <font>
        <color rgb="FFFF0000"/>
      </font>
    </dxf>
    <dxf>
      <font>
        <color rgb="FF9C0006"/>
      </font>
    </dxf>
    <dxf>
      <font>
        <color rgb="FF0000FF"/>
      </font>
    </dxf>
    <dxf>
      <font>
        <color rgb="FFFF0000"/>
      </font>
    </dxf>
    <dxf>
      <font>
        <color rgb="FF9C0006"/>
      </font>
    </dxf>
    <dxf>
      <font>
        <color rgb="FF0000FF"/>
      </font>
    </dxf>
    <dxf>
      <font>
        <color rgb="FF9C0006"/>
      </font>
    </dxf>
    <dxf>
      <font>
        <color rgb="FFFF0000"/>
      </font>
    </dxf>
  </dxfs>
  <tableStyles count="0" defaultTableStyle="TableStyleMedium2" defaultPivotStyle="PivotStyleLight16"/>
  <colors>
    <mruColors>
      <color rgb="FF0000FF"/>
      <color rgb="FF0000CC"/>
      <color rgb="FFFF33CC"/>
      <color rgb="FF002060"/>
      <color rgb="FF33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27214</xdr:colOff>
      <xdr:row>1</xdr:row>
      <xdr:rowOff>226786</xdr:rowOff>
    </xdr:from>
    <xdr:to>
      <xdr:col>2</xdr:col>
      <xdr:colOff>1006927</xdr:colOff>
      <xdr:row>3</xdr:row>
      <xdr:rowOff>11557</xdr:rowOff>
    </xdr:to>
    <xdr:pic>
      <xdr:nvPicPr>
        <xdr:cNvPr id="3" name="Picture 735570193">
          <a:extLst>
            <a:ext uri="{FF2B5EF4-FFF2-40B4-BE49-F238E27FC236}">
              <a16:creationId xmlns:a16="http://schemas.microsoft.com/office/drawing/2014/main" id="{2A17A974-A817-43ED-AF68-BED1C57D02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71" y="408215"/>
          <a:ext cx="1369785" cy="419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36285</xdr:colOff>
      <xdr:row>1</xdr:row>
      <xdr:rowOff>172356</xdr:rowOff>
    </xdr:from>
    <xdr:to>
      <xdr:col>2</xdr:col>
      <xdr:colOff>1034142</xdr:colOff>
      <xdr:row>2</xdr:row>
      <xdr:rowOff>299526</xdr:rowOff>
    </xdr:to>
    <xdr:pic>
      <xdr:nvPicPr>
        <xdr:cNvPr id="2" name="Picture 735570193">
          <a:extLst>
            <a:ext uri="{FF2B5EF4-FFF2-40B4-BE49-F238E27FC236}">
              <a16:creationId xmlns:a16="http://schemas.microsoft.com/office/drawing/2014/main" id="{3DEA97C3-4D27-5ED8-4270-61329F84B6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928" y="380999"/>
          <a:ext cx="1478643" cy="453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44824</xdr:colOff>
      <xdr:row>1</xdr:row>
      <xdr:rowOff>156883</xdr:rowOff>
    </xdr:from>
    <xdr:to>
      <xdr:col>2</xdr:col>
      <xdr:colOff>1030942</xdr:colOff>
      <xdr:row>2</xdr:row>
      <xdr:rowOff>251802</xdr:rowOff>
    </xdr:to>
    <xdr:pic>
      <xdr:nvPicPr>
        <xdr:cNvPr id="3" name="Picture 735570193">
          <a:extLst>
            <a:ext uri="{FF2B5EF4-FFF2-40B4-BE49-F238E27FC236}">
              <a16:creationId xmlns:a16="http://schemas.microsoft.com/office/drawing/2014/main" id="{BA206F14-0FA4-4401-87BC-72C5A55CA4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366059"/>
          <a:ext cx="1464236" cy="42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63500</xdr:colOff>
      <xdr:row>1</xdr:row>
      <xdr:rowOff>214313</xdr:rowOff>
    </xdr:from>
    <xdr:to>
      <xdr:col>2</xdr:col>
      <xdr:colOff>1158875</xdr:colOff>
      <xdr:row>3</xdr:row>
      <xdr:rowOff>18946</xdr:rowOff>
    </xdr:to>
    <xdr:pic>
      <xdr:nvPicPr>
        <xdr:cNvPr id="2" name="Picture 735570193">
          <a:extLst>
            <a:ext uri="{FF2B5EF4-FFF2-40B4-BE49-F238E27FC236}">
              <a16:creationId xmlns:a16="http://schemas.microsoft.com/office/drawing/2014/main" id="{F869E40F-34D5-4899-9978-124A954C4D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420688"/>
          <a:ext cx="1460500" cy="447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18</xdr:col>
      <xdr:colOff>523872</xdr:colOff>
      <xdr:row>1</xdr:row>
      <xdr:rowOff>103188</xdr:rowOff>
    </xdr:from>
    <xdr:to>
      <xdr:col>23</xdr:col>
      <xdr:colOff>150813</xdr:colOff>
      <xdr:row>4</xdr:row>
      <xdr:rowOff>0</xdr:rowOff>
    </xdr:to>
    <xdr:sp macro="" textlink="">
      <xdr:nvSpPr>
        <xdr:cNvPr id="4" name="TextBox 3">
          <a:extLst>
            <a:ext uri="{FF2B5EF4-FFF2-40B4-BE49-F238E27FC236}">
              <a16:creationId xmlns:a16="http://schemas.microsoft.com/office/drawing/2014/main" id="{72CDEF4F-BE2C-C040-4BB9-19C87AFEA982}"/>
            </a:ext>
          </a:extLst>
        </xdr:cNvPr>
        <xdr:cNvSpPr txBox="1"/>
      </xdr:nvSpPr>
      <xdr:spPr>
        <a:xfrm>
          <a:off x="13874747" y="103188"/>
          <a:ext cx="2643191" cy="89693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HD Ép</a:t>
          </a:r>
          <a:r>
            <a:rPr lang="en-US" sz="1400" b="1" baseline="0">
              <a:solidFill>
                <a:srgbClr val="FF0000"/>
              </a:solidFill>
            </a:rPr>
            <a:t> và PP (nội địa):</a:t>
          </a:r>
        </a:p>
        <a:p>
          <a:r>
            <a:rPr lang="en-US" sz="1400" baseline="0">
              <a:solidFill>
                <a:srgbClr val="FF0000"/>
              </a:solidFill>
            </a:rPr>
            <a:t>1. Vảy rẻ hơn chính phẩm 10%</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solidFill>
                <a:srgbClr val="FF0000"/>
              </a:solidFill>
              <a:effectLst/>
              <a:latin typeface="+mn-lt"/>
              <a:ea typeface="+mn-ea"/>
              <a:cs typeface="+mn-cs"/>
            </a:rPr>
            <a:t>2. Hạt rẻ hơn chính phẩm 5%</a:t>
          </a:r>
          <a:endParaRPr lang="en-US" sz="1400">
            <a:solidFill>
              <a:srgbClr val="FF0000"/>
            </a:solidFill>
            <a:effectLst/>
          </a:endParaRPr>
        </a:p>
        <a:p>
          <a:endParaRPr lang="en-US" sz="1100"/>
        </a:p>
      </xdr:txBody>
    </xdr:sp>
    <xdr:clientData/>
  </xdr:twoCellAnchor>
  <xdr:twoCellAnchor>
    <xdr:from>
      <xdr:col>1</xdr:col>
      <xdr:colOff>37353</xdr:colOff>
      <xdr:row>1</xdr:row>
      <xdr:rowOff>194235</xdr:rowOff>
    </xdr:from>
    <xdr:to>
      <xdr:col>2</xdr:col>
      <xdr:colOff>1202765</xdr:colOff>
      <xdr:row>3</xdr:row>
      <xdr:rowOff>33736</xdr:rowOff>
    </xdr:to>
    <xdr:pic>
      <xdr:nvPicPr>
        <xdr:cNvPr id="2" name="Picture 735570193">
          <a:extLst>
            <a:ext uri="{FF2B5EF4-FFF2-40B4-BE49-F238E27FC236}">
              <a16:creationId xmlns:a16="http://schemas.microsoft.com/office/drawing/2014/main" id="{F5C8780A-DA0E-4D27-9223-8238534986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706" y="403411"/>
          <a:ext cx="1524000" cy="467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63500</xdr:colOff>
      <xdr:row>1</xdr:row>
      <xdr:rowOff>172357</xdr:rowOff>
    </xdr:from>
    <xdr:to>
      <xdr:col>3</xdr:col>
      <xdr:colOff>0</xdr:colOff>
      <xdr:row>3</xdr:row>
      <xdr:rowOff>22531</xdr:rowOff>
    </xdr:to>
    <xdr:pic>
      <xdr:nvPicPr>
        <xdr:cNvPr id="3" name="Picture 735570193">
          <a:extLst>
            <a:ext uri="{FF2B5EF4-FFF2-40B4-BE49-F238E27FC236}">
              <a16:creationId xmlns:a16="http://schemas.microsoft.com/office/drawing/2014/main" id="{3C922E48-409F-4512-970B-36BD7C7173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143" y="381000"/>
          <a:ext cx="1360714" cy="467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29882</xdr:colOff>
      <xdr:row>1</xdr:row>
      <xdr:rowOff>224119</xdr:rowOff>
    </xdr:from>
    <xdr:to>
      <xdr:col>2</xdr:col>
      <xdr:colOff>1003860</xdr:colOff>
      <xdr:row>2</xdr:row>
      <xdr:rowOff>318568</xdr:rowOff>
    </xdr:to>
    <xdr:pic>
      <xdr:nvPicPr>
        <xdr:cNvPr id="3" name="Picture 2">
          <a:extLst>
            <a:ext uri="{FF2B5EF4-FFF2-40B4-BE49-F238E27FC236}">
              <a16:creationId xmlns:a16="http://schemas.microsoft.com/office/drawing/2014/main" id="{FCCFDA8E-97C0-4E9D-A3F1-9D44C38B9532}"/>
            </a:ext>
          </a:extLst>
        </xdr:cNvPr>
        <xdr:cNvPicPr>
          <a:picLocks noChangeAspect="1"/>
        </xdr:cNvPicPr>
      </xdr:nvPicPr>
      <xdr:blipFill>
        <a:blip xmlns:r="http://schemas.openxmlformats.org/officeDocument/2006/relationships" r:embed="rId1"/>
        <a:srcRect/>
        <a:stretch/>
      </xdr:blipFill>
      <xdr:spPr>
        <a:xfrm>
          <a:off x="134470" y="403413"/>
          <a:ext cx="1317625" cy="4082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Kinh%20Doanh\2009\1%20%20Working%20Data\1.05%20%20Products\Bang%20ke%2012%2009%20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12.05.09"/>
      <sheetName val="Sheet3"/>
      <sheetName val="B2,3"/>
      <sheetName val="B.4"/>
      <sheetName val="B.5"/>
      <sheetName val="B.7"/>
      <sheetName val="B7"/>
      <sheetName val="B8"/>
      <sheetName val="B10"/>
      <sheetName val="B11"/>
      <sheetName val="B12"/>
      <sheetName val="B13"/>
      <sheetName val="B14"/>
      <sheetName val="B15"/>
      <sheetName val="01"/>
      <sheetName val="BIEU DO PHE"/>
    </sheetNames>
    <sheetDataSet>
      <sheetData sheetId="0"/>
      <sheetData sheetId="1"/>
      <sheetData sheetId="2">
        <row r="2">
          <cell r="A2" t="str">
            <v>Sanofi</v>
          </cell>
          <cell r="B2" t="str">
            <v>HDPE</v>
          </cell>
          <cell r="C2">
            <v>265</v>
          </cell>
        </row>
        <row r="3">
          <cell r="A3" t="str">
            <v>SPM</v>
          </cell>
          <cell r="B3" t="str">
            <v>PP</v>
          </cell>
          <cell r="C3">
            <v>167</v>
          </cell>
        </row>
        <row r="4">
          <cell r="A4" t="str">
            <v>Virbac</v>
          </cell>
          <cell r="B4" t="str">
            <v>PS</v>
          </cell>
          <cell r="C4">
            <v>65</v>
          </cell>
        </row>
        <row r="5">
          <cell r="A5" t="str">
            <v>Greencross</v>
          </cell>
          <cell r="B5" t="str">
            <v>LDPE</v>
          </cell>
          <cell r="C5">
            <v>1000</v>
          </cell>
        </row>
        <row r="6">
          <cell r="A6" t="str">
            <v>Omnicel</v>
          </cell>
          <cell r="C6">
            <v>1750</v>
          </cell>
        </row>
        <row r="7">
          <cell r="A7" t="str">
            <v>Polystar Industries</v>
          </cell>
          <cell r="C7">
            <v>5000</v>
          </cell>
        </row>
        <row r="8">
          <cell r="C8">
            <v>66</v>
          </cell>
        </row>
        <row r="9">
          <cell r="C9">
            <v>172</v>
          </cell>
        </row>
        <row r="10">
          <cell r="C10">
            <v>260</v>
          </cell>
        </row>
        <row r="11">
          <cell r="C11">
            <v>0</v>
          </cell>
        </row>
        <row r="12">
          <cell r="C12">
            <v>45</v>
          </cell>
        </row>
        <row r="13">
          <cell r="C13">
            <v>130</v>
          </cell>
        </row>
        <row r="14">
          <cell r="C14">
            <v>48</v>
          </cell>
        </row>
        <row r="15">
          <cell r="C15">
            <v>40</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ư, Lê Hoành" id="{3D8BDD6C-C4B0-4368-8EDF-BB10FD831352}" userId="S::CuLH@duytanrecycling.com::8040f1d9-fc08-4340-919f-e31835b0966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6" dT="2026-03-29T02:55:37.88" personId="{3D8BDD6C-C4B0-4368-8EDF-BB10FD831352}" id="{D10953EA-3446-4048-9FEE-3C12F7F6DEA7}">
    <text xml:space="preserve">Cho phép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hyperlink" Target="DTR-giaban.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1A7B-8E1C-4CF0-9D0E-0769CFE551DC}">
  <sheetPr>
    <tabColor rgb="FF00B050"/>
    <pageSetUpPr fitToPage="1"/>
  </sheetPr>
  <dimension ref="B2:U51"/>
  <sheetViews>
    <sheetView showGridLines="0" topLeftCell="A16" zoomScale="70" zoomScaleNormal="70" zoomScaleSheetLayoutView="70" workbookViewId="0">
      <selection activeCell="G37" sqref="G37"/>
    </sheetView>
  </sheetViews>
  <sheetFormatPr defaultColWidth="8.54296875" defaultRowHeight="14"/>
  <cols>
    <col min="1" max="1" width="1.54296875" style="1" customWidth="1"/>
    <col min="2" max="2" width="5.54296875" style="1" customWidth="1"/>
    <col min="3" max="3" width="14.54296875" style="1" customWidth="1"/>
    <col min="4" max="4" width="26.54296875" style="1" customWidth="1"/>
    <col min="5" max="5" width="11.1796875" style="1" customWidth="1"/>
    <col min="6" max="6" width="12.81640625" style="1" customWidth="1"/>
    <col min="7" max="7" width="12" style="1" customWidth="1"/>
    <col min="8" max="8" width="11.90625" style="1" customWidth="1"/>
    <col min="9" max="9" width="16.08984375" style="1" customWidth="1"/>
    <col min="10" max="10" width="11.54296875" style="1" customWidth="1"/>
    <col min="11" max="11" width="11.90625" style="1" customWidth="1"/>
    <col min="12" max="12" width="12.6328125" style="1" customWidth="1"/>
    <col min="13" max="13" width="17.453125" style="1" customWidth="1"/>
    <col min="14" max="14" width="10.90625" style="1" customWidth="1"/>
    <col min="15" max="17" width="10.1796875" style="1" customWidth="1"/>
    <col min="18" max="18" width="8.54296875" style="61"/>
    <col min="19" max="19" width="8.54296875" style="1"/>
    <col min="20" max="20" width="11.1796875" style="1" customWidth="1"/>
    <col min="21" max="21" width="9" style="1" customWidth="1"/>
    <col min="22" max="16384" width="8.54296875" style="1"/>
  </cols>
  <sheetData>
    <row r="2" spans="2:20" ht="24" customHeight="1">
      <c r="B2" s="340"/>
      <c r="C2" s="340"/>
      <c r="D2" s="338" t="s">
        <v>189</v>
      </c>
      <c r="E2" s="339"/>
      <c r="F2" s="339"/>
      <c r="G2" s="339"/>
      <c r="H2" s="339"/>
      <c r="I2" s="339"/>
      <c r="J2" s="339"/>
      <c r="K2" s="339"/>
      <c r="L2" s="339"/>
      <c r="M2" s="339"/>
      <c r="N2" s="339"/>
      <c r="O2" s="335" t="s">
        <v>120</v>
      </c>
      <c r="P2" s="336"/>
      <c r="Q2" s="337"/>
      <c r="R2" s="61">
        <v>800</v>
      </c>
    </row>
    <row r="3" spans="2:20" ht="26.15" customHeight="1">
      <c r="B3" s="340"/>
      <c r="C3" s="340"/>
      <c r="D3" s="338"/>
      <c r="E3" s="339"/>
      <c r="F3" s="339"/>
      <c r="G3" s="339"/>
      <c r="H3" s="339"/>
      <c r="I3" s="339"/>
      <c r="J3" s="339"/>
      <c r="K3" s="339"/>
      <c r="L3" s="339"/>
      <c r="M3" s="339"/>
      <c r="N3" s="339"/>
      <c r="O3" s="335" t="s">
        <v>127</v>
      </c>
      <c r="P3" s="336"/>
      <c r="Q3" s="337"/>
    </row>
    <row r="4" spans="2:20" ht="16.5">
      <c r="B4" s="340"/>
      <c r="C4" s="340"/>
      <c r="D4" s="338"/>
      <c r="E4" s="339"/>
      <c r="F4" s="339"/>
      <c r="G4" s="339"/>
      <c r="H4" s="339"/>
      <c r="I4" s="339"/>
      <c r="J4" s="339"/>
      <c r="K4" s="339"/>
      <c r="L4" s="339"/>
      <c r="M4" s="339"/>
      <c r="N4" s="339"/>
      <c r="O4" s="350" t="s">
        <v>199</v>
      </c>
      <c r="P4" s="350"/>
      <c r="Q4" s="350"/>
    </row>
    <row r="6" spans="2:20" s="7" customFormat="1" ht="28.4" customHeight="1">
      <c r="B6" s="351" t="s">
        <v>2</v>
      </c>
      <c r="C6" s="352" t="s">
        <v>9</v>
      </c>
      <c r="D6" s="351" t="s">
        <v>0</v>
      </c>
      <c r="E6" s="352" t="s">
        <v>3</v>
      </c>
      <c r="F6" s="22" t="s">
        <v>27</v>
      </c>
      <c r="G6" s="22"/>
      <c r="H6" s="22"/>
      <c r="I6" s="22"/>
      <c r="J6" s="22"/>
      <c r="K6" s="22"/>
      <c r="L6" s="22"/>
      <c r="M6" s="22"/>
      <c r="N6" s="22"/>
      <c r="O6" s="22"/>
      <c r="P6" s="352" t="s">
        <v>203</v>
      </c>
      <c r="Q6" s="352"/>
      <c r="R6" s="62"/>
    </row>
    <row r="7" spans="2:20" s="7" customFormat="1" ht="50" customHeight="1">
      <c r="B7" s="351"/>
      <c r="C7" s="352"/>
      <c r="D7" s="351"/>
      <c r="E7" s="352"/>
      <c r="F7" s="353" t="str">
        <f>'rPET- nội bộ '!F7</f>
        <v>Tháng 03 (đã duyệt)</v>
      </c>
      <c r="G7" s="354"/>
      <c r="H7" s="354"/>
      <c r="I7" s="355"/>
      <c r="J7" s="353" t="str">
        <f>'rPET- nội bộ '!J7</f>
        <v>Tháng 04</v>
      </c>
      <c r="K7" s="354"/>
      <c r="L7" s="354"/>
      <c r="M7" s="355"/>
      <c r="N7" s="353" t="str">
        <f>'rPET- nội bộ '!N7</f>
        <v>Chênh lệch
 tháng 04 vs tháng 03</v>
      </c>
      <c r="O7" s="355"/>
      <c r="P7" s="352"/>
      <c r="Q7" s="352"/>
      <c r="R7" s="62"/>
    </row>
    <row r="8" spans="2:20" s="9" customFormat="1" ht="78" customHeight="1">
      <c r="B8" s="351"/>
      <c r="C8" s="352"/>
      <c r="D8" s="351"/>
      <c r="E8" s="352"/>
      <c r="F8" s="14" t="s">
        <v>31</v>
      </c>
      <c r="G8" s="14" t="s">
        <v>37</v>
      </c>
      <c r="H8" s="14" t="s">
        <v>35</v>
      </c>
      <c r="I8" s="82" t="s">
        <v>36</v>
      </c>
      <c r="J8" s="14" t="s">
        <v>31</v>
      </c>
      <c r="K8" s="14" t="s">
        <v>37</v>
      </c>
      <c r="L8" s="14" t="s">
        <v>35</v>
      </c>
      <c r="M8" s="82" t="s">
        <v>36</v>
      </c>
      <c r="N8" s="20" t="s">
        <v>174</v>
      </c>
      <c r="O8" s="20" t="s">
        <v>33</v>
      </c>
      <c r="P8" s="20" t="s">
        <v>174</v>
      </c>
      <c r="Q8" s="20" t="s">
        <v>33</v>
      </c>
      <c r="R8" s="63"/>
    </row>
    <row r="9" spans="2:20" s="67" customFormat="1" ht="20.149999999999999" customHeight="1">
      <c r="B9" s="72"/>
      <c r="C9" s="73" t="s">
        <v>161</v>
      </c>
      <c r="D9" s="73"/>
      <c r="E9" s="73"/>
      <c r="F9" s="74"/>
      <c r="G9" s="74"/>
      <c r="H9" s="74"/>
      <c r="I9" s="74"/>
      <c r="J9" s="74"/>
      <c r="K9" s="74"/>
      <c r="L9" s="74"/>
      <c r="M9" s="74"/>
      <c r="N9" s="74"/>
      <c r="O9" s="74"/>
      <c r="P9" s="75"/>
      <c r="Q9" s="89"/>
    </row>
    <row r="10" spans="2:20" s="2" customFormat="1" ht="18">
      <c r="B10" s="10">
        <v>1</v>
      </c>
      <c r="C10" s="16" t="s">
        <v>13</v>
      </c>
      <c r="D10" s="79" t="s">
        <v>157</v>
      </c>
      <c r="E10" s="10" t="s">
        <v>24</v>
      </c>
      <c r="F10" s="11">
        <v>1365</v>
      </c>
      <c r="G10" s="18">
        <v>9.8901098901098897E-2</v>
      </c>
      <c r="H10" s="11">
        <v>135</v>
      </c>
      <c r="I10" s="57">
        <v>1250</v>
      </c>
      <c r="J10" s="11">
        <v>1365</v>
      </c>
      <c r="K10" s="18">
        <f t="shared" ref="K10:K11" si="0">L10/J10</f>
        <v>8.4249084249084255E-2</v>
      </c>
      <c r="L10" s="11">
        <f t="shared" ref="L10:L11" si="1">J10-M10</f>
        <v>115</v>
      </c>
      <c r="M10" s="57">
        <f>1300+10+15-50-45+20</f>
        <v>1250</v>
      </c>
      <c r="N10" s="11">
        <f t="shared" ref="N10" si="2">M10-I10</f>
        <v>0</v>
      </c>
      <c r="O10" s="18">
        <f>1-(I10/M10)</f>
        <v>0</v>
      </c>
      <c r="P10" s="140">
        <f>M10-$R$2</f>
        <v>450</v>
      </c>
      <c r="Q10" s="18">
        <f>P10/$R$2</f>
        <v>0.5625</v>
      </c>
      <c r="R10" s="199"/>
      <c r="S10" s="119"/>
    </row>
    <row r="11" spans="2:20" s="2" customFormat="1" ht="38.5" hidden="1" customHeight="1">
      <c r="B11" s="10">
        <f>B10+1</f>
        <v>2</v>
      </c>
      <c r="C11" s="16">
        <v>110000381</v>
      </c>
      <c r="D11" s="79" t="s">
        <v>145</v>
      </c>
      <c r="E11" s="10" t="s">
        <v>46</v>
      </c>
      <c r="F11" s="11">
        <v>1155</v>
      </c>
      <c r="G11" s="18">
        <f t="shared" ref="G11" si="3">H11/F11</f>
        <v>4.7619047619047616E-2</v>
      </c>
      <c r="H11" s="11">
        <f t="shared" ref="H11" si="4">F11-I11</f>
        <v>55</v>
      </c>
      <c r="I11" s="57">
        <v>1100</v>
      </c>
      <c r="J11" s="11">
        <v>1155</v>
      </c>
      <c r="K11" s="18">
        <f t="shared" si="0"/>
        <v>4.7619047619047616E-2</v>
      </c>
      <c r="L11" s="11">
        <f t="shared" si="1"/>
        <v>55</v>
      </c>
      <c r="M11" s="57">
        <v>1100</v>
      </c>
      <c r="N11" s="11">
        <f t="shared" ref="N11" si="5">M11-I11</f>
        <v>0</v>
      </c>
      <c r="O11" s="18">
        <f t="shared" ref="O11" si="6">1-(I11/M11)</f>
        <v>0</v>
      </c>
      <c r="P11" s="49">
        <f>M11-$R$2</f>
        <v>300</v>
      </c>
      <c r="Q11" s="18">
        <f>P11/$R$2</f>
        <v>0.375</v>
      </c>
      <c r="R11" s="68"/>
      <c r="T11" s="117"/>
    </row>
    <row r="12" spans="2:20" s="2" customFormat="1" ht="15" hidden="1" customHeight="1">
      <c r="B12" s="12"/>
      <c r="C12" s="12"/>
      <c r="D12" s="12"/>
      <c r="E12" s="12"/>
      <c r="F12" s="12"/>
      <c r="G12" s="13"/>
      <c r="H12" s="13"/>
      <c r="I12" s="13"/>
      <c r="J12" s="12"/>
      <c r="K12" s="13"/>
      <c r="L12" s="13"/>
      <c r="M12" s="19"/>
      <c r="N12" s="19"/>
      <c r="O12" s="19"/>
      <c r="P12" s="19"/>
      <c r="Q12" s="19"/>
      <c r="R12" s="68"/>
      <c r="T12" s="117"/>
    </row>
    <row r="13" spans="2:20" s="33" customFormat="1" ht="5" customHeight="1">
      <c r="B13" s="60"/>
      <c r="G13" s="30"/>
      <c r="H13" s="30"/>
      <c r="I13" s="30"/>
      <c r="K13" s="30"/>
      <c r="L13" s="30"/>
      <c r="M13" s="30"/>
      <c r="N13" s="30"/>
      <c r="O13" s="30"/>
      <c r="P13" s="30"/>
      <c r="R13" s="54"/>
    </row>
    <row r="14" spans="2:20" s="33" customFormat="1" ht="22" customHeight="1">
      <c r="B14" s="139" t="s">
        <v>175</v>
      </c>
      <c r="G14" s="48"/>
      <c r="M14" s="35"/>
      <c r="N14" s="35"/>
      <c r="P14" s="35"/>
      <c r="R14" s="54"/>
    </row>
    <row r="15" spans="2:20" s="33" customFormat="1" ht="16.5">
      <c r="B15" s="165" t="s">
        <v>176</v>
      </c>
      <c r="G15" s="48"/>
      <c r="M15" s="35"/>
      <c r="N15" s="35"/>
      <c r="P15" s="35"/>
      <c r="R15" s="54"/>
    </row>
    <row r="16" spans="2:20" s="37" customFormat="1" ht="39.5" customHeight="1">
      <c r="B16" s="141" t="s">
        <v>2</v>
      </c>
      <c r="C16" s="14" t="s">
        <v>3</v>
      </c>
      <c r="D16" s="142" t="s">
        <v>160</v>
      </c>
      <c r="E16" s="356" t="s">
        <v>173</v>
      </c>
      <c r="F16" s="356"/>
      <c r="J16" s="164"/>
      <c r="K16" s="164"/>
      <c r="M16" s="164"/>
      <c r="O16" s="65"/>
    </row>
    <row r="17" spans="2:18" s="33" customFormat="1" ht="16.5">
      <c r="B17" s="72"/>
      <c r="C17" s="72" t="s">
        <v>161</v>
      </c>
      <c r="D17" s="73"/>
      <c r="E17" s="73"/>
      <c r="F17" s="154"/>
      <c r="J17" s="35"/>
      <c r="K17" s="35"/>
      <c r="M17" s="35"/>
      <c r="O17" s="54"/>
    </row>
    <row r="18" spans="2:18" s="33" customFormat="1" ht="21" customHeight="1">
      <c r="B18" s="155">
        <v>1</v>
      </c>
      <c r="C18" s="156" t="s">
        <v>22</v>
      </c>
      <c r="D18" s="157" t="s">
        <v>156</v>
      </c>
      <c r="E18" s="344" t="s">
        <v>172</v>
      </c>
      <c r="F18" s="357"/>
      <c r="J18" s="35"/>
      <c r="K18" s="35"/>
      <c r="M18" s="35"/>
      <c r="O18" s="54"/>
    </row>
    <row r="19" spans="2:18" s="33" customFormat="1" ht="21" customHeight="1">
      <c r="B19" s="158">
        <v>2</v>
      </c>
      <c r="C19" s="159" t="s">
        <v>169</v>
      </c>
      <c r="D19" s="160" t="s">
        <v>171</v>
      </c>
      <c r="E19" s="342" t="s">
        <v>162</v>
      </c>
      <c r="F19" s="343"/>
      <c r="J19" s="35"/>
      <c r="K19" s="35"/>
      <c r="M19" s="35"/>
      <c r="O19" s="54"/>
    </row>
    <row r="20" spans="2:18" s="33" customFormat="1" ht="21" customHeight="1">
      <c r="B20" s="158">
        <v>3</v>
      </c>
      <c r="C20" s="159" t="s">
        <v>24</v>
      </c>
      <c r="D20" s="160" t="s">
        <v>163</v>
      </c>
      <c r="E20" s="343">
        <v>0</v>
      </c>
      <c r="F20" s="343"/>
      <c r="J20" s="35"/>
      <c r="K20" s="35"/>
      <c r="M20" s="35"/>
      <c r="O20" s="54"/>
    </row>
    <row r="21" spans="2:18" s="33" customFormat="1" ht="21" customHeight="1">
      <c r="B21" s="161">
        <v>4</v>
      </c>
      <c r="C21" s="162" t="s">
        <v>170</v>
      </c>
      <c r="D21" s="163" t="s">
        <v>164</v>
      </c>
      <c r="E21" s="346" t="s">
        <v>165</v>
      </c>
      <c r="F21" s="347"/>
      <c r="J21" s="35"/>
      <c r="K21" s="35"/>
      <c r="M21" s="35"/>
      <c r="O21" s="54"/>
    </row>
    <row r="22" spans="2:18" s="33" customFormat="1" ht="16.5">
      <c r="B22" s="72"/>
      <c r="C22" s="72" t="s">
        <v>166</v>
      </c>
      <c r="D22" s="73"/>
      <c r="E22" s="73"/>
      <c r="F22" s="154"/>
      <c r="J22" s="35"/>
      <c r="K22" s="35"/>
      <c r="M22" s="35"/>
      <c r="O22" s="54"/>
    </row>
    <row r="23" spans="2:18" s="33" customFormat="1" ht="22" customHeight="1">
      <c r="B23" s="155">
        <v>1</v>
      </c>
      <c r="C23" s="156" t="s">
        <v>170</v>
      </c>
      <c r="D23" s="157" t="s">
        <v>167</v>
      </c>
      <c r="E23" s="344">
        <v>-130</v>
      </c>
      <c r="F23" s="344"/>
      <c r="J23" s="35"/>
      <c r="K23" s="35"/>
      <c r="M23" s="35"/>
      <c r="O23" s="54"/>
    </row>
    <row r="24" spans="2:18" s="33" customFormat="1" ht="22" customHeight="1">
      <c r="B24" s="161">
        <v>2</v>
      </c>
      <c r="C24" s="162" t="s">
        <v>46</v>
      </c>
      <c r="D24" s="163" t="s">
        <v>168</v>
      </c>
      <c r="E24" s="345">
        <v>-130</v>
      </c>
      <c r="F24" s="345"/>
      <c r="J24" s="35"/>
      <c r="K24" s="35"/>
      <c r="M24" s="35"/>
      <c r="O24" s="54"/>
    </row>
    <row r="25" spans="2:18" s="33" customFormat="1" ht="16.5">
      <c r="B25" s="188" t="s">
        <v>7</v>
      </c>
      <c r="G25" s="30"/>
      <c r="H25" s="30"/>
      <c r="I25" s="30"/>
      <c r="K25" s="30"/>
      <c r="L25" s="30"/>
      <c r="M25" s="30"/>
      <c r="N25" s="30"/>
      <c r="O25" s="30"/>
      <c r="P25" s="30"/>
      <c r="R25" s="54"/>
    </row>
    <row r="26" spans="2:18" s="33" customFormat="1" ht="16.5">
      <c r="B26" s="348" t="s">
        <v>187</v>
      </c>
      <c r="C26" s="348"/>
      <c r="D26" s="348"/>
      <c r="E26" s="348"/>
      <c r="F26" s="348"/>
      <c r="G26" s="348"/>
      <c r="H26" s="348"/>
      <c r="I26" s="348"/>
      <c r="J26" s="348"/>
      <c r="K26" s="348"/>
      <c r="L26" s="348"/>
      <c r="M26" s="348"/>
      <c r="N26" s="348"/>
      <c r="P26" s="35"/>
      <c r="R26" s="54"/>
    </row>
    <row r="27" spans="2:18" s="33" customFormat="1" ht="16.5">
      <c r="B27" s="33" t="s">
        <v>67</v>
      </c>
      <c r="Q27" s="36"/>
      <c r="R27" s="54"/>
    </row>
    <row r="28" spans="2:18" s="33" customFormat="1" ht="16.5">
      <c r="Q28" s="55" t="str">
        <f>'rPET- nội bộ '!Q45</f>
        <v>Ngày 19 tháng 03 năm 2026</v>
      </c>
      <c r="R28" s="54"/>
    </row>
    <row r="29" spans="2:18" s="33" customFormat="1" ht="16.5">
      <c r="R29" s="54"/>
    </row>
    <row r="30" spans="2:18" s="28" customFormat="1" ht="16.5">
      <c r="B30" s="349" t="s">
        <v>19</v>
      </c>
      <c r="C30" s="349"/>
      <c r="D30" s="341" t="s">
        <v>404</v>
      </c>
      <c r="E30" s="341"/>
      <c r="F30" s="29" t="s">
        <v>408</v>
      </c>
      <c r="G30" s="29"/>
      <c r="H30" s="29" t="s">
        <v>405</v>
      </c>
      <c r="I30" s="29"/>
      <c r="J30" s="29" t="s">
        <v>28</v>
      </c>
      <c r="L30" s="29"/>
      <c r="M30" s="29" t="s">
        <v>20</v>
      </c>
      <c r="N30" s="29"/>
      <c r="O30" s="27"/>
      <c r="P30" s="27" t="s">
        <v>21</v>
      </c>
      <c r="R30" s="56"/>
    </row>
    <row r="31" spans="2:18" s="28" customFormat="1" ht="16.5">
      <c r="B31" s="26"/>
      <c r="C31" s="26"/>
      <c r="D31" s="29"/>
      <c r="F31" s="29"/>
      <c r="G31" s="29"/>
      <c r="H31" s="29"/>
      <c r="I31" s="29"/>
      <c r="J31" s="29"/>
      <c r="O31" s="27"/>
      <c r="P31" s="29"/>
      <c r="R31" s="56"/>
    </row>
    <row r="32" spans="2:18" s="28" customFormat="1" ht="16.5">
      <c r="B32" s="26"/>
      <c r="C32" s="26"/>
      <c r="D32" s="29"/>
      <c r="F32" s="29"/>
      <c r="G32" s="29"/>
      <c r="H32" s="29"/>
      <c r="I32" s="29"/>
      <c r="J32" s="29"/>
      <c r="O32" s="27"/>
      <c r="P32" s="29"/>
      <c r="R32" s="56"/>
    </row>
    <row r="33" spans="2:21" s="28" customFormat="1" ht="16.5">
      <c r="B33" s="26"/>
      <c r="C33" s="26"/>
      <c r="D33" s="29"/>
      <c r="F33" s="29"/>
      <c r="G33" s="29"/>
      <c r="H33" s="29"/>
      <c r="I33" s="29"/>
      <c r="J33" s="29"/>
      <c r="O33" s="27"/>
      <c r="P33" s="29"/>
      <c r="R33" s="56"/>
    </row>
    <row r="34" spans="2:21" s="28" customFormat="1" ht="16.5">
      <c r="B34" s="31"/>
      <c r="C34" s="31"/>
      <c r="D34" s="32"/>
      <c r="F34" s="32"/>
      <c r="G34" s="32"/>
      <c r="H34" s="32"/>
      <c r="I34" s="32"/>
      <c r="J34" s="32"/>
      <c r="O34" s="27"/>
      <c r="P34" s="29"/>
      <c r="R34" s="56"/>
      <c r="U34"/>
    </row>
    <row r="35" spans="2:21" s="28" customFormat="1" ht="16.5">
      <c r="B35" s="31"/>
      <c r="C35" s="31"/>
      <c r="D35" s="32"/>
      <c r="F35" s="32"/>
      <c r="G35" s="32"/>
      <c r="H35" s="32"/>
      <c r="I35" s="32"/>
      <c r="J35" s="32"/>
      <c r="O35" s="27"/>
      <c r="P35" s="29"/>
      <c r="Q35" s="28" t="s">
        <v>8</v>
      </c>
      <c r="R35" s="56"/>
    </row>
    <row r="36" spans="2:21" s="28" customFormat="1" ht="16.5">
      <c r="B36" s="26"/>
      <c r="C36" s="26"/>
      <c r="D36" s="29"/>
      <c r="F36" s="29"/>
      <c r="G36" s="29"/>
      <c r="H36" s="29"/>
      <c r="I36" s="29"/>
      <c r="J36" s="29"/>
      <c r="O36" s="27"/>
      <c r="P36" s="29"/>
      <c r="R36" s="56"/>
    </row>
    <row r="37" spans="2:21" s="28" customFormat="1" ht="16.5">
      <c r="B37" s="349" t="s">
        <v>1</v>
      </c>
      <c r="C37" s="349"/>
      <c r="D37" s="341" t="s">
        <v>403</v>
      </c>
      <c r="E37" s="341"/>
      <c r="F37" s="29" t="s">
        <v>29</v>
      </c>
      <c r="G37" s="29"/>
      <c r="H37" s="29" t="s">
        <v>406</v>
      </c>
      <c r="I37" s="29"/>
      <c r="J37" s="29" t="s">
        <v>30</v>
      </c>
      <c r="L37" s="29"/>
      <c r="M37" s="29" t="s">
        <v>198</v>
      </c>
      <c r="N37" s="29"/>
      <c r="O37" s="27"/>
      <c r="P37" s="27" t="s">
        <v>80</v>
      </c>
      <c r="R37" s="56"/>
    </row>
    <row r="38" spans="2:21" s="3" customFormat="1" ht="15.5">
      <c r="D38" s="8"/>
      <c r="E38" s="4"/>
      <c r="F38" s="4"/>
      <c r="G38" s="4"/>
      <c r="H38" s="4"/>
      <c r="I38" s="4"/>
      <c r="J38" s="4"/>
      <c r="K38" s="4"/>
      <c r="L38" s="4"/>
      <c r="M38" s="4"/>
      <c r="N38" s="4"/>
      <c r="O38" s="4"/>
      <c r="P38" s="4"/>
      <c r="R38" s="69"/>
    </row>
    <row r="39" spans="2:21" ht="15.5">
      <c r="D39" s="8"/>
    </row>
    <row r="41" spans="2:21">
      <c r="D41" s="7"/>
      <c r="E41" s="7"/>
      <c r="F41" s="7"/>
      <c r="J41" s="7"/>
    </row>
    <row r="45" spans="2:21">
      <c r="Q45" s="200"/>
    </row>
    <row r="51" spans="13:13" ht="14.5">
      <c r="M51"/>
    </row>
  </sheetData>
  <mergeCells count="25">
    <mergeCell ref="D37:E37"/>
    <mergeCell ref="B30:C30"/>
    <mergeCell ref="B37:C37"/>
    <mergeCell ref="O4:Q4"/>
    <mergeCell ref="B6:B8"/>
    <mergeCell ref="C6:C8"/>
    <mergeCell ref="D6:D8"/>
    <mergeCell ref="E6:E8"/>
    <mergeCell ref="P6:Q7"/>
    <mergeCell ref="F7:I7"/>
    <mergeCell ref="J7:M7"/>
    <mergeCell ref="N7:O7"/>
    <mergeCell ref="E16:F16"/>
    <mergeCell ref="E18:F18"/>
    <mergeCell ref="O3:Q3"/>
    <mergeCell ref="D2:N4"/>
    <mergeCell ref="O2:Q2"/>
    <mergeCell ref="B2:C4"/>
    <mergeCell ref="D30:E30"/>
    <mergeCell ref="E19:F19"/>
    <mergeCell ref="E20:F20"/>
    <mergeCell ref="E23:F23"/>
    <mergeCell ref="E24:F24"/>
    <mergeCell ref="E21:F21"/>
    <mergeCell ref="B26:N26"/>
  </mergeCells>
  <conditionalFormatting sqref="O10:O11">
    <cfRule type="iconSet" priority="67">
      <iconSet iconSet="3Arrows">
        <cfvo type="percent" val="0"/>
        <cfvo type="num" val="0"/>
        <cfvo type="num" val="0" gte="0"/>
      </iconSet>
    </cfRule>
  </conditionalFormatting>
  <conditionalFormatting sqref="Q10:Q11">
    <cfRule type="iconSet" priority="68">
      <iconSet iconSet="3Arrows">
        <cfvo type="percent" val="0"/>
        <cfvo type="num" val="0"/>
        <cfvo type="num" val="0" gte="0"/>
      </iconSet>
    </cfRule>
  </conditionalFormatting>
  <printOptions horizontalCentered="1"/>
  <pageMargins left="7.0000000000000007E-2" right="0" top="0" bottom="0" header="0.17" footer="0.19"/>
  <pageSetup paperSize="9" scale="74"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E24C-D71C-4313-B8F9-233D54CD36E7}">
  <sheetPr>
    <tabColor rgb="FFFFFF00"/>
    <pageSetUpPr fitToPage="1"/>
  </sheetPr>
  <dimension ref="B2:U39"/>
  <sheetViews>
    <sheetView showGridLines="0" topLeftCell="A8" zoomScale="80" zoomScaleNormal="80" zoomScaleSheetLayoutView="70" workbookViewId="0">
      <selection activeCell="D11" sqref="D11"/>
    </sheetView>
  </sheetViews>
  <sheetFormatPr defaultColWidth="8.54296875" defaultRowHeight="16.5"/>
  <cols>
    <col min="1" max="1" width="1.1796875" style="33" customWidth="1"/>
    <col min="2" max="2" width="6.81640625" style="33" customWidth="1"/>
    <col min="3" max="3" width="15.453125" style="33" bestFit="1" customWidth="1"/>
    <col min="4" max="4" width="28.81640625" style="33" customWidth="1"/>
    <col min="5" max="5" width="21.81640625" style="33" customWidth="1"/>
    <col min="6" max="8" width="9.54296875" style="33" customWidth="1"/>
    <col min="9" max="9" width="11.54296875" style="33" customWidth="1"/>
    <col min="10" max="12" width="9.54296875" style="33" customWidth="1"/>
    <col min="13" max="14" width="11.54296875" style="33" customWidth="1"/>
    <col min="15" max="15" width="10.54296875" style="33" customWidth="1"/>
    <col min="16" max="16" width="10.1796875" style="33" customWidth="1"/>
    <col min="17" max="17" width="12.81640625" style="54" customWidth="1"/>
    <col min="18" max="18" width="7.453125" style="54" customWidth="1"/>
    <col min="19" max="16384" width="8.54296875" style="33"/>
  </cols>
  <sheetData>
    <row r="2" spans="2:19" ht="26.15" customHeight="1">
      <c r="B2" s="358"/>
      <c r="C2" s="358"/>
      <c r="D2" s="360" t="s">
        <v>190</v>
      </c>
      <c r="E2" s="360"/>
      <c r="F2" s="360"/>
      <c r="G2" s="360"/>
      <c r="H2" s="360"/>
      <c r="I2" s="360"/>
      <c r="J2" s="360"/>
      <c r="K2" s="360"/>
      <c r="L2" s="360"/>
      <c r="M2" s="360"/>
      <c r="N2" s="360"/>
      <c r="O2" s="359" t="s">
        <v>122</v>
      </c>
      <c r="P2" s="359"/>
      <c r="Q2" s="359"/>
      <c r="R2" s="80">
        <v>860</v>
      </c>
    </row>
    <row r="3" spans="2:19" ht="24.65" customHeight="1">
      <c r="B3" s="358"/>
      <c r="C3" s="358"/>
      <c r="D3" s="360"/>
      <c r="E3" s="360"/>
      <c r="F3" s="360"/>
      <c r="G3" s="360"/>
      <c r="H3" s="360"/>
      <c r="I3" s="360"/>
      <c r="J3" s="360"/>
      <c r="K3" s="360"/>
      <c r="L3" s="360"/>
      <c r="M3" s="360"/>
      <c r="N3" s="360"/>
      <c r="O3" s="359" t="s">
        <v>127</v>
      </c>
      <c r="P3" s="359"/>
      <c r="Q3" s="359"/>
    </row>
    <row r="4" spans="2:19">
      <c r="B4" s="358"/>
      <c r="C4" s="358"/>
      <c r="D4" s="360"/>
      <c r="E4" s="360"/>
      <c r="F4" s="360"/>
      <c r="G4" s="360"/>
      <c r="H4" s="360"/>
      <c r="I4" s="360"/>
      <c r="J4" s="360"/>
      <c r="K4" s="360"/>
      <c r="L4" s="360"/>
      <c r="M4" s="360"/>
      <c r="N4" s="360"/>
      <c r="O4" s="350" t="str">
        <f>'1. rPET'!O4</f>
        <v>Ngày áp dụng: 01/04/2026</v>
      </c>
      <c r="P4" s="350"/>
      <c r="Q4" s="350"/>
    </row>
    <row r="5" spans="2:19" s="1" customFormat="1" ht="19.75" customHeight="1"/>
    <row r="6" spans="2:19" s="7" customFormat="1" ht="17.149999999999999" customHeight="1">
      <c r="B6" s="351" t="s">
        <v>2</v>
      </c>
      <c r="C6" s="352" t="s">
        <v>9</v>
      </c>
      <c r="D6" s="351" t="s">
        <v>0</v>
      </c>
      <c r="E6" s="352" t="s">
        <v>41</v>
      </c>
      <c r="F6" s="353" t="s">
        <v>27</v>
      </c>
      <c r="G6" s="354"/>
      <c r="H6" s="354"/>
      <c r="I6" s="354"/>
      <c r="J6" s="354"/>
      <c r="K6" s="354"/>
      <c r="L6" s="354"/>
      <c r="M6" s="354"/>
      <c r="N6" s="354"/>
      <c r="O6" s="355"/>
      <c r="P6" s="352" t="s">
        <v>191</v>
      </c>
      <c r="Q6" s="352"/>
      <c r="R6" s="62"/>
    </row>
    <row r="7" spans="2:19" s="7" customFormat="1" ht="47.5" customHeight="1">
      <c r="B7" s="351"/>
      <c r="C7" s="352"/>
      <c r="D7" s="351"/>
      <c r="E7" s="352"/>
      <c r="F7" s="353" t="str">
        <f>'1. rPET'!F7</f>
        <v>Tháng 03 (đã duyệt)</v>
      </c>
      <c r="G7" s="354"/>
      <c r="H7" s="354"/>
      <c r="I7" s="355"/>
      <c r="J7" s="353" t="str">
        <f>'1. rPET'!J7</f>
        <v>Tháng 04</v>
      </c>
      <c r="K7" s="354"/>
      <c r="L7" s="354"/>
      <c r="M7" s="355"/>
      <c r="N7" s="353" t="str">
        <f>'1. rPET'!N7</f>
        <v>Chênh lệch
 tháng 04 vs tháng 03</v>
      </c>
      <c r="O7" s="355"/>
      <c r="P7" s="352"/>
      <c r="Q7" s="352"/>
      <c r="R7" s="62"/>
    </row>
    <row r="8" spans="2:19" s="9" customFormat="1" ht="79.400000000000006" customHeight="1">
      <c r="B8" s="351"/>
      <c r="C8" s="352"/>
      <c r="D8" s="351"/>
      <c r="E8" s="352"/>
      <c r="F8" s="14" t="s">
        <v>31</v>
      </c>
      <c r="G8" s="14" t="s">
        <v>37</v>
      </c>
      <c r="H8" s="14" t="s">
        <v>35</v>
      </c>
      <c r="I8" s="82" t="s">
        <v>36</v>
      </c>
      <c r="J8" s="14" t="s">
        <v>31</v>
      </c>
      <c r="K8" s="14" t="s">
        <v>37</v>
      </c>
      <c r="L8" s="14" t="s">
        <v>35</v>
      </c>
      <c r="M8" s="82" t="s">
        <v>36</v>
      </c>
      <c r="N8" s="20" t="s">
        <v>174</v>
      </c>
      <c r="O8" s="20" t="s">
        <v>33</v>
      </c>
      <c r="P8" s="20" t="s">
        <v>174</v>
      </c>
      <c r="Q8" s="50" t="s">
        <v>33</v>
      </c>
      <c r="R8" s="63"/>
    </row>
    <row r="9" spans="2:19" s="67" customFormat="1" ht="15" customHeight="1">
      <c r="B9" s="88" t="s">
        <v>69</v>
      </c>
      <c r="C9" s="73" t="s">
        <v>66</v>
      </c>
      <c r="D9" s="73"/>
      <c r="E9" s="73"/>
      <c r="F9" s="74"/>
      <c r="G9" s="74"/>
      <c r="H9" s="74"/>
      <c r="I9" s="74"/>
      <c r="J9" s="74"/>
      <c r="K9" s="74"/>
      <c r="L9" s="74"/>
      <c r="M9" s="74"/>
      <c r="N9" s="74"/>
      <c r="O9" s="74"/>
      <c r="P9" s="75"/>
      <c r="Q9" s="89"/>
    </row>
    <row r="10" spans="2:19" s="65" customFormat="1" ht="16.5" customHeight="1">
      <c r="B10" s="91" t="s">
        <v>154</v>
      </c>
      <c r="C10" s="92"/>
      <c r="D10" s="92"/>
      <c r="E10" s="92"/>
      <c r="F10" s="93"/>
      <c r="G10" s="93"/>
      <c r="H10" s="93"/>
      <c r="I10" s="93"/>
      <c r="J10" s="93"/>
      <c r="K10" s="93"/>
      <c r="L10" s="93"/>
      <c r="M10" s="93"/>
      <c r="N10" s="93"/>
      <c r="O10" s="93"/>
      <c r="P10" s="93"/>
      <c r="Q10" s="51"/>
    </row>
    <row r="11" spans="2:19" s="2" customFormat="1" ht="22.5" customHeight="1">
      <c r="B11" s="126">
        <v>1</v>
      </c>
      <c r="C11" s="124">
        <v>110000443</v>
      </c>
      <c r="D11" s="135" t="s">
        <v>186</v>
      </c>
      <c r="E11" s="124" t="s">
        <v>40</v>
      </c>
      <c r="F11" s="166">
        <v>1530</v>
      </c>
      <c r="G11" s="127">
        <f>H11/F11</f>
        <v>0.11764705882352941</v>
      </c>
      <c r="H11" s="166">
        <f>F11-I11</f>
        <v>180</v>
      </c>
      <c r="I11" s="167">
        <v>1350</v>
      </c>
      <c r="J11" s="166">
        <v>1530</v>
      </c>
      <c r="K11" s="127">
        <f>L11/J11</f>
        <v>0.11764705882352941</v>
      </c>
      <c r="L11" s="166">
        <f>J11-M11</f>
        <v>180</v>
      </c>
      <c r="M11" s="167">
        <v>1350</v>
      </c>
      <c r="N11" s="166">
        <f>M11-I11</f>
        <v>0</v>
      </c>
      <c r="O11" s="127">
        <f>1-(I11/M11)</f>
        <v>0</v>
      </c>
      <c r="P11" s="168">
        <f>M11-$R$2</f>
        <v>490</v>
      </c>
      <c r="Q11" s="127">
        <f>P11/$R$2</f>
        <v>0.56976744186046513</v>
      </c>
      <c r="R11" s="86"/>
      <c r="S11" s="116" t="s">
        <v>118</v>
      </c>
    </row>
    <row r="12" spans="2:19" s="2" customFormat="1" ht="22.5" customHeight="1">
      <c r="B12" s="133">
        <f>B11+1</f>
        <v>2</v>
      </c>
      <c r="C12" s="132">
        <v>110000337</v>
      </c>
      <c r="D12" s="136" t="s">
        <v>65</v>
      </c>
      <c r="E12" s="132" t="s">
        <v>63</v>
      </c>
      <c r="F12" s="169">
        <f t="shared" ref="F12" si="0">+$F$11-50</f>
        <v>1480</v>
      </c>
      <c r="G12" s="134">
        <f>H12/F12</f>
        <v>0.12162162162162163</v>
      </c>
      <c r="H12" s="169">
        <f>F12-I12</f>
        <v>180</v>
      </c>
      <c r="I12" s="170">
        <v>1300</v>
      </c>
      <c r="J12" s="169">
        <f t="shared" ref="J12" si="1">+$J$11-50</f>
        <v>1480</v>
      </c>
      <c r="K12" s="134">
        <f>L12/J12</f>
        <v>0.12162162162162163</v>
      </c>
      <c r="L12" s="169">
        <f>J12-M12</f>
        <v>180</v>
      </c>
      <c r="M12" s="170">
        <v>1300</v>
      </c>
      <c r="N12" s="169">
        <f>M12-I12</f>
        <v>0</v>
      </c>
      <c r="O12" s="134">
        <f>1-(I12/M12)</f>
        <v>0</v>
      </c>
      <c r="P12" s="171">
        <f t="shared" ref="P12:P21" si="2">M12-$R$2</f>
        <v>440</v>
      </c>
      <c r="Q12" s="134">
        <f t="shared" ref="Q12:Q21" si="3">P12/$R$2</f>
        <v>0.51162790697674421</v>
      </c>
      <c r="R12" s="64"/>
    </row>
    <row r="13" spans="2:19" s="65" customFormat="1" ht="15" customHeight="1">
      <c r="B13" s="91" t="s">
        <v>155</v>
      </c>
      <c r="C13" s="92"/>
      <c r="D13" s="92"/>
      <c r="E13" s="92"/>
      <c r="F13" s="93"/>
      <c r="G13" s="93"/>
      <c r="H13" s="93"/>
      <c r="I13" s="93"/>
      <c r="J13" s="93"/>
      <c r="K13" s="93"/>
      <c r="L13" s="93"/>
      <c r="M13" s="93"/>
      <c r="N13" s="93"/>
      <c r="O13" s="93"/>
      <c r="P13" s="93"/>
      <c r="Q13" s="51"/>
    </row>
    <row r="14" spans="2:19" s="2" customFormat="1" ht="33">
      <c r="B14" s="10">
        <v>1</v>
      </c>
      <c r="C14" s="16">
        <v>110000432</v>
      </c>
      <c r="D14" s="79" t="s">
        <v>188</v>
      </c>
      <c r="E14" s="78" t="s">
        <v>119</v>
      </c>
      <c r="F14" s="11">
        <v>1480</v>
      </c>
      <c r="G14" s="18">
        <f>H14/F14</f>
        <v>0.1554054054054054</v>
      </c>
      <c r="H14" s="11">
        <f>F14-I14</f>
        <v>230</v>
      </c>
      <c r="I14" s="57">
        <v>1250</v>
      </c>
      <c r="J14" s="11">
        <v>1480</v>
      </c>
      <c r="K14" s="18">
        <f>L14/J14</f>
        <v>0.1554054054054054</v>
      </c>
      <c r="L14" s="11">
        <f>J14-M14</f>
        <v>230</v>
      </c>
      <c r="M14" s="57">
        <f>M12-50</f>
        <v>1250</v>
      </c>
      <c r="N14" s="11">
        <f>M14-I14</f>
        <v>0</v>
      </c>
      <c r="O14" s="18">
        <f>1-(I14/M14)</f>
        <v>0</v>
      </c>
      <c r="P14" s="49">
        <f>M14-$R$2</f>
        <v>390</v>
      </c>
      <c r="Q14" s="18">
        <f>P14/$R$2</f>
        <v>0.45348837209302323</v>
      </c>
      <c r="R14" s="87"/>
    </row>
    <row r="15" spans="2:19" s="65" customFormat="1" ht="15" customHeight="1">
      <c r="B15" s="91" t="s">
        <v>71</v>
      </c>
      <c r="C15" s="92"/>
      <c r="D15" s="92"/>
      <c r="E15" s="92"/>
      <c r="F15" s="93"/>
      <c r="G15" s="93"/>
      <c r="H15" s="93"/>
      <c r="I15" s="93"/>
      <c r="J15" s="93"/>
      <c r="K15" s="93"/>
      <c r="L15" s="93"/>
      <c r="M15" s="93"/>
      <c r="N15" s="93"/>
      <c r="O15" s="93"/>
      <c r="P15" s="93"/>
      <c r="Q15" s="51"/>
    </row>
    <row r="16" spans="2:19" s="2" customFormat="1" ht="33">
      <c r="B16" s="126">
        <v>1</v>
      </c>
      <c r="C16" s="124" t="s">
        <v>18</v>
      </c>
      <c r="D16" s="135" t="s">
        <v>64</v>
      </c>
      <c r="E16" s="172" t="s">
        <v>146</v>
      </c>
      <c r="F16" s="166">
        <v>1300</v>
      </c>
      <c r="G16" s="127">
        <f>H16/F16</f>
        <v>0.23846153846153847</v>
      </c>
      <c r="H16" s="166">
        <f>F16-I16</f>
        <v>310</v>
      </c>
      <c r="I16" s="167">
        <v>990</v>
      </c>
      <c r="J16" s="166">
        <v>1300</v>
      </c>
      <c r="K16" s="127">
        <f>L16/J16</f>
        <v>0.23076923076923067</v>
      </c>
      <c r="L16" s="166">
        <f>J16-M16</f>
        <v>299.99999999999989</v>
      </c>
      <c r="M16" s="167">
        <f>$R$16*1.1-1</f>
        <v>1000.0000000000001</v>
      </c>
      <c r="N16" s="166">
        <f t="shared" ref="N16:N17" si="4">M16-I16</f>
        <v>10.000000000000114</v>
      </c>
      <c r="O16" s="127">
        <f>1-(I16/M16)</f>
        <v>1.000000000000012E-2</v>
      </c>
      <c r="P16" s="168">
        <f>M16-$R$16</f>
        <v>90.000000000000114</v>
      </c>
      <c r="Q16" s="127">
        <f>P16/$R$16</f>
        <v>9.8901098901099022E-2</v>
      </c>
      <c r="R16" s="102">
        <v>910</v>
      </c>
      <c r="S16" s="81"/>
    </row>
    <row r="17" spans="2:18" s="2" customFormat="1" ht="22.5" customHeight="1">
      <c r="B17" s="133">
        <v>2</v>
      </c>
      <c r="C17" s="132">
        <v>110000362</v>
      </c>
      <c r="D17" s="136" t="s">
        <v>147</v>
      </c>
      <c r="E17" s="132" t="s">
        <v>148</v>
      </c>
      <c r="F17" s="169">
        <v>1300</v>
      </c>
      <c r="G17" s="134">
        <f t="shared" ref="G17" si="5">H17/F17</f>
        <v>0.27692307692307694</v>
      </c>
      <c r="H17" s="169">
        <f t="shared" ref="H17" si="6">F17-I17</f>
        <v>360</v>
      </c>
      <c r="I17" s="170">
        <v>940</v>
      </c>
      <c r="J17" s="169">
        <v>1360</v>
      </c>
      <c r="K17" s="134">
        <f>L17/J17</f>
        <v>0.30147058823529405</v>
      </c>
      <c r="L17" s="169">
        <f>J17-M17</f>
        <v>409.99999999999989</v>
      </c>
      <c r="M17" s="170">
        <f>M16-50</f>
        <v>950.00000000000011</v>
      </c>
      <c r="N17" s="169">
        <f t="shared" si="4"/>
        <v>10.000000000000114</v>
      </c>
      <c r="O17" s="134">
        <f>1-(I17/M17)</f>
        <v>1.0526315789473828E-2</v>
      </c>
      <c r="P17" s="171">
        <f>M17-$R$16</f>
        <v>40.000000000000114</v>
      </c>
      <c r="Q17" s="134">
        <f>P17/$R$16</f>
        <v>4.3956043956044084E-2</v>
      </c>
      <c r="R17" s="64"/>
    </row>
    <row r="18" spans="2:18" s="67" customFormat="1" ht="15" customHeight="1">
      <c r="B18" s="72" t="s">
        <v>70</v>
      </c>
      <c r="C18" s="73" t="s">
        <v>158</v>
      </c>
      <c r="D18" s="73"/>
      <c r="E18" s="76"/>
      <c r="F18" s="74"/>
      <c r="G18" s="74"/>
      <c r="H18" s="74"/>
      <c r="I18" s="74"/>
      <c r="J18" s="74"/>
      <c r="K18" s="74"/>
      <c r="L18" s="74"/>
      <c r="M18" s="74"/>
      <c r="N18" s="74"/>
      <c r="O18" s="74"/>
      <c r="P18" s="74"/>
      <c r="Q18" s="89"/>
    </row>
    <row r="19" spans="2:18" s="2" customFormat="1" ht="33">
      <c r="B19" s="126">
        <v>1</v>
      </c>
      <c r="C19" s="124" t="s">
        <v>18</v>
      </c>
      <c r="D19" s="135" t="s">
        <v>64</v>
      </c>
      <c r="E19" s="172" t="s">
        <v>146</v>
      </c>
      <c r="F19" s="166">
        <v>1000</v>
      </c>
      <c r="G19" s="127">
        <f>H19/F19</f>
        <v>0.23499999999999999</v>
      </c>
      <c r="H19" s="166">
        <f>F19-I19</f>
        <v>235</v>
      </c>
      <c r="I19" s="167">
        <v>765</v>
      </c>
      <c r="J19" s="166">
        <v>1000</v>
      </c>
      <c r="K19" s="127">
        <f>L19/J19</f>
        <v>0.22550000000000001</v>
      </c>
      <c r="L19" s="166">
        <f>J19-M19</f>
        <v>225.5</v>
      </c>
      <c r="M19" s="167">
        <f>R16*85%+1</f>
        <v>774.5</v>
      </c>
      <c r="N19" s="166">
        <f>M19-I19</f>
        <v>9.5</v>
      </c>
      <c r="O19" s="127">
        <f t="shared" ref="O19:O21" si="7">1-(I19/M19)</f>
        <v>1.226597805035512E-2</v>
      </c>
      <c r="P19" s="173">
        <f>M19-$R$16</f>
        <v>-135.5</v>
      </c>
      <c r="Q19" s="127">
        <f>P19/$R$2</f>
        <v>-0.15755813953488373</v>
      </c>
      <c r="R19" s="70"/>
    </row>
    <row r="20" spans="2:18" s="2" customFormat="1" ht="22.5" customHeight="1">
      <c r="B20" s="133">
        <v>2</v>
      </c>
      <c r="C20" s="132">
        <v>110000362</v>
      </c>
      <c r="D20" s="136" t="s">
        <v>147</v>
      </c>
      <c r="E20" s="132" t="s">
        <v>148</v>
      </c>
      <c r="F20" s="169">
        <v>1000</v>
      </c>
      <c r="G20" s="134">
        <f t="shared" ref="G20:G21" si="8">H20/F20</f>
        <v>0.28499999999999998</v>
      </c>
      <c r="H20" s="169">
        <f t="shared" ref="H20:H21" si="9">F20-I20</f>
        <v>285</v>
      </c>
      <c r="I20" s="170">
        <f>I19-50</f>
        <v>715</v>
      </c>
      <c r="J20" s="169">
        <v>1000</v>
      </c>
      <c r="K20" s="134">
        <f>L20/J20</f>
        <v>0.27550000000000002</v>
      </c>
      <c r="L20" s="169">
        <f>J20-M20</f>
        <v>275.5</v>
      </c>
      <c r="M20" s="170">
        <f>M19-50</f>
        <v>724.5</v>
      </c>
      <c r="N20" s="169">
        <f t="shared" ref="N20:N21" si="10">M20-I20</f>
        <v>9.5</v>
      </c>
      <c r="O20" s="134">
        <f t="shared" si="7"/>
        <v>1.3112491373360902E-2</v>
      </c>
      <c r="P20" s="174">
        <f t="shared" si="2"/>
        <v>-135.5</v>
      </c>
      <c r="Q20" s="134">
        <f t="shared" si="3"/>
        <v>-0.15755813953488373</v>
      </c>
      <c r="R20" s="138"/>
    </row>
    <row r="21" spans="2:18" s="2" customFormat="1" ht="22.5" hidden="1" customHeight="1">
      <c r="B21" s="10">
        <v>3</v>
      </c>
      <c r="C21" s="16" t="s">
        <v>17</v>
      </c>
      <c r="D21" s="17" t="s">
        <v>38</v>
      </c>
      <c r="E21" s="16" t="s">
        <v>34</v>
      </c>
      <c r="F21" s="11">
        <v>1000</v>
      </c>
      <c r="G21" s="18">
        <f t="shared" si="8"/>
        <v>0.05</v>
      </c>
      <c r="H21" s="11">
        <f t="shared" si="9"/>
        <v>50</v>
      </c>
      <c r="I21" s="21">
        <v>950</v>
      </c>
      <c r="J21" s="11">
        <v>1000</v>
      </c>
      <c r="K21" s="18">
        <f>L21/J21</f>
        <v>0.05</v>
      </c>
      <c r="L21" s="11">
        <f>J21-M21</f>
        <v>50</v>
      </c>
      <c r="M21" s="57">
        <v>950</v>
      </c>
      <c r="N21" s="11">
        <f t="shared" si="10"/>
        <v>0</v>
      </c>
      <c r="O21" s="18">
        <f t="shared" si="7"/>
        <v>0</v>
      </c>
      <c r="P21" s="59">
        <f t="shared" si="2"/>
        <v>90</v>
      </c>
      <c r="Q21" s="18">
        <f t="shared" si="3"/>
        <v>0.10465116279069768</v>
      </c>
      <c r="R21" s="64"/>
    </row>
    <row r="22" spans="2:18" s="37" customFormat="1" ht="15" customHeight="1">
      <c r="B22" s="23"/>
      <c r="C22" s="23"/>
      <c r="D22" s="23"/>
      <c r="E22" s="23"/>
      <c r="F22" s="24"/>
      <c r="G22" s="24"/>
      <c r="H22" s="24"/>
      <c r="I22" s="25"/>
      <c r="J22" s="25"/>
      <c r="K22" s="25"/>
      <c r="L22" s="25"/>
      <c r="M22" s="25"/>
      <c r="N22" s="25"/>
      <c r="O22" s="25"/>
      <c r="P22" s="25"/>
      <c r="Q22" s="52"/>
      <c r="R22" s="65"/>
    </row>
    <row r="23" spans="2:18" ht="7.75" customHeight="1">
      <c r="F23" s="27"/>
      <c r="G23" s="27"/>
      <c r="H23" s="27"/>
      <c r="I23" s="38"/>
      <c r="J23" s="38"/>
      <c r="K23" s="38"/>
      <c r="L23" s="38"/>
      <c r="M23" s="38"/>
      <c r="N23" s="38"/>
      <c r="O23" s="38"/>
      <c r="P23" s="38"/>
      <c r="Q23" s="38"/>
    </row>
    <row r="24" spans="2:18" ht="13.75" customHeight="1">
      <c r="B24" s="188" t="s">
        <v>7</v>
      </c>
      <c r="G24" s="30"/>
      <c r="H24" s="30"/>
      <c r="I24" s="83"/>
      <c r="K24" s="30"/>
      <c r="L24" s="30"/>
      <c r="M24" s="84"/>
      <c r="N24" s="30"/>
      <c r="O24" s="30"/>
      <c r="P24" s="30"/>
      <c r="Q24" s="38"/>
    </row>
    <row r="25" spans="2:18" ht="9" customHeight="1">
      <c r="G25" s="30"/>
      <c r="H25" s="30"/>
      <c r="I25" s="30"/>
      <c r="K25" s="30"/>
      <c r="L25" s="30"/>
      <c r="M25" s="83"/>
      <c r="N25" s="34"/>
      <c r="Q25" s="38"/>
    </row>
    <row r="26" spans="2:18">
      <c r="B26" s="348" t="s">
        <v>187</v>
      </c>
      <c r="C26" s="348"/>
      <c r="D26" s="348"/>
      <c r="E26" s="348"/>
      <c r="F26" s="348"/>
      <c r="G26" s="348"/>
      <c r="H26" s="348"/>
      <c r="I26" s="348"/>
      <c r="J26" s="348"/>
      <c r="K26" s="348"/>
      <c r="L26" s="348"/>
      <c r="M26" s="348"/>
      <c r="N26" s="348"/>
      <c r="Q26" s="53"/>
    </row>
    <row r="27" spans="2:18">
      <c r="B27" s="33" t="s">
        <v>67</v>
      </c>
      <c r="Q27" s="36"/>
    </row>
    <row r="28" spans="2:18">
      <c r="O28" s="36"/>
      <c r="P28" s="36"/>
    </row>
    <row r="29" spans="2:18">
      <c r="Q29" s="55" t="str">
        <f>'rPET- nội bộ '!Q45</f>
        <v>Ngày 19 tháng 03 năm 2026</v>
      </c>
    </row>
    <row r="30" spans="2:18">
      <c r="Q30" s="33"/>
    </row>
    <row r="31" spans="2:18" s="28" customFormat="1">
      <c r="B31" s="349" t="s">
        <v>19</v>
      </c>
      <c r="C31" s="349"/>
      <c r="D31" s="341" t="s">
        <v>404</v>
      </c>
      <c r="E31" s="341"/>
      <c r="F31" s="29" t="s">
        <v>408</v>
      </c>
      <c r="G31" s="29"/>
      <c r="H31" s="29" t="s">
        <v>405</v>
      </c>
      <c r="I31" s="29"/>
      <c r="J31" s="29" t="s">
        <v>28</v>
      </c>
      <c r="L31" s="29"/>
      <c r="M31" s="29" t="s">
        <v>20</v>
      </c>
      <c r="N31" s="29"/>
      <c r="O31" s="27"/>
      <c r="P31" s="27" t="s">
        <v>21</v>
      </c>
      <c r="R31" s="56"/>
    </row>
    <row r="32" spans="2:18" s="28" customFormat="1">
      <c r="B32" s="26"/>
      <c r="C32" s="26"/>
      <c r="D32" s="29"/>
      <c r="F32" s="29"/>
      <c r="G32" s="29"/>
      <c r="H32" s="29"/>
      <c r="I32" s="29"/>
      <c r="J32" s="29"/>
      <c r="O32" s="27"/>
      <c r="P32" s="29"/>
      <c r="R32" s="56"/>
    </row>
    <row r="33" spans="2:21" s="28" customFormat="1">
      <c r="B33" s="26"/>
      <c r="C33" s="26"/>
      <c r="D33" s="29"/>
      <c r="F33" s="29"/>
      <c r="G33" s="29"/>
      <c r="H33" s="29"/>
      <c r="I33" s="29"/>
      <c r="J33" s="29"/>
      <c r="O33" s="27"/>
      <c r="P33" s="29"/>
      <c r="R33" s="56"/>
    </row>
    <row r="34" spans="2:21" s="28" customFormat="1">
      <c r="B34" s="26"/>
      <c r="C34" s="26"/>
      <c r="D34" s="29"/>
      <c r="F34" s="29"/>
      <c r="G34" s="29"/>
      <c r="H34" s="29"/>
      <c r="I34" s="29"/>
      <c r="J34" s="29"/>
      <c r="O34" s="27"/>
      <c r="P34" s="29"/>
      <c r="R34" s="56"/>
    </row>
    <row r="35" spans="2:21" s="28" customFormat="1">
      <c r="B35" s="31"/>
      <c r="C35" s="31"/>
      <c r="D35" s="32"/>
      <c r="F35" s="32"/>
      <c r="G35" s="32"/>
      <c r="H35" s="32"/>
      <c r="I35" s="32"/>
      <c r="J35" s="32"/>
      <c r="O35" s="27"/>
      <c r="P35" s="29"/>
      <c r="R35" s="56"/>
      <c r="U35"/>
    </row>
    <row r="36" spans="2:21" s="28" customFormat="1">
      <c r="B36" s="31"/>
      <c r="C36" s="31"/>
      <c r="D36" s="32"/>
      <c r="F36" s="32"/>
      <c r="G36" s="32"/>
      <c r="H36" s="32"/>
      <c r="I36" s="32"/>
      <c r="J36" s="32"/>
      <c r="O36" s="27"/>
      <c r="P36" s="29"/>
      <c r="Q36" s="28" t="s">
        <v>8</v>
      </c>
      <c r="R36" s="56"/>
    </row>
    <row r="37" spans="2:21" s="28" customFormat="1">
      <c r="B37" s="26"/>
      <c r="C37" s="26"/>
      <c r="D37" s="29"/>
      <c r="F37" s="29"/>
      <c r="G37" s="29"/>
      <c r="H37" s="29"/>
      <c r="I37" s="29"/>
      <c r="J37" s="29"/>
      <c r="O37" s="27"/>
      <c r="P37" s="29"/>
      <c r="R37" s="56"/>
    </row>
    <row r="38" spans="2:21" s="28" customFormat="1">
      <c r="B38" s="349" t="s">
        <v>1</v>
      </c>
      <c r="C38" s="349"/>
      <c r="D38" s="341" t="s">
        <v>403</v>
      </c>
      <c r="E38" s="341"/>
      <c r="F38" s="29" t="s">
        <v>29</v>
      </c>
      <c r="G38" s="29"/>
      <c r="H38" s="29" t="s">
        <v>406</v>
      </c>
      <c r="I38" s="29"/>
      <c r="J38" s="29" t="s">
        <v>30</v>
      </c>
      <c r="L38" s="29"/>
      <c r="M38" s="29" t="s">
        <v>198</v>
      </c>
      <c r="N38" s="29"/>
      <c r="O38" s="27"/>
      <c r="P38" s="27" t="s">
        <v>80</v>
      </c>
      <c r="R38" s="56"/>
    </row>
    <row r="39" spans="2:21" s="3" customFormat="1" ht="15.5">
      <c r="D39" s="8"/>
      <c r="E39" s="4"/>
      <c r="F39" s="4"/>
      <c r="G39" s="4"/>
      <c r="H39" s="4"/>
      <c r="I39" s="4"/>
      <c r="J39" s="4"/>
      <c r="K39" s="4"/>
      <c r="L39" s="4"/>
      <c r="M39" s="4"/>
      <c r="N39" s="4"/>
      <c r="O39" s="4"/>
      <c r="P39" s="4"/>
      <c r="R39" s="69"/>
    </row>
  </sheetData>
  <mergeCells count="19">
    <mergeCell ref="O2:Q2"/>
    <mergeCell ref="O3:Q3"/>
    <mergeCell ref="O4:Q4"/>
    <mergeCell ref="J7:M7"/>
    <mergeCell ref="N7:O7"/>
    <mergeCell ref="P6:Q7"/>
    <mergeCell ref="D2:N4"/>
    <mergeCell ref="F7:I7"/>
    <mergeCell ref="F6:O6"/>
    <mergeCell ref="B2:C4"/>
    <mergeCell ref="B6:B8"/>
    <mergeCell ref="C6:C8"/>
    <mergeCell ref="D6:D8"/>
    <mergeCell ref="E6:E8"/>
    <mergeCell ref="B26:N26"/>
    <mergeCell ref="B31:C31"/>
    <mergeCell ref="B38:C38"/>
    <mergeCell ref="D31:E31"/>
    <mergeCell ref="D38:E38"/>
  </mergeCells>
  <conditionalFormatting sqref="O11:O12 O14">
    <cfRule type="iconSet" priority="46">
      <iconSet iconSet="3Arrows">
        <cfvo type="percent" val="0"/>
        <cfvo type="num" val="0"/>
        <cfvo type="num" val="0" gte="0"/>
      </iconSet>
    </cfRule>
  </conditionalFormatting>
  <conditionalFormatting sqref="O19:O21 O16:O17">
    <cfRule type="iconSet" priority="7">
      <iconSet iconSet="3Arrows">
        <cfvo type="percent" val="0"/>
        <cfvo type="num" val="0"/>
        <cfvo type="num" val="0" gte="0"/>
      </iconSet>
    </cfRule>
  </conditionalFormatting>
  <conditionalFormatting sqref="Q11:Q12 Q14">
    <cfRule type="iconSet" priority="48">
      <iconSet iconSet="3Arrows">
        <cfvo type="percent" val="0"/>
        <cfvo type="num" val="0"/>
        <cfvo type="num" val="0" gte="0"/>
      </iconSet>
    </cfRule>
  </conditionalFormatting>
  <conditionalFormatting sqref="Q16:Q17">
    <cfRule type="iconSet" priority="76">
      <iconSet iconSet="3Arrows">
        <cfvo type="percent" val="0"/>
        <cfvo type="num" val="0"/>
        <cfvo type="num" val="0" gte="0"/>
      </iconSet>
    </cfRule>
  </conditionalFormatting>
  <conditionalFormatting sqref="Q19:Q21">
    <cfRule type="iconSet" priority="1">
      <iconSet iconSet="3Arrows">
        <cfvo type="percent" val="0"/>
        <cfvo type="num" val="0"/>
        <cfvo type="num" val="0" gte="0"/>
      </iconSet>
    </cfRule>
  </conditionalFormatting>
  <printOptions horizontalCentered="1"/>
  <pageMargins left="0" right="0" top="0.13" bottom="0.13" header="0.11811023622047245" footer="0.12"/>
  <pageSetup paperSize="9" scale="72"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99A7-5833-417A-9519-02490789876C}">
  <sheetPr>
    <tabColor rgb="FFFF0000"/>
    <pageSetUpPr fitToPage="1"/>
  </sheetPr>
  <dimension ref="B2:U34"/>
  <sheetViews>
    <sheetView showGridLines="0" topLeftCell="C5" zoomScale="80" zoomScaleNormal="80" zoomScaleSheetLayoutView="70" workbookViewId="0">
      <selection activeCell="G10" sqref="G10"/>
    </sheetView>
  </sheetViews>
  <sheetFormatPr defaultColWidth="8.54296875" defaultRowHeight="16.5"/>
  <cols>
    <col min="1" max="1" width="1.1796875" style="33" customWidth="1"/>
    <col min="2" max="2" width="6.81640625" style="33" customWidth="1"/>
    <col min="3" max="3" width="15.453125" style="33" bestFit="1" customWidth="1"/>
    <col min="4" max="4" width="25.54296875" style="33" customWidth="1"/>
    <col min="5" max="5" width="18.54296875" style="33" customWidth="1"/>
    <col min="6" max="8" width="9.54296875" style="33" customWidth="1"/>
    <col min="9" max="9" width="11.54296875" style="33" customWidth="1"/>
    <col min="10" max="12" width="9.54296875" style="33" customWidth="1"/>
    <col min="13" max="13" width="11.54296875" style="33" customWidth="1"/>
    <col min="14" max="14" width="11.1796875" style="33" customWidth="1"/>
    <col min="15" max="15" width="11.54296875" style="33" customWidth="1"/>
    <col min="16" max="16" width="10.1796875" style="33" customWidth="1"/>
    <col min="17" max="17" width="11.1796875" style="54" customWidth="1"/>
    <col min="18" max="18" width="9.54296875" style="54" bestFit="1" customWidth="1"/>
    <col min="19" max="16384" width="8.54296875" style="33"/>
  </cols>
  <sheetData>
    <row r="2" spans="2:18" ht="26.15" customHeight="1">
      <c r="B2" s="358"/>
      <c r="C2" s="358"/>
      <c r="D2" s="360" t="s">
        <v>192</v>
      </c>
      <c r="E2" s="360"/>
      <c r="F2" s="360"/>
      <c r="G2" s="360"/>
      <c r="H2" s="360"/>
      <c r="I2" s="360"/>
      <c r="J2" s="360"/>
      <c r="K2" s="360"/>
      <c r="L2" s="360"/>
      <c r="M2" s="360"/>
      <c r="N2" s="360"/>
      <c r="O2" s="359" t="s">
        <v>123</v>
      </c>
      <c r="P2" s="359"/>
      <c r="Q2" s="359"/>
      <c r="R2" s="54">
        <v>910</v>
      </c>
    </row>
    <row r="3" spans="2:18" ht="24.65" customHeight="1">
      <c r="B3" s="358"/>
      <c r="C3" s="358"/>
      <c r="D3" s="360"/>
      <c r="E3" s="360"/>
      <c r="F3" s="360"/>
      <c r="G3" s="360"/>
      <c r="H3" s="360"/>
      <c r="I3" s="360"/>
      <c r="J3" s="360"/>
      <c r="K3" s="360"/>
      <c r="L3" s="360"/>
      <c r="M3" s="360"/>
      <c r="N3" s="360"/>
      <c r="O3" s="359" t="s">
        <v>127</v>
      </c>
      <c r="P3" s="359"/>
      <c r="Q3" s="359"/>
    </row>
    <row r="4" spans="2:18">
      <c r="B4" s="358"/>
      <c r="C4" s="358"/>
      <c r="D4" s="360"/>
      <c r="E4" s="360"/>
      <c r="F4" s="360"/>
      <c r="G4" s="360"/>
      <c r="H4" s="360"/>
      <c r="I4" s="360"/>
      <c r="J4" s="360"/>
      <c r="K4" s="360"/>
      <c r="L4" s="360"/>
      <c r="M4" s="360"/>
      <c r="N4" s="360"/>
      <c r="O4" s="350" t="str">
        <f>'1. rPET'!O4</f>
        <v>Ngày áp dụng: 01/04/2026</v>
      </c>
      <c r="P4" s="350"/>
      <c r="Q4" s="350"/>
    </row>
    <row r="5" spans="2:18" s="1" customFormat="1" ht="19.75" customHeight="1"/>
    <row r="6" spans="2:18" s="7" customFormat="1" ht="17.149999999999999" customHeight="1">
      <c r="B6" s="351" t="s">
        <v>2</v>
      </c>
      <c r="C6" s="352" t="s">
        <v>9</v>
      </c>
      <c r="D6" s="351" t="s">
        <v>0</v>
      </c>
      <c r="E6" s="352" t="s">
        <v>41</v>
      </c>
      <c r="F6" s="353" t="s">
        <v>27</v>
      </c>
      <c r="G6" s="354"/>
      <c r="H6" s="354"/>
      <c r="I6" s="354"/>
      <c r="J6" s="354"/>
      <c r="K6" s="354"/>
      <c r="L6" s="354"/>
      <c r="M6" s="354"/>
      <c r="N6" s="354"/>
      <c r="O6" s="355"/>
      <c r="P6" s="352" t="s">
        <v>193</v>
      </c>
      <c r="Q6" s="352"/>
      <c r="R6" s="62"/>
    </row>
    <row r="7" spans="2:18" s="7" customFormat="1" ht="35.5" customHeight="1">
      <c r="B7" s="351"/>
      <c r="C7" s="352"/>
      <c r="D7" s="351"/>
      <c r="E7" s="352"/>
      <c r="F7" s="353" t="str">
        <f>'1. rPET'!F7</f>
        <v>Tháng 03 (đã duyệt)</v>
      </c>
      <c r="G7" s="354"/>
      <c r="H7" s="354"/>
      <c r="I7" s="355"/>
      <c r="J7" s="353" t="str">
        <f>'1. rPET'!J7</f>
        <v>Tháng 04</v>
      </c>
      <c r="K7" s="354"/>
      <c r="L7" s="354"/>
      <c r="M7" s="355"/>
      <c r="N7" s="353" t="str">
        <f>'1. rPET'!N7</f>
        <v>Chênh lệch
 tháng 04 vs tháng 03</v>
      </c>
      <c r="O7" s="355"/>
      <c r="P7" s="352"/>
      <c r="Q7" s="352"/>
      <c r="R7" s="62"/>
    </row>
    <row r="8" spans="2:18" s="9" customFormat="1" ht="79.400000000000006" customHeight="1">
      <c r="B8" s="351"/>
      <c r="C8" s="352"/>
      <c r="D8" s="351"/>
      <c r="E8" s="352"/>
      <c r="F8" s="14" t="s">
        <v>31</v>
      </c>
      <c r="G8" s="14" t="s">
        <v>37</v>
      </c>
      <c r="H8" s="14" t="s">
        <v>35</v>
      </c>
      <c r="I8" s="15" t="s">
        <v>36</v>
      </c>
      <c r="J8" s="14" t="s">
        <v>31</v>
      </c>
      <c r="K8" s="14" t="s">
        <v>37</v>
      </c>
      <c r="L8" s="14" t="s">
        <v>35</v>
      </c>
      <c r="M8" s="15" t="s">
        <v>36</v>
      </c>
      <c r="N8" s="20" t="s">
        <v>174</v>
      </c>
      <c r="O8" s="20" t="s">
        <v>33</v>
      </c>
      <c r="P8" s="20" t="s">
        <v>174</v>
      </c>
      <c r="Q8" s="50" t="s">
        <v>33</v>
      </c>
      <c r="R8" s="63"/>
    </row>
    <row r="9" spans="2:18" s="41" customFormat="1" ht="15" customHeight="1">
      <c r="B9" s="94" t="s">
        <v>158</v>
      </c>
      <c r="C9" s="42"/>
      <c r="D9" s="42"/>
      <c r="E9" s="44"/>
      <c r="F9" s="43"/>
      <c r="G9" s="43"/>
      <c r="H9" s="43"/>
      <c r="I9" s="43"/>
      <c r="J9" s="43"/>
      <c r="K9" s="43"/>
      <c r="L9" s="43"/>
      <c r="M9" s="58"/>
      <c r="N9" s="43"/>
      <c r="O9" s="43"/>
      <c r="P9" s="43"/>
      <c r="Q9" s="95"/>
    </row>
    <row r="10" spans="2:18" s="2" customFormat="1" ht="38.15" customHeight="1">
      <c r="B10" s="10">
        <v>1</v>
      </c>
      <c r="C10" s="16">
        <v>110000407</v>
      </c>
      <c r="D10" s="16" t="s">
        <v>61</v>
      </c>
      <c r="E10" s="78" t="s">
        <v>60</v>
      </c>
      <c r="F10" s="11">
        <v>925</v>
      </c>
      <c r="G10" s="18">
        <f>H10/F10</f>
        <v>0.22162162162162163</v>
      </c>
      <c r="H10" s="11">
        <f>F10-I10</f>
        <v>205</v>
      </c>
      <c r="I10" s="57">
        <v>720</v>
      </c>
      <c r="J10" s="11">
        <v>925</v>
      </c>
      <c r="K10" s="18">
        <f>L10/J10</f>
        <v>0.21621621621621623</v>
      </c>
      <c r="L10" s="11">
        <f>J10-M10</f>
        <v>200</v>
      </c>
      <c r="M10" s="57">
        <f>R2*0.8-3</f>
        <v>725</v>
      </c>
      <c r="N10" s="11">
        <f>M10-I10</f>
        <v>5</v>
      </c>
      <c r="O10" s="18">
        <f>1-(I10/M10)</f>
        <v>6.8965517241379448E-3</v>
      </c>
      <c r="P10" s="59">
        <f>M10-$R$2</f>
        <v>-185</v>
      </c>
      <c r="Q10" s="18">
        <f t="shared" ref="Q10:Q14" si="0">P10/$R$2</f>
        <v>-0.2032967032967033</v>
      </c>
      <c r="R10" s="70"/>
    </row>
    <row r="11" spans="2:18" s="2" customFormat="1" ht="22.5" hidden="1" customHeight="1">
      <c r="B11" s="10">
        <v>2</v>
      </c>
      <c r="C11" s="16" t="s">
        <v>149</v>
      </c>
      <c r="D11" s="16" t="s">
        <v>150</v>
      </c>
      <c r="E11" s="16" t="s">
        <v>45</v>
      </c>
      <c r="F11" s="11">
        <v>925</v>
      </c>
      <c r="G11" s="18">
        <f>H11/F11</f>
        <v>0.10810810810810811</v>
      </c>
      <c r="H11" s="11">
        <f>F11-I11</f>
        <v>100</v>
      </c>
      <c r="I11" s="57">
        <v>825</v>
      </c>
      <c r="J11" s="11">
        <v>925</v>
      </c>
      <c r="K11" s="18">
        <f>L11/J11</f>
        <v>0.10810810810810811</v>
      </c>
      <c r="L11" s="11">
        <f>J11-M11</f>
        <v>100</v>
      </c>
      <c r="M11" s="57">
        <v>825</v>
      </c>
      <c r="N11" s="11">
        <f t="shared" ref="N11:N14" si="1">M11-I11</f>
        <v>0</v>
      </c>
      <c r="O11" s="18">
        <f t="shared" ref="O11:O14" si="2">1-(I11/M11)</f>
        <v>0</v>
      </c>
      <c r="P11" s="59">
        <f t="shared" ref="P11:P14" si="3">M11-$R$2</f>
        <v>-85</v>
      </c>
      <c r="Q11" s="18">
        <f t="shared" si="0"/>
        <v>-9.3406593406593408E-2</v>
      </c>
      <c r="R11" s="64"/>
    </row>
    <row r="12" spans="2:18" s="2" customFormat="1" ht="22.5" hidden="1" customHeight="1">
      <c r="B12" s="10">
        <v>3</v>
      </c>
      <c r="C12" s="16">
        <v>110000409</v>
      </c>
      <c r="D12" s="16" t="s">
        <v>48</v>
      </c>
      <c r="E12" s="16"/>
      <c r="F12" s="11">
        <v>850</v>
      </c>
      <c r="G12" s="18">
        <f t="shared" ref="G12:G13" si="4">H12/F12</f>
        <v>4.7058823529411764E-2</v>
      </c>
      <c r="H12" s="11">
        <f t="shared" ref="H12:H13" si="5">F12-I12</f>
        <v>40</v>
      </c>
      <c r="I12" s="57">
        <v>810</v>
      </c>
      <c r="J12" s="11">
        <v>850</v>
      </c>
      <c r="K12" s="18">
        <f t="shared" ref="K12:K13" si="6">L12/J12</f>
        <v>4.7058823529411764E-2</v>
      </c>
      <c r="L12" s="11">
        <f t="shared" ref="L12:L13" si="7">J12-M12</f>
        <v>40</v>
      </c>
      <c r="M12" s="57">
        <v>810</v>
      </c>
      <c r="N12" s="11">
        <f t="shared" si="1"/>
        <v>0</v>
      </c>
      <c r="O12" s="18">
        <f t="shared" si="2"/>
        <v>0</v>
      </c>
      <c r="P12" s="59">
        <f t="shared" ref="P12:P13" si="8">M12-$R$2</f>
        <v>-100</v>
      </c>
      <c r="Q12" s="18">
        <f t="shared" ref="Q12:Q13" si="9">P12/$R$2</f>
        <v>-0.10989010989010989</v>
      </c>
      <c r="R12" s="64"/>
    </row>
    <row r="13" spans="2:18" s="2" customFormat="1" ht="22.5" hidden="1" customHeight="1">
      <c r="B13" s="10">
        <v>4</v>
      </c>
      <c r="C13" s="16">
        <v>110000410</v>
      </c>
      <c r="D13" s="16" t="s">
        <v>49</v>
      </c>
      <c r="E13" s="16"/>
      <c r="F13" s="11">
        <v>850</v>
      </c>
      <c r="G13" s="18">
        <f t="shared" si="4"/>
        <v>4.7058823529411764E-2</v>
      </c>
      <c r="H13" s="11">
        <f t="shared" si="5"/>
        <v>40</v>
      </c>
      <c r="I13" s="57">
        <v>810</v>
      </c>
      <c r="J13" s="11">
        <v>850</v>
      </c>
      <c r="K13" s="18">
        <f t="shared" si="6"/>
        <v>4.7058823529411764E-2</v>
      </c>
      <c r="L13" s="11">
        <f t="shared" si="7"/>
        <v>40</v>
      </c>
      <c r="M13" s="57">
        <v>810</v>
      </c>
      <c r="N13" s="11">
        <f t="shared" si="1"/>
        <v>0</v>
      </c>
      <c r="O13" s="18">
        <f t="shared" si="2"/>
        <v>0</v>
      </c>
      <c r="P13" s="59">
        <f t="shared" si="8"/>
        <v>-100</v>
      </c>
      <c r="Q13" s="18">
        <f t="shared" si="9"/>
        <v>-0.10989010989010989</v>
      </c>
      <c r="R13" s="64"/>
    </row>
    <row r="14" spans="2:18" s="2" customFormat="1" ht="22.5" hidden="1" customHeight="1">
      <c r="B14" s="10">
        <v>5</v>
      </c>
      <c r="C14" s="16">
        <v>110000411</v>
      </c>
      <c r="D14" s="16" t="s">
        <v>50</v>
      </c>
      <c r="E14" s="16"/>
      <c r="F14" s="11">
        <v>850</v>
      </c>
      <c r="G14" s="18">
        <f>H14/F14</f>
        <v>4.7058823529411764E-2</v>
      </c>
      <c r="H14" s="11">
        <f>F14-I14</f>
        <v>40</v>
      </c>
      <c r="I14" s="57">
        <v>810</v>
      </c>
      <c r="J14" s="11">
        <v>850</v>
      </c>
      <c r="K14" s="18">
        <f>L14/J14</f>
        <v>4.7058823529411764E-2</v>
      </c>
      <c r="L14" s="11">
        <f>J14-M14</f>
        <v>40</v>
      </c>
      <c r="M14" s="57">
        <v>810</v>
      </c>
      <c r="N14" s="11">
        <f t="shared" si="1"/>
        <v>0</v>
      </c>
      <c r="O14" s="18">
        <f t="shared" si="2"/>
        <v>0</v>
      </c>
      <c r="P14" s="59">
        <f t="shared" si="3"/>
        <v>-100</v>
      </c>
      <c r="Q14" s="18">
        <f t="shared" si="0"/>
        <v>-0.10989010989010989</v>
      </c>
      <c r="R14" s="64"/>
    </row>
    <row r="15" spans="2:18" s="37" customFormat="1" ht="15" customHeight="1">
      <c r="B15" s="23"/>
      <c r="C15" s="23"/>
      <c r="D15" s="23"/>
      <c r="E15" s="23"/>
      <c r="F15" s="24"/>
      <c r="G15" s="24"/>
      <c r="H15" s="24"/>
      <c r="I15" s="25"/>
      <c r="J15" s="25"/>
      <c r="K15" s="25"/>
      <c r="L15" s="25"/>
      <c r="M15" s="25"/>
      <c r="N15" s="25"/>
      <c r="O15" s="25"/>
      <c r="P15" s="25"/>
      <c r="Q15" s="52"/>
      <c r="R15" s="65"/>
    </row>
    <row r="16" spans="2:18" ht="7.75" customHeight="1">
      <c r="F16" s="27"/>
      <c r="G16" s="27"/>
      <c r="H16" s="27"/>
      <c r="I16" s="38"/>
      <c r="J16" s="38"/>
      <c r="K16" s="38"/>
      <c r="L16" s="38"/>
      <c r="M16" s="38"/>
      <c r="N16" s="38"/>
      <c r="O16" s="38"/>
      <c r="P16" s="38"/>
      <c r="Q16" s="38"/>
    </row>
    <row r="17" spans="2:21" ht="13.75" customHeight="1">
      <c r="B17" s="188" t="s">
        <v>7</v>
      </c>
      <c r="G17" s="30"/>
      <c r="H17" s="30"/>
      <c r="I17" s="30"/>
      <c r="K17" s="30"/>
      <c r="L17" s="30"/>
      <c r="M17" s="30"/>
      <c r="N17" s="30"/>
      <c r="O17" s="30"/>
      <c r="P17" s="30"/>
      <c r="Q17" s="38"/>
    </row>
    <row r="18" spans="2:21" ht="9" customHeight="1">
      <c r="G18" s="30"/>
      <c r="H18" s="30"/>
      <c r="I18" s="30"/>
      <c r="K18" s="30"/>
      <c r="L18" s="30"/>
      <c r="M18" s="30"/>
      <c r="N18" s="34"/>
      <c r="Q18" s="38"/>
    </row>
    <row r="19" spans="2:21" s="54" customFormat="1">
      <c r="B19" s="54" t="s">
        <v>177</v>
      </c>
      <c r="G19" s="66"/>
      <c r="M19" s="53"/>
      <c r="N19" s="53"/>
      <c r="Q19" s="53"/>
    </row>
    <row r="20" spans="2:21">
      <c r="B20" s="33" t="s">
        <v>178</v>
      </c>
      <c r="Q20" s="36"/>
    </row>
    <row r="21" spans="2:21">
      <c r="Q21" s="36"/>
    </row>
    <row r="22" spans="2:21">
      <c r="Q22" s="36"/>
    </row>
    <row r="23" spans="2:21">
      <c r="O23" s="36"/>
      <c r="P23" s="36"/>
    </row>
    <row r="24" spans="2:21">
      <c r="Q24" s="55" t="str">
        <f>'rPET- nội bộ '!Q45</f>
        <v>Ngày 19 tháng 03 năm 2026</v>
      </c>
    </row>
    <row r="25" spans="2:21">
      <c r="Q25" s="33"/>
    </row>
    <row r="26" spans="2:21" s="28" customFormat="1">
      <c r="B26" s="349" t="s">
        <v>19</v>
      </c>
      <c r="C26" s="349"/>
      <c r="D26" s="341" t="s">
        <v>404</v>
      </c>
      <c r="E26" s="341"/>
      <c r="F26" s="29" t="s">
        <v>408</v>
      </c>
      <c r="G26" s="29"/>
      <c r="H26" s="29" t="s">
        <v>405</v>
      </c>
      <c r="I26" s="29"/>
      <c r="J26" s="29" t="s">
        <v>28</v>
      </c>
      <c r="L26" s="29"/>
      <c r="M26" s="29" t="s">
        <v>20</v>
      </c>
      <c r="N26" s="29"/>
      <c r="O26" s="27"/>
      <c r="P26" s="27" t="s">
        <v>21</v>
      </c>
      <c r="R26" s="56"/>
    </row>
    <row r="27" spans="2:21" s="28" customFormat="1">
      <c r="B27" s="26"/>
      <c r="C27" s="26"/>
      <c r="D27" s="29"/>
      <c r="F27" s="29"/>
      <c r="G27" s="29"/>
      <c r="H27" s="29"/>
      <c r="I27" s="29"/>
      <c r="J27" s="29"/>
      <c r="O27" s="27"/>
      <c r="P27" s="29"/>
      <c r="R27" s="56"/>
    </row>
    <row r="28" spans="2:21" s="28" customFormat="1">
      <c r="B28" s="26"/>
      <c r="C28" s="26"/>
      <c r="D28" s="29"/>
      <c r="F28" s="29"/>
      <c r="G28" s="29"/>
      <c r="H28" s="29"/>
      <c r="I28" s="29"/>
      <c r="J28" s="29"/>
      <c r="O28" s="27"/>
      <c r="P28" s="29"/>
      <c r="R28" s="56"/>
    </row>
    <row r="29" spans="2:21" s="28" customFormat="1">
      <c r="B29" s="26"/>
      <c r="C29" s="26"/>
      <c r="D29" s="29"/>
      <c r="F29" s="29"/>
      <c r="G29" s="29"/>
      <c r="H29" s="29"/>
      <c r="I29" s="29"/>
      <c r="J29" s="29"/>
      <c r="O29" s="27"/>
      <c r="P29" s="29"/>
      <c r="R29" s="56"/>
    </row>
    <row r="30" spans="2:21" s="28" customFormat="1">
      <c r="B30" s="31"/>
      <c r="C30" s="31"/>
      <c r="D30" s="32"/>
      <c r="F30" s="32"/>
      <c r="G30" s="32"/>
      <c r="H30" s="32"/>
      <c r="I30" s="32"/>
      <c r="J30" s="32"/>
      <c r="O30" s="27"/>
      <c r="P30" s="29"/>
      <c r="R30" s="56"/>
      <c r="U30"/>
    </row>
    <row r="31" spans="2:21" s="28" customFormat="1">
      <c r="B31" s="31"/>
      <c r="C31" s="31"/>
      <c r="D31" s="32"/>
      <c r="F31" s="32"/>
      <c r="G31" s="32"/>
      <c r="H31" s="32"/>
      <c r="I31" s="32"/>
      <c r="J31" s="32"/>
      <c r="O31" s="27"/>
      <c r="P31" s="29"/>
      <c r="Q31" s="28" t="s">
        <v>8</v>
      </c>
      <c r="R31" s="56"/>
    </row>
    <row r="32" spans="2:21" s="28" customFormat="1">
      <c r="B32" s="26"/>
      <c r="C32" s="26"/>
      <c r="D32" s="29"/>
      <c r="F32" s="29"/>
      <c r="G32" s="29"/>
      <c r="H32" s="29"/>
      <c r="I32" s="29"/>
      <c r="J32" s="29"/>
      <c r="O32" s="27"/>
      <c r="P32" s="29"/>
      <c r="R32" s="56"/>
    </row>
    <row r="33" spans="2:18" s="28" customFormat="1">
      <c r="B33" s="349" t="s">
        <v>1</v>
      </c>
      <c r="C33" s="349"/>
      <c r="D33" s="341" t="s">
        <v>403</v>
      </c>
      <c r="E33" s="341"/>
      <c r="F33" s="29" t="s">
        <v>29</v>
      </c>
      <c r="G33" s="29"/>
      <c r="H33" s="29" t="s">
        <v>406</v>
      </c>
      <c r="I33" s="29"/>
      <c r="J33" s="29" t="s">
        <v>30</v>
      </c>
      <c r="L33" s="29"/>
      <c r="M33" s="29" t="s">
        <v>198</v>
      </c>
      <c r="N33" s="29"/>
      <c r="O33" s="27"/>
      <c r="P33" s="27" t="s">
        <v>80</v>
      </c>
      <c r="R33" s="56"/>
    </row>
    <row r="34" spans="2:18" s="28" customFormat="1">
      <c r="B34" s="349"/>
      <c r="C34" s="349"/>
      <c r="D34" s="341"/>
      <c r="E34" s="341"/>
      <c r="F34" s="341"/>
      <c r="G34" s="29"/>
      <c r="H34" s="29"/>
      <c r="I34" s="29"/>
      <c r="L34" s="29"/>
      <c r="N34" s="29"/>
      <c r="O34" s="27"/>
      <c r="P34" s="341"/>
      <c r="Q34" s="341"/>
      <c r="R34" s="56"/>
    </row>
  </sheetData>
  <mergeCells count="21">
    <mergeCell ref="B26:C26"/>
    <mergeCell ref="B34:C34"/>
    <mergeCell ref="P34:Q34"/>
    <mergeCell ref="D34:F34"/>
    <mergeCell ref="B33:C33"/>
    <mergeCell ref="D26:E26"/>
    <mergeCell ref="D33:E33"/>
    <mergeCell ref="B2:C4"/>
    <mergeCell ref="O2:Q2"/>
    <mergeCell ref="O3:Q3"/>
    <mergeCell ref="O4:Q4"/>
    <mergeCell ref="P6:Q7"/>
    <mergeCell ref="B6:B8"/>
    <mergeCell ref="C6:C8"/>
    <mergeCell ref="D6:D8"/>
    <mergeCell ref="E6:E8"/>
    <mergeCell ref="F6:O6"/>
    <mergeCell ref="F7:I7"/>
    <mergeCell ref="J7:M7"/>
    <mergeCell ref="N7:O7"/>
    <mergeCell ref="D2:N4"/>
  </mergeCells>
  <conditionalFormatting sqref="O10:O14">
    <cfRule type="iconSet" priority="1">
      <iconSet iconSet="3Arrows">
        <cfvo type="percent" val="0"/>
        <cfvo type="num" val="0"/>
        <cfvo type="num" val="0" gte="0"/>
      </iconSet>
    </cfRule>
  </conditionalFormatting>
  <conditionalFormatting sqref="Q10:Q14">
    <cfRule type="iconSet" priority="2">
      <iconSet iconSet="3Arrows">
        <cfvo type="percent" val="0"/>
        <cfvo type="num" val="0"/>
        <cfvo type="num" val="0" gte="0"/>
      </iconSet>
    </cfRule>
  </conditionalFormatting>
  <printOptions horizontalCentered="1"/>
  <pageMargins left="0" right="0" top="0.19" bottom="0.23622047244094491" header="0.11811023622047245" footer="0.23"/>
  <pageSetup paperSize="9" scale="77"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1628-EC7C-45D3-94E2-E6B6C905D6D0}">
  <sheetPr>
    <tabColor rgb="FF00B0F0"/>
    <pageSetUpPr fitToPage="1"/>
  </sheetPr>
  <dimension ref="B2:U30"/>
  <sheetViews>
    <sheetView showGridLines="0" topLeftCell="A5" zoomScale="80" zoomScaleNormal="80" zoomScaleSheetLayoutView="70" workbookViewId="0">
      <selection activeCell="N12" sqref="N12"/>
    </sheetView>
  </sheetViews>
  <sheetFormatPr defaultColWidth="8.54296875" defaultRowHeight="16.5"/>
  <cols>
    <col min="1" max="1" width="0.54296875" style="33" customWidth="1"/>
    <col min="2" max="2" width="5.1796875" style="33" customWidth="1"/>
    <col min="3" max="3" width="15.81640625" style="33" customWidth="1"/>
    <col min="4" max="4" width="20" style="33" customWidth="1"/>
    <col min="5" max="5" width="16.54296875" style="33" customWidth="1"/>
    <col min="6" max="6" width="11.81640625" style="33" customWidth="1"/>
    <col min="7" max="7" width="9.54296875" style="33" customWidth="1"/>
    <col min="8" max="8" width="11.26953125" style="33" customWidth="1"/>
    <col min="9" max="9" width="13.453125" style="33" customWidth="1"/>
    <col min="10" max="10" width="10.453125" style="33" customWidth="1"/>
    <col min="11" max="12" width="9.54296875" style="33" customWidth="1"/>
    <col min="13" max="13" width="13.1796875" style="33" customWidth="1"/>
    <col min="14" max="14" width="11" style="33" customWidth="1"/>
    <col min="15" max="15" width="9.6328125" style="33" customWidth="1"/>
    <col min="16" max="16" width="9.90625" style="33" customWidth="1"/>
    <col min="17" max="17" width="9.81640625" style="54" customWidth="1"/>
    <col min="18" max="18" width="8.54296875" style="54"/>
    <col min="19" max="16384" width="8.54296875" style="33"/>
  </cols>
  <sheetData>
    <row r="2" spans="2:18" ht="24.65" customHeight="1">
      <c r="B2" s="358"/>
      <c r="C2" s="358"/>
      <c r="D2" s="360" t="s">
        <v>194</v>
      </c>
      <c r="E2" s="360"/>
      <c r="F2" s="360"/>
      <c r="G2" s="360"/>
      <c r="H2" s="360"/>
      <c r="I2" s="360"/>
      <c r="J2" s="360"/>
      <c r="K2" s="360"/>
      <c r="L2" s="360"/>
      <c r="M2" s="360"/>
      <c r="N2" s="360"/>
      <c r="O2" s="359" t="s">
        <v>124</v>
      </c>
      <c r="P2" s="359"/>
      <c r="Q2" s="359"/>
      <c r="R2" s="54">
        <v>930</v>
      </c>
    </row>
    <row r="3" spans="2:18" ht="26.15" customHeight="1">
      <c r="B3" s="358"/>
      <c r="C3" s="358"/>
      <c r="D3" s="360"/>
      <c r="E3" s="360"/>
      <c r="F3" s="360"/>
      <c r="G3" s="360"/>
      <c r="H3" s="360"/>
      <c r="I3" s="360"/>
      <c r="J3" s="360"/>
      <c r="K3" s="360"/>
      <c r="L3" s="360"/>
      <c r="M3" s="360"/>
      <c r="N3" s="360"/>
      <c r="O3" s="359" t="s">
        <v>127</v>
      </c>
      <c r="P3" s="359"/>
      <c r="Q3" s="359"/>
    </row>
    <row r="4" spans="2:18">
      <c r="B4" s="358"/>
      <c r="C4" s="358"/>
      <c r="D4" s="360"/>
      <c r="E4" s="360"/>
      <c r="F4" s="360"/>
      <c r="G4" s="360"/>
      <c r="H4" s="360"/>
      <c r="I4" s="360"/>
      <c r="J4" s="360"/>
      <c r="K4" s="360"/>
      <c r="L4" s="360"/>
      <c r="M4" s="360"/>
      <c r="N4" s="360"/>
      <c r="O4" s="335" t="str">
        <f>'1. rPET'!O4</f>
        <v>Ngày áp dụng: 01/04/2026</v>
      </c>
      <c r="P4" s="336"/>
      <c r="Q4" s="337"/>
    </row>
    <row r="6" spans="2:18" s="7" customFormat="1" ht="17.149999999999999" customHeight="1">
      <c r="B6" s="351" t="s">
        <v>2</v>
      </c>
      <c r="C6" s="352" t="s">
        <v>9</v>
      </c>
      <c r="D6" s="351" t="s">
        <v>0</v>
      </c>
      <c r="E6" s="351" t="s">
        <v>41</v>
      </c>
      <c r="F6" s="352" t="s">
        <v>27</v>
      </c>
      <c r="G6" s="352"/>
      <c r="H6" s="352"/>
      <c r="I6" s="352"/>
      <c r="J6" s="352"/>
      <c r="K6" s="352"/>
      <c r="L6" s="352"/>
      <c r="M6" s="352"/>
      <c r="N6" s="352"/>
      <c r="O6" s="352"/>
      <c r="P6" s="352" t="s">
        <v>195</v>
      </c>
      <c r="Q6" s="352"/>
      <c r="R6" s="62"/>
    </row>
    <row r="7" spans="2:18" s="7" customFormat="1" ht="46" customHeight="1">
      <c r="B7" s="351"/>
      <c r="C7" s="352"/>
      <c r="D7" s="351"/>
      <c r="E7" s="351"/>
      <c r="F7" s="352" t="str">
        <f>'1. rPET'!F7</f>
        <v>Tháng 03 (đã duyệt)</v>
      </c>
      <c r="G7" s="352"/>
      <c r="H7" s="352"/>
      <c r="I7" s="352"/>
      <c r="J7" s="352" t="str">
        <f>'1. rPET'!J7</f>
        <v>Tháng 04</v>
      </c>
      <c r="K7" s="352"/>
      <c r="L7" s="352"/>
      <c r="M7" s="352"/>
      <c r="N7" s="352" t="str">
        <f>'1. rPET'!N7</f>
        <v>Chênh lệch
 tháng 04 vs tháng 03</v>
      </c>
      <c r="O7" s="352"/>
      <c r="P7" s="352"/>
      <c r="Q7" s="352"/>
      <c r="R7" s="62"/>
    </row>
    <row r="8" spans="2:18" s="9" customFormat="1" ht="66">
      <c r="B8" s="351"/>
      <c r="C8" s="352"/>
      <c r="D8" s="351"/>
      <c r="E8" s="351"/>
      <c r="F8" s="14" t="s">
        <v>31</v>
      </c>
      <c r="G8" s="14" t="s">
        <v>37</v>
      </c>
      <c r="H8" s="14" t="s">
        <v>35</v>
      </c>
      <c r="I8" s="82" t="s">
        <v>36</v>
      </c>
      <c r="J8" s="14" t="s">
        <v>31</v>
      </c>
      <c r="K8" s="14" t="s">
        <v>37</v>
      </c>
      <c r="L8" s="14" t="s">
        <v>35</v>
      </c>
      <c r="M8" s="82" t="s">
        <v>36</v>
      </c>
      <c r="N8" s="14" t="s">
        <v>174</v>
      </c>
      <c r="O8" s="14" t="s">
        <v>33</v>
      </c>
      <c r="P8" s="14" t="s">
        <v>174</v>
      </c>
      <c r="Q8" s="115" t="s">
        <v>33</v>
      </c>
      <c r="R8" s="63"/>
    </row>
    <row r="9" spans="2:18" s="67" customFormat="1" ht="15" customHeight="1">
      <c r="B9" s="193" t="s">
        <v>69</v>
      </c>
      <c r="C9" s="194" t="s">
        <v>66</v>
      </c>
      <c r="D9" s="194"/>
      <c r="E9" s="194"/>
      <c r="F9" s="195"/>
      <c r="G9" s="195"/>
      <c r="H9" s="195"/>
      <c r="I9" s="195"/>
      <c r="J9" s="195"/>
      <c r="K9" s="195"/>
      <c r="L9" s="195"/>
      <c r="M9" s="195"/>
      <c r="N9" s="195"/>
      <c r="O9" s="195"/>
      <c r="P9" s="195"/>
      <c r="Q9" s="195"/>
    </row>
    <row r="10" spans="2:18" s="2" customFormat="1" ht="33">
      <c r="B10" s="126">
        <v>1</v>
      </c>
      <c r="C10" s="124">
        <v>110000367</v>
      </c>
      <c r="D10" s="135" t="s">
        <v>62</v>
      </c>
      <c r="E10" s="125" t="s">
        <v>159</v>
      </c>
      <c r="F10" s="189">
        <v>1200</v>
      </c>
      <c r="G10" s="190">
        <f>H10/F10</f>
        <v>0.12083333333333333</v>
      </c>
      <c r="H10" s="189">
        <f>F10-I10</f>
        <v>145</v>
      </c>
      <c r="I10" s="167">
        <v>1055</v>
      </c>
      <c r="J10" s="189">
        <v>1200</v>
      </c>
      <c r="K10" s="190">
        <f>L10/J10</f>
        <v>0.14583333333333334</v>
      </c>
      <c r="L10" s="189">
        <f>J10-M10</f>
        <v>175</v>
      </c>
      <c r="M10" s="167">
        <f>R2*1.1+2</f>
        <v>1025</v>
      </c>
      <c r="N10" s="189">
        <f>M10-I10</f>
        <v>-30</v>
      </c>
      <c r="O10" s="190">
        <f>1-(I10/M10)</f>
        <v>-2.9268292682926855E-2</v>
      </c>
      <c r="P10" s="173">
        <f>M10-$R$2</f>
        <v>95</v>
      </c>
      <c r="Q10" s="190">
        <f>P10/$R$2</f>
        <v>0.10215053763440861</v>
      </c>
      <c r="R10" s="64"/>
    </row>
    <row r="11" spans="2:18" s="2" customFormat="1" ht="18">
      <c r="B11" s="133">
        <v>2</v>
      </c>
      <c r="C11" s="132" t="s">
        <v>152</v>
      </c>
      <c r="D11" s="136" t="s">
        <v>151</v>
      </c>
      <c r="E11" s="137" t="s">
        <v>45</v>
      </c>
      <c r="F11" s="191">
        <v>1200</v>
      </c>
      <c r="G11" s="192">
        <f>H11/F11</f>
        <v>0.20416666666666666</v>
      </c>
      <c r="H11" s="191">
        <f>F11-I11</f>
        <v>245</v>
      </c>
      <c r="I11" s="170">
        <v>955</v>
      </c>
      <c r="J11" s="191">
        <v>1200</v>
      </c>
      <c r="K11" s="192">
        <f>L11/J11</f>
        <v>0.22916666666666666</v>
      </c>
      <c r="L11" s="191">
        <f>J11-M11</f>
        <v>275</v>
      </c>
      <c r="M11" s="170">
        <f>M10-100</f>
        <v>925</v>
      </c>
      <c r="N11" s="191">
        <f>M11-I11</f>
        <v>-30</v>
      </c>
      <c r="O11" s="192">
        <f>1-(I11/M11)</f>
        <v>-3.2432432432432323E-2</v>
      </c>
      <c r="P11" s="174">
        <f>M11-$R$2</f>
        <v>-5</v>
      </c>
      <c r="Q11" s="192">
        <f>P11/$R$2</f>
        <v>-5.3763440860215058E-3</v>
      </c>
      <c r="R11" s="64"/>
    </row>
    <row r="12" spans="2:18" s="90" customFormat="1">
      <c r="B12" s="196" t="s">
        <v>70</v>
      </c>
      <c r="C12" s="196" t="s">
        <v>158</v>
      </c>
      <c r="D12" s="196"/>
      <c r="E12" s="196"/>
      <c r="F12" s="197"/>
      <c r="G12" s="197"/>
      <c r="H12" s="197"/>
      <c r="I12" s="198"/>
      <c r="J12" s="197"/>
      <c r="K12" s="197"/>
      <c r="L12" s="197"/>
      <c r="M12" s="198"/>
      <c r="N12" s="197"/>
      <c r="O12" s="197"/>
      <c r="P12" s="198"/>
      <c r="Q12" s="197"/>
    </row>
    <row r="13" spans="2:18" s="2" customFormat="1" ht="33">
      <c r="B13" s="126">
        <v>1</v>
      </c>
      <c r="C13" s="124">
        <v>110000367</v>
      </c>
      <c r="D13" s="135" t="s">
        <v>62</v>
      </c>
      <c r="E13" s="125" t="s">
        <v>153</v>
      </c>
      <c r="F13" s="189">
        <v>1000</v>
      </c>
      <c r="G13" s="190">
        <v>0.1</v>
      </c>
      <c r="H13" s="189">
        <v>100</v>
      </c>
      <c r="I13" s="167">
        <v>815</v>
      </c>
      <c r="J13" s="189">
        <v>1000</v>
      </c>
      <c r="K13" s="190">
        <f t="shared" ref="K13" si="0">L13/J13</f>
        <v>0.21049999999999999</v>
      </c>
      <c r="L13" s="189">
        <f>J13-M13</f>
        <v>210.5</v>
      </c>
      <c r="M13" s="167">
        <f>R2*85%-1</f>
        <v>789.5</v>
      </c>
      <c r="N13" s="189">
        <f>M13-I13</f>
        <v>-25.5</v>
      </c>
      <c r="O13" s="190">
        <f>1-(I13/M13)</f>
        <v>-3.2298923369221022E-2</v>
      </c>
      <c r="P13" s="173">
        <f>M13-$R$2</f>
        <v>-140.5</v>
      </c>
      <c r="Q13" s="190">
        <f>P13/$R$2</f>
        <v>-0.15107526881720429</v>
      </c>
      <c r="R13" s="64"/>
    </row>
    <row r="14" spans="2:18" s="2" customFormat="1" ht="18">
      <c r="B14" s="133">
        <v>2</v>
      </c>
      <c r="C14" s="132" t="s">
        <v>152</v>
      </c>
      <c r="D14" s="136" t="s">
        <v>151</v>
      </c>
      <c r="E14" s="137" t="s">
        <v>45</v>
      </c>
      <c r="F14" s="191">
        <v>1000</v>
      </c>
      <c r="G14" s="192">
        <v>0.1</v>
      </c>
      <c r="H14" s="191">
        <v>100</v>
      </c>
      <c r="I14" s="170">
        <v>715</v>
      </c>
      <c r="J14" s="191">
        <v>1000</v>
      </c>
      <c r="K14" s="192">
        <f t="shared" ref="K14" si="1">L14/J14</f>
        <v>0.3105</v>
      </c>
      <c r="L14" s="191">
        <f>J14-M14</f>
        <v>310.5</v>
      </c>
      <c r="M14" s="170">
        <f>M13-100</f>
        <v>689.5</v>
      </c>
      <c r="N14" s="191">
        <f>M14-I14</f>
        <v>-25.5</v>
      </c>
      <c r="O14" s="192">
        <f>1-(I14/M14)</f>
        <v>-3.6983321247280543E-2</v>
      </c>
      <c r="P14" s="174">
        <f>M14-$R$2</f>
        <v>-240.5</v>
      </c>
      <c r="Q14" s="192">
        <f>P14/$R$2</f>
        <v>-0.25860215053763441</v>
      </c>
      <c r="R14" s="138"/>
    </row>
    <row r="15" spans="2:18" s="37" customFormat="1" ht="15" customHeight="1">
      <c r="B15" s="23"/>
      <c r="C15" s="23"/>
      <c r="D15" s="23"/>
      <c r="E15" s="23"/>
      <c r="F15" s="24"/>
      <c r="G15" s="24"/>
      <c r="H15" s="24"/>
      <c r="I15" s="25"/>
      <c r="J15" s="25"/>
      <c r="K15" s="25"/>
      <c r="L15" s="25"/>
      <c r="M15" s="25"/>
      <c r="N15" s="25"/>
      <c r="O15" s="25"/>
      <c r="P15" s="25"/>
      <c r="Q15" s="52"/>
      <c r="R15" s="65"/>
    </row>
    <row r="16" spans="2:18" ht="12.65" customHeight="1">
      <c r="F16" s="27"/>
      <c r="G16" s="27"/>
      <c r="H16" s="27"/>
      <c r="I16" s="38"/>
      <c r="J16" s="38"/>
      <c r="K16" s="38"/>
      <c r="L16" s="38"/>
      <c r="M16" s="38"/>
      <c r="N16" s="38"/>
      <c r="O16" s="38"/>
      <c r="P16" s="38"/>
      <c r="Q16" s="38"/>
    </row>
    <row r="17" spans="2:21" ht="13.75" customHeight="1">
      <c r="B17" s="175" t="s">
        <v>7</v>
      </c>
      <c r="G17" s="30"/>
      <c r="H17" s="30"/>
      <c r="I17" s="30"/>
      <c r="K17" s="30"/>
      <c r="L17" s="30"/>
      <c r="M17" s="30"/>
      <c r="N17" s="30"/>
      <c r="O17" s="30"/>
      <c r="P17" s="30"/>
      <c r="Q17" s="38"/>
    </row>
    <row r="18" spans="2:21" ht="9" customHeight="1">
      <c r="G18" s="30"/>
      <c r="H18" s="30"/>
      <c r="I18" s="30"/>
      <c r="K18" s="30"/>
      <c r="L18" s="30"/>
      <c r="M18" s="30"/>
      <c r="N18" s="34"/>
      <c r="Q18" s="38"/>
    </row>
    <row r="19" spans="2:21">
      <c r="B19" s="348" t="s">
        <v>187</v>
      </c>
      <c r="C19" s="348"/>
      <c r="D19" s="348"/>
      <c r="E19" s="348"/>
      <c r="F19" s="348"/>
      <c r="G19" s="348"/>
      <c r="H19" s="348"/>
      <c r="I19" s="348"/>
      <c r="J19" s="348"/>
      <c r="K19" s="348"/>
      <c r="L19" s="348"/>
      <c r="M19" s="348"/>
      <c r="N19" s="348"/>
      <c r="Q19" s="53"/>
    </row>
    <row r="20" spans="2:21">
      <c r="B20" s="33" t="s">
        <v>179</v>
      </c>
      <c r="Q20" s="36"/>
    </row>
    <row r="21" spans="2:21">
      <c r="Q21" s="55" t="str">
        <f>'rPET- nội bộ '!Q45</f>
        <v>Ngày 19 tháng 03 năm 2026</v>
      </c>
    </row>
    <row r="22" spans="2:21">
      <c r="Q22" s="33"/>
    </row>
    <row r="23" spans="2:21" s="28" customFormat="1">
      <c r="B23" s="349" t="s">
        <v>19</v>
      </c>
      <c r="C23" s="349"/>
      <c r="D23" s="341" t="s">
        <v>404</v>
      </c>
      <c r="E23" s="341"/>
      <c r="F23" s="29" t="s">
        <v>408</v>
      </c>
      <c r="G23" s="29"/>
      <c r="H23" s="29" t="s">
        <v>405</v>
      </c>
      <c r="I23" s="29"/>
      <c r="J23" s="29" t="s">
        <v>28</v>
      </c>
      <c r="L23" s="29"/>
      <c r="M23" s="29" t="s">
        <v>20</v>
      </c>
      <c r="N23" s="29"/>
      <c r="O23" s="27"/>
      <c r="P23" s="27" t="s">
        <v>21</v>
      </c>
      <c r="R23" s="56"/>
    </row>
    <row r="24" spans="2:21" s="28" customFormat="1">
      <c r="B24" s="26"/>
      <c r="C24" s="26"/>
      <c r="D24" s="29"/>
      <c r="F24" s="29"/>
      <c r="G24" s="29"/>
      <c r="H24" s="29"/>
      <c r="I24" s="29"/>
      <c r="J24" s="29"/>
      <c r="O24" s="27"/>
      <c r="P24" s="29"/>
      <c r="R24" s="56"/>
    </row>
    <row r="25" spans="2:21" s="28" customFormat="1">
      <c r="B25" s="26"/>
      <c r="C25" s="26"/>
      <c r="D25" s="29"/>
      <c r="F25" s="29"/>
      <c r="G25" s="29"/>
      <c r="H25" s="29"/>
      <c r="I25" s="29"/>
      <c r="J25" s="29"/>
      <c r="O25" s="27"/>
      <c r="P25" s="29"/>
      <c r="R25" s="56"/>
    </row>
    <row r="26" spans="2:21" s="28" customFormat="1">
      <c r="B26" s="26"/>
      <c r="C26" s="26"/>
      <c r="D26" s="29"/>
      <c r="F26" s="29"/>
      <c r="G26" s="29"/>
      <c r="H26" s="29"/>
      <c r="I26" s="29"/>
      <c r="J26" s="29"/>
      <c r="O26" s="27"/>
      <c r="P26" s="29"/>
      <c r="R26" s="56"/>
    </row>
    <row r="27" spans="2:21" s="28" customFormat="1">
      <c r="B27" s="31"/>
      <c r="C27" s="31"/>
      <c r="D27" s="32"/>
      <c r="F27" s="32"/>
      <c r="G27" s="32"/>
      <c r="H27" s="32"/>
      <c r="I27" s="32"/>
      <c r="J27" s="32"/>
      <c r="O27" s="27"/>
      <c r="P27" s="29"/>
      <c r="R27" s="56"/>
      <c r="U27"/>
    </row>
    <row r="28" spans="2:21" s="28" customFormat="1">
      <c r="B28" s="31"/>
      <c r="C28" s="31"/>
      <c r="D28" s="32"/>
      <c r="F28" s="32"/>
      <c r="G28" s="32"/>
      <c r="H28" s="32"/>
      <c r="I28" s="32"/>
      <c r="J28" s="32"/>
      <c r="O28" s="27"/>
      <c r="P28" s="29"/>
      <c r="Q28" s="28" t="s">
        <v>8</v>
      </c>
      <c r="R28" s="56"/>
    </row>
    <row r="29" spans="2:21" s="28" customFormat="1">
      <c r="B29" s="26"/>
      <c r="C29" s="26"/>
      <c r="D29" s="29"/>
      <c r="F29" s="29"/>
      <c r="G29" s="29"/>
      <c r="H29" s="29"/>
      <c r="I29" s="29"/>
      <c r="J29" s="29"/>
      <c r="O29" s="27"/>
      <c r="P29" s="29"/>
      <c r="R29" s="56"/>
    </row>
    <row r="30" spans="2:21" s="28" customFormat="1">
      <c r="B30" s="349" t="s">
        <v>1</v>
      </c>
      <c r="C30" s="349"/>
      <c r="D30" s="341" t="s">
        <v>403</v>
      </c>
      <c r="E30" s="341"/>
      <c r="F30" s="29" t="s">
        <v>29</v>
      </c>
      <c r="G30" s="29"/>
      <c r="H30" s="29" t="s">
        <v>406</v>
      </c>
      <c r="I30" s="29"/>
      <c r="J30" s="29" t="s">
        <v>30</v>
      </c>
      <c r="L30" s="29"/>
      <c r="M30" s="29" t="s">
        <v>198</v>
      </c>
      <c r="N30" s="29"/>
      <c r="O30" s="27"/>
      <c r="P30" s="27" t="s">
        <v>80</v>
      </c>
      <c r="R30" s="56"/>
    </row>
  </sheetData>
  <mergeCells count="19">
    <mergeCell ref="O2:Q2"/>
    <mergeCell ref="O3:Q3"/>
    <mergeCell ref="O4:Q4"/>
    <mergeCell ref="P6:Q7"/>
    <mergeCell ref="B6:B8"/>
    <mergeCell ref="C6:C8"/>
    <mergeCell ref="D6:D8"/>
    <mergeCell ref="E6:E8"/>
    <mergeCell ref="F6:O6"/>
    <mergeCell ref="F7:I7"/>
    <mergeCell ref="J7:M7"/>
    <mergeCell ref="N7:O7"/>
    <mergeCell ref="D2:N4"/>
    <mergeCell ref="B2:C4"/>
    <mergeCell ref="B19:N19"/>
    <mergeCell ref="B23:C23"/>
    <mergeCell ref="B30:C30"/>
    <mergeCell ref="D23:E23"/>
    <mergeCell ref="D30:E30"/>
  </mergeCells>
  <conditionalFormatting sqref="O10:O11">
    <cfRule type="iconSet" priority="58">
      <iconSet iconSet="3Arrows">
        <cfvo type="percent" val="0"/>
        <cfvo type="num" val="0"/>
        <cfvo type="num" val="0" gte="0"/>
      </iconSet>
    </cfRule>
  </conditionalFormatting>
  <conditionalFormatting sqref="O13:O14">
    <cfRule type="iconSet" priority="1">
      <iconSet iconSet="3Arrows">
        <cfvo type="percent" val="0"/>
        <cfvo type="num" val="0"/>
        <cfvo type="num" val="0" gte="0"/>
      </iconSet>
    </cfRule>
  </conditionalFormatting>
  <conditionalFormatting sqref="Q10:Q11">
    <cfRule type="iconSet" priority="59">
      <iconSet iconSet="3Arrows">
        <cfvo type="percent" val="0"/>
        <cfvo type="num" val="0"/>
        <cfvo type="num" val="0" gte="0"/>
      </iconSet>
    </cfRule>
  </conditionalFormatting>
  <conditionalFormatting sqref="Q13:Q14">
    <cfRule type="iconSet" priority="2">
      <iconSet iconSet="3Arrows">
        <cfvo type="percent" val="0"/>
        <cfvo type="num" val="0"/>
        <cfvo type="num" val="0" gte="0"/>
      </iconSet>
    </cfRule>
  </conditionalFormatting>
  <printOptions horizontalCentered="1"/>
  <pageMargins left="0" right="0" top="0.31496062992125984" bottom="0.23622047244094491" header="0.11811023622047245" footer="0.31496062992125984"/>
  <pageSetup paperSize="9" scale="79"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3199-0742-495C-8315-098A69D15E9C}">
  <sheetPr>
    <tabColor rgb="FF0000FF"/>
    <pageSetUpPr fitToPage="1"/>
  </sheetPr>
  <dimension ref="B2:U30"/>
  <sheetViews>
    <sheetView showGridLines="0" topLeftCell="D16" zoomScale="85" zoomScaleNormal="85" zoomScaleSheetLayoutView="70" workbookViewId="0">
      <selection activeCell="H28" sqref="H28"/>
    </sheetView>
  </sheetViews>
  <sheetFormatPr defaultColWidth="8.54296875" defaultRowHeight="16.5"/>
  <cols>
    <col min="1" max="1" width="0.54296875" style="33" customWidth="1"/>
    <col min="2" max="2" width="5.1796875" style="33" customWidth="1"/>
    <col min="3" max="3" width="17.54296875" style="33" customWidth="1"/>
    <col min="4" max="4" width="23.453125" style="33" bestFit="1" customWidth="1"/>
    <col min="5" max="5" width="12.1796875" style="33" customWidth="1"/>
    <col min="6" max="8" width="9.54296875" style="33" customWidth="1"/>
    <col min="9" max="9" width="11.54296875" style="33" customWidth="1"/>
    <col min="10" max="12" width="9.54296875" style="33" customWidth="1"/>
    <col min="13" max="13" width="11.54296875" style="33" customWidth="1"/>
    <col min="14" max="14" width="11" style="33" customWidth="1"/>
    <col min="15" max="15" width="11.453125" style="33" customWidth="1"/>
    <col min="16" max="16" width="10.1796875" style="33" customWidth="1"/>
    <col min="17" max="17" width="9.81640625" style="54" customWidth="1"/>
    <col min="18" max="18" width="8.54296875" style="54"/>
    <col min="19" max="16384" width="8.54296875" style="33"/>
  </cols>
  <sheetData>
    <row r="2" spans="2:18" ht="24.65" customHeight="1">
      <c r="B2" s="364"/>
      <c r="C2" s="364"/>
      <c r="D2" s="360" t="s">
        <v>196</v>
      </c>
      <c r="E2" s="360"/>
      <c r="F2" s="360"/>
      <c r="G2" s="360"/>
      <c r="H2" s="360"/>
      <c r="I2" s="360"/>
      <c r="J2" s="360"/>
      <c r="K2" s="360"/>
      <c r="L2" s="360"/>
      <c r="M2" s="360"/>
      <c r="N2" s="360"/>
      <c r="O2" s="359" t="s">
        <v>125</v>
      </c>
      <c r="P2" s="359"/>
      <c r="Q2" s="359"/>
      <c r="R2" s="54">
        <v>930</v>
      </c>
    </row>
    <row r="3" spans="2:18" ht="24.65" customHeight="1">
      <c r="B3" s="364"/>
      <c r="C3" s="364"/>
      <c r="D3" s="360"/>
      <c r="E3" s="360"/>
      <c r="F3" s="360"/>
      <c r="G3" s="360"/>
      <c r="H3" s="360"/>
      <c r="I3" s="360"/>
      <c r="J3" s="360"/>
      <c r="K3" s="360"/>
      <c r="L3" s="360"/>
      <c r="M3" s="360"/>
      <c r="N3" s="360"/>
      <c r="O3" s="359" t="s">
        <v>127</v>
      </c>
      <c r="P3" s="359"/>
      <c r="Q3" s="359"/>
    </row>
    <row r="4" spans="2:18">
      <c r="B4" s="364"/>
      <c r="C4" s="364"/>
      <c r="D4" s="360"/>
      <c r="E4" s="360"/>
      <c r="F4" s="360"/>
      <c r="G4" s="360"/>
      <c r="H4" s="360"/>
      <c r="I4" s="360"/>
      <c r="J4" s="360"/>
      <c r="K4" s="360"/>
      <c r="L4" s="360"/>
      <c r="M4" s="360"/>
      <c r="N4" s="360"/>
      <c r="O4" s="350" t="str">
        <f>'1. rPET'!O4</f>
        <v>Ngày áp dụng: 01/04/2026</v>
      </c>
      <c r="P4" s="350"/>
      <c r="Q4" s="350"/>
    </row>
    <row r="6" spans="2:18" s="7" customFormat="1" ht="17.149999999999999" customHeight="1">
      <c r="B6" s="351" t="s">
        <v>2</v>
      </c>
      <c r="C6" s="352" t="s">
        <v>9</v>
      </c>
      <c r="D6" s="351" t="s">
        <v>0</v>
      </c>
      <c r="E6" s="361" t="s">
        <v>41</v>
      </c>
      <c r="F6" s="353" t="s">
        <v>27</v>
      </c>
      <c r="G6" s="354"/>
      <c r="H6" s="354"/>
      <c r="I6" s="354"/>
      <c r="J6" s="354"/>
      <c r="K6" s="354"/>
      <c r="L6" s="354"/>
      <c r="M6" s="354"/>
      <c r="N6" s="354"/>
      <c r="O6" s="355"/>
      <c r="P6" s="352" t="s">
        <v>195</v>
      </c>
      <c r="Q6" s="352"/>
      <c r="R6" s="62"/>
    </row>
    <row r="7" spans="2:18" s="7" customFormat="1" ht="35.5" customHeight="1">
      <c r="B7" s="351"/>
      <c r="C7" s="352"/>
      <c r="D7" s="351"/>
      <c r="E7" s="362"/>
      <c r="F7" s="353" t="str">
        <f>'1. rPET'!F7</f>
        <v>Tháng 03 (đã duyệt)</v>
      </c>
      <c r="G7" s="354"/>
      <c r="H7" s="354"/>
      <c r="I7" s="355"/>
      <c r="J7" s="353" t="str">
        <f>'1. rPET'!J7</f>
        <v>Tháng 04</v>
      </c>
      <c r="K7" s="354"/>
      <c r="L7" s="354"/>
      <c r="M7" s="355"/>
      <c r="N7" s="353" t="str">
        <f>'1. rPET'!N7</f>
        <v>Chênh lệch
 tháng 04 vs tháng 03</v>
      </c>
      <c r="O7" s="355"/>
      <c r="P7" s="352"/>
      <c r="Q7" s="352"/>
      <c r="R7" s="62"/>
    </row>
    <row r="8" spans="2:18" s="9" customFormat="1" ht="79.400000000000006" customHeight="1">
      <c r="B8" s="351"/>
      <c r="C8" s="352"/>
      <c r="D8" s="351"/>
      <c r="E8" s="363"/>
      <c r="F8" s="14" t="s">
        <v>31</v>
      </c>
      <c r="G8" s="14" t="s">
        <v>37</v>
      </c>
      <c r="H8" s="14" t="s">
        <v>35</v>
      </c>
      <c r="I8" s="15" t="s">
        <v>36</v>
      </c>
      <c r="J8" s="14" t="s">
        <v>31</v>
      </c>
      <c r="K8" s="14" t="s">
        <v>37</v>
      </c>
      <c r="L8" s="14" t="s">
        <v>35</v>
      </c>
      <c r="M8" s="15" t="s">
        <v>36</v>
      </c>
      <c r="N8" s="20" t="s">
        <v>32</v>
      </c>
      <c r="O8" s="20" t="s">
        <v>33</v>
      </c>
      <c r="P8" s="14" t="s">
        <v>32</v>
      </c>
      <c r="Q8" s="115" t="s">
        <v>33</v>
      </c>
      <c r="R8" s="63"/>
    </row>
    <row r="9" spans="2:18" s="90" customFormat="1">
      <c r="B9" s="94" t="s">
        <v>158</v>
      </c>
      <c r="C9" s="96"/>
      <c r="D9" s="97"/>
      <c r="E9" s="98"/>
      <c r="F9" s="96"/>
      <c r="G9" s="96"/>
      <c r="H9" s="96"/>
      <c r="I9" s="99"/>
      <c r="J9" s="96"/>
      <c r="K9" s="96"/>
      <c r="L9" s="96"/>
      <c r="M9" s="99"/>
      <c r="N9" s="100"/>
      <c r="O9" s="100"/>
      <c r="P9" s="96"/>
      <c r="Q9" s="96"/>
    </row>
    <row r="10" spans="2:18" s="2" customFormat="1" ht="22.5" customHeight="1">
      <c r="B10" s="10">
        <v>1</v>
      </c>
      <c r="C10" s="16" t="s">
        <v>51</v>
      </c>
      <c r="D10" s="17" t="s">
        <v>59</v>
      </c>
      <c r="E10" s="17" t="s">
        <v>58</v>
      </c>
      <c r="F10" s="11">
        <v>900</v>
      </c>
      <c r="G10" s="18">
        <v>0.05</v>
      </c>
      <c r="H10" s="11">
        <v>45</v>
      </c>
      <c r="I10" s="57">
        <v>765</v>
      </c>
      <c r="J10" s="11">
        <v>900</v>
      </c>
      <c r="K10" s="18">
        <f>L10/J10</f>
        <v>0.17222222222222222</v>
      </c>
      <c r="L10" s="11">
        <f>J10-M10</f>
        <v>155</v>
      </c>
      <c r="M10" s="57">
        <f>R2*80%+1</f>
        <v>745</v>
      </c>
      <c r="N10" s="11">
        <f>M10-I10</f>
        <v>-20</v>
      </c>
      <c r="O10" s="18">
        <f>1-(I10/M10)</f>
        <v>-2.6845637583892579E-2</v>
      </c>
      <c r="P10" s="71">
        <f>M10-$R$2</f>
        <v>-185</v>
      </c>
      <c r="Q10" s="18">
        <f>P10/$R$2</f>
        <v>-0.19892473118279569</v>
      </c>
      <c r="R10" s="64"/>
    </row>
    <row r="11" spans="2:18" s="2" customFormat="1" ht="22.5" hidden="1" customHeight="1">
      <c r="B11" s="10">
        <v>2</v>
      </c>
      <c r="C11" s="16" t="s">
        <v>52</v>
      </c>
      <c r="D11" s="17" t="s">
        <v>55</v>
      </c>
      <c r="E11" s="17"/>
      <c r="F11" s="11">
        <v>850</v>
      </c>
      <c r="G11" s="18">
        <f t="shared" ref="G11:G12" si="0">H11/F11</f>
        <v>4.7058823529411764E-2</v>
      </c>
      <c r="H11" s="11">
        <f t="shared" ref="H11:H12" si="1">F11-I11</f>
        <v>40</v>
      </c>
      <c r="I11" s="57">
        <v>810</v>
      </c>
      <c r="J11" s="11">
        <v>850</v>
      </c>
      <c r="K11" s="18">
        <f t="shared" ref="K11:K12" si="2">L11/J11</f>
        <v>4.7058823529411764E-2</v>
      </c>
      <c r="L11" s="11">
        <f t="shared" ref="L11:L12" si="3">J11-M11</f>
        <v>40</v>
      </c>
      <c r="M11" s="57">
        <v>810</v>
      </c>
      <c r="N11" s="11">
        <f t="shared" ref="N11:N13" si="4">M11-I11</f>
        <v>0</v>
      </c>
      <c r="O11" s="18">
        <f t="shared" ref="O11:O13" si="5">1-(I11/M11)</f>
        <v>0</v>
      </c>
      <c r="P11" s="71">
        <f t="shared" ref="P11:P12" si="6">M11-$R$2</f>
        <v>-120</v>
      </c>
      <c r="Q11" s="18">
        <f t="shared" ref="Q11:Q12" si="7">P11/$R$2</f>
        <v>-0.12903225806451613</v>
      </c>
      <c r="R11" s="64"/>
    </row>
    <row r="12" spans="2:18" s="2" customFormat="1" ht="22.5" hidden="1" customHeight="1">
      <c r="B12" s="10">
        <v>3</v>
      </c>
      <c r="C12" s="16" t="s">
        <v>53</v>
      </c>
      <c r="D12" s="17" t="s">
        <v>56</v>
      </c>
      <c r="E12" s="17"/>
      <c r="F12" s="11">
        <v>850</v>
      </c>
      <c r="G12" s="18">
        <f t="shared" si="0"/>
        <v>4.7058823529411764E-2</v>
      </c>
      <c r="H12" s="11">
        <f t="shared" si="1"/>
        <v>40</v>
      </c>
      <c r="I12" s="57">
        <v>810</v>
      </c>
      <c r="J12" s="11">
        <v>850</v>
      </c>
      <c r="K12" s="18">
        <f t="shared" si="2"/>
        <v>4.7058823529411764E-2</v>
      </c>
      <c r="L12" s="11">
        <f t="shared" si="3"/>
        <v>40</v>
      </c>
      <c r="M12" s="57">
        <v>810</v>
      </c>
      <c r="N12" s="11">
        <f t="shared" si="4"/>
        <v>0</v>
      </c>
      <c r="O12" s="18">
        <f t="shared" si="5"/>
        <v>0</v>
      </c>
      <c r="P12" s="71">
        <f t="shared" si="6"/>
        <v>-120</v>
      </c>
      <c r="Q12" s="18">
        <f t="shared" si="7"/>
        <v>-0.12903225806451613</v>
      </c>
      <c r="R12" s="64"/>
    </row>
    <row r="13" spans="2:18" s="2" customFormat="1" ht="22.5" hidden="1" customHeight="1">
      <c r="B13" s="10">
        <v>4</v>
      </c>
      <c r="C13" s="16" t="s">
        <v>54</v>
      </c>
      <c r="D13" s="17" t="s">
        <v>57</v>
      </c>
      <c r="E13" s="17"/>
      <c r="F13" s="11">
        <v>850</v>
      </c>
      <c r="G13" s="18">
        <f>H13/F13</f>
        <v>4.7058823529411764E-2</v>
      </c>
      <c r="H13" s="11">
        <f>F13-I13</f>
        <v>40</v>
      </c>
      <c r="I13" s="57">
        <v>810</v>
      </c>
      <c r="J13" s="11">
        <v>850</v>
      </c>
      <c r="K13" s="18">
        <f>L13/J13</f>
        <v>4.7058823529411764E-2</v>
      </c>
      <c r="L13" s="11">
        <f>J13-M13</f>
        <v>40</v>
      </c>
      <c r="M13" s="57">
        <v>810</v>
      </c>
      <c r="N13" s="11">
        <f t="shared" si="4"/>
        <v>0</v>
      </c>
      <c r="O13" s="18">
        <f t="shared" si="5"/>
        <v>0</v>
      </c>
      <c r="P13" s="71">
        <f t="shared" ref="P13" si="8">M13-$R$2</f>
        <v>-120</v>
      </c>
      <c r="Q13" s="18">
        <f t="shared" ref="Q13" si="9">P13/$R$2</f>
        <v>-0.12903225806451613</v>
      </c>
      <c r="R13" s="64"/>
    </row>
    <row r="14" spans="2:18" s="37" customFormat="1" ht="15" customHeight="1">
      <c r="B14" s="23"/>
      <c r="C14" s="23"/>
      <c r="D14" s="23"/>
      <c r="E14" s="23"/>
      <c r="F14" s="45"/>
      <c r="G14" s="39"/>
      <c r="H14" s="39"/>
      <c r="I14" s="40"/>
      <c r="J14" s="25"/>
      <c r="K14" s="25"/>
      <c r="L14" s="25"/>
      <c r="M14" s="25"/>
      <c r="N14" s="25"/>
      <c r="O14" s="25"/>
      <c r="P14" s="25"/>
      <c r="Q14" s="52"/>
      <c r="R14" s="65"/>
    </row>
    <row r="15" spans="2:18" ht="12.65" customHeight="1">
      <c r="F15" s="27"/>
      <c r="G15" s="27"/>
      <c r="H15" s="27"/>
      <c r="I15" s="38"/>
      <c r="J15" s="38"/>
      <c r="K15" s="38"/>
      <c r="L15" s="38"/>
      <c r="M15" s="38"/>
      <c r="N15" s="38"/>
      <c r="O15" s="38"/>
      <c r="P15" s="38"/>
      <c r="Q15" s="38"/>
    </row>
    <row r="16" spans="2:18" ht="13.75" customHeight="1">
      <c r="B16" s="175" t="s">
        <v>7</v>
      </c>
      <c r="G16" s="30"/>
      <c r="H16" s="30"/>
      <c r="I16" s="30"/>
      <c r="K16" s="30"/>
      <c r="L16" s="30"/>
      <c r="M16" s="30"/>
      <c r="N16" s="30"/>
      <c r="O16" s="30"/>
      <c r="P16" s="30"/>
      <c r="Q16" s="38"/>
    </row>
    <row r="17" spans="2:21" ht="9" customHeight="1">
      <c r="G17" s="30"/>
      <c r="H17" s="30"/>
      <c r="I17" s="30"/>
      <c r="K17" s="30"/>
      <c r="L17" s="30"/>
      <c r="M17" s="30"/>
      <c r="N17" s="34"/>
      <c r="Q17" s="38"/>
    </row>
    <row r="18" spans="2:21">
      <c r="B18" s="54" t="s">
        <v>177</v>
      </c>
      <c r="G18" s="48"/>
      <c r="M18" s="35"/>
      <c r="N18" s="35"/>
      <c r="Q18" s="53"/>
    </row>
    <row r="19" spans="2:21">
      <c r="B19" s="33" t="s">
        <v>178</v>
      </c>
      <c r="Q19" s="36"/>
    </row>
    <row r="20" spans="2:21">
      <c r="B20" s="54"/>
      <c r="G20" s="48"/>
      <c r="M20" s="35"/>
      <c r="N20" s="35"/>
      <c r="Q20" s="53"/>
    </row>
    <row r="21" spans="2:21">
      <c r="Q21" s="55" t="str">
        <f>'rPET- nội bộ '!Q45</f>
        <v>Ngày 19 tháng 03 năm 2026</v>
      </c>
    </row>
    <row r="22" spans="2:21">
      <c r="Q22" s="33"/>
    </row>
    <row r="23" spans="2:21" s="28" customFormat="1">
      <c r="B23" s="349" t="s">
        <v>19</v>
      </c>
      <c r="C23" s="349"/>
      <c r="D23" s="341" t="s">
        <v>404</v>
      </c>
      <c r="E23" s="341"/>
      <c r="F23" s="29" t="s">
        <v>408</v>
      </c>
      <c r="G23" s="29"/>
      <c r="H23" s="29" t="s">
        <v>405</v>
      </c>
      <c r="I23" s="29"/>
      <c r="J23" s="29" t="s">
        <v>28</v>
      </c>
      <c r="L23" s="29"/>
      <c r="M23" s="29" t="s">
        <v>20</v>
      </c>
      <c r="N23" s="29"/>
      <c r="O23" s="27"/>
      <c r="P23" s="27" t="s">
        <v>21</v>
      </c>
      <c r="R23" s="56"/>
    </row>
    <row r="24" spans="2:21" s="28" customFormat="1">
      <c r="B24" s="26"/>
      <c r="C24" s="26"/>
      <c r="D24" s="29"/>
      <c r="F24" s="29"/>
      <c r="G24" s="29"/>
      <c r="H24" s="29"/>
      <c r="I24" s="29"/>
      <c r="J24" s="29"/>
      <c r="O24" s="27"/>
      <c r="P24" s="29"/>
      <c r="R24" s="56"/>
    </row>
    <row r="25" spans="2:21" s="28" customFormat="1">
      <c r="B25" s="26"/>
      <c r="C25" s="26"/>
      <c r="D25" s="29"/>
      <c r="F25" s="29"/>
      <c r="G25" s="29"/>
      <c r="H25" s="29"/>
      <c r="I25" s="29"/>
      <c r="J25" s="29"/>
      <c r="O25" s="27"/>
      <c r="P25" s="29"/>
      <c r="R25" s="56"/>
    </row>
    <row r="26" spans="2:21" s="28" customFormat="1">
      <c r="B26" s="26"/>
      <c r="C26" s="26"/>
      <c r="D26" s="29"/>
      <c r="F26" s="29"/>
      <c r="G26" s="29"/>
      <c r="H26" s="29"/>
      <c r="I26" s="29"/>
      <c r="J26" s="29"/>
      <c r="O26" s="27"/>
      <c r="P26" s="29"/>
      <c r="R26" s="56"/>
    </row>
    <row r="27" spans="2:21" s="28" customFormat="1">
      <c r="B27" s="31"/>
      <c r="C27" s="31"/>
      <c r="D27" s="32"/>
      <c r="F27" s="32"/>
      <c r="G27" s="32"/>
      <c r="H27" s="32"/>
      <c r="I27" s="32"/>
      <c r="J27" s="32"/>
      <c r="O27" s="27"/>
      <c r="P27" s="29"/>
      <c r="R27" s="56"/>
      <c r="U27"/>
    </row>
    <row r="28" spans="2:21" s="28" customFormat="1">
      <c r="B28" s="31"/>
      <c r="C28" s="31"/>
      <c r="D28" s="32"/>
      <c r="F28" s="32"/>
      <c r="G28" s="32"/>
      <c r="H28" s="32"/>
      <c r="I28" s="32"/>
      <c r="J28" s="32"/>
      <c r="O28" s="27"/>
      <c r="P28" s="29"/>
      <c r="Q28" s="28" t="s">
        <v>8</v>
      </c>
      <c r="R28" s="56"/>
    </row>
    <row r="29" spans="2:21" s="28" customFormat="1">
      <c r="B29" s="26"/>
      <c r="C29" s="26"/>
      <c r="D29" s="29"/>
      <c r="F29" s="29"/>
      <c r="G29" s="29"/>
      <c r="H29" s="29"/>
      <c r="I29" s="29"/>
      <c r="J29" s="29"/>
      <c r="O29" s="27"/>
      <c r="P29" s="29"/>
      <c r="R29" s="56"/>
    </row>
    <row r="30" spans="2:21" s="28" customFormat="1">
      <c r="B30" s="349" t="s">
        <v>1</v>
      </c>
      <c r="C30" s="349"/>
      <c r="D30" s="341" t="s">
        <v>403</v>
      </c>
      <c r="E30" s="341"/>
      <c r="F30" s="29" t="s">
        <v>29</v>
      </c>
      <c r="G30" s="29"/>
      <c r="H30" s="29" t="s">
        <v>406</v>
      </c>
      <c r="I30" s="29"/>
      <c r="J30" s="29" t="s">
        <v>30</v>
      </c>
      <c r="L30" s="29"/>
      <c r="M30" s="29" t="s">
        <v>198</v>
      </c>
      <c r="N30" s="29"/>
      <c r="O30" s="27"/>
      <c r="P30" s="27" t="s">
        <v>80</v>
      </c>
      <c r="R30" s="56"/>
    </row>
  </sheetData>
  <mergeCells count="18">
    <mergeCell ref="D2:N4"/>
    <mergeCell ref="B2:C4"/>
    <mergeCell ref="O2:Q2"/>
    <mergeCell ref="O3:Q3"/>
    <mergeCell ref="O4:Q4"/>
    <mergeCell ref="B23:C23"/>
    <mergeCell ref="B30:C30"/>
    <mergeCell ref="F6:O6"/>
    <mergeCell ref="D23:E23"/>
    <mergeCell ref="D30:E30"/>
    <mergeCell ref="P6:Q7"/>
    <mergeCell ref="N7:O7"/>
    <mergeCell ref="F7:I7"/>
    <mergeCell ref="J7:M7"/>
    <mergeCell ref="B6:B8"/>
    <mergeCell ref="C6:C8"/>
    <mergeCell ref="D6:D8"/>
    <mergeCell ref="E6:E8"/>
  </mergeCells>
  <conditionalFormatting sqref="O10:O13">
    <cfRule type="iconSet" priority="1">
      <iconSet iconSet="3Arrows">
        <cfvo type="percent" val="0"/>
        <cfvo type="num" val="0"/>
        <cfvo type="num" val="0" gte="0"/>
      </iconSet>
    </cfRule>
  </conditionalFormatting>
  <conditionalFormatting sqref="Q10:Q13">
    <cfRule type="iconSet" priority="21">
      <iconSet iconSet="3Arrows">
        <cfvo type="percent" val="0"/>
        <cfvo type="num" val="0"/>
        <cfvo type="num" val="0" gte="0"/>
      </iconSet>
    </cfRule>
  </conditionalFormatting>
  <printOptions horizontalCentered="1"/>
  <pageMargins left="0" right="0" top="0.31496062992125984" bottom="0.23622047244094491" header="0.11811023622047245" footer="0.31496062992125984"/>
  <pageSetup paperSize="9" scale="82"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E203-2378-4FEC-96AD-A749C132D5F5}">
  <sheetPr>
    <tabColor rgb="FFC00000"/>
    <pageSetUpPr fitToPage="1"/>
  </sheetPr>
  <dimension ref="B2:W42"/>
  <sheetViews>
    <sheetView showGridLines="0" topLeftCell="A2" zoomScale="70" zoomScaleNormal="70" zoomScaleSheetLayoutView="70" workbookViewId="0">
      <selection activeCell="N10" sqref="N10"/>
    </sheetView>
  </sheetViews>
  <sheetFormatPr defaultColWidth="8.54296875" defaultRowHeight="16.5"/>
  <cols>
    <col min="1" max="1" width="1.1796875" style="33" customWidth="1"/>
    <col min="2" max="2" width="5.1796875" style="33" customWidth="1"/>
    <col min="3" max="3" width="15.1796875" style="33" customWidth="1"/>
    <col min="4" max="4" width="34" style="33" customWidth="1"/>
    <col min="5" max="5" width="6.81640625" style="33" bestFit="1" customWidth="1"/>
    <col min="6" max="6" width="14.81640625" style="33" bestFit="1" customWidth="1"/>
    <col min="7" max="9" width="9.54296875" style="33" customWidth="1"/>
    <col min="10" max="10" width="11.54296875" style="33" customWidth="1"/>
    <col min="11" max="13" width="9.54296875" style="33" customWidth="1"/>
    <col min="14" max="14" width="11.54296875" style="33" customWidth="1"/>
    <col min="15" max="15" width="11" style="33" customWidth="1"/>
    <col min="16" max="16" width="13.1796875" style="33" customWidth="1"/>
    <col min="17" max="17" width="10.1796875" style="33" customWidth="1"/>
    <col min="18" max="18" width="9.81640625" style="54" customWidth="1"/>
    <col min="19" max="19" width="8.54296875" style="54" customWidth="1"/>
    <col min="20" max="20" width="16.54296875" style="33" hidden="1" customWidth="1"/>
    <col min="21" max="21" width="25.54296875" style="33" hidden="1" customWidth="1"/>
    <col min="22" max="22" width="45.54296875" style="33" hidden="1" customWidth="1"/>
    <col min="23" max="23" width="9.54296875" style="33" hidden="1" customWidth="1"/>
    <col min="24" max="32" width="8.54296875" style="33" customWidth="1"/>
    <col min="33" max="16384" width="8.54296875" style="33"/>
  </cols>
  <sheetData>
    <row r="2" spans="2:23" ht="24.65" customHeight="1">
      <c r="B2" s="364"/>
      <c r="C2" s="364"/>
      <c r="D2" s="360" t="s">
        <v>197</v>
      </c>
      <c r="E2" s="360"/>
      <c r="F2" s="360"/>
      <c r="G2" s="360"/>
      <c r="H2" s="360"/>
      <c r="I2" s="360"/>
      <c r="J2" s="360"/>
      <c r="K2" s="360"/>
      <c r="L2" s="360"/>
      <c r="M2" s="360"/>
      <c r="N2" s="360"/>
      <c r="O2" s="360"/>
      <c r="P2" s="359" t="s">
        <v>126</v>
      </c>
      <c r="Q2" s="359"/>
      <c r="R2" s="359"/>
    </row>
    <row r="3" spans="2:23" ht="24.65" customHeight="1">
      <c r="B3" s="364"/>
      <c r="C3" s="364"/>
      <c r="D3" s="360"/>
      <c r="E3" s="360"/>
      <c r="F3" s="360"/>
      <c r="G3" s="360"/>
      <c r="H3" s="360"/>
      <c r="I3" s="360"/>
      <c r="J3" s="360"/>
      <c r="K3" s="360"/>
      <c r="L3" s="360"/>
      <c r="M3" s="360"/>
      <c r="N3" s="360"/>
      <c r="O3" s="360"/>
      <c r="P3" s="359" t="s">
        <v>127</v>
      </c>
      <c r="Q3" s="359"/>
      <c r="R3" s="359"/>
    </row>
    <row r="4" spans="2:23">
      <c r="B4" s="364"/>
      <c r="C4" s="364"/>
      <c r="D4" s="360"/>
      <c r="E4" s="360"/>
      <c r="F4" s="360"/>
      <c r="G4" s="360"/>
      <c r="H4" s="360"/>
      <c r="I4" s="360"/>
      <c r="J4" s="360"/>
      <c r="K4" s="360"/>
      <c r="L4" s="360"/>
      <c r="M4" s="360"/>
      <c r="N4" s="360"/>
      <c r="O4" s="360"/>
      <c r="P4" s="350" t="str">
        <f>'1. rPET'!O4</f>
        <v>Ngày áp dụng: 01/04/2026</v>
      </c>
      <c r="Q4" s="350"/>
      <c r="R4" s="350"/>
    </row>
    <row r="6" spans="2:23" s="7" customFormat="1" ht="17.149999999999999" customHeight="1">
      <c r="B6" s="351" t="s">
        <v>2</v>
      </c>
      <c r="C6" s="352" t="s">
        <v>9</v>
      </c>
      <c r="D6" s="351" t="s">
        <v>0</v>
      </c>
      <c r="E6" s="361" t="s">
        <v>41</v>
      </c>
      <c r="F6" s="365" t="s">
        <v>77</v>
      </c>
      <c r="G6" s="353" t="s">
        <v>27</v>
      </c>
      <c r="H6" s="354"/>
      <c r="I6" s="354"/>
      <c r="J6" s="354"/>
      <c r="K6" s="354"/>
      <c r="L6" s="354"/>
      <c r="M6" s="354"/>
      <c r="N6" s="354"/>
      <c r="O6" s="354"/>
      <c r="P6" s="355"/>
      <c r="Q6" s="352" t="s">
        <v>203</v>
      </c>
      <c r="R6" s="352"/>
      <c r="S6" s="62"/>
    </row>
    <row r="7" spans="2:23" s="7" customFormat="1" ht="35.5" customHeight="1">
      <c r="B7" s="351"/>
      <c r="C7" s="352"/>
      <c r="D7" s="351"/>
      <c r="E7" s="362"/>
      <c r="F7" s="366"/>
      <c r="G7" s="353" t="str">
        <f>'1. rPET'!F7</f>
        <v>Tháng 03 (đã duyệt)</v>
      </c>
      <c r="H7" s="354"/>
      <c r="I7" s="354"/>
      <c r="J7" s="355"/>
      <c r="K7" s="353" t="str">
        <f>'1. rPET'!J7</f>
        <v>Tháng 04</v>
      </c>
      <c r="L7" s="354"/>
      <c r="M7" s="354"/>
      <c r="N7" s="355"/>
      <c r="O7" s="353" t="str">
        <f>'1. rPET'!N7</f>
        <v>Chênh lệch
 tháng 04 vs tháng 03</v>
      </c>
      <c r="P7" s="355"/>
      <c r="Q7" s="352"/>
      <c r="R7" s="352"/>
      <c r="S7" s="62"/>
    </row>
    <row r="8" spans="2:23" s="9" customFormat="1" ht="79.400000000000006" customHeight="1">
      <c r="B8" s="351"/>
      <c r="C8" s="352"/>
      <c r="D8" s="351"/>
      <c r="E8" s="363"/>
      <c r="F8" s="367"/>
      <c r="G8" s="14" t="s">
        <v>31</v>
      </c>
      <c r="H8" s="14" t="s">
        <v>37</v>
      </c>
      <c r="I8" s="14" t="s">
        <v>35</v>
      </c>
      <c r="J8" s="15" t="s">
        <v>36</v>
      </c>
      <c r="K8" s="14" t="s">
        <v>31</v>
      </c>
      <c r="L8" s="14" t="s">
        <v>37</v>
      </c>
      <c r="M8" s="14" t="s">
        <v>35</v>
      </c>
      <c r="N8" s="15" t="s">
        <v>36</v>
      </c>
      <c r="O8" s="20" t="s">
        <v>174</v>
      </c>
      <c r="P8" s="20" t="s">
        <v>33</v>
      </c>
      <c r="Q8" s="20" t="s">
        <v>174</v>
      </c>
      <c r="R8" s="50" t="s">
        <v>33</v>
      </c>
      <c r="S8" s="63"/>
      <c r="T8" s="108" t="s">
        <v>98</v>
      </c>
      <c r="U8" s="110" t="s">
        <v>110</v>
      </c>
    </row>
    <row r="9" spans="2:23" s="90" customFormat="1">
      <c r="B9" s="97" t="s">
        <v>43</v>
      </c>
      <c r="C9" s="176" t="s">
        <v>180</v>
      </c>
      <c r="D9" s="97"/>
      <c r="E9" s="98"/>
      <c r="F9" s="98"/>
      <c r="G9" s="96"/>
      <c r="H9" s="96"/>
      <c r="I9" s="96"/>
      <c r="J9" s="99"/>
      <c r="K9" s="96"/>
      <c r="L9" s="96"/>
      <c r="M9" s="96"/>
      <c r="N9" s="99"/>
      <c r="O9" s="100"/>
      <c r="P9" s="100"/>
      <c r="Q9" s="101"/>
      <c r="R9" s="100"/>
    </row>
    <row r="10" spans="2:23" s="2" customFormat="1" ht="22.5" customHeight="1">
      <c r="B10" s="126">
        <v>1</v>
      </c>
      <c r="C10" s="124">
        <v>110000464</v>
      </c>
      <c r="D10" s="135" t="s">
        <v>81</v>
      </c>
      <c r="E10" s="135" t="s">
        <v>74</v>
      </c>
      <c r="F10" s="135" t="s">
        <v>75</v>
      </c>
      <c r="G10" s="166">
        <f>J10*1.05</f>
        <v>682.5</v>
      </c>
      <c r="H10" s="127">
        <f>I10/G10</f>
        <v>4.7619047619047616E-2</v>
      </c>
      <c r="I10" s="166">
        <f>G10-J10</f>
        <v>32.5</v>
      </c>
      <c r="J10" s="167">
        <v>650</v>
      </c>
      <c r="K10" s="166">
        <f>N10*1.05</f>
        <v>682.5</v>
      </c>
      <c r="L10" s="127">
        <f>M10/K10</f>
        <v>4.7619047619047616E-2</v>
      </c>
      <c r="M10" s="166">
        <f>K10-N10</f>
        <v>32.5</v>
      </c>
      <c r="N10" s="167">
        <v>650</v>
      </c>
      <c r="O10" s="166">
        <f>N10-J10</f>
        <v>0</v>
      </c>
      <c r="P10" s="127">
        <f>1-(J10/N10)</f>
        <v>0</v>
      </c>
      <c r="Q10" s="173">
        <f>N10-S10</f>
        <v>-150</v>
      </c>
      <c r="R10" s="127">
        <f>Q10/S10</f>
        <v>-0.1875</v>
      </c>
      <c r="S10" s="70">
        <v>800</v>
      </c>
      <c r="T10" s="109" t="e">
        <f>#REF!</f>
        <v>#REF!</v>
      </c>
      <c r="U10" s="107" t="s">
        <v>113</v>
      </c>
      <c r="W10" s="81" t="e">
        <f>T10*25</f>
        <v>#REF!</v>
      </c>
    </row>
    <row r="11" spans="2:23" s="2" customFormat="1" ht="18">
      <c r="B11" s="129">
        <v>2</v>
      </c>
      <c r="C11" s="131">
        <v>110000465</v>
      </c>
      <c r="D11" s="128" t="s">
        <v>82</v>
      </c>
      <c r="E11" s="128" t="s">
        <v>73</v>
      </c>
      <c r="F11" s="128" t="s">
        <v>75</v>
      </c>
      <c r="G11" s="185">
        <f t="shared" ref="G11:G21" si="0">J11*1.05</f>
        <v>787.5</v>
      </c>
      <c r="H11" s="130">
        <f t="shared" ref="H11:H12" si="1">I11/G11</f>
        <v>4.7619047619047616E-2</v>
      </c>
      <c r="I11" s="185">
        <f t="shared" ref="I11:I12" si="2">G11-J11</f>
        <v>37.5</v>
      </c>
      <c r="J11" s="186">
        <v>750</v>
      </c>
      <c r="K11" s="185">
        <f t="shared" ref="K11:K21" si="3">N11*1.05</f>
        <v>787.5</v>
      </c>
      <c r="L11" s="130">
        <f t="shared" ref="L11:L12" si="4">M11/K11</f>
        <v>4.7619047619047616E-2</v>
      </c>
      <c r="M11" s="185">
        <f t="shared" ref="M11" si="5">K11-N11</f>
        <v>37.5</v>
      </c>
      <c r="N11" s="186">
        <v>750</v>
      </c>
      <c r="O11" s="185">
        <f t="shared" ref="O11:O21" si="6">N11-J11</f>
        <v>0</v>
      </c>
      <c r="P11" s="130">
        <f t="shared" ref="P11:P21" si="7">1-(J11/N11)</f>
        <v>0</v>
      </c>
      <c r="Q11" s="187">
        <f t="shared" ref="Q11:Q21" si="8">N11-S11</f>
        <v>-50</v>
      </c>
      <c r="R11" s="130">
        <f t="shared" ref="R11:R21" si="9">Q11/S11</f>
        <v>-6.25E-2</v>
      </c>
      <c r="S11" s="70">
        <v>800</v>
      </c>
      <c r="T11" s="109" t="e">
        <f>#REF!</f>
        <v>#REF!</v>
      </c>
      <c r="U11" s="107" t="s">
        <v>112</v>
      </c>
      <c r="W11" s="81" t="e">
        <f>T11*25</f>
        <v>#REF!</v>
      </c>
    </row>
    <row r="12" spans="2:23" s="2" customFormat="1" ht="22.5" customHeight="1">
      <c r="B12" s="129">
        <v>3</v>
      </c>
      <c r="C12" s="131">
        <v>110000436</v>
      </c>
      <c r="D12" s="128" t="s">
        <v>97</v>
      </c>
      <c r="E12" s="128" t="s">
        <v>73</v>
      </c>
      <c r="F12" s="128" t="s">
        <v>101</v>
      </c>
      <c r="G12" s="185">
        <v>1000</v>
      </c>
      <c r="H12" s="130">
        <f t="shared" si="1"/>
        <v>0.2</v>
      </c>
      <c r="I12" s="185">
        <f t="shared" si="2"/>
        <v>200</v>
      </c>
      <c r="J12" s="186">
        <v>800</v>
      </c>
      <c r="K12" s="185">
        <v>1000</v>
      </c>
      <c r="L12" s="130">
        <f t="shared" si="4"/>
        <v>0.2</v>
      </c>
      <c r="M12" s="185">
        <f>K12-N12</f>
        <v>200</v>
      </c>
      <c r="N12" s="186">
        <v>800</v>
      </c>
      <c r="O12" s="185">
        <f t="shared" si="6"/>
        <v>0</v>
      </c>
      <c r="P12" s="130">
        <f t="shared" si="7"/>
        <v>0</v>
      </c>
      <c r="Q12" s="187">
        <f t="shared" si="8"/>
        <v>0</v>
      </c>
      <c r="R12" s="130">
        <f t="shared" si="9"/>
        <v>0</v>
      </c>
      <c r="S12" s="70">
        <v>800</v>
      </c>
      <c r="T12" s="109">
        <v>954</v>
      </c>
      <c r="U12" s="111" t="s">
        <v>109</v>
      </c>
      <c r="V12" s="104"/>
    </row>
    <row r="13" spans="2:23" s="2" customFormat="1" ht="22.5" customHeight="1">
      <c r="B13" s="129">
        <v>4</v>
      </c>
      <c r="C13" s="131">
        <v>110000466</v>
      </c>
      <c r="D13" s="128" t="s">
        <v>99</v>
      </c>
      <c r="E13" s="128" t="s">
        <v>73</v>
      </c>
      <c r="F13" s="128" t="s">
        <v>101</v>
      </c>
      <c r="G13" s="185">
        <f>J13*1.05</f>
        <v>892.5</v>
      </c>
      <c r="H13" s="130">
        <v>0.05</v>
      </c>
      <c r="I13" s="185">
        <f>G13-J13</f>
        <v>42.5</v>
      </c>
      <c r="J13" s="186">
        <v>850</v>
      </c>
      <c r="K13" s="185">
        <f>N13*1.05</f>
        <v>892.5</v>
      </c>
      <c r="L13" s="130">
        <v>0.05</v>
      </c>
      <c r="M13" s="185">
        <f>K13-N13</f>
        <v>42.5</v>
      </c>
      <c r="N13" s="186">
        <v>850</v>
      </c>
      <c r="O13" s="185">
        <f t="shared" ref="O13:O17" si="10">N13-J13</f>
        <v>0</v>
      </c>
      <c r="P13" s="130">
        <f t="shared" ref="P13:P17" si="11">1-(J13/N13)</f>
        <v>0</v>
      </c>
      <c r="Q13" s="187">
        <f t="shared" ref="Q13:Q17" si="12">N13-S13</f>
        <v>50</v>
      </c>
      <c r="R13" s="130">
        <f t="shared" ref="R13:R17" si="13">Q13/S13</f>
        <v>6.25E-2</v>
      </c>
      <c r="S13" s="70">
        <v>800</v>
      </c>
      <c r="T13" s="109" t="e">
        <f>#REF!</f>
        <v>#REF!</v>
      </c>
      <c r="U13" s="113" t="s">
        <v>114</v>
      </c>
      <c r="V13" s="106" t="s">
        <v>116</v>
      </c>
    </row>
    <row r="14" spans="2:23" s="2" customFormat="1" ht="22.5" customHeight="1">
      <c r="B14" s="133">
        <v>5</v>
      </c>
      <c r="C14" s="132">
        <v>110000467</v>
      </c>
      <c r="D14" s="136" t="s">
        <v>100</v>
      </c>
      <c r="E14" s="136" t="s">
        <v>73</v>
      </c>
      <c r="F14" s="136" t="s">
        <v>101</v>
      </c>
      <c r="G14" s="169">
        <v>1050</v>
      </c>
      <c r="H14" s="134">
        <v>0.05</v>
      </c>
      <c r="I14" s="169">
        <v>50</v>
      </c>
      <c r="J14" s="170">
        <v>900</v>
      </c>
      <c r="K14" s="169">
        <v>1102.5</v>
      </c>
      <c r="L14" s="134">
        <v>0.05</v>
      </c>
      <c r="M14" s="169">
        <v>52.5</v>
      </c>
      <c r="N14" s="170">
        <v>900</v>
      </c>
      <c r="O14" s="185">
        <f t="shared" si="10"/>
        <v>0</v>
      </c>
      <c r="P14" s="134">
        <f t="shared" si="11"/>
        <v>0</v>
      </c>
      <c r="Q14" s="174">
        <f t="shared" si="12"/>
        <v>100</v>
      </c>
      <c r="R14" s="134">
        <f t="shared" si="13"/>
        <v>0.125</v>
      </c>
      <c r="S14" s="70">
        <v>800</v>
      </c>
      <c r="T14" s="109" t="e">
        <f>#REF!</f>
        <v>#REF!</v>
      </c>
      <c r="U14" s="114" t="s">
        <v>115</v>
      </c>
    </row>
    <row r="15" spans="2:23" s="182" customFormat="1" ht="22.5" customHeight="1">
      <c r="B15" s="97" t="s">
        <v>44</v>
      </c>
      <c r="C15" s="176" t="s">
        <v>183</v>
      </c>
      <c r="D15" s="94"/>
      <c r="E15" s="94"/>
      <c r="F15" s="94"/>
      <c r="G15" s="177"/>
      <c r="H15" s="179"/>
      <c r="I15" s="177"/>
      <c r="J15" s="177"/>
      <c r="K15" s="177"/>
      <c r="L15" s="179"/>
      <c r="M15" s="177"/>
      <c r="N15" s="177"/>
      <c r="O15" s="177"/>
      <c r="P15" s="179"/>
      <c r="Q15" s="180"/>
      <c r="R15" s="179"/>
      <c r="S15" s="181"/>
      <c r="T15" s="181"/>
      <c r="U15" s="184"/>
    </row>
    <row r="16" spans="2:23" s="2" customFormat="1" ht="22.5" customHeight="1">
      <c r="B16" s="126">
        <v>6</v>
      </c>
      <c r="C16" s="124">
        <v>110000341</v>
      </c>
      <c r="D16" s="135" t="s">
        <v>105</v>
      </c>
      <c r="E16" s="135" t="s">
        <v>45</v>
      </c>
      <c r="F16" s="135" t="s">
        <v>107</v>
      </c>
      <c r="G16" s="166">
        <v>1102.5</v>
      </c>
      <c r="H16" s="127">
        <v>0.05</v>
      </c>
      <c r="I16" s="166">
        <v>52.5</v>
      </c>
      <c r="J16" s="167">
        <v>950</v>
      </c>
      <c r="K16" s="166">
        <f>N16*1.05</f>
        <v>997.5</v>
      </c>
      <c r="L16" s="127">
        <v>0.05</v>
      </c>
      <c r="M16" s="166">
        <f>K16-N16</f>
        <v>47.5</v>
      </c>
      <c r="N16" s="167">
        <v>950</v>
      </c>
      <c r="O16" s="166">
        <f t="shared" si="10"/>
        <v>0</v>
      </c>
      <c r="P16" s="127">
        <f t="shared" si="11"/>
        <v>0</v>
      </c>
      <c r="Q16" s="173">
        <f t="shared" si="12"/>
        <v>90</v>
      </c>
      <c r="R16" s="127">
        <f t="shared" si="13"/>
        <v>0.10465116279069768</v>
      </c>
      <c r="S16" s="105">
        <v>860</v>
      </c>
      <c r="T16" s="109" t="e">
        <f>#REF!</f>
        <v>#REF!</v>
      </c>
      <c r="U16" s="112" t="s">
        <v>111</v>
      </c>
    </row>
    <row r="17" spans="2:21" s="2" customFormat="1" ht="22.5" hidden="1" customHeight="1">
      <c r="B17" s="133">
        <v>7</v>
      </c>
      <c r="C17" s="132">
        <v>110000433</v>
      </c>
      <c r="D17" s="136" t="s">
        <v>106</v>
      </c>
      <c r="E17" s="136" t="s">
        <v>73</v>
      </c>
      <c r="F17" s="136" t="s">
        <v>108</v>
      </c>
      <c r="G17" s="169">
        <v>997.5</v>
      </c>
      <c r="H17" s="134">
        <v>0.05</v>
      </c>
      <c r="I17" s="169">
        <v>47.5</v>
      </c>
      <c r="J17" s="170">
        <v>1100</v>
      </c>
      <c r="K17" s="169">
        <f>N17*1.05</f>
        <v>1155</v>
      </c>
      <c r="L17" s="134">
        <v>0.05</v>
      </c>
      <c r="M17" s="169">
        <f>K17-N17</f>
        <v>55</v>
      </c>
      <c r="N17" s="170">
        <v>1100</v>
      </c>
      <c r="O17" s="169">
        <f t="shared" si="10"/>
        <v>0</v>
      </c>
      <c r="P17" s="134">
        <f t="shared" si="11"/>
        <v>0</v>
      </c>
      <c r="Q17" s="174">
        <f t="shared" si="12"/>
        <v>210</v>
      </c>
      <c r="R17" s="134">
        <f t="shared" si="13"/>
        <v>0.23595505617977527</v>
      </c>
      <c r="S17" s="105">
        <v>890</v>
      </c>
      <c r="T17" s="109" t="e">
        <f>#REF!</f>
        <v>#REF!</v>
      </c>
      <c r="U17" s="111"/>
    </row>
    <row r="18" spans="2:21" s="182" customFormat="1" ht="22.5" customHeight="1">
      <c r="B18" s="97" t="s">
        <v>181</v>
      </c>
      <c r="C18" s="176" t="s">
        <v>184</v>
      </c>
      <c r="D18" s="94"/>
      <c r="E18" s="94"/>
      <c r="F18" s="94"/>
      <c r="G18" s="177"/>
      <c r="H18" s="179"/>
      <c r="I18" s="177"/>
      <c r="J18" s="177"/>
      <c r="K18" s="177"/>
      <c r="L18" s="179"/>
      <c r="M18" s="177"/>
      <c r="N18" s="177"/>
      <c r="O18" s="177"/>
      <c r="P18" s="179"/>
      <c r="Q18" s="180"/>
      <c r="R18" s="179"/>
      <c r="S18" s="183"/>
      <c r="T18" s="181"/>
    </row>
    <row r="19" spans="2:21" s="2" customFormat="1" ht="18">
      <c r="B19" s="10">
        <v>7</v>
      </c>
      <c r="C19" s="16">
        <v>110000431</v>
      </c>
      <c r="D19" s="79" t="s">
        <v>104</v>
      </c>
      <c r="E19" s="79" t="s">
        <v>76</v>
      </c>
      <c r="F19" s="17" t="s">
        <v>78</v>
      </c>
      <c r="G19" s="11">
        <v>840</v>
      </c>
      <c r="H19" s="18">
        <v>0.05</v>
      </c>
      <c r="I19" s="11">
        <v>55</v>
      </c>
      <c r="J19" s="57">
        <v>700</v>
      </c>
      <c r="K19" s="11">
        <f t="shared" si="3"/>
        <v>735</v>
      </c>
      <c r="L19" s="18">
        <f t="shared" ref="L19" si="14">M19/K19</f>
        <v>4.7619047619047616E-2</v>
      </c>
      <c r="M19" s="11">
        <f t="shared" ref="M19" si="15">K19-N19</f>
        <v>35</v>
      </c>
      <c r="N19" s="57">
        <v>700</v>
      </c>
      <c r="O19" s="11">
        <f t="shared" si="6"/>
        <v>0</v>
      </c>
      <c r="P19" s="18">
        <f t="shared" si="7"/>
        <v>0</v>
      </c>
      <c r="Q19" s="59">
        <f t="shared" si="8"/>
        <v>-210</v>
      </c>
      <c r="R19" s="18">
        <f t="shared" si="9"/>
        <v>-0.23076923076923078</v>
      </c>
      <c r="S19" s="70">
        <v>910</v>
      </c>
      <c r="T19" s="109" t="e">
        <f>#REF!</f>
        <v>#REF!</v>
      </c>
    </row>
    <row r="20" spans="2:21" s="182" customFormat="1" ht="17.5">
      <c r="B20" s="97" t="s">
        <v>182</v>
      </c>
      <c r="C20" s="176" t="s">
        <v>185</v>
      </c>
      <c r="D20" s="178"/>
      <c r="E20" s="178"/>
      <c r="F20" s="94"/>
      <c r="G20" s="177"/>
      <c r="H20" s="179"/>
      <c r="I20" s="177"/>
      <c r="J20" s="177"/>
      <c r="K20" s="177"/>
      <c r="L20" s="179"/>
      <c r="M20" s="177"/>
      <c r="N20" s="177"/>
      <c r="O20" s="177"/>
      <c r="P20" s="179"/>
      <c r="Q20" s="180"/>
      <c r="R20" s="179"/>
      <c r="S20" s="181"/>
      <c r="T20" s="181"/>
    </row>
    <row r="21" spans="2:21" s="2" customFormat="1" ht="22.5" customHeight="1">
      <c r="B21" s="10">
        <v>8</v>
      </c>
      <c r="C21" s="16">
        <v>110000392</v>
      </c>
      <c r="D21" s="17" t="s">
        <v>72</v>
      </c>
      <c r="E21" s="17" t="s">
        <v>45</v>
      </c>
      <c r="F21" s="17" t="s">
        <v>79</v>
      </c>
      <c r="G21" s="11">
        <f t="shared" si="0"/>
        <v>735</v>
      </c>
      <c r="H21" s="18">
        <f>I21/G21</f>
        <v>4.7619047619047616E-2</v>
      </c>
      <c r="I21" s="11">
        <f>G21-J21</f>
        <v>35</v>
      </c>
      <c r="J21" s="57">
        <v>700</v>
      </c>
      <c r="K21" s="11">
        <f t="shared" si="3"/>
        <v>735</v>
      </c>
      <c r="L21" s="18">
        <f>M21/K21</f>
        <v>4.7619047619047616E-2</v>
      </c>
      <c r="M21" s="11">
        <f>K21-N21</f>
        <v>35</v>
      </c>
      <c r="N21" s="57">
        <v>700</v>
      </c>
      <c r="O21" s="11">
        <f t="shared" si="6"/>
        <v>0</v>
      </c>
      <c r="P21" s="18">
        <f t="shared" si="7"/>
        <v>0</v>
      </c>
      <c r="Q21" s="59">
        <f t="shared" si="8"/>
        <v>-230</v>
      </c>
      <c r="R21" s="18">
        <f t="shared" si="9"/>
        <v>-0.24731182795698925</v>
      </c>
      <c r="S21" s="70">
        <v>930</v>
      </c>
      <c r="T21" s="109"/>
    </row>
    <row r="22" spans="2:21" s="37" customFormat="1" ht="15" customHeight="1">
      <c r="B22" s="23"/>
      <c r="C22" s="23"/>
      <c r="D22" s="23"/>
      <c r="E22" s="23"/>
      <c r="F22" s="23"/>
      <c r="G22" s="45"/>
      <c r="H22" s="39"/>
      <c r="I22" s="39"/>
      <c r="J22" s="40"/>
      <c r="K22" s="25"/>
      <c r="L22" s="25"/>
      <c r="M22" s="25"/>
      <c r="N22" s="25"/>
      <c r="O22" s="25"/>
      <c r="P22" s="25"/>
      <c r="Q22" s="25"/>
      <c r="R22" s="52"/>
      <c r="S22" s="65"/>
    </row>
    <row r="23" spans="2:21" ht="12.65" customHeight="1">
      <c r="G23" s="27"/>
      <c r="H23" s="27"/>
      <c r="I23" s="27"/>
      <c r="J23" s="38"/>
      <c r="K23" s="38"/>
      <c r="L23" s="38"/>
      <c r="M23" s="38"/>
      <c r="N23" s="38"/>
      <c r="O23" s="38"/>
      <c r="P23" s="38"/>
      <c r="Q23" s="38"/>
      <c r="R23" s="38"/>
    </row>
    <row r="24" spans="2:21" ht="13.75" customHeight="1">
      <c r="B24" s="175" t="s">
        <v>7</v>
      </c>
      <c r="H24" s="30"/>
      <c r="I24" s="30"/>
      <c r="J24" s="30"/>
      <c r="L24" s="30"/>
      <c r="M24" s="30"/>
      <c r="N24" s="30"/>
      <c r="O24" s="30"/>
      <c r="P24" s="30"/>
      <c r="Q24" s="30"/>
      <c r="R24" s="38"/>
    </row>
    <row r="25" spans="2:21" ht="9" customHeight="1">
      <c r="H25" s="30"/>
      <c r="I25" s="30"/>
      <c r="J25" s="30"/>
      <c r="L25" s="30"/>
      <c r="M25" s="30"/>
      <c r="N25" s="30"/>
      <c r="O25" s="34"/>
      <c r="R25" s="38"/>
    </row>
    <row r="26" spans="2:21">
      <c r="B26" s="54" t="s">
        <v>68</v>
      </c>
      <c r="H26" s="48"/>
      <c r="L26" s="85"/>
      <c r="N26" s="35"/>
      <c r="O26" s="35"/>
      <c r="R26" s="53"/>
    </row>
    <row r="27" spans="2:21">
      <c r="B27" s="33" t="s">
        <v>67</v>
      </c>
      <c r="L27" s="85"/>
      <c r="R27" s="36"/>
    </row>
    <row r="28" spans="2:21">
      <c r="Q28" s="55" t="str">
        <f>'rPET- nội bộ '!Q45</f>
        <v>Ngày 19 tháng 03 năm 2026</v>
      </c>
      <c r="S28" s="33"/>
    </row>
    <row r="29" spans="2:21">
      <c r="S29" s="33"/>
    </row>
    <row r="30" spans="2:21" s="28" customFormat="1">
      <c r="B30" s="349" t="s">
        <v>19</v>
      </c>
      <c r="C30" s="349"/>
      <c r="D30" s="341" t="s">
        <v>404</v>
      </c>
      <c r="E30" s="341"/>
      <c r="F30" s="29" t="s">
        <v>408</v>
      </c>
      <c r="G30" s="29"/>
      <c r="H30" s="29" t="s">
        <v>405</v>
      </c>
      <c r="I30" s="29"/>
      <c r="J30" s="29" t="s">
        <v>28</v>
      </c>
      <c r="L30" s="29"/>
      <c r="M30" s="29" t="s">
        <v>20</v>
      </c>
      <c r="N30" s="29"/>
      <c r="O30" s="27"/>
      <c r="P30" s="27" t="s">
        <v>21</v>
      </c>
      <c r="R30" s="56"/>
    </row>
    <row r="31" spans="2:21" s="28" customFormat="1">
      <c r="B31" s="26"/>
      <c r="C31" s="26"/>
      <c r="D31" s="29"/>
      <c r="F31" s="29"/>
      <c r="G31" s="29"/>
      <c r="H31" s="29"/>
      <c r="I31" s="29"/>
      <c r="J31" s="29"/>
      <c r="O31" s="27"/>
      <c r="P31" s="29"/>
      <c r="R31" s="56"/>
    </row>
    <row r="32" spans="2:21" s="28" customFormat="1">
      <c r="B32" s="26"/>
      <c r="C32" s="26"/>
      <c r="D32" s="29"/>
      <c r="F32" s="29"/>
      <c r="G32" s="29"/>
      <c r="H32" s="29"/>
      <c r="I32" s="29"/>
      <c r="J32" s="29"/>
      <c r="O32" s="27"/>
      <c r="P32" s="29"/>
      <c r="R32" s="56"/>
    </row>
    <row r="33" spans="2:21" s="28" customFormat="1">
      <c r="B33" s="26"/>
      <c r="C33" s="26"/>
      <c r="D33" s="29"/>
      <c r="F33" s="29"/>
      <c r="G33" s="29"/>
      <c r="H33" s="29"/>
      <c r="I33" s="29"/>
      <c r="J33" s="29"/>
      <c r="O33" s="27"/>
      <c r="P33" s="29"/>
      <c r="R33" s="56"/>
    </row>
    <row r="34" spans="2:21" s="28" customFormat="1">
      <c r="B34" s="31"/>
      <c r="C34" s="31"/>
      <c r="D34" s="32"/>
      <c r="F34" s="32"/>
      <c r="G34" s="32"/>
      <c r="H34" s="32"/>
      <c r="I34" s="32"/>
      <c r="J34" s="32"/>
      <c r="O34" s="27"/>
      <c r="P34" s="29"/>
      <c r="R34" s="56"/>
      <c r="U34"/>
    </row>
    <row r="35" spans="2:21" s="28" customFormat="1">
      <c r="B35" s="31"/>
      <c r="C35" s="31"/>
      <c r="D35" s="32"/>
      <c r="F35" s="32"/>
      <c r="G35" s="32"/>
      <c r="H35" s="32"/>
      <c r="I35" s="32"/>
      <c r="J35" s="32"/>
      <c r="O35" s="27"/>
      <c r="P35" s="29"/>
      <c r="Q35" s="28" t="s">
        <v>8</v>
      </c>
      <c r="R35" s="56"/>
    </row>
    <row r="36" spans="2:21" s="28" customFormat="1">
      <c r="B36" s="26"/>
      <c r="C36" s="26"/>
      <c r="D36" s="29"/>
      <c r="F36" s="29"/>
      <c r="G36" s="29"/>
      <c r="H36" s="29"/>
      <c r="I36" s="29"/>
      <c r="J36" s="29"/>
      <c r="O36" s="27"/>
      <c r="P36" s="29"/>
      <c r="R36" s="56"/>
    </row>
    <row r="37" spans="2:21" s="28" customFormat="1">
      <c r="B37" s="349" t="s">
        <v>1</v>
      </c>
      <c r="C37" s="349"/>
      <c r="D37" s="341" t="s">
        <v>403</v>
      </c>
      <c r="E37" s="341"/>
      <c r="F37" s="29" t="s">
        <v>29</v>
      </c>
      <c r="G37" s="29"/>
      <c r="H37" s="29" t="s">
        <v>406</v>
      </c>
      <c r="I37" s="29"/>
      <c r="J37" s="29" t="s">
        <v>30</v>
      </c>
      <c r="L37" s="29"/>
      <c r="M37" s="29" t="s">
        <v>198</v>
      </c>
      <c r="N37" s="29"/>
      <c r="O37" s="27"/>
      <c r="P37" s="27" t="s">
        <v>80</v>
      </c>
      <c r="R37" s="56"/>
    </row>
    <row r="38" spans="2:21" s="28" customFormat="1">
      <c r="B38" s="26"/>
      <c r="C38" s="26"/>
      <c r="D38" s="29"/>
      <c r="E38" s="29"/>
      <c r="F38" s="29"/>
      <c r="G38" s="29"/>
      <c r="H38" s="29"/>
      <c r="I38" s="29"/>
      <c r="J38" s="29"/>
      <c r="P38" s="27"/>
      <c r="Q38" s="29"/>
      <c r="S38" s="56"/>
    </row>
    <row r="39" spans="2:21" s="28" customFormat="1">
      <c r="B39" s="31"/>
      <c r="C39" s="31"/>
      <c r="D39" s="32"/>
      <c r="E39" s="32"/>
      <c r="F39" s="32"/>
      <c r="G39" s="32"/>
      <c r="H39" s="32"/>
      <c r="I39" s="32"/>
      <c r="J39" s="32"/>
      <c r="P39" s="27"/>
      <c r="Q39" s="29"/>
      <c r="S39" s="56"/>
    </row>
    <row r="40" spans="2:21" s="28" customFormat="1">
      <c r="B40" s="31"/>
      <c r="C40" s="31"/>
      <c r="D40" s="32"/>
      <c r="E40" s="32"/>
      <c r="F40" s="32"/>
      <c r="G40" s="32"/>
      <c r="H40" s="32"/>
      <c r="I40" s="32"/>
      <c r="J40" s="32"/>
      <c r="P40" s="27"/>
      <c r="Q40" s="29"/>
      <c r="S40" s="56"/>
    </row>
    <row r="41" spans="2:21" s="28" customFormat="1">
      <c r="B41" s="26"/>
      <c r="C41" s="26"/>
      <c r="D41" s="29"/>
      <c r="E41" s="29"/>
      <c r="F41" s="29"/>
      <c r="G41" s="29"/>
      <c r="H41" s="29"/>
      <c r="I41" s="29"/>
      <c r="J41" s="29"/>
      <c r="P41" s="27"/>
      <c r="Q41" s="29"/>
      <c r="S41" s="56"/>
    </row>
    <row r="42" spans="2:21" s="28" customFormat="1">
      <c r="B42" s="349"/>
      <c r="C42" s="349"/>
      <c r="D42" s="29"/>
      <c r="E42" s="29"/>
      <c r="F42" s="29"/>
      <c r="G42" s="29"/>
      <c r="H42" s="29"/>
      <c r="I42" s="29"/>
      <c r="J42" s="29"/>
      <c r="M42" s="29"/>
      <c r="O42" s="29"/>
      <c r="P42" s="27"/>
      <c r="Q42" s="77"/>
      <c r="R42" s="77"/>
      <c r="S42" s="56"/>
    </row>
  </sheetData>
  <mergeCells count="20">
    <mergeCell ref="B42:C42"/>
    <mergeCell ref="P2:R2"/>
    <mergeCell ref="P3:R3"/>
    <mergeCell ref="P4:R4"/>
    <mergeCell ref="B6:B8"/>
    <mergeCell ref="C6:C8"/>
    <mergeCell ref="D6:D8"/>
    <mergeCell ref="F6:F8"/>
    <mergeCell ref="G6:P6"/>
    <mergeCell ref="Q6:R7"/>
    <mergeCell ref="G7:J7"/>
    <mergeCell ref="K7:N7"/>
    <mergeCell ref="O7:P7"/>
    <mergeCell ref="D2:O4"/>
    <mergeCell ref="B2:C4"/>
    <mergeCell ref="E6:E8"/>
    <mergeCell ref="B30:C30"/>
    <mergeCell ref="D30:E30"/>
    <mergeCell ref="D37:E37"/>
    <mergeCell ref="B37:C37"/>
  </mergeCells>
  <conditionalFormatting sqref="P10:P11 P19:P21">
    <cfRule type="iconSet" priority="62">
      <iconSet iconSet="3Arrows">
        <cfvo type="percent" val="0"/>
        <cfvo type="num" val="0"/>
        <cfvo type="num" val="0" gte="0"/>
      </iconSet>
    </cfRule>
  </conditionalFormatting>
  <conditionalFormatting sqref="P12:P18">
    <cfRule type="iconSet" priority="1">
      <iconSet iconSet="3Arrows">
        <cfvo type="percent" val="0"/>
        <cfvo type="num" val="0"/>
        <cfvo type="num" val="0" gte="0"/>
      </iconSet>
    </cfRule>
  </conditionalFormatting>
  <conditionalFormatting sqref="R10:R21">
    <cfRule type="iconSet" priority="64">
      <iconSet iconSet="3Arrows">
        <cfvo type="percent" val="0"/>
        <cfvo type="num" val="0"/>
        <cfvo type="num" val="0" gte="0"/>
      </iconSet>
    </cfRule>
  </conditionalFormatting>
  <printOptions horizontalCentered="1"/>
  <pageMargins left="0" right="0" top="0.18" bottom="0.23622047244094491" header="0.11811023622047245" footer="0.31496062992125984"/>
  <pageSetup paperSize="9" scale="74" fitToHeight="0"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85AA-E99D-4FAC-BC8F-76C8F7C55FAA}">
  <sheetPr>
    <tabColor theme="0"/>
    <pageSetUpPr fitToPage="1"/>
  </sheetPr>
  <dimension ref="B2:U57"/>
  <sheetViews>
    <sheetView showGridLines="0" topLeftCell="A5" zoomScale="80" zoomScaleNormal="80" zoomScaleSheetLayoutView="70" workbookViewId="0">
      <selection activeCell="F9" sqref="F9"/>
    </sheetView>
  </sheetViews>
  <sheetFormatPr defaultColWidth="8.54296875" defaultRowHeight="14"/>
  <cols>
    <col min="1" max="1" width="1.54296875" style="1" customWidth="1"/>
    <col min="2" max="2" width="4.81640625" style="1" customWidth="1"/>
    <col min="3" max="3" width="15.453125" style="1" bestFit="1" customWidth="1"/>
    <col min="4" max="4" width="35.1796875" style="1" customWidth="1"/>
    <col min="5" max="5" width="10" style="1" customWidth="1"/>
    <col min="6" max="6" width="11.54296875" style="1" customWidth="1"/>
    <col min="7" max="7" width="8.81640625" style="1" customWidth="1"/>
    <col min="8" max="8" width="9.54296875" style="1" customWidth="1"/>
    <col min="9" max="9" width="13.1796875" style="1" customWidth="1"/>
    <col min="10" max="10" width="11.54296875" style="1" customWidth="1"/>
    <col min="11" max="11" width="8.81640625" style="1" customWidth="1"/>
    <col min="12" max="12" width="9.54296875" style="1" customWidth="1"/>
    <col min="13" max="13" width="15.1796875" style="1" customWidth="1"/>
    <col min="14" max="14" width="10.81640625" style="1" customWidth="1"/>
    <col min="15" max="15" width="11.54296875" style="1" customWidth="1"/>
    <col min="16" max="16" width="9.54296875" style="1" customWidth="1"/>
    <col min="17" max="17" width="10.1796875" style="1" customWidth="1"/>
    <col min="18" max="18" width="7.6328125" style="61" customWidth="1"/>
    <col min="19" max="19" width="12.1796875" style="1" bestFit="1" customWidth="1"/>
    <col min="20" max="16384" width="8.54296875" style="1"/>
  </cols>
  <sheetData>
    <row r="2" spans="2:19" ht="24.65" customHeight="1">
      <c r="B2" s="369"/>
      <c r="C2" s="370"/>
      <c r="D2" s="338" t="s">
        <v>189</v>
      </c>
      <c r="E2" s="339"/>
      <c r="F2" s="339"/>
      <c r="G2" s="339"/>
      <c r="H2" s="339"/>
      <c r="I2" s="339"/>
      <c r="J2" s="339"/>
      <c r="K2" s="339"/>
      <c r="L2" s="339"/>
      <c r="M2" s="339"/>
      <c r="N2" s="339"/>
      <c r="O2" s="335" t="s">
        <v>121</v>
      </c>
      <c r="P2" s="336"/>
      <c r="Q2" s="337"/>
      <c r="R2" s="61">
        <v>1280</v>
      </c>
    </row>
    <row r="3" spans="2:19" ht="25.5" customHeight="1">
      <c r="B3" s="371"/>
      <c r="C3" s="372"/>
      <c r="D3" s="338"/>
      <c r="E3" s="339"/>
      <c r="F3" s="339"/>
      <c r="G3" s="339"/>
      <c r="H3" s="339"/>
      <c r="I3" s="339"/>
      <c r="J3" s="339"/>
      <c r="K3" s="339"/>
      <c r="L3" s="339"/>
      <c r="M3" s="339"/>
      <c r="N3" s="339"/>
      <c r="O3" s="335" t="s">
        <v>127</v>
      </c>
      <c r="P3" s="336"/>
      <c r="Q3" s="337"/>
    </row>
    <row r="4" spans="2:19" ht="16.5">
      <c r="B4" s="373"/>
      <c r="C4" s="374"/>
      <c r="D4" s="338"/>
      <c r="E4" s="339"/>
      <c r="F4" s="339"/>
      <c r="G4" s="339"/>
      <c r="H4" s="339"/>
      <c r="I4" s="339"/>
      <c r="J4" s="339"/>
      <c r="K4" s="339"/>
      <c r="L4" s="339"/>
      <c r="M4" s="339"/>
      <c r="N4" s="339"/>
      <c r="O4" s="350" t="str">
        <f>'1. rPET'!O4</f>
        <v>Ngày áp dụng: 01/04/2026</v>
      </c>
      <c r="P4" s="350"/>
      <c r="Q4" s="350"/>
    </row>
    <row r="6" spans="2:19" s="7" customFormat="1" ht="28.4" customHeight="1">
      <c r="B6" s="351" t="s">
        <v>2</v>
      </c>
      <c r="C6" s="352" t="s">
        <v>9</v>
      </c>
      <c r="D6" s="351" t="s">
        <v>0</v>
      </c>
      <c r="E6" s="352" t="s">
        <v>3</v>
      </c>
      <c r="F6" s="22" t="s">
        <v>27</v>
      </c>
      <c r="G6" s="22"/>
      <c r="H6" s="22"/>
      <c r="I6" s="22"/>
      <c r="J6" s="22"/>
      <c r="K6" s="22"/>
      <c r="L6" s="22"/>
      <c r="M6" s="22"/>
      <c r="N6" s="22"/>
      <c r="O6" s="22"/>
      <c r="P6" s="352" t="s">
        <v>203</v>
      </c>
      <c r="Q6" s="352"/>
      <c r="R6" s="62"/>
    </row>
    <row r="7" spans="2:19" s="7" customFormat="1" ht="35.5" customHeight="1">
      <c r="B7" s="351"/>
      <c r="C7" s="352"/>
      <c r="D7" s="351"/>
      <c r="E7" s="352"/>
      <c r="F7" s="353" t="s">
        <v>200</v>
      </c>
      <c r="G7" s="354"/>
      <c r="H7" s="354"/>
      <c r="I7" s="355"/>
      <c r="J7" s="353" t="s">
        <v>201</v>
      </c>
      <c r="K7" s="354"/>
      <c r="L7" s="354"/>
      <c r="M7" s="355"/>
      <c r="N7" s="353" t="s">
        <v>202</v>
      </c>
      <c r="O7" s="355"/>
      <c r="P7" s="352"/>
      <c r="Q7" s="352"/>
      <c r="R7" s="62"/>
    </row>
    <row r="8" spans="2:19" s="9" customFormat="1" ht="66">
      <c r="B8" s="351"/>
      <c r="C8" s="352"/>
      <c r="D8" s="351"/>
      <c r="E8" s="352"/>
      <c r="F8" s="14" t="s">
        <v>31</v>
      </c>
      <c r="G8" s="14" t="s">
        <v>37</v>
      </c>
      <c r="H8" s="14" t="s">
        <v>35</v>
      </c>
      <c r="I8" s="82" t="s">
        <v>36</v>
      </c>
      <c r="J8" s="14" t="s">
        <v>31</v>
      </c>
      <c r="K8" s="14" t="s">
        <v>37</v>
      </c>
      <c r="L8" s="14" t="s">
        <v>35</v>
      </c>
      <c r="M8" s="82" t="s">
        <v>36</v>
      </c>
      <c r="N8" s="20" t="s">
        <v>32</v>
      </c>
      <c r="O8" s="20" t="s">
        <v>33</v>
      </c>
      <c r="P8" s="20" t="s">
        <v>32</v>
      </c>
      <c r="Q8" s="20" t="s">
        <v>33</v>
      </c>
      <c r="R8" s="63"/>
      <c r="S8" s="7"/>
    </row>
    <row r="9" spans="2:19" s="152" customFormat="1" ht="22.5" customHeight="1">
      <c r="B9" s="143">
        <v>1</v>
      </c>
      <c r="C9" s="144" t="s">
        <v>10</v>
      </c>
      <c r="D9" s="145" t="s">
        <v>139</v>
      </c>
      <c r="E9" s="143" t="s">
        <v>22</v>
      </c>
      <c r="F9" s="146">
        <v>1381.5</v>
      </c>
      <c r="G9" s="147">
        <v>4.4516829533116177E-2</v>
      </c>
      <c r="H9" s="146">
        <v>61.5</v>
      </c>
      <c r="I9" s="148">
        <v>1340</v>
      </c>
      <c r="J9" s="146">
        <f>J13+90</f>
        <v>1402.5</v>
      </c>
      <c r="K9" s="147">
        <f t="shared" ref="K9:K23" si="0">L9/J9</f>
        <v>4.4563279857397504E-2</v>
      </c>
      <c r="L9" s="146">
        <f t="shared" ref="L9:L23" si="1">J9-M9</f>
        <v>62.5</v>
      </c>
      <c r="M9" s="148">
        <f>+M15+90</f>
        <v>1340</v>
      </c>
      <c r="N9" s="146">
        <f>M9-I9</f>
        <v>0</v>
      </c>
      <c r="O9" s="147">
        <f t="shared" ref="O9:O18" si="2">1-(I9/M9)</f>
        <v>0</v>
      </c>
      <c r="P9" s="149">
        <f t="shared" ref="P9:P23" si="3">M9-$R$2</f>
        <v>60</v>
      </c>
      <c r="Q9" s="147">
        <f>P9/$R$2</f>
        <v>4.6875E-2</v>
      </c>
      <c r="R9" s="153"/>
      <c r="S9" s="151">
        <f>M9+M10+M13</f>
        <v>3870</v>
      </c>
    </row>
    <row r="10" spans="2:19" s="2" customFormat="1" ht="22.5" customHeight="1">
      <c r="B10" s="10">
        <f>+B9+1</f>
        <v>2</v>
      </c>
      <c r="C10" s="103" t="s">
        <v>12</v>
      </c>
      <c r="D10" s="17" t="s">
        <v>138</v>
      </c>
      <c r="E10" s="10" t="s">
        <v>23</v>
      </c>
      <c r="F10" s="11">
        <v>1321.5</v>
      </c>
      <c r="G10" s="18">
        <v>4.6538024971623154E-2</v>
      </c>
      <c r="H10" s="11">
        <v>61.5</v>
      </c>
      <c r="I10" s="57">
        <v>1280</v>
      </c>
      <c r="J10" s="11">
        <f>J11</f>
        <v>1342.5</v>
      </c>
      <c r="K10" s="18">
        <f t="shared" si="0"/>
        <v>4.6554934823091247E-2</v>
      </c>
      <c r="L10" s="11">
        <f t="shared" si="1"/>
        <v>62.5</v>
      </c>
      <c r="M10" s="57">
        <f>+M15+30</f>
        <v>1280</v>
      </c>
      <c r="N10" s="11">
        <f t="shared" ref="N10:N18" si="4">M10-I10</f>
        <v>0</v>
      </c>
      <c r="O10" s="18">
        <f t="shared" si="2"/>
        <v>0</v>
      </c>
      <c r="P10" s="49">
        <f t="shared" si="3"/>
        <v>0</v>
      </c>
      <c r="Q10" s="18">
        <f t="shared" ref="Q10:Q23" si="5">P10/$R$2</f>
        <v>0</v>
      </c>
      <c r="R10" s="68"/>
      <c r="S10" s="118">
        <f>S9/3</f>
        <v>1290</v>
      </c>
    </row>
    <row r="11" spans="2:19" s="152" customFormat="1" ht="22.5" customHeight="1">
      <c r="B11" s="143">
        <f t="shared" ref="B11:B31" si="6">+B10+1</f>
        <v>3</v>
      </c>
      <c r="C11" s="144" t="s">
        <v>11</v>
      </c>
      <c r="D11" s="145" t="s">
        <v>137</v>
      </c>
      <c r="E11" s="143" t="s">
        <v>23</v>
      </c>
      <c r="F11" s="146">
        <v>1321.5</v>
      </c>
      <c r="G11" s="147">
        <v>4.6538024971623154E-2</v>
      </c>
      <c r="H11" s="146">
        <v>61.5</v>
      </c>
      <c r="I11" s="148">
        <v>1280</v>
      </c>
      <c r="J11" s="146">
        <f>J13+30</f>
        <v>1342.5</v>
      </c>
      <c r="K11" s="147">
        <f t="shared" si="0"/>
        <v>4.6554934823091247E-2</v>
      </c>
      <c r="L11" s="146">
        <f t="shared" si="1"/>
        <v>62.5</v>
      </c>
      <c r="M11" s="148">
        <f>+M15+30</f>
        <v>1280</v>
      </c>
      <c r="N11" s="146">
        <f t="shared" si="4"/>
        <v>0</v>
      </c>
      <c r="O11" s="147">
        <f t="shared" si="2"/>
        <v>0</v>
      </c>
      <c r="P11" s="149">
        <f t="shared" si="3"/>
        <v>0</v>
      </c>
      <c r="Q11" s="147">
        <f t="shared" si="5"/>
        <v>0</v>
      </c>
      <c r="R11" s="150"/>
      <c r="S11" s="151"/>
    </row>
    <row r="12" spans="2:19" s="2" customFormat="1" ht="22.5" customHeight="1">
      <c r="B12" s="10">
        <f t="shared" si="6"/>
        <v>4</v>
      </c>
      <c r="C12" s="103" t="s">
        <v>90</v>
      </c>
      <c r="D12" s="17" t="s">
        <v>91</v>
      </c>
      <c r="E12" s="10" t="s">
        <v>23</v>
      </c>
      <c r="F12" s="11">
        <v>1321.5</v>
      </c>
      <c r="G12" s="18">
        <v>4.6538024971623154E-2</v>
      </c>
      <c r="H12" s="11">
        <v>61.5</v>
      </c>
      <c r="I12" s="57">
        <v>1280</v>
      </c>
      <c r="J12" s="11">
        <f>J15+30</f>
        <v>1342.5</v>
      </c>
      <c r="K12" s="18">
        <f t="shared" ref="K12" si="7">L12/J12</f>
        <v>4.6554934823091247E-2</v>
      </c>
      <c r="L12" s="11">
        <f t="shared" ref="L12" si="8">J12-M12</f>
        <v>62.5</v>
      </c>
      <c r="M12" s="57">
        <f>+M15+30</f>
        <v>1280</v>
      </c>
      <c r="N12" s="11">
        <f t="shared" ref="N12" si="9">M12-I12</f>
        <v>0</v>
      </c>
      <c r="O12" s="18">
        <f t="shared" ref="O12" si="10">1-(I12/M12)</f>
        <v>0</v>
      </c>
      <c r="P12" s="49">
        <f t="shared" ref="P12" si="11">M12-$R$2</f>
        <v>0</v>
      </c>
      <c r="Q12" s="18">
        <f t="shared" ref="Q12" si="12">P12/$R$2</f>
        <v>0</v>
      </c>
      <c r="R12" s="68"/>
      <c r="S12" s="118"/>
    </row>
    <row r="13" spans="2:19" s="152" customFormat="1" ht="22.5" customHeight="1">
      <c r="B13" s="143">
        <f t="shared" si="6"/>
        <v>5</v>
      </c>
      <c r="C13" s="144" t="s">
        <v>13</v>
      </c>
      <c r="D13" s="145" t="s">
        <v>136</v>
      </c>
      <c r="E13" s="143" t="s">
        <v>24</v>
      </c>
      <c r="F13" s="146">
        <v>1291.5</v>
      </c>
      <c r="G13" s="147">
        <v>4.7619047619047616E-2</v>
      </c>
      <c r="H13" s="146">
        <v>61.5</v>
      </c>
      <c r="I13" s="148">
        <v>1250</v>
      </c>
      <c r="J13" s="146">
        <f>M13*1.05</f>
        <v>1312.5</v>
      </c>
      <c r="K13" s="147">
        <f t="shared" si="0"/>
        <v>4.7619047619047616E-2</v>
      </c>
      <c r="L13" s="146">
        <f t="shared" si="1"/>
        <v>62.5</v>
      </c>
      <c r="M13" s="148">
        <f>M15</f>
        <v>1250</v>
      </c>
      <c r="N13" s="146">
        <f t="shared" si="4"/>
        <v>0</v>
      </c>
      <c r="O13" s="147">
        <f t="shared" si="2"/>
        <v>0</v>
      </c>
      <c r="P13" s="149">
        <f t="shared" si="3"/>
        <v>-30</v>
      </c>
      <c r="Q13" s="147">
        <f t="shared" si="5"/>
        <v>-2.34375E-2</v>
      </c>
      <c r="R13" s="150"/>
      <c r="S13" s="151"/>
    </row>
    <row r="14" spans="2:19" s="2" customFormat="1" ht="22.5" customHeight="1">
      <c r="B14" s="10">
        <f t="shared" si="6"/>
        <v>6</v>
      </c>
      <c r="C14" s="103" t="s">
        <v>92</v>
      </c>
      <c r="D14" s="17" t="s">
        <v>93</v>
      </c>
      <c r="E14" s="10" t="s">
        <v>24</v>
      </c>
      <c r="F14" s="11">
        <v>1291.5</v>
      </c>
      <c r="G14" s="18">
        <v>4.7619047619047616E-2</v>
      </c>
      <c r="H14" s="11">
        <v>61.5</v>
      </c>
      <c r="I14" s="57">
        <v>1250</v>
      </c>
      <c r="J14" s="11">
        <f>M14*1.05</f>
        <v>1312.5</v>
      </c>
      <c r="K14" s="18">
        <f t="shared" ref="K14" si="13">L14/J14</f>
        <v>4.7619047619047616E-2</v>
      </c>
      <c r="L14" s="11">
        <f t="shared" ref="L14" si="14">J14-M14</f>
        <v>62.5</v>
      </c>
      <c r="M14" s="57">
        <f>M13</f>
        <v>1250</v>
      </c>
      <c r="N14" s="11">
        <f t="shared" ref="N14" si="15">M14-I14</f>
        <v>0</v>
      </c>
      <c r="O14" s="18">
        <f t="shared" ref="O14" si="16">1-(I14/M14)</f>
        <v>0</v>
      </c>
      <c r="P14" s="49">
        <f t="shared" ref="P14" si="17">M14-$R$2</f>
        <v>-30</v>
      </c>
      <c r="Q14" s="18">
        <f t="shared" ref="Q14" si="18">P14/$R$2</f>
        <v>-2.34375E-2</v>
      </c>
      <c r="R14" s="68"/>
      <c r="S14" s="118"/>
    </row>
    <row r="15" spans="2:19" s="152" customFormat="1" ht="22.5" customHeight="1">
      <c r="B15" s="143">
        <f t="shared" si="6"/>
        <v>7</v>
      </c>
      <c r="C15" s="144" t="s">
        <v>14</v>
      </c>
      <c r="D15" s="145" t="s">
        <v>135</v>
      </c>
      <c r="E15" s="143" t="s">
        <v>24</v>
      </c>
      <c r="F15" s="146">
        <v>1291.5</v>
      </c>
      <c r="G15" s="147">
        <v>4.7619047619047616E-2</v>
      </c>
      <c r="H15" s="146">
        <v>61.5</v>
      </c>
      <c r="I15" s="148">
        <v>1250</v>
      </c>
      <c r="J15" s="146">
        <f>J13</f>
        <v>1312.5</v>
      </c>
      <c r="K15" s="147">
        <f t="shared" si="0"/>
        <v>4.7619047619047616E-2</v>
      </c>
      <c r="L15" s="146">
        <f t="shared" si="1"/>
        <v>62.5</v>
      </c>
      <c r="M15" s="148">
        <f>1300+10+15-50-45+20</f>
        <v>1250</v>
      </c>
      <c r="N15" s="146">
        <f t="shared" si="4"/>
        <v>0</v>
      </c>
      <c r="O15" s="147">
        <f t="shared" si="2"/>
        <v>0</v>
      </c>
      <c r="P15" s="149">
        <f t="shared" si="3"/>
        <v>-30</v>
      </c>
      <c r="Q15" s="147">
        <f t="shared" si="5"/>
        <v>-2.34375E-2</v>
      </c>
      <c r="R15" s="153"/>
      <c r="S15" s="151"/>
    </row>
    <row r="16" spans="2:19" s="2" customFormat="1" ht="22.5" hidden="1" customHeight="1">
      <c r="B16" s="10">
        <f t="shared" si="6"/>
        <v>8</v>
      </c>
      <c r="C16" s="103" t="s">
        <v>15</v>
      </c>
      <c r="D16" s="17" t="s">
        <v>134</v>
      </c>
      <c r="E16" s="10" t="s">
        <v>25</v>
      </c>
      <c r="F16" s="11">
        <v>1261.5</v>
      </c>
      <c r="G16" s="18">
        <v>4.8751486325802618E-2</v>
      </c>
      <c r="H16" s="11">
        <v>61.5</v>
      </c>
      <c r="I16" s="57">
        <v>1220</v>
      </c>
      <c r="J16" s="11">
        <f>J15-30</f>
        <v>1282.5</v>
      </c>
      <c r="K16" s="18">
        <f t="shared" si="0"/>
        <v>4.8732943469785572E-2</v>
      </c>
      <c r="L16" s="11">
        <f t="shared" si="1"/>
        <v>62.5</v>
      </c>
      <c r="M16" s="57">
        <f>M15-30</f>
        <v>1220</v>
      </c>
      <c r="N16" s="11">
        <f t="shared" si="4"/>
        <v>0</v>
      </c>
      <c r="O16" s="18">
        <f t="shared" si="2"/>
        <v>0</v>
      </c>
      <c r="P16" s="49">
        <f t="shared" si="3"/>
        <v>-60</v>
      </c>
      <c r="Q16" s="18">
        <f t="shared" si="5"/>
        <v>-4.6875E-2</v>
      </c>
      <c r="R16" s="68"/>
      <c r="S16" s="118"/>
    </row>
    <row r="17" spans="2:21" s="2" customFormat="1" ht="22.5" hidden="1" customHeight="1">
      <c r="B17" s="10">
        <f t="shared" si="6"/>
        <v>9</v>
      </c>
      <c r="C17" s="103" t="s">
        <v>83</v>
      </c>
      <c r="D17" s="17" t="s">
        <v>84</v>
      </c>
      <c r="E17" s="10" t="s">
        <v>25</v>
      </c>
      <c r="F17" s="11">
        <v>1231.5</v>
      </c>
      <c r="G17" s="18">
        <v>2.5578562728380026E-2</v>
      </c>
      <c r="H17" s="11">
        <v>31.5</v>
      </c>
      <c r="I17" s="57">
        <v>1220</v>
      </c>
      <c r="J17" s="11">
        <f>J16-30</f>
        <v>1252.5</v>
      </c>
      <c r="K17" s="18">
        <f t="shared" ref="K17" si="19">L17/J17</f>
        <v>2.5948103792415168E-2</v>
      </c>
      <c r="L17" s="11">
        <f t="shared" ref="L17" si="20">J17-M17</f>
        <v>32.5</v>
      </c>
      <c r="M17" s="57">
        <f>M15-30</f>
        <v>1220</v>
      </c>
      <c r="N17" s="11">
        <f t="shared" ref="N17" si="21">M17-I17</f>
        <v>0</v>
      </c>
      <c r="O17" s="18">
        <f t="shared" ref="O17" si="22">1-(I17/M17)</f>
        <v>0</v>
      </c>
      <c r="P17" s="49">
        <f t="shared" ref="P17" si="23">M17-$R$2</f>
        <v>-60</v>
      </c>
      <c r="Q17" s="18">
        <f t="shared" ref="Q17" si="24">P17/$R$2</f>
        <v>-4.6875E-2</v>
      </c>
      <c r="R17" s="68"/>
      <c r="S17" s="118"/>
    </row>
    <row r="18" spans="2:21" s="2" customFormat="1" ht="22.5" customHeight="1">
      <c r="B18" s="10">
        <f t="shared" si="6"/>
        <v>10</v>
      </c>
      <c r="C18" s="103" t="s">
        <v>16</v>
      </c>
      <c r="D18" s="17" t="s">
        <v>133</v>
      </c>
      <c r="E18" s="10" t="s">
        <v>26</v>
      </c>
      <c r="F18" s="11">
        <v>1221.5</v>
      </c>
      <c r="G18" s="18">
        <v>5.0347932869422837E-2</v>
      </c>
      <c r="H18" s="11">
        <v>61.5</v>
      </c>
      <c r="I18" s="57">
        <v>1180</v>
      </c>
      <c r="J18" s="11">
        <f>+J15-70</f>
        <v>1242.5</v>
      </c>
      <c r="K18" s="18">
        <f t="shared" si="0"/>
        <v>5.030181086519115E-2</v>
      </c>
      <c r="L18" s="11">
        <f t="shared" si="1"/>
        <v>62.5</v>
      </c>
      <c r="M18" s="57">
        <f>+M15-70</f>
        <v>1180</v>
      </c>
      <c r="N18" s="11">
        <f t="shared" si="4"/>
        <v>0</v>
      </c>
      <c r="O18" s="18">
        <f t="shared" si="2"/>
        <v>0</v>
      </c>
      <c r="P18" s="49">
        <f t="shared" si="3"/>
        <v>-100</v>
      </c>
      <c r="Q18" s="18">
        <f t="shared" si="5"/>
        <v>-7.8125E-2</v>
      </c>
      <c r="R18" s="120"/>
      <c r="S18" s="118"/>
    </row>
    <row r="19" spans="2:21" s="2" customFormat="1" ht="22.5" customHeight="1">
      <c r="B19" s="10">
        <f t="shared" si="6"/>
        <v>11</v>
      </c>
      <c r="C19" s="103" t="s">
        <v>85</v>
      </c>
      <c r="D19" s="17" t="s">
        <v>86</v>
      </c>
      <c r="E19" s="10" t="s">
        <v>26</v>
      </c>
      <c r="F19" s="11">
        <v>1191.5</v>
      </c>
      <c r="G19" s="18">
        <v>2.6437263953000421E-2</v>
      </c>
      <c r="H19" s="11">
        <v>31.5</v>
      </c>
      <c r="I19" s="57">
        <v>1180</v>
      </c>
      <c r="J19" s="11">
        <f>+J16-70</f>
        <v>1212.5</v>
      </c>
      <c r="K19" s="18">
        <f t="shared" ref="K19" si="25">L19/J19</f>
        <v>2.6804123711340205E-2</v>
      </c>
      <c r="L19" s="11">
        <f t="shared" ref="L19" si="26">J19-M19</f>
        <v>32.5</v>
      </c>
      <c r="M19" s="57">
        <f>+M15-70</f>
        <v>1180</v>
      </c>
      <c r="N19" s="11">
        <f t="shared" ref="N19" si="27">M19-I19</f>
        <v>0</v>
      </c>
      <c r="O19" s="18">
        <f t="shared" ref="O19" si="28">1-(I19/M19)</f>
        <v>0</v>
      </c>
      <c r="P19" s="49">
        <f t="shared" ref="P19" si="29">M19-$R$2</f>
        <v>-100</v>
      </c>
      <c r="Q19" s="18">
        <f t="shared" ref="Q19" si="30">P19/$R$2</f>
        <v>-7.8125E-2</v>
      </c>
      <c r="R19" s="68"/>
      <c r="S19" s="118"/>
    </row>
    <row r="20" spans="2:21" s="2" customFormat="1" ht="22.5" hidden="1" customHeight="1">
      <c r="B20" s="10">
        <f t="shared" si="6"/>
        <v>12</v>
      </c>
      <c r="C20" s="103" t="s">
        <v>87</v>
      </c>
      <c r="D20" s="17" t="s">
        <v>42</v>
      </c>
      <c r="E20" s="10" t="s">
        <v>23</v>
      </c>
      <c r="F20" s="11">
        <v>1397</v>
      </c>
      <c r="G20" s="18">
        <v>0.16249105225483179</v>
      </c>
      <c r="H20" s="11">
        <v>227</v>
      </c>
      <c r="I20" s="57">
        <v>1190</v>
      </c>
      <c r="J20" s="11">
        <v>1397</v>
      </c>
      <c r="K20" s="18">
        <f>L20/J20</f>
        <v>0.1481746599856836</v>
      </c>
      <c r="L20" s="11">
        <f>J20-M20</f>
        <v>207</v>
      </c>
      <c r="M20" s="57">
        <f>M15-60</f>
        <v>1190</v>
      </c>
      <c r="N20" s="11">
        <f>M20-I20</f>
        <v>0</v>
      </c>
      <c r="O20" s="18">
        <f>1-(I20/M20)</f>
        <v>0</v>
      </c>
      <c r="P20" s="49">
        <f t="shared" si="3"/>
        <v>-90</v>
      </c>
      <c r="Q20" s="18">
        <f t="shared" si="5"/>
        <v>-7.03125E-2</v>
      </c>
      <c r="R20" s="120"/>
      <c r="S20" s="118"/>
    </row>
    <row r="21" spans="2:21" s="2" customFormat="1" ht="22.5" customHeight="1">
      <c r="B21" s="10">
        <f t="shared" si="6"/>
        <v>13</v>
      </c>
      <c r="C21" s="103" t="s">
        <v>94</v>
      </c>
      <c r="D21" s="17" t="s">
        <v>96</v>
      </c>
      <c r="E21" s="11" t="s">
        <v>95</v>
      </c>
      <c r="F21" s="11">
        <v>1155</v>
      </c>
      <c r="G21" s="18">
        <v>4.7619047619047616E-2</v>
      </c>
      <c r="H21" s="11">
        <v>55</v>
      </c>
      <c r="I21" s="57">
        <v>1100</v>
      </c>
      <c r="J21" s="11">
        <f>1100*1.05</f>
        <v>1155</v>
      </c>
      <c r="K21" s="18">
        <f t="shared" ref="K21" si="31">L21/J21</f>
        <v>4.7619047619047616E-2</v>
      </c>
      <c r="L21" s="11">
        <f t="shared" ref="L21" si="32">J21-M21</f>
        <v>55</v>
      </c>
      <c r="M21" s="57">
        <v>1100</v>
      </c>
      <c r="N21" s="11">
        <f t="shared" ref="N21" si="33">M21-I21</f>
        <v>0</v>
      </c>
      <c r="O21" s="18">
        <f t="shared" ref="O21" si="34">1-(I21/M21)</f>
        <v>0</v>
      </c>
      <c r="P21" s="49">
        <f t="shared" ref="P21" si="35">M21-$R$2</f>
        <v>-180</v>
      </c>
      <c r="Q21" s="18">
        <f t="shared" ref="Q21" si="36">P21/$R$2</f>
        <v>-0.140625</v>
      </c>
      <c r="R21" s="68"/>
      <c r="S21" s="118"/>
    </row>
    <row r="22" spans="2:21" s="2" customFormat="1" ht="22.5" customHeight="1">
      <c r="B22" s="10">
        <f t="shared" si="6"/>
        <v>14</v>
      </c>
      <c r="C22" s="103" t="s">
        <v>88</v>
      </c>
      <c r="D22" s="17" t="s">
        <v>102</v>
      </c>
      <c r="E22" s="10" t="s">
        <v>46</v>
      </c>
      <c r="F22" s="11">
        <v>1155</v>
      </c>
      <c r="G22" s="18">
        <v>4.7619047619047616E-2</v>
      </c>
      <c r="H22" s="11">
        <v>55</v>
      </c>
      <c r="I22" s="57">
        <v>1100</v>
      </c>
      <c r="J22" s="11">
        <f>1100*1.05</f>
        <v>1155</v>
      </c>
      <c r="K22" s="18">
        <f t="shared" si="0"/>
        <v>4.7619047619047616E-2</v>
      </c>
      <c r="L22" s="11">
        <f t="shared" si="1"/>
        <v>55</v>
      </c>
      <c r="M22" s="57">
        <v>1100</v>
      </c>
      <c r="N22" s="11">
        <f t="shared" ref="N22:N23" si="37">M22-I22</f>
        <v>0</v>
      </c>
      <c r="O22" s="18">
        <f t="shared" ref="O22:O32" si="38">1-(I22/M22)</f>
        <v>0</v>
      </c>
      <c r="P22" s="49">
        <f t="shared" si="3"/>
        <v>-180</v>
      </c>
      <c r="Q22" s="18">
        <f t="shared" si="5"/>
        <v>-0.140625</v>
      </c>
      <c r="R22" s="68"/>
      <c r="S22" s="118"/>
    </row>
    <row r="23" spans="2:21" s="2" customFormat="1" ht="22.5" customHeight="1">
      <c r="B23" s="10">
        <f t="shared" si="6"/>
        <v>15</v>
      </c>
      <c r="C23" s="103" t="s">
        <v>89</v>
      </c>
      <c r="D23" s="17" t="s">
        <v>103</v>
      </c>
      <c r="E23" s="10" t="s">
        <v>46</v>
      </c>
      <c r="F23" s="11">
        <v>1155</v>
      </c>
      <c r="G23" s="18">
        <v>4.7619047619047616E-2</v>
      </c>
      <c r="H23" s="11">
        <v>55</v>
      </c>
      <c r="I23" s="57">
        <v>1100</v>
      </c>
      <c r="J23" s="11">
        <f>1100*1.05</f>
        <v>1155</v>
      </c>
      <c r="K23" s="18">
        <f t="shared" si="0"/>
        <v>4.7619047619047616E-2</v>
      </c>
      <c r="L23" s="11">
        <f t="shared" si="1"/>
        <v>55</v>
      </c>
      <c r="M23" s="57">
        <v>1100</v>
      </c>
      <c r="N23" s="11">
        <f t="shared" si="37"/>
        <v>0</v>
      </c>
      <c r="O23" s="18">
        <f t="shared" si="38"/>
        <v>0</v>
      </c>
      <c r="P23" s="49">
        <f t="shared" si="3"/>
        <v>-180</v>
      </c>
      <c r="Q23" s="18">
        <f t="shared" si="5"/>
        <v>-0.140625</v>
      </c>
      <c r="R23" s="68"/>
      <c r="S23" s="118"/>
      <c r="U23"/>
    </row>
    <row r="24" spans="2:21" s="2" customFormat="1" ht="22.5" hidden="1" customHeight="1">
      <c r="B24" s="10">
        <f t="shared" si="6"/>
        <v>16</v>
      </c>
      <c r="C24" s="121" t="s">
        <v>128</v>
      </c>
      <c r="D24" s="17" t="s">
        <v>140</v>
      </c>
      <c r="E24" s="10" t="s">
        <v>22</v>
      </c>
      <c r="F24" s="11">
        <v>1308</v>
      </c>
      <c r="G24" s="18">
        <v>4.4342507645259939E-2</v>
      </c>
      <c r="H24" s="11">
        <v>58</v>
      </c>
      <c r="I24" s="57">
        <v>1250</v>
      </c>
      <c r="J24" s="11">
        <f>J27+90</f>
        <v>1308</v>
      </c>
      <c r="K24" s="18">
        <f t="shared" ref="K24:K32" si="39">L24/J24</f>
        <v>4.4342507645259939E-2</v>
      </c>
      <c r="L24" s="11">
        <f t="shared" ref="L24:L32" si="40">J24-M24</f>
        <v>58</v>
      </c>
      <c r="M24" s="57">
        <f>+M28+90</f>
        <v>1250</v>
      </c>
      <c r="N24" s="11">
        <f>M24-I24</f>
        <v>0</v>
      </c>
      <c r="O24" s="18">
        <f t="shared" si="38"/>
        <v>0</v>
      </c>
      <c r="P24" s="49">
        <f t="shared" ref="P24:P32" si="41">M24-$R$2</f>
        <v>-30</v>
      </c>
      <c r="Q24" s="18">
        <f t="shared" ref="Q24:Q32" si="42">P24/$R$2</f>
        <v>-2.34375E-2</v>
      </c>
      <c r="R24" s="122"/>
    </row>
    <row r="25" spans="2:21" s="2" customFormat="1" ht="22.5" hidden="1" customHeight="1">
      <c r="B25" s="10">
        <f t="shared" si="6"/>
        <v>17</v>
      </c>
      <c r="C25" s="79"/>
      <c r="D25" s="17" t="s">
        <v>6</v>
      </c>
      <c r="E25" s="10" t="s">
        <v>23</v>
      </c>
      <c r="F25" s="11">
        <v>1248</v>
      </c>
      <c r="G25" s="18">
        <v>4.6474358974358976E-2</v>
      </c>
      <c r="H25" s="11">
        <v>58</v>
      </c>
      <c r="I25" s="57">
        <v>1190</v>
      </c>
      <c r="J25" s="11">
        <f>J26</f>
        <v>1248</v>
      </c>
      <c r="K25" s="18">
        <f t="shared" si="39"/>
        <v>4.6474358974358976E-2</v>
      </c>
      <c r="L25" s="11">
        <f t="shared" si="40"/>
        <v>58</v>
      </c>
      <c r="M25" s="57">
        <f>+M28+30</f>
        <v>1190</v>
      </c>
      <c r="N25" s="11">
        <f t="shared" ref="N25:N32" si="43">M25-I25</f>
        <v>0</v>
      </c>
      <c r="O25" s="18">
        <f t="shared" si="38"/>
        <v>0</v>
      </c>
      <c r="P25" s="49">
        <f t="shared" si="41"/>
        <v>-90</v>
      </c>
      <c r="Q25" s="18">
        <f t="shared" si="42"/>
        <v>-7.03125E-2</v>
      </c>
      <c r="R25" s="123"/>
    </row>
    <row r="26" spans="2:21" s="2" customFormat="1" ht="22.5" hidden="1" customHeight="1">
      <c r="B26" s="10">
        <f t="shared" si="6"/>
        <v>18</v>
      </c>
      <c r="C26" s="121" t="s">
        <v>129</v>
      </c>
      <c r="D26" s="17" t="s">
        <v>144</v>
      </c>
      <c r="E26" s="10" t="s">
        <v>23</v>
      </c>
      <c r="F26" s="11">
        <v>1248</v>
      </c>
      <c r="G26" s="18">
        <v>4.6474358974358976E-2</v>
      </c>
      <c r="H26" s="11">
        <v>58</v>
      </c>
      <c r="I26" s="57">
        <v>1190</v>
      </c>
      <c r="J26" s="11">
        <f>J27+30</f>
        <v>1248</v>
      </c>
      <c r="K26" s="18">
        <f t="shared" si="39"/>
        <v>4.6474358974358976E-2</v>
      </c>
      <c r="L26" s="11">
        <f t="shared" si="40"/>
        <v>58</v>
      </c>
      <c r="M26" s="57">
        <f>+M28+30</f>
        <v>1190</v>
      </c>
      <c r="N26" s="11">
        <f t="shared" si="43"/>
        <v>0</v>
      </c>
      <c r="O26" s="18">
        <f t="shared" si="38"/>
        <v>0</v>
      </c>
      <c r="P26" s="49">
        <f t="shared" si="41"/>
        <v>-90</v>
      </c>
      <c r="Q26" s="18">
        <f t="shared" si="42"/>
        <v>-7.03125E-2</v>
      </c>
      <c r="R26" s="123"/>
    </row>
    <row r="27" spans="2:21" s="2" customFormat="1" ht="22.5" hidden="1" customHeight="1">
      <c r="B27" s="10">
        <f t="shared" si="6"/>
        <v>19</v>
      </c>
      <c r="C27" s="121" t="s">
        <v>132</v>
      </c>
      <c r="D27" s="17" t="s">
        <v>143</v>
      </c>
      <c r="E27" s="10" t="s">
        <v>24</v>
      </c>
      <c r="F27" s="11">
        <v>1218</v>
      </c>
      <c r="G27" s="18">
        <v>4.7619047619047616E-2</v>
      </c>
      <c r="H27" s="11">
        <v>58</v>
      </c>
      <c r="I27" s="57">
        <v>1160</v>
      </c>
      <c r="J27" s="11">
        <f>M27*1.05</f>
        <v>1218</v>
      </c>
      <c r="K27" s="18">
        <f t="shared" si="39"/>
        <v>4.7619047619047616E-2</v>
      </c>
      <c r="L27" s="11">
        <f t="shared" si="40"/>
        <v>58</v>
      </c>
      <c r="M27" s="57">
        <f>M28</f>
        <v>1160</v>
      </c>
      <c r="N27" s="11">
        <f t="shared" si="43"/>
        <v>0</v>
      </c>
      <c r="O27" s="18">
        <f t="shared" si="38"/>
        <v>0</v>
      </c>
      <c r="P27" s="49">
        <f t="shared" si="41"/>
        <v>-120</v>
      </c>
      <c r="Q27" s="18">
        <f t="shared" si="42"/>
        <v>-9.375E-2</v>
      </c>
      <c r="R27" s="123"/>
    </row>
    <row r="28" spans="2:21" s="2" customFormat="1" ht="22.5" hidden="1" customHeight="1">
      <c r="B28" s="10">
        <f t="shared" si="6"/>
        <v>20</v>
      </c>
      <c r="C28" s="121" t="s">
        <v>130</v>
      </c>
      <c r="D28" s="17" t="s">
        <v>142</v>
      </c>
      <c r="E28" s="10" t="s">
        <v>24</v>
      </c>
      <c r="F28" s="11">
        <v>1218</v>
      </c>
      <c r="G28" s="18">
        <v>4.7619047619047616E-2</v>
      </c>
      <c r="H28" s="11">
        <v>58</v>
      </c>
      <c r="I28" s="57">
        <v>1160</v>
      </c>
      <c r="J28" s="11">
        <f>J27</f>
        <v>1218</v>
      </c>
      <c r="K28" s="18">
        <f t="shared" si="39"/>
        <v>4.7619047619047616E-2</v>
      </c>
      <c r="L28" s="11">
        <f t="shared" si="40"/>
        <v>58</v>
      </c>
      <c r="M28" s="57">
        <f>M29+30</f>
        <v>1160</v>
      </c>
      <c r="N28" s="11">
        <f t="shared" si="43"/>
        <v>0</v>
      </c>
      <c r="O28" s="18">
        <f t="shared" si="38"/>
        <v>0</v>
      </c>
      <c r="P28" s="49">
        <f t="shared" si="41"/>
        <v>-120</v>
      </c>
      <c r="Q28" s="18">
        <f t="shared" si="42"/>
        <v>-9.375E-2</v>
      </c>
      <c r="R28" s="123"/>
    </row>
    <row r="29" spans="2:21" s="2" customFormat="1" ht="22.5" hidden="1" customHeight="1">
      <c r="B29" s="10">
        <f t="shared" si="6"/>
        <v>21</v>
      </c>
      <c r="C29" s="79"/>
      <c r="D29" s="17" t="s">
        <v>5</v>
      </c>
      <c r="E29" s="10" t="s">
        <v>25</v>
      </c>
      <c r="F29" s="11">
        <v>1188</v>
      </c>
      <c r="G29" s="18">
        <v>4.8821548821548821E-2</v>
      </c>
      <c r="H29" s="11">
        <v>58</v>
      </c>
      <c r="I29" s="57">
        <v>1130</v>
      </c>
      <c r="J29" s="11">
        <f>J28-30</f>
        <v>1188</v>
      </c>
      <c r="K29" s="18">
        <f t="shared" si="39"/>
        <v>4.8821548821548821E-2</v>
      </c>
      <c r="L29" s="11">
        <f t="shared" si="40"/>
        <v>58</v>
      </c>
      <c r="M29" s="57">
        <f>M31+30</f>
        <v>1130</v>
      </c>
      <c r="N29" s="11">
        <f t="shared" si="43"/>
        <v>0</v>
      </c>
      <c r="O29" s="18">
        <f t="shared" si="38"/>
        <v>0</v>
      </c>
      <c r="P29" s="49">
        <f t="shared" si="41"/>
        <v>-150</v>
      </c>
      <c r="Q29" s="18">
        <f t="shared" si="42"/>
        <v>-0.1171875</v>
      </c>
      <c r="R29" s="123"/>
    </row>
    <row r="30" spans="2:21" s="2" customFormat="1" ht="22.5" hidden="1" customHeight="1">
      <c r="B30" s="10">
        <f t="shared" si="6"/>
        <v>22</v>
      </c>
      <c r="C30" s="79"/>
      <c r="D30" s="17" t="s">
        <v>84</v>
      </c>
      <c r="E30" s="10" t="s">
        <v>25</v>
      </c>
      <c r="F30" s="11">
        <v>1158</v>
      </c>
      <c r="G30" s="18">
        <v>2.4179620034542316E-2</v>
      </c>
      <c r="H30" s="11">
        <v>28</v>
      </c>
      <c r="I30" s="57">
        <v>1130</v>
      </c>
      <c r="J30" s="11">
        <f>J29-30</f>
        <v>1158</v>
      </c>
      <c r="K30" s="18">
        <f t="shared" si="39"/>
        <v>2.4179620034542316E-2</v>
      </c>
      <c r="L30" s="11">
        <f t="shared" si="40"/>
        <v>28</v>
      </c>
      <c r="M30" s="57">
        <f>M31+30</f>
        <v>1130</v>
      </c>
      <c r="N30" s="11">
        <f t="shared" si="43"/>
        <v>0</v>
      </c>
      <c r="O30" s="18">
        <f t="shared" si="38"/>
        <v>0</v>
      </c>
      <c r="P30" s="49">
        <f t="shared" si="41"/>
        <v>-150</v>
      </c>
      <c r="Q30" s="18">
        <f t="shared" si="42"/>
        <v>-0.1171875</v>
      </c>
      <c r="R30" s="123"/>
    </row>
    <row r="31" spans="2:21" s="2" customFormat="1" ht="22.5" hidden="1" customHeight="1">
      <c r="B31" s="10">
        <f t="shared" si="6"/>
        <v>23</v>
      </c>
      <c r="C31" s="79"/>
      <c r="D31" s="17" t="s">
        <v>4</v>
      </c>
      <c r="E31" s="10" t="s">
        <v>26</v>
      </c>
      <c r="F31" s="11">
        <v>1148</v>
      </c>
      <c r="G31" s="18">
        <v>4.1811846689895474E-2</v>
      </c>
      <c r="H31" s="11">
        <v>48</v>
      </c>
      <c r="I31" s="57">
        <v>1100</v>
      </c>
      <c r="J31" s="11">
        <f>+J28-70</f>
        <v>1148</v>
      </c>
      <c r="K31" s="18">
        <f t="shared" si="39"/>
        <v>4.1811846689895474E-2</v>
      </c>
      <c r="L31" s="11">
        <f t="shared" si="40"/>
        <v>48</v>
      </c>
      <c r="M31" s="57">
        <v>1100</v>
      </c>
      <c r="N31" s="11">
        <f t="shared" si="43"/>
        <v>0</v>
      </c>
      <c r="O31" s="18">
        <f t="shared" si="38"/>
        <v>0</v>
      </c>
      <c r="P31" s="49">
        <f t="shared" si="41"/>
        <v>-180</v>
      </c>
      <c r="Q31" s="18">
        <f t="shared" si="42"/>
        <v>-0.140625</v>
      </c>
      <c r="R31" s="123"/>
    </row>
    <row r="32" spans="2:21" s="2" customFormat="1" ht="22.5" hidden="1" customHeight="1">
      <c r="B32" s="10">
        <v>20</v>
      </c>
      <c r="C32" s="121" t="s">
        <v>131</v>
      </c>
      <c r="D32" s="17" t="s">
        <v>141</v>
      </c>
      <c r="E32" s="10" t="s">
        <v>26</v>
      </c>
      <c r="F32" s="11">
        <v>1118</v>
      </c>
      <c r="G32" s="18">
        <v>1.6100178890876567E-2</v>
      </c>
      <c r="H32" s="11">
        <v>18</v>
      </c>
      <c r="I32" s="57">
        <v>1100</v>
      </c>
      <c r="J32" s="11">
        <f>+J29-70</f>
        <v>1118</v>
      </c>
      <c r="K32" s="18">
        <f t="shared" si="39"/>
        <v>1.6100178890876567E-2</v>
      </c>
      <c r="L32" s="11">
        <f t="shared" si="40"/>
        <v>18</v>
      </c>
      <c r="M32" s="57">
        <v>1100</v>
      </c>
      <c r="N32" s="11">
        <f t="shared" si="43"/>
        <v>0</v>
      </c>
      <c r="O32" s="18">
        <f t="shared" si="38"/>
        <v>0</v>
      </c>
      <c r="P32" s="49">
        <f t="shared" si="41"/>
        <v>-180</v>
      </c>
      <c r="Q32" s="18">
        <f t="shared" si="42"/>
        <v>-0.140625</v>
      </c>
    </row>
    <row r="33" spans="2:18" s="2" customFormat="1" ht="15" customHeight="1">
      <c r="B33" s="12"/>
      <c r="C33" s="12"/>
      <c r="D33" s="12"/>
      <c r="E33" s="12"/>
      <c r="F33" s="12"/>
      <c r="G33" s="13"/>
      <c r="H33" s="13"/>
      <c r="I33" s="13"/>
      <c r="J33" s="12"/>
      <c r="K33" s="13"/>
      <c r="L33" s="13"/>
      <c r="M33" s="13"/>
      <c r="N33" s="19"/>
      <c r="O33" s="19"/>
      <c r="P33" s="19"/>
      <c r="Q33" s="19"/>
      <c r="R33" s="68"/>
    </row>
    <row r="34" spans="2:18" ht="10.75" customHeight="1">
      <c r="G34" s="5"/>
      <c r="H34" s="5"/>
      <c r="I34" s="5"/>
      <c r="K34" s="5"/>
      <c r="L34" s="5"/>
      <c r="M34" s="6"/>
      <c r="N34" s="6"/>
      <c r="O34" s="6"/>
      <c r="P34" s="6"/>
    </row>
    <row r="35" spans="2:18" s="33" customFormat="1" ht="13.75" customHeight="1">
      <c r="B35" s="60" t="s">
        <v>7</v>
      </c>
      <c r="G35" s="30"/>
      <c r="H35" s="30"/>
      <c r="I35" s="30"/>
      <c r="K35" s="30"/>
      <c r="L35" s="30"/>
      <c r="M35" s="30"/>
      <c r="N35" s="30"/>
      <c r="O35" s="30"/>
      <c r="P35" s="30"/>
      <c r="R35" s="54"/>
    </row>
    <row r="36" spans="2:18" s="33" customFormat="1" ht="16.5">
      <c r="B36" s="33" t="s">
        <v>39</v>
      </c>
      <c r="G36" s="48">
        <v>20</v>
      </c>
      <c r="M36" s="35"/>
      <c r="N36" s="35"/>
      <c r="P36" s="35"/>
      <c r="R36" s="54"/>
    </row>
    <row r="37" spans="2:18" s="33" customFormat="1" ht="16.5">
      <c r="B37" s="33" t="s">
        <v>117</v>
      </c>
      <c r="Q37" s="36"/>
      <c r="R37" s="54"/>
    </row>
    <row r="38" spans="2:18" s="33" customFormat="1" ht="16.5">
      <c r="B38" s="33" t="s">
        <v>47</v>
      </c>
      <c r="Q38" s="36"/>
      <c r="R38" s="54"/>
    </row>
    <row r="39" spans="2:18" s="33" customFormat="1" ht="16.5">
      <c r="Q39" s="36"/>
      <c r="R39" s="54"/>
    </row>
    <row r="40" spans="2:18" s="33" customFormat="1" ht="16.5">
      <c r="Q40" s="36"/>
      <c r="R40" s="54"/>
    </row>
    <row r="41" spans="2:18" s="33" customFormat="1" ht="16.5">
      <c r="Q41" s="36"/>
      <c r="R41" s="54"/>
    </row>
    <row r="42" spans="2:18" s="33" customFormat="1" ht="16.5">
      <c r="Q42" s="36"/>
      <c r="R42" s="54"/>
    </row>
    <row r="43" spans="2:18" s="33" customFormat="1" ht="16.5">
      <c r="Q43" s="36"/>
      <c r="R43" s="54"/>
    </row>
    <row r="44" spans="2:18" s="33" customFormat="1" ht="16.5">
      <c r="Q44" s="36"/>
      <c r="R44" s="54"/>
    </row>
    <row r="45" spans="2:18" s="33" customFormat="1" ht="16.5">
      <c r="Q45" s="36" t="s">
        <v>407</v>
      </c>
      <c r="R45" s="54"/>
    </row>
    <row r="46" spans="2:18" s="28" customFormat="1" ht="16.5">
      <c r="B46" s="26"/>
      <c r="C46" s="29" t="s">
        <v>409</v>
      </c>
      <c r="D46" s="27"/>
      <c r="E46" s="29" t="s">
        <v>408</v>
      </c>
      <c r="F46" s="29"/>
      <c r="G46" s="29" t="s">
        <v>405</v>
      </c>
      <c r="H46" s="29"/>
      <c r="I46" s="29"/>
      <c r="J46" s="29" t="s">
        <v>28</v>
      </c>
      <c r="L46" s="29"/>
      <c r="M46" s="29" t="s">
        <v>20</v>
      </c>
      <c r="N46" s="29"/>
      <c r="O46" s="27"/>
      <c r="P46" s="27" t="s">
        <v>21</v>
      </c>
      <c r="R46" s="56"/>
    </row>
    <row r="47" spans="2:18" s="28" customFormat="1" ht="16.5">
      <c r="B47" s="26"/>
      <c r="C47" s="29"/>
      <c r="D47" s="46"/>
      <c r="F47" s="29"/>
      <c r="G47" s="29"/>
      <c r="I47" s="29"/>
      <c r="J47" s="29"/>
      <c r="O47" s="27"/>
      <c r="P47" s="29"/>
      <c r="R47" s="56"/>
    </row>
    <row r="48" spans="2:18" s="28" customFormat="1" ht="16.5">
      <c r="B48" s="26"/>
      <c r="C48" s="29"/>
      <c r="D48" s="46"/>
      <c r="F48" s="29"/>
      <c r="G48" s="29"/>
      <c r="I48" s="29"/>
      <c r="J48" s="29"/>
      <c r="O48" s="27"/>
      <c r="P48" s="29"/>
      <c r="R48" s="56"/>
    </row>
    <row r="49" spans="2:18" s="28" customFormat="1" ht="16.5">
      <c r="B49" s="26"/>
      <c r="C49" s="29"/>
      <c r="D49" s="46"/>
      <c r="F49" s="29"/>
      <c r="G49" s="29"/>
      <c r="I49" s="29"/>
      <c r="J49" s="29"/>
      <c r="O49" s="27"/>
      <c r="P49" s="29"/>
      <c r="R49" s="56"/>
    </row>
    <row r="50" spans="2:18" s="28" customFormat="1" ht="16.5">
      <c r="B50" s="31"/>
      <c r="C50" s="32"/>
      <c r="D50" s="47"/>
      <c r="F50" s="32"/>
      <c r="G50" s="32"/>
      <c r="I50" s="32"/>
      <c r="J50" s="32"/>
      <c r="O50" s="27"/>
      <c r="P50" s="29"/>
      <c r="R50" s="56"/>
    </row>
    <row r="51" spans="2:18" s="28" customFormat="1" ht="16.5">
      <c r="B51" s="31"/>
      <c r="C51" s="32"/>
      <c r="D51" s="47"/>
      <c r="F51" s="32"/>
      <c r="G51" s="32"/>
      <c r="I51" s="32"/>
      <c r="J51" s="32"/>
      <c r="O51" s="27"/>
      <c r="P51" s="29"/>
      <c r="Q51" s="28" t="s">
        <v>8</v>
      </c>
      <c r="R51" s="56"/>
    </row>
    <row r="52" spans="2:18" s="28" customFormat="1" ht="16.5">
      <c r="B52" s="26"/>
      <c r="C52" s="29"/>
      <c r="D52" s="46"/>
      <c r="F52" s="29"/>
      <c r="G52" s="29"/>
      <c r="I52" s="29"/>
      <c r="J52" s="29"/>
      <c r="O52" s="27"/>
      <c r="P52" s="29"/>
      <c r="R52" s="56"/>
    </row>
    <row r="53" spans="2:18" s="28" customFormat="1" ht="16.5">
      <c r="B53" s="26"/>
      <c r="C53" s="368" t="s">
        <v>403</v>
      </c>
      <c r="D53" s="368"/>
      <c r="E53" s="28" t="s">
        <v>29</v>
      </c>
      <c r="F53" s="29"/>
      <c r="G53" s="29" t="s">
        <v>406</v>
      </c>
      <c r="H53" s="29"/>
      <c r="I53" s="29"/>
      <c r="J53" s="29" t="s">
        <v>30</v>
      </c>
      <c r="L53" s="29"/>
      <c r="M53" s="29" t="s">
        <v>198</v>
      </c>
      <c r="N53" s="29"/>
      <c r="O53" s="27"/>
      <c r="P53" s="27" t="s">
        <v>80</v>
      </c>
      <c r="R53" s="56"/>
    </row>
    <row r="54" spans="2:18" s="3" customFormat="1" ht="15.5">
      <c r="D54" s="8"/>
      <c r="E54" s="4"/>
      <c r="F54" s="4"/>
      <c r="G54" s="4"/>
      <c r="H54" s="4"/>
      <c r="I54" s="4"/>
      <c r="J54" s="4"/>
      <c r="K54" s="4"/>
      <c r="L54" s="4"/>
      <c r="M54" s="4"/>
      <c r="N54" s="4"/>
      <c r="O54" s="4"/>
      <c r="P54" s="4"/>
      <c r="R54" s="69"/>
    </row>
    <row r="55" spans="2:18" ht="15.5">
      <c r="D55" s="8"/>
    </row>
    <row r="57" spans="2:18">
      <c r="D57" s="7"/>
      <c r="E57" s="7"/>
      <c r="F57" s="7"/>
      <c r="J57" s="7"/>
    </row>
  </sheetData>
  <mergeCells count="14">
    <mergeCell ref="C53:D53"/>
    <mergeCell ref="O2:Q2"/>
    <mergeCell ref="O3:Q3"/>
    <mergeCell ref="O4:Q4"/>
    <mergeCell ref="B6:B8"/>
    <mergeCell ref="C6:C8"/>
    <mergeCell ref="D6:D8"/>
    <mergeCell ref="E6:E8"/>
    <mergeCell ref="P6:Q7"/>
    <mergeCell ref="F7:I7"/>
    <mergeCell ref="J7:M7"/>
    <mergeCell ref="N7:O7"/>
    <mergeCell ref="D2:N4"/>
    <mergeCell ref="B2:C4"/>
  </mergeCells>
  <conditionalFormatting sqref="O9:O23">
    <cfRule type="iconSet" priority="72">
      <iconSet iconSet="3Arrows">
        <cfvo type="percent" val="0"/>
        <cfvo type="num" val="0"/>
        <cfvo type="num" val="0" gte="0"/>
      </iconSet>
    </cfRule>
  </conditionalFormatting>
  <conditionalFormatting sqref="O24:O30">
    <cfRule type="iconSet" priority="4">
      <iconSet iconSet="3Arrows">
        <cfvo type="percent" val="0"/>
        <cfvo type="num" val="0"/>
        <cfvo type="num" val="0" gte="0"/>
      </iconSet>
    </cfRule>
  </conditionalFormatting>
  <conditionalFormatting sqref="O31:O32">
    <cfRule type="iconSet" priority="2">
      <iconSet iconSet="3Arrows">
        <cfvo type="percent" val="0"/>
        <cfvo type="num" val="0"/>
        <cfvo type="num" val="0" gte="0"/>
      </iconSet>
    </cfRule>
  </conditionalFormatting>
  <conditionalFormatting sqref="Q9:Q23">
    <cfRule type="iconSet" priority="74">
      <iconSet iconSet="3Arrows">
        <cfvo type="percent" val="0"/>
        <cfvo type="num" val="0"/>
        <cfvo type="num" val="0" gte="0"/>
      </iconSet>
    </cfRule>
  </conditionalFormatting>
  <conditionalFormatting sqref="Q24:Q30">
    <cfRule type="iconSet" priority="3">
      <iconSet iconSet="3Arrows">
        <cfvo type="percent" val="0"/>
        <cfvo type="num" val="0"/>
        <cfvo type="num" val="0" gte="0"/>
      </iconSet>
    </cfRule>
  </conditionalFormatting>
  <conditionalFormatting sqref="Q31:Q32">
    <cfRule type="iconSet" priority="1">
      <iconSet iconSet="3Arrows">
        <cfvo type="percent" val="0"/>
        <cfvo type="num" val="0"/>
        <cfvo type="num" val="0" gte="0"/>
      </iconSet>
    </cfRule>
  </conditionalFormatting>
  <printOptions horizontalCentered="1"/>
  <pageMargins left="0.19685039370078741" right="0" top="0" bottom="0" header="0.15748031496062992" footer="0.19685039370078741"/>
  <pageSetup paperSize="9" scale="73"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A558-D1F0-4A95-845C-A46FF76A5D41}">
  <sheetPr>
    <tabColor rgb="FF0000FF"/>
  </sheetPr>
  <dimension ref="A1:AI105"/>
  <sheetViews>
    <sheetView tabSelected="1" topLeftCell="B40" zoomScale="85" zoomScaleNormal="85" workbookViewId="0">
      <selection activeCell="C53" sqref="C53"/>
    </sheetView>
  </sheetViews>
  <sheetFormatPr defaultRowHeight="16.5" outlineLevelRow="1"/>
  <cols>
    <col min="1" max="1" width="8.7265625" style="201"/>
    <col min="2" max="2" width="20.90625" customWidth="1"/>
    <col min="3" max="3" width="30.1796875" customWidth="1"/>
    <col min="4" max="4" width="8.7265625" style="203"/>
    <col min="9" max="12" width="8.7265625" style="201"/>
    <col min="13" max="13" width="8.7265625" style="204"/>
    <col min="14" max="14" width="14.81640625" style="205" customWidth="1"/>
    <col min="15" max="15" width="22.08984375" style="206" customWidth="1"/>
    <col min="16" max="16" width="10.08984375" style="33" customWidth="1"/>
    <col min="17" max="17" width="12.1796875" customWidth="1"/>
    <col min="18" max="18" width="10.36328125" customWidth="1"/>
    <col min="19" max="19" width="13.36328125" bestFit="1" customWidth="1"/>
    <col min="20" max="20" width="9.54296875" bestFit="1" customWidth="1"/>
    <col min="21" max="21" width="10.26953125" customWidth="1"/>
    <col min="22" max="22" width="10.1796875" customWidth="1"/>
    <col min="23" max="23" width="13.36328125" bestFit="1" customWidth="1"/>
    <col min="24" max="25" width="10.6328125" bestFit="1" customWidth="1"/>
    <col min="26" max="26" width="8" bestFit="1" customWidth="1"/>
    <col min="28" max="28" width="8" bestFit="1" customWidth="1"/>
    <col min="32" max="35" width="9.7265625" bestFit="1" customWidth="1"/>
  </cols>
  <sheetData>
    <row r="1" spans="1:35" ht="21" customHeight="1">
      <c r="B1" s="202" t="s">
        <v>204</v>
      </c>
      <c r="P1" s="330"/>
      <c r="Q1" s="331"/>
      <c r="R1" s="331"/>
      <c r="S1" s="331"/>
      <c r="T1" s="331"/>
      <c r="U1" s="331"/>
      <c r="V1" s="331"/>
      <c r="W1" s="332"/>
      <c r="X1" s="14"/>
      <c r="Y1" s="14"/>
      <c r="Z1" s="14"/>
      <c r="AA1" s="14"/>
      <c r="AB1" s="14"/>
      <c r="AC1" s="14"/>
      <c r="AD1" s="327"/>
      <c r="AE1" s="327"/>
      <c r="AF1" s="304"/>
      <c r="AG1" s="304"/>
      <c r="AH1" s="304"/>
      <c r="AI1" s="304"/>
    </row>
    <row r="2" spans="1:35" ht="49.5" customHeight="1">
      <c r="P2" s="353" t="s">
        <v>27</v>
      </c>
      <c r="Q2" s="354"/>
      <c r="R2" s="354"/>
      <c r="S2" s="354"/>
      <c r="T2" s="354"/>
      <c r="U2" s="354"/>
      <c r="V2" s="354"/>
      <c r="W2" s="354"/>
      <c r="X2" s="354"/>
      <c r="Y2" s="354"/>
      <c r="Z2" s="354"/>
      <c r="AA2" s="354"/>
      <c r="AB2" s="354"/>
      <c r="AC2" s="355"/>
      <c r="AD2" s="327"/>
      <c r="AE2" s="327"/>
      <c r="AF2" s="304" t="s">
        <v>440</v>
      </c>
      <c r="AG2" s="304"/>
      <c r="AH2" s="304" t="s">
        <v>441</v>
      </c>
      <c r="AI2" s="304"/>
    </row>
    <row r="3" spans="1:35" ht="48" customHeight="1">
      <c r="P3" s="353" t="str">
        <f>'rPET- nội bộ '!J7&amp;" - PKD"</f>
        <v>Tháng 04 - PKD</v>
      </c>
      <c r="Q3" s="354"/>
      <c r="R3" s="354"/>
      <c r="S3" s="355"/>
      <c r="T3" s="353" t="str">
        <f>'rPET- nội bộ '!J7 &amp;" - GĐDH &amp; TGĐ"</f>
        <v>Tháng 04 - GĐDH &amp; TGĐ</v>
      </c>
      <c r="U3" s="354"/>
      <c r="V3" s="354"/>
      <c r="W3" s="355"/>
      <c r="X3" s="353" t="str">
        <f>'rPET- nội bộ '!N7</f>
        <v>Chênh lệch
 tháng 04 vs tháng 03</v>
      </c>
      <c r="Y3" s="355"/>
      <c r="Z3" s="353" t="s">
        <v>438</v>
      </c>
      <c r="AA3" s="355"/>
      <c r="AB3" s="353" t="s">
        <v>439</v>
      </c>
      <c r="AC3" s="355"/>
      <c r="AD3" s="327" t="s">
        <v>442</v>
      </c>
      <c r="AE3" s="327" t="s">
        <v>443</v>
      </c>
      <c r="AF3" s="304" t="s">
        <v>410</v>
      </c>
      <c r="AG3" s="304" t="s">
        <v>411</v>
      </c>
      <c r="AH3" s="304" t="s">
        <v>410</v>
      </c>
      <c r="AI3" s="304" t="s">
        <v>411</v>
      </c>
    </row>
    <row r="4" spans="1:35" ht="93">
      <c r="A4" s="207" t="s">
        <v>2</v>
      </c>
      <c r="B4" s="207" t="s">
        <v>205</v>
      </c>
      <c r="C4" s="207" t="s">
        <v>206</v>
      </c>
      <c r="D4" s="207" t="s">
        <v>41</v>
      </c>
      <c r="E4" s="208" t="s">
        <v>207</v>
      </c>
      <c r="F4" s="208" t="s">
        <v>208</v>
      </c>
      <c r="G4" s="208" t="s">
        <v>209</v>
      </c>
      <c r="H4" s="209" t="s">
        <v>210</v>
      </c>
      <c r="I4" s="210" t="s">
        <v>211</v>
      </c>
      <c r="J4" s="210" t="s">
        <v>212</v>
      </c>
      <c r="K4" s="210" t="s">
        <v>213</v>
      </c>
      <c r="L4" s="210" t="s">
        <v>214</v>
      </c>
      <c r="M4" s="210" t="s">
        <v>215</v>
      </c>
      <c r="N4" s="210" t="s">
        <v>216</v>
      </c>
      <c r="O4" s="211" t="s">
        <v>217</v>
      </c>
      <c r="P4" s="14" t="s">
        <v>31</v>
      </c>
      <c r="Q4" s="14" t="s">
        <v>37</v>
      </c>
      <c r="R4" s="14" t="s">
        <v>35</v>
      </c>
      <c r="S4" s="82" t="s">
        <v>36</v>
      </c>
      <c r="T4" s="14" t="s">
        <v>31</v>
      </c>
      <c r="U4" s="14" t="s">
        <v>37</v>
      </c>
      <c r="V4" s="14" t="s">
        <v>35</v>
      </c>
      <c r="W4" s="82" t="s">
        <v>36</v>
      </c>
      <c r="X4" s="20" t="s">
        <v>174</v>
      </c>
      <c r="Y4" s="20" t="s">
        <v>33</v>
      </c>
      <c r="Z4" s="20" t="s">
        <v>174</v>
      </c>
      <c r="AA4" s="20" t="s">
        <v>33</v>
      </c>
      <c r="AB4" s="20" t="s">
        <v>174</v>
      </c>
      <c r="AC4" s="20" t="s">
        <v>33</v>
      </c>
      <c r="AD4" s="327"/>
      <c r="AE4" s="327"/>
    </row>
    <row r="5" spans="1:35" s="218" customFormat="1">
      <c r="A5" s="212" t="s">
        <v>69</v>
      </c>
      <c r="B5" s="213" t="s">
        <v>220</v>
      </c>
      <c r="C5" s="213"/>
      <c r="D5" s="214"/>
      <c r="E5" s="213"/>
      <c r="F5" s="213"/>
      <c r="G5" s="213"/>
      <c r="H5" s="213"/>
      <c r="I5" s="212"/>
      <c r="J5" s="212"/>
      <c r="K5" s="212"/>
      <c r="L5" s="212"/>
      <c r="M5" s="215"/>
      <c r="N5" s="216"/>
      <c r="O5" s="217"/>
      <c r="P5" s="297"/>
      <c r="Q5" s="213"/>
      <c r="R5" s="213"/>
      <c r="S5" s="213"/>
      <c r="T5" s="213"/>
      <c r="U5" s="213"/>
      <c r="V5" s="213"/>
      <c r="W5" s="213"/>
      <c r="X5" s="213"/>
      <c r="Y5" s="213"/>
      <c r="Z5" s="213"/>
      <c r="AA5" s="213"/>
      <c r="AB5" s="213"/>
      <c r="AC5" s="213"/>
      <c r="AD5" s="328"/>
      <c r="AE5" s="328"/>
      <c r="AF5" s="328"/>
      <c r="AG5" s="328"/>
      <c r="AH5" s="328"/>
      <c r="AI5" s="328"/>
    </row>
    <row r="6" spans="1:35" s="218" customFormat="1">
      <c r="A6" s="219" t="s">
        <v>43</v>
      </c>
      <c r="B6" s="220" t="s">
        <v>221</v>
      </c>
      <c r="C6" s="220"/>
      <c r="D6" s="221"/>
      <c r="E6" s="220"/>
      <c r="F6" s="220"/>
      <c r="G6" s="220"/>
      <c r="H6" s="220"/>
      <c r="I6" s="219"/>
      <c r="J6" s="219"/>
      <c r="K6" s="219"/>
      <c r="L6" s="219"/>
      <c r="M6" s="222"/>
      <c r="N6" s="223"/>
      <c r="O6" s="224"/>
      <c r="P6" s="298"/>
      <c r="Q6" s="301"/>
      <c r="R6" s="301"/>
      <c r="S6" s="301"/>
      <c r="T6" s="301"/>
      <c r="U6" s="301"/>
      <c r="V6" s="301"/>
      <c r="W6" s="301"/>
      <c r="X6" s="301"/>
      <c r="Y6" s="301"/>
      <c r="Z6" s="301"/>
      <c r="AA6" s="301"/>
      <c r="AB6" s="301"/>
      <c r="AC6" s="301"/>
      <c r="AD6" s="329"/>
      <c r="AE6" s="329"/>
      <c r="AF6" s="329"/>
      <c r="AG6" s="329"/>
      <c r="AH6" s="329"/>
      <c r="AI6" s="329"/>
    </row>
    <row r="7" spans="1:35" outlineLevel="1">
      <c r="A7" s="225">
        <v>1</v>
      </c>
      <c r="B7" s="226" t="s">
        <v>13</v>
      </c>
      <c r="C7" s="227" t="s">
        <v>136</v>
      </c>
      <c r="D7" s="228"/>
      <c r="E7" s="229">
        <v>503605</v>
      </c>
      <c r="F7" s="230">
        <v>2663100</v>
      </c>
      <c r="G7" s="230">
        <v>1160</v>
      </c>
      <c r="H7" s="231">
        <v>1160</v>
      </c>
      <c r="I7" s="232">
        <v>0</v>
      </c>
      <c r="J7" s="232"/>
      <c r="K7" s="232"/>
      <c r="L7" s="233">
        <v>1057.7957262938128</v>
      </c>
      <c r="M7" s="234">
        <v>102.20427370618722</v>
      </c>
      <c r="N7" s="235">
        <v>8.8107132505333807E-2</v>
      </c>
      <c r="O7" s="236"/>
      <c r="P7" s="299">
        <f>'KTQT_Trình bày'!Z7</f>
        <v>1197.6363213098548</v>
      </c>
      <c r="Q7" s="130">
        <v>0.03</v>
      </c>
      <c r="R7" s="302">
        <f>P7*Q7</f>
        <v>35.92908963929564</v>
      </c>
      <c r="S7" s="302">
        <f>P7-R7</f>
        <v>1161.7072316705592</v>
      </c>
      <c r="T7" s="302">
        <f>P7</f>
        <v>1197.6363213098548</v>
      </c>
      <c r="U7" s="130">
        <v>0.1</v>
      </c>
      <c r="V7" s="302">
        <f>T7*U7</f>
        <v>119.76363213098548</v>
      </c>
      <c r="W7" s="302">
        <f>T7-V7</f>
        <v>1077.8726891788692</v>
      </c>
      <c r="X7" s="303">
        <f>P7-G7</f>
        <v>37.636321309854793</v>
      </c>
      <c r="Y7" s="130">
        <f>X7/G7</f>
        <v>3.2445104577461026E-2</v>
      </c>
      <c r="Z7" s="303">
        <f>P7-AF7</f>
        <v>57.636321309854793</v>
      </c>
      <c r="AA7" s="130">
        <f>Z7/AF7</f>
        <v>5.0558176587591923E-2</v>
      </c>
      <c r="AB7" s="303">
        <f>P7-AG7</f>
        <v>-102.36367869014521</v>
      </c>
      <c r="AC7" s="130">
        <f>AB7/AG7</f>
        <v>-7.8741291300111704E-2</v>
      </c>
      <c r="AD7" s="333">
        <f>AF7-AH7</f>
        <v>300</v>
      </c>
      <c r="AE7" s="333">
        <f>AG7-AI7</f>
        <v>150</v>
      </c>
      <c r="AF7" s="316">
        <v>1140</v>
      </c>
      <c r="AG7" s="316">
        <v>1300</v>
      </c>
      <c r="AH7" s="316">
        <v>840</v>
      </c>
      <c r="AI7" s="316">
        <v>1150</v>
      </c>
    </row>
    <row r="8" spans="1:35" outlineLevel="1">
      <c r="A8" s="225">
        <v>2</v>
      </c>
      <c r="B8" s="227" t="s">
        <v>11</v>
      </c>
      <c r="C8" s="227" t="s">
        <v>137</v>
      </c>
      <c r="D8" s="228"/>
      <c r="E8" s="230">
        <v>154879.75</v>
      </c>
      <c r="F8" s="230">
        <v>25300</v>
      </c>
      <c r="G8" s="230">
        <v>1190</v>
      </c>
      <c r="H8" s="231">
        <v>1190</v>
      </c>
      <c r="I8" s="232">
        <v>0</v>
      </c>
      <c r="J8" s="232"/>
      <c r="K8" s="232"/>
      <c r="L8" s="233">
        <v>1057.7957262938128</v>
      </c>
      <c r="M8" s="234">
        <v>132.20427370618722</v>
      </c>
      <c r="N8" s="235">
        <v>0.11109602832452707</v>
      </c>
      <c r="O8" s="236"/>
      <c r="P8" s="299">
        <f>'KTQT_Trình bày'!Z8</f>
        <v>1197.6363213098548</v>
      </c>
      <c r="Q8" s="130">
        <v>0.03</v>
      </c>
      <c r="R8" s="302">
        <f t="shared" ref="R8:R14" si="0">P8*Q8</f>
        <v>35.92908963929564</v>
      </c>
      <c r="S8" s="302">
        <f t="shared" ref="S8:S14" si="1">P8-R8</f>
        <v>1161.7072316705592</v>
      </c>
      <c r="T8" s="302">
        <f t="shared" ref="T8:T14" si="2">P8</f>
        <v>1197.6363213098548</v>
      </c>
      <c r="U8" s="130">
        <v>0.1</v>
      </c>
      <c r="V8" s="302">
        <f t="shared" ref="V8:V14" si="3">T8*U8</f>
        <v>119.76363213098548</v>
      </c>
      <c r="W8" s="302">
        <f t="shared" ref="W8:W14" si="4">T8-V8</f>
        <v>1077.8726891788692</v>
      </c>
      <c r="X8" s="303">
        <f t="shared" ref="X8:X14" si="5">P8-G8</f>
        <v>7.6363213098547931</v>
      </c>
      <c r="Y8" s="130">
        <f t="shared" ref="Y8:Y14" si="6">X8/G8</f>
        <v>6.4170767309704143E-3</v>
      </c>
      <c r="Z8" s="303">
        <f t="shared" ref="Z8:Z14" si="7">P8-AF8</f>
        <v>57.636321309854793</v>
      </c>
      <c r="AA8" s="130">
        <f t="shared" ref="AA8:AA14" si="8">Z8/AF8</f>
        <v>5.0558176587591923E-2</v>
      </c>
      <c r="AB8" s="303">
        <f t="shared" ref="AB8:AB14" si="9">P8-AG8</f>
        <v>-102.36367869014521</v>
      </c>
      <c r="AC8" s="130">
        <f t="shared" ref="AC8:AC14" si="10">AB8/AG8</f>
        <v>-7.8741291300111704E-2</v>
      </c>
      <c r="AD8" s="333">
        <f t="shared" ref="AD8:AD14" si="11">AF8-AH8</f>
        <v>300</v>
      </c>
      <c r="AE8" s="333">
        <f t="shared" ref="AE8:AE14" si="12">AG8-AI8</f>
        <v>150</v>
      </c>
      <c r="AF8" s="316">
        <v>1140</v>
      </c>
      <c r="AG8" s="316">
        <v>1300</v>
      </c>
      <c r="AH8" s="316">
        <v>840</v>
      </c>
      <c r="AI8" s="316">
        <v>1150</v>
      </c>
    </row>
    <row r="9" spans="1:35" outlineLevel="1">
      <c r="A9" s="225">
        <v>3</v>
      </c>
      <c r="B9" s="227" t="s">
        <v>10</v>
      </c>
      <c r="C9" s="227" t="s">
        <v>139</v>
      </c>
      <c r="D9" s="228"/>
      <c r="E9" s="230">
        <v>788631.35</v>
      </c>
      <c r="F9" s="230">
        <v>616000</v>
      </c>
      <c r="G9" s="230">
        <v>1250</v>
      </c>
      <c r="H9" s="231">
        <v>1250</v>
      </c>
      <c r="I9" s="232">
        <v>0</v>
      </c>
      <c r="J9" s="232"/>
      <c r="K9" s="232"/>
      <c r="L9" s="233">
        <v>1113.7705258932212</v>
      </c>
      <c r="M9" s="234">
        <v>136.22947410677875</v>
      </c>
      <c r="N9" s="235">
        <v>0.108983579285423</v>
      </c>
      <c r="O9" s="236"/>
      <c r="P9" s="299">
        <f>'KTQT_Trình bày'!Z9</f>
        <v>1261.0109894163049</v>
      </c>
      <c r="Q9" s="130">
        <v>0.03</v>
      </c>
      <c r="R9" s="302">
        <f t="shared" si="0"/>
        <v>37.830329682489143</v>
      </c>
      <c r="S9" s="302">
        <f t="shared" si="1"/>
        <v>1223.1806597338159</v>
      </c>
      <c r="T9" s="302">
        <f t="shared" si="2"/>
        <v>1261.0109894163049</v>
      </c>
      <c r="U9" s="130">
        <v>0.1</v>
      </c>
      <c r="V9" s="302">
        <f t="shared" si="3"/>
        <v>126.1010989416305</v>
      </c>
      <c r="W9" s="302">
        <f t="shared" si="4"/>
        <v>1134.9098904746745</v>
      </c>
      <c r="X9" s="303">
        <f t="shared" si="5"/>
        <v>11.010989416304938</v>
      </c>
      <c r="Y9" s="130">
        <f t="shared" si="6"/>
        <v>8.8087915330439508E-3</v>
      </c>
      <c r="Z9" s="303">
        <f t="shared" si="7"/>
        <v>121.01098941630494</v>
      </c>
      <c r="AA9" s="130">
        <f t="shared" si="8"/>
        <v>0.10614999071605696</v>
      </c>
      <c r="AB9" s="303">
        <f t="shared" si="9"/>
        <v>-38.989010583695062</v>
      </c>
      <c r="AC9" s="130">
        <f t="shared" si="10"/>
        <v>-2.9991546602842357E-2</v>
      </c>
      <c r="AD9" s="333">
        <f t="shared" si="11"/>
        <v>300</v>
      </c>
      <c r="AE9" s="333">
        <f t="shared" si="12"/>
        <v>150</v>
      </c>
      <c r="AF9" s="316">
        <v>1140</v>
      </c>
      <c r="AG9" s="316">
        <v>1300</v>
      </c>
      <c r="AH9" s="316">
        <v>840</v>
      </c>
      <c r="AI9" s="316">
        <v>1150</v>
      </c>
    </row>
    <row r="10" spans="1:35" outlineLevel="1">
      <c r="A10" s="225">
        <v>4</v>
      </c>
      <c r="B10" s="227" t="s">
        <v>85</v>
      </c>
      <c r="C10" s="227" t="s">
        <v>86</v>
      </c>
      <c r="D10" s="228"/>
      <c r="E10" s="230">
        <v>1999804.7000000002</v>
      </c>
      <c r="F10" s="230">
        <v>244200</v>
      </c>
      <c r="G10" s="230">
        <v>1090</v>
      </c>
      <c r="H10" s="231">
        <v>1090</v>
      </c>
      <c r="I10" s="232">
        <v>0</v>
      </c>
      <c r="J10" s="232"/>
      <c r="K10" s="232"/>
      <c r="L10" s="233">
        <v>1057.7957262938128</v>
      </c>
      <c r="M10" s="234">
        <v>32.204273706187223</v>
      </c>
      <c r="N10" s="235">
        <v>2.954520523503415E-2</v>
      </c>
      <c r="O10" s="236"/>
      <c r="P10" s="299">
        <f>'KTQT_Trình bày'!Z10</f>
        <v>1197.6363213098548</v>
      </c>
      <c r="Q10" s="130">
        <v>0.03</v>
      </c>
      <c r="R10" s="302">
        <f t="shared" si="0"/>
        <v>35.92908963929564</v>
      </c>
      <c r="S10" s="302">
        <f t="shared" si="1"/>
        <v>1161.7072316705592</v>
      </c>
      <c r="T10" s="302">
        <f t="shared" si="2"/>
        <v>1197.6363213098548</v>
      </c>
      <c r="U10" s="130">
        <v>0.1</v>
      </c>
      <c r="V10" s="302">
        <f t="shared" si="3"/>
        <v>119.76363213098548</v>
      </c>
      <c r="W10" s="302">
        <f t="shared" si="4"/>
        <v>1077.8726891788692</v>
      </c>
      <c r="X10" s="303">
        <f t="shared" si="5"/>
        <v>107.63632130985479</v>
      </c>
      <c r="Y10" s="130">
        <f t="shared" si="6"/>
        <v>9.8748918632894311E-2</v>
      </c>
      <c r="Z10" s="303">
        <f t="shared" si="7"/>
        <v>57.636321309854793</v>
      </c>
      <c r="AA10" s="130">
        <f t="shared" si="8"/>
        <v>5.0558176587591923E-2</v>
      </c>
      <c r="AB10" s="303">
        <f t="shared" si="9"/>
        <v>-102.36367869014521</v>
      </c>
      <c r="AC10" s="130">
        <f t="shared" si="10"/>
        <v>-7.8741291300111704E-2</v>
      </c>
      <c r="AD10" s="333">
        <f t="shared" si="11"/>
        <v>300</v>
      </c>
      <c r="AE10" s="333">
        <f t="shared" si="12"/>
        <v>150</v>
      </c>
      <c r="AF10" s="316">
        <v>1140</v>
      </c>
      <c r="AG10" s="316">
        <v>1300</v>
      </c>
      <c r="AH10" s="316">
        <v>840</v>
      </c>
      <c r="AI10" s="316">
        <v>1150</v>
      </c>
    </row>
    <row r="11" spans="1:35" outlineLevel="1">
      <c r="A11" s="225">
        <v>5</v>
      </c>
      <c r="B11" s="227" t="s">
        <v>14</v>
      </c>
      <c r="C11" s="227" t="s">
        <v>135</v>
      </c>
      <c r="D11" s="228"/>
      <c r="E11" s="230">
        <v>378162</v>
      </c>
      <c r="F11" s="230">
        <v>0</v>
      </c>
      <c r="G11" s="237">
        <v>1320</v>
      </c>
      <c r="H11" s="238">
        <v>1320</v>
      </c>
      <c r="I11" s="232">
        <v>0</v>
      </c>
      <c r="J11" s="232"/>
      <c r="K11" s="232"/>
      <c r="L11" s="233">
        <v>1155.3596491953047</v>
      </c>
      <c r="M11" s="234">
        <v>164.64035080469534</v>
      </c>
      <c r="N11" s="235">
        <v>0.12472753848840556</v>
      </c>
      <c r="O11" s="239"/>
      <c r="P11" s="299">
        <f>'KTQT_Trình bày'!Z11</f>
        <v>1308.098194818924</v>
      </c>
      <c r="Q11" s="130">
        <v>0.03</v>
      </c>
      <c r="R11" s="302">
        <f t="shared" si="0"/>
        <v>39.242945844567714</v>
      </c>
      <c r="S11" s="302">
        <f t="shared" si="1"/>
        <v>1268.8552489743563</v>
      </c>
      <c r="T11" s="302">
        <f t="shared" si="2"/>
        <v>1308.098194818924</v>
      </c>
      <c r="U11" s="130">
        <v>0.1</v>
      </c>
      <c r="V11" s="302">
        <f t="shared" si="3"/>
        <v>130.80981948189239</v>
      </c>
      <c r="W11" s="302">
        <f t="shared" si="4"/>
        <v>1177.2883753370315</v>
      </c>
      <c r="X11" s="303">
        <f t="shared" si="5"/>
        <v>-11.901805181076043</v>
      </c>
      <c r="Y11" s="130">
        <f t="shared" si="6"/>
        <v>-9.0165190765727592E-3</v>
      </c>
      <c r="Z11" s="303">
        <f t="shared" si="7"/>
        <v>168.09819481892396</v>
      </c>
      <c r="AA11" s="130">
        <f t="shared" si="8"/>
        <v>0.14745455685870523</v>
      </c>
      <c r="AB11" s="303">
        <f t="shared" si="9"/>
        <v>8.0981948189239574</v>
      </c>
      <c r="AC11" s="130">
        <f t="shared" si="10"/>
        <v>6.2293806299415057E-3</v>
      </c>
      <c r="AD11" s="333">
        <f t="shared" si="11"/>
        <v>300</v>
      </c>
      <c r="AE11" s="333">
        <f t="shared" si="12"/>
        <v>150</v>
      </c>
      <c r="AF11" s="316">
        <v>1140</v>
      </c>
      <c r="AG11" s="316">
        <v>1300</v>
      </c>
      <c r="AH11" s="316">
        <v>840</v>
      </c>
      <c r="AI11" s="316">
        <v>1150</v>
      </c>
    </row>
    <row r="12" spans="1:35" outlineLevel="1">
      <c r="A12" s="225">
        <v>7</v>
      </c>
      <c r="B12" s="227" t="s">
        <v>223</v>
      </c>
      <c r="C12" s="227" t="s">
        <v>224</v>
      </c>
      <c r="D12" s="228"/>
      <c r="E12" s="230">
        <v>34030</v>
      </c>
      <c r="F12" s="230">
        <v>0</v>
      </c>
      <c r="G12" s="230">
        <v>1160</v>
      </c>
      <c r="H12" s="231">
        <v>1160</v>
      </c>
      <c r="I12" s="232">
        <v>0</v>
      </c>
      <c r="J12" s="232"/>
      <c r="K12" s="232"/>
      <c r="L12" s="240">
        <v>1006.566037735849</v>
      </c>
      <c r="M12" s="234">
        <v>153.43396226415098</v>
      </c>
      <c r="N12" s="235">
        <v>0.13227065712426808</v>
      </c>
      <c r="O12" s="236"/>
      <c r="P12" s="299">
        <f>'KTQT_Trình bày'!Z12</f>
        <v>1139.6340679245282</v>
      </c>
      <c r="Q12" s="130">
        <v>0.03</v>
      </c>
      <c r="R12" s="302">
        <f t="shared" si="0"/>
        <v>34.189022037735846</v>
      </c>
      <c r="S12" s="302">
        <f t="shared" si="1"/>
        <v>1105.4450458867923</v>
      </c>
      <c r="T12" s="302">
        <f t="shared" si="2"/>
        <v>1139.6340679245282</v>
      </c>
      <c r="U12" s="130">
        <v>0.1</v>
      </c>
      <c r="V12" s="302">
        <f t="shared" si="3"/>
        <v>113.96340679245282</v>
      </c>
      <c r="W12" s="302">
        <f t="shared" si="4"/>
        <v>1025.6706611320753</v>
      </c>
      <c r="X12" s="303">
        <f t="shared" si="5"/>
        <v>-20.365932075471846</v>
      </c>
      <c r="Y12" s="130">
        <f t="shared" si="6"/>
        <v>-1.7556837996096419E-2</v>
      </c>
      <c r="Z12" s="303">
        <f t="shared" si="7"/>
        <v>-0.36593207547184647</v>
      </c>
      <c r="AA12" s="130">
        <f t="shared" si="8"/>
        <v>-3.2099304865951445E-4</v>
      </c>
      <c r="AB12" s="303">
        <f t="shared" si="9"/>
        <v>-160.36593207547185</v>
      </c>
      <c r="AC12" s="130">
        <f t="shared" si="10"/>
        <v>-0.12335840928882449</v>
      </c>
      <c r="AD12" s="333">
        <f t="shared" si="11"/>
        <v>300</v>
      </c>
      <c r="AE12" s="333">
        <f t="shared" si="12"/>
        <v>150</v>
      </c>
      <c r="AF12" s="316">
        <v>1140</v>
      </c>
      <c r="AG12" s="316">
        <v>1300</v>
      </c>
      <c r="AH12" s="316">
        <v>840</v>
      </c>
      <c r="AI12" s="316">
        <v>1150</v>
      </c>
    </row>
    <row r="13" spans="1:35" outlineLevel="1">
      <c r="A13" s="225">
        <v>9</v>
      </c>
      <c r="B13" s="227" t="s">
        <v>225</v>
      </c>
      <c r="C13" s="227" t="s">
        <v>226</v>
      </c>
      <c r="D13" s="228"/>
      <c r="E13" s="230">
        <v>65840</v>
      </c>
      <c r="F13" s="230">
        <v>0</v>
      </c>
      <c r="G13" s="237">
        <v>1410</v>
      </c>
      <c r="H13" s="238">
        <v>690</v>
      </c>
      <c r="I13" s="234">
        <v>-720</v>
      </c>
      <c r="J13" s="234"/>
      <c r="K13" s="234"/>
      <c r="L13" s="241">
        <v>1222.6415094339623</v>
      </c>
      <c r="M13" s="234">
        <v>-532.64150943396226</v>
      </c>
      <c r="N13" s="235">
        <v>-0.7719442165709598</v>
      </c>
      <c r="O13" s="239"/>
      <c r="P13" s="299">
        <f>'KTQT_Trình bày'!Z13</f>
        <v>1384.2747169811321</v>
      </c>
      <c r="Q13" s="130">
        <v>0.03</v>
      </c>
      <c r="R13" s="302">
        <f t="shared" si="0"/>
        <v>41.528241509433961</v>
      </c>
      <c r="S13" s="302">
        <f t="shared" si="1"/>
        <v>1342.7464754716982</v>
      </c>
      <c r="T13" s="302">
        <f t="shared" si="2"/>
        <v>1384.2747169811321</v>
      </c>
      <c r="U13" s="130">
        <v>0.1</v>
      </c>
      <c r="V13" s="302">
        <f t="shared" si="3"/>
        <v>138.42747169811321</v>
      </c>
      <c r="W13" s="302">
        <f t="shared" si="4"/>
        <v>1245.8472452830188</v>
      </c>
      <c r="X13" s="303">
        <f t="shared" si="5"/>
        <v>-25.725283018867913</v>
      </c>
      <c r="Y13" s="130">
        <f t="shared" si="6"/>
        <v>-1.8244881573665186E-2</v>
      </c>
      <c r="Z13" s="303">
        <f t="shared" si="7"/>
        <v>244.27471698113209</v>
      </c>
      <c r="AA13" s="130">
        <f t="shared" si="8"/>
        <v>0.21427606752730885</v>
      </c>
      <c r="AB13" s="303">
        <f t="shared" si="9"/>
        <v>84.274716981132087</v>
      </c>
      <c r="AC13" s="130">
        <f t="shared" si="10"/>
        <v>6.4826705370101601E-2</v>
      </c>
      <c r="AD13" s="333">
        <f t="shared" si="11"/>
        <v>300</v>
      </c>
      <c r="AE13" s="333">
        <f t="shared" si="12"/>
        <v>150</v>
      </c>
      <c r="AF13" s="316">
        <v>1140</v>
      </c>
      <c r="AG13" s="316">
        <v>1300</v>
      </c>
      <c r="AH13" s="316">
        <v>840</v>
      </c>
      <c r="AI13" s="316">
        <v>1150</v>
      </c>
    </row>
    <row r="14" spans="1:35" outlineLevel="1">
      <c r="A14" s="225">
        <v>10</v>
      </c>
      <c r="B14" s="226" t="s">
        <v>228</v>
      </c>
      <c r="C14" s="227" t="s">
        <v>229</v>
      </c>
      <c r="D14" s="228"/>
      <c r="E14" s="229">
        <v>32405.5</v>
      </c>
      <c r="F14" s="230">
        <v>6600</v>
      </c>
      <c r="G14" s="230">
        <v>1190</v>
      </c>
      <c r="H14" s="231">
        <v>1190</v>
      </c>
      <c r="I14" s="232">
        <v>0</v>
      </c>
      <c r="J14" s="232"/>
      <c r="K14" s="232"/>
      <c r="L14" s="242">
        <v>1117.1698113207547</v>
      </c>
      <c r="M14" s="234">
        <v>72.830188679245339</v>
      </c>
      <c r="N14" s="235">
        <v>6.1201839226256584E-2</v>
      </c>
      <c r="O14" s="236"/>
      <c r="P14" s="299">
        <f>'KTQT_Trình bày'!Z14</f>
        <v>1264.8596603773583</v>
      </c>
      <c r="Q14" s="130">
        <v>0.03</v>
      </c>
      <c r="R14" s="302">
        <f t="shared" si="0"/>
        <v>37.945789811320751</v>
      </c>
      <c r="S14" s="302">
        <f t="shared" si="1"/>
        <v>1226.9138705660375</v>
      </c>
      <c r="T14" s="302">
        <f t="shared" si="2"/>
        <v>1264.8596603773583</v>
      </c>
      <c r="U14" s="130">
        <v>0.1</v>
      </c>
      <c r="V14" s="302">
        <f t="shared" si="3"/>
        <v>126.48596603773584</v>
      </c>
      <c r="W14" s="302">
        <f t="shared" si="4"/>
        <v>1138.3736943396225</v>
      </c>
      <c r="X14" s="303">
        <f t="shared" si="5"/>
        <v>74.859660377358296</v>
      </c>
      <c r="Y14" s="130">
        <f t="shared" si="6"/>
        <v>6.2907277628032179E-2</v>
      </c>
      <c r="Z14" s="303">
        <f t="shared" si="7"/>
        <v>124.8596603773583</v>
      </c>
      <c r="AA14" s="130">
        <f t="shared" si="8"/>
        <v>0.1095260178748757</v>
      </c>
      <c r="AB14" s="303">
        <f t="shared" si="9"/>
        <v>-35.140339622641704</v>
      </c>
      <c r="AC14" s="130">
        <f t="shared" si="10"/>
        <v>-2.7031030478955158E-2</v>
      </c>
      <c r="AD14" s="333">
        <f t="shared" si="11"/>
        <v>300</v>
      </c>
      <c r="AE14" s="333">
        <f t="shared" si="12"/>
        <v>150</v>
      </c>
      <c r="AF14" s="316">
        <v>1140</v>
      </c>
      <c r="AG14" s="316">
        <v>1300</v>
      </c>
      <c r="AH14" s="316">
        <v>840</v>
      </c>
      <c r="AI14" s="316">
        <v>1150</v>
      </c>
    </row>
    <row r="15" spans="1:35" s="218" customFormat="1">
      <c r="A15" s="219" t="s">
        <v>44</v>
      </c>
      <c r="B15" s="220" t="s">
        <v>231</v>
      </c>
      <c r="C15" s="220"/>
      <c r="D15" s="221"/>
      <c r="E15" s="243"/>
      <c r="F15" s="243"/>
      <c r="G15" s="243"/>
      <c r="H15" s="244"/>
      <c r="I15" s="245"/>
      <c r="J15" s="245"/>
      <c r="K15" s="245"/>
      <c r="L15" s="246"/>
      <c r="M15" s="245"/>
      <c r="N15" s="247"/>
      <c r="O15" s="248"/>
      <c r="P15" s="298"/>
      <c r="Q15" s="220"/>
      <c r="R15" s="220"/>
      <c r="S15" s="220"/>
      <c r="T15" s="220"/>
      <c r="U15" s="220"/>
      <c r="V15" s="220"/>
      <c r="W15" s="220"/>
      <c r="X15" s="220"/>
      <c r="Y15" s="220"/>
      <c r="Z15" s="220"/>
      <c r="AA15" s="220"/>
      <c r="AB15" s="220"/>
      <c r="AC15" s="220"/>
      <c r="AD15" s="329"/>
      <c r="AE15" s="329"/>
      <c r="AF15" s="329"/>
      <c r="AG15" s="329"/>
      <c r="AH15" s="329"/>
      <c r="AI15" s="329"/>
    </row>
    <row r="16" spans="1:35" outlineLevel="1">
      <c r="A16" s="225">
        <v>1</v>
      </c>
      <c r="B16" s="227" t="s">
        <v>90</v>
      </c>
      <c r="C16" s="227" t="s">
        <v>91</v>
      </c>
      <c r="D16" s="228"/>
      <c r="E16" s="230">
        <v>1649997</v>
      </c>
      <c r="F16" s="230">
        <v>0</v>
      </c>
      <c r="G16" s="230">
        <v>1190</v>
      </c>
      <c r="H16" s="231">
        <v>1190</v>
      </c>
      <c r="I16" s="232">
        <v>0</v>
      </c>
      <c r="J16" s="232"/>
      <c r="K16" s="232"/>
      <c r="L16" s="233">
        <v>1057.7957262938128</v>
      </c>
      <c r="M16" s="234">
        <v>132.20427370618722</v>
      </c>
      <c r="N16" s="235">
        <v>0.11109602832452707</v>
      </c>
      <c r="O16" s="236"/>
      <c r="P16" s="299">
        <f>'KTQT_Trình bày'!Z16</f>
        <v>1197.6363213098548</v>
      </c>
      <c r="Q16" s="130">
        <v>0.03</v>
      </c>
      <c r="R16" s="302">
        <f t="shared" ref="R16:R20" si="13">P16*Q16</f>
        <v>35.92908963929564</v>
      </c>
      <c r="S16" s="302">
        <f t="shared" ref="S16:S20" si="14">P16-R16</f>
        <v>1161.7072316705592</v>
      </c>
      <c r="T16" s="302">
        <f t="shared" ref="T16:T20" si="15">P16</f>
        <v>1197.6363213098548</v>
      </c>
      <c r="U16" s="130">
        <v>0.1</v>
      </c>
      <c r="V16" s="302">
        <f t="shared" ref="V16:V20" si="16">T16*U16</f>
        <v>119.76363213098548</v>
      </c>
      <c r="W16" s="302">
        <f t="shared" ref="W16:W20" si="17">T16-V16</f>
        <v>1077.8726891788692</v>
      </c>
      <c r="X16" s="303">
        <f t="shared" ref="X16:X20" si="18">P16-G16</f>
        <v>7.6363213098547931</v>
      </c>
      <c r="Y16" s="130">
        <f t="shared" ref="Y16:Y20" si="19">X16/G16</f>
        <v>6.4170767309704143E-3</v>
      </c>
      <c r="Z16" s="303">
        <f t="shared" ref="Z16:Z20" si="20">P16-AF16</f>
        <v>57.636321309854793</v>
      </c>
      <c r="AA16" s="130">
        <f t="shared" ref="AA16:AA20" si="21">Z16/AF16</f>
        <v>5.0558176587591923E-2</v>
      </c>
      <c r="AB16" s="303">
        <f t="shared" ref="AB16:AB20" si="22">P16-AG16</f>
        <v>-102.36367869014521</v>
      </c>
      <c r="AC16" s="130">
        <f t="shared" ref="AC16:AC20" si="23">AB16/AG16</f>
        <v>-7.8741291300111704E-2</v>
      </c>
      <c r="AD16" s="333">
        <f t="shared" ref="AD16:AD20" si="24">AF16-AH16</f>
        <v>300</v>
      </c>
      <c r="AE16" s="333">
        <f t="shared" ref="AE16:AE20" si="25">AG16-AI16</f>
        <v>150</v>
      </c>
      <c r="AF16" s="316">
        <v>1140</v>
      </c>
      <c r="AG16" s="316">
        <v>1300</v>
      </c>
      <c r="AH16" s="316">
        <v>840</v>
      </c>
      <c r="AI16" s="316">
        <v>1150</v>
      </c>
    </row>
    <row r="17" spans="1:35" outlineLevel="1">
      <c r="A17" s="225">
        <v>2</v>
      </c>
      <c r="B17" s="227" t="s">
        <v>92</v>
      </c>
      <c r="C17" s="227" t="s">
        <v>93</v>
      </c>
      <c r="D17" s="228"/>
      <c r="E17" s="230">
        <v>287099.5</v>
      </c>
      <c r="F17" s="230">
        <v>11000</v>
      </c>
      <c r="G17" s="230">
        <v>1160</v>
      </c>
      <c r="H17" s="231">
        <v>1160</v>
      </c>
      <c r="I17" s="232">
        <v>0</v>
      </c>
      <c r="J17" s="232"/>
      <c r="K17" s="232"/>
      <c r="L17" s="233">
        <v>1057.7957262938128</v>
      </c>
      <c r="M17" s="234">
        <v>102.20427370618722</v>
      </c>
      <c r="N17" s="235">
        <v>8.8107132505333807E-2</v>
      </c>
      <c r="O17" s="236"/>
      <c r="P17" s="299">
        <f>'KTQT_Trình bày'!Z17</f>
        <v>1197.6363213098548</v>
      </c>
      <c r="Q17" s="130">
        <v>0.03</v>
      </c>
      <c r="R17" s="302">
        <f t="shared" si="13"/>
        <v>35.92908963929564</v>
      </c>
      <c r="S17" s="302">
        <f t="shared" si="14"/>
        <v>1161.7072316705592</v>
      </c>
      <c r="T17" s="302">
        <f t="shared" si="15"/>
        <v>1197.6363213098548</v>
      </c>
      <c r="U17" s="130">
        <v>0.1</v>
      </c>
      <c r="V17" s="302">
        <f t="shared" si="16"/>
        <v>119.76363213098548</v>
      </c>
      <c r="W17" s="302">
        <f t="shared" si="17"/>
        <v>1077.8726891788692</v>
      </c>
      <c r="X17" s="303">
        <f t="shared" si="18"/>
        <v>37.636321309854793</v>
      </c>
      <c r="Y17" s="130">
        <f t="shared" si="19"/>
        <v>3.2445104577461026E-2</v>
      </c>
      <c r="Z17" s="303">
        <f t="shared" si="20"/>
        <v>57.636321309854793</v>
      </c>
      <c r="AA17" s="130">
        <f t="shared" si="21"/>
        <v>5.0558176587591923E-2</v>
      </c>
      <c r="AB17" s="303">
        <f t="shared" si="22"/>
        <v>-102.36367869014521</v>
      </c>
      <c r="AC17" s="130">
        <f t="shared" si="23"/>
        <v>-7.8741291300111704E-2</v>
      </c>
      <c r="AD17" s="333">
        <f t="shared" si="24"/>
        <v>300</v>
      </c>
      <c r="AE17" s="333">
        <f t="shared" si="25"/>
        <v>150</v>
      </c>
      <c r="AF17" s="316">
        <v>1140</v>
      </c>
      <c r="AG17" s="316">
        <v>1300</v>
      </c>
      <c r="AH17" s="316">
        <v>840</v>
      </c>
      <c r="AI17" s="316">
        <v>1150</v>
      </c>
    </row>
    <row r="18" spans="1:35" outlineLevel="1">
      <c r="A18" s="225">
        <v>3</v>
      </c>
      <c r="B18" s="227" t="s">
        <v>234</v>
      </c>
      <c r="C18" s="227" t="s">
        <v>235</v>
      </c>
      <c r="D18" s="228"/>
      <c r="E18" s="230">
        <v>52800</v>
      </c>
      <c r="F18" s="230">
        <v>0</v>
      </c>
      <c r="G18" s="230"/>
      <c r="H18" s="231"/>
      <c r="I18" s="232">
        <v>0</v>
      </c>
      <c r="J18" s="232"/>
      <c r="K18" s="232"/>
      <c r="L18" s="233">
        <v>1109.2830188679245</v>
      </c>
      <c r="M18" s="234"/>
      <c r="N18" s="235"/>
      <c r="O18" s="236"/>
      <c r="P18" s="299">
        <f>'KTQT_Trình bày'!Z18</f>
        <v>1255.9302339622643</v>
      </c>
      <c r="Q18" s="130">
        <v>0.03</v>
      </c>
      <c r="R18" s="302">
        <f t="shared" si="13"/>
        <v>37.677907018867927</v>
      </c>
      <c r="S18" s="302">
        <f t="shared" si="14"/>
        <v>1218.2523269433964</v>
      </c>
      <c r="T18" s="302">
        <f t="shared" si="15"/>
        <v>1255.9302339622643</v>
      </c>
      <c r="U18" s="130">
        <v>0.1</v>
      </c>
      <c r="V18" s="302">
        <f t="shared" si="16"/>
        <v>125.59302339622644</v>
      </c>
      <c r="W18" s="302">
        <f t="shared" si="17"/>
        <v>1130.3372105660378</v>
      </c>
      <c r="X18" s="303">
        <f t="shared" si="18"/>
        <v>1255.9302339622643</v>
      </c>
      <c r="Y18" s="130" t="e">
        <f t="shared" si="19"/>
        <v>#DIV/0!</v>
      </c>
      <c r="Z18" s="303">
        <f t="shared" si="20"/>
        <v>115.93023396226431</v>
      </c>
      <c r="AA18" s="130">
        <f t="shared" si="21"/>
        <v>0.10169318768619676</v>
      </c>
      <c r="AB18" s="303">
        <f t="shared" si="22"/>
        <v>-44.06976603773569</v>
      </c>
      <c r="AC18" s="130">
        <f t="shared" si="23"/>
        <v>-3.3899820029027451E-2</v>
      </c>
      <c r="AD18" s="333">
        <f t="shared" si="24"/>
        <v>300</v>
      </c>
      <c r="AE18" s="333">
        <f t="shared" si="25"/>
        <v>150</v>
      </c>
      <c r="AF18" s="316">
        <v>1140</v>
      </c>
      <c r="AG18" s="316">
        <v>1300</v>
      </c>
      <c r="AH18" s="316">
        <v>840</v>
      </c>
      <c r="AI18" s="316">
        <v>1150</v>
      </c>
    </row>
    <row r="19" spans="1:35" outlineLevel="1">
      <c r="A19" s="225">
        <v>6</v>
      </c>
      <c r="B19" s="249" t="s">
        <v>237</v>
      </c>
      <c r="C19" s="227" t="s">
        <v>238</v>
      </c>
      <c r="D19" s="228"/>
      <c r="E19" s="230">
        <v>73650</v>
      </c>
      <c r="F19" s="230">
        <v>0</v>
      </c>
      <c r="G19" s="230"/>
      <c r="H19" s="231"/>
      <c r="I19" s="232">
        <v>0</v>
      </c>
      <c r="J19" s="232"/>
      <c r="K19" s="232"/>
      <c r="L19" s="240">
        <v>1042.1886792452831</v>
      </c>
      <c r="M19" s="234"/>
      <c r="N19" s="235"/>
      <c r="O19" s="236"/>
      <c r="P19" s="299">
        <f>'KTQT_Trình bày'!Z19</f>
        <v>1179.9660226415094</v>
      </c>
      <c r="Q19" s="130">
        <v>0.03</v>
      </c>
      <c r="R19" s="302">
        <f t="shared" si="13"/>
        <v>35.398980679245284</v>
      </c>
      <c r="S19" s="302">
        <f t="shared" si="14"/>
        <v>1144.5670419622641</v>
      </c>
      <c r="T19" s="302">
        <f t="shared" si="15"/>
        <v>1179.9660226415094</v>
      </c>
      <c r="U19" s="130">
        <v>0.1</v>
      </c>
      <c r="V19" s="302">
        <f t="shared" si="16"/>
        <v>117.99660226415095</v>
      </c>
      <c r="W19" s="302">
        <f t="shared" si="17"/>
        <v>1061.9694203773586</v>
      </c>
      <c r="X19" s="303">
        <f t="shared" si="18"/>
        <v>1179.9660226415094</v>
      </c>
      <c r="Y19" s="130" t="e">
        <f t="shared" si="19"/>
        <v>#DIV/0!</v>
      </c>
      <c r="Z19" s="303">
        <f t="shared" si="20"/>
        <v>39.966022641509426</v>
      </c>
      <c r="AA19" s="130">
        <f t="shared" si="21"/>
        <v>3.5057914597815286E-2</v>
      </c>
      <c r="AB19" s="303">
        <f t="shared" si="22"/>
        <v>-120.03397735849057</v>
      </c>
      <c r="AC19" s="130">
        <f t="shared" si="23"/>
        <v>-9.2333828737300436E-2</v>
      </c>
      <c r="AD19" s="333">
        <f t="shared" si="24"/>
        <v>300</v>
      </c>
      <c r="AE19" s="333">
        <f t="shared" si="25"/>
        <v>150</v>
      </c>
      <c r="AF19" s="316">
        <v>1140</v>
      </c>
      <c r="AG19" s="316">
        <v>1300</v>
      </c>
      <c r="AH19" s="316">
        <v>840</v>
      </c>
      <c r="AI19" s="316">
        <v>1150</v>
      </c>
    </row>
    <row r="20" spans="1:35" outlineLevel="1">
      <c r="A20" s="225">
        <v>8</v>
      </c>
      <c r="B20" s="226" t="s">
        <v>87</v>
      </c>
      <c r="C20" s="227" t="s">
        <v>42</v>
      </c>
      <c r="D20" s="228"/>
      <c r="E20" s="230">
        <v>800</v>
      </c>
      <c r="F20" s="230">
        <v>0</v>
      </c>
      <c r="G20" s="230"/>
      <c r="H20" s="231"/>
      <c r="I20" s="232">
        <v>0</v>
      </c>
      <c r="J20" s="232"/>
      <c r="K20" s="232"/>
      <c r="L20" s="233">
        <v>1176.2641509433963</v>
      </c>
      <c r="M20" s="234"/>
      <c r="N20" s="235"/>
      <c r="O20" s="236"/>
      <c r="P20" s="299">
        <f>'KTQT_Trình bày'!Z20</f>
        <v>1331.7662716981133</v>
      </c>
      <c r="Q20" s="130">
        <v>0.03</v>
      </c>
      <c r="R20" s="302">
        <f t="shared" si="13"/>
        <v>39.952988150943398</v>
      </c>
      <c r="S20" s="302">
        <f t="shared" si="14"/>
        <v>1291.8132835471699</v>
      </c>
      <c r="T20" s="302">
        <f t="shared" si="15"/>
        <v>1331.7662716981133</v>
      </c>
      <c r="U20" s="130">
        <v>0.1</v>
      </c>
      <c r="V20" s="302">
        <f t="shared" si="16"/>
        <v>133.17662716981133</v>
      </c>
      <c r="W20" s="302">
        <f t="shared" si="17"/>
        <v>1198.589644528302</v>
      </c>
      <c r="X20" s="303">
        <f t="shared" si="18"/>
        <v>1331.7662716981133</v>
      </c>
      <c r="Y20" s="130" t="e">
        <f t="shared" si="19"/>
        <v>#DIV/0!</v>
      </c>
      <c r="Z20" s="303">
        <f t="shared" si="20"/>
        <v>191.76627169811331</v>
      </c>
      <c r="AA20" s="130">
        <f t="shared" si="21"/>
        <v>0.16821602780536254</v>
      </c>
      <c r="AB20" s="303">
        <f t="shared" si="22"/>
        <v>31.766271698113314</v>
      </c>
      <c r="AC20" s="130">
        <f t="shared" si="23"/>
        <v>2.4435593613933319E-2</v>
      </c>
      <c r="AD20" s="333">
        <f t="shared" si="24"/>
        <v>300</v>
      </c>
      <c r="AE20" s="333">
        <f t="shared" si="25"/>
        <v>150</v>
      </c>
      <c r="AF20" s="316">
        <v>1140</v>
      </c>
      <c r="AG20" s="316">
        <v>1300</v>
      </c>
      <c r="AH20" s="316">
        <v>840</v>
      </c>
      <c r="AI20" s="316">
        <v>1150</v>
      </c>
    </row>
    <row r="21" spans="1:35" s="218" customFormat="1">
      <c r="A21" s="219" t="s">
        <v>181</v>
      </c>
      <c r="B21" s="220" t="s">
        <v>240</v>
      </c>
      <c r="C21" s="220"/>
      <c r="D21" s="221"/>
      <c r="E21" s="243"/>
      <c r="F21" s="243"/>
      <c r="G21" s="243"/>
      <c r="H21" s="244"/>
      <c r="I21" s="245"/>
      <c r="J21" s="245"/>
      <c r="K21" s="245"/>
      <c r="L21" s="246"/>
      <c r="M21" s="245"/>
      <c r="N21" s="247"/>
      <c r="O21" s="248"/>
      <c r="P21" s="298"/>
      <c r="Q21" s="220"/>
      <c r="R21" s="220"/>
      <c r="S21" s="220"/>
      <c r="T21" s="220"/>
      <c r="U21" s="220"/>
      <c r="V21" s="220"/>
      <c r="W21" s="220"/>
      <c r="X21" s="220"/>
      <c r="Y21" s="220"/>
      <c r="Z21" s="220"/>
      <c r="AA21" s="220"/>
      <c r="AB21" s="220"/>
      <c r="AC21" s="220"/>
      <c r="AD21" s="329"/>
      <c r="AE21" s="329"/>
      <c r="AF21" s="329"/>
      <c r="AG21" s="329"/>
      <c r="AH21" s="329"/>
      <c r="AI21" s="329"/>
    </row>
    <row r="22" spans="1:35" outlineLevel="1">
      <c r="A22" s="225">
        <v>1</v>
      </c>
      <c r="B22" s="227" t="s">
        <v>241</v>
      </c>
      <c r="C22" s="227" t="s">
        <v>99</v>
      </c>
      <c r="D22" s="228"/>
      <c r="E22" s="230">
        <v>16099</v>
      </c>
      <c r="F22" s="230">
        <v>0</v>
      </c>
      <c r="G22" s="230">
        <v>770</v>
      </c>
      <c r="H22" s="231">
        <v>770</v>
      </c>
      <c r="I22" s="232">
        <v>0</v>
      </c>
      <c r="J22" s="232"/>
      <c r="K22" s="232"/>
      <c r="L22" s="233">
        <v>853</v>
      </c>
      <c r="M22" s="234">
        <v>-83</v>
      </c>
      <c r="N22" s="235">
        <v>-0.10779220779220779</v>
      </c>
      <c r="O22" s="236"/>
      <c r="P22" s="299">
        <f>'KTQT_Trình bày'!Z22</f>
        <v>965.76660000000004</v>
      </c>
      <c r="Q22" s="130">
        <v>0.03</v>
      </c>
      <c r="R22" s="302">
        <f t="shared" ref="R22:R29" si="26">P22*Q22</f>
        <v>28.972998</v>
      </c>
      <c r="S22" s="302">
        <f t="shared" ref="S22:S29" si="27">P22-R22</f>
        <v>936.79360200000008</v>
      </c>
      <c r="T22" s="302">
        <f t="shared" ref="T22:T29" si="28">P22</f>
        <v>965.76660000000004</v>
      </c>
      <c r="U22" s="130">
        <v>0.1</v>
      </c>
      <c r="V22" s="302">
        <f t="shared" ref="V22:V29" si="29">T22*U22</f>
        <v>96.576660000000004</v>
      </c>
      <c r="W22" s="302">
        <f t="shared" ref="W22:W29" si="30">T22-V22</f>
        <v>869.18993999999998</v>
      </c>
      <c r="X22" s="303">
        <f t="shared" ref="X22:X29" si="31">P22-G22</f>
        <v>195.76660000000004</v>
      </c>
      <c r="Y22" s="130">
        <f t="shared" ref="Y22:Y29" si="32">X22/G22</f>
        <v>0.25424233766233773</v>
      </c>
      <c r="Z22" s="303">
        <f t="shared" ref="Z22:Z29" si="33">P22-AF22</f>
        <v>-174.23339999999996</v>
      </c>
      <c r="AA22" s="130">
        <f t="shared" ref="AA22:AA29" si="34">Z22/AF22</f>
        <v>-0.15283631578947365</v>
      </c>
      <c r="AB22" s="303">
        <f t="shared" ref="AB22:AB29" si="35">P22-AG22</f>
        <v>-334.23339999999996</v>
      </c>
      <c r="AC22" s="130">
        <f t="shared" ref="AC22:AC29" si="36">AB22/AG22</f>
        <v>-0.25710261538461537</v>
      </c>
      <c r="AD22" s="333">
        <f t="shared" ref="AD22:AD29" si="37">AF22-AH22</f>
        <v>300</v>
      </c>
      <c r="AE22" s="333">
        <f t="shared" ref="AE22:AE29" si="38">AG22-AI22</f>
        <v>150</v>
      </c>
      <c r="AF22" s="316">
        <v>1140</v>
      </c>
      <c r="AG22" s="316">
        <v>1300</v>
      </c>
      <c r="AH22" s="316">
        <v>840</v>
      </c>
      <c r="AI22" s="316">
        <v>1150</v>
      </c>
    </row>
    <row r="23" spans="1:35" outlineLevel="1">
      <c r="A23" s="225">
        <v>2</v>
      </c>
      <c r="B23" s="227" t="s">
        <v>243</v>
      </c>
      <c r="C23" s="227" t="s">
        <v>97</v>
      </c>
      <c r="D23" s="228"/>
      <c r="E23" s="230">
        <v>570335.69999999995</v>
      </c>
      <c r="F23" s="230">
        <v>23100</v>
      </c>
      <c r="G23" s="230">
        <v>720</v>
      </c>
      <c r="H23" s="231">
        <v>720</v>
      </c>
      <c r="I23" s="232">
        <v>0</v>
      </c>
      <c r="J23" s="232"/>
      <c r="K23" s="232"/>
      <c r="L23" s="233">
        <v>880</v>
      </c>
      <c r="M23" s="234">
        <v>-160</v>
      </c>
      <c r="N23" s="235">
        <v>-0.22222222222222221</v>
      </c>
      <c r="O23" s="236"/>
      <c r="P23" s="299">
        <f>'KTQT_Trình bày'!Z23</f>
        <v>996.3359999999999</v>
      </c>
      <c r="Q23" s="130">
        <v>0.03</v>
      </c>
      <c r="R23" s="302">
        <f t="shared" si="26"/>
        <v>29.890079999999998</v>
      </c>
      <c r="S23" s="302">
        <f t="shared" si="27"/>
        <v>966.44591999999989</v>
      </c>
      <c r="T23" s="302">
        <f t="shared" si="28"/>
        <v>996.3359999999999</v>
      </c>
      <c r="U23" s="130">
        <v>0.1</v>
      </c>
      <c r="V23" s="302">
        <f t="shared" si="29"/>
        <v>99.633600000000001</v>
      </c>
      <c r="W23" s="302">
        <f t="shared" si="30"/>
        <v>896.7023999999999</v>
      </c>
      <c r="X23" s="303">
        <f t="shared" si="31"/>
        <v>276.3359999999999</v>
      </c>
      <c r="Y23" s="130">
        <f t="shared" si="32"/>
        <v>0.38379999999999986</v>
      </c>
      <c r="Z23" s="303">
        <f t="shared" si="33"/>
        <v>-143.6640000000001</v>
      </c>
      <c r="AA23" s="130">
        <f t="shared" si="34"/>
        <v>-0.12602105263157903</v>
      </c>
      <c r="AB23" s="303">
        <f t="shared" si="35"/>
        <v>-303.6640000000001</v>
      </c>
      <c r="AC23" s="130">
        <f t="shared" si="36"/>
        <v>-0.23358769230769239</v>
      </c>
      <c r="AD23" s="333">
        <f t="shared" si="37"/>
        <v>300</v>
      </c>
      <c r="AE23" s="333">
        <f t="shared" si="38"/>
        <v>150</v>
      </c>
      <c r="AF23" s="316">
        <v>1140</v>
      </c>
      <c r="AG23" s="316">
        <v>1300</v>
      </c>
      <c r="AH23" s="316">
        <v>840</v>
      </c>
      <c r="AI23" s="316">
        <v>1150</v>
      </c>
    </row>
    <row r="24" spans="1:35" outlineLevel="1">
      <c r="A24" s="225">
        <v>2</v>
      </c>
      <c r="B24" s="227" t="s">
        <v>89</v>
      </c>
      <c r="C24" s="250" t="s">
        <v>103</v>
      </c>
      <c r="D24" s="228"/>
      <c r="E24" s="230">
        <v>4514.7</v>
      </c>
      <c r="F24" s="230">
        <v>0</v>
      </c>
      <c r="G24" s="230">
        <v>1030</v>
      </c>
      <c r="H24" s="231">
        <v>1030</v>
      </c>
      <c r="I24" s="232">
        <v>0</v>
      </c>
      <c r="J24" s="232"/>
      <c r="K24" s="232"/>
      <c r="L24" s="233">
        <v>517</v>
      </c>
      <c r="M24" s="234">
        <v>513</v>
      </c>
      <c r="N24" s="235">
        <v>0.49805825242718449</v>
      </c>
      <c r="O24" s="236"/>
      <c r="P24" s="299">
        <f>'KTQT_Trình bày'!Z24</f>
        <v>585.34739999999999</v>
      </c>
      <c r="Q24" s="130">
        <v>0.03</v>
      </c>
      <c r="R24" s="302">
        <f t="shared" si="26"/>
        <v>17.560421999999999</v>
      </c>
      <c r="S24" s="302">
        <f t="shared" si="27"/>
        <v>567.78697799999998</v>
      </c>
      <c r="T24" s="302">
        <f t="shared" si="28"/>
        <v>585.34739999999999</v>
      </c>
      <c r="U24" s="130">
        <v>0.1</v>
      </c>
      <c r="V24" s="302">
        <f t="shared" si="29"/>
        <v>58.534739999999999</v>
      </c>
      <c r="W24" s="302">
        <f t="shared" si="30"/>
        <v>526.81266000000005</v>
      </c>
      <c r="X24" s="303">
        <f t="shared" si="31"/>
        <v>-444.65260000000001</v>
      </c>
      <c r="Y24" s="130">
        <f t="shared" si="32"/>
        <v>-0.43170155339805827</v>
      </c>
      <c r="Z24" s="303">
        <f t="shared" si="33"/>
        <v>-554.65260000000001</v>
      </c>
      <c r="AA24" s="130">
        <f t="shared" si="34"/>
        <v>-0.48653736842105266</v>
      </c>
      <c r="AB24" s="303">
        <f t="shared" si="35"/>
        <v>-714.65260000000001</v>
      </c>
      <c r="AC24" s="130">
        <f t="shared" si="36"/>
        <v>-0.54973276923076919</v>
      </c>
      <c r="AD24" s="333">
        <f t="shared" si="37"/>
        <v>300</v>
      </c>
      <c r="AE24" s="333">
        <f t="shared" si="38"/>
        <v>150</v>
      </c>
      <c r="AF24" s="316">
        <v>1140</v>
      </c>
      <c r="AG24" s="316">
        <v>1300</v>
      </c>
      <c r="AH24" s="316">
        <v>840</v>
      </c>
      <c r="AI24" s="316">
        <v>1150</v>
      </c>
    </row>
    <row r="25" spans="1:35" outlineLevel="1">
      <c r="A25" s="225">
        <v>3</v>
      </c>
      <c r="B25" s="227" t="s">
        <v>246</v>
      </c>
      <c r="C25" s="227" t="s">
        <v>247</v>
      </c>
      <c r="D25" s="228"/>
      <c r="E25" s="230">
        <v>171597.5</v>
      </c>
      <c r="F25" s="230">
        <v>0</v>
      </c>
      <c r="G25" s="230"/>
      <c r="H25" s="231"/>
      <c r="I25" s="232">
        <v>0</v>
      </c>
      <c r="J25" s="232"/>
      <c r="K25" s="232"/>
      <c r="L25" s="233"/>
      <c r="M25" s="234"/>
      <c r="N25" s="235"/>
      <c r="O25" s="236"/>
      <c r="P25" s="299">
        <f>'KTQT_Trình bày'!Z25</f>
        <v>0</v>
      </c>
      <c r="Q25" s="130">
        <v>0.03</v>
      </c>
      <c r="R25" s="302">
        <f t="shared" si="26"/>
        <v>0</v>
      </c>
      <c r="S25" s="302">
        <f t="shared" si="27"/>
        <v>0</v>
      </c>
      <c r="T25" s="302">
        <f t="shared" si="28"/>
        <v>0</v>
      </c>
      <c r="U25" s="130">
        <v>0.1</v>
      </c>
      <c r="V25" s="302">
        <f t="shared" si="29"/>
        <v>0</v>
      </c>
      <c r="W25" s="302">
        <f t="shared" si="30"/>
        <v>0</v>
      </c>
      <c r="X25" s="303">
        <f t="shared" si="31"/>
        <v>0</v>
      </c>
      <c r="Y25" s="130" t="e">
        <f t="shared" si="32"/>
        <v>#DIV/0!</v>
      </c>
      <c r="Z25" s="303">
        <f t="shared" si="33"/>
        <v>-1140</v>
      </c>
      <c r="AA25" s="130">
        <f t="shared" si="34"/>
        <v>-1</v>
      </c>
      <c r="AB25" s="303">
        <f t="shared" si="35"/>
        <v>-1300</v>
      </c>
      <c r="AC25" s="130">
        <f t="shared" si="36"/>
        <v>-1</v>
      </c>
      <c r="AD25" s="333">
        <f t="shared" si="37"/>
        <v>300</v>
      </c>
      <c r="AE25" s="333">
        <f t="shared" si="38"/>
        <v>150</v>
      </c>
      <c r="AF25" s="316">
        <v>1140</v>
      </c>
      <c r="AG25" s="316">
        <v>1300</v>
      </c>
      <c r="AH25" s="316">
        <v>840</v>
      </c>
      <c r="AI25" s="316">
        <v>1150</v>
      </c>
    </row>
    <row r="26" spans="1:35" outlineLevel="1">
      <c r="A26" s="225">
        <v>3</v>
      </c>
      <c r="B26" s="227" t="s">
        <v>88</v>
      </c>
      <c r="C26" s="227" t="s">
        <v>102</v>
      </c>
      <c r="D26" s="228"/>
      <c r="E26" s="230">
        <v>68711.600000000006</v>
      </c>
      <c r="F26" s="230">
        <v>-17600</v>
      </c>
      <c r="G26" s="230">
        <v>1030</v>
      </c>
      <c r="H26" s="231">
        <v>1030</v>
      </c>
      <c r="I26" s="232">
        <v>0</v>
      </c>
      <c r="J26" s="232"/>
      <c r="K26" s="232"/>
      <c r="L26" s="233">
        <v>579</v>
      </c>
      <c r="M26" s="234">
        <v>451</v>
      </c>
      <c r="N26" s="235">
        <v>0.43786407766990293</v>
      </c>
      <c r="O26" s="236"/>
      <c r="P26" s="299">
        <f>'KTQT_Trình bày'!Z26</f>
        <v>655.54380000000003</v>
      </c>
      <c r="Q26" s="130">
        <v>0.03</v>
      </c>
      <c r="R26" s="302">
        <f t="shared" si="26"/>
        <v>19.666314</v>
      </c>
      <c r="S26" s="302">
        <f t="shared" si="27"/>
        <v>635.87748600000009</v>
      </c>
      <c r="T26" s="302">
        <f t="shared" si="28"/>
        <v>655.54380000000003</v>
      </c>
      <c r="U26" s="130">
        <v>0.1</v>
      </c>
      <c r="V26" s="302">
        <f t="shared" si="29"/>
        <v>65.554380000000009</v>
      </c>
      <c r="W26" s="302">
        <f t="shared" si="30"/>
        <v>589.98942</v>
      </c>
      <c r="X26" s="303">
        <f t="shared" si="31"/>
        <v>-374.45619999999997</v>
      </c>
      <c r="Y26" s="130">
        <f t="shared" si="32"/>
        <v>-0.36354970873786402</v>
      </c>
      <c r="Z26" s="303">
        <f t="shared" si="33"/>
        <v>-484.45619999999997</v>
      </c>
      <c r="AA26" s="130">
        <f t="shared" si="34"/>
        <v>-0.42496157894736841</v>
      </c>
      <c r="AB26" s="303">
        <f t="shared" si="35"/>
        <v>-644.45619999999997</v>
      </c>
      <c r="AC26" s="130">
        <f t="shared" si="36"/>
        <v>-0.49573553846153845</v>
      </c>
      <c r="AD26" s="333">
        <f t="shared" si="37"/>
        <v>300</v>
      </c>
      <c r="AE26" s="333">
        <f t="shared" si="38"/>
        <v>150</v>
      </c>
      <c r="AF26" s="316">
        <v>1140</v>
      </c>
      <c r="AG26" s="316">
        <v>1300</v>
      </c>
      <c r="AH26" s="316">
        <v>840</v>
      </c>
      <c r="AI26" s="316">
        <v>1150</v>
      </c>
    </row>
    <row r="27" spans="1:35" outlineLevel="1">
      <c r="A27" s="225">
        <v>4</v>
      </c>
      <c r="B27" s="227" t="s">
        <v>94</v>
      </c>
      <c r="C27" s="227" t="s">
        <v>96</v>
      </c>
      <c r="D27" s="228"/>
      <c r="E27" s="230">
        <v>13179.6</v>
      </c>
      <c r="F27" s="230">
        <v>0</v>
      </c>
      <c r="G27" s="230">
        <v>1030</v>
      </c>
      <c r="H27" s="231">
        <v>1030</v>
      </c>
      <c r="I27" s="232">
        <v>0</v>
      </c>
      <c r="J27" s="232"/>
      <c r="K27" s="232"/>
      <c r="L27" s="233">
        <v>668</v>
      </c>
      <c r="M27" s="234">
        <v>362</v>
      </c>
      <c r="N27" s="235">
        <v>0.35145631067961164</v>
      </c>
      <c r="O27" s="236"/>
      <c r="P27" s="299">
        <f>'KTQT_Trình bày'!Z27</f>
        <v>756.30960000000005</v>
      </c>
      <c r="Q27" s="130">
        <v>0.03</v>
      </c>
      <c r="R27" s="302">
        <f t="shared" si="26"/>
        <v>22.689288000000001</v>
      </c>
      <c r="S27" s="302">
        <f t="shared" si="27"/>
        <v>733.62031200000001</v>
      </c>
      <c r="T27" s="302">
        <f t="shared" si="28"/>
        <v>756.30960000000005</v>
      </c>
      <c r="U27" s="130">
        <v>0.1</v>
      </c>
      <c r="V27" s="302">
        <f t="shared" si="29"/>
        <v>75.630960000000002</v>
      </c>
      <c r="W27" s="302">
        <f t="shared" si="30"/>
        <v>680.67864000000009</v>
      </c>
      <c r="X27" s="303">
        <f t="shared" si="31"/>
        <v>-273.69039999999995</v>
      </c>
      <c r="Y27" s="130">
        <f t="shared" si="32"/>
        <v>-0.26571883495145626</v>
      </c>
      <c r="Z27" s="303">
        <f t="shared" si="33"/>
        <v>-383.69039999999995</v>
      </c>
      <c r="AA27" s="130">
        <f t="shared" si="34"/>
        <v>-0.33657052631578943</v>
      </c>
      <c r="AB27" s="303">
        <f t="shared" si="35"/>
        <v>-543.69039999999995</v>
      </c>
      <c r="AC27" s="130">
        <f t="shared" si="36"/>
        <v>-0.41822338461538455</v>
      </c>
      <c r="AD27" s="333">
        <f t="shared" si="37"/>
        <v>300</v>
      </c>
      <c r="AE27" s="333">
        <f t="shared" si="38"/>
        <v>150</v>
      </c>
      <c r="AF27" s="316">
        <v>1140</v>
      </c>
      <c r="AG27" s="316">
        <v>1300</v>
      </c>
      <c r="AH27" s="316">
        <v>840</v>
      </c>
      <c r="AI27" s="316">
        <v>1150</v>
      </c>
    </row>
    <row r="28" spans="1:35" outlineLevel="1">
      <c r="A28" s="225">
        <v>4</v>
      </c>
      <c r="B28" s="227" t="s">
        <v>250</v>
      </c>
      <c r="C28" s="227" t="s">
        <v>81</v>
      </c>
      <c r="D28" s="228"/>
      <c r="E28" s="230">
        <v>90593</v>
      </c>
      <c r="F28" s="230">
        <v>0</v>
      </c>
      <c r="G28" s="230">
        <v>570</v>
      </c>
      <c r="H28" s="231">
        <v>570</v>
      </c>
      <c r="I28" s="232">
        <v>0</v>
      </c>
      <c r="J28" s="232"/>
      <c r="K28" s="232"/>
      <c r="L28" s="233">
        <v>589</v>
      </c>
      <c r="M28" s="234">
        <v>-19</v>
      </c>
      <c r="N28" s="235">
        <v>-3.3333333333333333E-2</v>
      </c>
      <c r="O28" s="236"/>
      <c r="P28" s="299">
        <f>'KTQT_Trình bày'!Z28</f>
        <v>666.86579999999992</v>
      </c>
      <c r="Q28" s="130">
        <v>0.03</v>
      </c>
      <c r="R28" s="302">
        <f t="shared" si="26"/>
        <v>20.005973999999998</v>
      </c>
      <c r="S28" s="302">
        <f t="shared" si="27"/>
        <v>646.85982599999988</v>
      </c>
      <c r="T28" s="302">
        <f t="shared" si="28"/>
        <v>666.86579999999992</v>
      </c>
      <c r="U28" s="130">
        <v>0.1</v>
      </c>
      <c r="V28" s="302">
        <f t="shared" si="29"/>
        <v>66.686579999999992</v>
      </c>
      <c r="W28" s="302">
        <f t="shared" si="30"/>
        <v>600.17921999999999</v>
      </c>
      <c r="X28" s="303">
        <f t="shared" si="31"/>
        <v>96.865799999999922</v>
      </c>
      <c r="Y28" s="130">
        <f t="shared" si="32"/>
        <v>0.16993999999999987</v>
      </c>
      <c r="Z28" s="303">
        <f t="shared" si="33"/>
        <v>-473.13420000000008</v>
      </c>
      <c r="AA28" s="130">
        <f t="shared" si="34"/>
        <v>-0.41503000000000007</v>
      </c>
      <c r="AB28" s="303">
        <f t="shared" si="35"/>
        <v>-633.13420000000008</v>
      </c>
      <c r="AC28" s="130">
        <f t="shared" si="36"/>
        <v>-0.48702630769230776</v>
      </c>
      <c r="AD28" s="333">
        <f t="shared" si="37"/>
        <v>300</v>
      </c>
      <c r="AE28" s="333">
        <f t="shared" si="38"/>
        <v>150</v>
      </c>
      <c r="AF28" s="316">
        <v>1140</v>
      </c>
      <c r="AG28" s="316">
        <v>1300</v>
      </c>
      <c r="AH28" s="316">
        <v>840</v>
      </c>
      <c r="AI28" s="316">
        <v>1150</v>
      </c>
    </row>
    <row r="29" spans="1:35" s="255" customFormat="1" outlineLevel="1">
      <c r="A29" s="225">
        <v>5</v>
      </c>
      <c r="B29" s="251" t="s">
        <v>252</v>
      </c>
      <c r="C29" s="251" t="s">
        <v>253</v>
      </c>
      <c r="D29" s="252"/>
      <c r="E29" s="253">
        <v>37399</v>
      </c>
      <c r="F29" s="253">
        <v>0</v>
      </c>
      <c r="G29" s="253"/>
      <c r="H29" s="231"/>
      <c r="I29" s="232"/>
      <c r="J29" s="232"/>
      <c r="K29" s="232"/>
      <c r="L29" s="254"/>
      <c r="M29" s="234"/>
      <c r="N29" s="235"/>
      <c r="O29" s="236"/>
      <c r="P29" s="299">
        <f>'KTQT_Trình bày'!Z29</f>
        <v>0</v>
      </c>
      <c r="Q29" s="130">
        <v>0.03</v>
      </c>
      <c r="R29" s="302">
        <f t="shared" si="26"/>
        <v>0</v>
      </c>
      <c r="S29" s="302">
        <f t="shared" si="27"/>
        <v>0</v>
      </c>
      <c r="T29" s="302">
        <f t="shared" si="28"/>
        <v>0</v>
      </c>
      <c r="U29" s="130">
        <v>0.1</v>
      </c>
      <c r="V29" s="302">
        <f t="shared" si="29"/>
        <v>0</v>
      </c>
      <c r="W29" s="302">
        <f t="shared" si="30"/>
        <v>0</v>
      </c>
      <c r="X29" s="303">
        <f t="shared" si="31"/>
        <v>0</v>
      </c>
      <c r="Y29" s="130" t="e">
        <f t="shared" si="32"/>
        <v>#DIV/0!</v>
      </c>
      <c r="Z29" s="303">
        <f t="shared" si="33"/>
        <v>-1140</v>
      </c>
      <c r="AA29" s="130">
        <f t="shared" si="34"/>
        <v>-1</v>
      </c>
      <c r="AB29" s="303">
        <f t="shared" si="35"/>
        <v>-1300</v>
      </c>
      <c r="AC29" s="130">
        <f t="shared" si="36"/>
        <v>-1</v>
      </c>
      <c r="AD29" s="333">
        <f t="shared" si="37"/>
        <v>300</v>
      </c>
      <c r="AE29" s="333">
        <f t="shared" si="38"/>
        <v>150</v>
      </c>
      <c r="AF29" s="316">
        <v>1140</v>
      </c>
      <c r="AG29" s="316">
        <v>1300</v>
      </c>
      <c r="AH29" s="316">
        <v>840</v>
      </c>
      <c r="AI29" s="316">
        <v>1150</v>
      </c>
    </row>
    <row r="30" spans="1:35" s="218" customFormat="1">
      <c r="A30" s="212" t="s">
        <v>70</v>
      </c>
      <c r="B30" s="213" t="s">
        <v>255</v>
      </c>
      <c r="C30" s="213"/>
      <c r="D30" s="214"/>
      <c r="E30" s="256"/>
      <c r="F30" s="256"/>
      <c r="G30" s="256"/>
      <c r="H30" s="257">
        <v>220</v>
      </c>
      <c r="I30" s="258"/>
      <c r="J30" s="258"/>
      <c r="K30" s="258"/>
      <c r="L30" s="259"/>
      <c r="M30" s="258"/>
      <c r="N30" s="260"/>
      <c r="O30" s="261"/>
      <c r="P30" s="297"/>
      <c r="Q30" s="213"/>
      <c r="R30" s="213"/>
      <c r="S30" s="213"/>
      <c r="T30" s="213"/>
      <c r="U30" s="213"/>
      <c r="V30" s="213"/>
      <c r="W30" s="213"/>
      <c r="X30" s="213"/>
      <c r="Y30" s="213"/>
      <c r="Z30" s="213"/>
      <c r="AA30" s="213"/>
      <c r="AB30" s="213"/>
      <c r="AC30" s="213"/>
      <c r="AD30" s="328"/>
      <c r="AE30" s="328"/>
      <c r="AF30" s="328"/>
      <c r="AG30" s="328"/>
      <c r="AH30" s="328"/>
      <c r="AI30" s="328"/>
    </row>
    <row r="31" spans="1:35" s="218" customFormat="1">
      <c r="A31" s="219" t="s">
        <v>43</v>
      </c>
      <c r="B31" s="220" t="s">
        <v>221</v>
      </c>
      <c r="C31" s="220"/>
      <c r="D31" s="221"/>
      <c r="E31" s="243"/>
      <c r="F31" s="243"/>
      <c r="G31" s="243"/>
      <c r="H31" s="244"/>
      <c r="I31" s="245"/>
      <c r="J31" s="245"/>
      <c r="K31" s="245"/>
      <c r="L31" s="246"/>
      <c r="M31" s="245"/>
      <c r="N31" s="247"/>
      <c r="O31" s="248"/>
      <c r="P31" s="298"/>
      <c r="Q31" s="220"/>
      <c r="R31" s="220"/>
      <c r="S31" s="220"/>
      <c r="T31" s="220"/>
      <c r="U31" s="220"/>
      <c r="V31" s="220"/>
      <c r="W31" s="220"/>
      <c r="X31" s="220"/>
      <c r="Y31" s="220"/>
      <c r="Z31" s="220"/>
      <c r="AA31" s="220"/>
      <c r="AB31" s="220"/>
      <c r="AC31" s="220"/>
      <c r="AD31" s="329"/>
      <c r="AE31" s="329"/>
      <c r="AF31" s="329"/>
      <c r="AG31" s="329"/>
      <c r="AH31" s="329"/>
      <c r="AI31" s="329"/>
    </row>
    <row r="32" spans="1:35" outlineLevel="1">
      <c r="A32" s="225">
        <v>1</v>
      </c>
      <c r="B32" s="227" t="s">
        <v>256</v>
      </c>
      <c r="C32" s="227" t="s">
        <v>257</v>
      </c>
      <c r="D32" s="228" t="s">
        <v>73</v>
      </c>
      <c r="E32" s="230">
        <v>404076.5</v>
      </c>
      <c r="F32" s="230">
        <v>211750</v>
      </c>
      <c r="G32" s="230"/>
      <c r="H32" s="231"/>
      <c r="I32" s="232">
        <v>0</v>
      </c>
      <c r="J32" s="232"/>
      <c r="K32" s="232"/>
      <c r="L32" s="233">
        <v>1076</v>
      </c>
      <c r="M32" s="234"/>
      <c r="N32" s="235"/>
      <c r="O32" s="236"/>
      <c r="P32" s="299">
        <f>'KTQT_Trình bày'!Z32</f>
        <v>1218.2471999999998</v>
      </c>
      <c r="Q32" s="130">
        <v>0.03</v>
      </c>
      <c r="R32" s="302">
        <f t="shared" ref="R32:R38" si="39">P32*Q32</f>
        <v>36.547415999999991</v>
      </c>
      <c r="S32" s="302">
        <f t="shared" ref="S32:S38" si="40">P32-R32</f>
        <v>1181.6997839999999</v>
      </c>
      <c r="T32" s="302">
        <f t="shared" ref="T32:T38" si="41">P32</f>
        <v>1218.2471999999998</v>
      </c>
      <c r="U32" s="130">
        <v>0.1</v>
      </c>
      <c r="V32" s="302">
        <f t="shared" ref="V32:V38" si="42">T32*U32</f>
        <v>121.82471999999999</v>
      </c>
      <c r="W32" s="302">
        <f t="shared" ref="W32:W38" si="43">T32-V32</f>
        <v>1096.4224799999997</v>
      </c>
      <c r="X32" s="303">
        <f t="shared" ref="X32:X38" si="44">P32-G32</f>
        <v>1218.2471999999998</v>
      </c>
      <c r="Y32" s="130" t="e">
        <f t="shared" ref="Y32:Y38" si="45">X32/G32</f>
        <v>#DIV/0!</v>
      </c>
      <c r="Z32" s="303">
        <f t="shared" ref="Z32:Z38" si="46">P32-AF32</f>
        <v>78.247199999999793</v>
      </c>
      <c r="AA32" s="130">
        <f t="shared" ref="AA32:AA38" si="47">Z32/AF32</f>
        <v>6.8637894736841926E-2</v>
      </c>
      <c r="AB32" s="303">
        <f t="shared" ref="AB32:AB38" si="48">P32-AG32</f>
        <v>-81.752800000000207</v>
      </c>
      <c r="AC32" s="130">
        <f t="shared" ref="AC32:AC38" si="49">AB32/AG32</f>
        <v>-6.2886769230769385E-2</v>
      </c>
      <c r="AD32" s="333">
        <f t="shared" ref="AD32:AD38" si="50">AF32-AH32</f>
        <v>300</v>
      </c>
      <c r="AE32" s="333">
        <f t="shared" ref="AE32:AE38" si="51">AG32-AI32</f>
        <v>150</v>
      </c>
      <c r="AF32" s="316">
        <v>1140</v>
      </c>
      <c r="AG32" s="316">
        <v>1300</v>
      </c>
      <c r="AH32" s="316">
        <v>840</v>
      </c>
      <c r="AI32" s="316">
        <v>1150</v>
      </c>
    </row>
    <row r="33" spans="1:35" outlineLevel="1">
      <c r="A33" s="225">
        <v>2</v>
      </c>
      <c r="B33" s="227" t="s">
        <v>259</v>
      </c>
      <c r="C33" s="227" t="s">
        <v>260</v>
      </c>
      <c r="D33" s="228" t="s">
        <v>261</v>
      </c>
      <c r="E33" s="230">
        <v>40547</v>
      </c>
      <c r="F33" s="230">
        <v>0</v>
      </c>
      <c r="G33" s="230"/>
      <c r="H33" s="231"/>
      <c r="I33" s="232">
        <v>0</v>
      </c>
      <c r="J33" s="232"/>
      <c r="K33" s="232"/>
      <c r="L33" s="233">
        <v>1071.1352871447716</v>
      </c>
      <c r="M33" s="234"/>
      <c r="N33" s="235"/>
      <c r="O33" s="236"/>
      <c r="P33" s="299">
        <f>'KTQT_Trình bày'!Z33</f>
        <v>1212.7393721053104</v>
      </c>
      <c r="Q33" s="130">
        <v>0.03</v>
      </c>
      <c r="R33" s="302">
        <f t="shared" si="39"/>
        <v>36.382181163159309</v>
      </c>
      <c r="S33" s="302">
        <f t="shared" si="40"/>
        <v>1176.3571909421512</v>
      </c>
      <c r="T33" s="302">
        <f t="shared" si="41"/>
        <v>1212.7393721053104</v>
      </c>
      <c r="U33" s="130">
        <v>0.1</v>
      </c>
      <c r="V33" s="302">
        <f t="shared" si="42"/>
        <v>121.27393721053105</v>
      </c>
      <c r="W33" s="302">
        <f t="shared" si="43"/>
        <v>1091.4654348947793</v>
      </c>
      <c r="X33" s="303">
        <f t="shared" si="44"/>
        <v>1212.7393721053104</v>
      </c>
      <c r="Y33" s="130" t="e">
        <f t="shared" si="45"/>
        <v>#DIV/0!</v>
      </c>
      <c r="Z33" s="303">
        <f t="shared" si="46"/>
        <v>72.739372105310395</v>
      </c>
      <c r="AA33" s="130">
        <f t="shared" si="47"/>
        <v>6.3806466759044209E-2</v>
      </c>
      <c r="AB33" s="303">
        <f t="shared" si="48"/>
        <v>-87.260627894689605</v>
      </c>
      <c r="AC33" s="130">
        <f t="shared" si="49"/>
        <v>-6.7123559918992007E-2</v>
      </c>
      <c r="AD33" s="333">
        <f t="shared" si="50"/>
        <v>300</v>
      </c>
      <c r="AE33" s="333">
        <f t="shared" si="51"/>
        <v>150</v>
      </c>
      <c r="AF33" s="316">
        <v>1140</v>
      </c>
      <c r="AG33" s="316">
        <v>1300</v>
      </c>
      <c r="AH33" s="316">
        <v>840</v>
      </c>
      <c r="AI33" s="316">
        <v>1150</v>
      </c>
    </row>
    <row r="34" spans="1:35" outlineLevel="1">
      <c r="A34" s="225">
        <v>3</v>
      </c>
      <c r="B34" s="227" t="s">
        <v>262</v>
      </c>
      <c r="C34" s="227" t="s">
        <v>263</v>
      </c>
      <c r="D34" s="228" t="s">
        <v>73</v>
      </c>
      <c r="E34" s="230">
        <v>326364.40000000002</v>
      </c>
      <c r="F34" s="230">
        <v>44500</v>
      </c>
      <c r="G34" s="230">
        <v>1200</v>
      </c>
      <c r="H34" s="231">
        <v>1200</v>
      </c>
      <c r="I34" s="232">
        <v>0</v>
      </c>
      <c r="J34" s="232"/>
      <c r="K34" s="232"/>
      <c r="L34" s="233">
        <v>1076</v>
      </c>
      <c r="M34" s="234">
        <v>124</v>
      </c>
      <c r="N34" s="235">
        <v>0.10333333333333333</v>
      </c>
      <c r="O34" s="236"/>
      <c r="P34" s="299">
        <f>'KTQT_Trình bày'!Z34</f>
        <v>1218.2471999999998</v>
      </c>
      <c r="Q34" s="130">
        <v>0.03</v>
      </c>
      <c r="R34" s="302">
        <f t="shared" si="39"/>
        <v>36.547415999999991</v>
      </c>
      <c r="S34" s="302">
        <f t="shared" si="40"/>
        <v>1181.6997839999999</v>
      </c>
      <c r="T34" s="302">
        <f t="shared" si="41"/>
        <v>1218.2471999999998</v>
      </c>
      <c r="U34" s="130">
        <v>0.1</v>
      </c>
      <c r="V34" s="302">
        <f t="shared" si="42"/>
        <v>121.82471999999999</v>
      </c>
      <c r="W34" s="302">
        <f t="shared" si="43"/>
        <v>1096.4224799999997</v>
      </c>
      <c r="X34" s="303">
        <f t="shared" si="44"/>
        <v>18.247199999999793</v>
      </c>
      <c r="Y34" s="130">
        <f t="shared" si="45"/>
        <v>1.5205999999999827E-2</v>
      </c>
      <c r="Z34" s="303">
        <f t="shared" si="46"/>
        <v>78.247199999999793</v>
      </c>
      <c r="AA34" s="130">
        <f t="shared" si="47"/>
        <v>6.8637894736841926E-2</v>
      </c>
      <c r="AB34" s="303">
        <f t="shared" si="48"/>
        <v>-81.752800000000207</v>
      </c>
      <c r="AC34" s="130">
        <f t="shared" si="49"/>
        <v>-6.2886769230769385E-2</v>
      </c>
      <c r="AD34" s="333">
        <f t="shared" si="50"/>
        <v>300</v>
      </c>
      <c r="AE34" s="333">
        <f t="shared" si="51"/>
        <v>150</v>
      </c>
      <c r="AF34" s="316">
        <v>1140</v>
      </c>
      <c r="AG34" s="316">
        <v>1300</v>
      </c>
      <c r="AH34" s="316">
        <v>840</v>
      </c>
      <c r="AI34" s="316">
        <v>1150</v>
      </c>
    </row>
    <row r="35" spans="1:35" outlineLevel="1">
      <c r="A35" s="225">
        <v>4</v>
      </c>
      <c r="B35" s="227" t="s">
        <v>264</v>
      </c>
      <c r="C35" s="227" t="s">
        <v>186</v>
      </c>
      <c r="D35" s="228" t="s">
        <v>73</v>
      </c>
      <c r="E35" s="230">
        <v>1749</v>
      </c>
      <c r="F35" s="230">
        <v>0</v>
      </c>
      <c r="G35" s="230">
        <v>1300</v>
      </c>
      <c r="H35" s="231">
        <v>1300</v>
      </c>
      <c r="I35" s="232">
        <v>0</v>
      </c>
      <c r="J35" s="232"/>
      <c r="K35" s="232"/>
      <c r="L35" s="233">
        <v>1083</v>
      </c>
      <c r="M35" s="234">
        <v>217</v>
      </c>
      <c r="N35" s="235">
        <v>0.16692307692307692</v>
      </c>
      <c r="O35" s="236"/>
      <c r="P35" s="299">
        <f>'KTQT_Trình bày'!Z35</f>
        <v>1226.1726000000001</v>
      </c>
      <c r="Q35" s="130">
        <v>0.03</v>
      </c>
      <c r="R35" s="302">
        <f t="shared" si="39"/>
        <v>36.785178000000002</v>
      </c>
      <c r="S35" s="302">
        <f t="shared" si="40"/>
        <v>1189.387422</v>
      </c>
      <c r="T35" s="302">
        <f t="shared" si="41"/>
        <v>1226.1726000000001</v>
      </c>
      <c r="U35" s="130">
        <v>0.1</v>
      </c>
      <c r="V35" s="302">
        <f t="shared" si="42"/>
        <v>122.61726000000002</v>
      </c>
      <c r="W35" s="302">
        <f t="shared" si="43"/>
        <v>1103.5553400000001</v>
      </c>
      <c r="X35" s="303">
        <f t="shared" si="44"/>
        <v>-73.827399999999898</v>
      </c>
      <c r="Y35" s="130">
        <f t="shared" si="45"/>
        <v>-5.6790307692307612E-2</v>
      </c>
      <c r="Z35" s="303">
        <f t="shared" si="46"/>
        <v>86.172600000000102</v>
      </c>
      <c r="AA35" s="130">
        <f t="shared" si="47"/>
        <v>7.5590000000000088E-2</v>
      </c>
      <c r="AB35" s="303">
        <f t="shared" si="48"/>
        <v>-73.827399999999898</v>
      </c>
      <c r="AC35" s="130">
        <f t="shared" si="49"/>
        <v>-5.6790307692307612E-2</v>
      </c>
      <c r="AD35" s="333">
        <f t="shared" si="50"/>
        <v>300</v>
      </c>
      <c r="AE35" s="333">
        <f t="shared" si="51"/>
        <v>150</v>
      </c>
      <c r="AF35" s="316">
        <v>1140</v>
      </c>
      <c r="AG35" s="316">
        <v>1300</v>
      </c>
      <c r="AH35" s="316">
        <v>840</v>
      </c>
      <c r="AI35" s="316">
        <v>1150</v>
      </c>
    </row>
    <row r="36" spans="1:35" outlineLevel="1">
      <c r="A36" s="225">
        <v>5</v>
      </c>
      <c r="B36" s="227" t="s">
        <v>265</v>
      </c>
      <c r="C36" s="227" t="s">
        <v>266</v>
      </c>
      <c r="D36" s="228" t="s">
        <v>73</v>
      </c>
      <c r="E36" s="230">
        <v>377595</v>
      </c>
      <c r="F36" s="230">
        <v>11000</v>
      </c>
      <c r="G36" s="230"/>
      <c r="H36" s="231"/>
      <c r="I36" s="232">
        <v>0</v>
      </c>
      <c r="J36" s="232"/>
      <c r="K36" s="232"/>
      <c r="L36" s="233">
        <v>1083</v>
      </c>
      <c r="M36" s="234"/>
      <c r="N36" s="235"/>
      <c r="O36" s="236"/>
      <c r="P36" s="299">
        <f>'KTQT_Trình bày'!Z36</f>
        <v>1226.1726000000001</v>
      </c>
      <c r="Q36" s="130">
        <v>0.03</v>
      </c>
      <c r="R36" s="302">
        <f t="shared" si="39"/>
        <v>36.785178000000002</v>
      </c>
      <c r="S36" s="302">
        <f t="shared" si="40"/>
        <v>1189.387422</v>
      </c>
      <c r="T36" s="302">
        <f t="shared" si="41"/>
        <v>1226.1726000000001</v>
      </c>
      <c r="U36" s="130">
        <v>0.1</v>
      </c>
      <c r="V36" s="302">
        <f t="shared" si="42"/>
        <v>122.61726000000002</v>
      </c>
      <c r="W36" s="302">
        <f t="shared" si="43"/>
        <v>1103.5553400000001</v>
      </c>
      <c r="X36" s="303">
        <f t="shared" si="44"/>
        <v>1226.1726000000001</v>
      </c>
      <c r="Y36" s="130" t="e">
        <f t="shared" si="45"/>
        <v>#DIV/0!</v>
      </c>
      <c r="Z36" s="303">
        <f t="shared" si="46"/>
        <v>86.172600000000102</v>
      </c>
      <c r="AA36" s="130">
        <f t="shared" si="47"/>
        <v>7.5590000000000088E-2</v>
      </c>
      <c r="AB36" s="303">
        <f t="shared" si="48"/>
        <v>-73.827399999999898</v>
      </c>
      <c r="AC36" s="130">
        <f t="shared" si="49"/>
        <v>-5.6790307692307612E-2</v>
      </c>
      <c r="AD36" s="333">
        <f t="shared" si="50"/>
        <v>300</v>
      </c>
      <c r="AE36" s="333">
        <f t="shared" si="51"/>
        <v>150</v>
      </c>
      <c r="AF36" s="316">
        <v>1140</v>
      </c>
      <c r="AG36" s="316">
        <v>1300</v>
      </c>
      <c r="AH36" s="316">
        <v>840</v>
      </c>
      <c r="AI36" s="316">
        <v>1150</v>
      </c>
    </row>
    <row r="37" spans="1:35" outlineLevel="1">
      <c r="A37" s="225">
        <v>6</v>
      </c>
      <c r="B37" s="227" t="s">
        <v>267</v>
      </c>
      <c r="C37" s="227" t="s">
        <v>268</v>
      </c>
      <c r="D37" s="228" t="s">
        <v>269</v>
      </c>
      <c r="E37" s="230">
        <v>93557.5</v>
      </c>
      <c r="F37" s="230">
        <v>60500</v>
      </c>
      <c r="G37" s="230"/>
      <c r="H37" s="231"/>
      <c r="I37" s="232">
        <v>0</v>
      </c>
      <c r="J37" s="232"/>
      <c r="K37" s="232"/>
      <c r="L37" s="233">
        <v>1101.2590431031886</v>
      </c>
      <c r="M37" s="234"/>
      <c r="N37" s="235"/>
      <c r="O37" s="236"/>
      <c r="P37" s="299">
        <f>'KTQT_Trình bày'!Z37</f>
        <v>1246.8454886014301</v>
      </c>
      <c r="Q37" s="130">
        <v>0.03</v>
      </c>
      <c r="R37" s="302">
        <f t="shared" si="39"/>
        <v>37.405364658042906</v>
      </c>
      <c r="S37" s="302">
        <f t="shared" si="40"/>
        <v>1209.4401239433873</v>
      </c>
      <c r="T37" s="302">
        <f t="shared" si="41"/>
        <v>1246.8454886014301</v>
      </c>
      <c r="U37" s="130">
        <v>0.1</v>
      </c>
      <c r="V37" s="302">
        <f t="shared" si="42"/>
        <v>124.68454886014302</v>
      </c>
      <c r="W37" s="302">
        <f t="shared" si="43"/>
        <v>1122.1609397412872</v>
      </c>
      <c r="X37" s="303">
        <f t="shared" si="44"/>
        <v>1246.8454886014301</v>
      </c>
      <c r="Y37" s="130" t="e">
        <f t="shared" si="45"/>
        <v>#DIV/0!</v>
      </c>
      <c r="Z37" s="303">
        <f t="shared" si="46"/>
        <v>106.84548860143013</v>
      </c>
      <c r="AA37" s="130">
        <f t="shared" si="47"/>
        <v>9.3724112808272045E-2</v>
      </c>
      <c r="AB37" s="303">
        <f t="shared" si="48"/>
        <v>-53.154511398569866</v>
      </c>
      <c r="AC37" s="130">
        <f t="shared" si="49"/>
        <v>-4.0888085691207589E-2</v>
      </c>
      <c r="AD37" s="333">
        <f t="shared" si="50"/>
        <v>300</v>
      </c>
      <c r="AE37" s="333">
        <f t="shared" si="51"/>
        <v>150</v>
      </c>
      <c r="AF37" s="316">
        <v>1140</v>
      </c>
      <c r="AG37" s="316">
        <v>1300</v>
      </c>
      <c r="AH37" s="316">
        <v>840</v>
      </c>
      <c r="AI37" s="316">
        <v>1150</v>
      </c>
    </row>
    <row r="38" spans="1:35" outlineLevel="1">
      <c r="A38" s="225">
        <v>7</v>
      </c>
      <c r="B38" s="227" t="s">
        <v>270</v>
      </c>
      <c r="C38" s="227" t="s">
        <v>271</v>
      </c>
      <c r="D38" s="228" t="s">
        <v>269</v>
      </c>
      <c r="E38" s="230">
        <v>15628</v>
      </c>
      <c r="F38" s="230">
        <v>0</v>
      </c>
      <c r="G38" s="230">
        <v>1250</v>
      </c>
      <c r="H38" s="231">
        <v>1250</v>
      </c>
      <c r="I38" s="232">
        <v>0</v>
      </c>
      <c r="J38" s="232"/>
      <c r="K38" s="232"/>
      <c r="L38" s="233">
        <v>1101.2590431031886</v>
      </c>
      <c r="M38" s="234">
        <v>148.74095689681144</v>
      </c>
      <c r="N38" s="235">
        <v>0.11899276551744915</v>
      </c>
      <c r="O38" s="236"/>
      <c r="P38" s="299">
        <f>'KTQT_Trình bày'!Z38</f>
        <v>1246.8454886014301</v>
      </c>
      <c r="Q38" s="130">
        <v>0.03</v>
      </c>
      <c r="R38" s="302">
        <f t="shared" si="39"/>
        <v>37.405364658042906</v>
      </c>
      <c r="S38" s="302">
        <f t="shared" si="40"/>
        <v>1209.4401239433873</v>
      </c>
      <c r="T38" s="302">
        <f t="shared" si="41"/>
        <v>1246.8454886014301</v>
      </c>
      <c r="U38" s="130">
        <v>0.1</v>
      </c>
      <c r="V38" s="302">
        <f t="shared" si="42"/>
        <v>124.68454886014302</v>
      </c>
      <c r="W38" s="302">
        <f t="shared" si="43"/>
        <v>1122.1609397412872</v>
      </c>
      <c r="X38" s="303">
        <f t="shared" si="44"/>
        <v>-3.1545113985698663</v>
      </c>
      <c r="Y38" s="130">
        <f t="shared" si="45"/>
        <v>-2.523609118855893E-3</v>
      </c>
      <c r="Z38" s="303">
        <f t="shared" si="46"/>
        <v>106.84548860143013</v>
      </c>
      <c r="AA38" s="130">
        <f t="shared" si="47"/>
        <v>9.3724112808272045E-2</v>
      </c>
      <c r="AB38" s="303">
        <f t="shared" si="48"/>
        <v>-53.154511398569866</v>
      </c>
      <c r="AC38" s="130">
        <f t="shared" si="49"/>
        <v>-4.0888085691207589E-2</v>
      </c>
      <c r="AD38" s="333">
        <f t="shared" si="50"/>
        <v>300</v>
      </c>
      <c r="AE38" s="333">
        <f t="shared" si="51"/>
        <v>150</v>
      </c>
      <c r="AF38" s="316">
        <v>1140</v>
      </c>
      <c r="AG38" s="316">
        <v>1300</v>
      </c>
      <c r="AH38" s="316">
        <v>840</v>
      </c>
      <c r="AI38" s="316">
        <v>1150</v>
      </c>
    </row>
    <row r="39" spans="1:35" s="218" customFormat="1">
      <c r="A39" s="219" t="s">
        <v>44</v>
      </c>
      <c r="B39" s="220" t="s">
        <v>231</v>
      </c>
      <c r="C39" s="220"/>
      <c r="D39" s="221"/>
      <c r="E39" s="243"/>
      <c r="F39" s="243"/>
      <c r="G39" s="243"/>
      <c r="H39" s="244"/>
      <c r="I39" s="245"/>
      <c r="J39" s="245"/>
      <c r="K39" s="245"/>
      <c r="L39" s="246"/>
      <c r="M39" s="245"/>
      <c r="N39" s="247"/>
      <c r="O39" s="248"/>
      <c r="P39" s="298"/>
      <c r="Q39" s="220"/>
      <c r="R39" s="220"/>
      <c r="S39" s="220"/>
      <c r="T39" s="220"/>
      <c r="U39" s="220"/>
      <c r="V39" s="220"/>
      <c r="W39" s="220"/>
      <c r="X39" s="220"/>
      <c r="Y39" s="220"/>
      <c r="Z39" s="220"/>
      <c r="AA39" s="220"/>
      <c r="AB39" s="220"/>
      <c r="AC39" s="220"/>
      <c r="AD39" s="329"/>
      <c r="AE39" s="329"/>
      <c r="AF39" s="329"/>
      <c r="AG39" s="329"/>
      <c r="AH39" s="329"/>
      <c r="AI39" s="329"/>
    </row>
    <row r="40" spans="1:35" outlineLevel="1">
      <c r="A40" s="225">
        <v>1</v>
      </c>
      <c r="B40" s="227" t="s">
        <v>272</v>
      </c>
      <c r="C40" s="227" t="s">
        <v>273</v>
      </c>
      <c r="D40" s="228" t="s">
        <v>73</v>
      </c>
      <c r="E40" s="230">
        <v>2750</v>
      </c>
      <c r="F40" s="230">
        <v>0</v>
      </c>
      <c r="G40" s="230">
        <v>1200</v>
      </c>
      <c r="H40" s="231">
        <v>1200</v>
      </c>
      <c r="I40" s="232">
        <v>0</v>
      </c>
      <c r="J40" s="232"/>
      <c r="K40" s="232"/>
      <c r="L40" s="233">
        <v>1189.2830188679245</v>
      </c>
      <c r="M40" s="234">
        <v>10.716981132075489</v>
      </c>
      <c r="N40" s="235">
        <v>8.9308176100629071E-3</v>
      </c>
      <c r="O40" s="236"/>
      <c r="P40" s="299">
        <f>'KTQT_Trình bày'!Z40</f>
        <v>1346.5062339622641</v>
      </c>
      <c r="Q40" s="130">
        <v>0.03</v>
      </c>
      <c r="R40" s="302">
        <f t="shared" ref="R40:R45" si="52">P40*Q40</f>
        <v>40.395187018867922</v>
      </c>
      <c r="S40" s="302">
        <f t="shared" ref="S40:S45" si="53">P40-R40</f>
        <v>1306.1110469433961</v>
      </c>
      <c r="T40" s="302">
        <f t="shared" ref="T40:T45" si="54">P40</f>
        <v>1346.5062339622641</v>
      </c>
      <c r="U40" s="130">
        <v>0.1</v>
      </c>
      <c r="V40" s="302">
        <f t="shared" ref="V40:V45" si="55">T40*U40</f>
        <v>134.65062339622642</v>
      </c>
      <c r="W40" s="302">
        <f t="shared" ref="W40:W45" si="56">T40-V40</f>
        <v>1211.8556105660377</v>
      </c>
      <c r="X40" s="303">
        <f t="shared" ref="X40:X45" si="57">P40-G40</f>
        <v>146.5062339622641</v>
      </c>
      <c r="Y40" s="130">
        <f t="shared" ref="Y40:Y45" si="58">X40/G40</f>
        <v>0.12208852830188675</v>
      </c>
      <c r="Z40" s="303">
        <f t="shared" ref="Z40:Z45" si="59">P40-AF40</f>
        <v>206.5062339622641</v>
      </c>
      <c r="AA40" s="130">
        <f t="shared" ref="AA40:AA45" si="60">Z40/AF40</f>
        <v>0.18114581926514395</v>
      </c>
      <c r="AB40" s="303">
        <f t="shared" ref="AB40:AB45" si="61">P40-AG40</f>
        <v>46.506233962264105</v>
      </c>
      <c r="AC40" s="130">
        <f t="shared" ref="AC40:AC45" si="62">AB40/AG40</f>
        <v>3.5774026124818545E-2</v>
      </c>
      <c r="AD40" s="333">
        <f t="shared" ref="AD40:AD45" si="63">AF40-AH40</f>
        <v>300</v>
      </c>
      <c r="AE40" s="333">
        <f t="shared" ref="AE40:AE45" si="64">AG40-AI40</f>
        <v>150</v>
      </c>
      <c r="AF40" s="316">
        <v>1140</v>
      </c>
      <c r="AG40" s="316">
        <v>1300</v>
      </c>
      <c r="AH40" s="316">
        <v>840</v>
      </c>
      <c r="AI40" s="316">
        <v>1150</v>
      </c>
    </row>
    <row r="41" spans="1:35" outlineLevel="1">
      <c r="A41" s="225">
        <v>2</v>
      </c>
      <c r="B41" s="227" t="s">
        <v>276</v>
      </c>
      <c r="C41" s="227" t="s">
        <v>277</v>
      </c>
      <c r="D41" s="228" t="s">
        <v>261</v>
      </c>
      <c r="E41" s="230">
        <v>3575</v>
      </c>
      <c r="F41" s="230">
        <v>0</v>
      </c>
      <c r="G41" s="230">
        <v>1200</v>
      </c>
      <c r="H41" s="231">
        <v>1200</v>
      </c>
      <c r="I41" s="232">
        <v>0</v>
      </c>
      <c r="J41" s="232"/>
      <c r="K41" s="232"/>
      <c r="L41" s="233">
        <v>1297.9245283018868</v>
      </c>
      <c r="M41" s="234">
        <v>-97.924528301886767</v>
      </c>
      <c r="N41" s="235">
        <v>-8.1603773584905642E-2</v>
      </c>
      <c r="O41" s="236"/>
      <c r="P41" s="299">
        <f>'KTQT_Trình bày'!Z41</f>
        <v>1469.5101509433962</v>
      </c>
      <c r="Q41" s="130">
        <v>0.03</v>
      </c>
      <c r="R41" s="302">
        <f t="shared" si="52"/>
        <v>44.085304528301883</v>
      </c>
      <c r="S41" s="302">
        <f t="shared" si="53"/>
        <v>1425.4248464150944</v>
      </c>
      <c r="T41" s="302">
        <f t="shared" si="54"/>
        <v>1469.5101509433962</v>
      </c>
      <c r="U41" s="130">
        <v>0.1</v>
      </c>
      <c r="V41" s="302">
        <f t="shared" si="55"/>
        <v>146.95101509433962</v>
      </c>
      <c r="W41" s="302">
        <f t="shared" si="56"/>
        <v>1322.5591358490565</v>
      </c>
      <c r="X41" s="303">
        <f t="shared" si="57"/>
        <v>269.51015094339618</v>
      </c>
      <c r="Y41" s="130">
        <f t="shared" si="58"/>
        <v>0.22459179245283015</v>
      </c>
      <c r="Z41" s="303">
        <f t="shared" si="59"/>
        <v>329.51015094339618</v>
      </c>
      <c r="AA41" s="130">
        <f t="shared" si="60"/>
        <v>0.28904399205561071</v>
      </c>
      <c r="AB41" s="303">
        <f t="shared" si="61"/>
        <v>169.51015094339618</v>
      </c>
      <c r="AC41" s="130">
        <f t="shared" si="62"/>
        <v>0.13039242380261246</v>
      </c>
      <c r="AD41" s="333">
        <f t="shared" si="63"/>
        <v>300</v>
      </c>
      <c r="AE41" s="333">
        <f t="shared" si="64"/>
        <v>150</v>
      </c>
      <c r="AF41" s="316">
        <v>1140</v>
      </c>
      <c r="AG41" s="316">
        <v>1300</v>
      </c>
      <c r="AH41" s="316">
        <v>840</v>
      </c>
      <c r="AI41" s="316">
        <v>1150</v>
      </c>
    </row>
    <row r="42" spans="1:35" outlineLevel="1">
      <c r="A42" s="225">
        <v>3</v>
      </c>
      <c r="B42" s="227" t="s">
        <v>279</v>
      </c>
      <c r="C42" s="227" t="s">
        <v>280</v>
      </c>
      <c r="D42" s="228" t="s">
        <v>281</v>
      </c>
      <c r="E42" s="230">
        <v>18774</v>
      </c>
      <c r="F42" s="230">
        <v>0</v>
      </c>
      <c r="G42" s="230"/>
      <c r="H42" s="231"/>
      <c r="I42" s="232">
        <v>0</v>
      </c>
      <c r="J42" s="232"/>
      <c r="K42" s="232"/>
      <c r="L42" s="233">
        <v>823.13207547169816</v>
      </c>
      <c r="M42" s="234"/>
      <c r="N42" s="235"/>
      <c r="O42" s="236"/>
      <c r="P42" s="299">
        <f>'KTQT_Trình bày'!Z42</f>
        <v>931.95013584905666</v>
      </c>
      <c r="Q42" s="130">
        <v>0.03</v>
      </c>
      <c r="R42" s="302">
        <f t="shared" si="52"/>
        <v>27.958504075471698</v>
      </c>
      <c r="S42" s="302">
        <f t="shared" si="53"/>
        <v>903.99163177358491</v>
      </c>
      <c r="T42" s="302">
        <f t="shared" si="54"/>
        <v>931.95013584905666</v>
      </c>
      <c r="U42" s="130">
        <v>0.1</v>
      </c>
      <c r="V42" s="302">
        <f t="shared" si="55"/>
        <v>93.195013584905666</v>
      </c>
      <c r="W42" s="302">
        <f t="shared" si="56"/>
        <v>838.75512226415094</v>
      </c>
      <c r="X42" s="303">
        <f t="shared" si="57"/>
        <v>931.95013584905666</v>
      </c>
      <c r="Y42" s="130" t="e">
        <f t="shared" si="58"/>
        <v>#DIV/0!</v>
      </c>
      <c r="Z42" s="303">
        <f t="shared" si="59"/>
        <v>-208.04986415094334</v>
      </c>
      <c r="AA42" s="130">
        <f t="shared" si="60"/>
        <v>-0.18249988083416083</v>
      </c>
      <c r="AB42" s="303">
        <f t="shared" si="61"/>
        <v>-368.04986415094334</v>
      </c>
      <c r="AC42" s="130">
        <f t="shared" si="62"/>
        <v>-0.28311528011611026</v>
      </c>
      <c r="AD42" s="333">
        <f t="shared" si="63"/>
        <v>300</v>
      </c>
      <c r="AE42" s="333">
        <f t="shared" si="64"/>
        <v>150</v>
      </c>
      <c r="AF42" s="316">
        <v>1140</v>
      </c>
      <c r="AG42" s="316">
        <v>1300</v>
      </c>
      <c r="AH42" s="316">
        <v>840</v>
      </c>
      <c r="AI42" s="316">
        <v>1150</v>
      </c>
    </row>
    <row r="43" spans="1:35" outlineLevel="1">
      <c r="A43" s="225">
        <v>4</v>
      </c>
      <c r="B43" s="227" t="s">
        <v>282</v>
      </c>
      <c r="C43" s="227" t="s">
        <v>283</v>
      </c>
      <c r="D43" s="228" t="s">
        <v>281</v>
      </c>
      <c r="E43" s="230">
        <v>13300</v>
      </c>
      <c r="F43" s="230">
        <v>0</v>
      </c>
      <c r="G43" s="230">
        <v>1200</v>
      </c>
      <c r="H43" s="231">
        <v>1200</v>
      </c>
      <c r="I43" s="232">
        <v>0</v>
      </c>
      <c r="J43" s="232"/>
      <c r="K43" s="232"/>
      <c r="L43" s="233">
        <v>823.13207547169816</v>
      </c>
      <c r="M43" s="234">
        <v>376.86792452830184</v>
      </c>
      <c r="N43" s="235">
        <v>0.31405660377358485</v>
      </c>
      <c r="O43" s="236"/>
      <c r="P43" s="299">
        <f>'KTQT_Trình bày'!Z43</f>
        <v>931.95013584905666</v>
      </c>
      <c r="Q43" s="130">
        <v>0.03</v>
      </c>
      <c r="R43" s="302">
        <f t="shared" si="52"/>
        <v>27.958504075471698</v>
      </c>
      <c r="S43" s="302">
        <f t="shared" si="53"/>
        <v>903.99163177358491</v>
      </c>
      <c r="T43" s="302">
        <f t="shared" si="54"/>
        <v>931.95013584905666</v>
      </c>
      <c r="U43" s="130">
        <v>0.1</v>
      </c>
      <c r="V43" s="302">
        <f t="shared" si="55"/>
        <v>93.195013584905666</v>
      </c>
      <c r="W43" s="302">
        <f t="shared" si="56"/>
        <v>838.75512226415094</v>
      </c>
      <c r="X43" s="303">
        <f t="shared" si="57"/>
        <v>-268.04986415094334</v>
      </c>
      <c r="Y43" s="130">
        <f t="shared" si="58"/>
        <v>-0.22337488679245279</v>
      </c>
      <c r="Z43" s="303">
        <f t="shared" si="59"/>
        <v>-208.04986415094334</v>
      </c>
      <c r="AA43" s="130">
        <f t="shared" si="60"/>
        <v>-0.18249988083416083</v>
      </c>
      <c r="AB43" s="303">
        <f t="shared" si="61"/>
        <v>-368.04986415094334</v>
      </c>
      <c r="AC43" s="130">
        <f t="shared" si="62"/>
        <v>-0.28311528011611026</v>
      </c>
      <c r="AD43" s="333">
        <f t="shared" si="63"/>
        <v>300</v>
      </c>
      <c r="AE43" s="333">
        <f t="shared" si="64"/>
        <v>150</v>
      </c>
      <c r="AF43" s="316">
        <v>1140</v>
      </c>
      <c r="AG43" s="316">
        <v>1300</v>
      </c>
      <c r="AH43" s="316">
        <v>840</v>
      </c>
      <c r="AI43" s="316">
        <v>1150</v>
      </c>
    </row>
    <row r="44" spans="1:35" outlineLevel="1">
      <c r="A44" s="225">
        <v>5</v>
      </c>
      <c r="B44" s="227" t="s">
        <v>284</v>
      </c>
      <c r="C44" s="227" t="s">
        <v>285</v>
      </c>
      <c r="D44" s="228"/>
      <c r="E44" s="230">
        <v>11303.9</v>
      </c>
      <c r="F44" s="230">
        <v>0</v>
      </c>
      <c r="G44" s="230"/>
      <c r="H44" s="231"/>
      <c r="I44" s="232">
        <v>0</v>
      </c>
      <c r="J44" s="232"/>
      <c r="K44" s="232"/>
      <c r="L44" s="233"/>
      <c r="M44" s="234"/>
      <c r="N44" s="235"/>
      <c r="O44" s="236"/>
      <c r="P44" s="299">
        <f>'KTQT_Trình bày'!Z44</f>
        <v>0</v>
      </c>
      <c r="Q44" s="130">
        <v>0.03</v>
      </c>
      <c r="R44" s="302">
        <f t="shared" si="52"/>
        <v>0</v>
      </c>
      <c r="S44" s="302">
        <f t="shared" si="53"/>
        <v>0</v>
      </c>
      <c r="T44" s="302">
        <f t="shared" si="54"/>
        <v>0</v>
      </c>
      <c r="U44" s="130">
        <v>0.1</v>
      </c>
      <c r="V44" s="302">
        <f t="shared" si="55"/>
        <v>0</v>
      </c>
      <c r="W44" s="302">
        <f t="shared" si="56"/>
        <v>0</v>
      </c>
      <c r="X44" s="303">
        <f t="shared" si="57"/>
        <v>0</v>
      </c>
      <c r="Y44" s="130" t="e">
        <f t="shared" si="58"/>
        <v>#DIV/0!</v>
      </c>
      <c r="Z44" s="303">
        <f t="shared" si="59"/>
        <v>-1140</v>
      </c>
      <c r="AA44" s="130">
        <f t="shared" si="60"/>
        <v>-1</v>
      </c>
      <c r="AB44" s="303">
        <f t="shared" si="61"/>
        <v>-1300</v>
      </c>
      <c r="AC44" s="130">
        <f t="shared" si="62"/>
        <v>-1</v>
      </c>
      <c r="AD44" s="333">
        <f t="shared" si="63"/>
        <v>300</v>
      </c>
      <c r="AE44" s="333">
        <f t="shared" si="64"/>
        <v>150</v>
      </c>
      <c r="AF44" s="316">
        <v>1140</v>
      </c>
      <c r="AG44" s="316">
        <v>1300</v>
      </c>
      <c r="AH44" s="316">
        <v>840</v>
      </c>
      <c r="AI44" s="316">
        <v>1150</v>
      </c>
    </row>
    <row r="45" spans="1:35" outlineLevel="1">
      <c r="A45" s="225">
        <v>6</v>
      </c>
      <c r="B45" s="227" t="s">
        <v>286</v>
      </c>
      <c r="C45" s="227" t="s">
        <v>287</v>
      </c>
      <c r="D45" s="228" t="s">
        <v>269</v>
      </c>
      <c r="E45" s="230">
        <v>350</v>
      </c>
      <c r="F45" s="230">
        <v>0</v>
      </c>
      <c r="G45" s="230">
        <v>1200</v>
      </c>
      <c r="H45" s="231">
        <v>1200</v>
      </c>
      <c r="I45" s="232">
        <v>0</v>
      </c>
      <c r="J45" s="232"/>
      <c r="K45" s="232"/>
      <c r="L45" s="233">
        <v>1108.7169811320755</v>
      </c>
      <c r="M45" s="234">
        <v>91.283018867924511</v>
      </c>
      <c r="N45" s="235">
        <v>7.6069182389937096E-2</v>
      </c>
      <c r="O45" s="236"/>
      <c r="P45" s="299">
        <f>'KTQT_Trình bày'!Z45</f>
        <v>1255.2893660377358</v>
      </c>
      <c r="Q45" s="130">
        <v>0.03</v>
      </c>
      <c r="R45" s="302">
        <f t="shared" si="52"/>
        <v>37.658680981132072</v>
      </c>
      <c r="S45" s="302">
        <f t="shared" si="53"/>
        <v>1217.6306850566039</v>
      </c>
      <c r="T45" s="302">
        <f t="shared" si="54"/>
        <v>1255.2893660377358</v>
      </c>
      <c r="U45" s="130">
        <v>0.1</v>
      </c>
      <c r="V45" s="302">
        <f t="shared" si="55"/>
        <v>125.52893660377359</v>
      </c>
      <c r="W45" s="302">
        <f t="shared" si="56"/>
        <v>1129.7604294339621</v>
      </c>
      <c r="X45" s="303">
        <f t="shared" si="57"/>
        <v>55.289366037735817</v>
      </c>
      <c r="Y45" s="130">
        <f t="shared" si="58"/>
        <v>4.6074471698113184E-2</v>
      </c>
      <c r="Z45" s="303">
        <f t="shared" si="59"/>
        <v>115.28936603773582</v>
      </c>
      <c r="AA45" s="130">
        <f t="shared" si="60"/>
        <v>0.10113102284011914</v>
      </c>
      <c r="AB45" s="303">
        <f t="shared" si="61"/>
        <v>-44.710633962264183</v>
      </c>
      <c r="AC45" s="130">
        <f t="shared" si="62"/>
        <v>-3.4392795355587834E-2</v>
      </c>
      <c r="AD45" s="333">
        <f t="shared" si="63"/>
        <v>300</v>
      </c>
      <c r="AE45" s="333">
        <f t="shared" si="64"/>
        <v>150</v>
      </c>
      <c r="AF45" s="316">
        <v>1140</v>
      </c>
      <c r="AG45" s="316">
        <v>1300</v>
      </c>
      <c r="AH45" s="316">
        <v>840</v>
      </c>
      <c r="AI45" s="316">
        <v>1150</v>
      </c>
    </row>
    <row r="46" spans="1:35" s="218" customFormat="1">
      <c r="A46" s="219" t="s">
        <v>181</v>
      </c>
      <c r="B46" s="220" t="s">
        <v>288</v>
      </c>
      <c r="C46" s="220"/>
      <c r="D46" s="221"/>
      <c r="E46" s="243"/>
      <c r="F46" s="243"/>
      <c r="G46" s="243"/>
      <c r="H46" s="244"/>
      <c r="I46" s="244"/>
      <c r="J46" s="244"/>
      <c r="K46" s="244"/>
      <c r="L46" s="246"/>
      <c r="M46" s="245"/>
      <c r="N46" s="247"/>
      <c r="O46" s="248"/>
      <c r="P46" s="298"/>
      <c r="Q46" s="220"/>
      <c r="R46" s="220"/>
      <c r="S46" s="220"/>
      <c r="T46" s="220"/>
      <c r="U46" s="220"/>
      <c r="V46" s="220"/>
      <c r="W46" s="220"/>
      <c r="X46" s="220"/>
      <c r="Y46" s="220"/>
      <c r="Z46" s="220"/>
      <c r="AA46" s="220"/>
      <c r="AB46" s="220"/>
      <c r="AC46" s="220"/>
      <c r="AD46" s="329"/>
      <c r="AE46" s="329"/>
      <c r="AF46" s="329"/>
      <c r="AG46" s="329"/>
      <c r="AH46" s="329"/>
      <c r="AI46" s="329"/>
    </row>
    <row r="47" spans="1:35" outlineLevel="1">
      <c r="A47" s="225">
        <v>1</v>
      </c>
      <c r="B47" s="227" t="s">
        <v>289</v>
      </c>
      <c r="C47" s="227" t="s">
        <v>105</v>
      </c>
      <c r="D47" s="228" t="s">
        <v>45</v>
      </c>
      <c r="E47" s="230">
        <v>159325.5</v>
      </c>
      <c r="F47" s="230">
        <v>15625</v>
      </c>
      <c r="G47" s="230">
        <v>780</v>
      </c>
      <c r="H47" s="231">
        <v>780</v>
      </c>
      <c r="I47" s="232">
        <v>0</v>
      </c>
      <c r="J47" s="232"/>
      <c r="K47" s="232"/>
      <c r="L47" s="233">
        <v>736.5405420805605</v>
      </c>
      <c r="M47" s="234">
        <v>43.459457919439501</v>
      </c>
      <c r="N47" s="235">
        <v>5.5717253742871155E-2</v>
      </c>
      <c r="O47" s="236"/>
      <c r="P47" s="299">
        <f>'KTQT_Trình bày'!Z47</f>
        <v>833.9112017436106</v>
      </c>
      <c r="Q47" s="130">
        <v>0.03</v>
      </c>
      <c r="R47" s="302">
        <f t="shared" ref="R47" si="65">P47*Q47</f>
        <v>25.017336052308316</v>
      </c>
      <c r="S47" s="302">
        <f t="shared" ref="S47" si="66">P47-R47</f>
        <v>808.89386569130227</v>
      </c>
      <c r="T47" s="302">
        <f t="shared" ref="T47" si="67">P47</f>
        <v>833.9112017436106</v>
      </c>
      <c r="U47" s="130">
        <v>0.1</v>
      </c>
      <c r="V47" s="302">
        <f t="shared" ref="V47" si="68">T47*U47</f>
        <v>83.391120174361063</v>
      </c>
      <c r="W47" s="302">
        <f t="shared" ref="W47" si="69">T47-V47</f>
        <v>750.52008156924956</v>
      </c>
      <c r="X47" s="303">
        <f t="shared" ref="X47" si="70">P47-G47</f>
        <v>53.911201743610604</v>
      </c>
      <c r="Y47" s="130">
        <f t="shared" ref="Y47" si="71">X47/G47</f>
        <v>6.911692531232129E-2</v>
      </c>
      <c r="Z47" s="303">
        <f t="shared" ref="Z47" si="72">P47-AF47</f>
        <v>-306.0887982563894</v>
      </c>
      <c r="AA47" s="130">
        <f t="shared" ref="AA47" si="73">Z47/AF47</f>
        <v>-0.26849894583893807</v>
      </c>
      <c r="AB47" s="303">
        <f t="shared" ref="AB47" si="74">P47-AG47</f>
        <v>-466.0887982563894</v>
      </c>
      <c r="AC47" s="130">
        <f t="shared" ref="AC47" si="75">AB47/AG47</f>
        <v>-0.35852984481260725</v>
      </c>
      <c r="AD47" s="333">
        <f t="shared" ref="AD47" si="76">AF47-AH47</f>
        <v>300</v>
      </c>
      <c r="AE47" s="333">
        <f t="shared" ref="AE47" si="77">AG47-AI47</f>
        <v>150</v>
      </c>
      <c r="AF47" s="316">
        <v>1140</v>
      </c>
      <c r="AG47" s="316">
        <v>1300</v>
      </c>
      <c r="AH47" s="316">
        <v>840</v>
      </c>
      <c r="AI47" s="316">
        <v>1150</v>
      </c>
    </row>
    <row r="48" spans="1:35" s="218" customFormat="1">
      <c r="A48" s="212" t="s">
        <v>291</v>
      </c>
      <c r="B48" s="213" t="s">
        <v>292</v>
      </c>
      <c r="C48" s="213"/>
      <c r="D48" s="214"/>
      <c r="E48" s="256"/>
      <c r="F48" s="256"/>
      <c r="G48" s="256"/>
      <c r="H48" s="256"/>
      <c r="I48" s="258"/>
      <c r="J48" s="258"/>
      <c r="K48" s="258"/>
      <c r="L48" s="259"/>
      <c r="M48" s="258"/>
      <c r="N48" s="260"/>
      <c r="O48" s="261"/>
      <c r="P48" s="297"/>
      <c r="Q48" s="213"/>
      <c r="R48" s="213"/>
      <c r="S48" s="213"/>
      <c r="T48" s="213"/>
      <c r="U48" s="213"/>
      <c r="V48" s="213"/>
      <c r="W48" s="213"/>
      <c r="X48" s="213"/>
      <c r="Y48" s="213"/>
      <c r="Z48" s="213"/>
      <c r="AA48" s="213"/>
      <c r="AB48" s="213"/>
      <c r="AC48" s="213"/>
      <c r="AD48" s="328"/>
      <c r="AE48" s="328"/>
      <c r="AF48" s="328"/>
      <c r="AG48" s="328"/>
      <c r="AH48" s="328"/>
      <c r="AI48" s="328"/>
    </row>
    <row r="49" spans="1:35" s="218" customFormat="1">
      <c r="A49" s="219" t="s">
        <v>43</v>
      </c>
      <c r="B49" s="220" t="s">
        <v>221</v>
      </c>
      <c r="C49" s="220"/>
      <c r="D49" s="221"/>
      <c r="E49" s="243"/>
      <c r="F49" s="243"/>
      <c r="G49" s="243"/>
      <c r="H49" s="243"/>
      <c r="I49" s="245"/>
      <c r="J49" s="245"/>
      <c r="K49" s="245"/>
      <c r="L49" s="246"/>
      <c r="M49" s="245"/>
      <c r="N49" s="247"/>
      <c r="O49" s="248"/>
      <c r="P49" s="298"/>
      <c r="Q49" s="220"/>
      <c r="R49" s="220"/>
      <c r="S49" s="220"/>
      <c r="T49" s="220"/>
      <c r="U49" s="220"/>
      <c r="V49" s="220"/>
      <c r="W49" s="220"/>
      <c r="X49" s="220"/>
      <c r="Y49" s="220"/>
      <c r="Z49" s="220"/>
      <c r="AA49" s="220"/>
      <c r="AB49" s="220"/>
      <c r="AC49" s="220"/>
      <c r="AD49" s="329"/>
      <c r="AE49" s="329"/>
      <c r="AF49" s="329"/>
      <c r="AG49" s="329"/>
      <c r="AH49" s="329"/>
      <c r="AI49" s="329"/>
    </row>
    <row r="50" spans="1:35" outlineLevel="1">
      <c r="A50" s="225">
        <v>1</v>
      </c>
      <c r="B50" s="227" t="s">
        <v>293</v>
      </c>
      <c r="C50" s="227" t="s">
        <v>294</v>
      </c>
      <c r="D50" s="228" t="s">
        <v>295</v>
      </c>
      <c r="E50" s="230">
        <v>21245</v>
      </c>
      <c r="F50" s="230">
        <v>22500</v>
      </c>
      <c r="G50" s="262">
        <v>740</v>
      </c>
      <c r="H50" s="231">
        <v>740</v>
      </c>
      <c r="I50" s="232">
        <v>0</v>
      </c>
      <c r="J50" s="232"/>
      <c r="K50" s="232"/>
      <c r="L50" s="233">
        <v>746.42906346587836</v>
      </c>
      <c r="M50" s="234">
        <v>-6.4290634658783574</v>
      </c>
      <c r="N50" s="235">
        <v>-8.6879236025383215E-3</v>
      </c>
      <c r="O50" s="236"/>
      <c r="P50" s="299">
        <f>'KTQT_Trình bày'!Z50</f>
        <v>845.10698565606742</v>
      </c>
      <c r="Q50" s="130">
        <v>0.03</v>
      </c>
      <c r="R50" s="302">
        <f t="shared" ref="R50:R57" si="78">P50*Q50</f>
        <v>25.353209569682022</v>
      </c>
      <c r="S50" s="302">
        <f t="shared" ref="S50:S57" si="79">P50-R50</f>
        <v>819.75377608638541</v>
      </c>
      <c r="T50" s="302">
        <f t="shared" ref="T50:T57" si="80">P50</f>
        <v>845.10698565606742</v>
      </c>
      <c r="U50" s="130">
        <v>0.1</v>
      </c>
      <c r="V50" s="302">
        <f t="shared" ref="V50:V57" si="81">T50*U50</f>
        <v>84.510698565606745</v>
      </c>
      <c r="W50" s="302">
        <f t="shared" ref="W50:W57" si="82">T50-V50</f>
        <v>760.59628709046069</v>
      </c>
      <c r="X50" s="303">
        <f t="shared" ref="X50:X57" si="83">P50-G50</f>
        <v>105.10698565606742</v>
      </c>
      <c r="Y50" s="130">
        <f t="shared" ref="Y50:Y57" si="84">X50/G50</f>
        <v>0.1420364671027938</v>
      </c>
      <c r="Z50" s="303">
        <f t="shared" ref="Z50:Z57" si="85">P50-AF50</f>
        <v>-294.89301434393258</v>
      </c>
      <c r="AA50" s="130">
        <f t="shared" ref="AA50:AA57" si="86">Z50/AF50</f>
        <v>-0.2586780827578356</v>
      </c>
      <c r="AB50" s="303">
        <f t="shared" ref="AB50:AB57" si="87">P50-AG50</f>
        <v>-454.89301434393258</v>
      </c>
      <c r="AC50" s="130">
        <f t="shared" ref="AC50:AC57" si="88">AB50/AG50</f>
        <v>-0.34991770334148659</v>
      </c>
      <c r="AD50" s="333">
        <f t="shared" ref="AD50:AD57" si="89">AF50-AH50</f>
        <v>300</v>
      </c>
      <c r="AE50" s="333">
        <f t="shared" ref="AE50:AE57" si="90">AG50-AI50</f>
        <v>150</v>
      </c>
      <c r="AF50" s="316">
        <v>1140</v>
      </c>
      <c r="AG50" s="316">
        <v>1300</v>
      </c>
      <c r="AH50" s="316">
        <v>840</v>
      </c>
      <c r="AI50" s="316">
        <v>1150</v>
      </c>
    </row>
    <row r="51" spans="1:35" outlineLevel="1">
      <c r="A51" s="225">
        <v>2</v>
      </c>
      <c r="B51" s="227" t="s">
        <v>297</v>
      </c>
      <c r="C51" s="227" t="s">
        <v>298</v>
      </c>
      <c r="D51" s="228" t="s">
        <v>281</v>
      </c>
      <c r="E51" s="230">
        <v>29275</v>
      </c>
      <c r="F51" s="230">
        <v>28000</v>
      </c>
      <c r="G51" s="262">
        <v>740</v>
      </c>
      <c r="H51" s="231">
        <v>740</v>
      </c>
      <c r="I51" s="232">
        <v>0</v>
      </c>
      <c r="J51" s="232"/>
      <c r="K51" s="232"/>
      <c r="L51" s="233">
        <v>746.42906346587836</v>
      </c>
      <c r="M51" s="234">
        <v>-6.4290634658783574</v>
      </c>
      <c r="N51" s="235">
        <v>-8.6879236025383215E-3</v>
      </c>
      <c r="O51" s="236"/>
      <c r="P51" s="299">
        <f>'KTQT_Trình bày'!Z51</f>
        <v>845.10698565606742</v>
      </c>
      <c r="Q51" s="130">
        <v>0.03</v>
      </c>
      <c r="R51" s="302">
        <f t="shared" si="78"/>
        <v>25.353209569682022</v>
      </c>
      <c r="S51" s="302">
        <f t="shared" si="79"/>
        <v>819.75377608638541</v>
      </c>
      <c r="T51" s="302">
        <f t="shared" si="80"/>
        <v>845.10698565606742</v>
      </c>
      <c r="U51" s="130">
        <v>0.1</v>
      </c>
      <c r="V51" s="302">
        <f t="shared" si="81"/>
        <v>84.510698565606745</v>
      </c>
      <c r="W51" s="302">
        <f t="shared" si="82"/>
        <v>760.59628709046069</v>
      </c>
      <c r="X51" s="303">
        <f t="shared" si="83"/>
        <v>105.10698565606742</v>
      </c>
      <c r="Y51" s="130">
        <f t="shared" si="84"/>
        <v>0.1420364671027938</v>
      </c>
      <c r="Z51" s="303">
        <f t="shared" si="85"/>
        <v>-294.89301434393258</v>
      </c>
      <c r="AA51" s="130">
        <f t="shared" si="86"/>
        <v>-0.2586780827578356</v>
      </c>
      <c r="AB51" s="303">
        <f t="shared" si="87"/>
        <v>-454.89301434393258</v>
      </c>
      <c r="AC51" s="130">
        <f t="shared" si="88"/>
        <v>-0.34991770334148659</v>
      </c>
      <c r="AD51" s="333">
        <f t="shared" si="89"/>
        <v>300</v>
      </c>
      <c r="AE51" s="333">
        <f t="shared" si="90"/>
        <v>150</v>
      </c>
      <c r="AF51" s="316">
        <v>1140</v>
      </c>
      <c r="AG51" s="316">
        <v>1300</v>
      </c>
      <c r="AH51" s="316">
        <v>840</v>
      </c>
      <c r="AI51" s="316">
        <v>1150</v>
      </c>
    </row>
    <row r="52" spans="1:35" outlineLevel="1">
      <c r="A52" s="225">
        <v>3</v>
      </c>
      <c r="B52" s="227" t="s">
        <v>17</v>
      </c>
      <c r="C52" s="227" t="s">
        <v>299</v>
      </c>
      <c r="D52" s="228" t="s">
        <v>300</v>
      </c>
      <c r="E52" s="230">
        <v>48550</v>
      </c>
      <c r="F52" s="230">
        <v>5500</v>
      </c>
      <c r="G52" s="262">
        <v>740</v>
      </c>
      <c r="H52" s="231">
        <v>740</v>
      </c>
      <c r="I52" s="232">
        <v>0</v>
      </c>
      <c r="J52" s="232"/>
      <c r="K52" s="232"/>
      <c r="L52" s="233">
        <v>746.42906346587836</v>
      </c>
      <c r="M52" s="234">
        <v>-6.4290634658783574</v>
      </c>
      <c r="N52" s="235">
        <v>-8.6879236025383215E-3</v>
      </c>
      <c r="O52" s="236"/>
      <c r="P52" s="299">
        <f>'KTQT_Trình bày'!Z52</f>
        <v>845.10698565606742</v>
      </c>
      <c r="Q52" s="130">
        <v>0.03</v>
      </c>
      <c r="R52" s="302">
        <f t="shared" si="78"/>
        <v>25.353209569682022</v>
      </c>
      <c r="S52" s="302">
        <f t="shared" si="79"/>
        <v>819.75377608638541</v>
      </c>
      <c r="T52" s="302">
        <f t="shared" si="80"/>
        <v>845.10698565606742</v>
      </c>
      <c r="U52" s="130">
        <v>0.1</v>
      </c>
      <c r="V52" s="302">
        <f t="shared" si="81"/>
        <v>84.510698565606745</v>
      </c>
      <c r="W52" s="302">
        <f t="shared" si="82"/>
        <v>760.59628709046069</v>
      </c>
      <c r="X52" s="303">
        <f t="shared" si="83"/>
        <v>105.10698565606742</v>
      </c>
      <c r="Y52" s="130">
        <f t="shared" si="84"/>
        <v>0.1420364671027938</v>
      </c>
      <c r="Z52" s="303">
        <f t="shared" si="85"/>
        <v>-294.89301434393258</v>
      </c>
      <c r="AA52" s="130">
        <f t="shared" si="86"/>
        <v>-0.2586780827578356</v>
      </c>
      <c r="AB52" s="303">
        <f t="shared" si="87"/>
        <v>-454.89301434393258</v>
      </c>
      <c r="AC52" s="130">
        <f t="shared" si="88"/>
        <v>-0.34991770334148659</v>
      </c>
      <c r="AD52" s="333">
        <f t="shared" si="89"/>
        <v>300</v>
      </c>
      <c r="AE52" s="333">
        <f t="shared" si="90"/>
        <v>150</v>
      </c>
      <c r="AF52" s="316">
        <v>1140</v>
      </c>
      <c r="AG52" s="316">
        <v>1300</v>
      </c>
      <c r="AH52" s="316">
        <v>840</v>
      </c>
      <c r="AI52" s="316">
        <v>1150</v>
      </c>
    </row>
    <row r="53" spans="1:35" outlineLevel="1">
      <c r="A53" s="225">
        <v>4</v>
      </c>
      <c r="B53" s="227" t="s">
        <v>301</v>
      </c>
      <c r="C53" s="227" t="s">
        <v>302</v>
      </c>
      <c r="D53" s="228" t="s">
        <v>295</v>
      </c>
      <c r="E53" s="230">
        <v>1448</v>
      </c>
      <c r="F53" s="230">
        <v>0</v>
      </c>
      <c r="G53" s="262">
        <v>740</v>
      </c>
      <c r="H53" s="231">
        <v>740</v>
      </c>
      <c r="I53" s="232">
        <v>0</v>
      </c>
      <c r="J53" s="232"/>
      <c r="K53" s="232"/>
      <c r="L53" s="233">
        <v>1246.3396226415093</v>
      </c>
      <c r="M53" s="234">
        <v>-506.33962264150932</v>
      </c>
      <c r="N53" s="235">
        <v>-0.68424273329933694</v>
      </c>
      <c r="O53" s="236"/>
      <c r="P53" s="299">
        <f>'KTQT_Trình bày'!Z53</f>
        <v>1411.1057207547167</v>
      </c>
      <c r="Q53" s="130">
        <v>0.03</v>
      </c>
      <c r="R53" s="302">
        <f t="shared" si="78"/>
        <v>42.333171622641501</v>
      </c>
      <c r="S53" s="302">
        <f t="shared" si="79"/>
        <v>1368.7725491320753</v>
      </c>
      <c r="T53" s="302">
        <f t="shared" si="80"/>
        <v>1411.1057207547167</v>
      </c>
      <c r="U53" s="130">
        <v>0.1</v>
      </c>
      <c r="V53" s="302">
        <f t="shared" si="81"/>
        <v>141.11057207547168</v>
      </c>
      <c r="W53" s="302">
        <f t="shared" si="82"/>
        <v>1269.9951486792449</v>
      </c>
      <c r="X53" s="303">
        <f t="shared" si="83"/>
        <v>671.10572075471669</v>
      </c>
      <c r="Y53" s="130">
        <f t="shared" si="84"/>
        <v>0.90689962264150903</v>
      </c>
      <c r="Z53" s="303">
        <f t="shared" si="85"/>
        <v>271.10572075471669</v>
      </c>
      <c r="AA53" s="130">
        <f t="shared" si="86"/>
        <v>0.23781203574975149</v>
      </c>
      <c r="AB53" s="303">
        <f t="shared" si="87"/>
        <v>111.10572075471669</v>
      </c>
      <c r="AC53" s="130">
        <f t="shared" si="88"/>
        <v>8.5465939042089753E-2</v>
      </c>
      <c r="AD53" s="333">
        <f t="shared" si="89"/>
        <v>300</v>
      </c>
      <c r="AE53" s="333">
        <f t="shared" si="90"/>
        <v>150</v>
      </c>
      <c r="AF53" s="316">
        <v>1140</v>
      </c>
      <c r="AG53" s="316">
        <v>1300</v>
      </c>
      <c r="AH53" s="316">
        <v>840</v>
      </c>
      <c r="AI53" s="316">
        <v>1150</v>
      </c>
    </row>
    <row r="54" spans="1:35" outlineLevel="1">
      <c r="A54" s="225">
        <v>5</v>
      </c>
      <c r="B54" s="227" t="s">
        <v>304</v>
      </c>
      <c r="C54" s="227" t="s">
        <v>305</v>
      </c>
      <c r="D54" s="228" t="s">
        <v>261</v>
      </c>
      <c r="E54" s="230">
        <v>29015</v>
      </c>
      <c r="F54" s="230">
        <v>11000</v>
      </c>
      <c r="G54" s="262">
        <v>740</v>
      </c>
      <c r="H54" s="231">
        <v>740</v>
      </c>
      <c r="I54" s="232">
        <v>0</v>
      </c>
      <c r="J54" s="232"/>
      <c r="K54" s="232"/>
      <c r="L54" s="233">
        <v>746.42906346587836</v>
      </c>
      <c r="M54" s="234">
        <v>-6.4290634658783574</v>
      </c>
      <c r="N54" s="235">
        <v>-8.6879236025383215E-3</v>
      </c>
      <c r="O54" s="236"/>
      <c r="P54" s="299">
        <f>'KTQT_Trình bày'!Z54</f>
        <v>845.10698565606742</v>
      </c>
      <c r="Q54" s="130">
        <v>0.03</v>
      </c>
      <c r="R54" s="302">
        <f t="shared" si="78"/>
        <v>25.353209569682022</v>
      </c>
      <c r="S54" s="302">
        <f t="shared" si="79"/>
        <v>819.75377608638541</v>
      </c>
      <c r="T54" s="302">
        <f t="shared" si="80"/>
        <v>845.10698565606742</v>
      </c>
      <c r="U54" s="130">
        <v>0.1</v>
      </c>
      <c r="V54" s="302">
        <f t="shared" si="81"/>
        <v>84.510698565606745</v>
      </c>
      <c r="W54" s="302">
        <f t="shared" si="82"/>
        <v>760.59628709046069</v>
      </c>
      <c r="X54" s="303">
        <f t="shared" si="83"/>
        <v>105.10698565606742</v>
      </c>
      <c r="Y54" s="130">
        <f t="shared" si="84"/>
        <v>0.1420364671027938</v>
      </c>
      <c r="Z54" s="303">
        <f t="shared" si="85"/>
        <v>-294.89301434393258</v>
      </c>
      <c r="AA54" s="130">
        <f t="shared" si="86"/>
        <v>-0.2586780827578356</v>
      </c>
      <c r="AB54" s="303">
        <f t="shared" si="87"/>
        <v>-454.89301434393258</v>
      </c>
      <c r="AC54" s="130">
        <f t="shared" si="88"/>
        <v>-0.34991770334148659</v>
      </c>
      <c r="AD54" s="333">
        <f t="shared" si="89"/>
        <v>300</v>
      </c>
      <c r="AE54" s="333">
        <f t="shared" si="90"/>
        <v>150</v>
      </c>
      <c r="AF54" s="316">
        <v>1140</v>
      </c>
      <c r="AG54" s="316">
        <v>1300</v>
      </c>
      <c r="AH54" s="316">
        <v>840</v>
      </c>
      <c r="AI54" s="316">
        <v>1150</v>
      </c>
    </row>
    <row r="55" spans="1:35" outlineLevel="1">
      <c r="A55" s="225">
        <v>6</v>
      </c>
      <c r="B55" s="227" t="s">
        <v>306</v>
      </c>
      <c r="C55" s="227" t="s">
        <v>307</v>
      </c>
      <c r="D55" s="228" t="s">
        <v>269</v>
      </c>
      <c r="E55" s="230">
        <v>59110.400000000001</v>
      </c>
      <c r="F55" s="230">
        <v>0</v>
      </c>
      <c r="G55" s="262">
        <v>740</v>
      </c>
      <c r="H55" s="231">
        <v>740</v>
      </c>
      <c r="I55" s="232">
        <v>0</v>
      </c>
      <c r="J55" s="232"/>
      <c r="K55" s="232"/>
      <c r="L55" s="233">
        <v>746.42906346587836</v>
      </c>
      <c r="M55" s="234">
        <v>-6.4290634658783574</v>
      </c>
      <c r="N55" s="235">
        <v>-8.6879236025383215E-3</v>
      </c>
      <c r="O55" s="236"/>
      <c r="P55" s="299">
        <f>'KTQT_Trình bày'!Z55</f>
        <v>845.10698565606742</v>
      </c>
      <c r="Q55" s="130">
        <v>0.03</v>
      </c>
      <c r="R55" s="302">
        <f t="shared" si="78"/>
        <v>25.353209569682022</v>
      </c>
      <c r="S55" s="302">
        <f t="shared" si="79"/>
        <v>819.75377608638541</v>
      </c>
      <c r="T55" s="302">
        <f t="shared" si="80"/>
        <v>845.10698565606742</v>
      </c>
      <c r="U55" s="130">
        <v>0.1</v>
      </c>
      <c r="V55" s="302">
        <f t="shared" si="81"/>
        <v>84.510698565606745</v>
      </c>
      <c r="W55" s="302">
        <f t="shared" si="82"/>
        <v>760.59628709046069</v>
      </c>
      <c r="X55" s="303">
        <f t="shared" si="83"/>
        <v>105.10698565606742</v>
      </c>
      <c r="Y55" s="130">
        <f t="shared" si="84"/>
        <v>0.1420364671027938</v>
      </c>
      <c r="Z55" s="303">
        <f t="shared" si="85"/>
        <v>-294.89301434393258</v>
      </c>
      <c r="AA55" s="130">
        <f t="shared" si="86"/>
        <v>-0.2586780827578356</v>
      </c>
      <c r="AB55" s="303">
        <f t="shared" si="87"/>
        <v>-454.89301434393258</v>
      </c>
      <c r="AC55" s="130">
        <f t="shared" si="88"/>
        <v>-0.34991770334148659</v>
      </c>
      <c r="AD55" s="333">
        <f t="shared" si="89"/>
        <v>300</v>
      </c>
      <c r="AE55" s="333">
        <f t="shared" si="90"/>
        <v>150</v>
      </c>
      <c r="AF55" s="316">
        <v>1140</v>
      </c>
      <c r="AG55" s="316">
        <v>1300</v>
      </c>
      <c r="AH55" s="316">
        <v>840</v>
      </c>
      <c r="AI55" s="316">
        <v>1150</v>
      </c>
    </row>
    <row r="56" spans="1:35" outlineLevel="1">
      <c r="A56" s="225">
        <v>7</v>
      </c>
      <c r="B56" s="227" t="s">
        <v>308</v>
      </c>
      <c r="C56" s="227" t="s">
        <v>104</v>
      </c>
      <c r="D56" s="228" t="s">
        <v>76</v>
      </c>
      <c r="E56" s="230">
        <v>3448</v>
      </c>
      <c r="F56" s="230">
        <v>11000</v>
      </c>
      <c r="G56" s="262">
        <v>660</v>
      </c>
      <c r="H56" s="231">
        <v>660</v>
      </c>
      <c r="I56" s="232">
        <v>0</v>
      </c>
      <c r="J56" s="232"/>
      <c r="K56" s="232"/>
      <c r="L56" s="233">
        <v>898.56603773584902</v>
      </c>
      <c r="M56" s="234">
        <v>-238.56603773584902</v>
      </c>
      <c r="N56" s="235">
        <v>-0.36146369353916519</v>
      </c>
      <c r="O56" s="236"/>
      <c r="P56" s="299">
        <f>'KTQT_Trình bày'!Z56</f>
        <v>1017.3564679245283</v>
      </c>
      <c r="Q56" s="130">
        <v>0.03</v>
      </c>
      <c r="R56" s="302">
        <f t="shared" si="78"/>
        <v>30.520694037735847</v>
      </c>
      <c r="S56" s="302">
        <f t="shared" si="79"/>
        <v>986.83577388679237</v>
      </c>
      <c r="T56" s="302">
        <f t="shared" si="80"/>
        <v>1017.3564679245283</v>
      </c>
      <c r="U56" s="130">
        <v>0.1</v>
      </c>
      <c r="V56" s="302">
        <f t="shared" si="81"/>
        <v>101.73564679245283</v>
      </c>
      <c r="W56" s="302">
        <f t="shared" si="82"/>
        <v>915.62082113207543</v>
      </c>
      <c r="X56" s="303">
        <f t="shared" si="83"/>
        <v>357.35646792452826</v>
      </c>
      <c r="Y56" s="130">
        <f t="shared" si="84"/>
        <v>0.54144919382504286</v>
      </c>
      <c r="Z56" s="303">
        <f t="shared" si="85"/>
        <v>-122.64353207547174</v>
      </c>
      <c r="AA56" s="130">
        <f t="shared" si="86"/>
        <v>-0.10758204568023837</v>
      </c>
      <c r="AB56" s="303">
        <f t="shared" si="87"/>
        <v>-282.64353207547174</v>
      </c>
      <c r="AC56" s="130">
        <f t="shared" si="88"/>
        <v>-0.21741810159651673</v>
      </c>
      <c r="AD56" s="333">
        <f t="shared" si="89"/>
        <v>300</v>
      </c>
      <c r="AE56" s="333">
        <f t="shared" si="90"/>
        <v>150</v>
      </c>
      <c r="AF56" s="316">
        <v>1140</v>
      </c>
      <c r="AG56" s="316">
        <v>1300</v>
      </c>
      <c r="AH56" s="316">
        <v>840</v>
      </c>
      <c r="AI56" s="316">
        <v>1150</v>
      </c>
    </row>
    <row r="57" spans="1:35" outlineLevel="1">
      <c r="A57" s="225">
        <v>8</v>
      </c>
      <c r="B57" s="227" t="s">
        <v>310</v>
      </c>
      <c r="C57" s="227" t="s">
        <v>311</v>
      </c>
      <c r="D57" s="228" t="s">
        <v>76</v>
      </c>
      <c r="E57" s="264">
        <v>244671.9</v>
      </c>
      <c r="F57" s="230">
        <v>0</v>
      </c>
      <c r="G57" s="262">
        <v>740</v>
      </c>
      <c r="H57" s="231">
        <v>740</v>
      </c>
      <c r="I57" s="232">
        <v>0</v>
      </c>
      <c r="J57" s="232"/>
      <c r="K57" s="232"/>
      <c r="L57" s="233">
        <v>703.88679245283015</v>
      </c>
      <c r="M57" s="234">
        <v>36.11320754716985</v>
      </c>
      <c r="N57" s="235">
        <v>4.8801631820499798E-2</v>
      </c>
      <c r="O57" s="236"/>
      <c r="P57" s="299">
        <f>'KTQT_Trình bày'!Z57</f>
        <v>796.94062641509424</v>
      </c>
      <c r="Q57" s="130">
        <v>0.03</v>
      </c>
      <c r="R57" s="302">
        <f t="shared" si="78"/>
        <v>23.908218792452825</v>
      </c>
      <c r="S57" s="302">
        <f t="shared" si="79"/>
        <v>773.03240762264147</v>
      </c>
      <c r="T57" s="302">
        <f t="shared" si="80"/>
        <v>796.94062641509424</v>
      </c>
      <c r="U57" s="130">
        <v>0.1</v>
      </c>
      <c r="V57" s="302">
        <f t="shared" si="81"/>
        <v>79.694062641509433</v>
      </c>
      <c r="W57" s="302">
        <f t="shared" si="82"/>
        <v>717.24656377358485</v>
      </c>
      <c r="X57" s="303">
        <f t="shared" si="83"/>
        <v>56.940626415094243</v>
      </c>
      <c r="Y57" s="130">
        <f t="shared" si="84"/>
        <v>7.6946792452830065E-2</v>
      </c>
      <c r="Z57" s="303">
        <f t="shared" si="85"/>
        <v>-343.05937358490576</v>
      </c>
      <c r="AA57" s="130">
        <f t="shared" si="86"/>
        <v>-0.30092927507447875</v>
      </c>
      <c r="AB57" s="303">
        <f t="shared" si="87"/>
        <v>-503.05937358490576</v>
      </c>
      <c r="AC57" s="130">
        <f t="shared" si="88"/>
        <v>-0.38696874891146599</v>
      </c>
      <c r="AD57" s="333">
        <f t="shared" si="89"/>
        <v>300</v>
      </c>
      <c r="AE57" s="333">
        <f t="shared" si="90"/>
        <v>150</v>
      </c>
      <c r="AF57" s="316">
        <v>1140</v>
      </c>
      <c r="AG57" s="316">
        <v>1300</v>
      </c>
      <c r="AH57" s="316">
        <v>840</v>
      </c>
      <c r="AI57" s="316">
        <v>1150</v>
      </c>
    </row>
    <row r="58" spans="1:35" s="218" customFormat="1">
      <c r="A58" s="219" t="s">
        <v>44</v>
      </c>
      <c r="B58" s="220" t="s">
        <v>231</v>
      </c>
      <c r="C58" s="220"/>
      <c r="D58" s="221"/>
      <c r="E58" s="243"/>
      <c r="F58" s="243"/>
      <c r="G58" s="243"/>
      <c r="H58" s="244"/>
      <c r="I58" s="245"/>
      <c r="J58" s="245"/>
      <c r="K58" s="245"/>
      <c r="L58" s="246"/>
      <c r="M58" s="245"/>
      <c r="N58" s="247"/>
      <c r="O58" s="248"/>
      <c r="P58" s="298"/>
      <c r="Q58" s="220"/>
      <c r="R58" s="220"/>
      <c r="S58" s="220"/>
      <c r="T58" s="220"/>
      <c r="U58" s="220"/>
      <c r="V58" s="220"/>
      <c r="W58" s="220"/>
      <c r="X58" s="220"/>
      <c r="Y58" s="220"/>
      <c r="Z58" s="220"/>
      <c r="AA58" s="220"/>
      <c r="AB58" s="220"/>
      <c r="AC58" s="220"/>
      <c r="AD58" s="329"/>
      <c r="AE58" s="329"/>
      <c r="AF58" s="329"/>
      <c r="AG58" s="329"/>
      <c r="AH58" s="329"/>
      <c r="AI58" s="329"/>
    </row>
    <row r="59" spans="1:35" outlineLevel="1">
      <c r="A59" s="225">
        <v>1</v>
      </c>
      <c r="B59" s="227" t="s">
        <v>18</v>
      </c>
      <c r="C59" s="227" t="s">
        <v>313</v>
      </c>
      <c r="D59" s="228" t="s">
        <v>295</v>
      </c>
      <c r="E59" s="230">
        <v>6235.4</v>
      </c>
      <c r="F59" s="230">
        <v>0</v>
      </c>
      <c r="G59" s="262">
        <v>740</v>
      </c>
      <c r="H59" s="231">
        <v>740</v>
      </c>
      <c r="I59" s="232">
        <v>0</v>
      </c>
      <c r="J59" s="232"/>
      <c r="K59" s="232"/>
      <c r="L59" s="233">
        <v>889.54716981132071</v>
      </c>
      <c r="M59" s="234">
        <v>-149.54716981132071</v>
      </c>
      <c r="N59" s="235">
        <v>-0.20209077001529827</v>
      </c>
      <c r="O59" s="236"/>
      <c r="P59" s="299">
        <f>'KTQT_Trình bày'!Z59</f>
        <v>1007.1453056603774</v>
      </c>
      <c r="Q59" s="130">
        <v>0.03</v>
      </c>
      <c r="R59" s="302">
        <f t="shared" ref="R59" si="91">P59*Q59</f>
        <v>30.214359169811321</v>
      </c>
      <c r="S59" s="302">
        <f t="shared" ref="S59" si="92">P59-R59</f>
        <v>976.93094649056604</v>
      </c>
      <c r="T59" s="302">
        <f t="shared" ref="T59" si="93">P59</f>
        <v>1007.1453056603774</v>
      </c>
      <c r="U59" s="130">
        <v>0.1</v>
      </c>
      <c r="V59" s="302">
        <f t="shared" ref="V59" si="94">T59*U59</f>
        <v>100.71453056603775</v>
      </c>
      <c r="W59" s="302">
        <f t="shared" ref="W59" si="95">T59-V59</f>
        <v>906.43077509433965</v>
      </c>
      <c r="X59" s="303">
        <f t="shared" ref="X59" si="96">P59-G59</f>
        <v>267.1453056603774</v>
      </c>
      <c r="Y59" s="130">
        <f t="shared" ref="Y59" si="97">X59/G59</f>
        <v>0.3610071698113208</v>
      </c>
      <c r="Z59" s="303">
        <f t="shared" ref="Z59" si="98">P59-AF59</f>
        <v>-132.8546943396226</v>
      </c>
      <c r="AA59" s="130">
        <f t="shared" ref="AA59" si="99">Z59/AF59</f>
        <v>-0.11653920556107246</v>
      </c>
      <c r="AB59" s="303">
        <f t="shared" ref="AB59" si="100">P59-AG59</f>
        <v>-292.8546943396226</v>
      </c>
      <c r="AC59" s="130">
        <f t="shared" ref="AC59" si="101">AB59/AG59</f>
        <v>-0.22527284179970969</v>
      </c>
      <c r="AD59" s="333">
        <f t="shared" ref="AD59" si="102">AF59-AH59</f>
        <v>300</v>
      </c>
      <c r="AE59" s="333">
        <f t="shared" ref="AE59" si="103">AG59-AI59</f>
        <v>150</v>
      </c>
      <c r="AF59" s="316">
        <v>1140</v>
      </c>
      <c r="AG59" s="316">
        <v>1300</v>
      </c>
      <c r="AH59" s="316">
        <v>840</v>
      </c>
      <c r="AI59" s="316">
        <v>1150</v>
      </c>
    </row>
    <row r="60" spans="1:35" outlineLevel="1">
      <c r="A60" s="225"/>
      <c r="B60" s="227"/>
      <c r="C60" s="227"/>
      <c r="D60" s="228"/>
      <c r="E60" s="230"/>
      <c r="F60" s="230"/>
      <c r="G60" s="230"/>
      <c r="H60" s="231"/>
      <c r="I60" s="234"/>
      <c r="J60" s="234"/>
      <c r="K60" s="234"/>
      <c r="L60" s="233"/>
      <c r="M60" s="234"/>
      <c r="N60" s="235"/>
      <c r="O60" s="236"/>
      <c r="P60" s="300"/>
      <c r="Q60" s="227"/>
      <c r="R60" s="227"/>
      <c r="S60" s="227"/>
      <c r="T60" s="227"/>
      <c r="U60" s="227"/>
      <c r="V60" s="227"/>
      <c r="W60" s="227"/>
      <c r="X60" s="227"/>
      <c r="Y60" s="227"/>
      <c r="Z60" s="227"/>
      <c r="AA60" s="227"/>
      <c r="AB60" s="227"/>
      <c r="AC60" s="227"/>
    </row>
    <row r="61" spans="1:35" s="218" customFormat="1">
      <c r="A61" s="212" t="s">
        <v>315</v>
      </c>
      <c r="B61" s="213" t="s">
        <v>316</v>
      </c>
      <c r="C61" s="213"/>
      <c r="D61" s="214"/>
      <c r="E61" s="256"/>
      <c r="F61" s="256"/>
      <c r="G61" s="256"/>
      <c r="H61" s="257"/>
      <c r="I61" s="258"/>
      <c r="J61" s="258"/>
      <c r="K61" s="258"/>
      <c r="L61" s="259"/>
      <c r="M61" s="258"/>
      <c r="N61" s="260"/>
      <c r="O61" s="261"/>
      <c r="P61" s="297"/>
      <c r="Q61" s="213"/>
      <c r="R61" s="213"/>
      <c r="S61" s="213"/>
      <c r="T61" s="213"/>
      <c r="U61" s="213"/>
      <c r="V61" s="213"/>
      <c r="W61" s="213"/>
      <c r="X61" s="213"/>
      <c r="Y61" s="213"/>
      <c r="Z61" s="213"/>
      <c r="AA61" s="213"/>
      <c r="AB61" s="213"/>
      <c r="AC61" s="213"/>
      <c r="AD61" s="328"/>
      <c r="AE61" s="328"/>
      <c r="AF61" s="328"/>
      <c r="AG61" s="328"/>
      <c r="AH61" s="328"/>
      <c r="AI61" s="328"/>
    </row>
    <row r="62" spans="1:35" s="218" customFormat="1">
      <c r="A62" s="219" t="s">
        <v>43</v>
      </c>
      <c r="B62" s="220" t="s">
        <v>221</v>
      </c>
      <c r="C62" s="220"/>
      <c r="D62" s="221"/>
      <c r="E62" s="243"/>
      <c r="F62" s="243"/>
      <c r="G62" s="243"/>
      <c r="H62" s="244"/>
      <c r="I62" s="245"/>
      <c r="J62" s="245"/>
      <c r="K62" s="245"/>
      <c r="L62" s="246"/>
      <c r="M62" s="245"/>
      <c r="N62" s="247"/>
      <c r="O62" s="248"/>
      <c r="P62" s="298"/>
      <c r="Q62" s="220"/>
      <c r="R62" s="220"/>
      <c r="S62" s="220"/>
      <c r="T62" s="220"/>
      <c r="U62" s="220"/>
      <c r="V62" s="220"/>
      <c r="W62" s="220"/>
      <c r="X62" s="220"/>
      <c r="Y62" s="220"/>
      <c r="Z62" s="220"/>
      <c r="AA62" s="220"/>
      <c r="AB62" s="220"/>
      <c r="AC62" s="220"/>
      <c r="AD62" s="329"/>
      <c r="AE62" s="329"/>
      <c r="AF62" s="329"/>
      <c r="AG62" s="329"/>
      <c r="AH62" s="329"/>
      <c r="AI62" s="329"/>
    </row>
    <row r="63" spans="1:35" outlineLevel="1">
      <c r="A63" s="225">
        <v>4</v>
      </c>
      <c r="B63" s="227" t="s">
        <v>317</v>
      </c>
      <c r="C63" s="227" t="s">
        <v>318</v>
      </c>
      <c r="D63" s="228" t="s">
        <v>300</v>
      </c>
      <c r="E63" s="230">
        <v>88328</v>
      </c>
      <c r="F63" s="230">
        <v>19750</v>
      </c>
      <c r="G63" s="230">
        <v>665</v>
      </c>
      <c r="H63" s="231">
        <v>665</v>
      </c>
      <c r="I63" s="232">
        <v>0</v>
      </c>
      <c r="J63" s="232"/>
      <c r="K63" s="232"/>
      <c r="L63" s="265">
        <v>615.4949916983893</v>
      </c>
      <c r="M63" s="234">
        <v>49.505008301610701</v>
      </c>
      <c r="N63" s="235">
        <v>7.4443621506181501E-2</v>
      </c>
      <c r="O63" s="236"/>
      <c r="P63" s="299">
        <f>'KTQT_Trình bày'!Z63</f>
        <v>696.86342960091633</v>
      </c>
      <c r="Q63" s="130">
        <v>0.03</v>
      </c>
      <c r="R63" s="302">
        <f t="shared" ref="R63:R69" si="104">P63*Q63</f>
        <v>20.905902888027491</v>
      </c>
      <c r="S63" s="302">
        <f t="shared" ref="S63:S69" si="105">P63-R63</f>
        <v>675.95752671288881</v>
      </c>
      <c r="T63" s="302">
        <f t="shared" ref="T63:T69" si="106">P63</f>
        <v>696.86342960091633</v>
      </c>
      <c r="U63" s="130">
        <v>0.1</v>
      </c>
      <c r="V63" s="302">
        <f t="shared" ref="V63:V69" si="107">T63*U63</f>
        <v>69.686342960091636</v>
      </c>
      <c r="W63" s="302">
        <f t="shared" ref="W63:W69" si="108">T63-V63</f>
        <v>627.17708664082465</v>
      </c>
      <c r="X63" s="303">
        <f t="shared" ref="X63:X69" si="109">P63-G63</f>
        <v>31.863429600916334</v>
      </c>
      <c r="Y63" s="130">
        <f t="shared" ref="Y63:Y69" si="110">X63/G63</f>
        <v>4.791493173070125E-2</v>
      </c>
      <c r="Z63" s="303">
        <f t="shared" ref="Z63:Z69" si="111">P63-AF63</f>
        <v>-443.13657039908367</v>
      </c>
      <c r="AA63" s="130">
        <f t="shared" ref="AA63:AA69" si="112">Z63/AF63</f>
        <v>-0.38871628982375761</v>
      </c>
      <c r="AB63" s="303">
        <f t="shared" ref="AB63:AB69" si="113">P63-AG63</f>
        <v>-603.13657039908367</v>
      </c>
      <c r="AC63" s="130">
        <f t="shared" ref="AC63:AC69" si="114">AB63/AG63</f>
        <v>-0.46395120799929512</v>
      </c>
      <c r="AD63" s="333">
        <f t="shared" ref="AD63:AD69" si="115">AF63-AH63</f>
        <v>300</v>
      </c>
      <c r="AE63" s="333">
        <f t="shared" ref="AE63:AE69" si="116">AG63-AI63</f>
        <v>150</v>
      </c>
      <c r="AF63" s="316">
        <v>1140</v>
      </c>
      <c r="AG63" s="316">
        <v>1300</v>
      </c>
      <c r="AH63" s="316">
        <v>840</v>
      </c>
      <c r="AI63" s="316">
        <v>1150</v>
      </c>
    </row>
    <row r="64" spans="1:35" outlineLevel="1">
      <c r="A64" s="225">
        <v>2</v>
      </c>
      <c r="B64" s="227" t="s">
        <v>320</v>
      </c>
      <c r="C64" s="227" t="s">
        <v>48</v>
      </c>
      <c r="D64" s="228" t="s">
        <v>261</v>
      </c>
      <c r="E64" s="230">
        <v>51387</v>
      </c>
      <c r="F64" s="230">
        <v>0</v>
      </c>
      <c r="G64" s="230">
        <v>665</v>
      </c>
      <c r="H64" s="231">
        <v>665</v>
      </c>
      <c r="I64" s="232">
        <v>0</v>
      </c>
      <c r="J64" s="232"/>
      <c r="K64" s="232"/>
      <c r="L64" s="265">
        <v>615.4949916983893</v>
      </c>
      <c r="M64" s="234">
        <v>49.505008301610701</v>
      </c>
      <c r="N64" s="235">
        <v>7.4443621506181501E-2</v>
      </c>
      <c r="O64" s="236"/>
      <c r="P64" s="299">
        <f>'KTQT_Trình bày'!Z64</f>
        <v>696.86342960091633</v>
      </c>
      <c r="Q64" s="130">
        <v>0.03</v>
      </c>
      <c r="R64" s="302">
        <f t="shared" si="104"/>
        <v>20.905902888027491</v>
      </c>
      <c r="S64" s="302">
        <f t="shared" si="105"/>
        <v>675.95752671288881</v>
      </c>
      <c r="T64" s="302">
        <f t="shared" si="106"/>
        <v>696.86342960091633</v>
      </c>
      <c r="U64" s="130">
        <v>0.1</v>
      </c>
      <c r="V64" s="302">
        <f t="shared" si="107"/>
        <v>69.686342960091636</v>
      </c>
      <c r="W64" s="302">
        <f t="shared" si="108"/>
        <v>627.17708664082465</v>
      </c>
      <c r="X64" s="303">
        <f t="shared" si="109"/>
        <v>31.863429600916334</v>
      </c>
      <c r="Y64" s="130">
        <f t="shared" si="110"/>
        <v>4.791493173070125E-2</v>
      </c>
      <c r="Z64" s="303">
        <f t="shared" si="111"/>
        <v>-443.13657039908367</v>
      </c>
      <c r="AA64" s="130">
        <f t="shared" si="112"/>
        <v>-0.38871628982375761</v>
      </c>
      <c r="AB64" s="303">
        <f t="shared" si="113"/>
        <v>-603.13657039908367</v>
      </c>
      <c r="AC64" s="130">
        <f t="shared" si="114"/>
        <v>-0.46395120799929512</v>
      </c>
      <c r="AD64" s="333">
        <f t="shared" si="115"/>
        <v>300</v>
      </c>
      <c r="AE64" s="333">
        <f t="shared" si="116"/>
        <v>150</v>
      </c>
      <c r="AF64" s="316">
        <v>1140</v>
      </c>
      <c r="AG64" s="316">
        <v>1300</v>
      </c>
      <c r="AH64" s="316">
        <v>840</v>
      </c>
      <c r="AI64" s="316">
        <v>1150</v>
      </c>
    </row>
    <row r="65" spans="1:35" outlineLevel="1">
      <c r="A65" s="225">
        <v>1</v>
      </c>
      <c r="B65" s="227" t="s">
        <v>321</v>
      </c>
      <c r="C65" s="227" t="s">
        <v>49</v>
      </c>
      <c r="D65" s="228" t="s">
        <v>281</v>
      </c>
      <c r="E65" s="230">
        <v>27000</v>
      </c>
      <c r="F65" s="230">
        <v>0</v>
      </c>
      <c r="G65" s="230">
        <v>665</v>
      </c>
      <c r="H65" s="231">
        <v>665</v>
      </c>
      <c r="I65" s="232">
        <v>0</v>
      </c>
      <c r="J65" s="232"/>
      <c r="K65" s="232"/>
      <c r="L65" s="265">
        <v>615.4949916983893</v>
      </c>
      <c r="M65" s="234">
        <v>49.505008301610701</v>
      </c>
      <c r="N65" s="235">
        <v>7.4443621506181501E-2</v>
      </c>
      <c r="O65" s="236"/>
      <c r="P65" s="299">
        <f>'KTQT_Trình bày'!Z65</f>
        <v>696.86342960091633</v>
      </c>
      <c r="Q65" s="130">
        <v>0.03</v>
      </c>
      <c r="R65" s="302">
        <f t="shared" si="104"/>
        <v>20.905902888027491</v>
      </c>
      <c r="S65" s="302">
        <f t="shared" si="105"/>
        <v>675.95752671288881</v>
      </c>
      <c r="T65" s="302">
        <f t="shared" si="106"/>
        <v>696.86342960091633</v>
      </c>
      <c r="U65" s="130">
        <v>0.1</v>
      </c>
      <c r="V65" s="302">
        <f t="shared" si="107"/>
        <v>69.686342960091636</v>
      </c>
      <c r="W65" s="302">
        <f t="shared" si="108"/>
        <v>627.17708664082465</v>
      </c>
      <c r="X65" s="303">
        <f t="shared" si="109"/>
        <v>31.863429600916334</v>
      </c>
      <c r="Y65" s="130">
        <f t="shared" si="110"/>
        <v>4.791493173070125E-2</v>
      </c>
      <c r="Z65" s="303">
        <f t="shared" si="111"/>
        <v>-443.13657039908367</v>
      </c>
      <c r="AA65" s="130">
        <f t="shared" si="112"/>
        <v>-0.38871628982375761</v>
      </c>
      <c r="AB65" s="303">
        <f t="shared" si="113"/>
        <v>-603.13657039908367</v>
      </c>
      <c r="AC65" s="130">
        <f t="shared" si="114"/>
        <v>-0.46395120799929512</v>
      </c>
      <c r="AD65" s="333">
        <f t="shared" si="115"/>
        <v>300</v>
      </c>
      <c r="AE65" s="333">
        <f t="shared" si="116"/>
        <v>150</v>
      </c>
      <c r="AF65" s="316">
        <v>1140</v>
      </c>
      <c r="AG65" s="316">
        <v>1300</v>
      </c>
      <c r="AH65" s="316">
        <v>840</v>
      </c>
      <c r="AI65" s="316">
        <v>1150</v>
      </c>
    </row>
    <row r="66" spans="1:35" outlineLevel="1">
      <c r="A66" s="225">
        <v>7</v>
      </c>
      <c r="B66" s="227" t="s">
        <v>322</v>
      </c>
      <c r="C66" s="227" t="s">
        <v>50</v>
      </c>
      <c r="D66" s="228" t="s">
        <v>295</v>
      </c>
      <c r="E66" s="230">
        <v>65925</v>
      </c>
      <c r="F66" s="230">
        <v>0</v>
      </c>
      <c r="G66" s="230">
        <v>665</v>
      </c>
      <c r="H66" s="231">
        <v>665</v>
      </c>
      <c r="I66" s="232">
        <v>0</v>
      </c>
      <c r="J66" s="232"/>
      <c r="K66" s="232"/>
      <c r="L66" s="265">
        <v>615.4949916983893</v>
      </c>
      <c r="M66" s="234">
        <v>49.505008301610701</v>
      </c>
      <c r="N66" s="235">
        <v>7.4443621506181501E-2</v>
      </c>
      <c r="O66" s="236"/>
      <c r="P66" s="299">
        <f>'KTQT_Trình bày'!Z66</f>
        <v>696.86342960091633</v>
      </c>
      <c r="Q66" s="130">
        <v>0.03</v>
      </c>
      <c r="R66" s="302">
        <f t="shared" si="104"/>
        <v>20.905902888027491</v>
      </c>
      <c r="S66" s="302">
        <f t="shared" si="105"/>
        <v>675.95752671288881</v>
      </c>
      <c r="T66" s="302">
        <f t="shared" si="106"/>
        <v>696.86342960091633</v>
      </c>
      <c r="U66" s="130">
        <v>0.1</v>
      </c>
      <c r="V66" s="302">
        <f t="shared" si="107"/>
        <v>69.686342960091636</v>
      </c>
      <c r="W66" s="302">
        <f t="shared" si="108"/>
        <v>627.17708664082465</v>
      </c>
      <c r="X66" s="303">
        <f t="shared" si="109"/>
        <v>31.863429600916334</v>
      </c>
      <c r="Y66" s="130">
        <f t="shared" si="110"/>
        <v>4.791493173070125E-2</v>
      </c>
      <c r="Z66" s="303">
        <f t="shared" si="111"/>
        <v>-443.13657039908367</v>
      </c>
      <c r="AA66" s="130">
        <f t="shared" si="112"/>
        <v>-0.38871628982375761</v>
      </c>
      <c r="AB66" s="303">
        <f t="shared" si="113"/>
        <v>-603.13657039908367</v>
      </c>
      <c r="AC66" s="130">
        <f t="shared" si="114"/>
        <v>-0.46395120799929512</v>
      </c>
      <c r="AD66" s="333">
        <f t="shared" si="115"/>
        <v>300</v>
      </c>
      <c r="AE66" s="333">
        <f t="shared" si="116"/>
        <v>150</v>
      </c>
      <c r="AF66" s="316">
        <v>1140</v>
      </c>
      <c r="AG66" s="316">
        <v>1300</v>
      </c>
      <c r="AH66" s="316">
        <v>840</v>
      </c>
      <c r="AI66" s="316">
        <v>1150</v>
      </c>
    </row>
    <row r="67" spans="1:35" outlineLevel="1">
      <c r="A67" s="225">
        <v>5</v>
      </c>
      <c r="B67" s="227" t="s">
        <v>323</v>
      </c>
      <c r="C67" s="227" t="s">
        <v>324</v>
      </c>
      <c r="D67" s="228" t="s">
        <v>269</v>
      </c>
      <c r="E67" s="230">
        <v>108125.2</v>
      </c>
      <c r="F67" s="230">
        <v>56500</v>
      </c>
      <c r="G67" s="230">
        <v>665</v>
      </c>
      <c r="H67" s="231">
        <v>665</v>
      </c>
      <c r="I67" s="232">
        <v>0</v>
      </c>
      <c r="J67" s="232"/>
      <c r="K67" s="232"/>
      <c r="L67" s="265">
        <v>615.4949916983893</v>
      </c>
      <c r="M67" s="234">
        <v>49.505008301610701</v>
      </c>
      <c r="N67" s="235">
        <v>7.4443621506181501E-2</v>
      </c>
      <c r="O67" s="236"/>
      <c r="P67" s="299">
        <f>'KTQT_Trình bày'!Z67</f>
        <v>696.86342960091633</v>
      </c>
      <c r="Q67" s="130">
        <v>0.03</v>
      </c>
      <c r="R67" s="302">
        <f t="shared" si="104"/>
        <v>20.905902888027491</v>
      </c>
      <c r="S67" s="302">
        <f t="shared" si="105"/>
        <v>675.95752671288881</v>
      </c>
      <c r="T67" s="302">
        <f t="shared" si="106"/>
        <v>696.86342960091633</v>
      </c>
      <c r="U67" s="130">
        <v>0.1</v>
      </c>
      <c r="V67" s="302">
        <f t="shared" si="107"/>
        <v>69.686342960091636</v>
      </c>
      <c r="W67" s="302">
        <f t="shared" si="108"/>
        <v>627.17708664082465</v>
      </c>
      <c r="X67" s="303">
        <f t="shared" si="109"/>
        <v>31.863429600916334</v>
      </c>
      <c r="Y67" s="130">
        <f t="shared" si="110"/>
        <v>4.791493173070125E-2</v>
      </c>
      <c r="Z67" s="303">
        <f t="shared" si="111"/>
        <v>-443.13657039908367</v>
      </c>
      <c r="AA67" s="130">
        <f t="shared" si="112"/>
        <v>-0.38871628982375761</v>
      </c>
      <c r="AB67" s="303">
        <f t="shared" si="113"/>
        <v>-603.13657039908367</v>
      </c>
      <c r="AC67" s="130">
        <f t="shared" si="114"/>
        <v>-0.46395120799929512</v>
      </c>
      <c r="AD67" s="333">
        <f t="shared" si="115"/>
        <v>300</v>
      </c>
      <c r="AE67" s="333">
        <f t="shared" si="116"/>
        <v>150</v>
      </c>
      <c r="AF67" s="316">
        <v>1140</v>
      </c>
      <c r="AG67" s="316">
        <v>1300</v>
      </c>
      <c r="AH67" s="316">
        <v>840</v>
      </c>
      <c r="AI67" s="316">
        <v>1150</v>
      </c>
    </row>
    <row r="68" spans="1:35" outlineLevel="1">
      <c r="A68" s="225">
        <v>6</v>
      </c>
      <c r="B68" s="227" t="s">
        <v>149</v>
      </c>
      <c r="C68" s="227" t="s">
        <v>150</v>
      </c>
      <c r="D68" s="228" t="s">
        <v>45</v>
      </c>
      <c r="E68" s="230">
        <v>37672</v>
      </c>
      <c r="F68" s="230">
        <v>2250</v>
      </c>
      <c r="G68" s="230">
        <v>665</v>
      </c>
      <c r="H68" s="231">
        <v>665</v>
      </c>
      <c r="I68" s="232">
        <v>0</v>
      </c>
      <c r="J68" s="232"/>
      <c r="K68" s="232"/>
      <c r="L68" s="265">
        <v>615.4949916983893</v>
      </c>
      <c r="M68" s="234">
        <v>49.505008301610701</v>
      </c>
      <c r="N68" s="235">
        <v>7.4443621506181501E-2</v>
      </c>
      <c r="O68" s="236"/>
      <c r="P68" s="299">
        <f>'KTQT_Trình bày'!Z68</f>
        <v>696.86342960091633</v>
      </c>
      <c r="Q68" s="130">
        <v>0.03</v>
      </c>
      <c r="R68" s="302">
        <f t="shared" si="104"/>
        <v>20.905902888027491</v>
      </c>
      <c r="S68" s="302">
        <f t="shared" si="105"/>
        <v>675.95752671288881</v>
      </c>
      <c r="T68" s="302">
        <f t="shared" si="106"/>
        <v>696.86342960091633</v>
      </c>
      <c r="U68" s="130">
        <v>0.1</v>
      </c>
      <c r="V68" s="302">
        <f t="shared" si="107"/>
        <v>69.686342960091636</v>
      </c>
      <c r="W68" s="302">
        <f t="shared" si="108"/>
        <v>627.17708664082465</v>
      </c>
      <c r="X68" s="303">
        <f t="shared" si="109"/>
        <v>31.863429600916334</v>
      </c>
      <c r="Y68" s="130">
        <f t="shared" si="110"/>
        <v>4.791493173070125E-2</v>
      </c>
      <c r="Z68" s="303">
        <f t="shared" si="111"/>
        <v>-443.13657039908367</v>
      </c>
      <c r="AA68" s="130">
        <f t="shared" si="112"/>
        <v>-0.38871628982375761</v>
      </c>
      <c r="AB68" s="303">
        <f t="shared" si="113"/>
        <v>-603.13657039908367</v>
      </c>
      <c r="AC68" s="130">
        <f t="shared" si="114"/>
        <v>-0.46395120799929512</v>
      </c>
      <c r="AD68" s="333">
        <f t="shared" si="115"/>
        <v>300</v>
      </c>
      <c r="AE68" s="333">
        <f t="shared" si="116"/>
        <v>150</v>
      </c>
      <c r="AF68" s="316">
        <v>1140</v>
      </c>
      <c r="AG68" s="316">
        <v>1300</v>
      </c>
      <c r="AH68" s="316">
        <v>840</v>
      </c>
      <c r="AI68" s="316">
        <v>1150</v>
      </c>
    </row>
    <row r="69" spans="1:35" outlineLevel="1">
      <c r="A69" s="225">
        <v>7</v>
      </c>
      <c r="B69" s="227" t="s">
        <v>325</v>
      </c>
      <c r="C69" s="227" t="s">
        <v>326</v>
      </c>
      <c r="D69" s="228" t="s">
        <v>327</v>
      </c>
      <c r="E69" s="230">
        <v>157174.5</v>
      </c>
      <c r="F69" s="230">
        <v>0</v>
      </c>
      <c r="G69" s="230">
        <v>665</v>
      </c>
      <c r="H69" s="231">
        <v>665</v>
      </c>
      <c r="I69" s="232">
        <v>0</v>
      </c>
      <c r="J69" s="232"/>
      <c r="K69" s="232"/>
      <c r="L69" s="265">
        <v>615.4949916983893</v>
      </c>
      <c r="M69" s="234">
        <v>49.505008301610701</v>
      </c>
      <c r="N69" s="235">
        <v>7.4443621506181501E-2</v>
      </c>
      <c r="O69" s="236"/>
      <c r="P69" s="299">
        <f>'KTQT_Trình bày'!Z69</f>
        <v>696.86342960091633</v>
      </c>
      <c r="Q69" s="130">
        <v>0.03</v>
      </c>
      <c r="R69" s="302">
        <f t="shared" si="104"/>
        <v>20.905902888027491</v>
      </c>
      <c r="S69" s="302">
        <f t="shared" si="105"/>
        <v>675.95752671288881</v>
      </c>
      <c r="T69" s="302">
        <f t="shared" si="106"/>
        <v>696.86342960091633</v>
      </c>
      <c r="U69" s="130">
        <v>0.1</v>
      </c>
      <c r="V69" s="302">
        <f t="shared" si="107"/>
        <v>69.686342960091636</v>
      </c>
      <c r="W69" s="302">
        <f t="shared" si="108"/>
        <v>627.17708664082465</v>
      </c>
      <c r="X69" s="303">
        <f t="shared" si="109"/>
        <v>31.863429600916334</v>
      </c>
      <c r="Y69" s="130">
        <f t="shared" si="110"/>
        <v>4.791493173070125E-2</v>
      </c>
      <c r="Z69" s="303">
        <f t="shared" si="111"/>
        <v>-443.13657039908367</v>
      </c>
      <c r="AA69" s="130">
        <f t="shared" si="112"/>
        <v>-0.38871628982375761</v>
      </c>
      <c r="AB69" s="303">
        <f t="shared" si="113"/>
        <v>-603.13657039908367</v>
      </c>
      <c r="AC69" s="130">
        <f t="shared" si="114"/>
        <v>-0.46395120799929512</v>
      </c>
      <c r="AD69" s="333">
        <f t="shared" si="115"/>
        <v>300</v>
      </c>
      <c r="AE69" s="333">
        <f t="shared" si="116"/>
        <v>150</v>
      </c>
      <c r="AF69" s="316">
        <v>1140</v>
      </c>
      <c r="AG69" s="316">
        <v>1300</v>
      </c>
      <c r="AH69" s="316">
        <v>840</v>
      </c>
      <c r="AI69" s="316">
        <v>1150</v>
      </c>
    </row>
    <row r="70" spans="1:35" s="218" customFormat="1">
      <c r="A70" s="219" t="s">
        <v>44</v>
      </c>
      <c r="B70" s="220" t="s">
        <v>231</v>
      </c>
      <c r="C70" s="220"/>
      <c r="D70" s="221"/>
      <c r="E70" s="243"/>
      <c r="F70" s="243"/>
      <c r="G70" s="243"/>
      <c r="H70" s="244"/>
      <c r="I70" s="245"/>
      <c r="J70" s="245"/>
      <c r="K70" s="245"/>
      <c r="L70" s="246"/>
      <c r="M70" s="245"/>
      <c r="N70" s="247"/>
      <c r="O70" s="248"/>
      <c r="P70" s="298"/>
      <c r="Q70" s="220"/>
      <c r="R70" s="220"/>
      <c r="S70" s="220"/>
      <c r="T70" s="220"/>
      <c r="U70" s="220"/>
      <c r="V70" s="220"/>
      <c r="W70" s="220"/>
      <c r="X70" s="220"/>
      <c r="Y70" s="220"/>
      <c r="Z70" s="220"/>
      <c r="AA70" s="220"/>
      <c r="AB70" s="220"/>
      <c r="AC70" s="220"/>
      <c r="AD70" s="329"/>
      <c r="AE70" s="329"/>
      <c r="AF70" s="329"/>
      <c r="AG70" s="329"/>
      <c r="AH70" s="329"/>
      <c r="AI70" s="329"/>
    </row>
    <row r="71" spans="1:35" outlineLevel="1">
      <c r="A71" s="225">
        <v>1</v>
      </c>
      <c r="B71" s="227" t="s">
        <v>328</v>
      </c>
      <c r="C71" s="227" t="s">
        <v>329</v>
      </c>
      <c r="D71" s="228" t="s">
        <v>295</v>
      </c>
      <c r="E71" s="230">
        <v>5700</v>
      </c>
      <c r="F71" s="230">
        <v>0</v>
      </c>
      <c r="G71" s="230"/>
      <c r="H71" s="231"/>
      <c r="I71" s="234"/>
      <c r="J71" s="234"/>
      <c r="K71" s="234"/>
      <c r="L71" s="233"/>
      <c r="M71" s="232"/>
      <c r="N71" s="235"/>
      <c r="O71" s="236"/>
      <c r="P71" s="299">
        <f>'KTQT_Trình bày'!Z71</f>
        <v>0</v>
      </c>
      <c r="Q71" s="130">
        <v>0.03</v>
      </c>
      <c r="R71" s="302">
        <f t="shared" ref="R71" si="117">P71*Q71</f>
        <v>0</v>
      </c>
      <c r="S71" s="302">
        <f t="shared" ref="S71" si="118">P71-R71</f>
        <v>0</v>
      </c>
      <c r="T71" s="302">
        <f t="shared" ref="T71" si="119">P71</f>
        <v>0</v>
      </c>
      <c r="U71" s="130">
        <v>0.1</v>
      </c>
      <c r="V71" s="302">
        <f t="shared" ref="V71" si="120">T71*U71</f>
        <v>0</v>
      </c>
      <c r="W71" s="302">
        <f t="shared" ref="W71" si="121">T71-V71</f>
        <v>0</v>
      </c>
      <c r="X71" s="303">
        <f t="shared" ref="X71" si="122">P71-G71</f>
        <v>0</v>
      </c>
      <c r="Y71" s="130" t="e">
        <f t="shared" ref="Y71" si="123">X71/G71</f>
        <v>#DIV/0!</v>
      </c>
      <c r="Z71" s="303">
        <f t="shared" ref="Z71" si="124">P71-AF71</f>
        <v>-1140</v>
      </c>
      <c r="AA71" s="130">
        <f t="shared" ref="AA71" si="125">Z71/AF71</f>
        <v>-1</v>
      </c>
      <c r="AB71" s="303">
        <f t="shared" ref="AB71" si="126">P71-AG71</f>
        <v>-1300</v>
      </c>
      <c r="AC71" s="130">
        <f t="shared" ref="AC71" si="127">AB71/AG71</f>
        <v>-1</v>
      </c>
      <c r="AD71" s="333">
        <f t="shared" ref="AD71" si="128">AF71-AH71</f>
        <v>300</v>
      </c>
      <c r="AE71" s="333">
        <f t="shared" ref="AE71" si="129">AG71-AI71</f>
        <v>150</v>
      </c>
      <c r="AF71" s="316">
        <v>1140</v>
      </c>
      <c r="AG71" s="316">
        <v>1300</v>
      </c>
      <c r="AH71" s="316">
        <v>840</v>
      </c>
      <c r="AI71" s="316">
        <v>1150</v>
      </c>
    </row>
    <row r="72" spans="1:35" outlineLevel="1">
      <c r="A72" s="225"/>
      <c r="B72" s="227"/>
      <c r="C72" s="227"/>
      <c r="D72" s="228"/>
      <c r="E72" s="230"/>
      <c r="F72" s="230"/>
      <c r="G72" s="230"/>
      <c r="H72" s="231"/>
      <c r="I72" s="234"/>
      <c r="J72" s="234"/>
      <c r="K72" s="234"/>
      <c r="L72" s="233"/>
      <c r="M72" s="232"/>
      <c r="N72" s="235"/>
      <c r="O72" s="236"/>
      <c r="P72" s="299"/>
      <c r="Q72" s="227"/>
      <c r="R72" s="227"/>
      <c r="S72" s="227"/>
      <c r="T72" s="227"/>
      <c r="U72" s="227"/>
      <c r="V72" s="227"/>
      <c r="W72" s="227"/>
      <c r="X72" s="227"/>
      <c r="Y72" s="227"/>
      <c r="Z72" s="227"/>
      <c r="AA72" s="227"/>
      <c r="AB72" s="227"/>
      <c r="AC72" s="227"/>
    </row>
    <row r="73" spans="1:35" s="218" customFormat="1">
      <c r="A73" s="212" t="s">
        <v>332</v>
      </c>
      <c r="B73" s="213" t="s">
        <v>333</v>
      </c>
      <c r="C73" s="213"/>
      <c r="D73" s="214"/>
      <c r="E73" s="256"/>
      <c r="F73" s="256"/>
      <c r="G73" s="256"/>
      <c r="H73" s="257"/>
      <c r="I73" s="258"/>
      <c r="J73" s="258"/>
      <c r="K73" s="258"/>
      <c r="L73" s="259"/>
      <c r="M73" s="266"/>
      <c r="N73" s="260"/>
      <c r="O73" s="261"/>
      <c r="P73" s="297"/>
      <c r="Q73" s="213"/>
      <c r="R73" s="213"/>
      <c r="S73" s="213"/>
      <c r="T73" s="213"/>
      <c r="U73" s="213"/>
      <c r="V73" s="213"/>
      <c r="W73" s="213"/>
      <c r="X73" s="213"/>
      <c r="Y73" s="213"/>
      <c r="Z73" s="213"/>
      <c r="AA73" s="213"/>
      <c r="AB73" s="213"/>
      <c r="AC73" s="213"/>
      <c r="AD73" s="328"/>
      <c r="AE73" s="328"/>
      <c r="AF73" s="328"/>
      <c r="AG73" s="328"/>
      <c r="AH73" s="328"/>
      <c r="AI73" s="328"/>
    </row>
    <row r="74" spans="1:35" s="218" customFormat="1">
      <c r="A74" s="219" t="s">
        <v>43</v>
      </c>
      <c r="B74" s="220" t="s">
        <v>221</v>
      </c>
      <c r="C74" s="220"/>
      <c r="D74" s="221"/>
      <c r="E74" s="243"/>
      <c r="F74" s="243"/>
      <c r="G74" s="243"/>
      <c r="H74" s="244"/>
      <c r="I74" s="245"/>
      <c r="J74" s="245"/>
      <c r="K74" s="245"/>
      <c r="L74" s="246"/>
      <c r="M74" s="267"/>
      <c r="N74" s="247"/>
      <c r="O74" s="248"/>
      <c r="P74" s="298"/>
      <c r="Q74" s="220"/>
      <c r="R74" s="220"/>
      <c r="S74" s="220"/>
      <c r="T74" s="220"/>
      <c r="U74" s="220"/>
      <c r="V74" s="220"/>
      <c r="W74" s="220"/>
      <c r="X74" s="220"/>
      <c r="Y74" s="220"/>
      <c r="Z74" s="220"/>
      <c r="AA74" s="220"/>
      <c r="AB74" s="220"/>
      <c r="AC74" s="220"/>
      <c r="AD74" s="329"/>
      <c r="AE74" s="329"/>
      <c r="AF74" s="329"/>
      <c r="AG74" s="329"/>
      <c r="AH74" s="329"/>
      <c r="AI74" s="329"/>
    </row>
    <row r="75" spans="1:35" outlineLevel="1">
      <c r="A75" s="225">
        <v>1</v>
      </c>
      <c r="B75" s="227" t="s">
        <v>334</v>
      </c>
      <c r="C75" s="227" t="s">
        <v>335</v>
      </c>
      <c r="D75" s="228" t="s">
        <v>300</v>
      </c>
      <c r="E75" s="230">
        <v>3890</v>
      </c>
      <c r="F75" s="230">
        <v>0</v>
      </c>
      <c r="G75" s="268" t="s">
        <v>336</v>
      </c>
      <c r="H75" s="269" t="s">
        <v>337</v>
      </c>
      <c r="I75" s="270" t="s">
        <v>338</v>
      </c>
      <c r="J75" s="270"/>
      <c r="K75" s="270"/>
      <c r="L75" s="233">
        <v>1042.1509433962265</v>
      </c>
      <c r="M75" s="271" t="s">
        <v>339</v>
      </c>
      <c r="N75" s="272" t="s">
        <v>340</v>
      </c>
      <c r="O75" s="273"/>
      <c r="P75" s="299">
        <f>'KTQT_Trình bày'!Z75</f>
        <v>1062.9939622641509</v>
      </c>
      <c r="Q75" s="130">
        <v>0.03</v>
      </c>
      <c r="R75" s="302">
        <f t="shared" ref="R75:R83" si="130">P75*Q75</f>
        <v>31.889818867924525</v>
      </c>
      <c r="S75" s="302">
        <f t="shared" ref="S75:S83" si="131">P75-R75</f>
        <v>1031.1041433962264</v>
      </c>
      <c r="T75" s="302">
        <f t="shared" ref="T75:T83" si="132">P75</f>
        <v>1062.9939622641509</v>
      </c>
      <c r="U75" s="130">
        <v>0.1</v>
      </c>
      <c r="V75" s="302">
        <f t="shared" ref="V75:V83" si="133">T75*U75</f>
        <v>106.2993962264151</v>
      </c>
      <c r="W75" s="302">
        <f t="shared" ref="W75:W83" si="134">T75-V75</f>
        <v>956.69456603773585</v>
      </c>
      <c r="X75" s="303" t="e">
        <f t="shared" ref="X75:X83" si="135">P75-G75</f>
        <v>#VALUE!</v>
      </c>
      <c r="Y75" s="130" t="e">
        <f t="shared" ref="Y75:Y83" si="136">X75/G75</f>
        <v>#VALUE!</v>
      </c>
      <c r="Z75" s="303">
        <f t="shared" ref="Z75:Z83" si="137">P75-AF75</f>
        <v>-77.006037735849077</v>
      </c>
      <c r="AA75" s="130">
        <f t="shared" ref="AA75:AA83" si="138">Z75/AF75</f>
        <v>-6.7549155908639538E-2</v>
      </c>
      <c r="AB75" s="303">
        <f t="shared" ref="AB75:AB83" si="139">P75-AG75</f>
        <v>-237.00603773584908</v>
      </c>
      <c r="AC75" s="130">
        <f t="shared" ref="AC75:AC83" si="140">AB75/AG75</f>
        <v>-0.18231233671988389</v>
      </c>
      <c r="AD75" s="333">
        <f t="shared" ref="AD75:AD83" si="141">AF75-AH75</f>
        <v>300</v>
      </c>
      <c r="AE75" s="333">
        <f t="shared" ref="AE75:AE83" si="142">AG75-AI75</f>
        <v>150</v>
      </c>
      <c r="AF75" s="316">
        <v>1140</v>
      </c>
      <c r="AG75" s="316">
        <v>1300</v>
      </c>
      <c r="AH75" s="316">
        <v>840</v>
      </c>
      <c r="AI75" s="316">
        <v>1150</v>
      </c>
    </row>
    <row r="76" spans="1:35" outlineLevel="1">
      <c r="A76" s="225">
        <v>2</v>
      </c>
      <c r="B76" s="227" t="s">
        <v>342</v>
      </c>
      <c r="C76" s="227" t="s">
        <v>343</v>
      </c>
      <c r="D76" s="228" t="s">
        <v>295</v>
      </c>
      <c r="E76" s="230">
        <v>6947</v>
      </c>
      <c r="F76" s="230">
        <v>18000</v>
      </c>
      <c r="G76" s="268" t="s">
        <v>336</v>
      </c>
      <c r="H76" s="269" t="s">
        <v>337</v>
      </c>
      <c r="I76" s="270" t="s">
        <v>338</v>
      </c>
      <c r="J76" s="270"/>
      <c r="K76" s="270"/>
      <c r="L76" s="233">
        <v>1010.9811320754717</v>
      </c>
      <c r="M76" s="271" t="s">
        <v>344</v>
      </c>
      <c r="N76" s="272" t="s">
        <v>345</v>
      </c>
      <c r="O76" s="273"/>
      <c r="P76" s="299">
        <f>'KTQT_Trình bày'!Z76</f>
        <v>1031.2007547169812</v>
      </c>
      <c r="Q76" s="130">
        <v>0.03</v>
      </c>
      <c r="R76" s="302">
        <f t="shared" si="130"/>
        <v>30.936022641509435</v>
      </c>
      <c r="S76" s="302">
        <f t="shared" si="131"/>
        <v>1000.2647320754718</v>
      </c>
      <c r="T76" s="302">
        <f t="shared" si="132"/>
        <v>1031.2007547169812</v>
      </c>
      <c r="U76" s="130">
        <v>0.1</v>
      </c>
      <c r="V76" s="302">
        <f t="shared" si="133"/>
        <v>103.12007547169813</v>
      </c>
      <c r="W76" s="302">
        <f t="shared" si="134"/>
        <v>928.08067924528314</v>
      </c>
      <c r="X76" s="303" t="e">
        <f t="shared" si="135"/>
        <v>#VALUE!</v>
      </c>
      <c r="Y76" s="130" t="e">
        <f t="shared" si="136"/>
        <v>#VALUE!</v>
      </c>
      <c r="Z76" s="303">
        <f t="shared" si="137"/>
        <v>-108.79924528301876</v>
      </c>
      <c r="AA76" s="130">
        <f t="shared" si="138"/>
        <v>-9.5437934458788384E-2</v>
      </c>
      <c r="AB76" s="303">
        <f t="shared" si="139"/>
        <v>-268.79924528301876</v>
      </c>
      <c r="AC76" s="130">
        <f t="shared" si="140"/>
        <v>-0.20676865021770674</v>
      </c>
      <c r="AD76" s="333">
        <f t="shared" si="141"/>
        <v>300</v>
      </c>
      <c r="AE76" s="333">
        <f t="shared" si="142"/>
        <v>150</v>
      </c>
      <c r="AF76" s="316">
        <v>1140</v>
      </c>
      <c r="AG76" s="316">
        <v>1300</v>
      </c>
      <c r="AH76" s="316">
        <v>840</v>
      </c>
      <c r="AI76" s="316">
        <v>1150</v>
      </c>
    </row>
    <row r="77" spans="1:35" outlineLevel="1">
      <c r="A77" s="225">
        <v>3</v>
      </c>
      <c r="B77" s="227" t="s">
        <v>346</v>
      </c>
      <c r="C77" s="227" t="s">
        <v>347</v>
      </c>
      <c r="D77" s="228" t="s">
        <v>76</v>
      </c>
      <c r="E77" s="230">
        <v>11000</v>
      </c>
      <c r="F77" s="230">
        <v>6000</v>
      </c>
      <c r="G77" s="268" t="s">
        <v>336</v>
      </c>
      <c r="H77" s="269" t="s">
        <v>337</v>
      </c>
      <c r="I77" s="270" t="s">
        <v>338</v>
      </c>
      <c r="J77" s="270"/>
      <c r="K77" s="270"/>
      <c r="L77" s="233">
        <v>1217.6226415094341</v>
      </c>
      <c r="M77" s="271" t="s">
        <v>348</v>
      </c>
      <c r="N77" s="272" t="s">
        <v>349</v>
      </c>
      <c r="O77" s="273"/>
      <c r="P77" s="299">
        <f>'KTQT_Trình bày'!Z77</f>
        <v>1241.9750943396227</v>
      </c>
      <c r="Q77" s="130">
        <v>0.03</v>
      </c>
      <c r="R77" s="302">
        <f t="shared" si="130"/>
        <v>37.259252830188679</v>
      </c>
      <c r="S77" s="302">
        <f t="shared" si="131"/>
        <v>1204.7158415094341</v>
      </c>
      <c r="T77" s="302">
        <f t="shared" si="132"/>
        <v>1241.9750943396227</v>
      </c>
      <c r="U77" s="130">
        <v>0.1</v>
      </c>
      <c r="V77" s="302">
        <f t="shared" si="133"/>
        <v>124.19750943396228</v>
      </c>
      <c r="W77" s="302">
        <f t="shared" si="134"/>
        <v>1117.7775849056604</v>
      </c>
      <c r="X77" s="303" t="e">
        <f t="shared" si="135"/>
        <v>#VALUE!</v>
      </c>
      <c r="Y77" s="130" t="e">
        <f t="shared" si="136"/>
        <v>#VALUE!</v>
      </c>
      <c r="Z77" s="303">
        <f t="shared" si="137"/>
        <v>101.97509433962273</v>
      </c>
      <c r="AA77" s="130">
        <f t="shared" si="138"/>
        <v>8.9451837140019932E-2</v>
      </c>
      <c r="AB77" s="303">
        <f t="shared" si="139"/>
        <v>-58.024905660377271</v>
      </c>
      <c r="AC77" s="130">
        <f t="shared" si="140"/>
        <v>-4.4634542815674826E-2</v>
      </c>
      <c r="AD77" s="333">
        <f t="shared" si="141"/>
        <v>300</v>
      </c>
      <c r="AE77" s="333">
        <f t="shared" si="142"/>
        <v>150</v>
      </c>
      <c r="AF77" s="316">
        <v>1140</v>
      </c>
      <c r="AG77" s="316">
        <v>1300</v>
      </c>
      <c r="AH77" s="316">
        <v>840</v>
      </c>
      <c r="AI77" s="316">
        <v>1150</v>
      </c>
    </row>
    <row r="78" spans="1:35" outlineLevel="1">
      <c r="A78" s="225">
        <v>4</v>
      </c>
      <c r="B78" s="227" t="s">
        <v>350</v>
      </c>
      <c r="C78" s="227" t="s">
        <v>351</v>
      </c>
      <c r="D78" s="228" t="s">
        <v>295</v>
      </c>
      <c r="E78" s="230">
        <v>1765</v>
      </c>
      <c r="F78" s="230">
        <v>0</v>
      </c>
      <c r="G78" s="268" t="s">
        <v>336</v>
      </c>
      <c r="H78" s="269" t="s">
        <v>337</v>
      </c>
      <c r="I78" s="270" t="s">
        <v>338</v>
      </c>
      <c r="J78" s="270"/>
      <c r="K78" s="270"/>
      <c r="L78" s="233">
        <v>1135.3584905660377</v>
      </c>
      <c r="M78" s="271" t="s">
        <v>352</v>
      </c>
      <c r="N78" s="272" t="s">
        <v>353</v>
      </c>
      <c r="O78" s="273"/>
      <c r="P78" s="299">
        <f>'KTQT_Trình bày'!Z78</f>
        <v>1158.0656603773584</v>
      </c>
      <c r="Q78" s="130">
        <v>0.03</v>
      </c>
      <c r="R78" s="302">
        <f t="shared" si="130"/>
        <v>34.74196981132075</v>
      </c>
      <c r="S78" s="302">
        <f t="shared" si="131"/>
        <v>1123.3236905660376</v>
      </c>
      <c r="T78" s="302">
        <f t="shared" si="132"/>
        <v>1158.0656603773584</v>
      </c>
      <c r="U78" s="130">
        <v>0.1</v>
      </c>
      <c r="V78" s="302">
        <f t="shared" si="133"/>
        <v>115.80656603773585</v>
      </c>
      <c r="W78" s="302">
        <f t="shared" si="134"/>
        <v>1042.2590943396226</v>
      </c>
      <c r="X78" s="303" t="e">
        <f t="shared" si="135"/>
        <v>#VALUE!</v>
      </c>
      <c r="Y78" s="130" t="e">
        <f t="shared" si="136"/>
        <v>#VALUE!</v>
      </c>
      <c r="Z78" s="303">
        <f t="shared" si="137"/>
        <v>18.065660377358427</v>
      </c>
      <c r="AA78" s="130">
        <f t="shared" si="138"/>
        <v>1.5847070506454761E-2</v>
      </c>
      <c r="AB78" s="303">
        <f t="shared" si="139"/>
        <v>-141.93433962264157</v>
      </c>
      <c r="AC78" s="130">
        <f t="shared" si="140"/>
        <v>-0.10918026124818582</v>
      </c>
      <c r="AD78" s="333">
        <f t="shared" si="141"/>
        <v>300</v>
      </c>
      <c r="AE78" s="333">
        <f t="shared" si="142"/>
        <v>150</v>
      </c>
      <c r="AF78" s="316">
        <v>1140</v>
      </c>
      <c r="AG78" s="316">
        <v>1300</v>
      </c>
      <c r="AH78" s="316">
        <v>840</v>
      </c>
      <c r="AI78" s="316">
        <v>1150</v>
      </c>
    </row>
    <row r="79" spans="1:35" outlineLevel="1">
      <c r="A79" s="225">
        <v>5</v>
      </c>
      <c r="B79" s="227" t="s">
        <v>354</v>
      </c>
      <c r="C79" s="227" t="s">
        <v>355</v>
      </c>
      <c r="D79" s="228" t="s">
        <v>269</v>
      </c>
      <c r="E79" s="230">
        <v>518.70000000000005</v>
      </c>
      <c r="F79" s="230">
        <v>0</v>
      </c>
      <c r="G79" s="230" t="s">
        <v>336</v>
      </c>
      <c r="H79" s="269" t="s">
        <v>337</v>
      </c>
      <c r="I79" s="270" t="s">
        <v>338</v>
      </c>
      <c r="J79" s="270"/>
      <c r="K79" s="270"/>
      <c r="L79" s="233">
        <v>1324.6415094339623</v>
      </c>
      <c r="M79" s="271" t="s">
        <v>356</v>
      </c>
      <c r="N79" s="272" t="s">
        <v>357</v>
      </c>
      <c r="O79" s="273"/>
      <c r="P79" s="299">
        <f>'KTQT_Trình bày'!Z79</f>
        <v>1351.1343396226414</v>
      </c>
      <c r="Q79" s="130">
        <v>0.03</v>
      </c>
      <c r="R79" s="302">
        <f t="shared" si="130"/>
        <v>40.534030188679239</v>
      </c>
      <c r="S79" s="302">
        <f t="shared" si="131"/>
        <v>1310.6003094339621</v>
      </c>
      <c r="T79" s="302">
        <f t="shared" si="132"/>
        <v>1351.1343396226414</v>
      </c>
      <c r="U79" s="130">
        <v>0.1</v>
      </c>
      <c r="V79" s="302">
        <f t="shared" si="133"/>
        <v>135.11343396226414</v>
      </c>
      <c r="W79" s="302">
        <f t="shared" si="134"/>
        <v>1216.0209056603771</v>
      </c>
      <c r="X79" s="303" t="e">
        <f t="shared" si="135"/>
        <v>#VALUE!</v>
      </c>
      <c r="Y79" s="130" t="e">
        <f t="shared" si="136"/>
        <v>#VALUE!</v>
      </c>
      <c r="Z79" s="303">
        <f t="shared" si="137"/>
        <v>211.13433962264139</v>
      </c>
      <c r="AA79" s="130">
        <f t="shared" si="138"/>
        <v>0.18520556107249245</v>
      </c>
      <c r="AB79" s="303">
        <f t="shared" si="139"/>
        <v>51.134339622641392</v>
      </c>
      <c r="AC79" s="130">
        <f t="shared" si="140"/>
        <v>3.9334107402031838E-2</v>
      </c>
      <c r="AD79" s="333">
        <f t="shared" si="141"/>
        <v>300</v>
      </c>
      <c r="AE79" s="333">
        <f t="shared" si="142"/>
        <v>150</v>
      </c>
      <c r="AF79" s="316">
        <v>1140</v>
      </c>
      <c r="AG79" s="316">
        <v>1300</v>
      </c>
      <c r="AH79" s="316">
        <v>840</v>
      </c>
      <c r="AI79" s="316">
        <v>1150</v>
      </c>
    </row>
    <row r="80" spans="1:35" outlineLevel="1">
      <c r="A80" s="225">
        <v>6</v>
      </c>
      <c r="B80" s="227" t="s">
        <v>358</v>
      </c>
      <c r="C80" s="227" t="s">
        <v>72</v>
      </c>
      <c r="D80" s="228" t="s">
        <v>45</v>
      </c>
      <c r="E80" s="230">
        <v>27833</v>
      </c>
      <c r="F80" s="230">
        <v>0</v>
      </c>
      <c r="G80" s="268" t="s">
        <v>359</v>
      </c>
      <c r="H80" s="269" t="s">
        <v>337</v>
      </c>
      <c r="I80" s="270" t="s">
        <v>338</v>
      </c>
      <c r="J80" s="270"/>
      <c r="K80" s="270"/>
      <c r="L80" s="233">
        <v>690.60377358490564</v>
      </c>
      <c r="M80" s="271" t="s">
        <v>360</v>
      </c>
      <c r="N80" s="272" t="s">
        <v>361</v>
      </c>
      <c r="O80" s="274"/>
      <c r="P80" s="299">
        <f>'KTQT_Trình bày'!Z80</f>
        <v>704.41584905660375</v>
      </c>
      <c r="Q80" s="130">
        <v>0.03</v>
      </c>
      <c r="R80" s="302">
        <f t="shared" si="130"/>
        <v>21.132475471698111</v>
      </c>
      <c r="S80" s="302">
        <f t="shared" si="131"/>
        <v>683.28337358490569</v>
      </c>
      <c r="T80" s="302">
        <f t="shared" si="132"/>
        <v>704.41584905660375</v>
      </c>
      <c r="U80" s="130">
        <v>0.1</v>
      </c>
      <c r="V80" s="302">
        <f t="shared" si="133"/>
        <v>70.441584905660378</v>
      </c>
      <c r="W80" s="302">
        <f t="shared" si="134"/>
        <v>633.97426415094333</v>
      </c>
      <c r="X80" s="303" t="e">
        <f t="shared" si="135"/>
        <v>#VALUE!</v>
      </c>
      <c r="Y80" s="130" t="e">
        <f t="shared" si="136"/>
        <v>#VALUE!</v>
      </c>
      <c r="Z80" s="303">
        <f t="shared" si="137"/>
        <v>-435.58415094339625</v>
      </c>
      <c r="AA80" s="130">
        <f t="shared" si="138"/>
        <v>-0.38209136047666337</v>
      </c>
      <c r="AB80" s="303">
        <f t="shared" si="139"/>
        <v>-595.58415094339625</v>
      </c>
      <c r="AC80" s="130">
        <f t="shared" si="140"/>
        <v>-0.45814165457184325</v>
      </c>
      <c r="AD80" s="333">
        <f t="shared" si="141"/>
        <v>300</v>
      </c>
      <c r="AE80" s="333">
        <f t="shared" si="142"/>
        <v>150</v>
      </c>
      <c r="AF80" s="316">
        <v>1140</v>
      </c>
      <c r="AG80" s="316">
        <v>1300</v>
      </c>
      <c r="AH80" s="316">
        <v>840</v>
      </c>
      <c r="AI80" s="316">
        <v>1150</v>
      </c>
    </row>
    <row r="81" spans="1:35" outlineLevel="1">
      <c r="A81" s="225">
        <v>7</v>
      </c>
      <c r="B81" s="227" t="s">
        <v>362</v>
      </c>
      <c r="C81" s="227" t="s">
        <v>363</v>
      </c>
      <c r="D81" s="228" t="s">
        <v>269</v>
      </c>
      <c r="E81" s="230">
        <v>3637</v>
      </c>
      <c r="F81" s="230">
        <v>25</v>
      </c>
      <c r="G81" s="268" t="s">
        <v>336</v>
      </c>
      <c r="H81" s="269" t="s">
        <v>337</v>
      </c>
      <c r="I81" s="270" t="s">
        <v>338</v>
      </c>
      <c r="J81" s="270"/>
      <c r="K81" s="270"/>
      <c r="L81" s="233">
        <v>1363.0943396226414</v>
      </c>
      <c r="M81" s="271" t="s">
        <v>364</v>
      </c>
      <c r="N81" s="272" t="s">
        <v>365</v>
      </c>
      <c r="O81" s="273"/>
      <c r="P81" s="299">
        <f>'KTQT_Trình bày'!Z81</f>
        <v>1390.3562264150942</v>
      </c>
      <c r="Q81" s="130">
        <v>0.03</v>
      </c>
      <c r="R81" s="302">
        <f t="shared" si="130"/>
        <v>41.710686792452826</v>
      </c>
      <c r="S81" s="302">
        <f t="shared" si="131"/>
        <v>1348.6455396226413</v>
      </c>
      <c r="T81" s="302">
        <f t="shared" si="132"/>
        <v>1390.3562264150942</v>
      </c>
      <c r="U81" s="130">
        <v>0.1</v>
      </c>
      <c r="V81" s="302">
        <f t="shared" si="133"/>
        <v>139.03562264150943</v>
      </c>
      <c r="W81" s="302">
        <f t="shared" si="134"/>
        <v>1251.3206037735847</v>
      </c>
      <c r="X81" s="303" t="e">
        <f t="shared" si="135"/>
        <v>#VALUE!</v>
      </c>
      <c r="Y81" s="130" t="e">
        <f t="shared" si="136"/>
        <v>#VALUE!</v>
      </c>
      <c r="Z81" s="303">
        <f t="shared" si="137"/>
        <v>250.35622641509417</v>
      </c>
      <c r="AA81" s="130">
        <f t="shared" si="138"/>
        <v>0.21961072492552119</v>
      </c>
      <c r="AB81" s="303">
        <f t="shared" si="139"/>
        <v>90.35622641509417</v>
      </c>
      <c r="AC81" s="130">
        <f t="shared" si="140"/>
        <v>6.9504789550072443E-2</v>
      </c>
      <c r="AD81" s="333">
        <f t="shared" si="141"/>
        <v>300</v>
      </c>
      <c r="AE81" s="333">
        <f t="shared" si="142"/>
        <v>150</v>
      </c>
      <c r="AF81" s="316">
        <v>1140</v>
      </c>
      <c r="AG81" s="316">
        <v>1300</v>
      </c>
      <c r="AH81" s="316">
        <v>840</v>
      </c>
      <c r="AI81" s="316">
        <v>1150</v>
      </c>
    </row>
    <row r="82" spans="1:35" outlineLevel="1">
      <c r="A82" s="225">
        <v>8</v>
      </c>
      <c r="B82" s="227" t="s">
        <v>366</v>
      </c>
      <c r="C82" s="227" t="s">
        <v>367</v>
      </c>
      <c r="D82" s="228" t="s">
        <v>76</v>
      </c>
      <c r="E82" s="230">
        <v>1370</v>
      </c>
      <c r="F82" s="230">
        <v>0</v>
      </c>
      <c r="G82" s="268" t="s">
        <v>336</v>
      </c>
      <c r="H82" s="269" t="s">
        <v>337</v>
      </c>
      <c r="I82" s="270" t="s">
        <v>338</v>
      </c>
      <c r="J82" s="270"/>
      <c r="K82" s="270"/>
      <c r="L82" s="233">
        <v>1116.7547169811321</v>
      </c>
      <c r="M82" s="271" t="s">
        <v>368</v>
      </c>
      <c r="N82" s="272" t="s">
        <v>369</v>
      </c>
      <c r="O82" s="273"/>
      <c r="P82" s="299">
        <f>'KTQT_Trình bày'!Z82</f>
        <v>1139.0898113207547</v>
      </c>
      <c r="Q82" s="130">
        <v>0.03</v>
      </c>
      <c r="R82" s="302">
        <f t="shared" si="130"/>
        <v>34.172694339622637</v>
      </c>
      <c r="S82" s="302">
        <f t="shared" si="131"/>
        <v>1104.917116981132</v>
      </c>
      <c r="T82" s="302">
        <f t="shared" si="132"/>
        <v>1139.0898113207547</v>
      </c>
      <c r="U82" s="130">
        <v>0.1</v>
      </c>
      <c r="V82" s="302">
        <f t="shared" si="133"/>
        <v>113.90898113207548</v>
      </c>
      <c r="W82" s="302">
        <f t="shared" si="134"/>
        <v>1025.1808301886792</v>
      </c>
      <c r="X82" s="303" t="e">
        <f t="shared" si="135"/>
        <v>#VALUE!</v>
      </c>
      <c r="Y82" s="130" t="e">
        <f t="shared" si="136"/>
        <v>#VALUE!</v>
      </c>
      <c r="Z82" s="303">
        <f t="shared" si="137"/>
        <v>-0.91018867924526603</v>
      </c>
      <c r="AA82" s="130">
        <f t="shared" si="138"/>
        <v>-7.984111221449702E-4</v>
      </c>
      <c r="AB82" s="303">
        <f t="shared" si="139"/>
        <v>-160.91018867924527</v>
      </c>
      <c r="AC82" s="130">
        <f t="shared" si="140"/>
        <v>-0.12377706821480405</v>
      </c>
      <c r="AD82" s="333">
        <f t="shared" si="141"/>
        <v>300</v>
      </c>
      <c r="AE82" s="333">
        <f t="shared" si="142"/>
        <v>150</v>
      </c>
      <c r="AF82" s="316">
        <v>1140</v>
      </c>
      <c r="AG82" s="316">
        <v>1300</v>
      </c>
      <c r="AH82" s="316">
        <v>840</v>
      </c>
      <c r="AI82" s="316">
        <v>1150</v>
      </c>
    </row>
    <row r="83" spans="1:35" outlineLevel="1">
      <c r="A83" s="225">
        <v>9</v>
      </c>
      <c r="B83" s="227" t="s">
        <v>370</v>
      </c>
      <c r="C83" s="227" t="s">
        <v>371</v>
      </c>
      <c r="D83" s="228" t="s">
        <v>295</v>
      </c>
      <c r="E83" s="230">
        <v>1500</v>
      </c>
      <c r="F83" s="230">
        <v>0</v>
      </c>
      <c r="G83" s="268" t="s">
        <v>336</v>
      </c>
      <c r="H83" s="269" t="s">
        <v>337</v>
      </c>
      <c r="I83" s="270" t="s">
        <v>338</v>
      </c>
      <c r="J83" s="270"/>
      <c r="K83" s="270"/>
      <c r="L83" s="233">
        <v>849.28301886792451</v>
      </c>
      <c r="M83" s="271" t="s">
        <v>372</v>
      </c>
      <c r="N83" s="272" t="s">
        <v>373</v>
      </c>
      <c r="O83" s="273"/>
      <c r="P83" s="299">
        <f>'KTQT_Trình bày'!Z83</f>
        <v>866.26867924528301</v>
      </c>
      <c r="Q83" s="130">
        <v>0.03</v>
      </c>
      <c r="R83" s="302">
        <f t="shared" si="130"/>
        <v>25.98806037735849</v>
      </c>
      <c r="S83" s="302">
        <f t="shared" si="131"/>
        <v>840.28061886792455</v>
      </c>
      <c r="T83" s="302">
        <f t="shared" si="132"/>
        <v>866.26867924528301</v>
      </c>
      <c r="U83" s="130">
        <v>0.1</v>
      </c>
      <c r="V83" s="302">
        <f t="shared" si="133"/>
        <v>86.626867924528312</v>
      </c>
      <c r="W83" s="302">
        <f t="shared" si="134"/>
        <v>779.64181132075464</v>
      </c>
      <c r="X83" s="303" t="e">
        <f t="shared" si="135"/>
        <v>#VALUE!</v>
      </c>
      <c r="Y83" s="130" t="e">
        <f t="shared" si="136"/>
        <v>#VALUE!</v>
      </c>
      <c r="Z83" s="303">
        <f t="shared" si="137"/>
        <v>-273.73132075471699</v>
      </c>
      <c r="AA83" s="130">
        <f t="shared" si="138"/>
        <v>-0.24011519364448858</v>
      </c>
      <c r="AB83" s="303">
        <f t="shared" si="139"/>
        <v>-433.73132075471699</v>
      </c>
      <c r="AC83" s="130">
        <f t="shared" si="140"/>
        <v>-0.33363947750362843</v>
      </c>
      <c r="AD83" s="333">
        <f t="shared" si="141"/>
        <v>300</v>
      </c>
      <c r="AE83" s="333">
        <f t="shared" si="142"/>
        <v>150</v>
      </c>
      <c r="AF83" s="316">
        <v>1140</v>
      </c>
      <c r="AG83" s="316">
        <v>1300</v>
      </c>
      <c r="AH83" s="316">
        <v>840</v>
      </c>
      <c r="AI83" s="316">
        <v>1150</v>
      </c>
    </row>
    <row r="84" spans="1:35" s="218" customFormat="1">
      <c r="A84" s="219" t="s">
        <v>44</v>
      </c>
      <c r="B84" s="220" t="s">
        <v>231</v>
      </c>
      <c r="C84" s="220"/>
      <c r="D84" s="221"/>
      <c r="E84" s="243"/>
      <c r="F84" s="243"/>
      <c r="G84" s="243"/>
      <c r="H84" s="275"/>
      <c r="I84" s="246"/>
      <c r="J84" s="246"/>
      <c r="K84" s="246"/>
      <c r="L84" s="246"/>
      <c r="M84" s="267"/>
      <c r="N84" s="247"/>
      <c r="O84" s="248"/>
      <c r="P84" s="298"/>
      <c r="Q84" s="220"/>
      <c r="R84" s="220"/>
      <c r="S84" s="220"/>
      <c r="T84" s="220"/>
      <c r="U84" s="220"/>
      <c r="V84" s="220"/>
      <c r="W84" s="220"/>
      <c r="X84" s="220"/>
      <c r="Y84" s="220"/>
      <c r="Z84" s="220"/>
      <c r="AA84" s="220"/>
      <c r="AB84" s="220"/>
      <c r="AC84" s="220"/>
      <c r="AD84" s="329"/>
      <c r="AE84" s="329"/>
      <c r="AF84" s="329"/>
      <c r="AG84" s="329"/>
      <c r="AH84" s="329"/>
      <c r="AI84" s="329"/>
    </row>
    <row r="85" spans="1:35" outlineLevel="1">
      <c r="A85" s="225">
        <v>1</v>
      </c>
      <c r="B85" s="227" t="s">
        <v>374</v>
      </c>
      <c r="C85" s="227" t="s">
        <v>375</v>
      </c>
      <c r="D85" s="228" t="s">
        <v>300</v>
      </c>
      <c r="E85" s="230">
        <v>141</v>
      </c>
      <c r="F85" s="230">
        <v>0</v>
      </c>
      <c r="G85" s="268" t="s">
        <v>336</v>
      </c>
      <c r="H85" s="269" t="s">
        <v>337</v>
      </c>
      <c r="I85" s="270" t="s">
        <v>338</v>
      </c>
      <c r="J85" s="270"/>
      <c r="K85" s="270"/>
      <c r="L85" s="233">
        <v>830.15094339622647</v>
      </c>
      <c r="M85" s="271" t="s">
        <v>376</v>
      </c>
      <c r="N85" s="272" t="s">
        <v>377</v>
      </c>
      <c r="O85" s="273"/>
      <c r="P85" s="299">
        <f>'KTQT_Trình bày'!Z85</f>
        <v>846.75396226415103</v>
      </c>
      <c r="Q85" s="130">
        <v>0.03</v>
      </c>
      <c r="R85" s="302">
        <f t="shared" ref="R85:R88" si="143">P85*Q85</f>
        <v>25.402618867924531</v>
      </c>
      <c r="S85" s="302">
        <f t="shared" ref="S85:S88" si="144">P85-R85</f>
        <v>821.35134339622653</v>
      </c>
      <c r="T85" s="302">
        <f t="shared" ref="T85:T88" si="145">P85</f>
        <v>846.75396226415103</v>
      </c>
      <c r="U85" s="130">
        <v>0.1</v>
      </c>
      <c r="V85" s="302">
        <f t="shared" ref="V85:V88" si="146">T85*U85</f>
        <v>84.675396226415103</v>
      </c>
      <c r="W85" s="302">
        <f t="shared" ref="W85:W88" si="147">T85-V85</f>
        <v>762.07856603773598</v>
      </c>
      <c r="X85" s="303" t="e">
        <f t="shared" ref="X85:X88" si="148">P85-G85</f>
        <v>#VALUE!</v>
      </c>
      <c r="Y85" s="130" t="e">
        <f t="shared" ref="Y85:Y88" si="149">X85/G85</f>
        <v>#VALUE!</v>
      </c>
      <c r="Z85" s="303">
        <f t="shared" ref="Z85:Z88" si="150">P85-AF85</f>
        <v>-293.24603773584897</v>
      </c>
      <c r="AA85" s="130">
        <f t="shared" ref="AA85:AA88" si="151">Z85/AF85</f>
        <v>-0.25723336643495526</v>
      </c>
      <c r="AB85" s="303">
        <f t="shared" ref="AB85:AB88" si="152">P85-AG85</f>
        <v>-453.24603773584897</v>
      </c>
      <c r="AC85" s="130">
        <f t="shared" ref="AC85:AC88" si="153">AB85/AG85</f>
        <v>-0.34865079825834538</v>
      </c>
      <c r="AD85" s="333">
        <f t="shared" ref="AD85:AD88" si="154">AF85-AH85</f>
        <v>300</v>
      </c>
      <c r="AE85" s="333">
        <f t="shared" ref="AE85:AE88" si="155">AG85-AI85</f>
        <v>150</v>
      </c>
      <c r="AF85" s="316">
        <v>1140</v>
      </c>
      <c r="AG85" s="316">
        <v>1300</v>
      </c>
      <c r="AH85" s="316">
        <v>840</v>
      </c>
      <c r="AI85" s="316">
        <v>1150</v>
      </c>
    </row>
    <row r="86" spans="1:35" outlineLevel="1">
      <c r="A86" s="225">
        <v>2</v>
      </c>
      <c r="B86" s="227" t="s">
        <v>379</v>
      </c>
      <c r="C86" s="227" t="s">
        <v>380</v>
      </c>
      <c r="D86" s="228" t="s">
        <v>269</v>
      </c>
      <c r="E86" s="230">
        <v>2677.8</v>
      </c>
      <c r="F86" s="230">
        <v>0</v>
      </c>
      <c r="G86" s="268" t="s">
        <v>336</v>
      </c>
      <c r="H86" s="269" t="s">
        <v>337</v>
      </c>
      <c r="I86" s="270" t="s">
        <v>338</v>
      </c>
      <c r="J86" s="270"/>
      <c r="K86" s="270"/>
      <c r="L86" s="233">
        <v>675.5094339622641</v>
      </c>
      <c r="M86" s="271" t="s">
        <v>381</v>
      </c>
      <c r="N86" s="272" t="s">
        <v>382</v>
      </c>
      <c r="O86" s="273"/>
      <c r="P86" s="299">
        <f>'KTQT_Trình bày'!Z86</f>
        <v>689.01962264150939</v>
      </c>
      <c r="Q86" s="130">
        <v>0.03</v>
      </c>
      <c r="R86" s="302">
        <f t="shared" si="143"/>
        <v>20.670588679245281</v>
      </c>
      <c r="S86" s="302">
        <f t="shared" si="144"/>
        <v>668.34903396226412</v>
      </c>
      <c r="T86" s="302">
        <f t="shared" si="145"/>
        <v>689.01962264150939</v>
      </c>
      <c r="U86" s="130">
        <v>0.1</v>
      </c>
      <c r="V86" s="302">
        <f t="shared" si="146"/>
        <v>68.901962264150939</v>
      </c>
      <c r="W86" s="302">
        <f t="shared" si="147"/>
        <v>620.11766037735845</v>
      </c>
      <c r="X86" s="303" t="e">
        <f t="shared" si="148"/>
        <v>#VALUE!</v>
      </c>
      <c r="Y86" s="130" t="e">
        <f t="shared" si="149"/>
        <v>#VALUE!</v>
      </c>
      <c r="Z86" s="303">
        <f t="shared" si="150"/>
        <v>-450.98037735849061</v>
      </c>
      <c r="AA86" s="130">
        <f t="shared" si="151"/>
        <v>-0.39559682224428999</v>
      </c>
      <c r="AB86" s="303">
        <f t="shared" si="152"/>
        <v>-610.98037735849061</v>
      </c>
      <c r="AC86" s="130">
        <f t="shared" si="153"/>
        <v>-0.46998490566037737</v>
      </c>
      <c r="AD86" s="333">
        <f t="shared" si="154"/>
        <v>300</v>
      </c>
      <c r="AE86" s="333">
        <f t="shared" si="155"/>
        <v>150</v>
      </c>
      <c r="AF86" s="316">
        <v>1140</v>
      </c>
      <c r="AG86" s="316">
        <v>1300</v>
      </c>
      <c r="AH86" s="316">
        <v>840</v>
      </c>
      <c r="AI86" s="316">
        <v>1150</v>
      </c>
    </row>
    <row r="87" spans="1:35" outlineLevel="1">
      <c r="A87" s="225">
        <v>4</v>
      </c>
      <c r="B87" s="227" t="s">
        <v>383</v>
      </c>
      <c r="C87" s="227" t="s">
        <v>384</v>
      </c>
      <c r="D87" s="228" t="s">
        <v>300</v>
      </c>
      <c r="E87" s="230">
        <v>2644</v>
      </c>
      <c r="F87" s="230">
        <v>0</v>
      </c>
      <c r="G87" s="268" t="s">
        <v>336</v>
      </c>
      <c r="H87" s="269" t="s">
        <v>337</v>
      </c>
      <c r="I87" s="270" t="s">
        <v>338</v>
      </c>
      <c r="J87" s="270"/>
      <c r="K87" s="270"/>
      <c r="L87" s="233">
        <v>950.94339622641508</v>
      </c>
      <c r="M87" s="271" t="s">
        <v>385</v>
      </c>
      <c r="N87" s="272" t="s">
        <v>386</v>
      </c>
      <c r="O87" s="273"/>
      <c r="P87" s="299">
        <f>'KTQT_Trình bày'!Z87</f>
        <v>969.96226415094338</v>
      </c>
      <c r="Q87" s="130">
        <v>0.03</v>
      </c>
      <c r="R87" s="302">
        <f t="shared" si="143"/>
        <v>29.0988679245283</v>
      </c>
      <c r="S87" s="302">
        <f t="shared" si="144"/>
        <v>940.86339622641503</v>
      </c>
      <c r="T87" s="302">
        <f t="shared" si="145"/>
        <v>969.96226415094338</v>
      </c>
      <c r="U87" s="130">
        <v>0.1</v>
      </c>
      <c r="V87" s="302">
        <f t="shared" si="146"/>
        <v>96.996226415094341</v>
      </c>
      <c r="W87" s="302">
        <f t="shared" si="147"/>
        <v>872.966037735849</v>
      </c>
      <c r="X87" s="303" t="e">
        <f t="shared" si="148"/>
        <v>#VALUE!</v>
      </c>
      <c r="Y87" s="130" t="e">
        <f t="shared" si="149"/>
        <v>#VALUE!</v>
      </c>
      <c r="Z87" s="303">
        <f t="shared" si="150"/>
        <v>-170.03773584905662</v>
      </c>
      <c r="AA87" s="130">
        <f t="shared" si="151"/>
        <v>-0.14915590863952335</v>
      </c>
      <c r="AB87" s="303">
        <f t="shared" si="152"/>
        <v>-330.03773584905662</v>
      </c>
      <c r="AC87" s="130">
        <f t="shared" si="153"/>
        <v>-0.25387518142235127</v>
      </c>
      <c r="AD87" s="333">
        <f t="shared" si="154"/>
        <v>300</v>
      </c>
      <c r="AE87" s="333">
        <f t="shared" si="155"/>
        <v>150</v>
      </c>
      <c r="AF87" s="316">
        <v>1140</v>
      </c>
      <c r="AG87" s="316">
        <v>1300</v>
      </c>
      <c r="AH87" s="316">
        <v>840</v>
      </c>
      <c r="AI87" s="316">
        <v>1150</v>
      </c>
    </row>
    <row r="88" spans="1:35" outlineLevel="1">
      <c r="A88" s="225">
        <v>7</v>
      </c>
      <c r="B88" s="227" t="s">
        <v>388</v>
      </c>
      <c r="C88" s="227" t="s">
        <v>389</v>
      </c>
      <c r="D88" s="228" t="s">
        <v>390</v>
      </c>
      <c r="E88" s="230">
        <v>43838</v>
      </c>
      <c r="F88" s="230">
        <v>0</v>
      </c>
      <c r="G88" s="268" t="s">
        <v>336</v>
      </c>
      <c r="H88" s="269" t="s">
        <v>337</v>
      </c>
      <c r="I88" s="270" t="s">
        <v>338</v>
      </c>
      <c r="J88" s="270"/>
      <c r="K88" s="270"/>
      <c r="L88" s="233">
        <v>831.01886792452831</v>
      </c>
      <c r="M88" s="271" t="s">
        <v>391</v>
      </c>
      <c r="N88" s="272" t="s">
        <v>377</v>
      </c>
      <c r="O88" s="273"/>
      <c r="P88" s="299">
        <f>'KTQT_Trình bày'!Z88</f>
        <v>847.63924528301891</v>
      </c>
      <c r="Q88" s="130">
        <v>0.03</v>
      </c>
      <c r="R88" s="302">
        <f t="shared" si="143"/>
        <v>25.429177358490566</v>
      </c>
      <c r="S88" s="302">
        <f t="shared" si="144"/>
        <v>822.21006792452829</v>
      </c>
      <c r="T88" s="302">
        <f t="shared" si="145"/>
        <v>847.63924528301891</v>
      </c>
      <c r="U88" s="130">
        <v>0.1</v>
      </c>
      <c r="V88" s="302">
        <f t="shared" si="146"/>
        <v>84.763924528301899</v>
      </c>
      <c r="W88" s="302">
        <f t="shared" si="147"/>
        <v>762.87532075471699</v>
      </c>
      <c r="X88" s="303" t="e">
        <f t="shared" si="148"/>
        <v>#VALUE!</v>
      </c>
      <c r="Y88" s="130" t="e">
        <f t="shared" si="149"/>
        <v>#VALUE!</v>
      </c>
      <c r="Z88" s="303">
        <f t="shared" si="150"/>
        <v>-292.36075471698109</v>
      </c>
      <c r="AA88" s="130">
        <f t="shared" si="151"/>
        <v>-0.25645680238331675</v>
      </c>
      <c r="AB88" s="303">
        <f t="shared" si="152"/>
        <v>-452.36075471698109</v>
      </c>
      <c r="AC88" s="130">
        <f t="shared" si="153"/>
        <v>-0.34796981132075466</v>
      </c>
      <c r="AD88" s="333">
        <f t="shared" si="154"/>
        <v>300</v>
      </c>
      <c r="AE88" s="333">
        <f t="shared" si="155"/>
        <v>150</v>
      </c>
      <c r="AF88" s="316">
        <v>1140</v>
      </c>
      <c r="AG88" s="316">
        <v>1300</v>
      </c>
      <c r="AH88" s="316">
        <v>840</v>
      </c>
      <c r="AI88" s="316">
        <v>1150</v>
      </c>
    </row>
    <row r="89" spans="1:35" outlineLevel="1">
      <c r="A89" s="225">
        <v>8</v>
      </c>
      <c r="B89" s="227" t="s">
        <v>393</v>
      </c>
      <c r="C89" s="227" t="s">
        <v>394</v>
      </c>
      <c r="D89" s="228"/>
      <c r="E89" s="230">
        <v>5115.6000000000004</v>
      </c>
      <c r="F89" s="230">
        <v>0</v>
      </c>
      <c r="G89" s="230"/>
      <c r="H89" s="269"/>
      <c r="I89" s="270"/>
      <c r="J89" s="270"/>
      <c r="K89" s="270"/>
      <c r="L89" s="233"/>
      <c r="M89" s="271"/>
      <c r="N89" s="272"/>
      <c r="O89" s="273"/>
      <c r="P89" s="300"/>
      <c r="Q89" s="227"/>
      <c r="R89" s="227"/>
      <c r="S89" s="227"/>
      <c r="T89" s="227"/>
      <c r="U89" s="227"/>
      <c r="V89" s="227"/>
      <c r="W89" s="227"/>
      <c r="X89" s="227"/>
      <c r="Y89" s="227"/>
      <c r="Z89" s="227"/>
      <c r="AA89" s="227"/>
      <c r="AB89" s="227"/>
      <c r="AC89" s="227"/>
    </row>
    <row r="90" spans="1:35" s="218" customFormat="1">
      <c r="A90" s="212" t="s">
        <v>395</v>
      </c>
      <c r="B90" s="213" t="s">
        <v>396</v>
      </c>
      <c r="C90" s="213"/>
      <c r="D90" s="214"/>
      <c r="E90" s="256"/>
      <c r="F90" s="256"/>
      <c r="G90" s="256"/>
      <c r="H90" s="257"/>
      <c r="I90" s="258"/>
      <c r="J90" s="258"/>
      <c r="K90" s="258"/>
      <c r="L90" s="259"/>
      <c r="M90" s="266"/>
      <c r="N90" s="260"/>
      <c r="O90" s="261"/>
      <c r="P90" s="297"/>
      <c r="Q90" s="213"/>
      <c r="R90" s="213"/>
      <c r="S90" s="213"/>
      <c r="T90" s="213"/>
      <c r="U90" s="213"/>
      <c r="V90" s="213"/>
      <c r="W90" s="213"/>
      <c r="X90" s="213"/>
      <c r="Y90" s="213"/>
      <c r="Z90" s="213"/>
      <c r="AA90" s="213"/>
      <c r="AB90" s="213"/>
      <c r="AC90" s="213"/>
      <c r="AD90" s="328"/>
      <c r="AE90" s="328"/>
      <c r="AF90" s="328"/>
      <c r="AG90" s="328"/>
      <c r="AH90" s="328"/>
      <c r="AI90" s="328"/>
    </row>
    <row r="91" spans="1:35" s="218" customFormat="1">
      <c r="A91" s="219" t="s">
        <v>43</v>
      </c>
      <c r="B91" s="220" t="s">
        <v>221</v>
      </c>
      <c r="C91" s="220"/>
      <c r="D91" s="221"/>
      <c r="E91" s="243"/>
      <c r="F91" s="243"/>
      <c r="G91" s="243"/>
      <c r="H91" s="244"/>
      <c r="I91" s="245"/>
      <c r="J91" s="245"/>
      <c r="K91" s="245"/>
      <c r="L91" s="246"/>
      <c r="M91" s="267"/>
      <c r="N91" s="247"/>
      <c r="O91" s="248"/>
      <c r="P91" s="298"/>
      <c r="Q91" s="220"/>
      <c r="R91" s="220"/>
      <c r="S91" s="220"/>
      <c r="T91" s="220"/>
      <c r="U91" s="220"/>
      <c r="V91" s="220"/>
      <c r="W91" s="220"/>
      <c r="X91" s="220"/>
      <c r="Y91" s="220"/>
      <c r="Z91" s="220"/>
      <c r="AA91" s="220"/>
      <c r="AB91" s="220"/>
      <c r="AC91" s="220"/>
      <c r="AD91" s="329"/>
      <c r="AE91" s="329"/>
      <c r="AF91" s="329"/>
      <c r="AG91" s="329"/>
      <c r="AH91" s="329"/>
      <c r="AI91" s="329"/>
    </row>
    <row r="92" spans="1:35" outlineLevel="1">
      <c r="A92" s="225">
        <v>1</v>
      </c>
      <c r="B92" s="227" t="s">
        <v>51</v>
      </c>
      <c r="C92" s="227" t="s">
        <v>397</v>
      </c>
      <c r="D92" s="228" t="s">
        <v>300</v>
      </c>
      <c r="E92" s="230">
        <v>30700.1</v>
      </c>
      <c r="F92" s="230">
        <v>11250</v>
      </c>
      <c r="G92" s="230">
        <v>650</v>
      </c>
      <c r="H92" s="231">
        <v>680</v>
      </c>
      <c r="I92" s="234">
        <v>30</v>
      </c>
      <c r="J92" s="234"/>
      <c r="K92" s="234"/>
      <c r="L92" s="233">
        <v>769.16981132075466</v>
      </c>
      <c r="M92" s="234">
        <v>-89.169811320754661</v>
      </c>
      <c r="N92" s="235">
        <v>-0.13113207547169803</v>
      </c>
      <c r="O92" s="236"/>
      <c r="P92" s="299">
        <f>'KTQT_Trình bày'!Z92</f>
        <v>784.55320754716979</v>
      </c>
      <c r="Q92" s="130">
        <v>0.03</v>
      </c>
      <c r="R92" s="302">
        <f t="shared" ref="R92:R93" si="156">P92*Q92</f>
        <v>23.536596226415092</v>
      </c>
      <c r="S92" s="302">
        <f t="shared" ref="S92:S93" si="157">P92-R92</f>
        <v>761.01661132075469</v>
      </c>
      <c r="T92" s="302">
        <f t="shared" ref="T92:T93" si="158">P92</f>
        <v>784.55320754716979</v>
      </c>
      <c r="U92" s="130">
        <v>0.1</v>
      </c>
      <c r="V92" s="302">
        <f t="shared" ref="V92:V93" si="159">T92*U92</f>
        <v>78.455320754716979</v>
      </c>
      <c r="W92" s="302">
        <f t="shared" ref="W92:W93" si="160">T92-V92</f>
        <v>706.09788679245275</v>
      </c>
      <c r="X92" s="303">
        <f t="shared" ref="X92:X93" si="161">P92-G92</f>
        <v>134.55320754716979</v>
      </c>
      <c r="Y92" s="130">
        <f t="shared" ref="Y92:Y93" si="162">X92/G92</f>
        <v>0.20700493468795353</v>
      </c>
      <c r="Z92" s="303">
        <f t="shared" ref="Z92:Z93" si="163">P92-AF92</f>
        <v>-355.44679245283021</v>
      </c>
      <c r="AA92" s="130">
        <f t="shared" ref="AA92:AA93" si="164">Z92/AF92</f>
        <v>-0.31179543197616683</v>
      </c>
      <c r="AB92" s="303">
        <f t="shared" ref="AB92:AB93" si="165">P92-AG92</f>
        <v>-515.44679245283021</v>
      </c>
      <c r="AC92" s="130">
        <f t="shared" ref="AC92:AC93" si="166">AB92/AG92</f>
        <v>-0.39649753265602322</v>
      </c>
      <c r="AD92" s="333">
        <f t="shared" ref="AD92:AD93" si="167">AF92-AH92</f>
        <v>300</v>
      </c>
      <c r="AE92" s="333">
        <f t="shared" ref="AE92:AE93" si="168">AG92-AI92</f>
        <v>150</v>
      </c>
      <c r="AF92" s="316">
        <v>1140</v>
      </c>
      <c r="AG92" s="316">
        <v>1300</v>
      </c>
      <c r="AH92" s="316">
        <v>840</v>
      </c>
      <c r="AI92" s="316">
        <v>1150</v>
      </c>
    </row>
    <row r="93" spans="1:35" outlineLevel="1">
      <c r="A93" s="225">
        <v>2</v>
      </c>
      <c r="B93" s="227" t="s">
        <v>53</v>
      </c>
      <c r="C93" s="227" t="s">
        <v>56</v>
      </c>
      <c r="D93" s="228" t="s">
        <v>295</v>
      </c>
      <c r="E93" s="230">
        <v>119803</v>
      </c>
      <c r="F93" s="230">
        <v>0</v>
      </c>
      <c r="G93" s="230">
        <v>650</v>
      </c>
      <c r="H93" s="231">
        <v>680</v>
      </c>
      <c r="I93" s="234">
        <v>30</v>
      </c>
      <c r="J93" s="234"/>
      <c r="K93" s="234"/>
      <c r="L93" s="233">
        <v>747.58490566037733</v>
      </c>
      <c r="M93" s="234">
        <v>-67.584905660377331</v>
      </c>
      <c r="N93" s="235">
        <v>-9.9389567147613725E-2</v>
      </c>
      <c r="O93" s="236"/>
      <c r="P93" s="299">
        <f>'KTQT_Trình bày'!Z93</f>
        <v>762.53660377358483</v>
      </c>
      <c r="Q93" s="130">
        <v>0.03</v>
      </c>
      <c r="R93" s="302">
        <f t="shared" si="156"/>
        <v>22.876098113207544</v>
      </c>
      <c r="S93" s="302">
        <f t="shared" si="157"/>
        <v>739.66050566037734</v>
      </c>
      <c r="T93" s="302">
        <f t="shared" si="158"/>
        <v>762.53660377358483</v>
      </c>
      <c r="U93" s="130">
        <v>0.1</v>
      </c>
      <c r="V93" s="302">
        <f t="shared" si="159"/>
        <v>76.253660377358486</v>
      </c>
      <c r="W93" s="302">
        <f t="shared" si="160"/>
        <v>686.2829433962263</v>
      </c>
      <c r="X93" s="303">
        <f t="shared" si="161"/>
        <v>112.53660377358483</v>
      </c>
      <c r="Y93" s="130">
        <f t="shared" si="162"/>
        <v>0.17313323657474589</v>
      </c>
      <c r="Z93" s="303">
        <f t="shared" si="163"/>
        <v>-377.46339622641517</v>
      </c>
      <c r="AA93" s="130">
        <f t="shared" si="164"/>
        <v>-0.33110824230387298</v>
      </c>
      <c r="AB93" s="303">
        <f t="shared" si="165"/>
        <v>-537.46339622641517</v>
      </c>
      <c r="AC93" s="130">
        <f t="shared" si="166"/>
        <v>-0.41343338171262706</v>
      </c>
      <c r="AD93" s="333">
        <f t="shared" si="167"/>
        <v>300</v>
      </c>
      <c r="AE93" s="333">
        <f t="shared" si="168"/>
        <v>150</v>
      </c>
      <c r="AF93" s="316">
        <v>1140</v>
      </c>
      <c r="AG93" s="316">
        <v>1300</v>
      </c>
      <c r="AH93" s="316">
        <v>840</v>
      </c>
      <c r="AI93" s="316">
        <v>1150</v>
      </c>
    </row>
    <row r="94" spans="1:35" outlineLevel="1">
      <c r="A94" s="225"/>
      <c r="B94" s="227"/>
      <c r="C94" s="227"/>
      <c r="D94" s="228"/>
      <c r="E94" s="230"/>
      <c r="F94" s="230"/>
      <c r="G94" s="230"/>
      <c r="H94" s="231"/>
      <c r="I94" s="234"/>
      <c r="J94" s="234"/>
      <c r="K94" s="234"/>
      <c r="L94" s="233"/>
      <c r="M94" s="234"/>
      <c r="N94" s="235"/>
      <c r="O94" s="236"/>
      <c r="P94" s="300"/>
      <c r="Q94" s="227"/>
      <c r="R94" s="227"/>
      <c r="S94" s="227"/>
      <c r="T94" s="227"/>
      <c r="U94" s="227"/>
      <c r="V94" s="227"/>
      <c r="W94" s="227"/>
      <c r="X94" s="227"/>
      <c r="Y94" s="227"/>
      <c r="Z94" s="227"/>
      <c r="AA94" s="227"/>
      <c r="AB94" s="227"/>
      <c r="AC94" s="227"/>
    </row>
    <row r="95" spans="1:35" s="218" customFormat="1">
      <c r="A95" s="219" t="s">
        <v>44</v>
      </c>
      <c r="B95" s="220" t="s">
        <v>231</v>
      </c>
      <c r="C95" s="220"/>
      <c r="D95" s="221"/>
      <c r="E95" s="243"/>
      <c r="F95" s="243"/>
      <c r="G95" s="243"/>
      <c r="H95" s="244"/>
      <c r="I95" s="245"/>
      <c r="J95" s="245"/>
      <c r="K95" s="245"/>
      <c r="L95" s="246"/>
      <c r="M95" s="245"/>
      <c r="N95" s="247"/>
      <c r="O95" s="248"/>
      <c r="P95" s="298"/>
      <c r="Q95" s="220"/>
      <c r="R95" s="220"/>
      <c r="S95" s="220"/>
      <c r="T95" s="220"/>
      <c r="U95" s="220"/>
      <c r="V95" s="220"/>
      <c r="W95" s="220"/>
      <c r="X95" s="220"/>
      <c r="Y95" s="220"/>
      <c r="Z95" s="220"/>
      <c r="AA95" s="220"/>
      <c r="AB95" s="220"/>
      <c r="AC95" s="220"/>
      <c r="AD95" s="329"/>
      <c r="AE95" s="329"/>
      <c r="AF95" s="329"/>
      <c r="AG95" s="329"/>
      <c r="AH95" s="329"/>
      <c r="AI95" s="329"/>
    </row>
    <row r="96" spans="1:35" ht="19" customHeight="1" outlineLevel="1">
      <c r="A96" s="225">
        <v>1</v>
      </c>
      <c r="B96" s="227" t="s">
        <v>52</v>
      </c>
      <c r="C96" s="227" t="s">
        <v>55</v>
      </c>
      <c r="D96" s="228" t="s">
        <v>300</v>
      </c>
      <c r="E96" s="230">
        <v>2250</v>
      </c>
      <c r="F96" s="230">
        <v>0</v>
      </c>
      <c r="G96" s="230">
        <v>650</v>
      </c>
      <c r="H96" s="231">
        <v>680</v>
      </c>
      <c r="I96" s="234">
        <v>30</v>
      </c>
      <c r="J96" s="234"/>
      <c r="K96" s="234"/>
      <c r="L96" s="233">
        <v>754.03773584905662</v>
      </c>
      <c r="M96" s="234">
        <v>-74.037735849056617</v>
      </c>
      <c r="N96" s="235">
        <v>-0.10887902330743621</v>
      </c>
      <c r="O96" s="236"/>
      <c r="P96" s="299">
        <f>'KTQT_Trình bày'!Z96</f>
        <v>769.11849056603774</v>
      </c>
      <c r="Q96" s="130">
        <v>0.03</v>
      </c>
      <c r="R96" s="302">
        <f t="shared" ref="R96:R98" si="169">P96*Q96</f>
        <v>23.073554716981132</v>
      </c>
      <c r="S96" s="302">
        <f t="shared" ref="S96:S98" si="170">P96-R96</f>
        <v>746.04493584905663</v>
      </c>
      <c r="T96" s="302">
        <f t="shared" ref="T96:T98" si="171">P96</f>
        <v>769.11849056603774</v>
      </c>
      <c r="U96" s="130">
        <v>0.1</v>
      </c>
      <c r="V96" s="302">
        <f t="shared" ref="V96:V98" si="172">T96*U96</f>
        <v>76.911849056603785</v>
      </c>
      <c r="W96" s="302">
        <f t="shared" ref="W96:W98" si="173">T96-V96</f>
        <v>692.20664150943389</v>
      </c>
      <c r="X96" s="303">
        <f t="shared" ref="X96:X98" si="174">P96-G96</f>
        <v>119.11849056603774</v>
      </c>
      <c r="Y96" s="130">
        <f t="shared" ref="Y96:Y98" si="175">X96/G96</f>
        <v>0.18325921625544267</v>
      </c>
      <c r="Z96" s="303">
        <f t="shared" ref="Z96:Z98" si="176">P96-AF96</f>
        <v>-370.88150943396226</v>
      </c>
      <c r="AA96" s="130">
        <f t="shared" ref="AA96:AA98" si="177">Z96/AF96</f>
        <v>-0.32533465739821249</v>
      </c>
      <c r="AB96" s="303">
        <f t="shared" ref="AB96:AB98" si="178">P96-AG96</f>
        <v>-530.88150943396226</v>
      </c>
      <c r="AC96" s="130">
        <f t="shared" ref="AC96:AC98" si="179">AB96/AG96</f>
        <v>-0.40837039187227864</v>
      </c>
      <c r="AD96" s="333">
        <f t="shared" ref="AD96:AD98" si="180">AF96-AH96</f>
        <v>300</v>
      </c>
      <c r="AE96" s="333">
        <f t="shared" ref="AE96:AE98" si="181">AG96-AI96</f>
        <v>150</v>
      </c>
      <c r="AF96" s="316">
        <v>1140</v>
      </c>
      <c r="AG96" s="316">
        <v>1300</v>
      </c>
      <c r="AH96" s="316">
        <v>840</v>
      </c>
      <c r="AI96" s="316">
        <v>1150</v>
      </c>
    </row>
    <row r="97" spans="1:35" s="284" customFormat="1" outlineLevel="1">
      <c r="A97" s="228">
        <v>2</v>
      </c>
      <c r="B97" s="276" t="s">
        <v>399</v>
      </c>
      <c r="C97" s="276" t="s">
        <v>400</v>
      </c>
      <c r="D97" s="228" t="s">
        <v>269</v>
      </c>
      <c r="E97" s="277">
        <v>5250</v>
      </c>
      <c r="F97" s="277">
        <v>0</v>
      </c>
      <c r="G97" s="277">
        <v>650</v>
      </c>
      <c r="H97" s="278">
        <v>680</v>
      </c>
      <c r="I97" s="279">
        <v>30</v>
      </c>
      <c r="J97" s="279"/>
      <c r="K97" s="279"/>
      <c r="L97" s="280">
        <v>2251.5471698113206</v>
      </c>
      <c r="M97" s="279">
        <v>-1571.5471698113206</v>
      </c>
      <c r="N97" s="281">
        <v>-2.3110987791342952</v>
      </c>
      <c r="O97" s="282"/>
      <c r="P97" s="299">
        <f>'KTQT_Trình bày'!Z97</f>
        <v>2296.5781132075472</v>
      </c>
      <c r="Q97" s="130">
        <v>0.03</v>
      </c>
      <c r="R97" s="302">
        <f t="shared" si="169"/>
        <v>68.897343396226418</v>
      </c>
      <c r="S97" s="302">
        <f t="shared" si="170"/>
        <v>2227.6807698113207</v>
      </c>
      <c r="T97" s="302">
        <f t="shared" si="171"/>
        <v>2296.5781132075472</v>
      </c>
      <c r="U97" s="130">
        <v>0.1</v>
      </c>
      <c r="V97" s="302">
        <f t="shared" si="172"/>
        <v>229.65781132075472</v>
      </c>
      <c r="W97" s="302">
        <f t="shared" si="173"/>
        <v>2066.9203018867925</v>
      </c>
      <c r="X97" s="303">
        <f t="shared" si="174"/>
        <v>1646.5781132075472</v>
      </c>
      <c r="Y97" s="130">
        <f t="shared" si="175"/>
        <v>2.5331970972423803</v>
      </c>
      <c r="Z97" s="303">
        <f t="shared" si="176"/>
        <v>1156.5781132075472</v>
      </c>
      <c r="AA97" s="130">
        <f t="shared" si="177"/>
        <v>1.0145422045680239</v>
      </c>
      <c r="AB97" s="303">
        <f t="shared" si="178"/>
        <v>996.57811320754718</v>
      </c>
      <c r="AC97" s="130">
        <f t="shared" si="179"/>
        <v>0.76659854862119015</v>
      </c>
      <c r="AD97" s="333">
        <f t="shared" si="180"/>
        <v>300</v>
      </c>
      <c r="AE97" s="333">
        <f t="shared" si="181"/>
        <v>150</v>
      </c>
      <c r="AF97" s="316">
        <v>1140</v>
      </c>
      <c r="AG97" s="316">
        <v>1300</v>
      </c>
      <c r="AH97" s="316">
        <v>840</v>
      </c>
      <c r="AI97" s="316">
        <v>1150</v>
      </c>
    </row>
    <row r="98" spans="1:35" ht="19" customHeight="1" outlineLevel="1">
      <c r="A98" s="225">
        <v>3</v>
      </c>
      <c r="B98" s="285" t="s">
        <v>54</v>
      </c>
      <c r="C98" s="285" t="s">
        <v>57</v>
      </c>
      <c r="D98" s="286" t="s">
        <v>295</v>
      </c>
      <c r="E98" s="287">
        <v>750</v>
      </c>
      <c r="F98" s="287">
        <v>0</v>
      </c>
      <c r="G98" s="287">
        <v>650</v>
      </c>
      <c r="H98" s="288">
        <v>680</v>
      </c>
      <c r="I98" s="289">
        <v>30</v>
      </c>
      <c r="J98" s="289"/>
      <c r="K98" s="289"/>
      <c r="L98" s="290">
        <v>754.71698113207549</v>
      </c>
      <c r="M98" s="289">
        <v>-74.716981132075489</v>
      </c>
      <c r="N98" s="291">
        <v>-0.10987791342952277</v>
      </c>
      <c r="O98" s="292"/>
      <c r="P98" s="299">
        <f>'KTQT_Trình bày'!Z98</f>
        <v>769.81132075471703</v>
      </c>
      <c r="Q98" s="130">
        <v>0.03</v>
      </c>
      <c r="R98" s="302">
        <f t="shared" si="169"/>
        <v>23.09433962264151</v>
      </c>
      <c r="S98" s="302">
        <f t="shared" si="170"/>
        <v>746.71698113207549</v>
      </c>
      <c r="T98" s="302">
        <f t="shared" si="171"/>
        <v>769.81132075471703</v>
      </c>
      <c r="U98" s="130">
        <v>0.1</v>
      </c>
      <c r="V98" s="302">
        <f t="shared" si="172"/>
        <v>76.981132075471706</v>
      </c>
      <c r="W98" s="302">
        <f t="shared" si="173"/>
        <v>692.83018867924534</v>
      </c>
      <c r="X98" s="303">
        <f t="shared" si="174"/>
        <v>119.81132075471703</v>
      </c>
      <c r="Y98" s="130">
        <f t="shared" si="175"/>
        <v>0.18432510885341083</v>
      </c>
      <c r="Z98" s="303">
        <f t="shared" si="176"/>
        <v>-370.18867924528297</v>
      </c>
      <c r="AA98" s="130">
        <f t="shared" si="177"/>
        <v>-0.32472691161866929</v>
      </c>
      <c r="AB98" s="303">
        <f t="shared" si="178"/>
        <v>-530.18867924528297</v>
      </c>
      <c r="AC98" s="130">
        <f t="shared" si="179"/>
        <v>-0.4078374455732946</v>
      </c>
      <c r="AD98" s="333">
        <f t="shared" si="180"/>
        <v>300</v>
      </c>
      <c r="AE98" s="333">
        <f t="shared" si="181"/>
        <v>150</v>
      </c>
      <c r="AF98" s="316">
        <v>1140</v>
      </c>
      <c r="AG98" s="316">
        <v>1300</v>
      </c>
      <c r="AH98" s="316">
        <v>840</v>
      </c>
      <c r="AI98" s="316">
        <v>1150</v>
      </c>
    </row>
    <row r="100" spans="1:35">
      <c r="D100"/>
      <c r="I100"/>
      <c r="J100"/>
      <c r="K100"/>
      <c r="L100"/>
      <c r="M100"/>
      <c r="N100"/>
      <c r="O100"/>
    </row>
    <row r="101" spans="1:35">
      <c r="D101"/>
      <c r="I101"/>
      <c r="J101"/>
      <c r="K101"/>
      <c r="L101"/>
      <c r="M101"/>
      <c r="N101"/>
      <c r="O101"/>
    </row>
    <row r="102" spans="1:35">
      <c r="I102"/>
      <c r="J102"/>
      <c r="K102"/>
      <c r="L102"/>
      <c r="M102"/>
      <c r="N102"/>
      <c r="O102"/>
    </row>
    <row r="103" spans="1:35">
      <c r="I103"/>
      <c r="J103"/>
      <c r="K103"/>
      <c r="L103"/>
      <c r="M103"/>
      <c r="N103"/>
      <c r="O103"/>
    </row>
    <row r="104" spans="1:35">
      <c r="I104"/>
      <c r="J104"/>
      <c r="K104"/>
      <c r="L104"/>
      <c r="M104"/>
      <c r="N104"/>
      <c r="O104"/>
    </row>
    <row r="105" spans="1:35">
      <c r="I105"/>
      <c r="J105"/>
      <c r="K105"/>
      <c r="L105"/>
      <c r="M105"/>
      <c r="N105"/>
      <c r="O105"/>
    </row>
  </sheetData>
  <mergeCells count="6">
    <mergeCell ref="P2:AC2"/>
    <mergeCell ref="P3:S3"/>
    <mergeCell ref="T3:W3"/>
    <mergeCell ref="X3:Y3"/>
    <mergeCell ref="Z3:AA3"/>
    <mergeCell ref="AB3:AC3"/>
  </mergeCells>
  <conditionalFormatting sqref="I7:K45 I47:K74 I90:K98">
    <cfRule type="cellIs" dxfId="19" priority="16" operator="lessThan">
      <formula>0</formula>
    </cfRule>
    <cfRule type="cellIs" dxfId="18" priority="17" operator="lessThan">
      <formula>-1</formula>
    </cfRule>
    <cfRule type="cellIs" dxfId="17" priority="18" operator="greaterThanOrEqual">
      <formula>0</formula>
    </cfRule>
  </conditionalFormatting>
  <conditionalFormatting sqref="M7:O97 O98">
    <cfRule type="cellIs" dxfId="16" priority="14" operator="lessThan">
      <formula>-1</formula>
    </cfRule>
  </conditionalFormatting>
  <conditionalFormatting sqref="M7:O98">
    <cfRule type="cellIs" dxfId="15" priority="13" operator="lessThan">
      <formula>0</formula>
    </cfRule>
    <cfRule type="cellIs" dxfId="14" priority="15" operator="greaterThanOrEqual">
      <formula>0</formula>
    </cfRule>
  </conditionalFormatting>
  <conditionalFormatting sqref="M98:O98">
    <cfRule type="cellIs" dxfId="13" priority="1" operator="lessThan">
      <formula>-1</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A77E-CA18-481B-82D5-81B5973D1966}">
  <dimension ref="A1:AM105"/>
  <sheetViews>
    <sheetView topLeftCell="U1" zoomScale="70" zoomScaleNormal="70" workbookViewId="0">
      <selection activeCell="AE15" sqref="AE15"/>
    </sheetView>
  </sheetViews>
  <sheetFormatPr defaultRowHeight="14.5" outlineLevelRow="1"/>
  <cols>
    <col min="1" max="1" width="8.7265625" style="201"/>
    <col min="2" max="2" width="23.90625" customWidth="1"/>
    <col min="3" max="3" width="30.1796875" customWidth="1"/>
    <col min="4" max="4" width="8.7265625" style="203"/>
    <col min="9" max="12" width="8.7265625" style="201"/>
    <col min="13" max="13" width="8.7265625" style="204"/>
    <col min="14" max="14" width="8.7265625" style="205"/>
    <col min="15" max="15" width="8.7265625" style="206"/>
    <col min="16" max="16" width="15.90625" customWidth="1"/>
    <col min="17" max="17" width="11" customWidth="1"/>
    <col min="25" max="25" width="4.81640625" customWidth="1"/>
    <col min="26" max="26" width="9.08984375" bestFit="1" customWidth="1"/>
    <col min="38" max="39" width="7.90625" bestFit="1" customWidth="1"/>
  </cols>
  <sheetData>
    <row r="1" spans="1:39" ht="21">
      <c r="B1" s="202" t="s">
        <v>204</v>
      </c>
    </row>
    <row r="3" spans="1:39" ht="16.5">
      <c r="Z3" t="s">
        <v>417</v>
      </c>
      <c r="AD3" s="353" t="str">
        <f>'rPET- nội bộ '!T8&amp;" - PKD"</f>
        <v xml:space="preserve"> - PKD</v>
      </c>
      <c r="AE3" s="354"/>
      <c r="AF3" s="354"/>
      <c r="AG3" s="355"/>
      <c r="AH3" s="353" t="str">
        <f>'rPET- nội bộ '!T8 &amp;" - GĐDH &amp; TGĐ"</f>
        <v xml:space="preserve"> - GĐDH &amp; TGĐ</v>
      </c>
      <c r="AI3" s="354"/>
      <c r="AJ3" s="354"/>
      <c r="AK3" s="355"/>
      <c r="AL3" t="s">
        <v>437</v>
      </c>
    </row>
    <row r="4" spans="1:39" ht="115.5">
      <c r="A4" s="207" t="s">
        <v>2</v>
      </c>
      <c r="B4" s="207" t="s">
        <v>205</v>
      </c>
      <c r="C4" s="207" t="s">
        <v>206</v>
      </c>
      <c r="D4" s="207" t="s">
        <v>41</v>
      </c>
      <c r="E4" s="208" t="s">
        <v>207</v>
      </c>
      <c r="F4" s="208" t="s">
        <v>208</v>
      </c>
      <c r="G4" s="208" t="s">
        <v>209</v>
      </c>
      <c r="H4" s="209" t="s">
        <v>210</v>
      </c>
      <c r="I4" s="210" t="s">
        <v>211</v>
      </c>
      <c r="J4" s="210" t="s">
        <v>212</v>
      </c>
      <c r="K4" s="210" t="s">
        <v>213</v>
      </c>
      <c r="L4" s="210" t="s">
        <v>214</v>
      </c>
      <c r="M4" s="210" t="s">
        <v>215</v>
      </c>
      <c r="N4" s="210" t="s">
        <v>216</v>
      </c>
      <c r="O4" s="211" t="s">
        <v>217</v>
      </c>
      <c r="P4" s="207" t="s">
        <v>218</v>
      </c>
      <c r="Q4" s="207" t="s">
        <v>219</v>
      </c>
      <c r="S4" s="307" t="s">
        <v>415</v>
      </c>
      <c r="T4" s="307" t="s">
        <v>412</v>
      </c>
      <c r="U4" s="307" t="s">
        <v>413</v>
      </c>
      <c r="V4" s="325" t="s">
        <v>416</v>
      </c>
      <c r="W4" s="307" t="s">
        <v>215</v>
      </c>
      <c r="X4" s="307" t="s">
        <v>414</v>
      </c>
      <c r="Z4" s="325" t="s">
        <v>416</v>
      </c>
      <c r="AA4" s="307" t="s">
        <v>215</v>
      </c>
      <c r="AB4" s="307" t="s">
        <v>414</v>
      </c>
      <c r="AD4" s="14" t="s">
        <v>31</v>
      </c>
      <c r="AE4" s="14" t="s">
        <v>37</v>
      </c>
      <c r="AF4" s="14" t="s">
        <v>35</v>
      </c>
      <c r="AG4" s="82" t="s">
        <v>36</v>
      </c>
      <c r="AH4" s="14" t="s">
        <v>31</v>
      </c>
      <c r="AI4" s="14" t="s">
        <v>37</v>
      </c>
      <c r="AJ4" s="14" t="s">
        <v>35</v>
      </c>
      <c r="AK4" s="82" t="s">
        <v>36</v>
      </c>
      <c r="AL4" s="305" t="s">
        <v>436</v>
      </c>
      <c r="AM4" s="305" t="s">
        <v>436</v>
      </c>
    </row>
    <row r="5" spans="1:39" s="218" customFormat="1" ht="15.5">
      <c r="A5" s="212" t="s">
        <v>69</v>
      </c>
      <c r="B5" s="213" t="s">
        <v>220</v>
      </c>
      <c r="C5" s="213"/>
      <c r="D5" s="214"/>
      <c r="E5" s="213"/>
      <c r="F5" s="213"/>
      <c r="G5" s="213"/>
      <c r="H5" s="213"/>
      <c r="I5" s="212"/>
      <c r="J5" s="212"/>
      <c r="K5" s="212"/>
      <c r="L5" s="212"/>
      <c r="M5" s="215"/>
      <c r="N5" s="216"/>
      <c r="O5" s="217"/>
      <c r="P5" s="213"/>
      <c r="Q5" s="213"/>
      <c r="Z5" s="293">
        <f>L7/0.9</f>
        <v>1175.328584770903</v>
      </c>
      <c r="AA5" s="293">
        <f>Z5-J7</f>
        <v>242.53285847709026</v>
      </c>
      <c r="AB5" s="315">
        <f>AA5/Z5</f>
        <v>0.20635323740072667</v>
      </c>
    </row>
    <row r="6" spans="1:39" s="218" customFormat="1" ht="15.5">
      <c r="A6" s="219" t="s">
        <v>43</v>
      </c>
      <c r="B6" s="220" t="s">
        <v>221</v>
      </c>
      <c r="C6" s="220"/>
      <c r="D6" s="221"/>
      <c r="E6" s="220"/>
      <c r="F6" s="220"/>
      <c r="G6" s="220"/>
      <c r="H6" s="220"/>
      <c r="I6" s="219"/>
      <c r="J6" s="219"/>
      <c r="K6" s="219"/>
      <c r="L6" s="219"/>
      <c r="M6" s="222"/>
      <c r="N6" s="223"/>
      <c r="O6" s="224"/>
      <c r="P6" s="220"/>
      <c r="Q6" s="220"/>
      <c r="S6" s="296">
        <v>0.25</v>
      </c>
      <c r="V6" s="296">
        <v>0.11</v>
      </c>
      <c r="Z6" s="322">
        <v>0.02</v>
      </c>
      <c r="AA6" s="326">
        <f>Z5-L7</f>
        <v>117.53285847709026</v>
      </c>
      <c r="AB6" s="308">
        <f>AA6/Z5</f>
        <v>9.9999999999999964E-2</v>
      </c>
    </row>
    <row r="7" spans="1:39" ht="16.5" outlineLevel="1">
      <c r="A7" s="225">
        <v>1</v>
      </c>
      <c r="B7" s="226" t="s">
        <v>13</v>
      </c>
      <c r="C7" s="227" t="s">
        <v>136</v>
      </c>
      <c r="D7" s="228"/>
      <c r="E7" s="229">
        <v>503605</v>
      </c>
      <c r="F7" s="230">
        <v>2663100</v>
      </c>
      <c r="G7" s="230">
        <v>1160</v>
      </c>
      <c r="H7" s="231">
        <v>1160</v>
      </c>
      <c r="I7" s="232">
        <v>0</v>
      </c>
      <c r="J7" s="232">
        <f>L7-K7</f>
        <v>932.79572629381278</v>
      </c>
      <c r="K7" s="232">
        <v>125</v>
      </c>
      <c r="L7" s="233">
        <v>1057.7957262938128</v>
      </c>
      <c r="M7" s="234">
        <v>102.20427370618722</v>
      </c>
      <c r="N7" s="235">
        <v>8.8107132505333807E-2</v>
      </c>
      <c r="O7" s="236"/>
      <c r="P7" s="227"/>
      <c r="Q7" s="227"/>
      <c r="S7" s="293">
        <f>J7+J7*$S$6</f>
        <v>1165.9946578672659</v>
      </c>
      <c r="T7" s="293">
        <f>S7-J7</f>
        <v>233.19893157345314</v>
      </c>
      <c r="U7" s="308">
        <f>T7/S7</f>
        <v>0.19999999999999996</v>
      </c>
      <c r="V7" s="293">
        <f>L7+L7*$V$6</f>
        <v>1174.1532561861322</v>
      </c>
      <c r="W7" s="293">
        <f>V7-L7</f>
        <v>116.35752989231946</v>
      </c>
      <c r="X7" s="308">
        <f>W7/S7</f>
        <v>9.9792506858608035E-2</v>
      </c>
      <c r="Z7" s="293">
        <f>V7+V7*Z$6</f>
        <v>1197.6363213098548</v>
      </c>
      <c r="AA7" s="293">
        <f>Z7-L7</f>
        <v>139.84059501604202</v>
      </c>
      <c r="AB7" s="308">
        <f>AA7/Z7</f>
        <v>0.11676382264617556</v>
      </c>
      <c r="AD7" s="299">
        <f>Z7</f>
        <v>1197.6363213098548</v>
      </c>
      <c r="AE7" s="130">
        <v>0.03</v>
      </c>
      <c r="AF7" s="302">
        <f>AD7*AE7</f>
        <v>35.92908963929564</v>
      </c>
      <c r="AG7" s="302">
        <f>AD7-AF7</f>
        <v>1161.7072316705592</v>
      </c>
      <c r="AH7" s="302">
        <f>AD7</f>
        <v>1197.6363213098548</v>
      </c>
      <c r="AI7" s="130">
        <v>0.05</v>
      </c>
      <c r="AJ7" s="302">
        <f>AH7*AI7</f>
        <v>59.881816065492742</v>
      </c>
      <c r="AK7" s="302">
        <f>AH7-AJ7</f>
        <v>1137.754505244362</v>
      </c>
      <c r="AL7" s="317">
        <f>AG7-H7</f>
        <v>1.7072316705591675</v>
      </c>
      <c r="AM7" s="318">
        <f>AK7-H7</f>
        <v>-22.245494755637992</v>
      </c>
    </row>
    <row r="8" spans="1:39" ht="16.5" outlineLevel="1">
      <c r="A8" s="225">
        <v>2</v>
      </c>
      <c r="B8" s="227" t="s">
        <v>11</v>
      </c>
      <c r="C8" s="227" t="s">
        <v>137</v>
      </c>
      <c r="D8" s="228"/>
      <c r="E8" s="230">
        <v>154879.75</v>
      </c>
      <c r="F8" s="230">
        <v>25300</v>
      </c>
      <c r="G8" s="230">
        <v>1190</v>
      </c>
      <c r="H8" s="231">
        <v>1190</v>
      </c>
      <c r="I8" s="232">
        <v>0</v>
      </c>
      <c r="J8" s="232">
        <f t="shared" ref="J8:J14" si="0">L8-K8</f>
        <v>932.79572629381278</v>
      </c>
      <c r="K8" s="232">
        <v>125</v>
      </c>
      <c r="L8" s="233">
        <v>1057.7957262938128</v>
      </c>
      <c r="M8" s="234">
        <v>132.20427370618722</v>
      </c>
      <c r="N8" s="235">
        <v>0.11109602832452707</v>
      </c>
      <c r="O8" s="236"/>
      <c r="P8" s="227"/>
      <c r="Q8" s="227"/>
      <c r="S8" s="293">
        <f t="shared" ref="S8:S14" si="1">J8+J8*$S$6</f>
        <v>1165.9946578672659</v>
      </c>
      <c r="T8" s="293">
        <f t="shared" ref="T8:T14" si="2">S8-J8</f>
        <v>233.19893157345314</v>
      </c>
      <c r="U8" s="308">
        <f t="shared" ref="U8:U14" si="3">T8/S8</f>
        <v>0.19999999999999996</v>
      </c>
      <c r="V8" s="293">
        <f t="shared" ref="V8:V14" si="4">L8+L8*$V$6</f>
        <v>1174.1532561861322</v>
      </c>
      <c r="W8" s="293">
        <f t="shared" ref="W8:W14" si="5">V8-L8</f>
        <v>116.35752989231946</v>
      </c>
      <c r="X8" s="308">
        <f t="shared" ref="X8:X14" si="6">W8/S8</f>
        <v>9.9792506858608035E-2</v>
      </c>
      <c r="Z8" s="293">
        <f>V8+V8*Z$6</f>
        <v>1197.6363213098548</v>
      </c>
      <c r="AA8" s="293">
        <f t="shared" ref="AA8:AA14" si="7">Z8-L8</f>
        <v>139.84059501604202</v>
      </c>
      <c r="AB8" s="308">
        <f t="shared" ref="AB8:AB14" si="8">AA8/Z8</f>
        <v>0.11676382264617556</v>
      </c>
      <c r="AD8" s="299">
        <f t="shared" ref="AD8:AD14" si="9">Z8</f>
        <v>1197.6363213098548</v>
      </c>
      <c r="AE8" s="130">
        <v>0.03</v>
      </c>
      <c r="AF8" s="302">
        <f t="shared" ref="AF8:AF14" si="10">AD8*AE8</f>
        <v>35.92908963929564</v>
      </c>
      <c r="AG8" s="302">
        <f t="shared" ref="AG8:AG14" si="11">AD8-AF8</f>
        <v>1161.7072316705592</v>
      </c>
      <c r="AH8" s="302">
        <f t="shared" ref="AH8:AH14" si="12">AD8</f>
        <v>1197.6363213098548</v>
      </c>
      <c r="AI8" s="130">
        <v>0.05</v>
      </c>
      <c r="AJ8" s="302">
        <f t="shared" ref="AJ8:AJ14" si="13">AH8*AI8</f>
        <v>59.881816065492742</v>
      </c>
      <c r="AK8" s="302">
        <f t="shared" ref="AK8:AK14" si="14">AH8-AJ8</f>
        <v>1137.754505244362</v>
      </c>
      <c r="AL8" s="317">
        <f t="shared" ref="AL8:AL14" si="15">AG8-H8</f>
        <v>-28.292768329440833</v>
      </c>
      <c r="AM8" s="318">
        <f t="shared" ref="AM8:AM14" si="16">AK8-H8</f>
        <v>-52.245494755637992</v>
      </c>
    </row>
    <row r="9" spans="1:39" ht="16.5" outlineLevel="1">
      <c r="A9" s="225">
        <v>3</v>
      </c>
      <c r="B9" s="227" t="s">
        <v>10</v>
      </c>
      <c r="C9" s="227" t="s">
        <v>139</v>
      </c>
      <c r="D9" s="228"/>
      <c r="E9" s="230">
        <v>788631.35</v>
      </c>
      <c r="F9" s="230">
        <v>616000</v>
      </c>
      <c r="G9" s="230">
        <v>1250</v>
      </c>
      <c r="H9" s="231">
        <v>1250</v>
      </c>
      <c r="I9" s="232">
        <v>0</v>
      </c>
      <c r="J9" s="232">
        <f t="shared" si="0"/>
        <v>988.77052589322125</v>
      </c>
      <c r="K9" s="232">
        <v>125</v>
      </c>
      <c r="L9" s="233">
        <v>1113.7705258932212</v>
      </c>
      <c r="M9" s="234">
        <v>136.22947410677875</v>
      </c>
      <c r="N9" s="235">
        <v>0.108983579285423</v>
      </c>
      <c r="O9" s="236"/>
      <c r="P9" s="227"/>
      <c r="Q9" s="227"/>
      <c r="S9" s="293">
        <f t="shared" si="1"/>
        <v>1235.9631573665265</v>
      </c>
      <c r="T9" s="293">
        <f t="shared" si="2"/>
        <v>247.19263147330525</v>
      </c>
      <c r="U9" s="308">
        <f t="shared" si="3"/>
        <v>0.19999999999999996</v>
      </c>
      <c r="V9" s="293">
        <f t="shared" si="4"/>
        <v>1236.2852837414755</v>
      </c>
      <c r="W9" s="293">
        <f t="shared" si="5"/>
        <v>122.51475784825425</v>
      </c>
      <c r="X9" s="308">
        <f t="shared" si="6"/>
        <v>9.912492708059123E-2</v>
      </c>
      <c r="Z9" s="293">
        <f t="shared" ref="Z9:Z14" si="17">V9+V9*Z$6</f>
        <v>1261.0109894163049</v>
      </c>
      <c r="AA9" s="293">
        <f t="shared" si="7"/>
        <v>147.24046352308369</v>
      </c>
      <c r="AB9" s="308">
        <f t="shared" si="8"/>
        <v>0.11676382264617548</v>
      </c>
      <c r="AD9" s="299">
        <f t="shared" si="9"/>
        <v>1261.0109894163049</v>
      </c>
      <c r="AE9" s="130">
        <v>0.03</v>
      </c>
      <c r="AF9" s="302">
        <f t="shared" si="10"/>
        <v>37.830329682489143</v>
      </c>
      <c r="AG9" s="302">
        <f t="shared" si="11"/>
        <v>1223.1806597338159</v>
      </c>
      <c r="AH9" s="302">
        <f t="shared" si="12"/>
        <v>1261.0109894163049</v>
      </c>
      <c r="AI9" s="130">
        <v>0.05</v>
      </c>
      <c r="AJ9" s="302">
        <f t="shared" si="13"/>
        <v>63.050549470815248</v>
      </c>
      <c r="AK9" s="302">
        <f t="shared" si="14"/>
        <v>1197.9604399454897</v>
      </c>
      <c r="AL9" s="317">
        <f t="shared" si="15"/>
        <v>-26.819340266184099</v>
      </c>
      <c r="AM9" s="318">
        <f t="shared" si="16"/>
        <v>-52.039560054510275</v>
      </c>
    </row>
    <row r="10" spans="1:39" ht="16.5" outlineLevel="1">
      <c r="A10" s="225">
        <v>4</v>
      </c>
      <c r="B10" s="227" t="s">
        <v>85</v>
      </c>
      <c r="C10" s="227" t="s">
        <v>86</v>
      </c>
      <c r="D10" s="228"/>
      <c r="E10" s="230">
        <v>1999804.7000000002</v>
      </c>
      <c r="F10" s="230">
        <v>244200</v>
      </c>
      <c r="G10" s="230">
        <v>1090</v>
      </c>
      <c r="H10" s="231">
        <v>1090</v>
      </c>
      <c r="I10" s="232">
        <v>0</v>
      </c>
      <c r="J10" s="232">
        <f t="shared" si="0"/>
        <v>932.79572629381278</v>
      </c>
      <c r="K10" s="232">
        <v>125</v>
      </c>
      <c r="L10" s="233">
        <v>1057.7957262938128</v>
      </c>
      <c r="M10" s="234">
        <v>32.204273706187223</v>
      </c>
      <c r="N10" s="235">
        <v>2.954520523503415E-2</v>
      </c>
      <c r="O10" s="236"/>
      <c r="P10" s="227"/>
      <c r="Q10" s="227"/>
      <c r="S10" s="293">
        <f t="shared" si="1"/>
        <v>1165.9946578672659</v>
      </c>
      <c r="T10" s="293">
        <f t="shared" si="2"/>
        <v>233.19893157345314</v>
      </c>
      <c r="U10" s="308">
        <f t="shared" si="3"/>
        <v>0.19999999999999996</v>
      </c>
      <c r="V10" s="293">
        <f t="shared" si="4"/>
        <v>1174.1532561861322</v>
      </c>
      <c r="W10" s="293">
        <f t="shared" si="5"/>
        <v>116.35752989231946</v>
      </c>
      <c r="X10" s="308">
        <f t="shared" si="6"/>
        <v>9.9792506858608035E-2</v>
      </c>
      <c r="Z10" s="293">
        <f t="shared" si="17"/>
        <v>1197.6363213098548</v>
      </c>
      <c r="AA10" s="293">
        <f t="shared" si="7"/>
        <v>139.84059501604202</v>
      </c>
      <c r="AB10" s="308">
        <f t="shared" si="8"/>
        <v>0.11676382264617556</v>
      </c>
      <c r="AD10" s="299">
        <f t="shared" si="9"/>
        <v>1197.6363213098548</v>
      </c>
      <c r="AE10" s="130">
        <v>0.03</v>
      </c>
      <c r="AF10" s="302">
        <f t="shared" si="10"/>
        <v>35.92908963929564</v>
      </c>
      <c r="AG10" s="302">
        <f t="shared" si="11"/>
        <v>1161.7072316705592</v>
      </c>
      <c r="AH10" s="302">
        <f t="shared" si="12"/>
        <v>1197.6363213098548</v>
      </c>
      <c r="AI10" s="130">
        <v>0.05</v>
      </c>
      <c r="AJ10" s="302">
        <f t="shared" si="13"/>
        <v>59.881816065492742</v>
      </c>
      <c r="AK10" s="302">
        <f t="shared" si="14"/>
        <v>1137.754505244362</v>
      </c>
      <c r="AL10" s="317">
        <f>AG10-H10</f>
        <v>71.707231670559167</v>
      </c>
      <c r="AM10" s="318">
        <f t="shared" si="16"/>
        <v>47.754505244362008</v>
      </c>
    </row>
    <row r="11" spans="1:39" ht="16.5" outlineLevel="1">
      <c r="A11" s="225">
        <v>5</v>
      </c>
      <c r="B11" s="227" t="s">
        <v>14</v>
      </c>
      <c r="C11" s="227" t="s">
        <v>135</v>
      </c>
      <c r="D11" s="228"/>
      <c r="E11" s="230">
        <v>378162</v>
      </c>
      <c r="F11" s="230">
        <v>0</v>
      </c>
      <c r="G11" s="237">
        <v>1320</v>
      </c>
      <c r="H11" s="238">
        <v>1320</v>
      </c>
      <c r="I11" s="232">
        <v>0</v>
      </c>
      <c r="J11" s="232">
        <f t="shared" si="0"/>
        <v>1030.3596491953047</v>
      </c>
      <c r="K11" s="232">
        <v>125</v>
      </c>
      <c r="L11" s="233">
        <v>1155.3596491953047</v>
      </c>
      <c r="M11" s="234">
        <v>164.64035080469534</v>
      </c>
      <c r="N11" s="235">
        <v>0.12472753848840556</v>
      </c>
      <c r="O11" s="239"/>
      <c r="P11" s="227" t="s">
        <v>222</v>
      </c>
      <c r="Q11" s="227"/>
      <c r="S11" s="293">
        <f t="shared" si="1"/>
        <v>1287.9495614941309</v>
      </c>
      <c r="T11" s="293">
        <f t="shared" si="2"/>
        <v>257.58991229882622</v>
      </c>
      <c r="U11" s="308">
        <f t="shared" si="3"/>
        <v>0.20000000000000004</v>
      </c>
      <c r="V11" s="293">
        <f t="shared" si="4"/>
        <v>1282.4492106067883</v>
      </c>
      <c r="W11" s="293">
        <f t="shared" si="5"/>
        <v>127.0895614114836</v>
      </c>
      <c r="X11" s="308">
        <f t="shared" si="6"/>
        <v>9.8675883909653192E-2</v>
      </c>
      <c r="Z11" s="293">
        <f t="shared" si="17"/>
        <v>1308.098194818924</v>
      </c>
      <c r="AA11" s="293">
        <f t="shared" si="7"/>
        <v>152.7385456236193</v>
      </c>
      <c r="AB11" s="308">
        <f t="shared" si="8"/>
        <v>0.1167638226461756</v>
      </c>
      <c r="AD11" s="299">
        <f t="shared" si="9"/>
        <v>1308.098194818924</v>
      </c>
      <c r="AE11" s="130">
        <v>0.03</v>
      </c>
      <c r="AF11" s="302">
        <f t="shared" si="10"/>
        <v>39.242945844567714</v>
      </c>
      <c r="AG11" s="302">
        <f t="shared" si="11"/>
        <v>1268.8552489743563</v>
      </c>
      <c r="AH11" s="302">
        <f t="shared" si="12"/>
        <v>1308.098194818924</v>
      </c>
      <c r="AI11" s="130">
        <v>0.05</v>
      </c>
      <c r="AJ11" s="302">
        <f t="shared" si="13"/>
        <v>65.404909740946195</v>
      </c>
      <c r="AK11" s="302">
        <f t="shared" si="14"/>
        <v>1242.6932850779779</v>
      </c>
      <c r="AL11" s="317">
        <f t="shared" si="15"/>
        <v>-51.1447510256437</v>
      </c>
      <c r="AM11" s="318">
        <f t="shared" si="16"/>
        <v>-77.306714922022138</v>
      </c>
    </row>
    <row r="12" spans="1:39" ht="16.5" outlineLevel="1">
      <c r="A12" s="225">
        <v>7</v>
      </c>
      <c r="B12" s="227" t="s">
        <v>223</v>
      </c>
      <c r="C12" s="227" t="s">
        <v>224</v>
      </c>
      <c r="D12" s="228"/>
      <c r="E12" s="230">
        <v>34030</v>
      </c>
      <c r="F12" s="230">
        <v>0</v>
      </c>
      <c r="G12" s="230">
        <v>1160</v>
      </c>
      <c r="H12" s="231">
        <v>1160</v>
      </c>
      <c r="I12" s="232">
        <v>0</v>
      </c>
      <c r="J12" s="232">
        <f t="shared" si="0"/>
        <v>881.56603773584902</v>
      </c>
      <c r="K12" s="232">
        <v>125</v>
      </c>
      <c r="L12" s="240">
        <v>1006.566037735849</v>
      </c>
      <c r="M12" s="234">
        <v>153.43396226415098</v>
      </c>
      <c r="N12" s="235">
        <v>0.13227065712426808</v>
      </c>
      <c r="O12" s="236"/>
      <c r="P12" s="227"/>
      <c r="Q12" s="227"/>
      <c r="S12" s="293">
        <f t="shared" si="1"/>
        <v>1101.9575471698113</v>
      </c>
      <c r="T12" s="293">
        <f t="shared" si="2"/>
        <v>220.39150943396226</v>
      </c>
      <c r="U12" s="308">
        <f t="shared" si="3"/>
        <v>0.2</v>
      </c>
      <c r="V12" s="293">
        <f t="shared" si="4"/>
        <v>1117.2883018867924</v>
      </c>
      <c r="W12" s="293">
        <f t="shared" si="5"/>
        <v>110.72226415094337</v>
      </c>
      <c r="X12" s="308">
        <f t="shared" si="6"/>
        <v>0.10047779466215781</v>
      </c>
      <c r="Z12" s="293">
        <f t="shared" si="17"/>
        <v>1139.6340679245282</v>
      </c>
      <c r="AA12" s="293">
        <f t="shared" si="7"/>
        <v>133.06803018867913</v>
      </c>
      <c r="AB12" s="308">
        <f t="shared" si="8"/>
        <v>0.11676382264617551</v>
      </c>
      <c r="AD12" s="299">
        <f t="shared" si="9"/>
        <v>1139.6340679245282</v>
      </c>
      <c r="AE12" s="130">
        <v>0.03</v>
      </c>
      <c r="AF12" s="302">
        <f t="shared" si="10"/>
        <v>34.189022037735846</v>
      </c>
      <c r="AG12" s="302">
        <f t="shared" si="11"/>
        <v>1105.4450458867923</v>
      </c>
      <c r="AH12" s="302">
        <f t="shared" si="12"/>
        <v>1139.6340679245282</v>
      </c>
      <c r="AI12" s="130">
        <v>0.05</v>
      </c>
      <c r="AJ12" s="302">
        <f t="shared" si="13"/>
        <v>56.981703396226408</v>
      </c>
      <c r="AK12" s="302">
        <f t="shared" si="14"/>
        <v>1082.6523645283019</v>
      </c>
      <c r="AL12" s="317">
        <f t="shared" si="15"/>
        <v>-54.554954113207714</v>
      </c>
      <c r="AM12" s="318">
        <f t="shared" si="16"/>
        <v>-77.34763547169814</v>
      </c>
    </row>
    <row r="13" spans="1:39" ht="16.5" outlineLevel="1">
      <c r="A13" s="225">
        <v>9</v>
      </c>
      <c r="B13" s="227" t="s">
        <v>225</v>
      </c>
      <c r="C13" s="227" t="s">
        <v>226</v>
      </c>
      <c r="D13" s="228"/>
      <c r="E13" s="230">
        <v>65840</v>
      </c>
      <c r="F13" s="230">
        <v>0</v>
      </c>
      <c r="G13" s="237">
        <v>1410</v>
      </c>
      <c r="H13" s="238">
        <v>690</v>
      </c>
      <c r="I13" s="234">
        <v>-720</v>
      </c>
      <c r="J13" s="232">
        <f t="shared" si="0"/>
        <v>1097.6415094339623</v>
      </c>
      <c r="K13" s="232">
        <v>125</v>
      </c>
      <c r="L13" s="241">
        <v>1222.6415094339623</v>
      </c>
      <c r="M13" s="234">
        <v>-532.64150943396226</v>
      </c>
      <c r="N13" s="235">
        <v>-0.7719442165709598</v>
      </c>
      <c r="O13" s="239"/>
      <c r="P13" s="227" t="s">
        <v>222</v>
      </c>
      <c r="Q13" s="227" t="s">
        <v>227</v>
      </c>
      <c r="S13" s="293">
        <f t="shared" si="1"/>
        <v>1372.0518867924529</v>
      </c>
      <c r="T13" s="293">
        <f t="shared" si="2"/>
        <v>274.41037735849068</v>
      </c>
      <c r="U13" s="308">
        <f t="shared" si="3"/>
        <v>0.20000000000000007</v>
      </c>
      <c r="V13" s="293">
        <f t="shared" si="4"/>
        <v>1357.132075471698</v>
      </c>
      <c r="W13" s="293">
        <f t="shared" si="5"/>
        <v>134.49056603773579</v>
      </c>
      <c r="X13" s="308">
        <f t="shared" si="6"/>
        <v>9.8021486892995224E-2</v>
      </c>
      <c r="Z13" s="293">
        <f t="shared" si="17"/>
        <v>1384.2747169811321</v>
      </c>
      <c r="AA13" s="293">
        <f t="shared" si="7"/>
        <v>161.63320754716983</v>
      </c>
      <c r="AB13" s="308">
        <f t="shared" si="8"/>
        <v>0.1167638226461756</v>
      </c>
      <c r="AD13" s="319">
        <f t="shared" si="9"/>
        <v>1384.2747169811321</v>
      </c>
      <c r="AE13" s="320">
        <v>0.03</v>
      </c>
      <c r="AF13" s="321">
        <f t="shared" si="10"/>
        <v>41.528241509433961</v>
      </c>
      <c r="AG13" s="321">
        <f t="shared" si="11"/>
        <v>1342.7464754716982</v>
      </c>
      <c r="AH13" s="321">
        <f t="shared" si="12"/>
        <v>1384.2747169811321</v>
      </c>
      <c r="AI13" s="320">
        <v>0.05</v>
      </c>
      <c r="AJ13" s="321">
        <f t="shared" si="13"/>
        <v>69.213735849056604</v>
      </c>
      <c r="AK13" s="321">
        <f t="shared" si="14"/>
        <v>1315.0609811320755</v>
      </c>
      <c r="AL13" s="317">
        <f t="shared" si="15"/>
        <v>652.7464754716982</v>
      </c>
      <c r="AM13" s="318">
        <f t="shared" si="16"/>
        <v>625.06098113207554</v>
      </c>
    </row>
    <row r="14" spans="1:39" ht="16.5" outlineLevel="1">
      <c r="A14" s="225">
        <v>10</v>
      </c>
      <c r="B14" s="226" t="s">
        <v>228</v>
      </c>
      <c r="C14" s="227" t="s">
        <v>229</v>
      </c>
      <c r="D14" s="228"/>
      <c r="E14" s="229">
        <v>32405.5</v>
      </c>
      <c r="F14" s="230">
        <v>6600</v>
      </c>
      <c r="G14" s="230">
        <v>1190</v>
      </c>
      <c r="H14" s="231">
        <v>1190</v>
      </c>
      <c r="I14" s="232">
        <v>0</v>
      </c>
      <c r="J14" s="232">
        <f t="shared" si="0"/>
        <v>992.16981132075466</v>
      </c>
      <c r="K14" s="232">
        <v>125</v>
      </c>
      <c r="L14" s="242">
        <v>1117.1698113207547</v>
      </c>
      <c r="M14" s="234">
        <v>72.830188679245339</v>
      </c>
      <c r="N14" s="235">
        <v>6.1201839226256584E-2</v>
      </c>
      <c r="O14" s="236"/>
      <c r="P14" s="227" t="s">
        <v>230</v>
      </c>
      <c r="Q14" s="227" t="s">
        <v>227</v>
      </c>
      <c r="S14" s="293">
        <f t="shared" si="1"/>
        <v>1240.2122641509434</v>
      </c>
      <c r="T14" s="293">
        <f t="shared" si="2"/>
        <v>248.04245283018872</v>
      </c>
      <c r="U14" s="308">
        <f t="shared" si="3"/>
        <v>0.20000000000000004</v>
      </c>
      <c r="V14" s="293">
        <f t="shared" si="4"/>
        <v>1240.0584905660376</v>
      </c>
      <c r="W14" s="293">
        <f t="shared" si="5"/>
        <v>122.8886792452829</v>
      </c>
      <c r="X14" s="308">
        <f t="shared" si="6"/>
        <v>9.9086811828468097E-2</v>
      </c>
      <c r="Z14" s="293">
        <f t="shared" si="17"/>
        <v>1264.8596603773583</v>
      </c>
      <c r="AA14" s="293">
        <f t="shared" si="7"/>
        <v>147.68984905660363</v>
      </c>
      <c r="AB14" s="308">
        <f t="shared" si="8"/>
        <v>0.11676382264617549</v>
      </c>
      <c r="AD14" s="299">
        <f t="shared" si="9"/>
        <v>1264.8596603773583</v>
      </c>
      <c r="AE14" s="130">
        <v>0.03</v>
      </c>
      <c r="AF14" s="302">
        <f t="shared" si="10"/>
        <v>37.945789811320751</v>
      </c>
      <c r="AG14" s="302">
        <f t="shared" si="11"/>
        <v>1226.9138705660375</v>
      </c>
      <c r="AH14" s="302">
        <f t="shared" si="12"/>
        <v>1264.8596603773583</v>
      </c>
      <c r="AI14" s="130">
        <v>0.05</v>
      </c>
      <c r="AJ14" s="302">
        <f t="shared" si="13"/>
        <v>63.242983018867918</v>
      </c>
      <c r="AK14" s="302">
        <f t="shared" si="14"/>
        <v>1201.6166773584903</v>
      </c>
      <c r="AL14" s="317">
        <f t="shared" si="15"/>
        <v>36.913870566037531</v>
      </c>
      <c r="AM14" s="318">
        <f t="shared" si="16"/>
        <v>11.616677358490278</v>
      </c>
    </row>
    <row r="15" spans="1:39" s="218" customFormat="1" ht="15.5">
      <c r="A15" s="219" t="s">
        <v>44</v>
      </c>
      <c r="B15" s="220" t="s">
        <v>231</v>
      </c>
      <c r="C15" s="220"/>
      <c r="D15" s="221"/>
      <c r="E15" s="243"/>
      <c r="F15" s="243"/>
      <c r="G15" s="243"/>
      <c r="H15" s="244"/>
      <c r="I15" s="245"/>
      <c r="J15" s="245"/>
      <c r="K15" s="245"/>
      <c r="L15" s="246"/>
      <c r="M15" s="245"/>
      <c r="N15" s="247"/>
      <c r="O15" s="248"/>
      <c r="P15" s="220"/>
      <c r="Q15" s="220"/>
      <c r="S15" s="296">
        <v>0.25</v>
      </c>
      <c r="V15" s="296">
        <v>0.11</v>
      </c>
    </row>
    <row r="16" spans="1:39" ht="16.5" outlineLevel="1">
      <c r="A16" s="225">
        <v>1</v>
      </c>
      <c r="B16" s="227" t="s">
        <v>90</v>
      </c>
      <c r="C16" s="227" t="s">
        <v>91</v>
      </c>
      <c r="D16" s="228"/>
      <c r="E16" s="230">
        <v>1649997</v>
      </c>
      <c r="F16" s="230">
        <v>0</v>
      </c>
      <c r="G16" s="230">
        <v>1190</v>
      </c>
      <c r="H16" s="231">
        <v>1190</v>
      </c>
      <c r="I16" s="232">
        <v>0</v>
      </c>
      <c r="J16" s="232">
        <f t="shared" ref="J16:J20" si="18">L16-K16</f>
        <v>932.79572629381278</v>
      </c>
      <c r="K16" s="232">
        <v>125</v>
      </c>
      <c r="L16" s="233">
        <v>1057.7957262938128</v>
      </c>
      <c r="M16" s="234">
        <v>132.20427370618722</v>
      </c>
      <c r="N16" s="235">
        <v>0.11109602832452707</v>
      </c>
      <c r="O16" s="236"/>
      <c r="P16" s="227" t="s">
        <v>232</v>
      </c>
      <c r="Q16" s="227"/>
      <c r="S16" s="293">
        <f>J16+J16*$S$15</f>
        <v>1165.9946578672659</v>
      </c>
      <c r="T16" s="293">
        <f>S16-J16</f>
        <v>233.19893157345314</v>
      </c>
      <c r="U16" s="308">
        <f>T16/S16</f>
        <v>0.19999999999999996</v>
      </c>
      <c r="V16" s="293">
        <f>L16+L16*$V$15</f>
        <v>1174.1532561861322</v>
      </c>
      <c r="W16" s="293">
        <f>V16-L16</f>
        <v>116.35752989231946</v>
      </c>
      <c r="X16" s="308">
        <f>W16/S16</f>
        <v>9.9792506858608035E-2</v>
      </c>
      <c r="Z16" s="293">
        <f t="shared" ref="Z16:Z20" si="19">V16+V16*Z$6</f>
        <v>1197.6363213098548</v>
      </c>
      <c r="AA16" s="293">
        <f t="shared" ref="AA16:AA20" si="20">Z16-L16</f>
        <v>139.84059501604202</v>
      </c>
      <c r="AB16" s="308">
        <f t="shared" ref="AB16:AB20" si="21">AA16/Z16</f>
        <v>0.11676382264617556</v>
      </c>
      <c r="AD16" s="299">
        <f t="shared" ref="AD16:AD20" si="22">Z16</f>
        <v>1197.6363213098548</v>
      </c>
      <c r="AE16" s="130">
        <v>0.03</v>
      </c>
      <c r="AF16" s="302">
        <f t="shared" ref="AF16:AF20" si="23">AD16*AE16</f>
        <v>35.92908963929564</v>
      </c>
      <c r="AG16" s="302">
        <f t="shared" ref="AG16:AG20" si="24">AD16-AF16</f>
        <v>1161.7072316705592</v>
      </c>
      <c r="AH16" s="302">
        <f t="shared" ref="AH16:AH20" si="25">AD16</f>
        <v>1197.6363213098548</v>
      </c>
      <c r="AI16" s="130">
        <v>0.05</v>
      </c>
      <c r="AJ16" s="302">
        <f t="shared" ref="AJ16:AJ20" si="26">AH16*AI16</f>
        <v>59.881816065492742</v>
      </c>
      <c r="AK16" s="302">
        <f t="shared" ref="AK16:AK20" si="27">AH16-AJ16</f>
        <v>1137.754505244362</v>
      </c>
      <c r="AL16" s="317">
        <f t="shared" ref="AL16:AL20" si="28">AG16-H16</f>
        <v>-28.292768329440833</v>
      </c>
      <c r="AM16" s="318">
        <f t="shared" ref="AM16:AM20" si="29">AK16-H16</f>
        <v>-52.245494755637992</v>
      </c>
    </row>
    <row r="17" spans="1:39" ht="16.5" outlineLevel="1">
      <c r="A17" s="225">
        <v>2</v>
      </c>
      <c r="B17" s="227" t="s">
        <v>92</v>
      </c>
      <c r="C17" s="227" t="s">
        <v>93</v>
      </c>
      <c r="D17" s="228"/>
      <c r="E17" s="230">
        <v>287099.5</v>
      </c>
      <c r="F17" s="230">
        <v>11000</v>
      </c>
      <c r="G17" s="230">
        <v>1160</v>
      </c>
      <c r="H17" s="231">
        <v>1160</v>
      </c>
      <c r="I17" s="232">
        <v>0</v>
      </c>
      <c r="J17" s="232">
        <f t="shared" si="18"/>
        <v>932.79572629381278</v>
      </c>
      <c r="K17" s="232">
        <v>125</v>
      </c>
      <c r="L17" s="233">
        <v>1057.7957262938128</v>
      </c>
      <c r="M17" s="234">
        <v>102.20427370618722</v>
      </c>
      <c r="N17" s="235">
        <v>8.8107132505333807E-2</v>
      </c>
      <c r="O17" s="236"/>
      <c r="P17" s="227" t="s">
        <v>233</v>
      </c>
      <c r="Q17" s="227"/>
      <c r="S17" s="293">
        <f t="shared" ref="S17:S20" si="30">J17+J17*$S$15</f>
        <v>1165.9946578672659</v>
      </c>
      <c r="T17" s="293">
        <f t="shared" ref="T17:T20" si="31">S17-J17</f>
        <v>233.19893157345314</v>
      </c>
      <c r="U17" s="308">
        <f t="shared" ref="U17:U20" si="32">T17/S17</f>
        <v>0.19999999999999996</v>
      </c>
      <c r="V17" s="293">
        <f t="shared" ref="V17:V20" si="33">L17+L17*$V$15</f>
        <v>1174.1532561861322</v>
      </c>
      <c r="W17" s="293">
        <f t="shared" ref="W17:W20" si="34">V17-L17</f>
        <v>116.35752989231946</v>
      </c>
      <c r="X17" s="308">
        <f t="shared" ref="X17:X20" si="35">W17/S17</f>
        <v>9.9792506858608035E-2</v>
      </c>
      <c r="Z17" s="293">
        <f t="shared" si="19"/>
        <v>1197.6363213098548</v>
      </c>
      <c r="AA17" s="293">
        <f t="shared" si="20"/>
        <v>139.84059501604202</v>
      </c>
      <c r="AB17" s="308">
        <f t="shared" si="21"/>
        <v>0.11676382264617556</v>
      </c>
      <c r="AD17" s="299">
        <f t="shared" si="22"/>
        <v>1197.6363213098548</v>
      </c>
      <c r="AE17" s="130">
        <v>0.03</v>
      </c>
      <c r="AF17" s="302">
        <f t="shared" si="23"/>
        <v>35.92908963929564</v>
      </c>
      <c r="AG17" s="302">
        <f t="shared" si="24"/>
        <v>1161.7072316705592</v>
      </c>
      <c r="AH17" s="302">
        <f t="shared" si="25"/>
        <v>1197.6363213098548</v>
      </c>
      <c r="AI17" s="130">
        <v>0.05</v>
      </c>
      <c r="AJ17" s="302">
        <f t="shared" si="26"/>
        <v>59.881816065492742</v>
      </c>
      <c r="AK17" s="302">
        <f t="shared" si="27"/>
        <v>1137.754505244362</v>
      </c>
      <c r="AL17" s="317">
        <f t="shared" si="28"/>
        <v>1.7072316705591675</v>
      </c>
      <c r="AM17" s="318">
        <f t="shared" si="29"/>
        <v>-22.245494755637992</v>
      </c>
    </row>
    <row r="18" spans="1:39" ht="16.5" outlineLevel="1">
      <c r="A18" s="225">
        <v>3</v>
      </c>
      <c r="B18" s="227" t="s">
        <v>234</v>
      </c>
      <c r="C18" s="227" t="s">
        <v>235</v>
      </c>
      <c r="D18" s="228"/>
      <c r="E18" s="230">
        <v>52800</v>
      </c>
      <c r="F18" s="230">
        <v>0</v>
      </c>
      <c r="G18" s="230"/>
      <c r="H18" s="231"/>
      <c r="I18" s="232">
        <v>0</v>
      </c>
      <c r="J18" s="232">
        <f t="shared" si="18"/>
        <v>984.28301886792451</v>
      </c>
      <c r="K18" s="232">
        <v>125</v>
      </c>
      <c r="L18" s="233">
        <v>1109.2830188679245</v>
      </c>
      <c r="M18" s="234"/>
      <c r="N18" s="235"/>
      <c r="O18" s="236"/>
      <c r="P18" s="250" t="s">
        <v>236</v>
      </c>
      <c r="Q18" s="227" t="s">
        <v>227</v>
      </c>
      <c r="S18" s="323">
        <f t="shared" si="30"/>
        <v>1230.3537735849056</v>
      </c>
      <c r="T18" s="323">
        <f t="shared" si="31"/>
        <v>246.07075471698113</v>
      </c>
      <c r="U18" s="324">
        <f t="shared" si="32"/>
        <v>0.2</v>
      </c>
      <c r="V18" s="323">
        <f t="shared" si="33"/>
        <v>1231.3041509433963</v>
      </c>
      <c r="W18" s="323">
        <f t="shared" si="34"/>
        <v>122.02113207547177</v>
      </c>
      <c r="X18" s="324">
        <f t="shared" si="35"/>
        <v>9.9175647439952525E-2</v>
      </c>
      <c r="Y18" s="306"/>
      <c r="Z18" s="323">
        <f t="shared" si="19"/>
        <v>1255.9302339622643</v>
      </c>
      <c r="AA18" s="323">
        <f t="shared" si="20"/>
        <v>146.6472150943398</v>
      </c>
      <c r="AB18" s="324">
        <f t="shared" si="21"/>
        <v>0.11676382264617571</v>
      </c>
      <c r="AC18" s="306"/>
      <c r="AD18" s="319">
        <f t="shared" si="22"/>
        <v>1255.9302339622643</v>
      </c>
      <c r="AE18" s="320">
        <v>0.03</v>
      </c>
      <c r="AF18" s="321">
        <f t="shared" si="23"/>
        <v>37.677907018867927</v>
      </c>
      <c r="AG18" s="321">
        <f t="shared" si="24"/>
        <v>1218.2523269433964</v>
      </c>
      <c r="AH18" s="321">
        <f t="shared" si="25"/>
        <v>1255.9302339622643</v>
      </c>
      <c r="AI18" s="320">
        <v>0.05</v>
      </c>
      <c r="AJ18" s="321">
        <f t="shared" si="26"/>
        <v>62.796511698113221</v>
      </c>
      <c r="AK18" s="321">
        <f t="shared" si="27"/>
        <v>1193.1337222641512</v>
      </c>
      <c r="AL18" s="317">
        <f t="shared" si="28"/>
        <v>1218.2523269433964</v>
      </c>
      <c r="AM18" s="318">
        <f t="shared" si="29"/>
        <v>1193.1337222641512</v>
      </c>
    </row>
    <row r="19" spans="1:39" ht="16.5" outlineLevel="1">
      <c r="A19" s="225">
        <v>6</v>
      </c>
      <c r="B19" s="249" t="s">
        <v>237</v>
      </c>
      <c r="C19" s="227" t="s">
        <v>238</v>
      </c>
      <c r="D19" s="228"/>
      <c r="E19" s="230">
        <v>73650</v>
      </c>
      <c r="F19" s="230">
        <v>0</v>
      </c>
      <c r="G19" s="230"/>
      <c r="H19" s="231"/>
      <c r="I19" s="232">
        <v>0</v>
      </c>
      <c r="J19" s="232">
        <f t="shared" si="18"/>
        <v>917.18867924528308</v>
      </c>
      <c r="K19" s="232">
        <v>125</v>
      </c>
      <c r="L19" s="240">
        <v>1042.1886792452831</v>
      </c>
      <c r="M19" s="234"/>
      <c r="N19" s="235"/>
      <c r="O19" s="236"/>
      <c r="P19" s="250" t="s">
        <v>236</v>
      </c>
      <c r="Q19" s="227" t="s">
        <v>227</v>
      </c>
      <c r="S19" s="323">
        <f t="shared" si="30"/>
        <v>1146.4858490566039</v>
      </c>
      <c r="T19" s="323">
        <f t="shared" si="31"/>
        <v>229.29716981132083</v>
      </c>
      <c r="U19" s="324">
        <f t="shared" si="32"/>
        <v>0.20000000000000004</v>
      </c>
      <c r="V19" s="323">
        <f t="shared" si="33"/>
        <v>1156.8294339622641</v>
      </c>
      <c r="W19" s="323">
        <f t="shared" si="34"/>
        <v>114.64075471698106</v>
      </c>
      <c r="X19" s="324">
        <f t="shared" si="35"/>
        <v>9.9993170270103404E-2</v>
      </c>
      <c r="Y19" s="306"/>
      <c r="Z19" s="323">
        <f t="shared" si="19"/>
        <v>1179.9660226415094</v>
      </c>
      <c r="AA19" s="323">
        <f t="shared" si="20"/>
        <v>137.77734339622634</v>
      </c>
      <c r="AB19" s="324">
        <f t="shared" si="21"/>
        <v>0.11676382264617553</v>
      </c>
      <c r="AC19" s="306"/>
      <c r="AD19" s="319">
        <f t="shared" si="22"/>
        <v>1179.9660226415094</v>
      </c>
      <c r="AE19" s="320">
        <v>0.03</v>
      </c>
      <c r="AF19" s="321">
        <f t="shared" si="23"/>
        <v>35.398980679245284</v>
      </c>
      <c r="AG19" s="321">
        <f t="shared" si="24"/>
        <v>1144.5670419622641</v>
      </c>
      <c r="AH19" s="321">
        <f t="shared" si="25"/>
        <v>1179.9660226415094</v>
      </c>
      <c r="AI19" s="320">
        <v>0.05</v>
      </c>
      <c r="AJ19" s="321">
        <f t="shared" si="26"/>
        <v>58.998301132075476</v>
      </c>
      <c r="AK19" s="321">
        <f t="shared" si="27"/>
        <v>1120.9677215094339</v>
      </c>
      <c r="AL19" s="317">
        <f t="shared" si="28"/>
        <v>1144.5670419622641</v>
      </c>
      <c r="AM19" s="318">
        <f t="shared" si="29"/>
        <v>1120.9677215094339</v>
      </c>
    </row>
    <row r="20" spans="1:39" ht="16.5" outlineLevel="1">
      <c r="A20" s="225">
        <v>8</v>
      </c>
      <c r="B20" s="226" t="s">
        <v>87</v>
      </c>
      <c r="C20" s="227" t="s">
        <v>42</v>
      </c>
      <c r="D20" s="228"/>
      <c r="E20" s="230">
        <v>800</v>
      </c>
      <c r="F20" s="230">
        <v>0</v>
      </c>
      <c r="G20" s="230"/>
      <c r="H20" s="231"/>
      <c r="I20" s="232">
        <v>0</v>
      </c>
      <c r="J20" s="232">
        <f t="shared" si="18"/>
        <v>1051.2641509433963</v>
      </c>
      <c r="K20" s="232">
        <v>125</v>
      </c>
      <c r="L20" s="233">
        <v>1176.2641509433963</v>
      </c>
      <c r="M20" s="234"/>
      <c r="N20" s="235"/>
      <c r="O20" s="236"/>
      <c r="P20" s="250" t="s">
        <v>239</v>
      </c>
      <c r="Q20" s="227" t="s">
        <v>227</v>
      </c>
      <c r="S20" s="323">
        <f t="shared" si="30"/>
        <v>1314.0801886792453</v>
      </c>
      <c r="T20" s="323">
        <f t="shared" si="31"/>
        <v>262.81603773584902</v>
      </c>
      <c r="U20" s="324">
        <f t="shared" si="32"/>
        <v>0.19999999999999996</v>
      </c>
      <c r="V20" s="323">
        <f t="shared" si="33"/>
        <v>1305.6532075471698</v>
      </c>
      <c r="W20" s="323">
        <f t="shared" si="34"/>
        <v>129.3890566037735</v>
      </c>
      <c r="X20" s="324">
        <f t="shared" si="35"/>
        <v>9.8463592799325095E-2</v>
      </c>
      <c r="Y20" s="306"/>
      <c r="Z20" s="323">
        <f t="shared" si="19"/>
        <v>1331.7662716981133</v>
      </c>
      <c r="AA20" s="323">
        <f t="shared" si="20"/>
        <v>155.502120754717</v>
      </c>
      <c r="AB20" s="324">
        <f t="shared" si="21"/>
        <v>0.11676382264617559</v>
      </c>
      <c r="AC20" s="306"/>
      <c r="AD20" s="319">
        <f t="shared" si="22"/>
        <v>1331.7662716981133</v>
      </c>
      <c r="AE20" s="320">
        <v>0.03</v>
      </c>
      <c r="AF20" s="321">
        <f t="shared" si="23"/>
        <v>39.952988150943398</v>
      </c>
      <c r="AG20" s="321">
        <f t="shared" si="24"/>
        <v>1291.8132835471699</v>
      </c>
      <c r="AH20" s="321">
        <f t="shared" si="25"/>
        <v>1331.7662716981133</v>
      </c>
      <c r="AI20" s="320">
        <v>0.05</v>
      </c>
      <c r="AJ20" s="321">
        <f t="shared" si="26"/>
        <v>66.588313584905663</v>
      </c>
      <c r="AK20" s="321">
        <f t="shared" si="27"/>
        <v>1265.1779581132078</v>
      </c>
      <c r="AL20" s="317">
        <f t="shared" si="28"/>
        <v>1291.8132835471699</v>
      </c>
      <c r="AM20" s="318">
        <f t="shared" si="29"/>
        <v>1265.1779581132078</v>
      </c>
    </row>
    <row r="21" spans="1:39" s="218" customFormat="1" ht="15.5">
      <c r="A21" s="219" t="s">
        <v>181</v>
      </c>
      <c r="B21" s="220" t="s">
        <v>240</v>
      </c>
      <c r="C21" s="220"/>
      <c r="D21" s="221"/>
      <c r="E21" s="243"/>
      <c r="F21" s="243"/>
      <c r="G21" s="243"/>
      <c r="H21" s="244"/>
      <c r="I21" s="245"/>
      <c r="J21" s="245"/>
      <c r="K21" s="245"/>
      <c r="L21" s="246"/>
      <c r="M21" s="245"/>
      <c r="N21" s="247"/>
      <c r="O21" s="248"/>
      <c r="P21" s="220"/>
      <c r="Q21" s="220"/>
      <c r="S21" s="296">
        <v>0.25</v>
      </c>
      <c r="V21" s="296">
        <v>0.11</v>
      </c>
    </row>
    <row r="22" spans="1:39" ht="16.5" outlineLevel="1">
      <c r="A22" s="225">
        <v>1</v>
      </c>
      <c r="B22" s="227" t="s">
        <v>241</v>
      </c>
      <c r="C22" s="227" t="s">
        <v>99</v>
      </c>
      <c r="D22" s="228"/>
      <c r="E22" s="230">
        <v>16099</v>
      </c>
      <c r="F22" s="230">
        <v>0</v>
      </c>
      <c r="G22" s="230">
        <v>770</v>
      </c>
      <c r="H22" s="231">
        <v>770</v>
      </c>
      <c r="I22" s="232">
        <v>0</v>
      </c>
      <c r="J22" s="232">
        <f t="shared" ref="J22:J29" si="36">L22-K22</f>
        <v>728</v>
      </c>
      <c r="K22" s="232">
        <v>125</v>
      </c>
      <c r="L22" s="233">
        <v>853</v>
      </c>
      <c r="M22" s="234">
        <v>-83</v>
      </c>
      <c r="N22" s="235">
        <v>-0.10779220779220779</v>
      </c>
      <c r="O22" s="236"/>
      <c r="P22" s="227"/>
      <c r="Q22" s="227" t="s">
        <v>242</v>
      </c>
      <c r="S22" s="293">
        <f>J22+J22*$S$21</f>
        <v>910</v>
      </c>
      <c r="T22" s="293">
        <f t="shared" ref="T22" si="37">S22-J22</f>
        <v>182</v>
      </c>
      <c r="U22" s="308">
        <f t="shared" ref="U22" si="38">T22/S22</f>
        <v>0.2</v>
      </c>
      <c r="V22" s="293">
        <f>L22+L22*$V$21</f>
        <v>946.83</v>
      </c>
      <c r="W22" s="293">
        <f t="shared" ref="W22" si="39">V22-L22</f>
        <v>93.830000000000041</v>
      </c>
      <c r="X22" s="308">
        <f t="shared" ref="X22" si="40">W22/S22</f>
        <v>0.10310989010989015</v>
      </c>
      <c r="Z22" s="293">
        <f t="shared" ref="Z22:Z29" si="41">V22+V22*Z$6</f>
        <v>965.76660000000004</v>
      </c>
      <c r="AA22" s="293">
        <f t="shared" ref="AA22:AA29" si="42">Z22-L22</f>
        <v>112.76660000000004</v>
      </c>
      <c r="AB22" s="308">
        <f t="shared" ref="AB22:AB29" si="43">AA22/Z22</f>
        <v>0.11676382264617563</v>
      </c>
      <c r="AD22" s="299">
        <f t="shared" ref="AD22:AD29" si="44">Z22</f>
        <v>965.76660000000004</v>
      </c>
      <c r="AE22" s="130">
        <v>0.03</v>
      </c>
      <c r="AF22" s="302">
        <f t="shared" ref="AF22:AF29" si="45">AD22*AE22</f>
        <v>28.972998</v>
      </c>
      <c r="AG22" s="302">
        <f t="shared" ref="AG22:AG29" si="46">AD22-AF22</f>
        <v>936.79360200000008</v>
      </c>
      <c r="AH22" s="302">
        <f t="shared" ref="AH22:AH29" si="47">AD22</f>
        <v>965.76660000000004</v>
      </c>
      <c r="AI22" s="130">
        <v>0.05</v>
      </c>
      <c r="AJ22" s="302">
        <f t="shared" ref="AJ22:AJ29" si="48">AH22*AI22</f>
        <v>48.288330000000002</v>
      </c>
      <c r="AK22" s="302">
        <f t="shared" ref="AK22:AK29" si="49">AH22-AJ22</f>
        <v>917.47827000000007</v>
      </c>
      <c r="AL22" s="317">
        <f t="shared" ref="AL22:AL29" si="50">AG22-H22</f>
        <v>166.79360200000008</v>
      </c>
      <c r="AM22" s="318">
        <f t="shared" ref="AM22:AM29" si="51">AK22-H22</f>
        <v>147.47827000000007</v>
      </c>
    </row>
    <row r="23" spans="1:39" ht="16.5" outlineLevel="1">
      <c r="A23" s="225">
        <v>2</v>
      </c>
      <c r="B23" s="227" t="s">
        <v>243</v>
      </c>
      <c r="C23" s="227" t="s">
        <v>97</v>
      </c>
      <c r="D23" s="228"/>
      <c r="E23" s="230">
        <v>570335.69999999995</v>
      </c>
      <c r="F23" s="230">
        <v>23100</v>
      </c>
      <c r="G23" s="230">
        <v>720</v>
      </c>
      <c r="H23" s="231">
        <v>720</v>
      </c>
      <c r="I23" s="232">
        <v>0</v>
      </c>
      <c r="J23" s="232">
        <f t="shared" si="36"/>
        <v>755</v>
      </c>
      <c r="K23" s="232">
        <v>125</v>
      </c>
      <c r="L23" s="233">
        <v>880</v>
      </c>
      <c r="M23" s="234">
        <v>-160</v>
      </c>
      <c r="N23" s="235">
        <v>-0.22222222222222221</v>
      </c>
      <c r="O23" s="236"/>
      <c r="P23" s="227"/>
      <c r="Q23" s="227" t="s">
        <v>244</v>
      </c>
      <c r="S23" s="293">
        <f t="shared" ref="S23:S29" si="52">J23+J23*$S$21</f>
        <v>943.75</v>
      </c>
      <c r="T23" s="293">
        <f t="shared" ref="T23:T29" si="53">S23-J23</f>
        <v>188.75</v>
      </c>
      <c r="U23" s="308">
        <f t="shared" ref="U23:U29" si="54">T23/S23</f>
        <v>0.2</v>
      </c>
      <c r="V23" s="293">
        <f t="shared" ref="V23:V29" si="55">L23+L23*$V$21</f>
        <v>976.8</v>
      </c>
      <c r="W23" s="293">
        <f t="shared" ref="W23:W29" si="56">V23-L23</f>
        <v>96.799999999999955</v>
      </c>
      <c r="X23" s="308">
        <f t="shared" ref="X23:X29" si="57">W23/S23</f>
        <v>0.10256953642384101</v>
      </c>
      <c r="Z23" s="293">
        <f t="shared" si="41"/>
        <v>996.3359999999999</v>
      </c>
      <c r="AA23" s="293">
        <f t="shared" si="42"/>
        <v>116.3359999999999</v>
      </c>
      <c r="AB23" s="308">
        <f t="shared" si="43"/>
        <v>0.11676382264617549</v>
      </c>
      <c r="AD23" s="299">
        <f t="shared" si="44"/>
        <v>996.3359999999999</v>
      </c>
      <c r="AE23" s="130">
        <v>0.03</v>
      </c>
      <c r="AF23" s="302">
        <f t="shared" si="45"/>
        <v>29.890079999999998</v>
      </c>
      <c r="AG23" s="302">
        <f t="shared" si="46"/>
        <v>966.44591999999989</v>
      </c>
      <c r="AH23" s="302">
        <f t="shared" si="47"/>
        <v>996.3359999999999</v>
      </c>
      <c r="AI23" s="130">
        <v>0.05</v>
      </c>
      <c r="AJ23" s="302">
        <f t="shared" si="48"/>
        <v>49.816800000000001</v>
      </c>
      <c r="AK23" s="302">
        <f t="shared" si="49"/>
        <v>946.51919999999996</v>
      </c>
      <c r="AL23" s="317">
        <f t="shared" si="50"/>
        <v>246.44591999999989</v>
      </c>
      <c r="AM23" s="318">
        <f t="shared" si="51"/>
        <v>226.51919999999996</v>
      </c>
    </row>
    <row r="24" spans="1:39" ht="16.5" outlineLevel="1">
      <c r="A24" s="225">
        <v>2</v>
      </c>
      <c r="B24" s="227" t="s">
        <v>89</v>
      </c>
      <c r="C24" s="250" t="s">
        <v>103</v>
      </c>
      <c r="D24" s="228"/>
      <c r="E24" s="230">
        <v>4514.7</v>
      </c>
      <c r="F24" s="230">
        <v>0</v>
      </c>
      <c r="G24" s="230">
        <v>1030</v>
      </c>
      <c r="H24" s="231">
        <v>1030</v>
      </c>
      <c r="I24" s="232">
        <v>0</v>
      </c>
      <c r="J24" s="232">
        <f t="shared" si="36"/>
        <v>392</v>
      </c>
      <c r="K24" s="232">
        <v>125</v>
      </c>
      <c r="L24" s="233">
        <v>517</v>
      </c>
      <c r="M24" s="234">
        <v>513</v>
      </c>
      <c r="N24" s="235">
        <v>0.49805825242718449</v>
      </c>
      <c r="O24" s="236"/>
      <c r="P24" s="227"/>
      <c r="Q24" s="227" t="s">
        <v>245</v>
      </c>
      <c r="S24" s="293">
        <f t="shared" si="52"/>
        <v>490</v>
      </c>
      <c r="T24" s="293">
        <f t="shared" si="53"/>
        <v>98</v>
      </c>
      <c r="U24" s="308">
        <f t="shared" si="54"/>
        <v>0.2</v>
      </c>
      <c r="V24" s="293">
        <f t="shared" si="55"/>
        <v>573.87</v>
      </c>
      <c r="W24" s="293">
        <f t="shared" si="56"/>
        <v>56.870000000000005</v>
      </c>
      <c r="X24" s="308">
        <f t="shared" si="57"/>
        <v>0.11606122448979593</v>
      </c>
      <c r="Z24" s="293">
        <f t="shared" si="41"/>
        <v>585.34739999999999</v>
      </c>
      <c r="AA24" s="293">
        <f t="shared" si="42"/>
        <v>68.347399999999993</v>
      </c>
      <c r="AB24" s="308">
        <f t="shared" si="43"/>
        <v>0.11676382264617557</v>
      </c>
      <c r="AD24" s="299">
        <f t="shared" si="44"/>
        <v>585.34739999999999</v>
      </c>
      <c r="AE24" s="130">
        <v>0.03</v>
      </c>
      <c r="AF24" s="302">
        <f t="shared" si="45"/>
        <v>17.560421999999999</v>
      </c>
      <c r="AG24" s="302">
        <f t="shared" si="46"/>
        <v>567.78697799999998</v>
      </c>
      <c r="AH24" s="302">
        <f t="shared" si="47"/>
        <v>585.34739999999999</v>
      </c>
      <c r="AI24" s="130">
        <v>0.05</v>
      </c>
      <c r="AJ24" s="302">
        <f t="shared" si="48"/>
        <v>29.26737</v>
      </c>
      <c r="AK24" s="302">
        <f t="shared" si="49"/>
        <v>556.08002999999997</v>
      </c>
      <c r="AL24" s="317">
        <f t="shared" si="50"/>
        <v>-462.21302200000002</v>
      </c>
      <c r="AM24" s="318">
        <f t="shared" si="51"/>
        <v>-473.91997000000003</v>
      </c>
    </row>
    <row r="25" spans="1:39" ht="16.5" outlineLevel="1">
      <c r="A25" s="225">
        <v>3</v>
      </c>
      <c r="B25" s="227" t="s">
        <v>246</v>
      </c>
      <c r="C25" s="227" t="s">
        <v>247</v>
      </c>
      <c r="D25" s="228"/>
      <c r="E25" s="230">
        <v>171597.5</v>
      </c>
      <c r="F25" s="230">
        <v>0</v>
      </c>
      <c r="G25" s="230"/>
      <c r="H25" s="231"/>
      <c r="I25" s="232">
        <v>0</v>
      </c>
      <c r="J25" s="232">
        <f t="shared" si="36"/>
        <v>-125</v>
      </c>
      <c r="K25" s="232">
        <v>125</v>
      </c>
      <c r="L25" s="233"/>
      <c r="M25" s="234"/>
      <c r="N25" s="235"/>
      <c r="O25" s="236"/>
      <c r="P25" s="227"/>
      <c r="Q25" s="227" t="s">
        <v>248</v>
      </c>
      <c r="S25" s="293">
        <f>J25+J25*$S$21</f>
        <v>-156.25</v>
      </c>
      <c r="T25" s="293">
        <f t="shared" si="53"/>
        <v>-31.25</v>
      </c>
      <c r="U25" s="308">
        <f t="shared" si="54"/>
        <v>0.2</v>
      </c>
      <c r="V25" s="293">
        <f t="shared" si="55"/>
        <v>0</v>
      </c>
      <c r="W25" s="293">
        <f t="shared" si="56"/>
        <v>0</v>
      </c>
      <c r="X25" s="308">
        <f t="shared" si="57"/>
        <v>0</v>
      </c>
      <c r="Z25" s="293">
        <f t="shared" si="41"/>
        <v>0</v>
      </c>
      <c r="AA25" s="293">
        <f t="shared" si="42"/>
        <v>0</v>
      </c>
      <c r="AB25" s="308" t="e">
        <f t="shared" si="43"/>
        <v>#DIV/0!</v>
      </c>
      <c r="AD25" s="299">
        <f t="shared" si="44"/>
        <v>0</v>
      </c>
      <c r="AE25" s="130">
        <v>0.03</v>
      </c>
      <c r="AF25" s="302">
        <f t="shared" si="45"/>
        <v>0</v>
      </c>
      <c r="AG25" s="302">
        <f t="shared" si="46"/>
        <v>0</v>
      </c>
      <c r="AH25" s="302">
        <f t="shared" si="47"/>
        <v>0</v>
      </c>
      <c r="AI25" s="130">
        <v>0.05</v>
      </c>
      <c r="AJ25" s="302">
        <f t="shared" si="48"/>
        <v>0</v>
      </c>
      <c r="AK25" s="302">
        <f t="shared" si="49"/>
        <v>0</v>
      </c>
      <c r="AL25" s="317">
        <f t="shared" si="50"/>
        <v>0</v>
      </c>
      <c r="AM25" s="318">
        <f t="shared" si="51"/>
        <v>0</v>
      </c>
    </row>
    <row r="26" spans="1:39" ht="16.5" outlineLevel="1">
      <c r="A26" s="225">
        <v>3</v>
      </c>
      <c r="B26" s="227" t="s">
        <v>88</v>
      </c>
      <c r="C26" s="227" t="s">
        <v>102</v>
      </c>
      <c r="D26" s="228"/>
      <c r="E26" s="230">
        <v>68711.600000000006</v>
      </c>
      <c r="F26" s="230">
        <v>-17600</v>
      </c>
      <c r="G26" s="230">
        <v>1030</v>
      </c>
      <c r="H26" s="231">
        <v>1030</v>
      </c>
      <c r="I26" s="232">
        <v>0</v>
      </c>
      <c r="J26" s="232">
        <f t="shared" si="36"/>
        <v>454</v>
      </c>
      <c r="K26" s="232">
        <v>125</v>
      </c>
      <c r="L26" s="233">
        <v>579</v>
      </c>
      <c r="M26" s="234">
        <v>451</v>
      </c>
      <c r="N26" s="235">
        <v>0.43786407766990293</v>
      </c>
      <c r="O26" s="236"/>
      <c r="P26" s="227"/>
      <c r="Q26" s="227" t="s">
        <v>249</v>
      </c>
      <c r="S26" s="293">
        <f t="shared" si="52"/>
        <v>567.5</v>
      </c>
      <c r="T26" s="293">
        <f t="shared" si="53"/>
        <v>113.5</v>
      </c>
      <c r="U26" s="308">
        <f t="shared" si="54"/>
        <v>0.2</v>
      </c>
      <c r="V26" s="293">
        <f t="shared" si="55"/>
        <v>642.69000000000005</v>
      </c>
      <c r="W26" s="293">
        <f t="shared" si="56"/>
        <v>63.690000000000055</v>
      </c>
      <c r="X26" s="308">
        <f t="shared" si="57"/>
        <v>0.11222907488986794</v>
      </c>
      <c r="Z26" s="293">
        <f t="shared" si="41"/>
        <v>655.54380000000003</v>
      </c>
      <c r="AA26" s="293">
        <f t="shared" si="42"/>
        <v>76.543800000000033</v>
      </c>
      <c r="AB26" s="308">
        <f t="shared" si="43"/>
        <v>0.11676382264617563</v>
      </c>
      <c r="AD26" s="299">
        <f t="shared" si="44"/>
        <v>655.54380000000003</v>
      </c>
      <c r="AE26" s="130">
        <v>0.03</v>
      </c>
      <c r="AF26" s="302">
        <f t="shared" si="45"/>
        <v>19.666314</v>
      </c>
      <c r="AG26" s="302">
        <f t="shared" si="46"/>
        <v>635.87748600000009</v>
      </c>
      <c r="AH26" s="302">
        <f t="shared" si="47"/>
        <v>655.54380000000003</v>
      </c>
      <c r="AI26" s="130">
        <v>0.05</v>
      </c>
      <c r="AJ26" s="302">
        <f t="shared" si="48"/>
        <v>32.777190000000004</v>
      </c>
      <c r="AK26" s="302">
        <f t="shared" si="49"/>
        <v>622.76661000000001</v>
      </c>
      <c r="AL26" s="317">
        <f t="shared" si="50"/>
        <v>-394.12251399999991</v>
      </c>
      <c r="AM26" s="318">
        <f t="shared" si="51"/>
        <v>-407.23338999999999</v>
      </c>
    </row>
    <row r="27" spans="1:39" ht="16.5" outlineLevel="1">
      <c r="A27" s="225">
        <v>4</v>
      </c>
      <c r="B27" s="227" t="s">
        <v>94</v>
      </c>
      <c r="C27" s="227" t="s">
        <v>96</v>
      </c>
      <c r="D27" s="228"/>
      <c r="E27" s="230">
        <v>13179.6</v>
      </c>
      <c r="F27" s="230">
        <v>0</v>
      </c>
      <c r="G27" s="230">
        <v>1030</v>
      </c>
      <c r="H27" s="231">
        <v>1030</v>
      </c>
      <c r="I27" s="232">
        <v>0</v>
      </c>
      <c r="J27" s="232">
        <f t="shared" si="36"/>
        <v>543</v>
      </c>
      <c r="K27" s="232">
        <v>125</v>
      </c>
      <c r="L27" s="233">
        <v>668</v>
      </c>
      <c r="M27" s="234">
        <v>362</v>
      </c>
      <c r="N27" s="235">
        <v>0.35145631067961164</v>
      </c>
      <c r="O27" s="236"/>
      <c r="P27" s="227"/>
      <c r="Q27" s="227" t="s">
        <v>249</v>
      </c>
      <c r="S27" s="293">
        <f t="shared" si="52"/>
        <v>678.75</v>
      </c>
      <c r="T27" s="293">
        <f t="shared" si="53"/>
        <v>135.75</v>
      </c>
      <c r="U27" s="308">
        <f t="shared" si="54"/>
        <v>0.2</v>
      </c>
      <c r="V27" s="293">
        <f t="shared" si="55"/>
        <v>741.48</v>
      </c>
      <c r="W27" s="293">
        <f t="shared" si="56"/>
        <v>73.480000000000018</v>
      </c>
      <c r="X27" s="308">
        <f t="shared" si="57"/>
        <v>0.10825782688766117</v>
      </c>
      <c r="Z27" s="293">
        <f t="shared" si="41"/>
        <v>756.30960000000005</v>
      </c>
      <c r="AA27" s="293">
        <f t="shared" si="42"/>
        <v>88.309600000000046</v>
      </c>
      <c r="AB27" s="308">
        <f t="shared" si="43"/>
        <v>0.11676382264617564</v>
      </c>
      <c r="AD27" s="299">
        <f t="shared" si="44"/>
        <v>756.30960000000005</v>
      </c>
      <c r="AE27" s="130">
        <v>0.03</v>
      </c>
      <c r="AF27" s="302">
        <f t="shared" si="45"/>
        <v>22.689288000000001</v>
      </c>
      <c r="AG27" s="302">
        <f t="shared" si="46"/>
        <v>733.62031200000001</v>
      </c>
      <c r="AH27" s="302">
        <f t="shared" si="47"/>
        <v>756.30960000000005</v>
      </c>
      <c r="AI27" s="130">
        <v>0.05</v>
      </c>
      <c r="AJ27" s="302">
        <f t="shared" si="48"/>
        <v>37.815480000000001</v>
      </c>
      <c r="AK27" s="302">
        <f t="shared" si="49"/>
        <v>718.49412000000007</v>
      </c>
      <c r="AL27" s="317">
        <f t="shared" si="50"/>
        <v>-296.37968799999999</v>
      </c>
      <c r="AM27" s="318">
        <f t="shared" si="51"/>
        <v>-311.50587999999993</v>
      </c>
    </row>
    <row r="28" spans="1:39" ht="16.5" outlineLevel="1">
      <c r="A28" s="225">
        <v>4</v>
      </c>
      <c r="B28" s="227" t="s">
        <v>250</v>
      </c>
      <c r="C28" s="227" t="s">
        <v>81</v>
      </c>
      <c r="D28" s="228"/>
      <c r="E28" s="230">
        <v>90593</v>
      </c>
      <c r="F28" s="230">
        <v>0</v>
      </c>
      <c r="G28" s="230">
        <v>570</v>
      </c>
      <c r="H28" s="231">
        <v>570</v>
      </c>
      <c r="I28" s="232">
        <v>0</v>
      </c>
      <c r="J28" s="232">
        <f t="shared" si="36"/>
        <v>464</v>
      </c>
      <c r="K28" s="232">
        <v>125</v>
      </c>
      <c r="L28" s="233">
        <v>589</v>
      </c>
      <c r="M28" s="234">
        <v>-19</v>
      </c>
      <c r="N28" s="235">
        <v>-3.3333333333333333E-2</v>
      </c>
      <c r="O28" s="236"/>
      <c r="P28" s="227"/>
      <c r="Q28" s="227" t="s">
        <v>251</v>
      </c>
      <c r="S28" s="293">
        <f t="shared" si="52"/>
        <v>580</v>
      </c>
      <c r="T28" s="293">
        <f t="shared" si="53"/>
        <v>116</v>
      </c>
      <c r="U28" s="308">
        <f t="shared" si="54"/>
        <v>0.2</v>
      </c>
      <c r="V28" s="293">
        <f t="shared" si="55"/>
        <v>653.79</v>
      </c>
      <c r="W28" s="293">
        <f t="shared" si="56"/>
        <v>64.789999999999964</v>
      </c>
      <c r="X28" s="308">
        <f t="shared" si="57"/>
        <v>0.11170689655172407</v>
      </c>
      <c r="Z28" s="293">
        <f t="shared" si="41"/>
        <v>666.86579999999992</v>
      </c>
      <c r="AA28" s="293">
        <f t="shared" si="42"/>
        <v>77.865799999999922</v>
      </c>
      <c r="AB28" s="308">
        <f t="shared" si="43"/>
        <v>0.11676382264617548</v>
      </c>
      <c r="AD28" s="299">
        <f t="shared" si="44"/>
        <v>666.86579999999992</v>
      </c>
      <c r="AE28" s="130">
        <v>0.03</v>
      </c>
      <c r="AF28" s="302">
        <f t="shared" si="45"/>
        <v>20.005973999999998</v>
      </c>
      <c r="AG28" s="302">
        <f t="shared" si="46"/>
        <v>646.85982599999988</v>
      </c>
      <c r="AH28" s="302">
        <f t="shared" si="47"/>
        <v>666.86579999999992</v>
      </c>
      <c r="AI28" s="130">
        <v>0.05</v>
      </c>
      <c r="AJ28" s="302">
        <f t="shared" si="48"/>
        <v>33.343289999999996</v>
      </c>
      <c r="AK28" s="302">
        <f t="shared" si="49"/>
        <v>633.5225099999999</v>
      </c>
      <c r="AL28" s="317">
        <f t="shared" si="50"/>
        <v>76.859825999999885</v>
      </c>
      <c r="AM28" s="318">
        <f t="shared" si="51"/>
        <v>63.522509999999897</v>
      </c>
    </row>
    <row r="29" spans="1:39" s="255" customFormat="1" ht="16.5" outlineLevel="1">
      <c r="A29" s="225">
        <v>5</v>
      </c>
      <c r="B29" s="251" t="s">
        <v>252</v>
      </c>
      <c r="C29" s="251" t="s">
        <v>253</v>
      </c>
      <c r="D29" s="252"/>
      <c r="E29" s="253">
        <v>37399</v>
      </c>
      <c r="F29" s="253">
        <v>0</v>
      </c>
      <c r="G29" s="253"/>
      <c r="H29" s="231"/>
      <c r="I29" s="232"/>
      <c r="J29" s="232">
        <f t="shared" si="36"/>
        <v>-125</v>
      </c>
      <c r="K29" s="232">
        <v>125</v>
      </c>
      <c r="L29" s="254"/>
      <c r="M29" s="234"/>
      <c r="N29" s="235"/>
      <c r="O29" s="236"/>
      <c r="P29" s="251"/>
      <c r="Q29" s="251" t="s">
        <v>254</v>
      </c>
      <c r="S29" s="293">
        <f t="shared" si="52"/>
        <v>-156.25</v>
      </c>
      <c r="T29" s="293">
        <f t="shared" si="53"/>
        <v>-31.25</v>
      </c>
      <c r="U29" s="308">
        <f t="shared" si="54"/>
        <v>0.2</v>
      </c>
      <c r="V29" s="293">
        <f t="shared" si="55"/>
        <v>0</v>
      </c>
      <c r="W29" s="293">
        <f t="shared" si="56"/>
        <v>0</v>
      </c>
      <c r="X29" s="308">
        <f t="shared" si="57"/>
        <v>0</v>
      </c>
      <c r="Z29" s="293">
        <f t="shared" si="41"/>
        <v>0</v>
      </c>
      <c r="AA29" s="293">
        <f t="shared" si="42"/>
        <v>0</v>
      </c>
      <c r="AB29" s="308" t="e">
        <f t="shared" si="43"/>
        <v>#DIV/0!</v>
      </c>
      <c r="AC29"/>
      <c r="AD29" s="299">
        <f t="shared" si="44"/>
        <v>0</v>
      </c>
      <c r="AE29" s="130">
        <v>0.03</v>
      </c>
      <c r="AF29" s="302">
        <f t="shared" si="45"/>
        <v>0</v>
      </c>
      <c r="AG29" s="302">
        <f t="shared" si="46"/>
        <v>0</v>
      </c>
      <c r="AH29" s="302">
        <f t="shared" si="47"/>
        <v>0</v>
      </c>
      <c r="AI29" s="130">
        <v>0.05</v>
      </c>
      <c r="AJ29" s="302">
        <f t="shared" si="48"/>
        <v>0</v>
      </c>
      <c r="AK29" s="302">
        <f t="shared" si="49"/>
        <v>0</v>
      </c>
      <c r="AL29" s="317">
        <f t="shared" si="50"/>
        <v>0</v>
      </c>
      <c r="AM29" s="318">
        <f t="shared" si="51"/>
        <v>0</v>
      </c>
    </row>
    <row r="30" spans="1:39" s="218" customFormat="1" ht="15.5">
      <c r="A30" s="212" t="s">
        <v>70</v>
      </c>
      <c r="B30" s="213" t="s">
        <v>255</v>
      </c>
      <c r="C30" s="213"/>
      <c r="D30" s="214"/>
      <c r="E30" s="256"/>
      <c r="F30" s="256"/>
      <c r="G30" s="256"/>
      <c r="H30" s="257">
        <v>220</v>
      </c>
      <c r="I30" s="258"/>
      <c r="J30" s="258"/>
      <c r="K30" s="258"/>
      <c r="L30" s="259"/>
      <c r="M30" s="258"/>
      <c r="N30" s="260"/>
      <c r="O30" s="261"/>
      <c r="P30" s="213"/>
      <c r="Q30" s="213"/>
    </row>
    <row r="31" spans="1:39" s="218" customFormat="1" ht="15.5">
      <c r="A31" s="219" t="s">
        <v>43</v>
      </c>
      <c r="B31" s="220" t="s">
        <v>221</v>
      </c>
      <c r="C31" s="220"/>
      <c r="D31" s="221"/>
      <c r="E31" s="243"/>
      <c r="F31" s="243"/>
      <c r="G31" s="243"/>
      <c r="H31" s="244"/>
      <c r="I31" s="245"/>
      <c r="J31" s="245"/>
      <c r="K31" s="245"/>
      <c r="L31" s="246"/>
      <c r="M31" s="245"/>
      <c r="N31" s="247"/>
      <c r="O31" s="248"/>
      <c r="P31" s="220"/>
      <c r="Q31" s="220"/>
      <c r="S31" s="296">
        <v>0.25</v>
      </c>
      <c r="V31" s="296">
        <v>0.11</v>
      </c>
    </row>
    <row r="32" spans="1:39" ht="16.5" outlineLevel="1">
      <c r="A32" s="225">
        <v>1</v>
      </c>
      <c r="B32" s="227" t="s">
        <v>256</v>
      </c>
      <c r="C32" s="227" t="s">
        <v>257</v>
      </c>
      <c r="D32" s="228" t="s">
        <v>73</v>
      </c>
      <c r="E32" s="230">
        <v>404076.5</v>
      </c>
      <c r="F32" s="230">
        <v>211750</v>
      </c>
      <c r="G32" s="230"/>
      <c r="H32" s="231"/>
      <c r="I32" s="232">
        <v>0</v>
      </c>
      <c r="J32" s="232">
        <f t="shared" ref="J32:J38" si="58">L32-K32</f>
        <v>951</v>
      </c>
      <c r="K32" s="232">
        <v>125</v>
      </c>
      <c r="L32" s="233">
        <v>1076</v>
      </c>
      <c r="M32" s="234"/>
      <c r="N32" s="235"/>
      <c r="O32" s="236"/>
      <c r="P32" s="227" t="s">
        <v>258</v>
      </c>
      <c r="Q32" s="227"/>
      <c r="S32" s="293">
        <f>J32+J32*$S$31</f>
        <v>1188.75</v>
      </c>
      <c r="T32" s="293">
        <f t="shared" ref="T32" si="59">S32-J32</f>
        <v>237.75</v>
      </c>
      <c r="U32" s="308">
        <f t="shared" ref="U32" si="60">T32/S32</f>
        <v>0.2</v>
      </c>
      <c r="V32" s="293">
        <f>L32+L32*$V$31</f>
        <v>1194.3599999999999</v>
      </c>
      <c r="W32" s="293">
        <f t="shared" ref="W32" si="61">V32-L32</f>
        <v>118.3599999999999</v>
      </c>
      <c r="X32" s="308">
        <f t="shared" ref="X32" si="62">W32/S32</f>
        <v>9.9566771819137659E-2</v>
      </c>
      <c r="Z32" s="293">
        <f t="shared" ref="Z32:Z38" si="63">V32+V32*Z$6</f>
        <v>1218.2471999999998</v>
      </c>
      <c r="AA32" s="293">
        <f t="shared" ref="AA32:AA38" si="64">Z32-L32</f>
        <v>142.24719999999979</v>
      </c>
      <c r="AB32" s="308">
        <f t="shared" ref="AB32:AB38" si="65">AA32/Z32</f>
        <v>0.11676382264617544</v>
      </c>
      <c r="AD32" s="299">
        <f t="shared" ref="AD32:AD38" si="66">Z32</f>
        <v>1218.2471999999998</v>
      </c>
      <c r="AE32" s="130">
        <v>0.03</v>
      </c>
      <c r="AF32" s="302">
        <f t="shared" ref="AF32:AF38" si="67">AD32*AE32</f>
        <v>36.547415999999991</v>
      </c>
      <c r="AG32" s="302">
        <f t="shared" ref="AG32:AG38" si="68">AD32-AF32</f>
        <v>1181.6997839999999</v>
      </c>
      <c r="AH32" s="302">
        <f t="shared" ref="AH32:AH38" si="69">AD32</f>
        <v>1218.2471999999998</v>
      </c>
      <c r="AI32" s="130">
        <v>0.05</v>
      </c>
      <c r="AJ32" s="302">
        <f t="shared" ref="AJ32:AJ38" si="70">AH32*AI32</f>
        <v>60.912359999999993</v>
      </c>
      <c r="AK32" s="302">
        <f t="shared" ref="AK32:AK38" si="71">AH32-AJ32</f>
        <v>1157.3348399999998</v>
      </c>
      <c r="AL32" s="317">
        <f t="shared" ref="AL32:AL38" si="72">AG32-H32</f>
        <v>1181.6997839999999</v>
      </c>
      <c r="AM32" s="318">
        <f t="shared" ref="AM32:AM38" si="73">AK32-H32</f>
        <v>1157.3348399999998</v>
      </c>
    </row>
    <row r="33" spans="1:39" ht="16.5" outlineLevel="1">
      <c r="A33" s="225">
        <v>2</v>
      </c>
      <c r="B33" s="227" t="s">
        <v>259</v>
      </c>
      <c r="C33" s="227" t="s">
        <v>260</v>
      </c>
      <c r="D33" s="228" t="s">
        <v>261</v>
      </c>
      <c r="E33" s="230">
        <v>40547</v>
      </c>
      <c r="F33" s="230">
        <v>0</v>
      </c>
      <c r="G33" s="230"/>
      <c r="H33" s="231"/>
      <c r="I33" s="232">
        <v>0</v>
      </c>
      <c r="J33" s="232">
        <f t="shared" si="58"/>
        <v>946.13528714477161</v>
      </c>
      <c r="K33" s="232">
        <v>125</v>
      </c>
      <c r="L33" s="233">
        <v>1071.1352871447716</v>
      </c>
      <c r="M33" s="234"/>
      <c r="N33" s="235"/>
      <c r="O33" s="236"/>
      <c r="P33" s="227" t="s">
        <v>258</v>
      </c>
      <c r="Q33" s="227"/>
      <c r="S33" s="293">
        <f t="shared" ref="S33:S38" si="74">J33+J33*$S$31</f>
        <v>1182.6691089309645</v>
      </c>
      <c r="T33" s="293">
        <f t="shared" ref="T33:T38" si="75">S33-J33</f>
        <v>236.5338217861929</v>
      </c>
      <c r="U33" s="308">
        <f t="shared" ref="U33:U38" si="76">T33/S33</f>
        <v>0.2</v>
      </c>
      <c r="V33" s="293">
        <f t="shared" ref="V33:V38" si="77">L33+L33*$V$31</f>
        <v>1188.9601687306965</v>
      </c>
      <c r="W33" s="293">
        <f t="shared" ref="W33:W38" si="78">V33-L33</f>
        <v>117.82488158592491</v>
      </c>
      <c r="X33" s="308">
        <f t="shared" ref="X33:X38" si="79">W33/S33</f>
        <v>9.9626244311419365E-2</v>
      </c>
      <c r="Z33" s="293">
        <f t="shared" si="63"/>
        <v>1212.7393721053104</v>
      </c>
      <c r="AA33" s="293">
        <f t="shared" si="64"/>
        <v>141.60408496053878</v>
      </c>
      <c r="AB33" s="308">
        <f t="shared" si="65"/>
        <v>0.11676382264617557</v>
      </c>
      <c r="AD33" s="299">
        <f t="shared" si="66"/>
        <v>1212.7393721053104</v>
      </c>
      <c r="AE33" s="130">
        <v>0.03</v>
      </c>
      <c r="AF33" s="302">
        <f t="shared" si="67"/>
        <v>36.382181163159309</v>
      </c>
      <c r="AG33" s="302">
        <f t="shared" si="68"/>
        <v>1176.3571909421512</v>
      </c>
      <c r="AH33" s="302">
        <f t="shared" si="69"/>
        <v>1212.7393721053104</v>
      </c>
      <c r="AI33" s="130">
        <v>0.05</v>
      </c>
      <c r="AJ33" s="302">
        <f t="shared" si="70"/>
        <v>60.636968605265523</v>
      </c>
      <c r="AK33" s="302">
        <f t="shared" si="71"/>
        <v>1152.1024035000448</v>
      </c>
      <c r="AL33" s="317">
        <f t="shared" si="72"/>
        <v>1176.3571909421512</v>
      </c>
      <c r="AM33" s="318">
        <f t="shared" si="73"/>
        <v>1152.1024035000448</v>
      </c>
    </row>
    <row r="34" spans="1:39" ht="16.5" outlineLevel="1">
      <c r="A34" s="225">
        <v>3</v>
      </c>
      <c r="B34" s="227" t="s">
        <v>262</v>
      </c>
      <c r="C34" s="227" t="s">
        <v>263</v>
      </c>
      <c r="D34" s="228" t="s">
        <v>73</v>
      </c>
      <c r="E34" s="230">
        <v>326364.40000000002</v>
      </c>
      <c r="F34" s="230">
        <v>44500</v>
      </c>
      <c r="G34" s="230">
        <v>1200</v>
      </c>
      <c r="H34" s="231">
        <v>1200</v>
      </c>
      <c r="I34" s="232">
        <v>0</v>
      </c>
      <c r="J34" s="232">
        <f t="shared" si="58"/>
        <v>951</v>
      </c>
      <c r="K34" s="232">
        <v>125</v>
      </c>
      <c r="L34" s="233">
        <v>1076</v>
      </c>
      <c r="M34" s="234">
        <v>124</v>
      </c>
      <c r="N34" s="235">
        <v>0.10333333333333333</v>
      </c>
      <c r="O34" s="236"/>
      <c r="P34" s="227"/>
      <c r="Q34" s="227"/>
      <c r="S34" s="293">
        <f t="shared" si="74"/>
        <v>1188.75</v>
      </c>
      <c r="T34" s="293">
        <f t="shared" si="75"/>
        <v>237.75</v>
      </c>
      <c r="U34" s="308">
        <f t="shared" si="76"/>
        <v>0.2</v>
      </c>
      <c r="V34" s="293">
        <f t="shared" si="77"/>
        <v>1194.3599999999999</v>
      </c>
      <c r="W34" s="293">
        <f t="shared" si="78"/>
        <v>118.3599999999999</v>
      </c>
      <c r="X34" s="308">
        <f t="shared" si="79"/>
        <v>9.9566771819137659E-2</v>
      </c>
      <c r="Z34" s="293">
        <f t="shared" si="63"/>
        <v>1218.2471999999998</v>
      </c>
      <c r="AA34" s="293">
        <f t="shared" si="64"/>
        <v>142.24719999999979</v>
      </c>
      <c r="AB34" s="308">
        <f t="shared" si="65"/>
        <v>0.11676382264617544</v>
      </c>
      <c r="AD34" s="299">
        <f t="shared" si="66"/>
        <v>1218.2471999999998</v>
      </c>
      <c r="AE34" s="130">
        <v>0.03</v>
      </c>
      <c r="AF34" s="302">
        <f t="shared" si="67"/>
        <v>36.547415999999991</v>
      </c>
      <c r="AG34" s="302">
        <f t="shared" si="68"/>
        <v>1181.6997839999999</v>
      </c>
      <c r="AH34" s="302">
        <f t="shared" si="69"/>
        <v>1218.2471999999998</v>
      </c>
      <c r="AI34" s="130">
        <v>0.05</v>
      </c>
      <c r="AJ34" s="302">
        <f t="shared" si="70"/>
        <v>60.912359999999993</v>
      </c>
      <c r="AK34" s="302">
        <f t="shared" si="71"/>
        <v>1157.3348399999998</v>
      </c>
      <c r="AL34" s="317">
        <f t="shared" si="72"/>
        <v>-18.300216000000091</v>
      </c>
      <c r="AM34" s="318">
        <f t="shared" si="73"/>
        <v>-42.665160000000242</v>
      </c>
    </row>
    <row r="35" spans="1:39" ht="16.5" outlineLevel="1">
      <c r="A35" s="225">
        <v>4</v>
      </c>
      <c r="B35" s="227" t="s">
        <v>264</v>
      </c>
      <c r="C35" s="227" t="s">
        <v>186</v>
      </c>
      <c r="D35" s="228" t="s">
        <v>73</v>
      </c>
      <c r="E35" s="230">
        <v>1749</v>
      </c>
      <c r="F35" s="230">
        <v>0</v>
      </c>
      <c r="G35" s="230">
        <v>1300</v>
      </c>
      <c r="H35" s="231">
        <v>1300</v>
      </c>
      <c r="I35" s="232">
        <v>0</v>
      </c>
      <c r="J35" s="232">
        <f t="shared" si="58"/>
        <v>958</v>
      </c>
      <c r="K35" s="232">
        <v>125</v>
      </c>
      <c r="L35" s="233">
        <v>1083</v>
      </c>
      <c r="M35" s="234">
        <v>217</v>
      </c>
      <c r="N35" s="235">
        <v>0.16692307692307692</v>
      </c>
      <c r="O35" s="236"/>
      <c r="P35" s="227"/>
      <c r="Q35" s="227"/>
      <c r="S35" s="293">
        <f t="shared" si="74"/>
        <v>1197.5</v>
      </c>
      <c r="T35" s="293">
        <f t="shared" si="75"/>
        <v>239.5</v>
      </c>
      <c r="U35" s="308">
        <f t="shared" si="76"/>
        <v>0.2</v>
      </c>
      <c r="V35" s="293">
        <f t="shared" si="77"/>
        <v>1202.1300000000001</v>
      </c>
      <c r="W35" s="293">
        <f t="shared" si="78"/>
        <v>119.13000000000011</v>
      </c>
      <c r="X35" s="308">
        <f t="shared" si="79"/>
        <v>9.948225469728611E-2</v>
      </c>
      <c r="Z35" s="293">
        <f t="shared" si="63"/>
        <v>1226.1726000000001</v>
      </c>
      <c r="AA35" s="293">
        <f t="shared" si="64"/>
        <v>143.1726000000001</v>
      </c>
      <c r="AB35" s="308">
        <f t="shared" si="65"/>
        <v>0.11676382264617566</v>
      </c>
      <c r="AD35" s="299">
        <f t="shared" si="66"/>
        <v>1226.1726000000001</v>
      </c>
      <c r="AE35" s="130">
        <v>0.03</v>
      </c>
      <c r="AF35" s="302">
        <f t="shared" si="67"/>
        <v>36.785178000000002</v>
      </c>
      <c r="AG35" s="302">
        <f t="shared" si="68"/>
        <v>1189.387422</v>
      </c>
      <c r="AH35" s="302">
        <f t="shared" si="69"/>
        <v>1226.1726000000001</v>
      </c>
      <c r="AI35" s="130">
        <v>0.05</v>
      </c>
      <c r="AJ35" s="302">
        <f t="shared" si="70"/>
        <v>61.308630000000008</v>
      </c>
      <c r="AK35" s="302">
        <f t="shared" si="71"/>
        <v>1164.8639700000001</v>
      </c>
      <c r="AL35" s="317">
        <f t="shared" si="72"/>
        <v>-110.61257799999998</v>
      </c>
      <c r="AM35" s="318">
        <f t="shared" si="73"/>
        <v>-135.13602999999989</v>
      </c>
    </row>
    <row r="36" spans="1:39" ht="16.5" outlineLevel="1">
      <c r="A36" s="225">
        <v>5</v>
      </c>
      <c r="B36" s="227" t="s">
        <v>265</v>
      </c>
      <c r="C36" s="227" t="s">
        <v>266</v>
      </c>
      <c r="D36" s="228" t="s">
        <v>73</v>
      </c>
      <c r="E36" s="230">
        <v>377595</v>
      </c>
      <c r="F36" s="230">
        <v>11000</v>
      </c>
      <c r="G36" s="230"/>
      <c r="H36" s="231"/>
      <c r="I36" s="232">
        <v>0</v>
      </c>
      <c r="J36" s="232">
        <f t="shared" si="58"/>
        <v>958</v>
      </c>
      <c r="K36" s="232">
        <v>125</v>
      </c>
      <c r="L36" s="233">
        <v>1083</v>
      </c>
      <c r="M36" s="234"/>
      <c r="N36" s="235"/>
      <c r="O36" s="236"/>
      <c r="P36" s="227" t="s">
        <v>258</v>
      </c>
      <c r="Q36" s="227"/>
      <c r="S36" s="293">
        <f t="shared" si="74"/>
        <v>1197.5</v>
      </c>
      <c r="T36" s="293">
        <f t="shared" si="75"/>
        <v>239.5</v>
      </c>
      <c r="U36" s="308">
        <f t="shared" si="76"/>
        <v>0.2</v>
      </c>
      <c r="V36" s="293">
        <f t="shared" si="77"/>
        <v>1202.1300000000001</v>
      </c>
      <c r="W36" s="293">
        <f t="shared" si="78"/>
        <v>119.13000000000011</v>
      </c>
      <c r="X36" s="308">
        <f t="shared" si="79"/>
        <v>9.948225469728611E-2</v>
      </c>
      <c r="Z36" s="293">
        <f t="shared" si="63"/>
        <v>1226.1726000000001</v>
      </c>
      <c r="AA36" s="293">
        <f t="shared" si="64"/>
        <v>143.1726000000001</v>
      </c>
      <c r="AB36" s="308">
        <f t="shared" si="65"/>
        <v>0.11676382264617566</v>
      </c>
      <c r="AD36" s="299">
        <f t="shared" si="66"/>
        <v>1226.1726000000001</v>
      </c>
      <c r="AE36" s="130">
        <v>0.03</v>
      </c>
      <c r="AF36" s="302">
        <f t="shared" si="67"/>
        <v>36.785178000000002</v>
      </c>
      <c r="AG36" s="302">
        <f t="shared" si="68"/>
        <v>1189.387422</v>
      </c>
      <c r="AH36" s="302">
        <f t="shared" si="69"/>
        <v>1226.1726000000001</v>
      </c>
      <c r="AI36" s="130">
        <v>0.05</v>
      </c>
      <c r="AJ36" s="302">
        <f t="shared" si="70"/>
        <v>61.308630000000008</v>
      </c>
      <c r="AK36" s="302">
        <f t="shared" si="71"/>
        <v>1164.8639700000001</v>
      </c>
      <c r="AL36" s="317">
        <f t="shared" si="72"/>
        <v>1189.387422</v>
      </c>
      <c r="AM36" s="318">
        <f t="shared" si="73"/>
        <v>1164.8639700000001</v>
      </c>
    </row>
    <row r="37" spans="1:39" ht="16.5" outlineLevel="1">
      <c r="A37" s="225">
        <v>6</v>
      </c>
      <c r="B37" s="227" t="s">
        <v>267</v>
      </c>
      <c r="C37" s="227" t="s">
        <v>268</v>
      </c>
      <c r="D37" s="228" t="s">
        <v>269</v>
      </c>
      <c r="E37" s="230">
        <v>93557.5</v>
      </c>
      <c r="F37" s="230">
        <v>60500</v>
      </c>
      <c r="G37" s="230"/>
      <c r="H37" s="231"/>
      <c r="I37" s="232">
        <v>0</v>
      </c>
      <c r="J37" s="232">
        <f t="shared" si="58"/>
        <v>976.25904310318856</v>
      </c>
      <c r="K37" s="232">
        <v>125</v>
      </c>
      <c r="L37" s="233">
        <v>1101.2590431031886</v>
      </c>
      <c r="M37" s="234"/>
      <c r="N37" s="235"/>
      <c r="O37" s="236"/>
      <c r="P37" s="227" t="s">
        <v>258</v>
      </c>
      <c r="Q37" s="227"/>
      <c r="S37" s="293">
        <f t="shared" si="74"/>
        <v>1220.3238038789857</v>
      </c>
      <c r="T37" s="293">
        <f t="shared" si="75"/>
        <v>244.06476077579714</v>
      </c>
      <c r="U37" s="308">
        <f t="shared" si="76"/>
        <v>0.2</v>
      </c>
      <c r="V37" s="293">
        <f t="shared" si="77"/>
        <v>1222.3975378445393</v>
      </c>
      <c r="W37" s="293">
        <f t="shared" si="78"/>
        <v>121.13849474135077</v>
      </c>
      <c r="X37" s="308">
        <f t="shared" si="79"/>
        <v>9.9267501261790972E-2</v>
      </c>
      <c r="Z37" s="293">
        <f t="shared" si="63"/>
        <v>1246.8454886014301</v>
      </c>
      <c r="AA37" s="293">
        <f t="shared" si="64"/>
        <v>145.58644549824157</v>
      </c>
      <c r="AB37" s="308">
        <f t="shared" si="65"/>
        <v>0.11676382264617562</v>
      </c>
      <c r="AD37" s="299">
        <f t="shared" si="66"/>
        <v>1246.8454886014301</v>
      </c>
      <c r="AE37" s="130">
        <v>0.03</v>
      </c>
      <c r="AF37" s="302">
        <f t="shared" si="67"/>
        <v>37.405364658042906</v>
      </c>
      <c r="AG37" s="302">
        <f t="shared" si="68"/>
        <v>1209.4401239433873</v>
      </c>
      <c r="AH37" s="302">
        <f t="shared" si="69"/>
        <v>1246.8454886014301</v>
      </c>
      <c r="AI37" s="130">
        <v>0.05</v>
      </c>
      <c r="AJ37" s="302">
        <f t="shared" si="70"/>
        <v>62.342274430071512</v>
      </c>
      <c r="AK37" s="302">
        <f t="shared" si="71"/>
        <v>1184.5032141713586</v>
      </c>
      <c r="AL37" s="317">
        <f t="shared" si="72"/>
        <v>1209.4401239433873</v>
      </c>
      <c r="AM37" s="318">
        <f t="shared" si="73"/>
        <v>1184.5032141713586</v>
      </c>
    </row>
    <row r="38" spans="1:39" ht="16.5" outlineLevel="1">
      <c r="A38" s="225">
        <v>7</v>
      </c>
      <c r="B38" s="227" t="s">
        <v>270</v>
      </c>
      <c r="C38" s="227" t="s">
        <v>271</v>
      </c>
      <c r="D38" s="228" t="s">
        <v>269</v>
      </c>
      <c r="E38" s="230">
        <v>15628</v>
      </c>
      <c r="F38" s="230">
        <v>0</v>
      </c>
      <c r="G38" s="230">
        <v>1250</v>
      </c>
      <c r="H38" s="231">
        <v>1250</v>
      </c>
      <c r="I38" s="232">
        <v>0</v>
      </c>
      <c r="J38" s="232">
        <f t="shared" si="58"/>
        <v>976.25904310318856</v>
      </c>
      <c r="K38" s="232">
        <v>125</v>
      </c>
      <c r="L38" s="233">
        <v>1101.2590431031886</v>
      </c>
      <c r="M38" s="234">
        <v>148.74095689681144</v>
      </c>
      <c r="N38" s="235">
        <v>0.11899276551744915</v>
      </c>
      <c r="O38" s="236"/>
      <c r="P38" s="227"/>
      <c r="Q38" s="227"/>
      <c r="S38" s="293">
        <f t="shared" si="74"/>
        <v>1220.3238038789857</v>
      </c>
      <c r="T38" s="293">
        <f t="shared" si="75"/>
        <v>244.06476077579714</v>
      </c>
      <c r="U38" s="308">
        <f t="shared" si="76"/>
        <v>0.2</v>
      </c>
      <c r="V38" s="293">
        <f t="shared" si="77"/>
        <v>1222.3975378445393</v>
      </c>
      <c r="W38" s="293">
        <f t="shared" si="78"/>
        <v>121.13849474135077</v>
      </c>
      <c r="X38" s="308">
        <f t="shared" si="79"/>
        <v>9.9267501261790972E-2</v>
      </c>
      <c r="Z38" s="293">
        <f t="shared" si="63"/>
        <v>1246.8454886014301</v>
      </c>
      <c r="AA38" s="293">
        <f t="shared" si="64"/>
        <v>145.58644549824157</v>
      </c>
      <c r="AB38" s="308">
        <f t="shared" si="65"/>
        <v>0.11676382264617562</v>
      </c>
      <c r="AD38" s="299">
        <f t="shared" si="66"/>
        <v>1246.8454886014301</v>
      </c>
      <c r="AE38" s="130">
        <v>0.03</v>
      </c>
      <c r="AF38" s="302">
        <f t="shared" si="67"/>
        <v>37.405364658042906</v>
      </c>
      <c r="AG38" s="302">
        <f t="shared" si="68"/>
        <v>1209.4401239433873</v>
      </c>
      <c r="AH38" s="302">
        <f t="shared" si="69"/>
        <v>1246.8454886014301</v>
      </c>
      <c r="AI38" s="130">
        <v>0.05</v>
      </c>
      <c r="AJ38" s="302">
        <f t="shared" si="70"/>
        <v>62.342274430071512</v>
      </c>
      <c r="AK38" s="302">
        <f t="shared" si="71"/>
        <v>1184.5032141713586</v>
      </c>
      <c r="AL38" s="317">
        <f t="shared" si="72"/>
        <v>-40.559876056612666</v>
      </c>
      <c r="AM38" s="318">
        <f t="shared" si="73"/>
        <v>-65.49678582864135</v>
      </c>
    </row>
    <row r="39" spans="1:39" s="218" customFormat="1" ht="15.5">
      <c r="A39" s="219" t="s">
        <v>44</v>
      </c>
      <c r="B39" s="220" t="s">
        <v>231</v>
      </c>
      <c r="C39" s="220"/>
      <c r="D39" s="221"/>
      <c r="E39" s="243"/>
      <c r="F39" s="243"/>
      <c r="G39" s="243"/>
      <c r="H39" s="244"/>
      <c r="I39" s="245"/>
      <c r="J39" s="245"/>
      <c r="K39" s="245"/>
      <c r="L39" s="246"/>
      <c r="M39" s="245"/>
      <c r="N39" s="247"/>
      <c r="O39" s="248"/>
      <c r="P39" s="220"/>
      <c r="Q39" s="220"/>
      <c r="S39" s="296">
        <v>0.25</v>
      </c>
      <c r="V39" s="296">
        <v>0.11</v>
      </c>
    </row>
    <row r="40" spans="1:39" ht="16.5" outlineLevel="1">
      <c r="A40" s="225">
        <v>1</v>
      </c>
      <c r="B40" s="227" t="s">
        <v>272</v>
      </c>
      <c r="C40" s="227" t="s">
        <v>273</v>
      </c>
      <c r="D40" s="228" t="s">
        <v>73</v>
      </c>
      <c r="E40" s="230">
        <v>2750</v>
      </c>
      <c r="F40" s="230">
        <v>0</v>
      </c>
      <c r="G40" s="230">
        <v>1200</v>
      </c>
      <c r="H40" s="231">
        <v>1200</v>
      </c>
      <c r="I40" s="232">
        <v>0</v>
      </c>
      <c r="J40" s="232">
        <f t="shared" ref="J40:J45" si="80">L40-K40</f>
        <v>1064.2830188679245</v>
      </c>
      <c r="K40" s="232">
        <v>125</v>
      </c>
      <c r="L40" s="233">
        <v>1189.2830188679245</v>
      </c>
      <c r="M40" s="234">
        <v>10.716981132075489</v>
      </c>
      <c r="N40" s="235">
        <v>8.9308176100629071E-3</v>
      </c>
      <c r="O40" s="236"/>
      <c r="P40" s="227" t="s">
        <v>274</v>
      </c>
      <c r="Q40" s="227" t="s">
        <v>275</v>
      </c>
      <c r="S40" s="293">
        <f>J40+J40*$S$39</f>
        <v>1330.3537735849056</v>
      </c>
      <c r="T40" s="293">
        <f t="shared" ref="T40" si="81">S40-J40</f>
        <v>266.07075471698113</v>
      </c>
      <c r="U40" s="308">
        <f t="shared" ref="U40" si="82">T40/S40</f>
        <v>0.2</v>
      </c>
      <c r="V40" s="293">
        <f>L40+L40*$V$39</f>
        <v>1320.1041509433962</v>
      </c>
      <c r="W40" s="293">
        <f t="shared" ref="W40" si="83">V40-L40</f>
        <v>130.82113207547172</v>
      </c>
      <c r="X40" s="308">
        <f t="shared" ref="X40" si="84">W40/S40</f>
        <v>9.8335596645806392E-2</v>
      </c>
      <c r="Z40" s="293">
        <f t="shared" ref="Z40:Z45" si="85">V40+V40*Z$6</f>
        <v>1346.5062339622641</v>
      </c>
      <c r="AA40" s="293">
        <f t="shared" ref="AA40:AA45" si="86">Z40-L40</f>
        <v>157.22321509433959</v>
      </c>
      <c r="AB40" s="308">
        <f t="shared" ref="AB40:AB45" si="87">AA40/Z40</f>
        <v>0.11676382264617557</v>
      </c>
      <c r="AD40" s="299">
        <f t="shared" ref="AD40:AD45" si="88">Z40</f>
        <v>1346.5062339622641</v>
      </c>
      <c r="AE40" s="130">
        <v>0.03</v>
      </c>
      <c r="AF40" s="302">
        <f t="shared" ref="AF40:AF45" si="89">AD40*AE40</f>
        <v>40.395187018867922</v>
      </c>
      <c r="AG40" s="302">
        <f t="shared" ref="AG40:AG45" si="90">AD40-AF40</f>
        <v>1306.1110469433961</v>
      </c>
      <c r="AH40" s="302">
        <f t="shared" ref="AH40:AH45" si="91">AD40</f>
        <v>1346.5062339622641</v>
      </c>
      <c r="AI40" s="130">
        <v>0.05</v>
      </c>
      <c r="AJ40" s="302">
        <f t="shared" ref="AJ40:AJ45" si="92">AH40*AI40</f>
        <v>67.325311698113211</v>
      </c>
      <c r="AK40" s="302">
        <f t="shared" ref="AK40:AK45" si="93">AH40-AJ40</f>
        <v>1279.1809222641509</v>
      </c>
      <c r="AL40" s="317">
        <f t="shared" ref="AL40:AL45" si="94">AG40-H40</f>
        <v>106.1110469433961</v>
      </c>
      <c r="AM40" s="318">
        <f t="shared" ref="AM40:AM45" si="95">AK40-H40</f>
        <v>79.180922264150922</v>
      </c>
    </row>
    <row r="41" spans="1:39" ht="16.5" outlineLevel="1">
      <c r="A41" s="225">
        <v>2</v>
      </c>
      <c r="B41" s="227" t="s">
        <v>276</v>
      </c>
      <c r="C41" s="227" t="s">
        <v>277</v>
      </c>
      <c r="D41" s="228" t="s">
        <v>261</v>
      </c>
      <c r="E41" s="230">
        <v>3575</v>
      </c>
      <c r="F41" s="230">
        <v>0</v>
      </c>
      <c r="G41" s="230">
        <v>1200</v>
      </c>
      <c r="H41" s="231">
        <v>1200</v>
      </c>
      <c r="I41" s="232">
        <v>0</v>
      </c>
      <c r="J41" s="232">
        <f t="shared" si="80"/>
        <v>1172.9245283018868</v>
      </c>
      <c r="K41" s="232">
        <v>125</v>
      </c>
      <c r="L41" s="233">
        <v>1297.9245283018868</v>
      </c>
      <c r="M41" s="234">
        <v>-97.924528301886767</v>
      </c>
      <c r="N41" s="235">
        <v>-8.1603773584905642E-2</v>
      </c>
      <c r="O41" s="236"/>
      <c r="P41" s="227" t="s">
        <v>278</v>
      </c>
      <c r="Q41" s="227"/>
      <c r="S41" s="293">
        <f t="shared" ref="S41:S45" si="96">J41+J41*$S$39</f>
        <v>1466.1556603773583</v>
      </c>
      <c r="T41" s="293">
        <f t="shared" ref="T41:T45" si="97">S41-J41</f>
        <v>293.23113207547158</v>
      </c>
      <c r="U41" s="308">
        <f t="shared" ref="U41:U45" si="98">T41/S41</f>
        <v>0.19999999999999993</v>
      </c>
      <c r="V41" s="293">
        <f t="shared" ref="V41:V45" si="99">L41+L41*$V$39</f>
        <v>1440.6962264150943</v>
      </c>
      <c r="W41" s="293">
        <f t="shared" ref="W41:W45" si="100">V41-L41</f>
        <v>142.77169811320755</v>
      </c>
      <c r="X41" s="308">
        <f t="shared" ref="X41:X45" si="101">W41/S41</f>
        <v>9.7378267513874378E-2</v>
      </c>
      <c r="Z41" s="293">
        <f t="shared" si="85"/>
        <v>1469.5101509433962</v>
      </c>
      <c r="AA41" s="293">
        <f t="shared" si="86"/>
        <v>171.58562264150942</v>
      </c>
      <c r="AB41" s="308">
        <f t="shared" si="87"/>
        <v>0.11676382264617557</v>
      </c>
      <c r="AD41" s="299">
        <f t="shared" si="88"/>
        <v>1469.5101509433962</v>
      </c>
      <c r="AE41" s="130">
        <v>0.03</v>
      </c>
      <c r="AF41" s="302">
        <f t="shared" si="89"/>
        <v>44.085304528301883</v>
      </c>
      <c r="AG41" s="302">
        <f t="shared" si="90"/>
        <v>1425.4248464150944</v>
      </c>
      <c r="AH41" s="302">
        <f t="shared" si="91"/>
        <v>1469.5101509433962</v>
      </c>
      <c r="AI41" s="130">
        <v>0.05</v>
      </c>
      <c r="AJ41" s="302">
        <f t="shared" si="92"/>
        <v>73.475507547169812</v>
      </c>
      <c r="AK41" s="302">
        <f t="shared" si="93"/>
        <v>1396.0346433962263</v>
      </c>
      <c r="AL41" s="317">
        <f t="shared" si="94"/>
        <v>225.42484641509441</v>
      </c>
      <c r="AM41" s="318">
        <f t="shared" si="95"/>
        <v>196.03464339622633</v>
      </c>
    </row>
    <row r="42" spans="1:39" ht="16.5" outlineLevel="1">
      <c r="A42" s="225">
        <v>3</v>
      </c>
      <c r="B42" s="227" t="s">
        <v>279</v>
      </c>
      <c r="C42" s="227" t="s">
        <v>280</v>
      </c>
      <c r="D42" s="228" t="s">
        <v>281</v>
      </c>
      <c r="E42" s="230">
        <v>18774</v>
      </c>
      <c r="F42" s="230">
        <v>0</v>
      </c>
      <c r="G42" s="230"/>
      <c r="H42" s="231"/>
      <c r="I42" s="232">
        <v>0</v>
      </c>
      <c r="J42" s="232">
        <f t="shared" si="80"/>
        <v>698.13207547169816</v>
      </c>
      <c r="K42" s="232">
        <v>125</v>
      </c>
      <c r="L42" s="233">
        <v>823.13207547169816</v>
      </c>
      <c r="M42" s="234"/>
      <c r="N42" s="235"/>
      <c r="O42" s="236"/>
      <c r="P42" s="227" t="s">
        <v>258</v>
      </c>
      <c r="Q42" s="227"/>
      <c r="S42" s="293">
        <f t="shared" si="96"/>
        <v>872.66509433962267</v>
      </c>
      <c r="T42" s="293">
        <f t="shared" si="97"/>
        <v>174.53301886792451</v>
      </c>
      <c r="U42" s="308">
        <f t="shared" si="98"/>
        <v>0.19999999999999998</v>
      </c>
      <c r="V42" s="293">
        <f t="shared" si="99"/>
        <v>913.67660377358493</v>
      </c>
      <c r="W42" s="293">
        <f t="shared" si="100"/>
        <v>90.544528301886771</v>
      </c>
      <c r="X42" s="308">
        <f t="shared" si="101"/>
        <v>0.10375633090997538</v>
      </c>
      <c r="Z42" s="293">
        <f t="shared" si="85"/>
        <v>931.95013584905666</v>
      </c>
      <c r="AA42" s="293">
        <f t="shared" si="86"/>
        <v>108.81806037735851</v>
      </c>
      <c r="AB42" s="308">
        <f t="shared" si="87"/>
        <v>0.1167638226461756</v>
      </c>
      <c r="AD42" s="299">
        <f t="shared" si="88"/>
        <v>931.95013584905666</v>
      </c>
      <c r="AE42" s="130">
        <v>0.03</v>
      </c>
      <c r="AF42" s="302">
        <f t="shared" si="89"/>
        <v>27.958504075471698</v>
      </c>
      <c r="AG42" s="302">
        <f t="shared" si="90"/>
        <v>903.99163177358491</v>
      </c>
      <c r="AH42" s="302">
        <f t="shared" si="91"/>
        <v>931.95013584905666</v>
      </c>
      <c r="AI42" s="130">
        <v>0.05</v>
      </c>
      <c r="AJ42" s="302">
        <f t="shared" si="92"/>
        <v>46.597506792452833</v>
      </c>
      <c r="AK42" s="302">
        <f t="shared" si="93"/>
        <v>885.35262905660386</v>
      </c>
      <c r="AL42" s="317">
        <f t="shared" si="94"/>
        <v>903.99163177358491</v>
      </c>
      <c r="AM42" s="318">
        <f t="shared" si="95"/>
        <v>885.35262905660386</v>
      </c>
    </row>
    <row r="43" spans="1:39" ht="16.5" outlineLevel="1">
      <c r="A43" s="225">
        <v>4</v>
      </c>
      <c r="B43" s="227" t="s">
        <v>282</v>
      </c>
      <c r="C43" s="227" t="s">
        <v>283</v>
      </c>
      <c r="D43" s="228" t="s">
        <v>281</v>
      </c>
      <c r="E43" s="230">
        <v>13300</v>
      </c>
      <c r="F43" s="230">
        <v>0</v>
      </c>
      <c r="G43" s="230">
        <v>1200</v>
      </c>
      <c r="H43" s="231">
        <v>1200</v>
      </c>
      <c r="I43" s="232">
        <v>0</v>
      </c>
      <c r="J43" s="232">
        <f t="shared" si="80"/>
        <v>698.13207547169816</v>
      </c>
      <c r="K43" s="232">
        <v>125</v>
      </c>
      <c r="L43" s="233">
        <v>823.13207547169816</v>
      </c>
      <c r="M43" s="234">
        <v>376.86792452830184</v>
      </c>
      <c r="N43" s="235">
        <v>0.31405660377358485</v>
      </c>
      <c r="O43" s="236"/>
      <c r="P43" s="227" t="s">
        <v>274</v>
      </c>
      <c r="Q43" s="227"/>
      <c r="S43" s="293">
        <f t="shared" si="96"/>
        <v>872.66509433962267</v>
      </c>
      <c r="T43" s="293">
        <f t="shared" si="97"/>
        <v>174.53301886792451</v>
      </c>
      <c r="U43" s="308">
        <f t="shared" si="98"/>
        <v>0.19999999999999998</v>
      </c>
      <c r="V43" s="293">
        <f t="shared" si="99"/>
        <v>913.67660377358493</v>
      </c>
      <c r="W43" s="293">
        <f t="shared" si="100"/>
        <v>90.544528301886771</v>
      </c>
      <c r="X43" s="308">
        <f t="shared" si="101"/>
        <v>0.10375633090997538</v>
      </c>
      <c r="Z43" s="293">
        <f t="shared" si="85"/>
        <v>931.95013584905666</v>
      </c>
      <c r="AA43" s="293">
        <f t="shared" si="86"/>
        <v>108.81806037735851</v>
      </c>
      <c r="AB43" s="308">
        <f t="shared" si="87"/>
        <v>0.1167638226461756</v>
      </c>
      <c r="AD43" s="299">
        <f t="shared" si="88"/>
        <v>931.95013584905666</v>
      </c>
      <c r="AE43" s="130">
        <v>0.03</v>
      </c>
      <c r="AF43" s="302">
        <f t="shared" si="89"/>
        <v>27.958504075471698</v>
      </c>
      <c r="AG43" s="302">
        <f t="shared" si="90"/>
        <v>903.99163177358491</v>
      </c>
      <c r="AH43" s="302">
        <f t="shared" si="91"/>
        <v>931.95013584905666</v>
      </c>
      <c r="AI43" s="130">
        <v>0.05</v>
      </c>
      <c r="AJ43" s="302">
        <f t="shared" si="92"/>
        <v>46.597506792452833</v>
      </c>
      <c r="AK43" s="302">
        <f t="shared" si="93"/>
        <v>885.35262905660386</v>
      </c>
      <c r="AL43" s="317">
        <f t="shared" si="94"/>
        <v>-296.00836822641509</v>
      </c>
      <c r="AM43" s="318">
        <f t="shared" si="95"/>
        <v>-314.64737094339614</v>
      </c>
    </row>
    <row r="44" spans="1:39" ht="16.5" outlineLevel="1">
      <c r="A44" s="225">
        <v>5</v>
      </c>
      <c r="B44" s="227" t="s">
        <v>284</v>
      </c>
      <c r="C44" s="227" t="s">
        <v>285</v>
      </c>
      <c r="D44" s="228"/>
      <c r="E44" s="230">
        <v>11303.9</v>
      </c>
      <c r="F44" s="230">
        <v>0</v>
      </c>
      <c r="G44" s="230"/>
      <c r="H44" s="231"/>
      <c r="I44" s="232">
        <v>0</v>
      </c>
      <c r="J44" s="232">
        <f t="shared" si="80"/>
        <v>-125</v>
      </c>
      <c r="K44" s="232">
        <v>125</v>
      </c>
      <c r="L44" s="233"/>
      <c r="M44" s="234"/>
      <c r="N44" s="235"/>
      <c r="O44" s="236"/>
      <c r="P44" s="227"/>
      <c r="Q44" s="227"/>
      <c r="S44" s="293">
        <f t="shared" si="96"/>
        <v>-156.25</v>
      </c>
      <c r="T44" s="293">
        <f t="shared" si="97"/>
        <v>-31.25</v>
      </c>
      <c r="U44" s="308">
        <f t="shared" si="98"/>
        <v>0.2</v>
      </c>
      <c r="V44" s="293">
        <f t="shared" si="99"/>
        <v>0</v>
      </c>
      <c r="W44" s="293">
        <f t="shared" si="100"/>
        <v>0</v>
      </c>
      <c r="X44" s="308">
        <f t="shared" si="101"/>
        <v>0</v>
      </c>
      <c r="Z44" s="293">
        <f t="shared" si="85"/>
        <v>0</v>
      </c>
      <c r="AA44" s="293">
        <f t="shared" si="86"/>
        <v>0</v>
      </c>
      <c r="AB44" s="308" t="e">
        <f t="shared" si="87"/>
        <v>#DIV/0!</v>
      </c>
      <c r="AD44" s="299">
        <f t="shared" si="88"/>
        <v>0</v>
      </c>
      <c r="AE44" s="130">
        <v>0.03</v>
      </c>
      <c r="AF44" s="302">
        <f t="shared" si="89"/>
        <v>0</v>
      </c>
      <c r="AG44" s="302">
        <f t="shared" si="90"/>
        <v>0</v>
      </c>
      <c r="AH44" s="302">
        <f t="shared" si="91"/>
        <v>0</v>
      </c>
      <c r="AI44" s="130">
        <v>0.05</v>
      </c>
      <c r="AJ44" s="302">
        <f t="shared" si="92"/>
        <v>0</v>
      </c>
      <c r="AK44" s="302">
        <f t="shared" si="93"/>
        <v>0</v>
      </c>
      <c r="AL44" s="317">
        <f t="shared" si="94"/>
        <v>0</v>
      </c>
      <c r="AM44" s="318">
        <f t="shared" si="95"/>
        <v>0</v>
      </c>
    </row>
    <row r="45" spans="1:39" ht="16.5" outlineLevel="1">
      <c r="A45" s="225">
        <v>6</v>
      </c>
      <c r="B45" s="227" t="s">
        <v>286</v>
      </c>
      <c r="C45" s="227" t="s">
        <v>287</v>
      </c>
      <c r="D45" s="228" t="s">
        <v>269</v>
      </c>
      <c r="E45" s="230">
        <v>350</v>
      </c>
      <c r="F45" s="230">
        <v>0</v>
      </c>
      <c r="G45" s="230">
        <v>1200</v>
      </c>
      <c r="H45" s="231">
        <v>1200</v>
      </c>
      <c r="I45" s="232">
        <v>0</v>
      </c>
      <c r="J45" s="232">
        <f t="shared" si="80"/>
        <v>983.71698113207549</v>
      </c>
      <c r="K45" s="232">
        <v>125</v>
      </c>
      <c r="L45" s="233">
        <v>1108.7169811320755</v>
      </c>
      <c r="M45" s="234">
        <v>91.283018867924511</v>
      </c>
      <c r="N45" s="235">
        <v>7.6069182389937096E-2</v>
      </c>
      <c r="O45" s="236"/>
      <c r="P45" s="227"/>
      <c r="Q45" s="227"/>
      <c r="S45" s="293">
        <f t="shared" si="96"/>
        <v>1229.6462264150944</v>
      </c>
      <c r="T45" s="293">
        <f t="shared" si="97"/>
        <v>245.92924528301887</v>
      </c>
      <c r="U45" s="308">
        <f t="shared" si="98"/>
        <v>0.2</v>
      </c>
      <c r="V45" s="293">
        <f t="shared" si="99"/>
        <v>1230.6758490566037</v>
      </c>
      <c r="W45" s="293">
        <f t="shared" si="100"/>
        <v>121.95886792452825</v>
      </c>
      <c r="X45" s="308">
        <f t="shared" si="101"/>
        <v>9.918207798684231E-2</v>
      </c>
      <c r="Z45" s="293">
        <f t="shared" si="85"/>
        <v>1255.2893660377358</v>
      </c>
      <c r="AA45" s="293">
        <f t="shared" si="86"/>
        <v>146.57238490566033</v>
      </c>
      <c r="AB45" s="308">
        <f t="shared" si="87"/>
        <v>0.11676382264617555</v>
      </c>
      <c r="AD45" s="299">
        <f t="shared" si="88"/>
        <v>1255.2893660377358</v>
      </c>
      <c r="AE45" s="130">
        <v>0.03</v>
      </c>
      <c r="AF45" s="302">
        <f t="shared" si="89"/>
        <v>37.658680981132072</v>
      </c>
      <c r="AG45" s="302">
        <f t="shared" si="90"/>
        <v>1217.6306850566039</v>
      </c>
      <c r="AH45" s="302">
        <f t="shared" si="91"/>
        <v>1255.2893660377358</v>
      </c>
      <c r="AI45" s="130">
        <v>0.05</v>
      </c>
      <c r="AJ45" s="302">
        <f t="shared" si="92"/>
        <v>62.764468301886794</v>
      </c>
      <c r="AK45" s="302">
        <f t="shared" si="93"/>
        <v>1192.524897735849</v>
      </c>
      <c r="AL45" s="317">
        <f t="shared" si="94"/>
        <v>17.630685056603852</v>
      </c>
      <c r="AM45" s="318">
        <f t="shared" si="95"/>
        <v>-7.475102264151019</v>
      </c>
    </row>
    <row r="46" spans="1:39" s="218" customFormat="1" ht="15.5">
      <c r="A46" s="219" t="s">
        <v>181</v>
      </c>
      <c r="B46" s="220" t="s">
        <v>288</v>
      </c>
      <c r="C46" s="220"/>
      <c r="D46" s="221"/>
      <c r="E46" s="243"/>
      <c r="F46" s="243"/>
      <c r="G46" s="243"/>
      <c r="H46" s="244"/>
      <c r="I46" s="244"/>
      <c r="J46" s="244"/>
      <c r="K46" s="244"/>
      <c r="L46" s="246"/>
      <c r="M46" s="245"/>
      <c r="N46" s="247"/>
      <c r="O46" s="248"/>
      <c r="P46" s="220"/>
      <c r="Q46" s="220"/>
      <c r="S46" s="296">
        <v>0.25</v>
      </c>
      <c r="V46" s="296">
        <v>0.11</v>
      </c>
    </row>
    <row r="47" spans="1:39" ht="16.5" outlineLevel="1">
      <c r="A47" s="225">
        <v>1</v>
      </c>
      <c r="B47" s="227" t="s">
        <v>289</v>
      </c>
      <c r="C47" s="227" t="s">
        <v>105</v>
      </c>
      <c r="D47" s="228" t="s">
        <v>45</v>
      </c>
      <c r="E47" s="230">
        <v>159325.5</v>
      </c>
      <c r="F47" s="230">
        <v>15625</v>
      </c>
      <c r="G47" s="230">
        <v>780</v>
      </c>
      <c r="H47" s="231">
        <v>780</v>
      </c>
      <c r="I47" s="232">
        <v>0</v>
      </c>
      <c r="J47" s="232">
        <f t="shared" ref="J47" si="102">L47-K47</f>
        <v>611.5405420805605</v>
      </c>
      <c r="K47" s="232">
        <v>125</v>
      </c>
      <c r="L47" s="233">
        <v>736.5405420805605</v>
      </c>
      <c r="M47" s="234">
        <v>43.459457919439501</v>
      </c>
      <c r="N47" s="235">
        <v>5.5717253742871155E-2</v>
      </c>
      <c r="O47" s="236"/>
      <c r="P47" s="227"/>
      <c r="Q47" s="227" t="s">
        <v>290</v>
      </c>
      <c r="S47" s="293">
        <f>J47+J47*$S$46</f>
        <v>764.42567760070062</v>
      </c>
      <c r="T47" s="293">
        <f t="shared" ref="T47" si="103">S47-J47</f>
        <v>152.88513552014012</v>
      </c>
      <c r="U47" s="308">
        <f t="shared" ref="U47" si="104">T47/S47</f>
        <v>0.2</v>
      </c>
      <c r="V47" s="293">
        <f>L47+L47*$V$46</f>
        <v>817.56000170942218</v>
      </c>
      <c r="W47" s="293">
        <f t="shared" ref="W47" si="105">V47-L47</f>
        <v>81.019459628861682</v>
      </c>
      <c r="X47" s="308">
        <f t="shared" ref="X47" si="106">W47/S47</f>
        <v>0.10598736018805267</v>
      </c>
      <c r="Z47" s="293">
        <f t="shared" ref="Z47" si="107">V47+V47*Z$6</f>
        <v>833.9112017436106</v>
      </c>
      <c r="AA47" s="293">
        <f t="shared" ref="AA47" si="108">Z47-L47</f>
        <v>97.370659663050105</v>
      </c>
      <c r="AB47" s="308">
        <f t="shared" ref="AB47" si="109">AA47/Z47</f>
        <v>0.11676382264617559</v>
      </c>
      <c r="AD47" s="299">
        <f t="shared" ref="AD47" si="110">Z47</f>
        <v>833.9112017436106</v>
      </c>
      <c r="AE47" s="130">
        <v>0.03</v>
      </c>
      <c r="AF47" s="302">
        <f t="shared" ref="AF47" si="111">AD47*AE47</f>
        <v>25.017336052308316</v>
      </c>
      <c r="AG47" s="302">
        <f t="shared" ref="AG47" si="112">AD47-AF47</f>
        <v>808.89386569130227</v>
      </c>
      <c r="AH47" s="302">
        <f t="shared" ref="AH47" si="113">AD47</f>
        <v>833.9112017436106</v>
      </c>
      <c r="AI47" s="130">
        <v>0.05</v>
      </c>
      <c r="AJ47" s="302">
        <f t="shared" ref="AJ47" si="114">AH47*AI47</f>
        <v>41.695560087180532</v>
      </c>
      <c r="AK47" s="302">
        <f t="shared" ref="AK47" si="115">AH47-AJ47</f>
        <v>792.21564165643008</v>
      </c>
      <c r="AL47" s="317">
        <f t="shared" ref="AL47" si="116">AG47-H47</f>
        <v>28.893865691302267</v>
      </c>
      <c r="AM47" s="318">
        <f t="shared" ref="AM47" si="117">AK47-H47</f>
        <v>12.21564165643008</v>
      </c>
    </row>
    <row r="48" spans="1:39" s="218" customFormat="1" ht="15.5">
      <c r="A48" s="212" t="s">
        <v>291</v>
      </c>
      <c r="B48" s="213" t="s">
        <v>292</v>
      </c>
      <c r="C48" s="213"/>
      <c r="D48" s="214"/>
      <c r="E48" s="256"/>
      <c r="F48" s="256"/>
      <c r="G48" s="256"/>
      <c r="H48" s="256"/>
      <c r="I48" s="258"/>
      <c r="J48" s="258"/>
      <c r="K48" s="258"/>
      <c r="L48" s="259"/>
      <c r="M48" s="258"/>
      <c r="N48" s="260"/>
      <c r="O48" s="261"/>
      <c r="P48" s="213"/>
      <c r="Q48" s="213"/>
    </row>
    <row r="49" spans="1:39" s="218" customFormat="1" ht="15.5">
      <c r="A49" s="219" t="s">
        <v>43</v>
      </c>
      <c r="B49" s="220" t="s">
        <v>221</v>
      </c>
      <c r="C49" s="220"/>
      <c r="D49" s="221"/>
      <c r="E49" s="243"/>
      <c r="F49" s="243"/>
      <c r="G49" s="243"/>
      <c r="H49" s="243"/>
      <c r="I49" s="245"/>
      <c r="J49" s="245"/>
      <c r="K49" s="245"/>
      <c r="L49" s="246"/>
      <c r="M49" s="245"/>
      <c r="N49" s="247"/>
      <c r="O49" s="248"/>
      <c r="P49" s="220"/>
      <c r="Q49" s="220"/>
      <c r="S49" s="296">
        <v>0.25</v>
      </c>
      <c r="V49" s="296">
        <v>0.11</v>
      </c>
    </row>
    <row r="50" spans="1:39" ht="16.5" outlineLevel="1">
      <c r="A50" s="225">
        <v>1</v>
      </c>
      <c r="B50" s="227" t="s">
        <v>293</v>
      </c>
      <c r="C50" s="227" t="s">
        <v>294</v>
      </c>
      <c r="D50" s="228" t="s">
        <v>295</v>
      </c>
      <c r="E50" s="230">
        <v>21245</v>
      </c>
      <c r="F50" s="230">
        <v>22500</v>
      </c>
      <c r="G50" s="262">
        <v>740</v>
      </c>
      <c r="H50" s="231">
        <v>740</v>
      </c>
      <c r="I50" s="232">
        <v>0</v>
      </c>
      <c r="J50" s="232">
        <f t="shared" ref="J50:J57" si="118">L50-K50</f>
        <v>621.42906346587836</v>
      </c>
      <c r="K50" s="232">
        <v>125</v>
      </c>
      <c r="L50" s="233">
        <v>746.42906346587836</v>
      </c>
      <c r="M50" s="234">
        <v>-6.4290634658783574</v>
      </c>
      <c r="N50" s="235">
        <v>-8.6879236025383215E-3</v>
      </c>
      <c r="O50" s="236"/>
      <c r="P50" s="263" t="s">
        <v>296</v>
      </c>
      <c r="Q50" s="227"/>
      <c r="S50" s="293">
        <f>J50+J50*$S$49</f>
        <v>776.78632933234792</v>
      </c>
      <c r="T50" s="293">
        <f t="shared" ref="T50" si="119">S50-J50</f>
        <v>155.35726586646956</v>
      </c>
      <c r="U50" s="308">
        <f t="shared" ref="U50" si="120">T50/S50</f>
        <v>0.19999999999999998</v>
      </c>
      <c r="V50" s="293">
        <f>L50+L50*$V$49</f>
        <v>828.53626044712496</v>
      </c>
      <c r="W50" s="293">
        <f t="shared" ref="W50" si="121">V50-L50</f>
        <v>82.107196981246602</v>
      </c>
      <c r="X50" s="308">
        <f t="shared" ref="X50" si="122">W50/S50</f>
        <v>0.10570113540980849</v>
      </c>
      <c r="Z50" s="293">
        <f t="shared" ref="Z50:Z57" si="123">V50+V50*Z$6</f>
        <v>845.10698565606742</v>
      </c>
      <c r="AA50" s="293">
        <f t="shared" ref="AA50:AA57" si="124">Z50-L50</f>
        <v>98.677922190189065</v>
      </c>
      <c r="AB50" s="308">
        <f t="shared" ref="AB50:AB57" si="125">AA50/Z50</f>
        <v>0.11676382264617553</v>
      </c>
      <c r="AD50" s="299">
        <f t="shared" ref="AD50:AD57" si="126">Z50</f>
        <v>845.10698565606742</v>
      </c>
      <c r="AE50" s="130">
        <v>0.03</v>
      </c>
      <c r="AF50" s="302">
        <f t="shared" ref="AF50:AF57" si="127">AD50*AE50</f>
        <v>25.353209569682022</v>
      </c>
      <c r="AG50" s="302">
        <f t="shared" ref="AG50:AG57" si="128">AD50-AF50</f>
        <v>819.75377608638541</v>
      </c>
      <c r="AH50" s="302">
        <f t="shared" ref="AH50:AH57" si="129">AD50</f>
        <v>845.10698565606742</v>
      </c>
      <c r="AI50" s="130">
        <v>0.05</v>
      </c>
      <c r="AJ50" s="302">
        <f t="shared" ref="AJ50:AJ57" si="130">AH50*AI50</f>
        <v>42.255349282803373</v>
      </c>
      <c r="AK50" s="302">
        <f t="shared" ref="AK50:AK57" si="131">AH50-AJ50</f>
        <v>802.851636373264</v>
      </c>
      <c r="AL50" s="317">
        <f t="shared" ref="AL50:AL57" si="132">AG50-H50</f>
        <v>79.753776086385415</v>
      </c>
      <c r="AM50" s="318">
        <f t="shared" ref="AM50:AM57" si="133">AK50-H50</f>
        <v>62.851636373264</v>
      </c>
    </row>
    <row r="51" spans="1:39" ht="16.5" outlineLevel="1">
      <c r="A51" s="225">
        <v>2</v>
      </c>
      <c r="B51" s="227" t="s">
        <v>297</v>
      </c>
      <c r="C51" s="227" t="s">
        <v>298</v>
      </c>
      <c r="D51" s="228" t="s">
        <v>281</v>
      </c>
      <c r="E51" s="230">
        <v>29275</v>
      </c>
      <c r="F51" s="230">
        <v>28000</v>
      </c>
      <c r="G51" s="262">
        <v>740</v>
      </c>
      <c r="H51" s="231">
        <v>740</v>
      </c>
      <c r="I51" s="232">
        <v>0</v>
      </c>
      <c r="J51" s="232">
        <f t="shared" si="118"/>
        <v>621.42906346587836</v>
      </c>
      <c r="K51" s="232">
        <v>125</v>
      </c>
      <c r="L51" s="233">
        <v>746.42906346587836</v>
      </c>
      <c r="M51" s="234">
        <v>-6.4290634658783574</v>
      </c>
      <c r="N51" s="235">
        <v>-8.6879236025383215E-3</v>
      </c>
      <c r="O51" s="236"/>
      <c r="P51" s="263" t="s">
        <v>296</v>
      </c>
      <c r="Q51" s="227"/>
      <c r="S51" s="293">
        <f t="shared" ref="S51:S57" si="134">J51+J51*$S$49</f>
        <v>776.78632933234792</v>
      </c>
      <c r="T51" s="293">
        <f t="shared" ref="T51:T57" si="135">S51-J51</f>
        <v>155.35726586646956</v>
      </c>
      <c r="U51" s="308">
        <f t="shared" ref="U51:U57" si="136">T51/S51</f>
        <v>0.19999999999999998</v>
      </c>
      <c r="V51" s="293">
        <f t="shared" ref="V51:V57" si="137">L51+L51*$V$49</f>
        <v>828.53626044712496</v>
      </c>
      <c r="W51" s="293">
        <f t="shared" ref="W51:W57" si="138">V51-L51</f>
        <v>82.107196981246602</v>
      </c>
      <c r="X51" s="308">
        <f t="shared" ref="X51:X57" si="139">W51/S51</f>
        <v>0.10570113540980849</v>
      </c>
      <c r="Z51" s="293">
        <f t="shared" si="123"/>
        <v>845.10698565606742</v>
      </c>
      <c r="AA51" s="293">
        <f t="shared" si="124"/>
        <v>98.677922190189065</v>
      </c>
      <c r="AB51" s="308">
        <f t="shared" si="125"/>
        <v>0.11676382264617553</v>
      </c>
      <c r="AD51" s="299">
        <f t="shared" si="126"/>
        <v>845.10698565606742</v>
      </c>
      <c r="AE51" s="130">
        <v>0.03</v>
      </c>
      <c r="AF51" s="302">
        <f t="shared" si="127"/>
        <v>25.353209569682022</v>
      </c>
      <c r="AG51" s="302">
        <f t="shared" si="128"/>
        <v>819.75377608638541</v>
      </c>
      <c r="AH51" s="302">
        <f t="shared" si="129"/>
        <v>845.10698565606742</v>
      </c>
      <c r="AI51" s="130">
        <v>0.05</v>
      </c>
      <c r="AJ51" s="302">
        <f t="shared" si="130"/>
        <v>42.255349282803373</v>
      </c>
      <c r="AK51" s="302">
        <f t="shared" si="131"/>
        <v>802.851636373264</v>
      </c>
      <c r="AL51" s="317">
        <f t="shared" si="132"/>
        <v>79.753776086385415</v>
      </c>
      <c r="AM51" s="318">
        <f t="shared" si="133"/>
        <v>62.851636373264</v>
      </c>
    </row>
    <row r="52" spans="1:39" ht="16.5" outlineLevel="1">
      <c r="A52" s="225">
        <v>3</v>
      </c>
      <c r="B52" s="227" t="s">
        <v>17</v>
      </c>
      <c r="C52" s="227" t="s">
        <v>299</v>
      </c>
      <c r="D52" s="228" t="s">
        <v>300</v>
      </c>
      <c r="E52" s="230">
        <v>48550</v>
      </c>
      <c r="F52" s="230">
        <v>5500</v>
      </c>
      <c r="G52" s="262">
        <v>740</v>
      </c>
      <c r="H52" s="231">
        <v>740</v>
      </c>
      <c r="I52" s="232">
        <v>0</v>
      </c>
      <c r="J52" s="232">
        <f t="shared" si="118"/>
        <v>621.42906346587836</v>
      </c>
      <c r="K52" s="232">
        <v>125</v>
      </c>
      <c r="L52" s="233">
        <v>746.42906346587836</v>
      </c>
      <c r="M52" s="234">
        <v>-6.4290634658783574</v>
      </c>
      <c r="N52" s="235">
        <v>-8.6879236025383215E-3</v>
      </c>
      <c r="O52" s="236"/>
      <c r="P52" s="263" t="s">
        <v>296</v>
      </c>
      <c r="Q52" s="227"/>
      <c r="S52" s="293">
        <f t="shared" si="134"/>
        <v>776.78632933234792</v>
      </c>
      <c r="T52" s="293">
        <f t="shared" si="135"/>
        <v>155.35726586646956</v>
      </c>
      <c r="U52" s="308">
        <f t="shared" si="136"/>
        <v>0.19999999999999998</v>
      </c>
      <c r="V52" s="293">
        <f t="shared" si="137"/>
        <v>828.53626044712496</v>
      </c>
      <c r="W52" s="293">
        <f t="shared" si="138"/>
        <v>82.107196981246602</v>
      </c>
      <c r="X52" s="308">
        <f t="shared" si="139"/>
        <v>0.10570113540980849</v>
      </c>
      <c r="Z52" s="293">
        <f t="shared" si="123"/>
        <v>845.10698565606742</v>
      </c>
      <c r="AA52" s="293">
        <f t="shared" si="124"/>
        <v>98.677922190189065</v>
      </c>
      <c r="AB52" s="308">
        <f t="shared" si="125"/>
        <v>0.11676382264617553</v>
      </c>
      <c r="AD52" s="299">
        <f t="shared" si="126"/>
        <v>845.10698565606742</v>
      </c>
      <c r="AE52" s="130">
        <v>0.03</v>
      </c>
      <c r="AF52" s="302">
        <f t="shared" si="127"/>
        <v>25.353209569682022</v>
      </c>
      <c r="AG52" s="302">
        <f t="shared" si="128"/>
        <v>819.75377608638541</v>
      </c>
      <c r="AH52" s="302">
        <f t="shared" si="129"/>
        <v>845.10698565606742</v>
      </c>
      <c r="AI52" s="130">
        <v>0.05</v>
      </c>
      <c r="AJ52" s="302">
        <f t="shared" si="130"/>
        <v>42.255349282803373</v>
      </c>
      <c r="AK52" s="302">
        <f t="shared" si="131"/>
        <v>802.851636373264</v>
      </c>
      <c r="AL52" s="317">
        <f t="shared" si="132"/>
        <v>79.753776086385415</v>
      </c>
      <c r="AM52" s="318">
        <f t="shared" si="133"/>
        <v>62.851636373264</v>
      </c>
    </row>
    <row r="53" spans="1:39" ht="16.5" outlineLevel="1">
      <c r="A53" s="225">
        <v>4</v>
      </c>
      <c r="B53" s="227" t="s">
        <v>301</v>
      </c>
      <c r="C53" s="227" t="s">
        <v>302</v>
      </c>
      <c r="D53" s="228" t="s">
        <v>295</v>
      </c>
      <c r="E53" s="230">
        <v>1448</v>
      </c>
      <c r="F53" s="230">
        <v>0</v>
      </c>
      <c r="G53" s="262">
        <v>740</v>
      </c>
      <c r="H53" s="231">
        <v>740</v>
      </c>
      <c r="I53" s="232">
        <v>0</v>
      </c>
      <c r="J53" s="232">
        <f t="shared" si="118"/>
        <v>1121.3396226415093</v>
      </c>
      <c r="K53" s="232">
        <v>125</v>
      </c>
      <c r="L53" s="233">
        <v>1246.3396226415093</v>
      </c>
      <c r="M53" s="234">
        <v>-506.33962264150932</v>
      </c>
      <c r="N53" s="235">
        <v>-0.68424273329933694</v>
      </c>
      <c r="O53" s="236"/>
      <c r="P53" s="263" t="s">
        <v>296</v>
      </c>
      <c r="Q53" s="227" t="s">
        <v>303</v>
      </c>
      <c r="S53" s="293">
        <f t="shared" si="134"/>
        <v>1401.6745283018868</v>
      </c>
      <c r="T53" s="293">
        <f t="shared" si="135"/>
        <v>280.33490566037744</v>
      </c>
      <c r="U53" s="308">
        <f t="shared" si="136"/>
        <v>0.20000000000000007</v>
      </c>
      <c r="V53" s="293">
        <f t="shared" si="137"/>
        <v>1383.4369811320753</v>
      </c>
      <c r="W53" s="293">
        <f t="shared" si="138"/>
        <v>137.09735849056597</v>
      </c>
      <c r="X53" s="308">
        <f t="shared" si="139"/>
        <v>9.7809695276875649E-2</v>
      </c>
      <c r="Z53" s="293">
        <f t="shared" si="123"/>
        <v>1411.1057207547167</v>
      </c>
      <c r="AA53" s="293">
        <f t="shared" si="124"/>
        <v>164.76609811320736</v>
      </c>
      <c r="AB53" s="308">
        <f t="shared" si="125"/>
        <v>0.11676382264617548</v>
      </c>
      <c r="AD53" s="299">
        <f t="shared" si="126"/>
        <v>1411.1057207547167</v>
      </c>
      <c r="AE53" s="130">
        <v>0.03</v>
      </c>
      <c r="AF53" s="302">
        <f t="shared" si="127"/>
        <v>42.333171622641501</v>
      </c>
      <c r="AG53" s="302">
        <f t="shared" si="128"/>
        <v>1368.7725491320753</v>
      </c>
      <c r="AH53" s="302">
        <f t="shared" si="129"/>
        <v>1411.1057207547167</v>
      </c>
      <c r="AI53" s="130">
        <v>0.05</v>
      </c>
      <c r="AJ53" s="302">
        <f t="shared" si="130"/>
        <v>70.55528603773584</v>
      </c>
      <c r="AK53" s="302">
        <f t="shared" si="131"/>
        <v>1340.5504347169808</v>
      </c>
      <c r="AL53" s="317">
        <f t="shared" si="132"/>
        <v>628.77254913207526</v>
      </c>
      <c r="AM53" s="318">
        <f t="shared" si="133"/>
        <v>600.55043471698082</v>
      </c>
    </row>
    <row r="54" spans="1:39" ht="16.5" outlineLevel="1">
      <c r="A54" s="225">
        <v>5</v>
      </c>
      <c r="B54" s="227" t="s">
        <v>304</v>
      </c>
      <c r="C54" s="227" t="s">
        <v>305</v>
      </c>
      <c r="D54" s="228" t="s">
        <v>261</v>
      </c>
      <c r="E54" s="230">
        <v>29015</v>
      </c>
      <c r="F54" s="230">
        <v>11000</v>
      </c>
      <c r="G54" s="262">
        <v>740</v>
      </c>
      <c r="H54" s="231">
        <v>740</v>
      </c>
      <c r="I54" s="232">
        <v>0</v>
      </c>
      <c r="J54" s="232">
        <f t="shared" si="118"/>
        <v>621.42906346587836</v>
      </c>
      <c r="K54" s="232">
        <v>125</v>
      </c>
      <c r="L54" s="233">
        <v>746.42906346587836</v>
      </c>
      <c r="M54" s="234">
        <v>-6.4290634658783574</v>
      </c>
      <c r="N54" s="235">
        <v>-8.6879236025383215E-3</v>
      </c>
      <c r="O54" s="236"/>
      <c r="P54" s="263" t="s">
        <v>296</v>
      </c>
      <c r="Q54" s="227"/>
      <c r="S54" s="293">
        <f t="shared" si="134"/>
        <v>776.78632933234792</v>
      </c>
      <c r="T54" s="293">
        <f t="shared" si="135"/>
        <v>155.35726586646956</v>
      </c>
      <c r="U54" s="308">
        <f t="shared" si="136"/>
        <v>0.19999999999999998</v>
      </c>
      <c r="V54" s="293">
        <f t="shared" si="137"/>
        <v>828.53626044712496</v>
      </c>
      <c r="W54" s="293">
        <f t="shared" si="138"/>
        <v>82.107196981246602</v>
      </c>
      <c r="X54" s="308">
        <f t="shared" si="139"/>
        <v>0.10570113540980849</v>
      </c>
      <c r="Z54" s="293">
        <f t="shared" si="123"/>
        <v>845.10698565606742</v>
      </c>
      <c r="AA54" s="293">
        <f t="shared" si="124"/>
        <v>98.677922190189065</v>
      </c>
      <c r="AB54" s="308">
        <f t="shared" si="125"/>
        <v>0.11676382264617553</v>
      </c>
      <c r="AD54" s="299">
        <f t="shared" si="126"/>
        <v>845.10698565606742</v>
      </c>
      <c r="AE54" s="130">
        <v>0.03</v>
      </c>
      <c r="AF54" s="302">
        <f t="shared" si="127"/>
        <v>25.353209569682022</v>
      </c>
      <c r="AG54" s="302">
        <f t="shared" si="128"/>
        <v>819.75377608638541</v>
      </c>
      <c r="AH54" s="302">
        <f t="shared" si="129"/>
        <v>845.10698565606742</v>
      </c>
      <c r="AI54" s="130">
        <v>0.05</v>
      </c>
      <c r="AJ54" s="302">
        <f t="shared" si="130"/>
        <v>42.255349282803373</v>
      </c>
      <c r="AK54" s="302">
        <f t="shared" si="131"/>
        <v>802.851636373264</v>
      </c>
      <c r="AL54" s="317">
        <f t="shared" si="132"/>
        <v>79.753776086385415</v>
      </c>
      <c r="AM54" s="318">
        <f t="shared" si="133"/>
        <v>62.851636373264</v>
      </c>
    </row>
    <row r="55" spans="1:39" ht="16.5" outlineLevel="1">
      <c r="A55" s="225">
        <v>6</v>
      </c>
      <c r="B55" s="227" t="s">
        <v>306</v>
      </c>
      <c r="C55" s="227" t="s">
        <v>307</v>
      </c>
      <c r="D55" s="228" t="s">
        <v>269</v>
      </c>
      <c r="E55" s="230">
        <v>59110.400000000001</v>
      </c>
      <c r="F55" s="230">
        <v>0</v>
      </c>
      <c r="G55" s="262">
        <v>740</v>
      </c>
      <c r="H55" s="231">
        <v>740</v>
      </c>
      <c r="I55" s="232">
        <v>0</v>
      </c>
      <c r="J55" s="232">
        <f t="shared" si="118"/>
        <v>621.42906346587836</v>
      </c>
      <c r="K55" s="232">
        <v>125</v>
      </c>
      <c r="L55" s="233">
        <v>746.42906346587836</v>
      </c>
      <c r="M55" s="234">
        <v>-6.4290634658783574</v>
      </c>
      <c r="N55" s="235">
        <v>-8.6879236025383215E-3</v>
      </c>
      <c r="O55" s="236"/>
      <c r="P55" s="263" t="s">
        <v>296</v>
      </c>
      <c r="Q55" s="227"/>
      <c r="S55" s="293">
        <f t="shared" si="134"/>
        <v>776.78632933234792</v>
      </c>
      <c r="T55" s="293">
        <f t="shared" si="135"/>
        <v>155.35726586646956</v>
      </c>
      <c r="U55" s="308">
        <f t="shared" si="136"/>
        <v>0.19999999999999998</v>
      </c>
      <c r="V55" s="293">
        <f t="shared" si="137"/>
        <v>828.53626044712496</v>
      </c>
      <c r="W55" s="293">
        <f t="shared" si="138"/>
        <v>82.107196981246602</v>
      </c>
      <c r="X55" s="308">
        <f t="shared" si="139"/>
        <v>0.10570113540980849</v>
      </c>
      <c r="Z55" s="293">
        <f t="shared" si="123"/>
        <v>845.10698565606742</v>
      </c>
      <c r="AA55" s="293">
        <f t="shared" si="124"/>
        <v>98.677922190189065</v>
      </c>
      <c r="AB55" s="308">
        <f t="shared" si="125"/>
        <v>0.11676382264617553</v>
      </c>
      <c r="AD55" s="299">
        <f t="shared" si="126"/>
        <v>845.10698565606742</v>
      </c>
      <c r="AE55" s="130">
        <v>0.03</v>
      </c>
      <c r="AF55" s="302">
        <f t="shared" si="127"/>
        <v>25.353209569682022</v>
      </c>
      <c r="AG55" s="302">
        <f t="shared" si="128"/>
        <v>819.75377608638541</v>
      </c>
      <c r="AH55" s="302">
        <f t="shared" si="129"/>
        <v>845.10698565606742</v>
      </c>
      <c r="AI55" s="130">
        <v>0.05</v>
      </c>
      <c r="AJ55" s="302">
        <f t="shared" si="130"/>
        <v>42.255349282803373</v>
      </c>
      <c r="AK55" s="302">
        <f t="shared" si="131"/>
        <v>802.851636373264</v>
      </c>
      <c r="AL55" s="317">
        <f t="shared" si="132"/>
        <v>79.753776086385415</v>
      </c>
      <c r="AM55" s="318">
        <f t="shared" si="133"/>
        <v>62.851636373264</v>
      </c>
    </row>
    <row r="56" spans="1:39" ht="16.5" outlineLevel="1">
      <c r="A56" s="225">
        <v>7</v>
      </c>
      <c r="B56" s="227" t="s">
        <v>308</v>
      </c>
      <c r="C56" s="227" t="s">
        <v>104</v>
      </c>
      <c r="D56" s="228" t="s">
        <v>76</v>
      </c>
      <c r="E56" s="230">
        <v>3448</v>
      </c>
      <c r="F56" s="230">
        <v>11000</v>
      </c>
      <c r="G56" s="262">
        <v>660</v>
      </c>
      <c r="H56" s="231">
        <v>660</v>
      </c>
      <c r="I56" s="232">
        <v>0</v>
      </c>
      <c r="J56" s="232">
        <f t="shared" si="118"/>
        <v>773.56603773584902</v>
      </c>
      <c r="K56" s="232">
        <v>125</v>
      </c>
      <c r="L56" s="233">
        <v>898.56603773584902</v>
      </c>
      <c r="M56" s="234">
        <v>-238.56603773584902</v>
      </c>
      <c r="N56" s="235">
        <v>-0.36146369353916519</v>
      </c>
      <c r="O56" s="236"/>
      <c r="P56" s="263" t="s">
        <v>296</v>
      </c>
      <c r="Q56" s="227" t="s">
        <v>309</v>
      </c>
      <c r="S56" s="293">
        <f t="shared" si="134"/>
        <v>966.95754716981128</v>
      </c>
      <c r="T56" s="293">
        <f t="shared" si="135"/>
        <v>193.39150943396226</v>
      </c>
      <c r="U56" s="308">
        <f t="shared" si="136"/>
        <v>0.2</v>
      </c>
      <c r="V56" s="293">
        <f t="shared" si="137"/>
        <v>997.4083018867924</v>
      </c>
      <c r="W56" s="293">
        <f t="shared" si="138"/>
        <v>98.842264150943379</v>
      </c>
      <c r="X56" s="308">
        <f t="shared" si="139"/>
        <v>0.10221985902095172</v>
      </c>
      <c r="Z56" s="293">
        <f t="shared" si="123"/>
        <v>1017.3564679245283</v>
      </c>
      <c r="AA56" s="293">
        <f t="shared" si="124"/>
        <v>118.79043018867924</v>
      </c>
      <c r="AB56" s="308">
        <f t="shared" si="125"/>
        <v>0.11676382264617559</v>
      </c>
      <c r="AD56" s="299">
        <f t="shared" si="126"/>
        <v>1017.3564679245283</v>
      </c>
      <c r="AE56" s="130">
        <v>0.03</v>
      </c>
      <c r="AF56" s="302">
        <f t="shared" si="127"/>
        <v>30.520694037735847</v>
      </c>
      <c r="AG56" s="302">
        <f t="shared" si="128"/>
        <v>986.83577388679237</v>
      </c>
      <c r="AH56" s="302">
        <f t="shared" si="129"/>
        <v>1017.3564679245283</v>
      </c>
      <c r="AI56" s="130">
        <v>0.05</v>
      </c>
      <c r="AJ56" s="302">
        <f t="shared" si="130"/>
        <v>50.867823396226413</v>
      </c>
      <c r="AK56" s="302">
        <f t="shared" si="131"/>
        <v>966.48864452830185</v>
      </c>
      <c r="AL56" s="317">
        <f t="shared" si="132"/>
        <v>326.83577388679237</v>
      </c>
      <c r="AM56" s="318">
        <f t="shared" si="133"/>
        <v>306.48864452830185</v>
      </c>
    </row>
    <row r="57" spans="1:39" ht="16.5" outlineLevel="1">
      <c r="A57" s="225">
        <v>8</v>
      </c>
      <c r="B57" s="227" t="s">
        <v>310</v>
      </c>
      <c r="C57" s="227" t="s">
        <v>311</v>
      </c>
      <c r="D57" s="228" t="s">
        <v>76</v>
      </c>
      <c r="E57" s="264">
        <v>244671.9</v>
      </c>
      <c r="F57" s="230">
        <v>0</v>
      </c>
      <c r="G57" s="262">
        <v>740</v>
      </c>
      <c r="H57" s="231">
        <v>740</v>
      </c>
      <c r="I57" s="232">
        <v>0</v>
      </c>
      <c r="J57" s="232">
        <f t="shared" si="118"/>
        <v>578.88679245283015</v>
      </c>
      <c r="K57" s="232">
        <v>125</v>
      </c>
      <c r="L57" s="233">
        <v>703.88679245283015</v>
      </c>
      <c r="M57" s="234">
        <v>36.11320754716985</v>
      </c>
      <c r="N57" s="235">
        <v>4.8801631820499798E-2</v>
      </c>
      <c r="O57" s="236"/>
      <c r="P57" s="263" t="s">
        <v>296</v>
      </c>
      <c r="Q57" s="227" t="s">
        <v>312</v>
      </c>
      <c r="S57" s="293">
        <f t="shared" si="134"/>
        <v>723.60849056603774</v>
      </c>
      <c r="T57" s="293">
        <f t="shared" si="135"/>
        <v>144.72169811320759</v>
      </c>
      <c r="U57" s="308">
        <f t="shared" si="136"/>
        <v>0.20000000000000007</v>
      </c>
      <c r="V57" s="293">
        <f t="shared" si="137"/>
        <v>781.31433962264146</v>
      </c>
      <c r="W57" s="293">
        <f t="shared" si="138"/>
        <v>77.427547169811305</v>
      </c>
      <c r="X57" s="308">
        <f t="shared" si="139"/>
        <v>0.10700198820116683</v>
      </c>
      <c r="Z57" s="293">
        <f t="shared" si="123"/>
        <v>796.94062641509424</v>
      </c>
      <c r="AA57" s="293">
        <f t="shared" si="124"/>
        <v>93.053833962264093</v>
      </c>
      <c r="AB57" s="308">
        <f t="shared" si="125"/>
        <v>0.11676382264617553</v>
      </c>
      <c r="AD57" s="299">
        <f t="shared" si="126"/>
        <v>796.94062641509424</v>
      </c>
      <c r="AE57" s="130">
        <v>0.03</v>
      </c>
      <c r="AF57" s="302">
        <f t="shared" si="127"/>
        <v>23.908218792452825</v>
      </c>
      <c r="AG57" s="302">
        <f t="shared" si="128"/>
        <v>773.03240762264147</v>
      </c>
      <c r="AH57" s="302">
        <f t="shared" si="129"/>
        <v>796.94062641509424</v>
      </c>
      <c r="AI57" s="130">
        <v>0.05</v>
      </c>
      <c r="AJ57" s="302">
        <f t="shared" si="130"/>
        <v>39.847031320754716</v>
      </c>
      <c r="AK57" s="302">
        <f t="shared" si="131"/>
        <v>757.09359509433955</v>
      </c>
      <c r="AL57" s="317">
        <f t="shared" si="132"/>
        <v>33.032407622641472</v>
      </c>
      <c r="AM57" s="318">
        <f t="shared" si="133"/>
        <v>17.093595094339548</v>
      </c>
    </row>
    <row r="58" spans="1:39" s="218" customFormat="1" ht="15.5">
      <c r="A58" s="219" t="s">
        <v>44</v>
      </c>
      <c r="B58" s="220" t="s">
        <v>231</v>
      </c>
      <c r="C58" s="220"/>
      <c r="D58" s="221"/>
      <c r="E58" s="243"/>
      <c r="F58" s="243"/>
      <c r="G58" s="243"/>
      <c r="H58" s="244"/>
      <c r="I58" s="245"/>
      <c r="J58" s="245"/>
      <c r="K58" s="245"/>
      <c r="L58" s="246"/>
      <c r="M58" s="245"/>
      <c r="N58" s="247"/>
      <c r="O58" s="248"/>
      <c r="P58" s="220"/>
      <c r="Q58" s="220"/>
      <c r="S58" s="296">
        <v>0.25</v>
      </c>
      <c r="V58" s="296">
        <v>0.11</v>
      </c>
    </row>
    <row r="59" spans="1:39" ht="16.5" outlineLevel="1">
      <c r="A59" s="225">
        <v>1</v>
      </c>
      <c r="B59" s="227" t="s">
        <v>18</v>
      </c>
      <c r="C59" s="227" t="s">
        <v>313</v>
      </c>
      <c r="D59" s="228" t="s">
        <v>295</v>
      </c>
      <c r="E59" s="230">
        <v>6235.4</v>
      </c>
      <c r="F59" s="230">
        <v>0</v>
      </c>
      <c r="G59" s="262">
        <v>740</v>
      </c>
      <c r="H59" s="231">
        <v>740</v>
      </c>
      <c r="I59" s="232">
        <v>0</v>
      </c>
      <c r="J59" s="232">
        <f t="shared" ref="J59" si="140">L59-K59</f>
        <v>764.54716981132071</v>
      </c>
      <c r="K59" s="232">
        <v>125</v>
      </c>
      <c r="L59" s="233">
        <v>889.54716981132071</v>
      </c>
      <c r="M59" s="234">
        <v>-149.54716981132071</v>
      </c>
      <c r="N59" s="235">
        <v>-0.20209077001529827</v>
      </c>
      <c r="O59" s="236"/>
      <c r="P59" s="263" t="s">
        <v>296</v>
      </c>
      <c r="Q59" s="227" t="s">
        <v>314</v>
      </c>
      <c r="S59" s="293">
        <f>J59+J59*$S$58</f>
        <v>955.68396226415086</v>
      </c>
      <c r="T59" s="293">
        <f t="shared" ref="T59" si="141">S59-J59</f>
        <v>191.13679245283015</v>
      </c>
      <c r="U59" s="308">
        <f t="shared" ref="U59" si="142">T59/S59</f>
        <v>0.19999999999999998</v>
      </c>
      <c r="V59" s="293">
        <f>L59+L59*$V$58</f>
        <v>987.39735849056603</v>
      </c>
      <c r="W59" s="293">
        <f t="shared" ref="W59" si="143">V59-L59</f>
        <v>97.850188679245321</v>
      </c>
      <c r="X59" s="308">
        <f t="shared" ref="X59" si="144">W59/S59</f>
        <v>0.10238760149058518</v>
      </c>
      <c r="Z59" s="293">
        <f t="shared" ref="Z59" si="145">V59+V59*Z$6</f>
        <v>1007.1453056603774</v>
      </c>
      <c r="AA59" s="293">
        <f t="shared" ref="AA59" si="146">Z59-L59</f>
        <v>117.59813584905669</v>
      </c>
      <c r="AB59" s="308">
        <f t="shared" ref="AB59" si="147">AA59/Z59</f>
        <v>0.11676382264617567</v>
      </c>
      <c r="AD59" s="299">
        <f t="shared" ref="AD59" si="148">Z59</f>
        <v>1007.1453056603774</v>
      </c>
      <c r="AE59" s="130">
        <v>0.03</v>
      </c>
      <c r="AF59" s="302">
        <f t="shared" ref="AF59" si="149">AD59*AE59</f>
        <v>30.214359169811321</v>
      </c>
      <c r="AG59" s="302">
        <f t="shared" ref="AG59" si="150">AD59-AF59</f>
        <v>976.93094649056604</v>
      </c>
      <c r="AH59" s="302">
        <f t="shared" ref="AH59" si="151">AD59</f>
        <v>1007.1453056603774</v>
      </c>
      <c r="AI59" s="130">
        <v>0.05</v>
      </c>
      <c r="AJ59" s="302">
        <f t="shared" ref="AJ59" si="152">AH59*AI59</f>
        <v>50.357265283018876</v>
      </c>
      <c r="AK59" s="302">
        <f t="shared" ref="AK59" si="153">AH59-AJ59</f>
        <v>956.78804037735858</v>
      </c>
      <c r="AL59" s="317">
        <f t="shared" ref="AL59" si="154">AG59-H59</f>
        <v>236.93094649056604</v>
      </c>
      <c r="AM59" s="318">
        <f t="shared" ref="AM59" si="155">AK59-H59</f>
        <v>216.78804037735858</v>
      </c>
    </row>
    <row r="60" spans="1:39" outlineLevel="1">
      <c r="A60" s="225"/>
      <c r="B60" s="227"/>
      <c r="C60" s="227"/>
      <c r="D60" s="228"/>
      <c r="E60" s="230"/>
      <c r="F60" s="230"/>
      <c r="G60" s="230"/>
      <c r="H60" s="231"/>
      <c r="I60" s="234"/>
      <c r="J60" s="234"/>
      <c r="K60" s="234"/>
      <c r="L60" s="233"/>
      <c r="M60" s="234"/>
      <c r="N60" s="235"/>
      <c r="O60" s="236"/>
      <c r="P60" s="227"/>
      <c r="Q60" s="227"/>
    </row>
    <row r="61" spans="1:39" s="218" customFormat="1" ht="15.5">
      <c r="A61" s="212" t="s">
        <v>315</v>
      </c>
      <c r="B61" s="213" t="s">
        <v>316</v>
      </c>
      <c r="C61" s="213"/>
      <c r="D61" s="214"/>
      <c r="E61" s="256"/>
      <c r="F61" s="256"/>
      <c r="G61" s="256"/>
      <c r="H61" s="257"/>
      <c r="I61" s="258"/>
      <c r="J61" s="258"/>
      <c r="K61" s="258"/>
      <c r="L61" s="259"/>
      <c r="M61" s="258"/>
      <c r="N61" s="260"/>
      <c r="O61" s="261"/>
      <c r="P61" s="213"/>
      <c r="Q61" s="213"/>
    </row>
    <row r="62" spans="1:39" s="218" customFormat="1" ht="15.5">
      <c r="A62" s="219" t="s">
        <v>43</v>
      </c>
      <c r="B62" s="220" t="s">
        <v>221</v>
      </c>
      <c r="C62" s="220"/>
      <c r="D62" s="221"/>
      <c r="E62" s="243"/>
      <c r="F62" s="243"/>
      <c r="G62" s="243"/>
      <c r="H62" s="244"/>
      <c r="I62" s="245"/>
      <c r="J62" s="245"/>
      <c r="K62" s="245"/>
      <c r="L62" s="246"/>
      <c r="M62" s="245"/>
      <c r="N62" s="247"/>
      <c r="O62" s="248"/>
      <c r="P62" s="220"/>
      <c r="Q62" s="220"/>
      <c r="S62" s="296">
        <v>0.25</v>
      </c>
      <c r="V62" s="296">
        <v>0.11</v>
      </c>
    </row>
    <row r="63" spans="1:39" ht="16.5" outlineLevel="1">
      <c r="A63" s="225">
        <v>4</v>
      </c>
      <c r="B63" s="227" t="s">
        <v>317</v>
      </c>
      <c r="C63" s="227" t="s">
        <v>318</v>
      </c>
      <c r="D63" s="228" t="s">
        <v>300</v>
      </c>
      <c r="E63" s="230">
        <v>88328</v>
      </c>
      <c r="F63" s="230">
        <v>19750</v>
      </c>
      <c r="G63" s="230">
        <v>665</v>
      </c>
      <c r="H63" s="231">
        <v>665</v>
      </c>
      <c r="I63" s="232">
        <v>0</v>
      </c>
      <c r="J63" s="232">
        <f t="shared" ref="J63:J69" si="156">L63-K63</f>
        <v>490.4949916983893</v>
      </c>
      <c r="K63" s="232">
        <v>125</v>
      </c>
      <c r="L63" s="265">
        <v>615.4949916983893</v>
      </c>
      <c r="M63" s="234">
        <v>49.505008301610701</v>
      </c>
      <c r="N63" s="235">
        <v>7.4443621506181501E-2</v>
      </c>
      <c r="O63" s="236"/>
      <c r="P63" s="375" t="s">
        <v>319</v>
      </c>
      <c r="Q63" s="227"/>
      <c r="S63" s="293">
        <f>J63+J63*$S$62</f>
        <v>613.1187396229866</v>
      </c>
      <c r="T63" s="293">
        <f t="shared" ref="T63" si="157">S63-J63</f>
        <v>122.6237479245973</v>
      </c>
      <c r="U63" s="308">
        <f t="shared" ref="U63" si="158">T63/S63</f>
        <v>0.19999999999999996</v>
      </c>
      <c r="V63" s="293">
        <f>L63+L63*$V$62</f>
        <v>683.19944078521212</v>
      </c>
      <c r="W63" s="293">
        <f t="shared" ref="W63" si="159">V63-L63</f>
        <v>67.704449086822819</v>
      </c>
      <c r="X63" s="308">
        <f t="shared" ref="X63" si="160">W63/S63</f>
        <v>0.11042632480692896</v>
      </c>
      <c r="Z63" s="293">
        <f t="shared" ref="Z63:Z69" si="161">V63+V63*Z$6</f>
        <v>696.86342960091633</v>
      </c>
      <c r="AA63" s="293">
        <f t="shared" ref="AA63:AA69" si="162">Z63-L63</f>
        <v>81.368437902527035</v>
      </c>
      <c r="AB63" s="308">
        <f t="shared" ref="AB63:AB69" si="163">AA63/Z63</f>
        <v>0.11676382264617555</v>
      </c>
      <c r="AD63" s="299">
        <f t="shared" ref="AD63:AD69" si="164">Z63</f>
        <v>696.86342960091633</v>
      </c>
      <c r="AE63" s="130">
        <v>0.03</v>
      </c>
      <c r="AF63" s="302">
        <f t="shared" ref="AF63:AF69" si="165">AD63*AE63</f>
        <v>20.905902888027491</v>
      </c>
      <c r="AG63" s="302">
        <f t="shared" ref="AG63:AG69" si="166">AD63-AF63</f>
        <v>675.95752671288881</v>
      </c>
      <c r="AH63" s="302">
        <f t="shared" ref="AH63:AH69" si="167">AD63</f>
        <v>696.86342960091633</v>
      </c>
      <c r="AI63" s="130">
        <v>0.05</v>
      </c>
      <c r="AJ63" s="302">
        <f t="shared" ref="AJ63:AJ69" si="168">AH63*AI63</f>
        <v>34.843171480045818</v>
      </c>
      <c r="AK63" s="302">
        <f t="shared" ref="AK63:AK69" si="169">AH63-AJ63</f>
        <v>662.02025812087049</v>
      </c>
      <c r="AL63" s="317">
        <f t="shared" ref="AL63:AL69" si="170">AG63-H63</f>
        <v>10.957526712888807</v>
      </c>
      <c r="AM63" s="318">
        <f t="shared" ref="AM63:AM69" si="171">AK63-H63</f>
        <v>-2.9797418791295058</v>
      </c>
    </row>
    <row r="64" spans="1:39" ht="16.5" outlineLevel="1">
      <c r="A64" s="225">
        <v>2</v>
      </c>
      <c r="B64" s="227" t="s">
        <v>320</v>
      </c>
      <c r="C64" s="227" t="s">
        <v>48</v>
      </c>
      <c r="D64" s="228" t="s">
        <v>261</v>
      </c>
      <c r="E64" s="230">
        <v>51387</v>
      </c>
      <c r="F64" s="230">
        <v>0</v>
      </c>
      <c r="G64" s="230">
        <v>665</v>
      </c>
      <c r="H64" s="231">
        <v>665</v>
      </c>
      <c r="I64" s="232">
        <v>0</v>
      </c>
      <c r="J64" s="232">
        <f t="shared" si="156"/>
        <v>490.4949916983893</v>
      </c>
      <c r="K64" s="232">
        <v>125</v>
      </c>
      <c r="L64" s="265">
        <v>615.4949916983893</v>
      </c>
      <c r="M64" s="234">
        <v>49.505008301610701</v>
      </c>
      <c r="N64" s="235">
        <v>7.4443621506181501E-2</v>
      </c>
      <c r="O64" s="236"/>
      <c r="P64" s="376"/>
      <c r="Q64" s="227"/>
      <c r="S64" s="293">
        <f t="shared" ref="S64:S69" si="172">J64+J64*$S$62</f>
        <v>613.1187396229866</v>
      </c>
      <c r="T64" s="293">
        <f t="shared" ref="T64:T69" si="173">S64-J64</f>
        <v>122.6237479245973</v>
      </c>
      <c r="U64" s="308">
        <f t="shared" ref="U64:U69" si="174">T64/S64</f>
        <v>0.19999999999999996</v>
      </c>
      <c r="V64" s="293">
        <f t="shared" ref="V64:V69" si="175">L64+L64*$V$62</f>
        <v>683.19944078521212</v>
      </c>
      <c r="W64" s="293">
        <f t="shared" ref="W64:W69" si="176">V64-L64</f>
        <v>67.704449086822819</v>
      </c>
      <c r="X64" s="308">
        <f t="shared" ref="X64:X69" si="177">W64/S64</f>
        <v>0.11042632480692896</v>
      </c>
      <c r="Z64" s="293">
        <f t="shared" si="161"/>
        <v>696.86342960091633</v>
      </c>
      <c r="AA64" s="293">
        <f t="shared" si="162"/>
        <v>81.368437902527035</v>
      </c>
      <c r="AB64" s="308">
        <f t="shared" si="163"/>
        <v>0.11676382264617555</v>
      </c>
      <c r="AD64" s="299">
        <f t="shared" si="164"/>
        <v>696.86342960091633</v>
      </c>
      <c r="AE64" s="130">
        <v>0.03</v>
      </c>
      <c r="AF64" s="302">
        <f t="shared" si="165"/>
        <v>20.905902888027491</v>
      </c>
      <c r="AG64" s="302">
        <f t="shared" si="166"/>
        <v>675.95752671288881</v>
      </c>
      <c r="AH64" s="302">
        <f t="shared" si="167"/>
        <v>696.86342960091633</v>
      </c>
      <c r="AI64" s="130">
        <v>0.05</v>
      </c>
      <c r="AJ64" s="302">
        <f t="shared" si="168"/>
        <v>34.843171480045818</v>
      </c>
      <c r="AK64" s="302">
        <f t="shared" si="169"/>
        <v>662.02025812087049</v>
      </c>
      <c r="AL64" s="317">
        <f t="shared" si="170"/>
        <v>10.957526712888807</v>
      </c>
      <c r="AM64" s="318">
        <f t="shared" si="171"/>
        <v>-2.9797418791295058</v>
      </c>
    </row>
    <row r="65" spans="1:39" ht="16.5" outlineLevel="1">
      <c r="A65" s="225">
        <v>1</v>
      </c>
      <c r="B65" s="227" t="s">
        <v>321</v>
      </c>
      <c r="C65" s="227" t="s">
        <v>49</v>
      </c>
      <c r="D65" s="228" t="s">
        <v>281</v>
      </c>
      <c r="E65" s="230">
        <v>27000</v>
      </c>
      <c r="F65" s="230">
        <v>0</v>
      </c>
      <c r="G65" s="230">
        <v>665</v>
      </c>
      <c r="H65" s="231">
        <v>665</v>
      </c>
      <c r="I65" s="232">
        <v>0</v>
      </c>
      <c r="J65" s="232">
        <f t="shared" si="156"/>
        <v>490.4949916983893</v>
      </c>
      <c r="K65" s="232">
        <v>125</v>
      </c>
      <c r="L65" s="265">
        <v>615.4949916983893</v>
      </c>
      <c r="M65" s="234">
        <v>49.505008301610701</v>
      </c>
      <c r="N65" s="235">
        <v>7.4443621506181501E-2</v>
      </c>
      <c r="O65" s="236"/>
      <c r="P65" s="376"/>
      <c r="Q65" s="227"/>
      <c r="S65" s="293">
        <f t="shared" si="172"/>
        <v>613.1187396229866</v>
      </c>
      <c r="T65" s="293">
        <f t="shared" si="173"/>
        <v>122.6237479245973</v>
      </c>
      <c r="U65" s="308">
        <f t="shared" si="174"/>
        <v>0.19999999999999996</v>
      </c>
      <c r="V65" s="293">
        <f t="shared" si="175"/>
        <v>683.19944078521212</v>
      </c>
      <c r="W65" s="293">
        <f t="shared" si="176"/>
        <v>67.704449086822819</v>
      </c>
      <c r="X65" s="308">
        <f t="shared" si="177"/>
        <v>0.11042632480692896</v>
      </c>
      <c r="Z65" s="293">
        <f t="shared" si="161"/>
        <v>696.86342960091633</v>
      </c>
      <c r="AA65" s="293">
        <f t="shared" si="162"/>
        <v>81.368437902527035</v>
      </c>
      <c r="AB65" s="308">
        <f t="shared" si="163"/>
        <v>0.11676382264617555</v>
      </c>
      <c r="AD65" s="299">
        <f t="shared" si="164"/>
        <v>696.86342960091633</v>
      </c>
      <c r="AE65" s="130">
        <v>0.03</v>
      </c>
      <c r="AF65" s="302">
        <f t="shared" si="165"/>
        <v>20.905902888027491</v>
      </c>
      <c r="AG65" s="302">
        <f t="shared" si="166"/>
        <v>675.95752671288881</v>
      </c>
      <c r="AH65" s="302">
        <f t="shared" si="167"/>
        <v>696.86342960091633</v>
      </c>
      <c r="AI65" s="130">
        <v>0.05</v>
      </c>
      <c r="AJ65" s="302">
        <f t="shared" si="168"/>
        <v>34.843171480045818</v>
      </c>
      <c r="AK65" s="302">
        <f t="shared" si="169"/>
        <v>662.02025812087049</v>
      </c>
      <c r="AL65" s="317">
        <f t="shared" si="170"/>
        <v>10.957526712888807</v>
      </c>
      <c r="AM65" s="318">
        <f t="shared" si="171"/>
        <v>-2.9797418791295058</v>
      </c>
    </row>
    <row r="66" spans="1:39" ht="16.5" outlineLevel="1">
      <c r="A66" s="225">
        <v>7</v>
      </c>
      <c r="B66" s="227" t="s">
        <v>322</v>
      </c>
      <c r="C66" s="227" t="s">
        <v>50</v>
      </c>
      <c r="D66" s="228" t="s">
        <v>295</v>
      </c>
      <c r="E66" s="230">
        <v>65925</v>
      </c>
      <c r="F66" s="230">
        <v>0</v>
      </c>
      <c r="G66" s="230">
        <v>665</v>
      </c>
      <c r="H66" s="231">
        <v>665</v>
      </c>
      <c r="I66" s="232">
        <v>0</v>
      </c>
      <c r="J66" s="232">
        <f t="shared" si="156"/>
        <v>490.4949916983893</v>
      </c>
      <c r="K66" s="232">
        <v>125</v>
      </c>
      <c r="L66" s="265">
        <v>615.4949916983893</v>
      </c>
      <c r="M66" s="234">
        <v>49.505008301610701</v>
      </c>
      <c r="N66" s="235">
        <v>7.4443621506181501E-2</v>
      </c>
      <c r="O66" s="236"/>
      <c r="P66" s="376"/>
      <c r="Q66" s="227"/>
      <c r="S66" s="293">
        <f t="shared" si="172"/>
        <v>613.1187396229866</v>
      </c>
      <c r="T66" s="293">
        <f t="shared" si="173"/>
        <v>122.6237479245973</v>
      </c>
      <c r="U66" s="308">
        <f t="shared" si="174"/>
        <v>0.19999999999999996</v>
      </c>
      <c r="V66" s="293">
        <f t="shared" si="175"/>
        <v>683.19944078521212</v>
      </c>
      <c r="W66" s="293">
        <f t="shared" si="176"/>
        <v>67.704449086822819</v>
      </c>
      <c r="X66" s="308">
        <f t="shared" si="177"/>
        <v>0.11042632480692896</v>
      </c>
      <c r="Z66" s="293">
        <f t="shared" si="161"/>
        <v>696.86342960091633</v>
      </c>
      <c r="AA66" s="293">
        <f t="shared" si="162"/>
        <v>81.368437902527035</v>
      </c>
      <c r="AB66" s="308">
        <f t="shared" si="163"/>
        <v>0.11676382264617555</v>
      </c>
      <c r="AD66" s="299">
        <f t="shared" si="164"/>
        <v>696.86342960091633</v>
      </c>
      <c r="AE66" s="130">
        <v>0.03</v>
      </c>
      <c r="AF66" s="302">
        <f t="shared" si="165"/>
        <v>20.905902888027491</v>
      </c>
      <c r="AG66" s="302">
        <f t="shared" si="166"/>
        <v>675.95752671288881</v>
      </c>
      <c r="AH66" s="302">
        <f t="shared" si="167"/>
        <v>696.86342960091633</v>
      </c>
      <c r="AI66" s="130">
        <v>0.05</v>
      </c>
      <c r="AJ66" s="302">
        <f t="shared" si="168"/>
        <v>34.843171480045818</v>
      </c>
      <c r="AK66" s="302">
        <f t="shared" si="169"/>
        <v>662.02025812087049</v>
      </c>
      <c r="AL66" s="317">
        <f t="shared" si="170"/>
        <v>10.957526712888807</v>
      </c>
      <c r="AM66" s="318">
        <f t="shared" si="171"/>
        <v>-2.9797418791295058</v>
      </c>
    </row>
    <row r="67" spans="1:39" ht="16.5" outlineLevel="1">
      <c r="A67" s="225">
        <v>5</v>
      </c>
      <c r="B67" s="227" t="s">
        <v>323</v>
      </c>
      <c r="C67" s="227" t="s">
        <v>324</v>
      </c>
      <c r="D67" s="228" t="s">
        <v>269</v>
      </c>
      <c r="E67" s="230">
        <v>108125.2</v>
      </c>
      <c r="F67" s="230">
        <v>56500</v>
      </c>
      <c r="G67" s="230">
        <v>665</v>
      </c>
      <c r="H67" s="231">
        <v>665</v>
      </c>
      <c r="I67" s="232">
        <v>0</v>
      </c>
      <c r="J67" s="232">
        <f t="shared" si="156"/>
        <v>490.4949916983893</v>
      </c>
      <c r="K67" s="232">
        <v>125</v>
      </c>
      <c r="L67" s="265">
        <v>615.4949916983893</v>
      </c>
      <c r="M67" s="234">
        <v>49.505008301610701</v>
      </c>
      <c r="N67" s="235">
        <v>7.4443621506181501E-2</v>
      </c>
      <c r="O67" s="236"/>
      <c r="P67" s="376"/>
      <c r="Q67" s="227"/>
      <c r="S67" s="293">
        <f t="shared" si="172"/>
        <v>613.1187396229866</v>
      </c>
      <c r="T67" s="293">
        <f t="shared" si="173"/>
        <v>122.6237479245973</v>
      </c>
      <c r="U67" s="308">
        <f t="shared" si="174"/>
        <v>0.19999999999999996</v>
      </c>
      <c r="V67" s="293">
        <f t="shared" si="175"/>
        <v>683.19944078521212</v>
      </c>
      <c r="W67" s="293">
        <f t="shared" si="176"/>
        <v>67.704449086822819</v>
      </c>
      <c r="X67" s="308">
        <f t="shared" si="177"/>
        <v>0.11042632480692896</v>
      </c>
      <c r="Z67" s="293">
        <f t="shared" si="161"/>
        <v>696.86342960091633</v>
      </c>
      <c r="AA67" s="293">
        <f t="shared" si="162"/>
        <v>81.368437902527035</v>
      </c>
      <c r="AB67" s="308">
        <f t="shared" si="163"/>
        <v>0.11676382264617555</v>
      </c>
      <c r="AD67" s="299">
        <f t="shared" si="164"/>
        <v>696.86342960091633</v>
      </c>
      <c r="AE67" s="130">
        <v>0.03</v>
      </c>
      <c r="AF67" s="302">
        <f t="shared" si="165"/>
        <v>20.905902888027491</v>
      </c>
      <c r="AG67" s="302">
        <f t="shared" si="166"/>
        <v>675.95752671288881</v>
      </c>
      <c r="AH67" s="302">
        <f t="shared" si="167"/>
        <v>696.86342960091633</v>
      </c>
      <c r="AI67" s="130">
        <v>0.05</v>
      </c>
      <c r="AJ67" s="302">
        <f t="shared" si="168"/>
        <v>34.843171480045818</v>
      </c>
      <c r="AK67" s="302">
        <f t="shared" si="169"/>
        <v>662.02025812087049</v>
      </c>
      <c r="AL67" s="317">
        <f t="shared" si="170"/>
        <v>10.957526712888807</v>
      </c>
      <c r="AM67" s="318">
        <f t="shared" si="171"/>
        <v>-2.9797418791295058</v>
      </c>
    </row>
    <row r="68" spans="1:39" ht="16.5" outlineLevel="1">
      <c r="A68" s="225">
        <v>6</v>
      </c>
      <c r="B68" s="227" t="s">
        <v>149</v>
      </c>
      <c r="C68" s="227" t="s">
        <v>150</v>
      </c>
      <c r="D68" s="228" t="s">
        <v>45</v>
      </c>
      <c r="E68" s="230">
        <v>37672</v>
      </c>
      <c r="F68" s="230">
        <v>2250</v>
      </c>
      <c r="G68" s="230">
        <v>665</v>
      </c>
      <c r="H68" s="231">
        <v>665</v>
      </c>
      <c r="I68" s="232">
        <v>0</v>
      </c>
      <c r="J68" s="232">
        <f t="shared" si="156"/>
        <v>490.4949916983893</v>
      </c>
      <c r="K68" s="232">
        <v>125</v>
      </c>
      <c r="L68" s="265">
        <v>615.4949916983893</v>
      </c>
      <c r="M68" s="234">
        <v>49.505008301610701</v>
      </c>
      <c r="N68" s="235">
        <v>7.4443621506181501E-2</v>
      </c>
      <c r="O68" s="236"/>
      <c r="P68" s="376"/>
      <c r="Q68" s="227"/>
      <c r="S68" s="293">
        <f t="shared" si="172"/>
        <v>613.1187396229866</v>
      </c>
      <c r="T68" s="293">
        <f t="shared" si="173"/>
        <v>122.6237479245973</v>
      </c>
      <c r="U68" s="308">
        <f t="shared" si="174"/>
        <v>0.19999999999999996</v>
      </c>
      <c r="V68" s="293">
        <f t="shared" si="175"/>
        <v>683.19944078521212</v>
      </c>
      <c r="W68" s="293">
        <f t="shared" si="176"/>
        <v>67.704449086822819</v>
      </c>
      <c r="X68" s="308">
        <f t="shared" si="177"/>
        <v>0.11042632480692896</v>
      </c>
      <c r="Z68" s="293">
        <f t="shared" si="161"/>
        <v>696.86342960091633</v>
      </c>
      <c r="AA68" s="293">
        <f t="shared" si="162"/>
        <v>81.368437902527035</v>
      </c>
      <c r="AB68" s="308">
        <f t="shared" si="163"/>
        <v>0.11676382264617555</v>
      </c>
      <c r="AD68" s="299">
        <f t="shared" si="164"/>
        <v>696.86342960091633</v>
      </c>
      <c r="AE68" s="130">
        <v>0.03</v>
      </c>
      <c r="AF68" s="302">
        <f t="shared" si="165"/>
        <v>20.905902888027491</v>
      </c>
      <c r="AG68" s="302">
        <f t="shared" si="166"/>
        <v>675.95752671288881</v>
      </c>
      <c r="AH68" s="302">
        <f t="shared" si="167"/>
        <v>696.86342960091633</v>
      </c>
      <c r="AI68" s="130">
        <v>0.05</v>
      </c>
      <c r="AJ68" s="302">
        <f t="shared" si="168"/>
        <v>34.843171480045818</v>
      </c>
      <c r="AK68" s="302">
        <f t="shared" si="169"/>
        <v>662.02025812087049</v>
      </c>
      <c r="AL68" s="317">
        <f t="shared" si="170"/>
        <v>10.957526712888807</v>
      </c>
      <c r="AM68" s="318">
        <f t="shared" si="171"/>
        <v>-2.9797418791295058</v>
      </c>
    </row>
    <row r="69" spans="1:39" ht="16.5" outlineLevel="1">
      <c r="A69" s="225">
        <v>7</v>
      </c>
      <c r="B69" s="227" t="s">
        <v>325</v>
      </c>
      <c r="C69" s="227" t="s">
        <v>326</v>
      </c>
      <c r="D69" s="228" t="s">
        <v>327</v>
      </c>
      <c r="E69" s="230">
        <v>157174.5</v>
      </c>
      <c r="F69" s="230">
        <v>0</v>
      </c>
      <c r="G69" s="230">
        <v>665</v>
      </c>
      <c r="H69" s="231">
        <v>665</v>
      </c>
      <c r="I69" s="232">
        <v>0</v>
      </c>
      <c r="J69" s="232">
        <f t="shared" si="156"/>
        <v>490.4949916983893</v>
      </c>
      <c r="K69" s="232">
        <v>125</v>
      </c>
      <c r="L69" s="265">
        <v>615.4949916983893</v>
      </c>
      <c r="M69" s="234">
        <v>49.505008301610701</v>
      </c>
      <c r="N69" s="235">
        <v>7.4443621506181501E-2</v>
      </c>
      <c r="O69" s="236"/>
      <c r="P69" s="377"/>
      <c r="Q69" s="227"/>
      <c r="S69" s="293">
        <f t="shared" si="172"/>
        <v>613.1187396229866</v>
      </c>
      <c r="T69" s="293">
        <f t="shared" si="173"/>
        <v>122.6237479245973</v>
      </c>
      <c r="U69" s="308">
        <f t="shared" si="174"/>
        <v>0.19999999999999996</v>
      </c>
      <c r="V69" s="293">
        <f t="shared" si="175"/>
        <v>683.19944078521212</v>
      </c>
      <c r="W69" s="293">
        <f t="shared" si="176"/>
        <v>67.704449086822819</v>
      </c>
      <c r="X69" s="308">
        <f t="shared" si="177"/>
        <v>0.11042632480692896</v>
      </c>
      <c r="Z69" s="293">
        <f t="shared" si="161"/>
        <v>696.86342960091633</v>
      </c>
      <c r="AA69" s="293">
        <f t="shared" si="162"/>
        <v>81.368437902527035</v>
      </c>
      <c r="AB69" s="308">
        <f t="shared" si="163"/>
        <v>0.11676382264617555</v>
      </c>
      <c r="AD69" s="299">
        <f t="shared" si="164"/>
        <v>696.86342960091633</v>
      </c>
      <c r="AE69" s="130">
        <v>0.03</v>
      </c>
      <c r="AF69" s="302">
        <f t="shared" si="165"/>
        <v>20.905902888027491</v>
      </c>
      <c r="AG69" s="302">
        <f t="shared" si="166"/>
        <v>675.95752671288881</v>
      </c>
      <c r="AH69" s="302">
        <f t="shared" si="167"/>
        <v>696.86342960091633</v>
      </c>
      <c r="AI69" s="130">
        <v>0.05</v>
      </c>
      <c r="AJ69" s="302">
        <f t="shared" si="168"/>
        <v>34.843171480045818</v>
      </c>
      <c r="AK69" s="302">
        <f t="shared" si="169"/>
        <v>662.02025812087049</v>
      </c>
      <c r="AL69" s="317">
        <f t="shared" si="170"/>
        <v>10.957526712888807</v>
      </c>
      <c r="AM69" s="318">
        <f t="shared" si="171"/>
        <v>-2.9797418791295058</v>
      </c>
    </row>
    <row r="70" spans="1:39" s="218" customFormat="1" ht="15.5">
      <c r="A70" s="219" t="s">
        <v>44</v>
      </c>
      <c r="B70" s="220" t="s">
        <v>231</v>
      </c>
      <c r="C70" s="220"/>
      <c r="D70" s="221"/>
      <c r="E70" s="243"/>
      <c r="F70" s="243"/>
      <c r="G70" s="243"/>
      <c r="H70" s="244"/>
      <c r="I70" s="245"/>
      <c r="J70" s="245"/>
      <c r="K70" s="245"/>
      <c r="L70" s="246"/>
      <c r="M70" s="245"/>
      <c r="N70" s="247"/>
      <c r="O70" s="248"/>
      <c r="P70" s="220"/>
      <c r="Q70" s="220"/>
      <c r="S70" s="296">
        <v>0.25</v>
      </c>
      <c r="V70" s="296">
        <v>0.11</v>
      </c>
    </row>
    <row r="71" spans="1:39" ht="16.5" outlineLevel="1">
      <c r="A71" s="225">
        <v>1</v>
      </c>
      <c r="B71" s="227" t="s">
        <v>328</v>
      </c>
      <c r="C71" s="227" t="s">
        <v>329</v>
      </c>
      <c r="D71" s="228" t="s">
        <v>295</v>
      </c>
      <c r="E71" s="230">
        <v>5700</v>
      </c>
      <c r="F71" s="230">
        <v>0</v>
      </c>
      <c r="G71" s="230"/>
      <c r="H71" s="231"/>
      <c r="I71" s="234"/>
      <c r="J71" s="232">
        <f t="shared" ref="J71" si="178">L71-K71</f>
        <v>-125</v>
      </c>
      <c r="K71" s="232">
        <v>125</v>
      </c>
      <c r="L71" s="233"/>
      <c r="M71" s="232"/>
      <c r="N71" s="235"/>
      <c r="O71" s="236"/>
      <c r="P71" s="227" t="s">
        <v>330</v>
      </c>
      <c r="Q71" s="227" t="s">
        <v>331</v>
      </c>
      <c r="S71" s="293">
        <f>J71+J71*$S$70</f>
        <v>-156.25</v>
      </c>
      <c r="T71" s="293">
        <f t="shared" ref="T71" si="179">S71-J71</f>
        <v>-31.25</v>
      </c>
      <c r="U71" s="308">
        <f t="shared" ref="U71" si="180">T71/S71</f>
        <v>0.2</v>
      </c>
      <c r="V71" s="293">
        <f>L71+L71*$V$70</f>
        <v>0</v>
      </c>
      <c r="W71" s="293">
        <f t="shared" ref="W71" si="181">V71-L71</f>
        <v>0</v>
      </c>
      <c r="X71" s="308">
        <f t="shared" ref="X71" si="182">W71/S71</f>
        <v>0</v>
      </c>
      <c r="Z71" s="293">
        <f t="shared" ref="Z71" si="183">V71+V71*Z$6</f>
        <v>0</v>
      </c>
      <c r="AA71" s="293">
        <f t="shared" ref="AA71" si="184">Z71-L71</f>
        <v>0</v>
      </c>
      <c r="AB71" s="308" t="e">
        <f t="shared" ref="AB71" si="185">AA71/Z71</f>
        <v>#DIV/0!</v>
      </c>
      <c r="AD71" s="299">
        <f t="shared" ref="AD71" si="186">Z71</f>
        <v>0</v>
      </c>
      <c r="AE71" s="130">
        <v>0.03</v>
      </c>
      <c r="AF71" s="302">
        <f t="shared" ref="AF71" si="187">AD71*AE71</f>
        <v>0</v>
      </c>
      <c r="AG71" s="302">
        <f t="shared" ref="AG71" si="188">AD71-AF71</f>
        <v>0</v>
      </c>
      <c r="AH71" s="302">
        <f t="shared" ref="AH71" si="189">AD71</f>
        <v>0</v>
      </c>
      <c r="AI71" s="130">
        <v>0.05</v>
      </c>
      <c r="AJ71" s="302">
        <f t="shared" ref="AJ71" si="190">AH71*AI71</f>
        <v>0</v>
      </c>
      <c r="AK71" s="302">
        <f t="shared" ref="AK71" si="191">AH71-AJ71</f>
        <v>0</v>
      </c>
      <c r="AL71" s="317">
        <f t="shared" ref="AL71" si="192">AG71-H71</f>
        <v>0</v>
      </c>
      <c r="AM71" s="318">
        <f t="shared" ref="AM71" si="193">AK71-H71</f>
        <v>0</v>
      </c>
    </row>
    <row r="72" spans="1:39" outlineLevel="1">
      <c r="A72" s="225"/>
      <c r="B72" s="227"/>
      <c r="C72" s="227"/>
      <c r="D72" s="228"/>
      <c r="E72" s="230"/>
      <c r="F72" s="230"/>
      <c r="G72" s="230"/>
      <c r="H72" s="231"/>
      <c r="I72" s="234"/>
      <c r="J72" s="234"/>
      <c r="K72" s="234"/>
      <c r="L72" s="233"/>
      <c r="M72" s="232"/>
      <c r="N72" s="235"/>
      <c r="O72" s="236"/>
      <c r="P72" s="227"/>
      <c r="Q72" s="227"/>
    </row>
    <row r="73" spans="1:39" s="218" customFormat="1" ht="15.5">
      <c r="A73" s="212" t="s">
        <v>332</v>
      </c>
      <c r="B73" s="213" t="s">
        <v>333</v>
      </c>
      <c r="C73" s="213"/>
      <c r="D73" s="214"/>
      <c r="E73" s="256"/>
      <c r="F73" s="256"/>
      <c r="G73" s="256"/>
      <c r="H73" s="257"/>
      <c r="I73" s="258"/>
      <c r="J73" s="258"/>
      <c r="K73" s="258"/>
      <c r="L73" s="259"/>
      <c r="M73" s="266"/>
      <c r="N73" s="260"/>
      <c r="O73" s="261"/>
      <c r="P73" s="213"/>
      <c r="Q73" s="213"/>
    </row>
    <row r="74" spans="1:39" s="218" customFormat="1" ht="15.5">
      <c r="A74" s="219" t="s">
        <v>43</v>
      </c>
      <c r="B74" s="220" t="s">
        <v>221</v>
      </c>
      <c r="C74" s="220"/>
      <c r="D74" s="221"/>
      <c r="E74" s="243"/>
      <c r="F74" s="243"/>
      <c r="G74" s="243"/>
      <c r="H74" s="244"/>
      <c r="I74" s="245"/>
      <c r="J74" s="245"/>
      <c r="K74" s="245"/>
      <c r="L74" s="246"/>
      <c r="M74" s="267"/>
      <c r="N74" s="247"/>
      <c r="O74" s="248"/>
      <c r="P74" s="220"/>
      <c r="Q74" s="220"/>
      <c r="S74" s="295">
        <v>0.2</v>
      </c>
    </row>
    <row r="75" spans="1:39" ht="16.5" outlineLevel="1">
      <c r="A75" s="225">
        <v>1</v>
      </c>
      <c r="B75" s="227" t="s">
        <v>334</v>
      </c>
      <c r="C75" s="227" t="s">
        <v>335</v>
      </c>
      <c r="D75" s="228" t="s">
        <v>300</v>
      </c>
      <c r="E75" s="230">
        <v>3890</v>
      </c>
      <c r="F75" s="230">
        <v>0</v>
      </c>
      <c r="G75" s="268" t="s">
        <v>336</v>
      </c>
      <c r="H75" s="269" t="s">
        <v>337</v>
      </c>
      <c r="I75" s="270" t="s">
        <v>338</v>
      </c>
      <c r="J75" s="232">
        <f t="shared" ref="J75:J83" si="194">L75-K75</f>
        <v>917.15094339622647</v>
      </c>
      <c r="K75" s="232">
        <v>125</v>
      </c>
      <c r="L75" s="233">
        <v>1042.1509433962265</v>
      </c>
      <c r="M75" s="271" t="s">
        <v>339</v>
      </c>
      <c r="N75" s="272" t="s">
        <v>340</v>
      </c>
      <c r="O75" s="273"/>
      <c r="P75" s="227" t="s">
        <v>341</v>
      </c>
      <c r="Q75" s="227" t="s">
        <v>227</v>
      </c>
      <c r="S75" s="293">
        <f>J75+J75*$S$74</f>
        <v>1100.5811320754717</v>
      </c>
      <c r="T75" s="293">
        <f t="shared" ref="T75" si="195">S75-J75</f>
        <v>183.43018867924525</v>
      </c>
      <c r="U75" s="308">
        <f t="shared" ref="U75" si="196">T75/S75</f>
        <v>0.16666666666666663</v>
      </c>
      <c r="V75" s="293">
        <f>L75+L75*$V$74</f>
        <v>1042.1509433962265</v>
      </c>
      <c r="W75" s="293">
        <f t="shared" ref="W75" si="197">V75-L75</f>
        <v>0</v>
      </c>
      <c r="X75" s="308">
        <f t="shared" ref="X75" si="198">W75/S75</f>
        <v>0</v>
      </c>
      <c r="Z75" s="293">
        <f t="shared" ref="Z75:Z83" si="199">V75+V75*Z$6</f>
        <v>1062.9939622641509</v>
      </c>
      <c r="AA75" s="293">
        <f t="shared" ref="AA75:AA83" si="200">Z75-L75</f>
        <v>20.843018867924457</v>
      </c>
      <c r="AB75" s="308">
        <f t="shared" ref="AB75:AB83" si="201">AA75/Z75</f>
        <v>1.9607843137254836E-2</v>
      </c>
      <c r="AD75" s="299">
        <f t="shared" ref="AD75:AD83" si="202">Z75</f>
        <v>1062.9939622641509</v>
      </c>
      <c r="AE75" s="130">
        <v>0.03</v>
      </c>
      <c r="AF75" s="302">
        <f t="shared" ref="AF75:AF83" si="203">AD75*AE75</f>
        <v>31.889818867924525</v>
      </c>
      <c r="AG75" s="302">
        <f t="shared" ref="AG75:AG83" si="204">AD75-AF75</f>
        <v>1031.1041433962264</v>
      </c>
      <c r="AH75" s="302">
        <f t="shared" ref="AH75:AH83" si="205">AD75</f>
        <v>1062.9939622641509</v>
      </c>
      <c r="AI75" s="130">
        <v>0.05</v>
      </c>
      <c r="AJ75" s="302">
        <f t="shared" ref="AJ75:AJ83" si="206">AH75*AI75</f>
        <v>53.149698113207549</v>
      </c>
      <c r="AK75" s="302">
        <f t="shared" ref="AK75:AK83" si="207">AH75-AJ75</f>
        <v>1009.8442641509433</v>
      </c>
      <c r="AL75" s="317" t="e">
        <f t="shared" ref="AL75:AL83" si="208">AG75-H75</f>
        <v>#VALUE!</v>
      </c>
      <c r="AM75" s="318" t="e">
        <f t="shared" ref="AM75:AM83" si="209">AK75-H75</f>
        <v>#VALUE!</v>
      </c>
    </row>
    <row r="76" spans="1:39" ht="16.5" outlineLevel="1">
      <c r="A76" s="225">
        <v>2</v>
      </c>
      <c r="B76" s="227" t="s">
        <v>342</v>
      </c>
      <c r="C76" s="227" t="s">
        <v>343</v>
      </c>
      <c r="D76" s="228" t="s">
        <v>295</v>
      </c>
      <c r="E76" s="230">
        <v>6947</v>
      </c>
      <c r="F76" s="230">
        <v>18000</v>
      </c>
      <c r="G76" s="268" t="s">
        <v>336</v>
      </c>
      <c r="H76" s="269" t="s">
        <v>337</v>
      </c>
      <c r="I76" s="270" t="s">
        <v>338</v>
      </c>
      <c r="J76" s="232">
        <f t="shared" si="194"/>
        <v>885.98113207547169</v>
      </c>
      <c r="K76" s="232">
        <v>125</v>
      </c>
      <c r="L76" s="233">
        <v>1010.9811320754717</v>
      </c>
      <c r="M76" s="271" t="s">
        <v>344</v>
      </c>
      <c r="N76" s="272" t="s">
        <v>345</v>
      </c>
      <c r="O76" s="273"/>
      <c r="P76" s="227" t="s">
        <v>341</v>
      </c>
      <c r="Q76" s="227" t="s">
        <v>227</v>
      </c>
      <c r="S76" s="293">
        <f t="shared" ref="S76:S83" si="210">J76+J76*$S$74</f>
        <v>1063.1773584905661</v>
      </c>
      <c r="T76" s="293">
        <f t="shared" ref="T76:T83" si="211">S76-J76</f>
        <v>177.19622641509443</v>
      </c>
      <c r="U76" s="308">
        <f t="shared" ref="U76:U83" si="212">T76/S76</f>
        <v>0.16666666666666674</v>
      </c>
      <c r="V76" s="293">
        <f t="shared" ref="V76:V83" si="213">L76+L76*$V$74</f>
        <v>1010.9811320754717</v>
      </c>
      <c r="W76" s="293">
        <f t="shared" ref="W76:W83" si="214">V76-L76</f>
        <v>0</v>
      </c>
      <c r="X76" s="308">
        <f t="shared" ref="X76:X83" si="215">W76/S76</f>
        <v>0</v>
      </c>
      <c r="Z76" s="293">
        <f t="shared" si="199"/>
        <v>1031.2007547169812</v>
      </c>
      <c r="AA76" s="293">
        <f t="shared" si="200"/>
        <v>20.219622641509545</v>
      </c>
      <c r="AB76" s="308">
        <f t="shared" si="201"/>
        <v>1.9607843137255009E-2</v>
      </c>
      <c r="AD76" s="299">
        <f t="shared" si="202"/>
        <v>1031.2007547169812</v>
      </c>
      <c r="AE76" s="130">
        <v>0.03</v>
      </c>
      <c r="AF76" s="302">
        <f t="shared" si="203"/>
        <v>30.936022641509435</v>
      </c>
      <c r="AG76" s="302">
        <f t="shared" si="204"/>
        <v>1000.2647320754718</v>
      </c>
      <c r="AH76" s="302">
        <f t="shared" si="205"/>
        <v>1031.2007547169812</v>
      </c>
      <c r="AI76" s="130">
        <v>0.05</v>
      </c>
      <c r="AJ76" s="302">
        <f t="shared" si="206"/>
        <v>51.560037735849065</v>
      </c>
      <c r="AK76" s="302">
        <f t="shared" si="207"/>
        <v>979.64071698113219</v>
      </c>
      <c r="AL76" s="317" t="e">
        <f t="shared" si="208"/>
        <v>#VALUE!</v>
      </c>
      <c r="AM76" s="318" t="e">
        <f t="shared" si="209"/>
        <v>#VALUE!</v>
      </c>
    </row>
    <row r="77" spans="1:39" ht="16.5" outlineLevel="1">
      <c r="A77" s="225">
        <v>3</v>
      </c>
      <c r="B77" s="227" t="s">
        <v>346</v>
      </c>
      <c r="C77" s="227" t="s">
        <v>347</v>
      </c>
      <c r="D77" s="228" t="s">
        <v>76</v>
      </c>
      <c r="E77" s="230">
        <v>11000</v>
      </c>
      <c r="F77" s="230">
        <v>6000</v>
      </c>
      <c r="G77" s="268" t="s">
        <v>336</v>
      </c>
      <c r="H77" s="269" t="s">
        <v>337</v>
      </c>
      <c r="I77" s="270" t="s">
        <v>338</v>
      </c>
      <c r="J77" s="232">
        <f t="shared" si="194"/>
        <v>1092.6226415094341</v>
      </c>
      <c r="K77" s="232">
        <v>125</v>
      </c>
      <c r="L77" s="233">
        <v>1217.6226415094341</v>
      </c>
      <c r="M77" s="271" t="s">
        <v>348</v>
      </c>
      <c r="N77" s="272" t="s">
        <v>349</v>
      </c>
      <c r="O77" s="273"/>
      <c r="P77" s="227" t="s">
        <v>341</v>
      </c>
      <c r="Q77" s="227" t="s">
        <v>227</v>
      </c>
      <c r="S77" s="293">
        <f t="shared" si="210"/>
        <v>1311.147169811321</v>
      </c>
      <c r="T77" s="293">
        <f t="shared" si="211"/>
        <v>218.5245283018869</v>
      </c>
      <c r="U77" s="308">
        <f t="shared" si="212"/>
        <v>0.16666666666666671</v>
      </c>
      <c r="V77" s="293">
        <f t="shared" si="213"/>
        <v>1217.6226415094341</v>
      </c>
      <c r="W77" s="293">
        <f t="shared" si="214"/>
        <v>0</v>
      </c>
      <c r="X77" s="308">
        <f t="shared" si="215"/>
        <v>0</v>
      </c>
      <c r="Z77" s="293">
        <f t="shared" si="199"/>
        <v>1241.9750943396227</v>
      </c>
      <c r="AA77" s="293">
        <f t="shared" si="200"/>
        <v>24.352452830188668</v>
      </c>
      <c r="AB77" s="308">
        <f t="shared" si="201"/>
        <v>1.9607843137254891E-2</v>
      </c>
      <c r="AD77" s="299">
        <f t="shared" si="202"/>
        <v>1241.9750943396227</v>
      </c>
      <c r="AE77" s="130">
        <v>0.03</v>
      </c>
      <c r="AF77" s="302">
        <f t="shared" si="203"/>
        <v>37.259252830188679</v>
      </c>
      <c r="AG77" s="302">
        <f t="shared" si="204"/>
        <v>1204.7158415094341</v>
      </c>
      <c r="AH77" s="302">
        <f t="shared" si="205"/>
        <v>1241.9750943396227</v>
      </c>
      <c r="AI77" s="130">
        <v>0.05</v>
      </c>
      <c r="AJ77" s="302">
        <f t="shared" si="206"/>
        <v>62.098754716981141</v>
      </c>
      <c r="AK77" s="302">
        <f t="shared" si="207"/>
        <v>1179.8763396226416</v>
      </c>
      <c r="AL77" s="317" t="e">
        <f t="shared" si="208"/>
        <v>#VALUE!</v>
      </c>
      <c r="AM77" s="318" t="e">
        <f t="shared" si="209"/>
        <v>#VALUE!</v>
      </c>
    </row>
    <row r="78" spans="1:39" ht="16.5" outlineLevel="1">
      <c r="A78" s="225">
        <v>4</v>
      </c>
      <c r="B78" s="227" t="s">
        <v>350</v>
      </c>
      <c r="C78" s="227" t="s">
        <v>351</v>
      </c>
      <c r="D78" s="228" t="s">
        <v>295</v>
      </c>
      <c r="E78" s="230">
        <v>1765</v>
      </c>
      <c r="F78" s="230">
        <v>0</v>
      </c>
      <c r="G78" s="268" t="s">
        <v>336</v>
      </c>
      <c r="H78" s="269" t="s">
        <v>337</v>
      </c>
      <c r="I78" s="270" t="s">
        <v>338</v>
      </c>
      <c r="J78" s="232">
        <f t="shared" si="194"/>
        <v>1010.3584905660377</v>
      </c>
      <c r="K78" s="232">
        <v>125</v>
      </c>
      <c r="L78" s="233">
        <v>1135.3584905660377</v>
      </c>
      <c r="M78" s="271" t="s">
        <v>352</v>
      </c>
      <c r="N78" s="272" t="s">
        <v>353</v>
      </c>
      <c r="O78" s="273"/>
      <c r="P78" s="227" t="s">
        <v>341</v>
      </c>
      <c r="Q78" s="227" t="s">
        <v>227</v>
      </c>
      <c r="S78" s="293">
        <f t="shared" si="210"/>
        <v>1212.4301886792452</v>
      </c>
      <c r="T78" s="293">
        <f t="shared" si="211"/>
        <v>202.0716981132075</v>
      </c>
      <c r="U78" s="308">
        <f t="shared" si="212"/>
        <v>0.16666666666666663</v>
      </c>
      <c r="V78" s="293">
        <f t="shared" si="213"/>
        <v>1135.3584905660377</v>
      </c>
      <c r="W78" s="293">
        <f t="shared" si="214"/>
        <v>0</v>
      </c>
      <c r="X78" s="308">
        <f t="shared" si="215"/>
        <v>0</v>
      </c>
      <c r="Z78" s="293">
        <f t="shared" si="199"/>
        <v>1158.0656603773584</v>
      </c>
      <c r="AA78" s="293">
        <f t="shared" si="200"/>
        <v>22.707169811320682</v>
      </c>
      <c r="AB78" s="308">
        <f t="shared" si="201"/>
        <v>1.9607843137254839E-2</v>
      </c>
      <c r="AD78" s="299">
        <f t="shared" si="202"/>
        <v>1158.0656603773584</v>
      </c>
      <c r="AE78" s="130">
        <v>0.03</v>
      </c>
      <c r="AF78" s="302">
        <f t="shared" si="203"/>
        <v>34.74196981132075</v>
      </c>
      <c r="AG78" s="302">
        <f t="shared" si="204"/>
        <v>1123.3236905660376</v>
      </c>
      <c r="AH78" s="302">
        <f t="shared" si="205"/>
        <v>1158.0656603773584</v>
      </c>
      <c r="AI78" s="130">
        <v>0.05</v>
      </c>
      <c r="AJ78" s="302">
        <f t="shared" si="206"/>
        <v>57.903283018867924</v>
      </c>
      <c r="AK78" s="302">
        <f t="shared" si="207"/>
        <v>1100.1623773584904</v>
      </c>
      <c r="AL78" s="317" t="e">
        <f t="shared" si="208"/>
        <v>#VALUE!</v>
      </c>
      <c r="AM78" s="318" t="e">
        <f t="shared" si="209"/>
        <v>#VALUE!</v>
      </c>
    </row>
    <row r="79" spans="1:39" ht="16.5" outlineLevel="1">
      <c r="A79" s="225">
        <v>5</v>
      </c>
      <c r="B79" s="227" t="s">
        <v>354</v>
      </c>
      <c r="C79" s="227" t="s">
        <v>355</v>
      </c>
      <c r="D79" s="228" t="s">
        <v>269</v>
      </c>
      <c r="E79" s="230">
        <v>518.70000000000005</v>
      </c>
      <c r="F79" s="230">
        <v>0</v>
      </c>
      <c r="G79" s="230" t="s">
        <v>336</v>
      </c>
      <c r="H79" s="269" t="s">
        <v>337</v>
      </c>
      <c r="I79" s="270" t="s">
        <v>338</v>
      </c>
      <c r="J79" s="232">
        <f t="shared" si="194"/>
        <v>1199.6415094339623</v>
      </c>
      <c r="K79" s="232">
        <v>125</v>
      </c>
      <c r="L79" s="233">
        <v>1324.6415094339623</v>
      </c>
      <c r="M79" s="271" t="s">
        <v>356</v>
      </c>
      <c r="N79" s="272" t="s">
        <v>357</v>
      </c>
      <c r="O79" s="273"/>
      <c r="P79" s="227" t="s">
        <v>341</v>
      </c>
      <c r="Q79" s="227" t="s">
        <v>227</v>
      </c>
      <c r="S79" s="293">
        <f t="shared" si="210"/>
        <v>1439.5698113207548</v>
      </c>
      <c r="T79" s="293">
        <f t="shared" si="211"/>
        <v>239.9283018867925</v>
      </c>
      <c r="U79" s="308">
        <f t="shared" si="212"/>
        <v>0.16666666666666669</v>
      </c>
      <c r="V79" s="293">
        <f t="shared" si="213"/>
        <v>1324.6415094339623</v>
      </c>
      <c r="W79" s="293">
        <f t="shared" si="214"/>
        <v>0</v>
      </c>
      <c r="X79" s="308">
        <f t="shared" si="215"/>
        <v>0</v>
      </c>
      <c r="Z79" s="293">
        <f t="shared" si="199"/>
        <v>1351.1343396226414</v>
      </c>
      <c r="AA79" s="293">
        <f t="shared" si="200"/>
        <v>26.492830188679136</v>
      </c>
      <c r="AB79" s="308">
        <f t="shared" si="201"/>
        <v>1.9607843137254822E-2</v>
      </c>
      <c r="AD79" s="299">
        <f t="shared" si="202"/>
        <v>1351.1343396226414</v>
      </c>
      <c r="AE79" s="130">
        <v>0.03</v>
      </c>
      <c r="AF79" s="302">
        <f t="shared" si="203"/>
        <v>40.534030188679239</v>
      </c>
      <c r="AG79" s="302">
        <f t="shared" si="204"/>
        <v>1310.6003094339621</v>
      </c>
      <c r="AH79" s="302">
        <f t="shared" si="205"/>
        <v>1351.1343396226414</v>
      </c>
      <c r="AI79" s="130">
        <v>0.05</v>
      </c>
      <c r="AJ79" s="302">
        <f t="shared" si="206"/>
        <v>67.55671698113207</v>
      </c>
      <c r="AK79" s="302">
        <f t="shared" si="207"/>
        <v>1283.5776226415094</v>
      </c>
      <c r="AL79" s="317" t="e">
        <f t="shared" si="208"/>
        <v>#VALUE!</v>
      </c>
      <c r="AM79" s="318" t="e">
        <f t="shared" si="209"/>
        <v>#VALUE!</v>
      </c>
    </row>
    <row r="80" spans="1:39" ht="16.5" outlineLevel="1">
      <c r="A80" s="225">
        <v>6</v>
      </c>
      <c r="B80" s="227" t="s">
        <v>358</v>
      </c>
      <c r="C80" s="227" t="s">
        <v>72</v>
      </c>
      <c r="D80" s="228" t="s">
        <v>45</v>
      </c>
      <c r="E80" s="230">
        <v>27833</v>
      </c>
      <c r="F80" s="230">
        <v>0</v>
      </c>
      <c r="G80" s="268" t="s">
        <v>359</v>
      </c>
      <c r="H80" s="269" t="s">
        <v>337</v>
      </c>
      <c r="I80" s="270" t="s">
        <v>338</v>
      </c>
      <c r="J80" s="232">
        <f t="shared" si="194"/>
        <v>565.60377358490564</v>
      </c>
      <c r="K80" s="232">
        <v>125</v>
      </c>
      <c r="L80" s="233">
        <v>690.60377358490564</v>
      </c>
      <c r="M80" s="271" t="s">
        <v>360</v>
      </c>
      <c r="N80" s="272" t="s">
        <v>361</v>
      </c>
      <c r="O80" s="274"/>
      <c r="P80" s="227" t="s">
        <v>341</v>
      </c>
      <c r="Q80" s="227" t="s">
        <v>227</v>
      </c>
      <c r="S80" s="293">
        <f t="shared" si="210"/>
        <v>678.72452830188672</v>
      </c>
      <c r="T80" s="293">
        <f t="shared" si="211"/>
        <v>113.12075471698108</v>
      </c>
      <c r="U80" s="308">
        <f t="shared" si="212"/>
        <v>0.1666666666666666</v>
      </c>
      <c r="V80" s="293">
        <f t="shared" si="213"/>
        <v>690.60377358490564</v>
      </c>
      <c r="W80" s="293">
        <f t="shared" si="214"/>
        <v>0</v>
      </c>
      <c r="X80" s="308">
        <f t="shared" si="215"/>
        <v>0</v>
      </c>
      <c r="Z80" s="293">
        <f t="shared" si="199"/>
        <v>704.41584905660375</v>
      </c>
      <c r="AA80" s="293">
        <f t="shared" si="200"/>
        <v>13.812075471698108</v>
      </c>
      <c r="AB80" s="308">
        <f t="shared" si="201"/>
        <v>1.9607843137254895E-2</v>
      </c>
      <c r="AD80" s="299">
        <f t="shared" si="202"/>
        <v>704.41584905660375</v>
      </c>
      <c r="AE80" s="130">
        <v>0.03</v>
      </c>
      <c r="AF80" s="302">
        <f t="shared" si="203"/>
        <v>21.132475471698111</v>
      </c>
      <c r="AG80" s="302">
        <f t="shared" si="204"/>
        <v>683.28337358490569</v>
      </c>
      <c r="AH80" s="302">
        <f t="shared" si="205"/>
        <v>704.41584905660375</v>
      </c>
      <c r="AI80" s="130">
        <v>0.05</v>
      </c>
      <c r="AJ80" s="302">
        <f t="shared" si="206"/>
        <v>35.220792452830189</v>
      </c>
      <c r="AK80" s="302">
        <f t="shared" si="207"/>
        <v>669.19505660377354</v>
      </c>
      <c r="AL80" s="317" t="e">
        <f t="shared" si="208"/>
        <v>#VALUE!</v>
      </c>
      <c r="AM80" s="318" t="e">
        <f t="shared" si="209"/>
        <v>#VALUE!</v>
      </c>
    </row>
    <row r="81" spans="1:39" ht="16.5" outlineLevel="1">
      <c r="A81" s="225">
        <v>7</v>
      </c>
      <c r="B81" s="227" t="s">
        <v>362</v>
      </c>
      <c r="C81" s="227" t="s">
        <v>363</v>
      </c>
      <c r="D81" s="228" t="s">
        <v>269</v>
      </c>
      <c r="E81" s="230">
        <v>3637</v>
      </c>
      <c r="F81" s="230">
        <v>25</v>
      </c>
      <c r="G81" s="268" t="s">
        <v>336</v>
      </c>
      <c r="H81" s="269" t="s">
        <v>337</v>
      </c>
      <c r="I81" s="270" t="s">
        <v>338</v>
      </c>
      <c r="J81" s="232">
        <f t="shared" si="194"/>
        <v>1238.0943396226414</v>
      </c>
      <c r="K81" s="232">
        <v>125</v>
      </c>
      <c r="L81" s="233">
        <v>1363.0943396226414</v>
      </c>
      <c r="M81" s="271" t="s">
        <v>364</v>
      </c>
      <c r="N81" s="272" t="s">
        <v>365</v>
      </c>
      <c r="O81" s="273"/>
      <c r="P81" s="227" t="s">
        <v>341</v>
      </c>
      <c r="Q81" s="227" t="s">
        <v>227</v>
      </c>
      <c r="S81" s="293">
        <f t="shared" si="210"/>
        <v>1485.7132075471698</v>
      </c>
      <c r="T81" s="293">
        <f t="shared" si="211"/>
        <v>247.61886792452833</v>
      </c>
      <c r="U81" s="308">
        <f t="shared" si="212"/>
        <v>0.16666666666666669</v>
      </c>
      <c r="V81" s="293">
        <f t="shared" si="213"/>
        <v>1363.0943396226414</v>
      </c>
      <c r="W81" s="293">
        <f t="shared" si="214"/>
        <v>0</v>
      </c>
      <c r="X81" s="308">
        <f t="shared" si="215"/>
        <v>0</v>
      </c>
      <c r="Z81" s="293">
        <f t="shared" si="199"/>
        <v>1390.3562264150942</v>
      </c>
      <c r="AA81" s="293">
        <f t="shared" si="200"/>
        <v>27.261886792452742</v>
      </c>
      <c r="AB81" s="308">
        <f t="shared" si="201"/>
        <v>1.9607843137254843E-2</v>
      </c>
      <c r="AD81" s="299">
        <f t="shared" si="202"/>
        <v>1390.3562264150942</v>
      </c>
      <c r="AE81" s="130">
        <v>0.03</v>
      </c>
      <c r="AF81" s="302">
        <f t="shared" si="203"/>
        <v>41.710686792452826</v>
      </c>
      <c r="AG81" s="302">
        <f t="shared" si="204"/>
        <v>1348.6455396226413</v>
      </c>
      <c r="AH81" s="302">
        <f t="shared" si="205"/>
        <v>1390.3562264150942</v>
      </c>
      <c r="AI81" s="130">
        <v>0.05</v>
      </c>
      <c r="AJ81" s="302">
        <f t="shared" si="206"/>
        <v>69.517811320754717</v>
      </c>
      <c r="AK81" s="302">
        <f t="shared" si="207"/>
        <v>1320.8384150943396</v>
      </c>
      <c r="AL81" s="317" t="e">
        <f t="shared" si="208"/>
        <v>#VALUE!</v>
      </c>
      <c r="AM81" s="318" t="e">
        <f t="shared" si="209"/>
        <v>#VALUE!</v>
      </c>
    </row>
    <row r="82" spans="1:39" ht="16.5" outlineLevel="1">
      <c r="A82" s="225">
        <v>8</v>
      </c>
      <c r="B82" s="227" t="s">
        <v>366</v>
      </c>
      <c r="C82" s="227" t="s">
        <v>367</v>
      </c>
      <c r="D82" s="228" t="s">
        <v>76</v>
      </c>
      <c r="E82" s="230">
        <v>1370</v>
      </c>
      <c r="F82" s="230">
        <v>0</v>
      </c>
      <c r="G82" s="268" t="s">
        <v>336</v>
      </c>
      <c r="H82" s="269" t="s">
        <v>337</v>
      </c>
      <c r="I82" s="270" t="s">
        <v>338</v>
      </c>
      <c r="J82" s="232">
        <f t="shared" si="194"/>
        <v>991.75471698113211</v>
      </c>
      <c r="K82" s="232">
        <v>125</v>
      </c>
      <c r="L82" s="233">
        <v>1116.7547169811321</v>
      </c>
      <c r="M82" s="271" t="s">
        <v>368</v>
      </c>
      <c r="N82" s="272" t="s">
        <v>369</v>
      </c>
      <c r="O82" s="273"/>
      <c r="P82" s="227" t="s">
        <v>341</v>
      </c>
      <c r="Q82" s="227" t="s">
        <v>227</v>
      </c>
      <c r="S82" s="293">
        <f t="shared" si="210"/>
        <v>1190.1056603773586</v>
      </c>
      <c r="T82" s="293">
        <f t="shared" si="211"/>
        <v>198.35094339622651</v>
      </c>
      <c r="U82" s="308">
        <f t="shared" si="212"/>
        <v>0.16666666666666674</v>
      </c>
      <c r="V82" s="293">
        <f t="shared" si="213"/>
        <v>1116.7547169811321</v>
      </c>
      <c r="W82" s="293">
        <f t="shared" si="214"/>
        <v>0</v>
      </c>
      <c r="X82" s="308">
        <f t="shared" si="215"/>
        <v>0</v>
      </c>
      <c r="Z82" s="293">
        <f t="shared" si="199"/>
        <v>1139.0898113207547</v>
      </c>
      <c r="AA82" s="293">
        <f t="shared" si="200"/>
        <v>22.335094339622628</v>
      </c>
      <c r="AB82" s="308">
        <f t="shared" si="201"/>
        <v>1.9607843137254891E-2</v>
      </c>
      <c r="AD82" s="299">
        <f t="shared" si="202"/>
        <v>1139.0898113207547</v>
      </c>
      <c r="AE82" s="130">
        <v>0.03</v>
      </c>
      <c r="AF82" s="302">
        <f t="shared" si="203"/>
        <v>34.172694339622637</v>
      </c>
      <c r="AG82" s="302">
        <f t="shared" si="204"/>
        <v>1104.917116981132</v>
      </c>
      <c r="AH82" s="302">
        <f t="shared" si="205"/>
        <v>1139.0898113207547</v>
      </c>
      <c r="AI82" s="130">
        <v>0.05</v>
      </c>
      <c r="AJ82" s="302">
        <f t="shared" si="206"/>
        <v>56.954490566037741</v>
      </c>
      <c r="AK82" s="302">
        <f t="shared" si="207"/>
        <v>1082.135320754717</v>
      </c>
      <c r="AL82" s="317" t="e">
        <f t="shared" si="208"/>
        <v>#VALUE!</v>
      </c>
      <c r="AM82" s="318" t="e">
        <f t="shared" si="209"/>
        <v>#VALUE!</v>
      </c>
    </row>
    <row r="83" spans="1:39" ht="16.5" outlineLevel="1">
      <c r="A83" s="225">
        <v>9</v>
      </c>
      <c r="B83" s="227" t="s">
        <v>370</v>
      </c>
      <c r="C83" s="227" t="s">
        <v>371</v>
      </c>
      <c r="D83" s="228" t="s">
        <v>295</v>
      </c>
      <c r="E83" s="230">
        <v>1500</v>
      </c>
      <c r="F83" s="230">
        <v>0</v>
      </c>
      <c r="G83" s="268" t="s">
        <v>336</v>
      </c>
      <c r="H83" s="269" t="s">
        <v>337</v>
      </c>
      <c r="I83" s="270" t="s">
        <v>338</v>
      </c>
      <c r="J83" s="232">
        <f t="shared" si="194"/>
        <v>724.28301886792451</v>
      </c>
      <c r="K83" s="232">
        <v>125</v>
      </c>
      <c r="L83" s="233">
        <v>849.28301886792451</v>
      </c>
      <c r="M83" s="271" t="s">
        <v>372</v>
      </c>
      <c r="N83" s="272" t="s">
        <v>373</v>
      </c>
      <c r="O83" s="273"/>
      <c r="P83" s="227" t="s">
        <v>341</v>
      </c>
      <c r="Q83" s="227" t="s">
        <v>227</v>
      </c>
      <c r="S83" s="293">
        <f t="shared" si="210"/>
        <v>869.13962264150939</v>
      </c>
      <c r="T83" s="293">
        <f t="shared" si="211"/>
        <v>144.85660377358488</v>
      </c>
      <c r="U83" s="308">
        <f t="shared" si="212"/>
        <v>0.16666666666666666</v>
      </c>
      <c r="V83" s="293">
        <f t="shared" si="213"/>
        <v>849.28301886792451</v>
      </c>
      <c r="W83" s="293">
        <f t="shared" si="214"/>
        <v>0</v>
      </c>
      <c r="X83" s="308">
        <f t="shared" si="215"/>
        <v>0</v>
      </c>
      <c r="Z83" s="293">
        <f t="shared" si="199"/>
        <v>866.26867924528301</v>
      </c>
      <c r="AA83" s="293">
        <f t="shared" si="200"/>
        <v>16.985660377358499</v>
      </c>
      <c r="AB83" s="308">
        <f t="shared" si="201"/>
        <v>1.9607843137254912E-2</v>
      </c>
      <c r="AD83" s="299">
        <f t="shared" si="202"/>
        <v>866.26867924528301</v>
      </c>
      <c r="AE83" s="130">
        <v>0.03</v>
      </c>
      <c r="AF83" s="302">
        <f t="shared" si="203"/>
        <v>25.98806037735849</v>
      </c>
      <c r="AG83" s="302">
        <f t="shared" si="204"/>
        <v>840.28061886792455</v>
      </c>
      <c r="AH83" s="302">
        <f t="shared" si="205"/>
        <v>866.26867924528301</v>
      </c>
      <c r="AI83" s="130">
        <v>0.05</v>
      </c>
      <c r="AJ83" s="302">
        <f t="shared" si="206"/>
        <v>43.313433962264156</v>
      </c>
      <c r="AK83" s="302">
        <f t="shared" si="207"/>
        <v>822.95524528301883</v>
      </c>
      <c r="AL83" s="317" t="e">
        <f t="shared" si="208"/>
        <v>#VALUE!</v>
      </c>
      <c r="AM83" s="318" t="e">
        <f t="shared" si="209"/>
        <v>#VALUE!</v>
      </c>
    </row>
    <row r="84" spans="1:39" s="218" customFormat="1" ht="15.5">
      <c r="A84" s="219" t="s">
        <v>44</v>
      </c>
      <c r="B84" s="220" t="s">
        <v>231</v>
      </c>
      <c r="C84" s="220"/>
      <c r="D84" s="221"/>
      <c r="E84" s="243"/>
      <c r="F84" s="243"/>
      <c r="G84" s="243"/>
      <c r="H84" s="275"/>
      <c r="I84" s="246"/>
      <c r="J84" s="246"/>
      <c r="K84" s="246"/>
      <c r="L84" s="246"/>
      <c r="M84" s="267"/>
      <c r="N84" s="247"/>
      <c r="O84" s="248"/>
      <c r="P84" s="220"/>
      <c r="Q84" s="220"/>
      <c r="S84" s="294">
        <v>0.1</v>
      </c>
    </row>
    <row r="85" spans="1:39" ht="16.5" outlineLevel="1">
      <c r="A85" s="225">
        <v>1</v>
      </c>
      <c r="B85" s="227" t="s">
        <v>374</v>
      </c>
      <c r="C85" s="227" t="s">
        <v>375</v>
      </c>
      <c r="D85" s="228" t="s">
        <v>300</v>
      </c>
      <c r="E85" s="230">
        <v>141</v>
      </c>
      <c r="F85" s="230">
        <v>0</v>
      </c>
      <c r="G85" s="268" t="s">
        <v>336</v>
      </c>
      <c r="H85" s="269" t="s">
        <v>337</v>
      </c>
      <c r="I85" s="270" t="s">
        <v>338</v>
      </c>
      <c r="J85" s="232">
        <f t="shared" ref="J85:J88" si="216">L85-K85</f>
        <v>705.15094339622647</v>
      </c>
      <c r="K85" s="232">
        <v>125</v>
      </c>
      <c r="L85" s="233">
        <v>830.15094339622647</v>
      </c>
      <c r="M85" s="271" t="s">
        <v>376</v>
      </c>
      <c r="N85" s="272" t="s">
        <v>377</v>
      </c>
      <c r="O85" s="273"/>
      <c r="P85" s="227" t="s">
        <v>341</v>
      </c>
      <c r="Q85" s="227" t="s">
        <v>378</v>
      </c>
      <c r="S85" s="293">
        <f>J85+J85*$S$84</f>
        <v>775.66603773584916</v>
      </c>
      <c r="T85" s="293">
        <f t="shared" ref="T85" si="217">S85-J85</f>
        <v>70.515094339622692</v>
      </c>
      <c r="U85" s="308">
        <f t="shared" ref="U85" si="218">T85/S85</f>
        <v>9.0909090909090967E-2</v>
      </c>
      <c r="V85" s="293">
        <f>L85+L85*$V$84</f>
        <v>830.15094339622647</v>
      </c>
      <c r="W85" s="293">
        <f t="shared" ref="W85" si="219">V85-L85</f>
        <v>0</v>
      </c>
      <c r="X85" s="308">
        <f t="shared" ref="X85" si="220">W85/S85</f>
        <v>0</v>
      </c>
      <c r="Z85" s="293">
        <f t="shared" ref="Z85:Z88" si="221">V85+V85*Z$6</f>
        <v>846.75396226415103</v>
      </c>
      <c r="AA85" s="293">
        <f t="shared" ref="AA85:AA88" si="222">Z85-L85</f>
        <v>16.603018867924561</v>
      </c>
      <c r="AB85" s="308">
        <f t="shared" ref="AB85:AB88" si="223">AA85/Z85</f>
        <v>1.960784313725494E-2</v>
      </c>
      <c r="AD85" s="299">
        <f t="shared" ref="AD85:AD88" si="224">Z85</f>
        <v>846.75396226415103</v>
      </c>
      <c r="AE85" s="130">
        <v>0.03</v>
      </c>
      <c r="AF85" s="302">
        <f t="shared" ref="AF85:AF88" si="225">AD85*AE85</f>
        <v>25.402618867924531</v>
      </c>
      <c r="AG85" s="302">
        <f t="shared" ref="AG85:AG88" si="226">AD85-AF85</f>
        <v>821.35134339622653</v>
      </c>
      <c r="AH85" s="302">
        <f t="shared" ref="AH85:AH88" si="227">AD85</f>
        <v>846.75396226415103</v>
      </c>
      <c r="AI85" s="130">
        <v>0.05</v>
      </c>
      <c r="AJ85" s="302">
        <f t="shared" ref="AJ85:AJ88" si="228">AH85*AI85</f>
        <v>42.337698113207551</v>
      </c>
      <c r="AK85" s="302">
        <f t="shared" ref="AK85:AK88" si="229">AH85-AJ85</f>
        <v>804.41626415094345</v>
      </c>
      <c r="AL85" s="317" t="e">
        <f t="shared" ref="AL85:AL88" si="230">AG85-H85</f>
        <v>#VALUE!</v>
      </c>
      <c r="AM85" s="318" t="e">
        <f t="shared" ref="AM85:AM88" si="231">AK85-H85</f>
        <v>#VALUE!</v>
      </c>
    </row>
    <row r="86" spans="1:39" ht="16.5" outlineLevel="1">
      <c r="A86" s="225">
        <v>2</v>
      </c>
      <c r="B86" s="227" t="s">
        <v>379</v>
      </c>
      <c r="C86" s="227" t="s">
        <v>380</v>
      </c>
      <c r="D86" s="228" t="s">
        <v>269</v>
      </c>
      <c r="E86" s="230">
        <v>2677.8</v>
      </c>
      <c r="F86" s="230">
        <v>0</v>
      </c>
      <c r="G86" s="268" t="s">
        <v>336</v>
      </c>
      <c r="H86" s="269" t="s">
        <v>337</v>
      </c>
      <c r="I86" s="270" t="s">
        <v>338</v>
      </c>
      <c r="J86" s="232">
        <f t="shared" si="216"/>
        <v>550.5094339622641</v>
      </c>
      <c r="K86" s="232">
        <v>125</v>
      </c>
      <c r="L86" s="233">
        <v>675.5094339622641</v>
      </c>
      <c r="M86" s="271" t="s">
        <v>381</v>
      </c>
      <c r="N86" s="272" t="s">
        <v>382</v>
      </c>
      <c r="O86" s="273"/>
      <c r="P86" s="227" t="s">
        <v>341</v>
      </c>
      <c r="Q86" s="227" t="s">
        <v>378</v>
      </c>
      <c r="S86" s="293">
        <f t="shared" ref="S86:S89" si="232">J86+J86*$S$84</f>
        <v>605.56037735849054</v>
      </c>
      <c r="T86" s="293">
        <f t="shared" ref="T86:T89" si="233">S86-J86</f>
        <v>55.050943396226444</v>
      </c>
      <c r="U86" s="308">
        <f t="shared" ref="U86:U89" si="234">T86/S86</f>
        <v>9.0909090909090967E-2</v>
      </c>
      <c r="V86" s="293">
        <f t="shared" ref="V86:V89" si="235">L86+L86*$V$84</f>
        <v>675.5094339622641</v>
      </c>
      <c r="W86" s="293">
        <f t="shared" ref="W86:W89" si="236">V86-L86</f>
        <v>0</v>
      </c>
      <c r="X86" s="308">
        <f t="shared" ref="X86:X89" si="237">W86/S86</f>
        <v>0</v>
      </c>
      <c r="Z86" s="293">
        <f t="shared" si="221"/>
        <v>689.01962264150939</v>
      </c>
      <c r="AA86" s="293">
        <f t="shared" si="222"/>
        <v>13.510188679245289</v>
      </c>
      <c r="AB86" s="308">
        <f t="shared" si="223"/>
        <v>1.9607843137254912E-2</v>
      </c>
      <c r="AD86" s="299">
        <f t="shared" si="224"/>
        <v>689.01962264150939</v>
      </c>
      <c r="AE86" s="130">
        <v>0.03</v>
      </c>
      <c r="AF86" s="302">
        <f t="shared" si="225"/>
        <v>20.670588679245281</v>
      </c>
      <c r="AG86" s="302">
        <f t="shared" si="226"/>
        <v>668.34903396226412</v>
      </c>
      <c r="AH86" s="302">
        <f t="shared" si="227"/>
        <v>689.01962264150939</v>
      </c>
      <c r="AI86" s="130">
        <v>0.05</v>
      </c>
      <c r="AJ86" s="302">
        <f t="shared" si="228"/>
        <v>34.450981132075469</v>
      </c>
      <c r="AK86" s="302">
        <f t="shared" si="229"/>
        <v>654.56864150943397</v>
      </c>
      <c r="AL86" s="317" t="e">
        <f t="shared" si="230"/>
        <v>#VALUE!</v>
      </c>
      <c r="AM86" s="318" t="e">
        <f t="shared" si="231"/>
        <v>#VALUE!</v>
      </c>
    </row>
    <row r="87" spans="1:39" ht="16.5" outlineLevel="1">
      <c r="A87" s="225">
        <v>4</v>
      </c>
      <c r="B87" s="227" t="s">
        <v>383</v>
      </c>
      <c r="C87" s="227" t="s">
        <v>384</v>
      </c>
      <c r="D87" s="228" t="s">
        <v>300</v>
      </c>
      <c r="E87" s="230">
        <v>2644</v>
      </c>
      <c r="F87" s="230">
        <v>0</v>
      </c>
      <c r="G87" s="268" t="s">
        <v>336</v>
      </c>
      <c r="H87" s="269" t="s">
        <v>337</v>
      </c>
      <c r="I87" s="270" t="s">
        <v>338</v>
      </c>
      <c r="J87" s="232">
        <f t="shared" si="216"/>
        <v>825.94339622641508</v>
      </c>
      <c r="K87" s="232">
        <v>125</v>
      </c>
      <c r="L87" s="233">
        <v>950.94339622641508</v>
      </c>
      <c r="M87" s="271" t="s">
        <v>385</v>
      </c>
      <c r="N87" s="272" t="s">
        <v>386</v>
      </c>
      <c r="O87" s="273"/>
      <c r="P87" s="227" t="s">
        <v>341</v>
      </c>
      <c r="Q87" s="227" t="s">
        <v>387</v>
      </c>
      <c r="S87" s="293">
        <f t="shared" si="232"/>
        <v>908.53773584905662</v>
      </c>
      <c r="T87" s="293">
        <f t="shared" si="233"/>
        <v>82.594339622641542</v>
      </c>
      <c r="U87" s="308">
        <f t="shared" si="234"/>
        <v>9.0909090909090939E-2</v>
      </c>
      <c r="V87" s="293">
        <f t="shared" si="235"/>
        <v>950.94339622641508</v>
      </c>
      <c r="W87" s="293">
        <f t="shared" si="236"/>
        <v>0</v>
      </c>
      <c r="X87" s="308">
        <f t="shared" si="237"/>
        <v>0</v>
      </c>
      <c r="Z87" s="293">
        <f t="shared" si="221"/>
        <v>969.96226415094338</v>
      </c>
      <c r="AA87" s="293">
        <f t="shared" si="222"/>
        <v>19.018867924528308</v>
      </c>
      <c r="AB87" s="308">
        <f t="shared" si="223"/>
        <v>1.9607843137254909E-2</v>
      </c>
      <c r="AD87" s="299">
        <f t="shared" si="224"/>
        <v>969.96226415094338</v>
      </c>
      <c r="AE87" s="130">
        <v>0.03</v>
      </c>
      <c r="AF87" s="302">
        <f t="shared" si="225"/>
        <v>29.0988679245283</v>
      </c>
      <c r="AG87" s="302">
        <f t="shared" si="226"/>
        <v>940.86339622641503</v>
      </c>
      <c r="AH87" s="302">
        <f t="shared" si="227"/>
        <v>969.96226415094338</v>
      </c>
      <c r="AI87" s="130">
        <v>0.05</v>
      </c>
      <c r="AJ87" s="302">
        <f t="shared" si="228"/>
        <v>48.498113207547171</v>
      </c>
      <c r="AK87" s="302">
        <f t="shared" si="229"/>
        <v>921.46415094339625</v>
      </c>
      <c r="AL87" s="317" t="e">
        <f t="shared" si="230"/>
        <v>#VALUE!</v>
      </c>
      <c r="AM87" s="318" t="e">
        <f t="shared" si="231"/>
        <v>#VALUE!</v>
      </c>
    </row>
    <row r="88" spans="1:39" ht="16.5" outlineLevel="1">
      <c r="A88" s="225">
        <v>7</v>
      </c>
      <c r="B88" s="227" t="s">
        <v>388</v>
      </c>
      <c r="C88" s="227" t="s">
        <v>389</v>
      </c>
      <c r="D88" s="228" t="s">
        <v>390</v>
      </c>
      <c r="E88" s="230">
        <v>43838</v>
      </c>
      <c r="F88" s="230">
        <v>0</v>
      </c>
      <c r="G88" s="268" t="s">
        <v>336</v>
      </c>
      <c r="H88" s="269" t="s">
        <v>337</v>
      </c>
      <c r="I88" s="270" t="s">
        <v>338</v>
      </c>
      <c r="J88" s="232">
        <f t="shared" si="216"/>
        <v>706.01886792452831</v>
      </c>
      <c r="K88" s="232">
        <v>125</v>
      </c>
      <c r="L88" s="233">
        <v>831.01886792452831</v>
      </c>
      <c r="M88" s="271" t="s">
        <v>391</v>
      </c>
      <c r="N88" s="272" t="s">
        <v>377</v>
      </c>
      <c r="O88" s="273"/>
      <c r="P88" s="227" t="s">
        <v>341</v>
      </c>
      <c r="Q88" s="227" t="s">
        <v>392</v>
      </c>
      <c r="S88" s="293">
        <f t="shared" si="232"/>
        <v>776.62075471698108</v>
      </c>
      <c r="T88" s="293">
        <f t="shared" si="233"/>
        <v>70.601886792452774</v>
      </c>
      <c r="U88" s="308">
        <f t="shared" si="234"/>
        <v>9.0909090909090842E-2</v>
      </c>
      <c r="V88" s="293">
        <f t="shared" si="235"/>
        <v>831.01886792452831</v>
      </c>
      <c r="W88" s="293">
        <f t="shared" si="236"/>
        <v>0</v>
      </c>
      <c r="X88" s="308">
        <f t="shared" si="237"/>
        <v>0</v>
      </c>
      <c r="Z88" s="293">
        <f t="shared" si="221"/>
        <v>847.63924528301891</v>
      </c>
      <c r="AA88" s="293">
        <f t="shared" si="222"/>
        <v>16.6203773584906</v>
      </c>
      <c r="AB88" s="308">
        <f t="shared" si="223"/>
        <v>1.960784313725494E-2</v>
      </c>
      <c r="AD88" s="299">
        <f t="shared" si="224"/>
        <v>847.63924528301891</v>
      </c>
      <c r="AE88" s="130">
        <v>0.03</v>
      </c>
      <c r="AF88" s="302">
        <f t="shared" si="225"/>
        <v>25.429177358490566</v>
      </c>
      <c r="AG88" s="302">
        <f t="shared" si="226"/>
        <v>822.21006792452829</v>
      </c>
      <c r="AH88" s="302">
        <f t="shared" si="227"/>
        <v>847.63924528301891</v>
      </c>
      <c r="AI88" s="130">
        <v>0.05</v>
      </c>
      <c r="AJ88" s="302">
        <f t="shared" si="228"/>
        <v>42.38196226415095</v>
      </c>
      <c r="AK88" s="302">
        <f t="shared" si="229"/>
        <v>805.25728301886795</v>
      </c>
      <c r="AL88" s="317" t="e">
        <f t="shared" si="230"/>
        <v>#VALUE!</v>
      </c>
      <c r="AM88" s="318" t="e">
        <f t="shared" si="231"/>
        <v>#VALUE!</v>
      </c>
    </row>
    <row r="89" spans="1:39" outlineLevel="1">
      <c r="A89" s="225">
        <v>8</v>
      </c>
      <c r="B89" s="227" t="s">
        <v>393</v>
      </c>
      <c r="C89" s="227" t="s">
        <v>394</v>
      </c>
      <c r="D89" s="228"/>
      <c r="E89" s="230">
        <v>5115.6000000000004</v>
      </c>
      <c r="F89" s="230">
        <v>0</v>
      </c>
      <c r="G89" s="230"/>
      <c r="H89" s="269"/>
      <c r="I89" s="270"/>
      <c r="J89" s="270"/>
      <c r="K89" s="270"/>
      <c r="L89" s="233"/>
      <c r="M89" s="271"/>
      <c r="N89" s="272"/>
      <c r="O89" s="273"/>
      <c r="P89" s="227" t="s">
        <v>341</v>
      </c>
      <c r="Q89" s="227"/>
      <c r="S89" s="293">
        <f t="shared" si="232"/>
        <v>0</v>
      </c>
      <c r="T89" s="293">
        <f t="shared" si="233"/>
        <v>0</v>
      </c>
      <c r="U89" s="308" t="e">
        <f t="shared" si="234"/>
        <v>#DIV/0!</v>
      </c>
      <c r="V89" s="293">
        <f t="shared" si="235"/>
        <v>0</v>
      </c>
      <c r="W89" s="293">
        <f t="shared" si="236"/>
        <v>0</v>
      </c>
      <c r="X89" s="308" t="e">
        <f t="shared" si="237"/>
        <v>#DIV/0!</v>
      </c>
    </row>
    <row r="90" spans="1:39" s="218" customFormat="1" ht="15.5">
      <c r="A90" s="212" t="s">
        <v>395</v>
      </c>
      <c r="B90" s="213" t="s">
        <v>396</v>
      </c>
      <c r="C90" s="213"/>
      <c r="D90" s="214"/>
      <c r="E90" s="256"/>
      <c r="F90" s="256"/>
      <c r="G90" s="256"/>
      <c r="H90" s="257"/>
      <c r="I90" s="258"/>
      <c r="J90" s="258"/>
      <c r="K90" s="258"/>
      <c r="L90" s="259"/>
      <c r="M90" s="266"/>
      <c r="N90" s="260"/>
      <c r="O90" s="261"/>
      <c r="P90" s="213"/>
      <c r="Q90" s="213"/>
    </row>
    <row r="91" spans="1:39" s="218" customFormat="1" ht="15.5">
      <c r="A91" s="219" t="s">
        <v>43</v>
      </c>
      <c r="B91" s="220" t="s">
        <v>221</v>
      </c>
      <c r="C91" s="220"/>
      <c r="D91" s="221"/>
      <c r="E91" s="243"/>
      <c r="F91" s="243"/>
      <c r="G91" s="243"/>
      <c r="H91" s="244"/>
      <c r="I91" s="245"/>
      <c r="J91" s="245"/>
      <c r="K91" s="245"/>
      <c r="L91" s="246"/>
      <c r="M91" s="267"/>
      <c r="N91" s="247"/>
      <c r="O91" s="248"/>
      <c r="P91" s="220"/>
      <c r="Q91" s="220"/>
      <c r="S91" s="296">
        <v>0.2</v>
      </c>
    </row>
    <row r="92" spans="1:39" ht="16.5" outlineLevel="1">
      <c r="A92" s="225">
        <v>1</v>
      </c>
      <c r="B92" s="227" t="s">
        <v>51</v>
      </c>
      <c r="C92" s="227" t="s">
        <v>397</v>
      </c>
      <c r="D92" s="228" t="s">
        <v>300</v>
      </c>
      <c r="E92" s="230">
        <v>30700.1</v>
      </c>
      <c r="F92" s="230">
        <v>11250</v>
      </c>
      <c r="G92" s="230">
        <v>650</v>
      </c>
      <c r="H92" s="231">
        <v>680</v>
      </c>
      <c r="I92" s="234">
        <v>30</v>
      </c>
      <c r="J92" s="232">
        <f t="shared" ref="J92:J93" si="238">L92-K92</f>
        <v>644.16981132075466</v>
      </c>
      <c r="K92" s="232">
        <v>125</v>
      </c>
      <c r="L92" s="233">
        <v>769.16981132075466</v>
      </c>
      <c r="M92" s="234">
        <v>-89.169811320754661</v>
      </c>
      <c r="N92" s="235">
        <v>-0.13113207547169803</v>
      </c>
      <c r="O92" s="236"/>
      <c r="P92" s="227"/>
      <c r="Q92" s="227" t="s">
        <v>398</v>
      </c>
      <c r="S92" s="293">
        <f>J92+J92*$S$91</f>
        <v>773.00377358490562</v>
      </c>
      <c r="T92" s="293">
        <f t="shared" ref="T92" si="239">S92-J92</f>
        <v>128.83396226415095</v>
      </c>
      <c r="U92" s="308">
        <f t="shared" ref="U92" si="240">T92/S92</f>
        <v>0.16666666666666669</v>
      </c>
      <c r="V92" s="293">
        <f>L92+L92*$V$91</f>
        <v>769.16981132075466</v>
      </c>
      <c r="W92" s="293">
        <f t="shared" ref="W92" si="241">V92-L92</f>
        <v>0</v>
      </c>
      <c r="X92" s="308">
        <f t="shared" ref="X92" si="242">W92/S92</f>
        <v>0</v>
      </c>
      <c r="Z92" s="293">
        <f t="shared" ref="Z92:Z94" si="243">V92+V92*Z$6</f>
        <v>784.55320754716979</v>
      </c>
      <c r="AA92" s="293">
        <f t="shared" ref="AA92:AA94" si="244">Z92-L92</f>
        <v>15.38339622641513</v>
      </c>
      <c r="AB92" s="308">
        <f t="shared" ref="AB92:AB94" si="245">AA92/Z92</f>
        <v>1.9607843137254947E-2</v>
      </c>
      <c r="AD92" s="299">
        <f t="shared" ref="AD92:AD94" si="246">Z92</f>
        <v>784.55320754716979</v>
      </c>
      <c r="AE92" s="130">
        <v>0.03</v>
      </c>
      <c r="AF92" s="302">
        <f t="shared" ref="AF92:AF94" si="247">AD92*AE92</f>
        <v>23.536596226415092</v>
      </c>
      <c r="AG92" s="302">
        <f t="shared" ref="AG92:AG94" si="248">AD92-AF92</f>
        <v>761.01661132075469</v>
      </c>
      <c r="AH92" s="302">
        <f t="shared" ref="AH92:AH94" si="249">AD92</f>
        <v>784.55320754716979</v>
      </c>
      <c r="AI92" s="130">
        <v>0.05</v>
      </c>
      <c r="AJ92" s="302">
        <f t="shared" ref="AJ92:AJ94" si="250">AH92*AI92</f>
        <v>39.22766037735849</v>
      </c>
      <c r="AK92" s="302">
        <f t="shared" ref="AK92:AK94" si="251">AH92-AJ92</f>
        <v>745.32554716981133</v>
      </c>
      <c r="AL92" s="317">
        <f t="shared" ref="AL92:AL94" si="252">AG92-H92</f>
        <v>81.016611320754691</v>
      </c>
      <c r="AM92" s="318">
        <f t="shared" ref="AM92:AM94" si="253">AK92-H92</f>
        <v>65.32554716981133</v>
      </c>
    </row>
    <row r="93" spans="1:39" ht="16.5" outlineLevel="1">
      <c r="A93" s="225">
        <v>2</v>
      </c>
      <c r="B93" s="227" t="s">
        <v>53</v>
      </c>
      <c r="C93" s="227" t="s">
        <v>56</v>
      </c>
      <c r="D93" s="228" t="s">
        <v>295</v>
      </c>
      <c r="E93" s="230">
        <v>119803</v>
      </c>
      <c r="F93" s="230">
        <v>0</v>
      </c>
      <c r="G93" s="230">
        <v>650</v>
      </c>
      <c r="H93" s="231">
        <v>680</v>
      </c>
      <c r="I93" s="234">
        <v>30</v>
      </c>
      <c r="J93" s="232">
        <f t="shared" si="238"/>
        <v>622.58490566037733</v>
      </c>
      <c r="K93" s="232">
        <v>125</v>
      </c>
      <c r="L93" s="233">
        <v>747.58490566037733</v>
      </c>
      <c r="M93" s="234">
        <v>-67.584905660377331</v>
      </c>
      <c r="N93" s="235">
        <v>-9.9389567147613725E-2</v>
      </c>
      <c r="O93" s="236"/>
      <c r="P93" s="227"/>
      <c r="Q93" s="227" t="s">
        <v>392</v>
      </c>
      <c r="S93" s="293">
        <f>J93+J93*$S$91</f>
        <v>747.10188679245277</v>
      </c>
      <c r="T93" s="293">
        <f t="shared" ref="T93" si="254">S93-J93</f>
        <v>124.51698113207544</v>
      </c>
      <c r="U93" s="308">
        <f t="shared" ref="U93" si="255">T93/S93</f>
        <v>0.16666666666666663</v>
      </c>
      <c r="V93" s="293">
        <f>L93+L93*$V$91</f>
        <v>747.58490566037733</v>
      </c>
      <c r="W93" s="293">
        <f t="shared" ref="W93" si="256">V93-L93</f>
        <v>0</v>
      </c>
      <c r="X93" s="308">
        <f t="shared" ref="X93" si="257">W93/S93</f>
        <v>0</v>
      </c>
      <c r="Z93" s="293">
        <f t="shared" si="243"/>
        <v>762.53660377358483</v>
      </c>
      <c r="AA93" s="293">
        <f t="shared" si="244"/>
        <v>14.951698113207499</v>
      </c>
      <c r="AB93" s="308">
        <f t="shared" si="245"/>
        <v>1.9607843137254839E-2</v>
      </c>
      <c r="AD93" s="299">
        <f t="shared" si="246"/>
        <v>762.53660377358483</v>
      </c>
      <c r="AE93" s="130">
        <v>0.03</v>
      </c>
      <c r="AF93" s="302">
        <f t="shared" si="247"/>
        <v>22.876098113207544</v>
      </c>
      <c r="AG93" s="302">
        <f t="shared" si="248"/>
        <v>739.66050566037734</v>
      </c>
      <c r="AH93" s="302">
        <f t="shared" si="249"/>
        <v>762.53660377358483</v>
      </c>
      <c r="AI93" s="130">
        <v>0.05</v>
      </c>
      <c r="AJ93" s="302">
        <f t="shared" si="250"/>
        <v>38.126830188679243</v>
      </c>
      <c r="AK93" s="302">
        <f t="shared" si="251"/>
        <v>724.40977358490557</v>
      </c>
      <c r="AL93" s="317">
        <f t="shared" si="252"/>
        <v>59.660505660377339</v>
      </c>
      <c r="AM93" s="318">
        <f t="shared" si="253"/>
        <v>44.409773584905565</v>
      </c>
    </row>
    <row r="94" spans="1:39" ht="16.5" outlineLevel="1">
      <c r="A94" s="225"/>
      <c r="B94" s="227"/>
      <c r="C94" s="227"/>
      <c r="D94" s="228"/>
      <c r="E94" s="230"/>
      <c r="F94" s="230"/>
      <c r="G94" s="230"/>
      <c r="H94" s="231"/>
      <c r="I94" s="234"/>
      <c r="J94" s="234"/>
      <c r="K94" s="234"/>
      <c r="L94" s="233"/>
      <c r="M94" s="234"/>
      <c r="N94" s="235"/>
      <c r="O94" s="236"/>
      <c r="P94" s="227"/>
      <c r="Q94" s="227"/>
      <c r="Z94" s="293">
        <f t="shared" si="243"/>
        <v>0</v>
      </c>
      <c r="AA94" s="293">
        <f t="shared" si="244"/>
        <v>0</v>
      </c>
      <c r="AB94" s="308" t="e">
        <f t="shared" si="245"/>
        <v>#DIV/0!</v>
      </c>
      <c r="AD94" s="299">
        <f t="shared" si="246"/>
        <v>0</v>
      </c>
      <c r="AE94" s="130">
        <v>0.03</v>
      </c>
      <c r="AF94" s="302">
        <f t="shared" si="247"/>
        <v>0</v>
      </c>
      <c r="AG94" s="302">
        <f t="shared" si="248"/>
        <v>0</v>
      </c>
      <c r="AH94" s="302">
        <f t="shared" si="249"/>
        <v>0</v>
      </c>
      <c r="AI94" s="130">
        <v>0.05</v>
      </c>
      <c r="AJ94" s="302">
        <f t="shared" si="250"/>
        <v>0</v>
      </c>
      <c r="AK94" s="302">
        <f t="shared" si="251"/>
        <v>0</v>
      </c>
      <c r="AL94" s="317">
        <f t="shared" si="252"/>
        <v>0</v>
      </c>
      <c r="AM94" s="318">
        <f t="shared" si="253"/>
        <v>0</v>
      </c>
    </row>
    <row r="95" spans="1:39" s="218" customFormat="1" ht="15.5">
      <c r="A95" s="219" t="s">
        <v>44</v>
      </c>
      <c r="B95" s="220" t="s">
        <v>231</v>
      </c>
      <c r="C95" s="220"/>
      <c r="D95" s="221"/>
      <c r="E95" s="243"/>
      <c r="F95" s="243"/>
      <c r="G95" s="243"/>
      <c r="H95" s="244"/>
      <c r="I95" s="245"/>
      <c r="J95" s="245"/>
      <c r="K95" s="245"/>
      <c r="L95" s="246"/>
      <c r="M95" s="245"/>
      <c r="N95" s="247"/>
      <c r="O95" s="248"/>
      <c r="P95" s="220"/>
      <c r="Q95" s="220"/>
      <c r="S95" s="294">
        <v>0.1</v>
      </c>
    </row>
    <row r="96" spans="1:39" ht="19" customHeight="1" outlineLevel="1">
      <c r="A96" s="225">
        <v>1</v>
      </c>
      <c r="B96" s="227" t="s">
        <v>52</v>
      </c>
      <c r="C96" s="227" t="s">
        <v>55</v>
      </c>
      <c r="D96" s="228" t="s">
        <v>300</v>
      </c>
      <c r="E96" s="230">
        <v>2250</v>
      </c>
      <c r="F96" s="230">
        <v>0</v>
      </c>
      <c r="G96" s="230">
        <v>650</v>
      </c>
      <c r="H96" s="231">
        <v>680</v>
      </c>
      <c r="I96" s="234">
        <v>30</v>
      </c>
      <c r="J96" s="232">
        <f t="shared" ref="J96:J98" si="258">L96-K96</f>
        <v>629.03773584905662</v>
      </c>
      <c r="K96" s="232">
        <v>125</v>
      </c>
      <c r="L96" s="233">
        <v>754.03773584905662</v>
      </c>
      <c r="M96" s="234">
        <v>-74.037735849056617</v>
      </c>
      <c r="N96" s="235">
        <v>-0.10887902330743621</v>
      </c>
      <c r="O96" s="236"/>
      <c r="P96" s="227"/>
      <c r="Q96" s="227" t="s">
        <v>331</v>
      </c>
      <c r="S96" s="293">
        <f>J96+J96*$S$91</f>
        <v>754.84528301886792</v>
      </c>
      <c r="T96" s="293">
        <f t="shared" ref="T96" si="259">S96-J96</f>
        <v>125.8075471698113</v>
      </c>
      <c r="U96" s="308">
        <f t="shared" ref="U96" si="260">T96/S96</f>
        <v>0.16666666666666663</v>
      </c>
      <c r="V96" s="293">
        <f>L96+L96*$V$91</f>
        <v>754.03773584905662</v>
      </c>
      <c r="W96" s="293">
        <f t="shared" ref="W96" si="261">V96-L96</f>
        <v>0</v>
      </c>
      <c r="X96" s="308">
        <f t="shared" ref="X96" si="262">W96/S96</f>
        <v>0</v>
      </c>
      <c r="Z96" s="293">
        <f t="shared" ref="Z96:Z98" si="263">V96+V96*Z$6</f>
        <v>769.11849056603774</v>
      </c>
      <c r="AA96" s="293">
        <f t="shared" ref="AA96:AA98" si="264">Z96-L96</f>
        <v>15.080754716981119</v>
      </c>
      <c r="AB96" s="308">
        <f t="shared" ref="AB96:AB98" si="265">AA96/Z96</f>
        <v>1.9607843137254884E-2</v>
      </c>
      <c r="AD96" s="299">
        <f t="shared" ref="AD96:AD98" si="266">Z96</f>
        <v>769.11849056603774</v>
      </c>
      <c r="AE96" s="130">
        <v>0.03</v>
      </c>
      <c r="AF96" s="302">
        <f t="shared" ref="AF96:AF98" si="267">AD96*AE96</f>
        <v>23.073554716981132</v>
      </c>
      <c r="AG96" s="302">
        <f t="shared" ref="AG96:AG98" si="268">AD96-AF96</f>
        <v>746.04493584905663</v>
      </c>
      <c r="AH96" s="302">
        <f t="shared" ref="AH96:AH98" si="269">AD96</f>
        <v>769.11849056603774</v>
      </c>
      <c r="AI96" s="130">
        <v>0.05</v>
      </c>
      <c r="AJ96" s="302">
        <f t="shared" ref="AJ96:AJ98" si="270">AH96*AI96</f>
        <v>38.455924528301892</v>
      </c>
      <c r="AK96" s="302">
        <f t="shared" ref="AK96:AK98" si="271">AH96-AJ96</f>
        <v>730.66256603773581</v>
      </c>
      <c r="AL96" s="317">
        <f t="shared" ref="AL96:AL98" si="272">AG96-H96</f>
        <v>66.044935849056628</v>
      </c>
      <c r="AM96" s="318">
        <f t="shared" ref="AM96:AM98" si="273">AK96-H96</f>
        <v>50.662566037735814</v>
      </c>
    </row>
    <row r="97" spans="1:39" s="284" customFormat="1" ht="101.5" outlineLevel="1">
      <c r="A97" s="228">
        <v>2</v>
      </c>
      <c r="B97" s="276" t="s">
        <v>399</v>
      </c>
      <c r="C97" s="276" t="s">
        <v>400</v>
      </c>
      <c r="D97" s="228" t="s">
        <v>269</v>
      </c>
      <c r="E97" s="277">
        <v>5250</v>
      </c>
      <c r="F97" s="277">
        <v>0</v>
      </c>
      <c r="G97" s="277">
        <v>650</v>
      </c>
      <c r="H97" s="278">
        <v>680</v>
      </c>
      <c r="I97" s="279">
        <v>30</v>
      </c>
      <c r="J97" s="232">
        <f t="shared" si="258"/>
        <v>2126.5471698113206</v>
      </c>
      <c r="K97" s="232">
        <v>125</v>
      </c>
      <c r="L97" s="280">
        <v>2251.5471698113206</v>
      </c>
      <c r="M97" s="279">
        <v>-1571.5471698113206</v>
      </c>
      <c r="N97" s="281">
        <v>-2.3110987791342952</v>
      </c>
      <c r="O97" s="282"/>
      <c r="P97" s="283" t="s">
        <v>401</v>
      </c>
      <c r="Q97" s="276" t="s">
        <v>402</v>
      </c>
      <c r="S97" s="293">
        <f t="shared" ref="S97:S98" si="274">J97+J97*$S$91</f>
        <v>2551.8566037735845</v>
      </c>
      <c r="T97" s="293">
        <f t="shared" ref="T97:T98" si="275">S97-J97</f>
        <v>425.30943396226394</v>
      </c>
      <c r="U97" s="308">
        <f t="shared" ref="U97:U98" si="276">T97/S97</f>
        <v>0.1666666666666666</v>
      </c>
      <c r="V97" s="293">
        <f t="shared" ref="V97:V98" si="277">L97+L97*$V$91</f>
        <v>2251.5471698113206</v>
      </c>
      <c r="W97" s="293">
        <f t="shared" ref="W97:W98" si="278">V97-L97</f>
        <v>0</v>
      </c>
      <c r="X97" s="308">
        <f t="shared" ref="X97:X98" si="279">W97/S97</f>
        <v>0</v>
      </c>
      <c r="Z97" s="293">
        <f t="shared" si="263"/>
        <v>2296.5781132075472</v>
      </c>
      <c r="AA97" s="293">
        <f t="shared" si="264"/>
        <v>45.030943396226576</v>
      </c>
      <c r="AB97" s="308">
        <f t="shared" si="265"/>
        <v>1.9607843137254971E-2</v>
      </c>
      <c r="AC97"/>
      <c r="AD97" s="299">
        <f t="shared" si="266"/>
        <v>2296.5781132075472</v>
      </c>
      <c r="AE97" s="130">
        <v>0.03</v>
      </c>
      <c r="AF97" s="302">
        <f t="shared" si="267"/>
        <v>68.897343396226418</v>
      </c>
      <c r="AG97" s="302">
        <f t="shared" si="268"/>
        <v>2227.6807698113207</v>
      </c>
      <c r="AH97" s="302">
        <f t="shared" si="269"/>
        <v>2296.5781132075472</v>
      </c>
      <c r="AI97" s="130">
        <v>0.05</v>
      </c>
      <c r="AJ97" s="302">
        <f t="shared" si="270"/>
        <v>114.82890566037736</v>
      </c>
      <c r="AK97" s="302">
        <f t="shared" si="271"/>
        <v>2181.74920754717</v>
      </c>
      <c r="AL97" s="317">
        <f t="shared" si="272"/>
        <v>1547.6807698113207</v>
      </c>
      <c r="AM97" s="318">
        <f t="shared" si="273"/>
        <v>1501.74920754717</v>
      </c>
    </row>
    <row r="98" spans="1:39" ht="19" customHeight="1" outlineLevel="1">
      <c r="A98" s="225">
        <v>3</v>
      </c>
      <c r="B98" s="285" t="s">
        <v>54</v>
      </c>
      <c r="C98" s="285" t="s">
        <v>57</v>
      </c>
      <c r="D98" s="286" t="s">
        <v>295</v>
      </c>
      <c r="E98" s="287">
        <v>750</v>
      </c>
      <c r="F98" s="287">
        <v>0</v>
      </c>
      <c r="G98" s="287">
        <v>650</v>
      </c>
      <c r="H98" s="288">
        <v>680</v>
      </c>
      <c r="I98" s="289">
        <v>30</v>
      </c>
      <c r="J98" s="232">
        <f t="shared" si="258"/>
        <v>629.71698113207549</v>
      </c>
      <c r="K98" s="232">
        <v>125</v>
      </c>
      <c r="L98" s="290">
        <v>754.71698113207549</v>
      </c>
      <c r="M98" s="289">
        <v>-74.716981132075489</v>
      </c>
      <c r="N98" s="291">
        <v>-0.10987791342952277</v>
      </c>
      <c r="O98" s="292"/>
      <c r="P98" s="285"/>
      <c r="Q98" s="285"/>
      <c r="S98" s="293">
        <f t="shared" si="274"/>
        <v>755.66037735849056</v>
      </c>
      <c r="T98" s="293">
        <f t="shared" si="275"/>
        <v>125.94339622641508</v>
      </c>
      <c r="U98" s="308">
        <f t="shared" si="276"/>
        <v>0.16666666666666663</v>
      </c>
      <c r="V98" s="293">
        <f t="shared" si="277"/>
        <v>754.71698113207549</v>
      </c>
      <c r="W98" s="293">
        <f t="shared" si="278"/>
        <v>0</v>
      </c>
      <c r="X98" s="308">
        <f t="shared" si="279"/>
        <v>0</v>
      </c>
      <c r="Z98" s="293">
        <f t="shared" si="263"/>
        <v>769.81132075471703</v>
      </c>
      <c r="AA98" s="293">
        <f t="shared" si="264"/>
        <v>15.094339622641542</v>
      </c>
      <c r="AB98" s="308">
        <f t="shared" si="265"/>
        <v>1.9607843137254943E-2</v>
      </c>
      <c r="AD98" s="299">
        <f t="shared" si="266"/>
        <v>769.81132075471703</v>
      </c>
      <c r="AE98" s="130">
        <v>0.03</v>
      </c>
      <c r="AF98" s="302">
        <f t="shared" si="267"/>
        <v>23.09433962264151</v>
      </c>
      <c r="AG98" s="302">
        <f t="shared" si="268"/>
        <v>746.71698113207549</v>
      </c>
      <c r="AH98" s="302">
        <f t="shared" si="269"/>
        <v>769.81132075471703</v>
      </c>
      <c r="AI98" s="130">
        <v>0.05</v>
      </c>
      <c r="AJ98" s="302">
        <f t="shared" si="270"/>
        <v>38.490566037735853</v>
      </c>
      <c r="AK98" s="302">
        <f t="shared" si="271"/>
        <v>731.32075471698113</v>
      </c>
      <c r="AL98" s="317">
        <f t="shared" si="272"/>
        <v>66.716981132075489</v>
      </c>
      <c r="AM98" s="318">
        <f t="shared" si="273"/>
        <v>51.320754716981128</v>
      </c>
    </row>
    <row r="100" spans="1:39">
      <c r="D100"/>
      <c r="I100"/>
      <c r="J100"/>
      <c r="K100"/>
      <c r="L100"/>
      <c r="M100"/>
      <c r="N100"/>
      <c r="O100"/>
    </row>
    <row r="101" spans="1:39">
      <c r="D101"/>
      <c r="I101"/>
      <c r="J101"/>
      <c r="K101"/>
      <c r="L101"/>
      <c r="M101"/>
      <c r="N101"/>
      <c r="O101"/>
    </row>
    <row r="102" spans="1:39">
      <c r="I102"/>
      <c r="J102"/>
      <c r="K102"/>
      <c r="L102"/>
      <c r="M102"/>
      <c r="N102"/>
      <c r="O102"/>
    </row>
    <row r="103" spans="1:39">
      <c r="I103"/>
      <c r="J103"/>
      <c r="K103"/>
      <c r="L103"/>
      <c r="M103"/>
      <c r="N103"/>
      <c r="O103"/>
    </row>
    <row r="104" spans="1:39">
      <c r="I104"/>
      <c r="J104"/>
      <c r="K104"/>
      <c r="L104"/>
      <c r="M104"/>
      <c r="N104"/>
      <c r="O104"/>
    </row>
    <row r="105" spans="1:39">
      <c r="I105"/>
      <c r="J105"/>
      <c r="K105"/>
      <c r="L105"/>
      <c r="M105"/>
      <c r="N105"/>
      <c r="O105"/>
    </row>
  </sheetData>
  <mergeCells count="3">
    <mergeCell ref="P63:P69"/>
    <mergeCell ref="AD3:AG3"/>
    <mergeCell ref="AH3:AK3"/>
  </mergeCells>
  <conditionalFormatting sqref="I7:K45 I47:K74 I90:K98">
    <cfRule type="cellIs" dxfId="12" priority="24" operator="lessThan">
      <formula>0</formula>
    </cfRule>
    <cfRule type="cellIs" dxfId="11" priority="25" operator="lessThan">
      <formula>-1</formula>
    </cfRule>
    <cfRule type="cellIs" dxfId="10" priority="26" operator="greaterThanOrEqual">
      <formula>0</formula>
    </cfRule>
  </conditionalFormatting>
  <conditionalFormatting sqref="J75:K83">
    <cfRule type="cellIs" dxfId="9" priority="4" operator="lessThan">
      <formula>0</formula>
    </cfRule>
    <cfRule type="cellIs" dxfId="8" priority="5" operator="lessThan">
      <formula>-1</formula>
    </cfRule>
    <cfRule type="cellIs" dxfId="7" priority="6" operator="greaterThanOrEqual">
      <formula>0</formula>
    </cfRule>
  </conditionalFormatting>
  <conditionalFormatting sqref="J85:K88">
    <cfRule type="cellIs" dxfId="6" priority="1" operator="lessThan">
      <formula>0</formula>
    </cfRule>
    <cfRule type="cellIs" dxfId="5" priority="2" operator="lessThan">
      <formula>-1</formula>
    </cfRule>
    <cfRule type="cellIs" dxfId="4" priority="3" operator="greaterThanOrEqual">
      <formula>0</formula>
    </cfRule>
  </conditionalFormatting>
  <conditionalFormatting sqref="M7:O97 O98">
    <cfRule type="cellIs" dxfId="3" priority="20" operator="lessThan">
      <formula>-1</formula>
    </cfRule>
  </conditionalFormatting>
  <conditionalFormatting sqref="M7:O98">
    <cfRule type="cellIs" dxfId="2" priority="19" operator="lessThan">
      <formula>0</formula>
    </cfRule>
    <cfRule type="cellIs" dxfId="1" priority="23" operator="greaterThanOrEqual">
      <formula>0</formula>
    </cfRule>
  </conditionalFormatting>
  <conditionalFormatting sqref="M98:O98">
    <cfRule type="cellIs" dxfId="0" priority="7" operator="lessThan">
      <formula>-1</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F698-652F-4C85-B778-6028EA8B1BD4}">
  <dimension ref="B1"/>
  <sheetViews>
    <sheetView workbookViewId="0">
      <selection activeCell="G12" sqref="G12"/>
    </sheetView>
  </sheetViews>
  <sheetFormatPr defaultRowHeight="14.5"/>
  <sheetData>
    <row r="1" spans="2:2">
      <c r="B1" s="334" t="s">
        <v>444</v>
      </c>
    </row>
  </sheetData>
  <hyperlinks>
    <hyperlink ref="B1" r:id="rId1" xr:uid="{638FF43E-E2AF-49C9-A3EA-4A326C86A1F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FF18-8628-4485-BC56-38A2134944A4}">
  <sheetPr>
    <tabColor rgb="FF0000CC"/>
  </sheetPr>
  <dimension ref="B3:B23"/>
  <sheetViews>
    <sheetView topLeftCell="A3" zoomScale="85" zoomScaleNormal="85" workbookViewId="0">
      <selection activeCell="B19" sqref="B19"/>
    </sheetView>
  </sheetViews>
  <sheetFormatPr defaultRowHeight="14.5"/>
  <sheetData>
    <row r="3" spans="2:2" ht="15.5">
      <c r="B3" s="309" t="s">
        <v>418</v>
      </c>
    </row>
    <row r="4" spans="2:2" ht="15.5">
      <c r="B4" s="309" t="s">
        <v>419</v>
      </c>
    </row>
    <row r="5" spans="2:2" ht="7.5" customHeight="1">
      <c r="B5" s="310"/>
    </row>
    <row r="6" spans="2:2" ht="15.5">
      <c r="B6" s="311" t="s">
        <v>420</v>
      </c>
    </row>
    <row r="7" spans="2:2" ht="10.5" customHeight="1">
      <c r="B7" s="310"/>
    </row>
    <row r="8" spans="2:2" ht="15.5">
      <c r="B8" s="311" t="s">
        <v>421</v>
      </c>
    </row>
    <row r="9" spans="2:2" ht="15.5">
      <c r="B9" s="311" t="s">
        <v>422</v>
      </c>
    </row>
    <row r="10" spans="2:2" ht="15.5">
      <c r="B10" s="311" t="s">
        <v>423</v>
      </c>
    </row>
    <row r="11" spans="2:2" ht="15.5">
      <c r="B11" s="311" t="s">
        <v>424</v>
      </c>
    </row>
    <row r="12" spans="2:2" ht="15.5">
      <c r="B12" s="311" t="s">
        <v>425</v>
      </c>
    </row>
    <row r="13" spans="2:2" ht="15">
      <c r="B13" s="312" t="s">
        <v>426</v>
      </c>
    </row>
    <row r="14" spans="2:2">
      <c r="B14" s="310"/>
    </row>
    <row r="15" spans="2:2" ht="15.5">
      <c r="B15" s="311" t="s">
        <v>427</v>
      </c>
    </row>
    <row r="16" spans="2:2" ht="15.5">
      <c r="B16" s="313" t="s">
        <v>428</v>
      </c>
    </row>
    <row r="17" spans="2:2" ht="15.5">
      <c r="B17" s="313" t="s">
        <v>429</v>
      </c>
    </row>
    <row r="18" spans="2:2" ht="15.5">
      <c r="B18" s="313" t="s">
        <v>430</v>
      </c>
    </row>
    <row r="19" spans="2:2" ht="15.5">
      <c r="B19" s="313" t="s">
        <v>431</v>
      </c>
    </row>
    <row r="20" spans="2:2" ht="15.5">
      <c r="B20" s="309" t="s">
        <v>432</v>
      </c>
    </row>
    <row r="21" spans="2:2" ht="15.5">
      <c r="B21" s="309" t="s">
        <v>433</v>
      </c>
    </row>
    <row r="22" spans="2:2" ht="15.5">
      <c r="B22" s="309" t="s">
        <v>434</v>
      </c>
    </row>
    <row r="23" spans="2:2" ht="15.5">
      <c r="B23" s="314" t="s">
        <v>435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EB7EC96C858E4596FDEA8DB8B384EC" ma:contentTypeVersion="15" ma:contentTypeDescription="Create a new document." ma:contentTypeScope="" ma:versionID="0b1484445a1b9c176ac77de667ef706a">
  <xsd:schema xmlns:xsd="http://www.w3.org/2001/XMLSchema" xmlns:xs="http://www.w3.org/2001/XMLSchema" xmlns:p="http://schemas.microsoft.com/office/2006/metadata/properties" xmlns:ns2="ce8f918e-70ef-4d5b-b57f-0705af1536e2" xmlns:ns3="32f2f5af-ffb0-442b-bb68-0e1242028c1e" targetNamespace="http://schemas.microsoft.com/office/2006/metadata/properties" ma:root="true" ma:fieldsID="1376660a57a99827fe1a5aa895d21b21" ns2:_="" ns3:_="">
    <xsd:import namespace="ce8f918e-70ef-4d5b-b57f-0705af1536e2"/>
    <xsd:import namespace="32f2f5af-ffb0-442b-bb68-0e1242028c1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8f918e-70ef-4d5b-b57f-0705af1536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f2f5af-ffb0-442b-bb68-0e1242028c1e"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C027D2-95ED-43D3-8DD6-8728E17A69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8f918e-70ef-4d5b-b57f-0705af1536e2"/>
    <ds:schemaRef ds:uri="32f2f5af-ffb0-442b-bb68-0e1242028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EBB9AC-B676-413B-BABB-C037563271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1. rPET</vt:lpstr>
      <vt:lpstr>2. rHDPE </vt:lpstr>
      <vt:lpstr>3.Vảy HDPE- Ép</vt:lpstr>
      <vt:lpstr>4. rPP </vt:lpstr>
      <vt:lpstr>5. Vảy PP</vt:lpstr>
      <vt:lpstr>6. Hạt phó sản</vt:lpstr>
      <vt:lpstr>rPET- nội bộ </vt:lpstr>
      <vt:lpstr>Tính giá</vt:lpstr>
      <vt:lpstr>KTQT_Trình bày</vt:lpstr>
      <vt:lpstr>Chart giá các năm</vt:lpstr>
      <vt:lpstr>Thach</vt:lpstr>
      <vt:lpstr>'1. rPET'!Print_Area</vt:lpstr>
      <vt:lpstr>'2. rHDPE '!Print_Area</vt:lpstr>
      <vt:lpstr>'3.Vảy HDPE- Ép'!Print_Area</vt:lpstr>
      <vt:lpstr>'4. rPP '!Print_Area</vt:lpstr>
      <vt:lpstr>'5. Vảy PP'!Print_Area</vt:lpstr>
      <vt:lpstr>'6. Hạt phó sản'!Print_Area</vt:lpstr>
      <vt:lpstr>'rPET- nội bộ '!Print_Area</vt:lpstr>
      <vt:lpstr>'rPET- nội bộ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Duong Tu Uyen</dc:creator>
  <cp:lastModifiedBy>Cư, Lê Hoành</cp:lastModifiedBy>
  <cp:lastPrinted>2025-05-17T11:29:29Z</cp:lastPrinted>
  <dcterms:created xsi:type="dcterms:W3CDTF">2021-05-11T03:12:36Z</dcterms:created>
  <dcterms:modified xsi:type="dcterms:W3CDTF">2026-04-01T10:49:19Z</dcterms:modified>
</cp:coreProperties>
</file>