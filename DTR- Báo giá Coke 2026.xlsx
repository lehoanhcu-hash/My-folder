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KTQT\Giá bán\Giá bán Tháng_Năm\2026\"/>
    </mc:Choice>
  </mc:AlternateContent>
  <xr:revisionPtr revIDLastSave="0" documentId="13_ncr:1_{E1D4D7BC-88BA-410A-B838-2536351CCD6E}" xr6:coauthVersionLast="47" xr6:coauthVersionMax="47" xr10:uidLastSave="{00000000-0000-0000-0000-000000000000}"/>
  <bookViews>
    <workbookView xWindow="-110" yWindow="-110" windowWidth="19420" windowHeight="10300" xr2:uid="{86062C67-AAAC-4A1F-8A40-80685B2A6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11" i="1"/>
  <c r="E10" i="1"/>
  <c r="E8" i="1"/>
  <c r="E7" i="1"/>
  <c r="L7" i="1"/>
  <c r="M7" i="1"/>
  <c r="I8" i="1"/>
  <c r="F14" i="1"/>
  <c r="E14" i="1"/>
  <c r="F12" i="1"/>
  <c r="F8" i="1"/>
  <c r="D7" i="1"/>
  <c r="I6" i="1"/>
  <c r="H12" i="1"/>
  <c r="A10" i="1"/>
  <c r="A11" i="1"/>
  <c r="A12" i="1" s="1"/>
  <c r="A13" i="1" s="1"/>
  <c r="A14" i="1" s="1"/>
  <c r="M11" i="1"/>
  <c r="L11" i="1"/>
  <c r="L12" i="1" s="1"/>
  <c r="M12" i="1" s="1"/>
  <c r="M10" i="1"/>
  <c r="M9" i="1"/>
  <c r="M8" i="1"/>
  <c r="M6" i="1"/>
  <c r="M14" i="1" l="1"/>
  <c r="I10" i="1" l="1"/>
  <c r="I9" i="1"/>
  <c r="H7" i="1"/>
  <c r="I7" i="1" s="1"/>
  <c r="E9" i="1"/>
  <c r="E6" i="1"/>
  <c r="F10" i="1" l="1"/>
  <c r="F9" i="1"/>
  <c r="H11" i="1"/>
  <c r="I12" i="1" s="1"/>
  <c r="F13" i="1" l="1"/>
  <c r="F6" i="1"/>
  <c r="I14" i="1"/>
  <c r="I11" i="1"/>
  <c r="J12" i="1" l="1"/>
  <c r="N13" i="1"/>
  <c r="N11" i="1"/>
  <c r="N8" i="1"/>
  <c r="N10" i="1"/>
  <c r="N6" i="1"/>
  <c r="N9" i="1"/>
  <c r="N7" i="1"/>
  <c r="N12" i="1"/>
  <c r="N14" i="1"/>
  <c r="J11" i="1"/>
  <c r="J7" i="1"/>
  <c r="J14" i="1"/>
  <c r="J6" i="1"/>
  <c r="J13" i="1"/>
  <c r="J10" i="1"/>
  <c r="J9" i="1"/>
  <c r="J8" i="1"/>
  <c r="D11" i="1" l="1"/>
  <c r="F11" i="1" l="1"/>
  <c r="F7" i="1"/>
</calcChain>
</file>

<file path=xl/sharedStrings.xml><?xml version="1.0" encoding="utf-8"?>
<sst xmlns="http://schemas.openxmlformats.org/spreadsheetml/2006/main" count="30" uniqueCount="23">
  <si>
    <t>Discount</t>
  </si>
  <si>
    <t>Nội dung</t>
  </si>
  <si>
    <t>Bales price</t>
  </si>
  <si>
    <t>Yield loss (hao hụt)</t>
  </si>
  <si>
    <t xml:space="preserve">Conversion cost (chi phí sx) </t>
  </si>
  <si>
    <t>Delivery cost (vận chuyển trong HCM)</t>
  </si>
  <si>
    <t>EBT (Lợi nhuận trước thuế)</t>
  </si>
  <si>
    <t>Interest (lãi vay)</t>
  </si>
  <si>
    <t>STT</t>
  </si>
  <si>
    <t>Giá bán EXW</t>
  </si>
  <si>
    <t>Giá bán EXW sau discount</t>
  </si>
  <si>
    <t>(VND/Kg)</t>
  </si>
  <si>
    <t>% /giá bán</t>
  </si>
  <si>
    <t>(USD/tấn)</t>
  </si>
  <si>
    <t>CHÀO GIÁ COKE 2026</t>
  </si>
  <si>
    <t>Mã hàng</t>
  </si>
  <si>
    <t>ISS01084G</t>
  </si>
  <si>
    <t>Tỷ giá</t>
  </si>
  <si>
    <t>Tỷ lệ hao hụt</t>
  </si>
  <si>
    <t>Chào giá Unilever</t>
  </si>
  <si>
    <t>WSS01G</t>
  </si>
  <si>
    <t>Coke Việt Nam</t>
  </si>
  <si>
    <t>Coke nước ngoài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</si>
</sst>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\$\ #,##0"/>
    <numFmt numFmtId="167" formatCode="0.0%"/>
  </numFmts>
  <fonts count="14" x14ac:knownFonts="1">
    <font>
      <sz val="11"/>
      <color theme="1"/>
      <name val="calibri"/>
      <family val="2"/>
      <charset val="163"/>
    </font>
    <font>
      <sz val="11"/>
      <color theme="1"/>
      <name val="calibri"/>
      <family val="2"/>
      <charset val="163"/>
    </font>
    <font>
      <b/>
      <sz val="18"/>
      <color rgb="FF0070C0"/>
      <name val="calibri"/>
      <family val="2"/>
    </font>
    <font>
      <i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b/>
      <sz val="12"/>
      <color rgb="FF0000FF"/>
      <name val="calibri"/>
      <family val="2"/>
    </font>
    <font>
      <b/>
      <sz val="12"/>
      <color theme="7" tint="-0.249977111117893"/>
      <name val="calibri"/>
      <family val="2"/>
    </font>
    <font>
      <b/>
      <sz val="12"/>
      <color rgb="FFFF00FF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right"/>
    </xf>
    <xf numFmtId="165" fontId="5" fillId="2" borderId="0" xfId="1" applyNumberFormat="1" applyFont="1" applyFill="1"/>
    <xf numFmtId="9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165" fontId="9" fillId="2" borderId="1" xfId="1" applyNumberFormat="1" applyFont="1" applyFill="1" applyBorder="1" applyAlignment="1">
      <alignment horizontal="right" vertical="center"/>
    </xf>
    <xf numFmtId="166" fontId="9" fillId="2" borderId="1" xfId="0" applyNumberFormat="1" applyFont="1" applyFill="1" applyBorder="1" applyAlignment="1">
      <alignment horizontal="right" vertical="center"/>
    </xf>
    <xf numFmtId="9" fontId="9" fillId="2" borderId="1" xfId="1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65" fontId="8" fillId="2" borderId="1" xfId="1" applyNumberFormat="1" applyFont="1" applyFill="1" applyBorder="1" applyAlignment="1">
      <alignment horizontal="right" vertical="center"/>
    </xf>
    <xf numFmtId="166" fontId="8" fillId="2" borderId="1" xfId="0" applyNumberFormat="1" applyFont="1" applyFill="1" applyBorder="1" applyAlignment="1">
      <alignment horizontal="right" vertical="center"/>
    </xf>
    <xf numFmtId="9" fontId="8" fillId="2" borderId="1" xfId="1" applyNumberFormat="1" applyFont="1" applyFill="1" applyBorder="1" applyAlignment="1">
      <alignment horizontal="right" vertical="center"/>
    </xf>
    <xf numFmtId="165" fontId="4" fillId="2" borderId="0" xfId="1" applyNumberFormat="1" applyFont="1" applyFill="1"/>
    <xf numFmtId="165" fontId="10" fillId="2" borderId="1" xfId="1" applyNumberFormat="1" applyFont="1" applyFill="1" applyBorder="1" applyAlignment="1">
      <alignment horizontal="right" vertical="center"/>
    </xf>
    <xf numFmtId="166" fontId="10" fillId="2" borderId="1" xfId="0" applyNumberFormat="1" applyFont="1" applyFill="1" applyBorder="1" applyAlignment="1">
      <alignment horizontal="right" vertical="center"/>
    </xf>
    <xf numFmtId="9" fontId="10" fillId="2" borderId="1" xfId="1" applyNumberFormat="1" applyFont="1" applyFill="1" applyBorder="1" applyAlignment="1">
      <alignment horizontal="right" vertical="center"/>
    </xf>
    <xf numFmtId="166" fontId="11" fillId="2" borderId="1" xfId="0" applyNumberFormat="1" applyFont="1" applyFill="1" applyBorder="1" applyAlignment="1">
      <alignment horizontal="right" vertical="center"/>
    </xf>
    <xf numFmtId="9" fontId="8" fillId="0" borderId="1" xfId="0" applyNumberFormat="1" applyFont="1" applyBorder="1" applyAlignment="1">
      <alignment vertical="center" wrapText="1"/>
    </xf>
    <xf numFmtId="166" fontId="4" fillId="2" borderId="0" xfId="0" applyNumberFormat="1" applyFont="1" applyFill="1"/>
    <xf numFmtId="165" fontId="12" fillId="2" borderId="1" xfId="1" applyNumberFormat="1" applyFont="1" applyFill="1" applyBorder="1" applyAlignment="1">
      <alignment horizontal="right" vertical="center"/>
    </xf>
    <xf numFmtId="0" fontId="4" fillId="4" borderId="0" xfId="0" applyFont="1" applyFill="1"/>
    <xf numFmtId="0" fontId="13" fillId="4" borderId="0" xfId="0" applyFont="1" applyFill="1"/>
    <xf numFmtId="165" fontId="5" fillId="2" borderId="0" xfId="1" applyNumberFormat="1" applyFont="1" applyFill="1" applyAlignment="1">
      <alignment horizontal="left"/>
    </xf>
    <xf numFmtId="0" fontId="9" fillId="0" borderId="1" xfId="0" applyFont="1" applyBorder="1" applyAlignment="1">
      <alignment vertical="center" wrapText="1"/>
    </xf>
    <xf numFmtId="167" fontId="8" fillId="5" borderId="1" xfId="1" applyNumberFormat="1" applyFont="1" applyFill="1" applyBorder="1" applyAlignment="1">
      <alignment horizontal="right" vertical="center"/>
    </xf>
    <xf numFmtId="165" fontId="13" fillId="5" borderId="0" xfId="1" applyNumberFormat="1" applyFont="1" applyFill="1"/>
    <xf numFmtId="9" fontId="8" fillId="5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1794-3638-4FCA-8E75-6CF916A7865E}">
  <dimension ref="A1:N23"/>
  <sheetViews>
    <sheetView tabSelected="1" workbookViewId="0">
      <selection activeCell="B6" sqref="B6"/>
    </sheetView>
  </sheetViews>
  <sheetFormatPr defaultColWidth="8.90625" defaultRowHeight="14.5" x14ac:dyDescent="0.35"/>
  <cols>
    <col min="1" max="1" width="8.90625" style="3"/>
    <col min="2" max="2" width="36.90625" style="3" customWidth="1"/>
    <col min="3" max="3" width="8.81640625" style="3" customWidth="1"/>
    <col min="4" max="4" width="11.81640625" style="3" customWidth="1"/>
    <col min="5" max="5" width="11.6328125" style="3" customWidth="1"/>
    <col min="6" max="6" width="11.36328125" style="3" customWidth="1"/>
    <col min="7" max="7" width="1.81640625" style="3" customWidth="1"/>
    <col min="8" max="8" width="11.81640625" style="3" customWidth="1"/>
    <col min="9" max="9" width="10.08984375" style="3" customWidth="1"/>
    <col min="10" max="10" width="8.90625" style="3"/>
    <col min="11" max="11" width="1.6328125" style="3" customWidth="1"/>
    <col min="12" max="12" width="10.26953125" style="3" customWidth="1"/>
    <col min="13" max="13" width="9.6328125" style="3" customWidth="1"/>
    <col min="14" max="14" width="9.453125" style="3" customWidth="1"/>
    <col min="15" max="16384" width="8.90625" style="3"/>
  </cols>
  <sheetData>
    <row r="1" spans="1:14" ht="23.5" x14ac:dyDescent="0.55000000000000004">
      <c r="A1" s="1" t="s">
        <v>14</v>
      </c>
    </row>
    <row r="2" spans="1:14" x14ac:dyDescent="0.35">
      <c r="A2" s="2" t="s">
        <v>15</v>
      </c>
      <c r="B2" s="2" t="s">
        <v>16</v>
      </c>
      <c r="C2" s="2"/>
    </row>
    <row r="3" spans="1:14" x14ac:dyDescent="0.35">
      <c r="A3" s="4" t="s">
        <v>17</v>
      </c>
      <c r="B3" s="26">
        <v>26000</v>
      </c>
      <c r="D3" s="4" t="s">
        <v>17</v>
      </c>
      <c r="E3" s="5">
        <v>26000</v>
      </c>
    </row>
    <row r="4" spans="1:14" x14ac:dyDescent="0.35">
      <c r="C4" s="3" t="s">
        <v>19</v>
      </c>
      <c r="D4" s="4"/>
      <c r="E4" s="29" t="s">
        <v>20</v>
      </c>
      <c r="H4" s="24"/>
      <c r="I4" s="25" t="s">
        <v>21</v>
      </c>
      <c r="J4" s="24"/>
      <c r="L4" s="24"/>
      <c r="M4" s="25" t="s">
        <v>22</v>
      </c>
      <c r="N4" s="24"/>
    </row>
    <row r="5" spans="1:14" ht="33.65" customHeight="1" x14ac:dyDescent="0.35">
      <c r="A5" s="6" t="s">
        <v>8</v>
      </c>
      <c r="B5" s="6" t="s">
        <v>1</v>
      </c>
      <c r="C5" s="6" t="s">
        <v>18</v>
      </c>
      <c r="D5" s="6" t="s">
        <v>11</v>
      </c>
      <c r="E5" s="6" t="s">
        <v>13</v>
      </c>
      <c r="F5" s="6" t="s">
        <v>12</v>
      </c>
      <c r="H5" s="6" t="s">
        <v>11</v>
      </c>
      <c r="I5" s="6" t="s">
        <v>13</v>
      </c>
      <c r="J5" s="6" t="s">
        <v>12</v>
      </c>
      <c r="L5" s="6" t="s">
        <v>11</v>
      </c>
      <c r="M5" s="6" t="s">
        <v>13</v>
      </c>
      <c r="N5" s="6" t="s">
        <v>12</v>
      </c>
    </row>
    <row r="6" spans="1:14" ht="15.5" x14ac:dyDescent="0.35">
      <c r="A6" s="7">
        <v>1</v>
      </c>
      <c r="B6" s="27" t="s">
        <v>2</v>
      </c>
      <c r="C6" s="8"/>
      <c r="D6" s="9">
        <v>15000</v>
      </c>
      <c r="E6" s="10">
        <f>+D6/$E$3*10^3</f>
        <v>576.92307692307691</v>
      </c>
      <c r="F6" s="11">
        <f>+E6/$E$14</f>
        <v>0.45796191959890598</v>
      </c>
      <c r="H6" s="9">
        <v>15000</v>
      </c>
      <c r="I6" s="10">
        <f>+H6/$E$3*10^3</f>
        <v>576.92307692307691</v>
      </c>
      <c r="J6" s="11">
        <f>+I6/$I$14</f>
        <v>0.46160663728796869</v>
      </c>
      <c r="L6" s="9">
        <v>15000</v>
      </c>
      <c r="M6" s="10">
        <f>+L6/$E$3*10^3</f>
        <v>576.92307692307691</v>
      </c>
      <c r="N6" s="11">
        <f>+M6/$I$14</f>
        <v>0.46160663728796869</v>
      </c>
    </row>
    <row r="7" spans="1:14" ht="15.5" x14ac:dyDescent="0.35">
      <c r="A7" s="7">
        <v>2</v>
      </c>
      <c r="B7" s="8" t="s">
        <v>3</v>
      </c>
      <c r="C7" s="21">
        <v>0.3</v>
      </c>
      <c r="D7" s="13">
        <f>+D6*30%</f>
        <v>4500</v>
      </c>
      <c r="E7" s="14">
        <f>+D7/$E$3*10^3</f>
        <v>173.07692307692307</v>
      </c>
      <c r="F7" s="15">
        <f t="shared" ref="F7:F13" si="0">+E7/$E$14</f>
        <v>0.13738857587967179</v>
      </c>
      <c r="H7" s="13">
        <f>+H6*30%</f>
        <v>4500</v>
      </c>
      <c r="I7" s="14">
        <f t="shared" ref="I7:I12" si="1">+H7/$E$3*10^3</f>
        <v>173.07692307692307</v>
      </c>
      <c r="J7" s="15">
        <f t="shared" ref="J7:J14" si="2">+I7/$I$14</f>
        <v>0.1384819911863906</v>
      </c>
      <c r="L7" s="13">
        <f>+L6*30%</f>
        <v>4500</v>
      </c>
      <c r="M7" s="14">
        <f>+L7/$E$3*10^3</f>
        <v>173.07692307692307</v>
      </c>
      <c r="N7" s="15">
        <f t="shared" ref="N7:N14" si="3">+M7/$I$14</f>
        <v>0.1384819911863906</v>
      </c>
    </row>
    <row r="8" spans="1:14" ht="15.5" x14ac:dyDescent="0.35">
      <c r="A8" s="7">
        <v>3</v>
      </c>
      <c r="B8" s="8" t="s">
        <v>4</v>
      </c>
      <c r="C8" s="8"/>
      <c r="D8" s="13">
        <v>9546.2135944068505</v>
      </c>
      <c r="E8" s="14">
        <f>+D8/$E$3*10^3</f>
        <v>367.16206132334037</v>
      </c>
      <c r="F8" s="15">
        <f>+E8/$E$14</f>
        <v>0.29145348683971556</v>
      </c>
      <c r="H8" s="23">
        <v>11100</v>
      </c>
      <c r="I8" s="14">
        <f>+H8/$E$3*10^3</f>
        <v>426.92307692307691</v>
      </c>
      <c r="J8" s="15">
        <f t="shared" si="2"/>
        <v>0.34158891159309684</v>
      </c>
      <c r="L8" s="23">
        <v>11100</v>
      </c>
      <c r="M8" s="14">
        <f t="shared" ref="M8:M12" si="4">+L8/$E$3*10^3</f>
        <v>426.92307692307691</v>
      </c>
      <c r="N8" s="15">
        <f t="shared" si="3"/>
        <v>0.34158891159309684</v>
      </c>
    </row>
    <row r="9" spans="1:14" ht="15.5" hidden="1" x14ac:dyDescent="0.35">
      <c r="A9" s="7">
        <v>4</v>
      </c>
      <c r="B9" s="8" t="s">
        <v>5</v>
      </c>
      <c r="C9" s="8"/>
      <c r="D9" s="13">
        <v>299</v>
      </c>
      <c r="E9" s="14">
        <f t="shared" ref="E7:E11" si="5">+D9/$E$3*10^3</f>
        <v>11.5</v>
      </c>
      <c r="F9" s="15">
        <f t="shared" si="0"/>
        <v>9.1287075973381926E-3</v>
      </c>
      <c r="H9" s="13">
        <v>0</v>
      </c>
      <c r="I9" s="14">
        <f t="shared" si="1"/>
        <v>0</v>
      </c>
      <c r="J9" s="15">
        <f t="shared" si="2"/>
        <v>0</v>
      </c>
      <c r="L9" s="13">
        <v>0</v>
      </c>
      <c r="M9" s="14">
        <f t="shared" si="4"/>
        <v>0</v>
      </c>
      <c r="N9" s="15">
        <f t="shared" si="3"/>
        <v>0</v>
      </c>
    </row>
    <row r="10" spans="1:14" ht="15.5" x14ac:dyDescent="0.35">
      <c r="A10" s="7">
        <f>+A8+1</f>
        <v>4</v>
      </c>
      <c r="B10" s="8" t="s">
        <v>6</v>
      </c>
      <c r="C10" s="8"/>
      <c r="D10" s="13">
        <v>3295</v>
      </c>
      <c r="E10" s="14">
        <f>+D10/$E$3*10^3</f>
        <v>126.73076923076923</v>
      </c>
      <c r="F10" s="30">
        <f t="shared" si="0"/>
        <v>0.10059896833855968</v>
      </c>
      <c r="H10" s="23">
        <v>1680</v>
      </c>
      <c r="I10" s="14">
        <f t="shared" si="1"/>
        <v>64.615384615384613</v>
      </c>
      <c r="J10" s="28">
        <f t="shared" si="2"/>
        <v>5.1699943376252493E-2</v>
      </c>
      <c r="L10" s="23">
        <v>1680</v>
      </c>
      <c r="M10" s="14">
        <f t="shared" si="4"/>
        <v>64.615384615384613</v>
      </c>
      <c r="N10" s="28">
        <f t="shared" si="3"/>
        <v>5.1699943376252493E-2</v>
      </c>
    </row>
    <row r="11" spans="1:14" ht="15.5" x14ac:dyDescent="0.35">
      <c r="A11" s="7">
        <f t="shared" ref="A11:A14" si="6">+A10+1</f>
        <v>5</v>
      </c>
      <c r="B11" s="12" t="s">
        <v>7</v>
      </c>
      <c r="C11" s="12"/>
      <c r="D11" s="13">
        <f>+SUM(D6:D10)*8%/12</f>
        <v>217.60142396271235</v>
      </c>
      <c r="E11" s="14">
        <f>+D11/$E$3*10^3</f>
        <v>8.3692855370273964</v>
      </c>
      <c r="F11" s="15">
        <f t="shared" si="0"/>
        <v>6.6435443883612741E-3</v>
      </c>
      <c r="H11" s="13">
        <f>+SUM(H6:H10)*8%/12</f>
        <v>215.20000000000002</v>
      </c>
      <c r="I11" s="14">
        <f t="shared" si="1"/>
        <v>8.2769230769230777</v>
      </c>
      <c r="J11" s="15">
        <f t="shared" si="2"/>
        <v>6.6225165562913916E-3</v>
      </c>
      <c r="L11" s="13">
        <f>+SUM(L6:L10)*8%/12</f>
        <v>215.20000000000002</v>
      </c>
      <c r="M11" s="14">
        <f t="shared" si="4"/>
        <v>8.2769230769230777</v>
      </c>
      <c r="N11" s="15">
        <f t="shared" si="3"/>
        <v>6.6225165562913916E-3</v>
      </c>
    </row>
    <row r="12" spans="1:14" ht="15.5" x14ac:dyDescent="0.35">
      <c r="A12" s="7">
        <f t="shared" si="6"/>
        <v>6</v>
      </c>
      <c r="B12" s="8" t="s">
        <v>9</v>
      </c>
      <c r="C12" s="8"/>
      <c r="D12" s="17">
        <v>32857.815018369562</v>
      </c>
      <c r="E12" s="18">
        <f>+D12/$E$3*10^3</f>
        <v>1263.7621160911369</v>
      </c>
      <c r="F12" s="19">
        <f>+E12/$E$14</f>
        <v>1.0031752026425524</v>
      </c>
      <c r="H12" s="17">
        <f>+SUM(H6:H11)</f>
        <v>32495.200000000001</v>
      </c>
      <c r="I12" s="18">
        <f t="shared" si="1"/>
        <v>1249.8153846153846</v>
      </c>
      <c r="J12" s="19">
        <f t="shared" si="2"/>
        <v>1</v>
      </c>
      <c r="L12" s="17">
        <f>+SUM(L6:L11)</f>
        <v>32495.200000000001</v>
      </c>
      <c r="M12" s="18">
        <f t="shared" si="4"/>
        <v>1249.8153846153846</v>
      </c>
      <c r="N12" s="19">
        <f t="shared" si="3"/>
        <v>1</v>
      </c>
    </row>
    <row r="13" spans="1:14" ht="15.5" x14ac:dyDescent="0.35">
      <c r="A13" s="7">
        <f t="shared" si="6"/>
        <v>7</v>
      </c>
      <c r="B13" s="12" t="s">
        <v>0</v>
      </c>
      <c r="C13" s="12"/>
      <c r="D13" s="13"/>
      <c r="E13" s="14">
        <v>4</v>
      </c>
      <c r="F13" s="15">
        <f t="shared" si="0"/>
        <v>3.1752026425524147E-3</v>
      </c>
      <c r="H13" s="13"/>
      <c r="I13" s="14"/>
      <c r="J13" s="15">
        <f t="shared" si="2"/>
        <v>0</v>
      </c>
      <c r="L13" s="13"/>
      <c r="M13" s="14">
        <v>60</v>
      </c>
      <c r="N13" s="15">
        <f t="shared" si="3"/>
        <v>4.8007090277948743E-2</v>
      </c>
    </row>
    <row r="14" spans="1:14" ht="15.5" x14ac:dyDescent="0.35">
      <c r="A14" s="7">
        <f t="shared" si="6"/>
        <v>8</v>
      </c>
      <c r="B14" s="27" t="s">
        <v>10</v>
      </c>
      <c r="C14" s="8"/>
      <c r="D14" s="13"/>
      <c r="E14" s="20">
        <f>+E12-E13</f>
        <v>1259.7621160911369</v>
      </c>
      <c r="F14" s="15">
        <f>+E14/$E$14</f>
        <v>1</v>
      </c>
      <c r="H14" s="13"/>
      <c r="I14" s="20">
        <f>+I12-I13</f>
        <v>1249.8153846153846</v>
      </c>
      <c r="J14" s="15">
        <f t="shared" si="2"/>
        <v>1</v>
      </c>
      <c r="L14" s="13"/>
      <c r="M14" s="20">
        <f>+M12-M13</f>
        <v>1189.8153846153846</v>
      </c>
      <c r="N14" s="15">
        <f t="shared" si="3"/>
        <v>0.95199290972205131</v>
      </c>
    </row>
    <row r="19" spans="8:8" x14ac:dyDescent="0.35">
      <c r="H19" s="22"/>
    </row>
    <row r="23" spans="8:8" x14ac:dyDescent="0.35">
      <c r="H2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Nhâm, Hoàng Thị</dc:creator>
  <cp:lastModifiedBy>Cư, Lê Hoành</cp:lastModifiedBy>
  <dcterms:created xsi:type="dcterms:W3CDTF">2025-11-25T04:22:58Z</dcterms:created>
  <dcterms:modified xsi:type="dcterms:W3CDTF">2025-12-10T03:50:32Z</dcterms:modified>
</cp:coreProperties>
</file>