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uuhongnhung_duytanrecycling_com/Documents/01. HE THONG THU MUA/00. DA SUPPLY CHAIN/04. TC1. Phat trien tram/1. Trạm nội bộ/1. Tram HCM - Khanh Nga 2/2. CSHT - MMTB/"/>
    </mc:Choice>
  </mc:AlternateContent>
  <xr:revisionPtr revIDLastSave="2" documentId="8_{804A33B0-1389-4729-AF84-1030CDDB022D}" xr6:coauthVersionLast="47" xr6:coauthVersionMax="47" xr10:uidLastSave="{D38D2272-41AA-4FE2-BCBD-D234BD1B42FD}"/>
  <bookViews>
    <workbookView xWindow="-110" yWindow="-110" windowWidth="19420" windowHeight="10300" firstSheet="1" activeTab="1" xr2:uid="{00000000-000D-0000-FFFF-FFFF00000000}"/>
  </bookViews>
  <sheets>
    <sheet name="BM01" sheetId="2" state="hidden" r:id="rId1"/>
    <sheet name="BM01 (2)" sheetId="7" r:id="rId2"/>
    <sheet name="Tạo chữ ký đều nhau" sheetId="3" r:id="rId3"/>
    <sheet name="Hướng dẫn nhập" sheetId="6" r:id="rId4"/>
  </sheets>
  <definedNames>
    <definedName name="_xlnm.Print_Area" localSheetId="0">'BM01'!$A$1:$L$30</definedName>
    <definedName name="_xlnm.Print_Area" localSheetId="1">'BM01 (2)'!$A$1:$L$30</definedName>
    <definedName name="_xlnm.Print_Area" localSheetId="3">'Hướng dẫn nhập'!$B$2:$M$31</definedName>
    <definedName name="_xlnm.Print_Titles" localSheetId="0">'BM01'!$7:$7</definedName>
    <definedName name="_xlnm.Print_Titles" localSheetId="1">'BM01 (2)'!$7:$7</definedName>
    <definedName name="_xlnm.Print_Titles" localSheetId="3">'Hướng dẫn nhập'!$8:$8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H10" i="7" s="1"/>
  <c r="E10" i="7"/>
  <c r="G10" i="7" s="1"/>
  <c r="E12" i="2" l="1"/>
  <c r="G12" i="2" s="1"/>
  <c r="F12" i="2"/>
  <c r="H12" i="2"/>
  <c r="F11" i="7" l="1"/>
  <c r="H11" i="7" s="1"/>
  <c r="N11" i="7" s="1"/>
  <c r="O11" i="7" s="1"/>
  <c r="E8" i="7"/>
  <c r="G8" i="7" s="1"/>
  <c r="H9" i="7"/>
  <c r="E9" i="7"/>
  <c r="G9" i="7" s="1"/>
  <c r="H12" i="7"/>
  <c r="E12" i="7"/>
  <c r="G12" i="7" s="1"/>
  <c r="H8" i="7"/>
  <c r="H11" i="2"/>
  <c r="E11" i="2"/>
  <c r="G11" i="2" s="1"/>
  <c r="E20" i="2"/>
  <c r="E23" i="2"/>
  <c r="E22" i="2"/>
  <c r="E21" i="2"/>
  <c r="E8" i="2"/>
  <c r="G8" i="2" s="1"/>
  <c r="E9" i="2"/>
  <c r="G9" i="2" s="1"/>
  <c r="E10" i="2"/>
  <c r="G10" i="2" s="1"/>
  <c r="H9" i="2"/>
  <c r="N9" i="2" s="1"/>
  <c r="O9" i="2" s="1"/>
  <c r="H10" i="2"/>
  <c r="H8" i="2"/>
  <c r="O16" i="6"/>
  <c r="P15" i="6"/>
  <c r="O15" i="6"/>
  <c r="P11" i="6"/>
  <c r="O11" i="6"/>
  <c r="P10" i="6"/>
  <c r="O10" i="6"/>
  <c r="P9" i="6"/>
  <c r="O9" i="6"/>
  <c r="E11" i="7" l="1"/>
  <c r="G11" i="7" s="1"/>
  <c r="N8" i="7"/>
  <c r="O8" i="7" s="1"/>
  <c r="H13" i="7"/>
  <c r="H13" i="2"/>
  <c r="N8" i="2"/>
  <c r="O8" i="2" s="1"/>
  <c r="N13" i="7" l="1"/>
  <c r="O13" i="7" s="1"/>
  <c r="N14" i="7" s="1"/>
  <c r="H14" i="7"/>
  <c r="H14" i="2"/>
  <c r="N13" i="2"/>
  <c r="O13" i="2" s="1"/>
  <c r="N14" i="2" s="1"/>
</calcChain>
</file>

<file path=xl/sharedStrings.xml><?xml version="1.0" encoding="utf-8"?>
<sst xmlns="http://schemas.openxmlformats.org/spreadsheetml/2006/main" count="187" uniqueCount="95">
  <si>
    <t>BẢNG DỰ TOÁN CHI PHÍ ĐẦU TƯ 
(Áp dụng cho máy móc thiết bị - CAPEX)</t>
  </si>
  <si>
    <t>HT-TC-01/BM01</t>
  </si>
  <si>
    <t xml:space="preserve">V03 - </t>
  </si>
  <si>
    <r>
      <rPr>
        <b/>
        <sz val="12"/>
        <color rgb="FF0070C0"/>
        <rFont val="Times New Roman"/>
        <family val="1"/>
      </rPr>
      <t>Phòng ban</t>
    </r>
    <r>
      <rPr>
        <sz val="12"/>
        <color rgb="FF0070C0"/>
        <rFont val="Times New Roman"/>
        <family val="1"/>
      </rPr>
      <t xml:space="preserve">: </t>
    </r>
  </si>
  <si>
    <r>
      <rPr>
        <b/>
        <sz val="12"/>
        <color rgb="FF0070C0"/>
        <rFont val="Times New Roman"/>
        <family val="1"/>
      </rPr>
      <t>Dự án/ Hạng mục</t>
    </r>
    <r>
      <rPr>
        <sz val="12"/>
        <color rgb="FF0070C0"/>
        <rFont val="Times New Roman"/>
        <family val="1"/>
      </rPr>
      <t>:</t>
    </r>
  </si>
  <si>
    <t>Tỷ giá tạm tính:</t>
  </si>
  <si>
    <t>STT</t>
  </si>
  <si>
    <t>Tên hàng - Quy cách - Công suất</t>
  </si>
  <si>
    <t>ĐVT</t>
  </si>
  <si>
    <t xml:space="preserve">Số Lượng </t>
  </si>
  <si>
    <t>Đơn giá 
(USD)</t>
  </si>
  <si>
    <t>Đơn giá
(VND)</t>
  </si>
  <si>
    <t>Thành tiền 
(USD)</t>
  </si>
  <si>
    <t>Thành tiền 
(VND)</t>
  </si>
  <si>
    <t>Thực tế phát sinh
(VND)</t>
  </si>
  <si>
    <t>Nhà cung cấp - Nước sản xuất</t>
  </si>
  <si>
    <t>Hồ sơ đính kèm</t>
  </si>
  <si>
    <t>Ghi chú</t>
  </si>
  <si>
    <t>Chênh lệch
(VND)</t>
  </si>
  <si>
    <t>% chênh lệch</t>
  </si>
  <si>
    <t>VAT</t>
  </si>
  <si>
    <t>Tổng</t>
  </si>
  <si>
    <t>Mục đích:</t>
  </si>
  <si>
    <r>
      <rPr>
        <b/>
        <sz val="12"/>
        <color rgb="FF0070C0"/>
        <rFont val="Times New Roman"/>
        <family val="1"/>
      </rPr>
      <t xml:space="preserve">      Xác nhận ngân sách</t>
    </r>
    <r>
      <rPr>
        <sz val="12"/>
        <color rgb="FF0070C0"/>
        <rFont val="Times New Roman"/>
        <family val="1"/>
      </rPr>
      <t xml:space="preserve">
</t>
    </r>
    <r>
      <rPr>
        <i/>
        <sz val="12"/>
        <color rgb="FF0070C0"/>
        <rFont val="Times New Roman"/>
        <family val="1"/>
      </rPr>
      <t>(Bộ phận Kế toán - Tài chính)</t>
    </r>
  </si>
  <si>
    <t>Nội dung</t>
  </si>
  <si>
    <t>Số tiền (Triệu đồng)</t>
  </si>
  <si>
    <t>%</t>
  </si>
  <si>
    <t>Đề xuất này trong/ngoài ngân sách</t>
  </si>
  <si>
    <t>Tổng ngân sách kế hoạch năm</t>
  </si>
  <si>
    <t>Tổng số tiền đã duyệt trong năm</t>
  </si>
  <si>
    <t>Số tiền đã duyệt trong ngân sách</t>
  </si>
  <si>
    <t>Số tiền đã duyệt ngoài ngân sách</t>
  </si>
  <si>
    <t>KTQT xác nhận</t>
  </si>
  <si>
    <t>DTR, ngày …... tháng ….. năm …...</t>
  </si>
  <si>
    <t>Tổng Giám Đốc</t>
  </si>
  <si>
    <t>Phó Tổng Giám Đốc</t>
  </si>
  <si>
    <t>Kế toán quản trị</t>
  </si>
  <si>
    <t>Ngày 30 tháng 05 năm 2016</t>
  </si>
  <si>
    <t>Phê duyệt</t>
  </si>
  <si>
    <t>Kiểm tra</t>
  </si>
  <si>
    <t>Người lập</t>
  </si>
  <si>
    <t xml:space="preserve">Trần Duy Hy                          </t>
  </si>
  <si>
    <t>Trần Quốc Anh</t>
  </si>
  <si>
    <t>Lê Quang Minh</t>
  </si>
  <si>
    <r>
      <rPr>
        <sz val="12"/>
        <color rgb="FF0070C0"/>
        <rFont val="Wingdings"/>
        <charset val="2"/>
      </rPr>
      <t>o</t>
    </r>
    <r>
      <rPr>
        <sz val="12"/>
        <color rgb="FF0070C0"/>
        <rFont val="Times New Roman"/>
        <family val="1"/>
      </rPr>
      <t xml:space="preserve"> Có  </t>
    </r>
    <r>
      <rPr>
        <sz val="12"/>
        <color rgb="FF0070C0"/>
        <rFont val="Wingdings"/>
        <charset val="2"/>
      </rPr>
      <t>o</t>
    </r>
    <r>
      <rPr>
        <sz val="12"/>
        <color rgb="FF0070C0"/>
        <rFont val="Times New Roman"/>
        <family val="1"/>
      </rPr>
      <t xml:space="preserve"> Không</t>
    </r>
  </si>
  <si>
    <t>Cải tạo xưởng</t>
  </si>
  <si>
    <t>Hệ thống PCCC (ước tính)</t>
  </si>
  <si>
    <t>Gói</t>
  </si>
  <si>
    <t>Hệ thống mạng internet trung tâm</t>
  </si>
  <si>
    <t>Toàn Lợi</t>
  </si>
  <si>
    <t>TKP</t>
  </si>
  <si>
    <t>Hệ thống điện chiếu sáng</t>
  </si>
  <si>
    <t>Ngoài ngân sách</t>
  </si>
  <si>
    <t>Thiên Công</t>
  </si>
  <si>
    <t>Đề xuất</t>
  </si>
  <si>
    <t>Trần Minh Hoàng</t>
  </si>
  <si>
    <r>
      <t xml:space="preserve">GĐ Chiến lược CCƯ
</t>
    </r>
    <r>
      <rPr>
        <i/>
        <sz val="11.5"/>
        <color rgb="FF0070C0"/>
        <rFont val="Times New Roman"/>
        <family val="1"/>
      </rPr>
      <t>(Kiểm tra)</t>
    </r>
  </si>
  <si>
    <t>Trần Nhựt Hiện</t>
  </si>
  <si>
    <t>Lê Văn Ty</t>
  </si>
  <si>
    <t>Lê Hoành Cư</t>
  </si>
  <si>
    <r>
      <t xml:space="preserve">P.TGĐ khối vận hành DTR
</t>
    </r>
    <r>
      <rPr>
        <i/>
        <sz val="11.5"/>
        <color rgb="FF0070C0"/>
        <rFont val="Times New Roman"/>
        <family val="1"/>
      </rPr>
      <t>(Xem xét)</t>
    </r>
  </si>
  <si>
    <t>Đái Trung Quân</t>
  </si>
  <si>
    <r>
      <t xml:space="preserve">Tổng giám đốc DTR
</t>
    </r>
    <r>
      <rPr>
        <i/>
        <sz val="11.5"/>
        <color rgb="FF0070C0"/>
        <rFont val="Times New Roman"/>
        <family val="1"/>
      </rPr>
      <t>(Xem xét)</t>
    </r>
  </si>
  <si>
    <t>Huỳnh Ngọc Thạch</t>
  </si>
  <si>
    <r>
      <t xml:space="preserve">Chủ tịch
</t>
    </r>
    <r>
      <rPr>
        <i/>
        <sz val="11.5"/>
        <color rgb="FF0070C0"/>
        <rFont val="Times New Roman"/>
        <family val="1"/>
      </rPr>
      <t>(Phê duyệt)</t>
    </r>
  </si>
  <si>
    <t>Trần Duy Hy</t>
  </si>
  <si>
    <t>DTR</t>
  </si>
  <si>
    <r>
      <t>Phòng ban</t>
    </r>
    <r>
      <rPr>
        <sz val="12"/>
        <color rgb="FF0070C0"/>
        <rFont val="Times New Roman"/>
        <family val="1"/>
      </rPr>
      <t>:</t>
    </r>
    <r>
      <rPr>
        <b/>
        <sz val="12"/>
        <color rgb="FF0070C0"/>
        <rFont val="Times New Roman"/>
        <family val="1"/>
      </rPr>
      <t xml:space="preserve"> </t>
    </r>
    <r>
      <rPr>
        <sz val="12"/>
        <color rgb="FF0070C0"/>
        <rFont val="Times New Roman"/>
        <family val="1"/>
      </rPr>
      <t>Ban dự án Chiến lược chuỗi cung ứng</t>
    </r>
  </si>
  <si>
    <r>
      <t xml:space="preserve">GĐ Tài chính DTR
</t>
    </r>
    <r>
      <rPr>
        <i/>
        <sz val="11.5"/>
        <color rgb="FF0070C0"/>
        <rFont val="Times New Roman"/>
        <family val="1"/>
      </rPr>
      <t>(Xem xét)</t>
    </r>
  </si>
  <si>
    <r>
      <t xml:space="preserve">GĐ kỹ thuật
</t>
    </r>
    <r>
      <rPr>
        <i/>
        <sz val="11.5"/>
        <color rgb="FF0070C0"/>
        <rFont val="Times New Roman"/>
        <family val="1"/>
      </rPr>
      <t>(Xem xét)</t>
    </r>
  </si>
  <si>
    <r>
      <t xml:space="preserve">Mục đích: </t>
    </r>
    <r>
      <rPr>
        <sz val="12"/>
        <color rgb="FF0070C0"/>
        <rFont val="Times New Roman"/>
        <family val="1"/>
      </rPr>
      <t>nâng cấp xưởng 6 Tân Đại Hưng để sử dụng phục vụ mua hàng, sản xuất tại khu vực Long An</t>
    </r>
  </si>
  <si>
    <t>File 2. Dự toán hệ thống chiếu sáng</t>
  </si>
  <si>
    <t>File 1. Dự toán xây dựng cải tạo</t>
  </si>
  <si>
    <t>File 3.1. Dự toán internet PA1; File 3.2. Dự toán internet PA2</t>
  </si>
  <si>
    <t>File 4.1. Dự toán PCCC TKP; File 4.2. Dự toán PCCC Tân Long Hải</t>
  </si>
  <si>
    <r>
      <t xml:space="preserve">P.TGĐ Sản xuất-CCƯ
</t>
    </r>
    <r>
      <rPr>
        <i/>
        <sz val="11.5"/>
        <color rgb="FF0070C0"/>
        <rFont val="Times New Roman"/>
        <family val="1"/>
      </rPr>
      <t>(Xem xét)</t>
    </r>
  </si>
  <si>
    <t>Lê Xuân Huy Vũ</t>
  </si>
  <si>
    <t>DTR, ngày 19 tháng 05 năm 2026</t>
  </si>
  <si>
    <t>Bộ</t>
  </si>
  <si>
    <t>Hệ máy phá kiện (gồm máy phá kiện, băng tải máy phá kiện, sàn rung tách chai, chi phí điện, lắp đặt)</t>
  </si>
  <si>
    <t>HTL</t>
  </si>
  <si>
    <t>Dự toán theo máy hiện hữu tại trạm</t>
  </si>
  <si>
    <r>
      <t>Dự án/ Hạng mục</t>
    </r>
    <r>
      <rPr>
        <sz val="12"/>
        <color rgb="FF0070C0"/>
        <rFont val="Times New Roman"/>
        <family val="1"/>
      </rPr>
      <t>:</t>
    </r>
    <r>
      <rPr>
        <b/>
        <sz val="12"/>
        <color rgb="FF0070C0"/>
        <rFont val="Times New Roman"/>
        <family val="1"/>
      </rPr>
      <t xml:space="preserve"> </t>
    </r>
    <r>
      <rPr>
        <sz val="12"/>
        <color rgb="FF0070C0"/>
        <rFont val="Times New Roman"/>
        <family val="1"/>
      </rPr>
      <t>Cải tạo mặt bằng Tân Đại Hưng phục vụ thu mua hàng + bổ sung máy phá kiện</t>
    </r>
  </si>
  <si>
    <r>
      <t>Dự án/ Hạng mục</t>
    </r>
    <r>
      <rPr>
        <sz val="12"/>
        <color rgb="FF0070C0"/>
        <rFont val="Times New Roman"/>
        <family val="1"/>
      </rPr>
      <t>: Nâng cao năng lực xử lý chuyền thủ công KNLA</t>
    </r>
  </si>
  <si>
    <t>Hệ máy trommel (Máy trommel, băng tải cấp liệu)</t>
  </si>
  <si>
    <t>Trạm cân 80T, cân chìm</t>
  </si>
  <si>
    <t>Cân điện tử Tiến Phát</t>
  </si>
  <si>
    <t>Cách âm máy tách nhãn</t>
  </si>
  <si>
    <t>Lê Quốc</t>
  </si>
  <si>
    <t>File 3. Báo giá trạm cân Tấn Phát</t>
  </si>
  <si>
    <r>
      <t xml:space="preserve">Mục đích: </t>
    </r>
    <r>
      <rPr>
        <sz val="12"/>
        <color rgb="FF0070C0"/>
        <rFont val="Times New Roman"/>
        <family val="1"/>
      </rPr>
      <t>nâng cấp chuyền sản xuất hiện hữu tại Khánh Nga Long An</t>
    </r>
  </si>
  <si>
    <t>File 1. Dự toán máy chuyền tự động TPHCM</t>
  </si>
  <si>
    <t>File 2. Dự toán máy phá kiện</t>
  </si>
  <si>
    <t>DTR, ngày 10 tháng 6 năm 2026</t>
  </si>
  <si>
    <t>Sàn thao tác máy, bục đứng cho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</si>
</sst>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  <numFmt numFmtId="167" formatCode="#,##0\ [$VND]"/>
    <numFmt numFmtId="168" formatCode="&quot;Tỷ giá 1 USD =&quot;\ #,##0\ &quot;VNĐ&quot;"/>
  </numFmts>
  <fonts count="36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20"/>
      <color rgb="FF0000FF"/>
      <name val="Times New Roman"/>
      <family val="1"/>
    </font>
    <font>
      <sz val="14"/>
      <color rgb="FFFF0000"/>
      <name val="Times New Roman"/>
      <family val="1"/>
    </font>
    <font>
      <b/>
      <sz val="14"/>
      <color rgb="FF0000FF"/>
      <name val="Times New Roman"/>
      <family val="1"/>
    </font>
    <font>
      <sz val="14"/>
      <color rgb="FF0000FF"/>
      <name val="Times New Roman"/>
      <family val="1"/>
    </font>
    <font>
      <b/>
      <sz val="20"/>
      <color rgb="FF0000FF"/>
      <name val="Times New Roman"/>
      <family val="1"/>
    </font>
    <font>
      <b/>
      <sz val="16"/>
      <color rgb="FF0070C0"/>
      <name val="Times New Roman"/>
      <family val="1"/>
    </font>
    <font>
      <b/>
      <sz val="12"/>
      <color rgb="FF0000FF"/>
      <name val="Times New Roman"/>
      <family val="1"/>
    </font>
    <font>
      <sz val="12"/>
      <color rgb="FF0000FF"/>
      <name val="Times New Roman"/>
      <family val="1"/>
    </font>
    <font>
      <sz val="12"/>
      <name val="Arial"/>
      <family val="2"/>
    </font>
    <font>
      <b/>
      <sz val="12"/>
      <color rgb="FF0070C0"/>
      <name val="Times New Roman"/>
      <family val="1"/>
    </font>
    <font>
      <sz val="11"/>
      <color rgb="FF0070C0"/>
      <name val="Calibri"/>
      <family val="2"/>
      <scheme val="minor"/>
    </font>
    <font>
      <sz val="11"/>
      <color rgb="FF0070C0"/>
      <name val="Times New Roman"/>
      <family val="1"/>
    </font>
    <font>
      <sz val="12"/>
      <color rgb="FF0070C0"/>
      <name val="Times New Roman"/>
      <family val="1"/>
    </font>
    <font>
      <sz val="12"/>
      <color rgb="FF0070C0"/>
      <name val="Arial"/>
      <family val="2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0"/>
      <color rgb="FF0070C0"/>
      <name val="Times New Roman"/>
      <family val="1"/>
    </font>
    <font>
      <b/>
      <sz val="12"/>
      <color rgb="FFFF0000"/>
      <name val="Times New Roman"/>
      <family val="1"/>
    </font>
    <font>
      <b/>
      <i/>
      <sz val="11"/>
      <color rgb="FF0070C0"/>
      <name val="Times New Roman"/>
      <family val="1"/>
    </font>
    <font>
      <i/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i/>
      <sz val="11"/>
      <color rgb="FF0070C0"/>
      <name val="Times New Roman"/>
      <family val="1"/>
    </font>
    <font>
      <i/>
      <sz val="11.5"/>
      <color rgb="FF0070C0"/>
      <name val="Times New Roman"/>
      <family val="1"/>
    </font>
    <font>
      <sz val="11"/>
      <color theme="1"/>
      <name val="Calibri"/>
      <family val="2"/>
      <scheme val="minor"/>
    </font>
    <font>
      <sz val="12"/>
      <color rgb="FF0070C0"/>
      <name val="Wingdings"/>
      <charset val="2"/>
    </font>
    <font>
      <sz val="12"/>
      <color rgb="FF0070C0"/>
      <name val="Wingdings 2"/>
      <family val="1"/>
      <charset val="2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Calibri"/>
      <family val="2"/>
      <scheme val="minor"/>
    </font>
    <font>
      <b/>
      <sz val="11.5"/>
      <color rgb="FF0070C0"/>
      <name val="Times New Roman"/>
      <family val="1"/>
    </font>
    <font>
      <b/>
      <sz val="11"/>
      <color rgb="FF0070C0"/>
      <name val="Times New Roman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0" fontId="32" fillId="0" borderId="0"/>
    <xf numFmtId="43" fontId="35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165" fontId="9" fillId="0" borderId="0" xfId="2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5" fontId="14" fillId="0" borderId="0" xfId="2" applyNumberFormat="1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166" fontId="14" fillId="0" borderId="1" xfId="2" applyNumberFormat="1" applyFont="1" applyBorder="1" applyAlignment="1">
      <alignment vertical="center"/>
    </xf>
    <xf numFmtId="166" fontId="11" fillId="3" borderId="1" xfId="2" applyNumberFormat="1" applyFont="1" applyFill="1" applyBorder="1" applyAlignment="1"/>
    <xf numFmtId="0" fontId="16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164" fontId="14" fillId="0" borderId="0" xfId="2" applyFont="1" applyFill="1" applyAlignment="1">
      <alignment vertical="center"/>
    </xf>
    <xf numFmtId="0" fontId="17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165" fontId="9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2" applyNumberFormat="1" applyFont="1" applyAlignment="1">
      <alignment horizontal="center" vertical="center"/>
    </xf>
    <xf numFmtId="164" fontId="5" fillId="0" borderId="0" xfId="2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7" fontId="9" fillId="0" borderId="0" xfId="2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167" fontId="14" fillId="0" borderId="0" xfId="2" applyNumberFormat="1" applyFont="1" applyAlignment="1">
      <alignment horizontal="left" vertical="center"/>
    </xf>
    <xf numFmtId="165" fontId="11" fillId="2" borderId="1" xfId="2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6" fontId="9" fillId="0" borderId="1" xfId="0" applyNumberFormat="1" applyFont="1" applyBorder="1"/>
    <xf numFmtId="9" fontId="9" fillId="0" borderId="1" xfId="1" applyFont="1" applyBorder="1"/>
    <xf numFmtId="166" fontId="20" fillId="4" borderId="1" xfId="2" applyNumberFormat="1" applyFont="1" applyFill="1" applyBorder="1"/>
    <xf numFmtId="0" fontId="20" fillId="4" borderId="1" xfId="0" applyFont="1" applyFill="1" applyBorder="1"/>
    <xf numFmtId="166" fontId="20" fillId="0" borderId="0" xfId="2" applyNumberFormat="1" applyFont="1" applyFill="1" applyBorder="1"/>
    <xf numFmtId="0" fontId="20" fillId="0" borderId="0" xfId="0" applyFont="1"/>
    <xf numFmtId="166" fontId="20" fillId="4" borderId="0" xfId="2" applyNumberFormat="1" applyFont="1" applyFill="1" applyBorder="1"/>
    <xf numFmtId="0" fontId="20" fillId="4" borderId="0" xfId="0" applyFont="1" applyFill="1"/>
    <xf numFmtId="0" fontId="21" fillId="0" borderId="0" xfId="0" applyFont="1" applyAlignment="1">
      <alignment vertical="center" wrapText="1"/>
    </xf>
    <xf numFmtId="166" fontId="11" fillId="0" borderId="0" xfId="2" applyNumberFormat="1" applyFont="1" applyFill="1" applyBorder="1"/>
    <xf numFmtId="166" fontId="11" fillId="0" borderId="0" xfId="2" applyNumberFormat="1" applyFont="1" applyFill="1"/>
    <xf numFmtId="0" fontId="11" fillId="0" borderId="0" xfId="0" applyFont="1"/>
    <xf numFmtId="165" fontId="14" fillId="0" borderId="0" xfId="2" applyNumberFormat="1" applyFont="1" applyFill="1" applyAlignment="1">
      <alignment vertical="center"/>
    </xf>
    <xf numFmtId="165" fontId="14" fillId="0" borderId="0" xfId="2" applyNumberFormat="1" applyFont="1" applyFill="1" applyAlignment="1">
      <alignment horizontal="right" vertical="center"/>
    </xf>
    <xf numFmtId="165" fontId="9" fillId="0" borderId="0" xfId="2" applyNumberFormat="1" applyFont="1" applyFill="1" applyAlignment="1">
      <alignment vertical="center"/>
    </xf>
    <xf numFmtId="165" fontId="9" fillId="0" borderId="0" xfId="2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165" fontId="9" fillId="0" borderId="0" xfId="2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65" fontId="5" fillId="0" borderId="0" xfId="2" applyNumberFormat="1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vertical="top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166" fontId="30" fillId="0" borderId="1" xfId="2" applyNumberFormat="1" applyFont="1" applyBorder="1" applyAlignment="1">
      <alignment vertical="center"/>
    </xf>
    <xf numFmtId="9" fontId="14" fillId="0" borderId="1" xfId="1" applyFont="1" applyBorder="1" applyAlignment="1">
      <alignment vertical="center"/>
    </xf>
    <xf numFmtId="0" fontId="29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6" xfId="0" applyFont="1" applyBorder="1" applyAlignment="1">
      <alignment horizontal="center" vertical="top" wrapText="1"/>
    </xf>
    <xf numFmtId="0" fontId="34" fillId="0" borderId="7" xfId="0" applyFont="1" applyBorder="1" applyAlignment="1">
      <alignment horizontal="center" wrapText="1"/>
    </xf>
    <xf numFmtId="0" fontId="3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5" fontId="13" fillId="0" borderId="1" xfId="4" applyNumberFormat="1" applyFont="1" applyBorder="1" applyAlignment="1">
      <alignment vertical="center"/>
    </xf>
    <xf numFmtId="165" fontId="13" fillId="0" borderId="1" xfId="4" applyNumberFormat="1" applyFont="1" applyBorder="1" applyAlignment="1">
      <alignment horizontal="center" vertical="center"/>
    </xf>
    <xf numFmtId="166" fontId="11" fillId="0" borderId="5" xfId="2" applyNumberFormat="1" applyFont="1" applyFill="1" applyBorder="1" applyAlignment="1">
      <alignment horizontal="left" vertical="center"/>
    </xf>
    <xf numFmtId="166" fontId="31" fillId="0" borderId="5" xfId="2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 wrapText="1" shrinkToFit="1"/>
    </xf>
    <xf numFmtId="0" fontId="18" fillId="0" borderId="4" xfId="0" applyFont="1" applyBorder="1" applyAlignment="1">
      <alignment horizontal="left" vertical="center" wrapText="1" shrinkToFit="1"/>
    </xf>
    <xf numFmtId="0" fontId="18" fillId="0" borderId="3" xfId="0" applyFont="1" applyBorder="1" applyAlignment="1">
      <alignment horizontal="left" vertical="center" shrinkToFit="1"/>
    </xf>
    <xf numFmtId="0" fontId="18" fillId="0" borderId="4" xfId="0" applyFont="1" applyBorder="1" applyAlignment="1">
      <alignment horizontal="left" vertical="center" shrinkToFit="1"/>
    </xf>
    <xf numFmtId="0" fontId="9" fillId="0" borderId="0" xfId="0" applyFont="1" applyAlignment="1">
      <alignment horizontal="right" vertical="center"/>
    </xf>
    <xf numFmtId="168" fontId="30" fillId="0" borderId="0" xfId="3" applyNumberFormat="1" applyFont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6" fontId="22" fillId="0" borderId="0" xfId="2" applyNumberFormat="1" applyFont="1" applyFill="1" applyBorder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4" fillId="0" borderId="2" xfId="4" applyNumberFormat="1" applyFont="1" applyBorder="1" applyAlignment="1">
      <alignment horizontal="center" vertical="center"/>
    </xf>
    <xf numFmtId="165" fontId="14" fillId="0" borderId="4" xfId="4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6" fontId="11" fillId="3" borderId="2" xfId="2" applyNumberFormat="1" applyFont="1" applyFill="1" applyBorder="1" applyAlignment="1">
      <alignment horizontal="center" vertical="center"/>
    </xf>
    <xf numFmtId="166" fontId="11" fillId="3" borderId="3" xfId="2" applyNumberFormat="1" applyFont="1" applyFill="1" applyBorder="1" applyAlignment="1">
      <alignment horizontal="center" vertical="center"/>
    </xf>
    <xf numFmtId="166" fontId="11" fillId="3" borderId="4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6" fontId="22" fillId="0" borderId="0" xfId="2" applyNumberFormat="1" applyFont="1" applyFill="1" applyBorder="1" applyAlignment="1">
      <alignment horizontal="center" vertical="center"/>
    </xf>
    <xf numFmtId="166" fontId="14" fillId="0" borderId="1" xfId="2" applyNumberFormat="1" applyFont="1" applyBorder="1" applyAlignment="1">
      <alignment vertical="center" wrapText="1"/>
    </xf>
  </cellXfs>
  <cellStyles count="5">
    <cellStyle name="Comma" xfId="4" builtinId="3"/>
    <cellStyle name="Comma 2" xfId="2" xr:uid="{00000000-0005-0000-0000-000031000000}"/>
    <cellStyle name="Normal" xfId="0" builtinId="0"/>
    <cellStyle name="Normal 2" xfId="3" xr:uid="{C25BE273-14B7-474E-ACD5-7994EB122010}"/>
    <cellStyle name="Percent" xfId="1" builtinId="5"/>
  </cellStyles>
  <dxfs count="0"/>
  <tableStyles count="0" defaultTableStyle="TableStyleMedium2" defaultPivotStyle="PivotStyleLight16"/>
  <colors>
    <mruColors>
      <color rgb="FF0070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373574</xdr:colOff>
      <xdr:row>0</xdr:row>
      <xdr:rowOff>103543</xdr:rowOff>
    </xdr:from>
    <xdr:to>
      <xdr:col>1</xdr:col>
      <xdr:colOff>1610063</xdr:colOff>
      <xdr:row>1</xdr:row>
      <xdr:rowOff>170744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3380" y="103505"/>
          <a:ext cx="1642745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74710</xdr:colOff>
      <xdr:row>25</xdr:row>
      <xdr:rowOff>216641</xdr:rowOff>
    </xdr:from>
    <xdr:to>
      <xdr:col>11</xdr:col>
      <xdr:colOff>1913371</xdr:colOff>
      <xdr:row>29</xdr:row>
      <xdr:rowOff>295591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68100-EC0C-A353-C0D5-4E236129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10" y="8710700"/>
          <a:ext cx="12618720" cy="1513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373574</xdr:colOff>
      <xdr:row>0</xdr:row>
      <xdr:rowOff>103543</xdr:rowOff>
    </xdr:from>
    <xdr:to>
      <xdr:col>1</xdr:col>
      <xdr:colOff>1610063</xdr:colOff>
      <xdr:row>1</xdr:row>
      <xdr:rowOff>170744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0CFFC3-3323-4C95-9DB3-7CBA4C19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3574" y="103543"/>
          <a:ext cx="1642889" cy="352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74710</xdr:colOff>
      <xdr:row>25</xdr:row>
      <xdr:rowOff>216641</xdr:rowOff>
    </xdr:from>
    <xdr:to>
      <xdr:col>11</xdr:col>
      <xdr:colOff>1913371</xdr:colOff>
      <xdr:row>29</xdr:row>
      <xdr:rowOff>295591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DD62B-43C9-4D13-BD4B-7033245F9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10" y="8725641"/>
          <a:ext cx="12614611" cy="152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373574</xdr:colOff>
      <xdr:row>1</xdr:row>
      <xdr:rowOff>103543</xdr:rowOff>
    </xdr:from>
    <xdr:to>
      <xdr:col>2</xdr:col>
      <xdr:colOff>1610063</xdr:colOff>
      <xdr:row>2</xdr:row>
      <xdr:rowOff>170744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0880" y="332105"/>
          <a:ext cx="1642745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652780</xdr:colOff>
      <xdr:row>20</xdr:row>
      <xdr:rowOff>3175</xdr:rowOff>
    </xdr:from>
    <xdr:to>
      <xdr:col>10</xdr:col>
      <xdr:colOff>440690</xdr:colOff>
      <xdr:row>21</xdr:row>
      <xdr:rowOff>165735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048885" y="4962525"/>
          <a:ext cx="3597910" cy="416560"/>
        </a:xfrm>
        <a:prstGeom prst="borderCallout1">
          <a:avLst>
            <a:gd name="adj1" fmla="val 100692"/>
            <a:gd name="adj2" fmla="val 15486"/>
            <a:gd name="adj3" fmla="val 155999"/>
            <a:gd name="adj4" fmla="val -2378"/>
          </a:avLst>
        </a:prstGeom>
        <a:solidFill>
          <a:srgbClr val="D7F9E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Xác</a:t>
          </a:r>
          <a:r>
            <a:rPr lang="en-US" sz="1100" b="1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nhận ngân sách do bộ phận Kế toán - Tài chính điền</a:t>
          </a:r>
          <a:endParaRPr lang="en-US" sz="11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26670</xdr:colOff>
      <xdr:row>18</xdr:row>
      <xdr:rowOff>63500</xdr:rowOff>
    </xdr:from>
    <xdr:to>
      <xdr:col>5</xdr:col>
      <xdr:colOff>619760</xdr:colOff>
      <xdr:row>25</xdr:row>
      <xdr:rowOff>40640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170" y="4603750"/>
          <a:ext cx="4671695" cy="192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19685</xdr:colOff>
      <xdr:row>23</xdr:row>
      <xdr:rowOff>196850</xdr:rowOff>
    </xdr:from>
    <xdr:to>
      <xdr:col>10</xdr:col>
      <xdr:colOff>398145</xdr:colOff>
      <xdr:row>25</xdr:row>
      <xdr:rowOff>78105</xdr:rowOff>
    </xdr:to>
    <xdr:sp macro="" textlink="">
      <xdr:nvSpPr>
        <xdr:cNvPr id="4" name="Callout: Line 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77790" y="5918200"/>
          <a:ext cx="3426460" cy="643255"/>
        </a:xfrm>
        <a:prstGeom prst="borderCallout1">
          <a:avLst>
            <a:gd name="adj1" fmla="val 100692"/>
            <a:gd name="adj2" fmla="val 72758"/>
            <a:gd name="adj3" fmla="val 149510"/>
            <a:gd name="adj4" fmla="val 63634"/>
          </a:avLst>
        </a:prstGeom>
        <a:solidFill>
          <a:srgbClr val="D7F9E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Chữ ký tùy chọn. Thêm hoặc bớt cột sao cho hợp lý.</a:t>
          </a:r>
        </a:p>
        <a:p>
          <a:pPr algn="l"/>
          <a:r>
            <a:rPr lang="en-US" sz="1100" b="1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Các cột phải có độ dài bằng nhau.</a:t>
          </a:r>
          <a:endParaRPr lang="en-US" sz="11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41910</xdr:colOff>
      <xdr:row>24</xdr:row>
      <xdr:rowOff>126365</xdr:rowOff>
    </xdr:from>
    <xdr:to>
      <xdr:col>12</xdr:col>
      <xdr:colOff>535305</xdr:colOff>
      <xdr:row>24</xdr:row>
      <xdr:rowOff>382905</xdr:rowOff>
    </xdr:to>
    <xdr:sp macro="" textlink="">
      <xdr:nvSpPr>
        <xdr:cNvPr id="5" name="Callout: Line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9390380" y="6101715"/>
          <a:ext cx="1720215" cy="256540"/>
        </a:xfrm>
        <a:prstGeom prst="borderCallout1">
          <a:avLst>
            <a:gd name="adj1" fmla="val 96656"/>
            <a:gd name="adj2" fmla="val 50088"/>
            <a:gd name="adj3" fmla="val 189685"/>
            <a:gd name="adj4" fmla="val 35598"/>
          </a:avLst>
        </a:prstGeom>
        <a:solidFill>
          <a:srgbClr val="D7F9E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Điền</a:t>
          </a:r>
          <a:r>
            <a:rPr lang="en-US" sz="1100" b="1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ngày tháng năm</a:t>
          </a:r>
          <a:endParaRPr lang="en-US" sz="11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1035050</xdr:colOff>
      <xdr:row>3</xdr:row>
      <xdr:rowOff>49530</xdr:rowOff>
    </xdr:from>
    <xdr:to>
      <xdr:col>3</xdr:col>
      <xdr:colOff>483870</xdr:colOff>
      <xdr:row>4</xdr:row>
      <xdr:rowOff>172085</xdr:rowOff>
    </xdr:to>
    <xdr:sp macro="" textlink="">
      <xdr:nvSpPr>
        <xdr:cNvPr id="8" name="Callout: Lin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58950" y="827405"/>
          <a:ext cx="1703070" cy="267335"/>
        </a:xfrm>
        <a:prstGeom prst="borderCallout1">
          <a:avLst>
            <a:gd name="adj1" fmla="val 46624"/>
            <a:gd name="adj2" fmla="val 744"/>
            <a:gd name="adj3" fmla="val 99561"/>
            <a:gd name="adj4" fmla="val -38031"/>
          </a:avLst>
        </a:prstGeom>
        <a:solidFill>
          <a:srgbClr val="D7F9E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Ghi rõ</a:t>
          </a:r>
          <a:r>
            <a:rPr lang="en-US" sz="1100" b="1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ban</a:t>
          </a:r>
          <a:endParaRPr lang="en-US" sz="11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565150</xdr:colOff>
      <xdr:row>3</xdr:row>
      <xdr:rowOff>93980</xdr:rowOff>
    </xdr:from>
    <xdr:to>
      <xdr:col>10</xdr:col>
      <xdr:colOff>838200</xdr:colOff>
      <xdr:row>4</xdr:row>
      <xdr:rowOff>215900</xdr:rowOff>
    </xdr:to>
    <xdr:sp macro="" textlink="">
      <xdr:nvSpPr>
        <xdr:cNvPr id="9" name="Callout: Line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7247255" y="871855"/>
          <a:ext cx="1797050" cy="266700"/>
        </a:xfrm>
        <a:prstGeom prst="borderCallout1">
          <a:avLst>
            <a:gd name="adj1" fmla="val 46624"/>
            <a:gd name="adj2" fmla="val 744"/>
            <a:gd name="adj3" fmla="val 71880"/>
            <a:gd name="adj4" fmla="val -48138"/>
          </a:avLst>
        </a:prstGeom>
        <a:solidFill>
          <a:srgbClr val="D7F9E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Ghi rõ</a:t>
          </a:r>
          <a:r>
            <a:rPr lang="en-US" sz="1100" b="1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dự án/ hạng mục</a:t>
          </a:r>
          <a:endParaRPr lang="en-US" sz="11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1101090</xdr:colOff>
      <xdr:row>3</xdr:row>
      <xdr:rowOff>88900</xdr:rowOff>
    </xdr:from>
    <xdr:to>
      <xdr:col>12</xdr:col>
      <xdr:colOff>614045</xdr:colOff>
      <xdr:row>5</xdr:row>
      <xdr:rowOff>219075</xdr:rowOff>
    </xdr:to>
    <xdr:sp macro="" textlink="">
      <xdr:nvSpPr>
        <xdr:cNvPr id="10" name="Callout: Line 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9307195" y="866775"/>
          <a:ext cx="1882140" cy="541655"/>
        </a:xfrm>
        <a:prstGeom prst="borderCallout1">
          <a:avLst>
            <a:gd name="adj1" fmla="val 118128"/>
            <a:gd name="adj2" fmla="val 45371"/>
            <a:gd name="adj3" fmla="val 103274"/>
            <a:gd name="adj4" fmla="val 39111"/>
          </a:avLst>
        </a:prstGeom>
        <a:solidFill>
          <a:srgbClr val="D7F9E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Ghi rõ hồ sơ đính kèm vào cột “Ghi chú”</a:t>
          </a:r>
        </a:p>
      </xdr:txBody>
    </xdr:sp>
    <xdr:clientData/>
  </xdr:twoCellAnchor>
  <xdr:twoCellAnchor editAs="oneCell">
    <xdr:from>
      <xdr:col>1</xdr:col>
      <xdr:colOff>20320</xdr:colOff>
      <xdr:row>26</xdr:row>
      <xdr:rowOff>16510</xdr:rowOff>
    </xdr:from>
    <xdr:to>
      <xdr:col>12</xdr:col>
      <xdr:colOff>702310</xdr:colOff>
      <xdr:row>30</xdr:row>
      <xdr:rowOff>36195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820" y="6785610"/>
          <a:ext cx="10939780" cy="1515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3"/>
  <sheetViews>
    <sheetView view="pageBreakPreview" topLeftCell="A9" zoomScale="60" zoomScaleNormal="85" workbookViewId="0">
      <selection activeCell="A12" sqref="A12:XFD12"/>
    </sheetView>
  </sheetViews>
  <sheetFormatPr defaultColWidth="9.1796875" defaultRowHeight="18"/>
  <cols>
    <col min="1" max="1" width="5.81640625" style="5" customWidth="1"/>
    <col min="2" max="2" width="32.26953125" style="6" customWidth="1"/>
    <col min="3" max="3" width="8.08984375" style="7" customWidth="1"/>
    <col min="4" max="4" width="11" style="7" customWidth="1"/>
    <col min="5" max="5" width="14.453125" style="5" customWidth="1"/>
    <col min="6" max="6" width="16.54296875" style="5" bestFit="1" customWidth="1"/>
    <col min="7" max="7" width="10.90625" style="5" customWidth="1"/>
    <col min="8" max="8" width="17.453125" style="5" bestFit="1" customWidth="1"/>
    <col min="9" max="9" width="10.90625" style="5" customWidth="1"/>
    <col min="10" max="10" width="17.1796875" style="5" customWidth="1"/>
    <col min="11" max="11" width="9.6328125" style="5" customWidth="1"/>
    <col min="12" max="12" width="27.7265625" style="5" bestFit="1" customWidth="1"/>
    <col min="13" max="13" width="22" style="5" hidden="1" customWidth="1"/>
    <col min="14" max="14" width="17.453125" style="5" hidden="1" customWidth="1"/>
    <col min="15" max="15" width="17" style="5" hidden="1" customWidth="1"/>
    <col min="16" max="16" width="8.81640625" style="5" hidden="1" customWidth="1"/>
    <col min="17" max="17" width="9.1796875" style="5" hidden="1" customWidth="1"/>
    <col min="18" max="16384" width="9.1796875" style="5"/>
  </cols>
  <sheetData>
    <row r="1" spans="1:17" ht="22.75" customHeight="1">
      <c r="A1" s="111"/>
      <c r="B1" s="111"/>
      <c r="C1" s="112" t="s">
        <v>0</v>
      </c>
      <c r="D1" s="112"/>
      <c r="E1" s="112"/>
      <c r="F1" s="112"/>
      <c r="G1" s="112"/>
      <c r="H1" s="112"/>
      <c r="I1" s="112"/>
      <c r="J1" s="112"/>
      <c r="K1" s="101" t="s">
        <v>1</v>
      </c>
      <c r="L1" s="102"/>
      <c r="M1" s="40"/>
      <c r="N1" s="40"/>
      <c r="O1" s="40"/>
    </row>
    <row r="2" spans="1:17" ht="20.5" customHeight="1">
      <c r="A2" s="111"/>
      <c r="B2" s="111"/>
      <c r="C2" s="112"/>
      <c r="D2" s="112"/>
      <c r="E2" s="112"/>
      <c r="F2" s="112"/>
      <c r="G2" s="112"/>
      <c r="H2" s="112"/>
      <c r="I2" s="112"/>
      <c r="J2" s="112"/>
      <c r="K2" s="103" t="s">
        <v>2</v>
      </c>
      <c r="L2" s="104"/>
      <c r="M2" s="45"/>
      <c r="N2" s="45"/>
      <c r="O2" s="45"/>
    </row>
    <row r="3" spans="1:17" ht="11.4" customHeight="1">
      <c r="A3" s="8"/>
      <c r="B3" s="9"/>
      <c r="D3" s="10"/>
      <c r="E3" s="11"/>
      <c r="F3" s="105"/>
      <c r="G3" s="105"/>
      <c r="H3" s="46"/>
      <c r="I3" s="46"/>
      <c r="J3" s="46"/>
      <c r="K3" s="47"/>
      <c r="L3" s="47"/>
      <c r="M3" s="35"/>
      <c r="N3" s="35"/>
      <c r="O3" s="35"/>
      <c r="P3" s="38"/>
      <c r="Q3" s="38"/>
    </row>
    <row r="4" spans="1:17" s="1" customFormat="1" ht="17.399999999999999" customHeight="1">
      <c r="A4" s="83" t="s">
        <v>67</v>
      </c>
      <c r="B4" s="76"/>
      <c r="C4" s="14"/>
      <c r="D4" s="14"/>
      <c r="E4" s="15" t="s">
        <v>82</v>
      </c>
      <c r="F4" s="76"/>
      <c r="G4" s="77"/>
      <c r="H4" s="48"/>
      <c r="I4" s="48"/>
      <c r="J4" s="48"/>
      <c r="K4" s="14"/>
      <c r="L4" s="14"/>
    </row>
    <row r="5" spans="1:17" s="1" customFormat="1" ht="17.399999999999999" customHeight="1">
      <c r="A5" s="12"/>
      <c r="B5" s="13"/>
      <c r="C5" s="14"/>
      <c r="D5" s="14"/>
      <c r="E5" s="15"/>
      <c r="F5" s="13"/>
      <c r="G5" s="14"/>
      <c r="H5" s="106">
        <v>26500</v>
      </c>
      <c r="I5" s="106"/>
      <c r="J5" s="106"/>
      <c r="K5" s="106"/>
      <c r="L5" s="106"/>
    </row>
    <row r="6" spans="1:17" s="2" customFormat="1" ht="9" customHeight="1">
      <c r="A6" s="16"/>
      <c r="B6" s="17"/>
      <c r="C6" s="18"/>
      <c r="D6" s="19"/>
      <c r="E6" s="20"/>
      <c r="F6" s="21"/>
      <c r="G6" s="21"/>
      <c r="H6" s="49"/>
      <c r="I6" s="49"/>
      <c r="J6" s="49"/>
      <c r="K6" s="29"/>
      <c r="L6" s="29"/>
      <c r="M6" s="35"/>
      <c r="N6" s="35"/>
      <c r="O6" s="35"/>
      <c r="P6" s="38"/>
      <c r="Q6" s="38"/>
    </row>
    <row r="7" spans="1:17" s="3" customFormat="1" ht="45">
      <c r="A7" s="22" t="s">
        <v>6</v>
      </c>
      <c r="B7" s="22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2" t="s">
        <v>12</v>
      </c>
      <c r="H7" s="50" t="s">
        <v>13</v>
      </c>
      <c r="I7" s="22" t="s">
        <v>14</v>
      </c>
      <c r="J7" s="50" t="s">
        <v>15</v>
      </c>
      <c r="K7" s="22" t="s">
        <v>16</v>
      </c>
      <c r="L7" s="22" t="s">
        <v>17</v>
      </c>
      <c r="M7" s="51"/>
      <c r="N7" s="51" t="s">
        <v>18</v>
      </c>
      <c r="O7" s="51" t="s">
        <v>19</v>
      </c>
      <c r="P7" s="73"/>
      <c r="Q7" s="73"/>
    </row>
    <row r="8" spans="1:17" ht="40.5" customHeight="1">
      <c r="A8" s="23">
        <v>1</v>
      </c>
      <c r="B8" s="24" t="s">
        <v>45</v>
      </c>
      <c r="C8" s="84" t="s">
        <v>47</v>
      </c>
      <c r="D8" s="25">
        <v>1</v>
      </c>
      <c r="E8" s="26">
        <f>ROUND(F8/$H$5,-2)</f>
        <v>39600</v>
      </c>
      <c r="F8" s="26">
        <v>1050000000</v>
      </c>
      <c r="G8" s="26">
        <f>E8*D8</f>
        <v>39600</v>
      </c>
      <c r="H8" s="26">
        <f>F8*D8</f>
        <v>1050000000</v>
      </c>
      <c r="I8" s="26"/>
      <c r="J8" s="86" t="s">
        <v>49</v>
      </c>
      <c r="K8" s="89" t="b">
        <v>1</v>
      </c>
      <c r="L8" s="24" t="s">
        <v>72</v>
      </c>
      <c r="M8" s="52"/>
      <c r="N8" s="53" t="e">
        <f>#REF!-H8</f>
        <v>#REF!</v>
      </c>
      <c r="O8" s="54" t="e">
        <f t="shared" ref="O8:O13" si="0">N8/H8</f>
        <v>#REF!</v>
      </c>
      <c r="P8" s="38"/>
      <c r="Q8" s="38"/>
    </row>
    <row r="9" spans="1:17" ht="41.5" customHeight="1">
      <c r="A9" s="23">
        <v>2</v>
      </c>
      <c r="B9" s="85" t="s">
        <v>51</v>
      </c>
      <c r="C9" s="84" t="s">
        <v>47</v>
      </c>
      <c r="D9" s="25">
        <v>1</v>
      </c>
      <c r="E9" s="26">
        <f t="shared" ref="E9:E12" si="1">ROUND(F9/$H$5,-2)</f>
        <v>2600</v>
      </c>
      <c r="F9" s="26">
        <v>70000000</v>
      </c>
      <c r="G9" s="26">
        <f t="shared" ref="G9:G12" si="2">E9*D9</f>
        <v>2600</v>
      </c>
      <c r="H9" s="26">
        <f t="shared" ref="H9:H12" si="3">F9*D9</f>
        <v>70000000</v>
      </c>
      <c r="I9" s="26"/>
      <c r="J9" s="86" t="s">
        <v>66</v>
      </c>
      <c r="K9" s="88" t="b">
        <v>1</v>
      </c>
      <c r="L9" s="24" t="s">
        <v>71</v>
      </c>
      <c r="M9" s="52"/>
      <c r="N9" s="53" t="e">
        <f>#REF!-H9</f>
        <v>#REF!</v>
      </c>
      <c r="O9" s="54" t="e">
        <f t="shared" si="0"/>
        <v>#REF!</v>
      </c>
      <c r="P9" s="38"/>
      <c r="Q9" s="38"/>
    </row>
    <row r="10" spans="1:17" ht="46.5">
      <c r="A10" s="23">
        <v>3</v>
      </c>
      <c r="B10" s="85" t="s">
        <v>48</v>
      </c>
      <c r="C10" s="84" t="s">
        <v>47</v>
      </c>
      <c r="D10" s="25">
        <v>1</v>
      </c>
      <c r="E10" s="26">
        <f t="shared" si="1"/>
        <v>2800</v>
      </c>
      <c r="F10" s="26">
        <v>75000000</v>
      </c>
      <c r="G10" s="26">
        <f t="shared" si="2"/>
        <v>2800</v>
      </c>
      <c r="H10" s="26">
        <f t="shared" si="3"/>
        <v>75000000</v>
      </c>
      <c r="I10" s="26"/>
      <c r="J10" s="86" t="s">
        <v>53</v>
      </c>
      <c r="K10" s="88" t="b">
        <v>1</v>
      </c>
      <c r="L10" s="24" t="s">
        <v>73</v>
      </c>
      <c r="M10" s="52"/>
      <c r="N10" s="53"/>
      <c r="O10" s="54"/>
      <c r="P10" s="38"/>
      <c r="Q10" s="38"/>
    </row>
    <row r="11" spans="1:17" ht="46.5">
      <c r="A11" s="23">
        <v>4</v>
      </c>
      <c r="B11" s="24" t="s">
        <v>46</v>
      </c>
      <c r="C11" s="84" t="s">
        <v>47</v>
      </c>
      <c r="D11" s="25">
        <v>1</v>
      </c>
      <c r="E11" s="26">
        <f t="shared" ref="E11" si="4">ROUND(F11/$H$5,-2)</f>
        <v>120800</v>
      </c>
      <c r="F11" s="26">
        <v>3200000000</v>
      </c>
      <c r="G11" s="26">
        <f t="shared" ref="G11" si="5">E11*D11</f>
        <v>120800</v>
      </c>
      <c r="H11" s="26">
        <f t="shared" ref="H11" si="6">F11*D11</f>
        <v>3200000000</v>
      </c>
      <c r="I11" s="26"/>
      <c r="J11" s="86" t="s">
        <v>50</v>
      </c>
      <c r="K11" s="88" t="b">
        <v>1</v>
      </c>
      <c r="L11" s="24" t="s">
        <v>74</v>
      </c>
      <c r="M11" s="52"/>
      <c r="N11" s="53"/>
      <c r="O11" s="54"/>
      <c r="P11" s="38"/>
      <c r="Q11" s="38"/>
    </row>
    <row r="12" spans="1:17" ht="62">
      <c r="A12" s="23">
        <v>5</v>
      </c>
      <c r="B12" s="24" t="s">
        <v>79</v>
      </c>
      <c r="C12" s="25" t="s">
        <v>78</v>
      </c>
      <c r="D12" s="25">
        <v>1</v>
      </c>
      <c r="E12" s="26">
        <f t="shared" si="1"/>
        <v>45300</v>
      </c>
      <c r="F12" s="26">
        <f>(450+250+200+300)*1000000</f>
        <v>1200000000</v>
      </c>
      <c r="G12" s="26">
        <f t="shared" si="2"/>
        <v>45300</v>
      </c>
      <c r="H12" s="26">
        <f t="shared" si="3"/>
        <v>1200000000</v>
      </c>
      <c r="I12" s="26"/>
      <c r="J12" s="26" t="s">
        <v>80</v>
      </c>
      <c r="K12" s="88" t="b">
        <v>0</v>
      </c>
      <c r="L12" s="24" t="s">
        <v>81</v>
      </c>
      <c r="M12" s="52"/>
      <c r="N12" s="53"/>
      <c r="O12" s="54"/>
      <c r="P12" s="38"/>
      <c r="Q12" s="38"/>
    </row>
    <row r="13" spans="1:17" ht="18.649999999999999" customHeight="1">
      <c r="A13" s="107" t="s">
        <v>20</v>
      </c>
      <c r="B13" s="108"/>
      <c r="C13" s="108"/>
      <c r="D13" s="108"/>
      <c r="E13" s="108"/>
      <c r="F13" s="109"/>
      <c r="G13" s="87">
        <v>0.1</v>
      </c>
      <c r="H13" s="26">
        <f>G13*SUM(H8:H12)</f>
        <v>559500000</v>
      </c>
      <c r="I13" s="26"/>
      <c r="J13" s="26"/>
      <c r="K13" s="23"/>
      <c r="L13" s="23"/>
      <c r="M13" s="52"/>
      <c r="N13" s="53" t="e">
        <f>#REF!-H13</f>
        <v>#REF!</v>
      </c>
      <c r="O13" s="54" t="e">
        <f t="shared" si="0"/>
        <v>#REF!</v>
      </c>
      <c r="P13" s="38"/>
      <c r="Q13" s="38"/>
    </row>
    <row r="14" spans="1:17" s="4" customFormat="1" ht="18.649999999999999" customHeight="1">
      <c r="A14" s="123" t="s">
        <v>21</v>
      </c>
      <c r="B14" s="124"/>
      <c r="C14" s="124"/>
      <c r="D14" s="124"/>
      <c r="E14" s="124"/>
      <c r="F14" s="125"/>
      <c r="G14" s="27"/>
      <c r="H14" s="27">
        <f>SUM(H8:H13)</f>
        <v>6154500000</v>
      </c>
      <c r="I14" s="27"/>
      <c r="J14" s="27"/>
      <c r="K14" s="27"/>
      <c r="L14" s="27"/>
      <c r="M14" s="55"/>
      <c r="N14" s="55">
        <f>SUMIF($O$8:O13,"&gt;=0",$N$8:N13)</f>
        <v>0</v>
      </c>
      <c r="O14" s="56"/>
      <c r="P14" s="74"/>
      <c r="Q14" s="74"/>
    </row>
    <row r="15" spans="1:17" s="4" customFormat="1" ht="31.5" customHeight="1">
      <c r="A15" s="96" t="s">
        <v>70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57"/>
      <c r="N15" s="57"/>
      <c r="O15" s="58"/>
      <c r="P15" s="74"/>
      <c r="Q15" s="74"/>
    </row>
    <row r="16" spans="1:17" s="4" customFormat="1" ht="31" customHeight="1">
      <c r="A16" s="98" t="s">
        <v>23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59"/>
      <c r="N16" s="59"/>
      <c r="O16" s="60"/>
      <c r="P16" s="74"/>
      <c r="Q16" s="74"/>
    </row>
    <row r="17" spans="1:23" s="4" customFormat="1" ht="6.5" customHeight="1">
      <c r="A17" s="78"/>
      <c r="B17" s="33"/>
      <c r="C17"/>
      <c r="D17"/>
      <c r="E17"/>
      <c r="F17"/>
      <c r="G17"/>
      <c r="H17" s="61"/>
      <c r="I17" s="61"/>
      <c r="J17" s="62"/>
      <c r="K17" s="64"/>
      <c r="L17" s="64"/>
      <c r="M17" s="59"/>
      <c r="N17" s="59"/>
      <c r="O17" s="60"/>
      <c r="P17" s="74"/>
      <c r="Q17" s="74"/>
    </row>
    <row r="18" spans="1:23" s="4" customFormat="1" ht="22" customHeight="1">
      <c r="A18" s="79" t="s">
        <v>6</v>
      </c>
      <c r="B18" s="79" t="s">
        <v>24</v>
      </c>
      <c r="C18" s="99" t="s">
        <v>25</v>
      </c>
      <c r="D18" s="99"/>
      <c r="E18" s="79" t="s">
        <v>26</v>
      </c>
      <c r="F18"/>
      <c r="G18"/>
      <c r="H18" s="61"/>
      <c r="I18" s="61"/>
      <c r="J18" s="62"/>
      <c r="K18" s="64"/>
      <c r="L18" s="64"/>
      <c r="M18" s="59"/>
      <c r="N18" s="59"/>
      <c r="O18" s="60"/>
      <c r="P18" s="74"/>
      <c r="Q18" s="74"/>
    </row>
    <row r="19" spans="1:23" s="4" customFormat="1" ht="22" customHeight="1">
      <c r="A19" s="25">
        <v>1</v>
      </c>
      <c r="B19" s="23" t="s">
        <v>27</v>
      </c>
      <c r="C19" s="100" t="s">
        <v>52</v>
      </c>
      <c r="D19" s="100"/>
      <c r="E19" s="93"/>
      <c r="F19"/>
      <c r="G19"/>
      <c r="H19" s="61"/>
      <c r="I19" s="61"/>
      <c r="J19" s="62"/>
      <c r="K19" s="64"/>
      <c r="L19" s="64"/>
      <c r="M19" s="59"/>
      <c r="N19" s="59"/>
      <c r="O19" s="60"/>
      <c r="P19" s="74"/>
      <c r="Q19" s="74"/>
    </row>
    <row r="20" spans="1:23" s="4" customFormat="1" ht="22" customHeight="1">
      <c r="A20" s="25">
        <v>2</v>
      </c>
      <c r="B20" s="23" t="s">
        <v>28</v>
      </c>
      <c r="C20" s="118">
        <v>46831.622222533326</v>
      </c>
      <c r="D20" s="119"/>
      <c r="E20" s="94">
        <f>100</f>
        <v>100</v>
      </c>
      <c r="F20"/>
      <c r="G20"/>
      <c r="H20"/>
      <c r="I20"/>
      <c r="J20"/>
      <c r="K20" s="64"/>
      <c r="L20" s="64"/>
      <c r="M20" s="59"/>
      <c r="N20" s="59"/>
      <c r="O20" s="60"/>
      <c r="P20" s="74"/>
      <c r="Q20" s="74"/>
    </row>
    <row r="21" spans="1:23" s="4" customFormat="1" ht="22" customHeight="1">
      <c r="A21" s="25">
        <v>3</v>
      </c>
      <c r="B21" s="23" t="s">
        <v>29</v>
      </c>
      <c r="C21" s="118">
        <v>75243.896288000004</v>
      </c>
      <c r="D21" s="119"/>
      <c r="E21" s="94">
        <f>C21/C20*100</f>
        <v>160.66899397688584</v>
      </c>
      <c r="F21"/>
      <c r="G21"/>
      <c r="H21" s="61"/>
      <c r="I21" s="61"/>
      <c r="J21" s="62"/>
      <c r="K21" s="64"/>
      <c r="L21" s="64"/>
      <c r="M21" s="59"/>
      <c r="N21" s="59"/>
      <c r="O21" s="60"/>
      <c r="P21" s="74"/>
      <c r="Q21" s="74"/>
    </row>
    <row r="22" spans="1:23" s="4" customFormat="1" ht="22" customHeight="1">
      <c r="A22" s="80">
        <v>3.1</v>
      </c>
      <c r="B22" s="81" t="s">
        <v>30</v>
      </c>
      <c r="C22" s="118">
        <v>25552.645003000001</v>
      </c>
      <c r="D22" s="119"/>
      <c r="E22" s="94">
        <f>C22/C21*100</f>
        <v>33.959757885471397</v>
      </c>
      <c r="F22"/>
      <c r="G22"/>
      <c r="H22" s="61"/>
      <c r="I22" s="61"/>
      <c r="J22" s="62"/>
      <c r="K22" s="64"/>
      <c r="L22" s="64"/>
      <c r="M22" s="59"/>
      <c r="N22" s="59"/>
      <c r="O22" s="60"/>
      <c r="P22" s="74"/>
      <c r="Q22" s="74"/>
    </row>
    <row r="23" spans="1:23" s="4" customFormat="1" ht="22" customHeight="1">
      <c r="A23" s="80">
        <v>3.2</v>
      </c>
      <c r="B23" s="81" t="s">
        <v>31</v>
      </c>
      <c r="C23" s="118">
        <v>49691.251284999998</v>
      </c>
      <c r="D23" s="119"/>
      <c r="E23" s="95">
        <f>C23/C21*100</f>
        <v>66.040242114528596</v>
      </c>
      <c r="F23"/>
      <c r="G23"/>
      <c r="H23" s="61"/>
      <c r="I23" s="61"/>
      <c r="J23" s="62"/>
      <c r="K23" s="64"/>
      <c r="L23" s="64"/>
      <c r="M23" s="59"/>
      <c r="N23" s="59"/>
      <c r="O23" s="60"/>
      <c r="P23" s="74"/>
      <c r="Q23" s="74"/>
    </row>
    <row r="24" spans="1:23" s="4" customFormat="1" ht="46" customHeight="1">
      <c r="A24" s="100" t="s">
        <v>32</v>
      </c>
      <c r="B24" s="100"/>
      <c r="C24" s="120"/>
      <c r="D24" s="121"/>
      <c r="E24" s="122"/>
      <c r="F24"/>
      <c r="G24"/>
      <c r="H24" s="61"/>
      <c r="I24" s="61"/>
      <c r="J24" s="62"/>
      <c r="K24" s="64"/>
      <c r="L24" s="64"/>
      <c r="M24" s="59"/>
      <c r="N24" s="59"/>
      <c r="O24" s="60"/>
      <c r="P24" s="74"/>
      <c r="Q24" s="74"/>
    </row>
    <row r="25" spans="1:23" s="4" customFormat="1" ht="7" customHeight="1">
      <c r="A25" s="113"/>
      <c r="B25" s="113"/>
      <c r="C25" s="113"/>
      <c r="D25" s="114"/>
      <c r="E25" s="114"/>
      <c r="F25"/>
      <c r="G25"/>
      <c r="H25" s="14"/>
      <c r="I25" s="14"/>
      <c r="J25" s="62"/>
      <c r="K25" s="64"/>
      <c r="L25" s="64"/>
      <c r="M25" s="59"/>
      <c r="N25" s="59"/>
      <c r="O25" s="60"/>
      <c r="P25" s="74"/>
      <c r="Q25" s="74"/>
    </row>
    <row r="26" spans="1:23" ht="22.5" customHeight="1">
      <c r="A26" s="28"/>
      <c r="B26" s="12"/>
      <c r="C26" s="12"/>
      <c r="D26" s="12"/>
      <c r="E26" s="12"/>
      <c r="F26" s="12"/>
      <c r="G26" s="12"/>
      <c r="H26" s="12"/>
      <c r="I26" s="12"/>
      <c r="J26" s="115" t="s">
        <v>77</v>
      </c>
      <c r="K26" s="115"/>
      <c r="L26" s="115"/>
      <c r="M26" s="35"/>
      <c r="N26" s="35"/>
      <c r="O26" s="35"/>
      <c r="P26" s="35"/>
      <c r="Q26" s="38"/>
    </row>
    <row r="27" spans="1:23" ht="26.25" customHeight="1">
      <c r="A27" s="28"/>
      <c r="B27" s="30"/>
      <c r="C27" s="116"/>
      <c r="D27" s="116"/>
      <c r="E27" s="19"/>
      <c r="F27" s="31"/>
      <c r="G27" s="19"/>
      <c r="H27" s="19"/>
      <c r="I27" s="19"/>
      <c r="J27" s="19"/>
      <c r="K27" s="31"/>
      <c r="L27" s="31"/>
      <c r="M27" s="35"/>
      <c r="N27" s="35"/>
      <c r="O27" s="35"/>
      <c r="P27" s="35"/>
      <c r="Q27" s="38"/>
    </row>
    <row r="28" spans="1:23" ht="26.25" customHeight="1">
      <c r="A28" s="28"/>
      <c r="B28" s="30"/>
      <c r="C28" s="19"/>
      <c r="D28" s="19"/>
      <c r="E28" s="19"/>
      <c r="F28" s="19"/>
      <c r="G28" s="19"/>
      <c r="H28" s="19"/>
      <c r="I28" s="19"/>
      <c r="J28" s="29"/>
      <c r="K28" s="21"/>
      <c r="L28" s="21"/>
      <c r="M28" s="35"/>
      <c r="N28" s="35"/>
      <c r="O28" s="35"/>
      <c r="P28" s="35"/>
      <c r="Q28" s="38"/>
    </row>
    <row r="29" spans="1:23" ht="39" customHeight="1">
      <c r="A29" s="28"/>
      <c r="B29" s="30"/>
      <c r="C29" s="32"/>
      <c r="D29" s="19"/>
      <c r="E29" s="32"/>
      <c r="F29" s="32"/>
      <c r="G29" s="32"/>
      <c r="H29" s="32"/>
      <c r="I29" s="32"/>
      <c r="J29" s="65"/>
      <c r="K29" s="66"/>
      <c r="L29" s="66"/>
      <c r="M29" s="35"/>
      <c r="N29" s="35"/>
      <c r="O29" s="35"/>
      <c r="P29" s="35"/>
      <c r="Q29" s="38"/>
      <c r="W29"/>
    </row>
    <row r="30" spans="1:23" ht="26.25" customHeight="1">
      <c r="A30" s="33"/>
      <c r="B30" s="34"/>
      <c r="C30" s="35"/>
      <c r="D30" s="35"/>
      <c r="E30" s="35"/>
      <c r="F30" s="35"/>
      <c r="G30" s="35"/>
      <c r="H30" s="35"/>
      <c r="I30" s="35"/>
      <c r="J30" s="67"/>
      <c r="K30" s="68"/>
      <c r="L30" s="68"/>
      <c r="M30" s="35"/>
      <c r="N30" s="35"/>
      <c r="O30" s="35"/>
      <c r="P30" s="35"/>
      <c r="Q30" s="38"/>
    </row>
    <row r="31" spans="1:23" ht="26.25" customHeight="1">
      <c r="A31" s="33"/>
      <c r="B31" s="34"/>
      <c r="C31" s="35"/>
      <c r="D31" s="35"/>
      <c r="E31" s="35"/>
      <c r="F31" s="35"/>
      <c r="G31" s="35"/>
      <c r="H31" s="35"/>
      <c r="I31" s="35"/>
      <c r="J31" s="67"/>
      <c r="K31" s="68"/>
      <c r="L31" s="68"/>
      <c r="M31" s="35"/>
      <c r="N31" s="35"/>
      <c r="O31" s="35"/>
      <c r="P31" s="35"/>
      <c r="Q31" s="38"/>
    </row>
    <row r="32" spans="1:23" ht="26.25" customHeight="1">
      <c r="A32" s="33"/>
      <c r="B32" s="36"/>
      <c r="C32" s="36"/>
      <c r="D32" s="35"/>
      <c r="E32" s="36"/>
      <c r="F32" s="37"/>
      <c r="G32" s="36"/>
      <c r="H32" s="36"/>
      <c r="I32" s="36"/>
      <c r="J32" s="35"/>
      <c r="K32" s="69"/>
      <c r="L32" s="69"/>
      <c r="M32" s="35"/>
      <c r="N32" s="35"/>
      <c r="O32" s="35"/>
      <c r="P32" s="35"/>
      <c r="Q32" s="38"/>
    </row>
    <row r="33" spans="1:17" ht="26.25" customHeight="1">
      <c r="A33" s="33"/>
      <c r="B33" s="36"/>
      <c r="C33" s="36"/>
      <c r="D33" s="35"/>
      <c r="E33" s="36"/>
      <c r="F33" s="37"/>
      <c r="G33" s="36"/>
      <c r="H33" s="36"/>
      <c r="I33" s="36"/>
      <c r="J33" s="35"/>
      <c r="K33" s="69"/>
      <c r="L33" s="69"/>
      <c r="M33" s="35"/>
      <c r="N33" s="35"/>
      <c r="O33" s="35"/>
      <c r="P33" s="35"/>
      <c r="Q33" s="38"/>
    </row>
    <row r="34" spans="1:17">
      <c r="A34" s="38"/>
      <c r="B34" s="34"/>
      <c r="C34" s="35"/>
      <c r="D34" s="35"/>
      <c r="E34" s="39"/>
      <c r="F34" s="35"/>
      <c r="G34" s="35"/>
      <c r="H34" s="67"/>
      <c r="I34" s="67"/>
      <c r="J34" s="67"/>
      <c r="K34" s="47"/>
      <c r="L34" s="47"/>
      <c r="M34" s="35"/>
      <c r="N34" s="35"/>
      <c r="O34" s="35"/>
      <c r="P34" s="35"/>
      <c r="Q34" s="38"/>
    </row>
    <row r="35" spans="1:17">
      <c r="A35" s="38"/>
      <c r="B35" s="34"/>
      <c r="C35" s="35"/>
      <c r="D35" s="35"/>
      <c r="E35" s="11"/>
      <c r="F35" s="35"/>
      <c r="G35" s="35"/>
      <c r="H35" s="70"/>
      <c r="I35" s="70"/>
      <c r="J35" s="70"/>
      <c r="K35" s="47"/>
      <c r="L35" s="47"/>
      <c r="M35" s="35"/>
      <c r="N35" s="35"/>
      <c r="O35" s="35"/>
      <c r="P35" s="35"/>
      <c r="Q35" s="38"/>
    </row>
    <row r="36" spans="1:17" hidden="1">
      <c r="A36" s="38"/>
      <c r="B36" s="36" t="s">
        <v>34</v>
      </c>
      <c r="C36" s="36" t="s">
        <v>35</v>
      </c>
      <c r="D36" s="35"/>
      <c r="E36" s="11"/>
      <c r="F36" s="35"/>
      <c r="G36" s="35"/>
      <c r="H36" s="36" t="s">
        <v>36</v>
      </c>
      <c r="I36" s="36"/>
      <c r="J36" s="36"/>
      <c r="K36" s="47"/>
      <c r="L36" s="47"/>
      <c r="M36" s="35"/>
      <c r="N36" s="35"/>
      <c r="O36" s="117" t="s">
        <v>37</v>
      </c>
      <c r="P36" s="117"/>
      <c r="Q36" s="38"/>
    </row>
    <row r="37" spans="1:17" hidden="1">
      <c r="B37" s="6" t="s">
        <v>38</v>
      </c>
      <c r="C37" s="40" t="s">
        <v>39</v>
      </c>
      <c r="D37" s="40"/>
      <c r="E37" s="41"/>
      <c r="F37" s="40"/>
      <c r="G37" s="40"/>
      <c r="H37" s="40"/>
      <c r="I37" s="40"/>
      <c r="J37" s="40"/>
      <c r="K37" s="71"/>
      <c r="L37" s="71"/>
      <c r="M37" s="40"/>
      <c r="N37" s="40"/>
      <c r="O37" s="110" t="s">
        <v>40</v>
      </c>
      <c r="P37" s="110"/>
    </row>
    <row r="38" spans="1:17" hidden="1">
      <c r="C38" s="40"/>
      <c r="D38" s="40"/>
      <c r="E38" s="41"/>
      <c r="F38" s="40"/>
      <c r="G38" s="40"/>
      <c r="H38" s="40"/>
      <c r="I38" s="40"/>
      <c r="J38" s="40"/>
      <c r="K38" s="71"/>
      <c r="L38" s="71"/>
      <c r="M38" s="40"/>
      <c r="N38" s="40"/>
      <c r="O38" s="72"/>
      <c r="P38" s="71"/>
    </row>
    <row r="39" spans="1:17" hidden="1">
      <c r="C39" s="42"/>
      <c r="D39" s="40"/>
      <c r="E39" s="41"/>
      <c r="F39" s="40"/>
      <c r="G39" s="40"/>
      <c r="H39" s="42"/>
      <c r="I39" s="42"/>
      <c r="J39" s="42"/>
      <c r="K39" s="71"/>
      <c r="L39" s="71"/>
      <c r="M39" s="40"/>
      <c r="N39" s="40"/>
      <c r="O39" s="72"/>
      <c r="P39" s="71"/>
    </row>
    <row r="40" spans="1:17" hidden="1">
      <c r="C40" s="40"/>
      <c r="D40" s="40"/>
      <c r="E40" s="41"/>
      <c r="F40" s="40"/>
      <c r="G40" s="40"/>
      <c r="H40" s="40"/>
      <c r="I40" s="40"/>
      <c r="J40" s="40"/>
      <c r="K40" s="71"/>
      <c r="L40" s="71"/>
      <c r="M40" s="40"/>
      <c r="N40" s="40"/>
      <c r="O40" s="72"/>
      <c r="P40" s="71"/>
    </row>
    <row r="41" spans="1:17" hidden="1">
      <c r="C41" s="40"/>
      <c r="D41" s="40"/>
      <c r="E41" s="41"/>
      <c r="F41" s="40"/>
      <c r="G41" s="40"/>
      <c r="H41" s="40"/>
      <c r="I41" s="40"/>
      <c r="J41" s="40"/>
      <c r="K41" s="71"/>
      <c r="L41" s="71"/>
      <c r="M41" s="40"/>
      <c r="N41" s="40"/>
      <c r="O41" s="72"/>
      <c r="P41" s="71"/>
    </row>
    <row r="42" spans="1:17" hidden="1">
      <c r="C42" s="40"/>
      <c r="D42" s="40"/>
      <c r="E42" s="41"/>
      <c r="F42" s="40"/>
      <c r="G42" s="40"/>
      <c r="H42" s="40"/>
      <c r="I42" s="40"/>
      <c r="J42" s="40"/>
      <c r="K42" s="71"/>
      <c r="L42" s="71"/>
      <c r="M42" s="40"/>
      <c r="N42" s="40"/>
      <c r="O42" s="72"/>
      <c r="P42" s="71"/>
    </row>
    <row r="43" spans="1:17" hidden="1">
      <c r="B43" s="43" t="s">
        <v>41</v>
      </c>
      <c r="C43" s="44" t="s">
        <v>42</v>
      </c>
      <c r="D43" s="40"/>
      <c r="E43" s="41"/>
      <c r="F43" s="40"/>
      <c r="G43" s="40"/>
      <c r="H43" s="44"/>
      <c r="I43" s="44"/>
      <c r="J43" s="44"/>
      <c r="K43" s="71"/>
      <c r="L43" s="71"/>
      <c r="M43" s="40"/>
      <c r="N43" s="40"/>
      <c r="O43" s="110" t="s">
        <v>43</v>
      </c>
      <c r="P43" s="110"/>
    </row>
  </sheetData>
  <mergeCells count="25">
    <mergeCell ref="O37:P37"/>
    <mergeCell ref="O43:P43"/>
    <mergeCell ref="A1:B2"/>
    <mergeCell ref="C1:J2"/>
    <mergeCell ref="A25:C25"/>
    <mergeCell ref="D25:E25"/>
    <mergeCell ref="J26:L26"/>
    <mergeCell ref="C27:D27"/>
    <mergeCell ref="O36:P36"/>
    <mergeCell ref="C20:D20"/>
    <mergeCell ref="C21:D21"/>
    <mergeCell ref="C22:D22"/>
    <mergeCell ref="C23:D23"/>
    <mergeCell ref="A24:B24"/>
    <mergeCell ref="C24:E24"/>
    <mergeCell ref="A14:F14"/>
    <mergeCell ref="A15:L15"/>
    <mergeCell ref="A16:L16"/>
    <mergeCell ref="C18:D18"/>
    <mergeCell ref="C19:D19"/>
    <mergeCell ref="K1:L1"/>
    <mergeCell ref="K2:L2"/>
    <mergeCell ref="F3:G3"/>
    <mergeCell ref="H5:L5"/>
    <mergeCell ref="A13:F13"/>
  </mergeCells>
  <printOptions horizontalCentered="1"/>
  <pageMargins left="0" right="0" top="0.1" bottom="0" header="0" footer="0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B762-3006-499C-A589-FC1E65E6F7D4}">
  <sheetPr>
    <pageSetUpPr fitToPage="1"/>
  </sheetPr>
  <dimension ref="A1:W43"/>
  <sheetViews>
    <sheetView tabSelected="1" view="pageBreakPreview" zoomScale="60" zoomScaleNormal="85" workbookViewId="0">
      <selection activeCell="L10" sqref="L10"/>
    </sheetView>
  </sheetViews>
  <sheetFormatPr defaultColWidth="9.1796875" defaultRowHeight="18"/>
  <cols>
    <col min="1" max="1" width="5.81640625" style="5" customWidth="1"/>
    <col min="2" max="2" width="32.26953125" style="6" customWidth="1"/>
    <col min="3" max="3" width="8.08984375" style="7" customWidth="1"/>
    <col min="4" max="4" width="11" style="7" customWidth="1"/>
    <col min="5" max="5" width="14.453125" style="5" customWidth="1"/>
    <col min="6" max="6" width="16.54296875" style="5" bestFit="1" customWidth="1"/>
    <col min="7" max="7" width="10.90625" style="5" customWidth="1"/>
    <col min="8" max="8" width="17.453125" style="5" bestFit="1" customWidth="1"/>
    <col min="9" max="9" width="10.90625" style="5" customWidth="1"/>
    <col min="10" max="10" width="17.1796875" style="5" customWidth="1"/>
    <col min="11" max="11" width="9.6328125" style="5" customWidth="1"/>
    <col min="12" max="12" width="27.7265625" style="5" bestFit="1" customWidth="1"/>
    <col min="13" max="13" width="22" style="5" hidden="1" customWidth="1"/>
    <col min="14" max="14" width="17.453125" style="5" hidden="1" customWidth="1"/>
    <col min="15" max="15" width="17" style="5" hidden="1" customWidth="1"/>
    <col min="16" max="16" width="8.81640625" style="5" hidden="1" customWidth="1"/>
    <col min="17" max="17" width="9.1796875" style="5" hidden="1" customWidth="1"/>
    <col min="18" max="16384" width="9.1796875" style="5"/>
  </cols>
  <sheetData>
    <row r="1" spans="1:17" ht="22.75" customHeight="1">
      <c r="A1" s="111"/>
      <c r="B1" s="111"/>
      <c r="C1" s="112" t="s">
        <v>0</v>
      </c>
      <c r="D1" s="112"/>
      <c r="E1" s="112"/>
      <c r="F1" s="112"/>
      <c r="G1" s="112"/>
      <c r="H1" s="112"/>
      <c r="I1" s="112"/>
      <c r="J1" s="112"/>
      <c r="K1" s="101" t="s">
        <v>1</v>
      </c>
      <c r="L1" s="102"/>
      <c r="M1" s="40"/>
      <c r="N1" s="40"/>
      <c r="O1" s="40"/>
    </row>
    <row r="2" spans="1:17" ht="20.5" customHeight="1">
      <c r="A2" s="111"/>
      <c r="B2" s="111"/>
      <c r="C2" s="112"/>
      <c r="D2" s="112"/>
      <c r="E2" s="112"/>
      <c r="F2" s="112"/>
      <c r="G2" s="112"/>
      <c r="H2" s="112"/>
      <c r="I2" s="112"/>
      <c r="J2" s="112"/>
      <c r="K2" s="103" t="s">
        <v>2</v>
      </c>
      <c r="L2" s="104"/>
      <c r="M2" s="45"/>
      <c r="N2" s="45"/>
      <c r="O2" s="45"/>
    </row>
    <row r="3" spans="1:17" ht="11.4" customHeight="1">
      <c r="A3" s="8"/>
      <c r="B3" s="9"/>
      <c r="D3" s="10"/>
      <c r="E3" s="11"/>
      <c r="F3" s="105"/>
      <c r="G3" s="105"/>
      <c r="H3" s="46"/>
      <c r="I3" s="46"/>
      <c r="J3" s="46"/>
      <c r="K3" s="47"/>
      <c r="L3" s="47"/>
      <c r="M3" s="35"/>
      <c r="N3" s="35"/>
      <c r="O3" s="35"/>
      <c r="P3" s="38"/>
      <c r="Q3" s="38"/>
    </row>
    <row r="4" spans="1:17" s="1" customFormat="1" ht="17.399999999999999" customHeight="1">
      <c r="A4" s="83" t="s">
        <v>67</v>
      </c>
      <c r="B4" s="76"/>
      <c r="C4" s="14"/>
      <c r="D4" s="14"/>
      <c r="E4" s="15" t="s">
        <v>83</v>
      </c>
      <c r="F4" s="76"/>
      <c r="G4" s="77"/>
      <c r="H4" s="48"/>
      <c r="I4" s="48"/>
      <c r="J4" s="48"/>
      <c r="K4" s="14"/>
      <c r="L4" s="14"/>
    </row>
    <row r="5" spans="1:17" s="1" customFormat="1" ht="17.399999999999999" customHeight="1">
      <c r="A5" s="12"/>
      <c r="B5" s="13"/>
      <c r="C5" s="14"/>
      <c r="D5" s="14"/>
      <c r="E5" s="15"/>
      <c r="F5" s="13"/>
      <c r="G5" s="14"/>
      <c r="H5" s="106">
        <v>26500</v>
      </c>
      <c r="I5" s="106"/>
      <c r="J5" s="106"/>
      <c r="K5" s="106"/>
      <c r="L5" s="106"/>
    </row>
    <row r="6" spans="1:17" s="2" customFormat="1" ht="9" customHeight="1">
      <c r="A6" s="16"/>
      <c r="B6" s="17"/>
      <c r="C6" s="18"/>
      <c r="D6" s="19"/>
      <c r="E6" s="20"/>
      <c r="F6" s="21"/>
      <c r="G6" s="21"/>
      <c r="H6" s="49"/>
      <c r="I6" s="49"/>
      <c r="J6" s="49"/>
      <c r="K6" s="29"/>
      <c r="L6" s="29"/>
      <c r="M6" s="35"/>
      <c r="N6" s="35"/>
      <c r="O6" s="35"/>
      <c r="P6" s="38"/>
      <c r="Q6" s="38"/>
    </row>
    <row r="7" spans="1:17" s="3" customFormat="1" ht="45">
      <c r="A7" s="22" t="s">
        <v>6</v>
      </c>
      <c r="B7" s="22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2" t="s">
        <v>12</v>
      </c>
      <c r="H7" s="50" t="s">
        <v>13</v>
      </c>
      <c r="I7" s="22" t="s">
        <v>14</v>
      </c>
      <c r="J7" s="50" t="s">
        <v>15</v>
      </c>
      <c r="K7" s="22" t="s">
        <v>16</v>
      </c>
      <c r="L7" s="22" t="s">
        <v>17</v>
      </c>
      <c r="M7" s="51"/>
      <c r="N7" s="51" t="s">
        <v>18</v>
      </c>
      <c r="O7" s="51" t="s">
        <v>19</v>
      </c>
      <c r="P7" s="73"/>
      <c r="Q7" s="73"/>
    </row>
    <row r="8" spans="1:17" ht="40.5" customHeight="1">
      <c r="A8" s="25">
        <v>1</v>
      </c>
      <c r="B8" s="24" t="s">
        <v>84</v>
      </c>
      <c r="C8" s="25" t="s">
        <v>78</v>
      </c>
      <c r="D8" s="25">
        <v>1</v>
      </c>
      <c r="E8" s="26">
        <f>ROUND(F8/$H$5,-2)</f>
        <v>13200</v>
      </c>
      <c r="F8" s="26">
        <v>350000000</v>
      </c>
      <c r="G8" s="26">
        <f>E8*D8</f>
        <v>13200</v>
      </c>
      <c r="H8" s="26">
        <f>F8*D8</f>
        <v>350000000</v>
      </c>
      <c r="I8" s="26"/>
      <c r="J8" s="26" t="s">
        <v>80</v>
      </c>
      <c r="K8" s="89" t="b">
        <v>1</v>
      </c>
      <c r="L8" s="24" t="s">
        <v>91</v>
      </c>
      <c r="M8" s="52"/>
      <c r="N8" s="53" t="e">
        <f>#REF!-H8</f>
        <v>#REF!</v>
      </c>
      <c r="O8" s="54" t="e">
        <f t="shared" ref="O8:O13" si="0">N8/H8</f>
        <v>#REF!</v>
      </c>
      <c r="P8" s="38"/>
      <c r="Q8" s="38"/>
    </row>
    <row r="9" spans="1:17" ht="39.5" customHeight="1">
      <c r="A9" s="25">
        <v>2</v>
      </c>
      <c r="B9" s="24" t="s">
        <v>87</v>
      </c>
      <c r="C9" s="84" t="s">
        <v>47</v>
      </c>
      <c r="D9" s="25">
        <v>1</v>
      </c>
      <c r="E9" s="26">
        <f>ROUND(F9/$H$5,-2)</f>
        <v>3800</v>
      </c>
      <c r="F9" s="26">
        <v>100000000</v>
      </c>
      <c r="G9" s="26">
        <f>E9*D9</f>
        <v>3800</v>
      </c>
      <c r="H9" s="26">
        <f>F9*D9</f>
        <v>100000000</v>
      </c>
      <c r="I9" s="26"/>
      <c r="J9" s="26" t="s">
        <v>88</v>
      </c>
      <c r="K9" s="88" t="b">
        <v>1</v>
      </c>
      <c r="L9" s="24" t="s">
        <v>91</v>
      </c>
      <c r="M9" s="52"/>
      <c r="N9" s="53"/>
      <c r="O9" s="54"/>
      <c r="P9" s="38"/>
      <c r="Q9" s="38"/>
    </row>
    <row r="10" spans="1:17" ht="38.5" customHeight="1">
      <c r="A10" s="25">
        <v>3</v>
      </c>
      <c r="B10" s="24" t="s">
        <v>94</v>
      </c>
      <c r="C10" s="25" t="s">
        <v>78</v>
      </c>
      <c r="D10" s="25">
        <v>1</v>
      </c>
      <c r="E10" s="26">
        <f>ROUND(F10/$H$5,-2)</f>
        <v>2300</v>
      </c>
      <c r="F10" s="26">
        <f>60*1000000</f>
        <v>60000000</v>
      </c>
      <c r="G10" s="26">
        <f>E10*D10</f>
        <v>2300</v>
      </c>
      <c r="H10" s="26">
        <f>F10*D10</f>
        <v>60000000</v>
      </c>
      <c r="I10" s="26"/>
      <c r="J10" s="26" t="s">
        <v>80</v>
      </c>
      <c r="K10" s="88" t="b">
        <v>1</v>
      </c>
      <c r="L10" s="24" t="s">
        <v>91</v>
      </c>
      <c r="M10" s="52"/>
      <c r="N10" s="53"/>
      <c r="O10" s="54"/>
      <c r="P10" s="38"/>
      <c r="Q10" s="38"/>
    </row>
    <row r="11" spans="1:17" ht="62">
      <c r="A11" s="25">
        <v>4</v>
      </c>
      <c r="B11" s="24" t="s">
        <v>79</v>
      </c>
      <c r="C11" s="25" t="s">
        <v>78</v>
      </c>
      <c r="D11" s="25">
        <v>1</v>
      </c>
      <c r="E11" s="26">
        <f t="shared" ref="E11" si="1">ROUND(F11/$H$5,-2)</f>
        <v>45300</v>
      </c>
      <c r="F11" s="26">
        <f>(450+250+200+300)*1000000</f>
        <v>1200000000</v>
      </c>
      <c r="G11" s="26">
        <f t="shared" ref="G11" si="2">E11*D11</f>
        <v>45300</v>
      </c>
      <c r="H11" s="26">
        <f t="shared" ref="H11" si="3">F11*D11</f>
        <v>1200000000</v>
      </c>
      <c r="I11" s="26"/>
      <c r="J11" s="26" t="s">
        <v>80</v>
      </c>
      <c r="K11" s="88" t="b">
        <v>1</v>
      </c>
      <c r="L11" s="24" t="s">
        <v>92</v>
      </c>
      <c r="M11" s="52"/>
      <c r="N11" s="53" t="e">
        <f>#REF!-H11</f>
        <v>#REF!</v>
      </c>
      <c r="O11" s="54" t="e">
        <f t="shared" si="0"/>
        <v>#REF!</v>
      </c>
      <c r="P11" s="38"/>
      <c r="Q11" s="38"/>
    </row>
    <row r="12" spans="1:17" ht="37" customHeight="1">
      <c r="A12" s="25">
        <v>5</v>
      </c>
      <c r="B12" s="24" t="s">
        <v>85</v>
      </c>
      <c r="C12" s="25" t="s">
        <v>78</v>
      </c>
      <c r="D12" s="25">
        <v>1</v>
      </c>
      <c r="E12" s="26">
        <f t="shared" ref="E12" si="4">ROUND(F12/$H$5,-2)</f>
        <v>11200</v>
      </c>
      <c r="F12" s="26">
        <v>297000000</v>
      </c>
      <c r="G12" s="26">
        <f t="shared" ref="G12" si="5">E12*D12</f>
        <v>11200</v>
      </c>
      <c r="H12" s="26">
        <f t="shared" ref="H12" si="6">F12*D12</f>
        <v>297000000</v>
      </c>
      <c r="I12" s="26"/>
      <c r="J12" s="130" t="s">
        <v>86</v>
      </c>
      <c r="K12" s="88" t="b">
        <v>1</v>
      </c>
      <c r="L12" s="24" t="s">
        <v>89</v>
      </c>
      <c r="M12" s="52"/>
      <c r="N12" s="53"/>
      <c r="O12" s="54"/>
      <c r="P12" s="38"/>
      <c r="Q12" s="38"/>
    </row>
    <row r="13" spans="1:17" ht="18.649999999999999" customHeight="1">
      <c r="A13" s="107" t="s">
        <v>20</v>
      </c>
      <c r="B13" s="108"/>
      <c r="C13" s="108"/>
      <c r="D13" s="108"/>
      <c r="E13" s="108"/>
      <c r="F13" s="109"/>
      <c r="G13" s="87">
        <v>0.1</v>
      </c>
      <c r="H13" s="26">
        <f>G13*SUM(H8:H12)</f>
        <v>200700000</v>
      </c>
      <c r="I13" s="26"/>
      <c r="J13" s="26"/>
      <c r="K13" s="23"/>
      <c r="L13" s="23"/>
      <c r="M13" s="52"/>
      <c r="N13" s="53" t="e">
        <f>#REF!-H13</f>
        <v>#REF!</v>
      </c>
      <c r="O13" s="54" t="e">
        <f t="shared" si="0"/>
        <v>#REF!</v>
      </c>
      <c r="P13" s="38"/>
      <c r="Q13" s="38"/>
    </row>
    <row r="14" spans="1:17" s="4" customFormat="1" ht="18.649999999999999" customHeight="1">
      <c r="A14" s="123" t="s">
        <v>21</v>
      </c>
      <c r="B14" s="124"/>
      <c r="C14" s="124"/>
      <c r="D14" s="124"/>
      <c r="E14" s="124"/>
      <c r="F14" s="125"/>
      <c r="G14" s="27"/>
      <c r="H14" s="27">
        <f>SUM(H8:H13)</f>
        <v>2207700000</v>
      </c>
      <c r="I14" s="27"/>
      <c r="J14" s="27"/>
      <c r="K14" s="27"/>
      <c r="L14" s="27"/>
      <c r="M14" s="55"/>
      <c r="N14" s="55">
        <f>SUMIF($O$8:O13,"&gt;=0",$N$8:N13)</f>
        <v>0</v>
      </c>
      <c r="O14" s="56"/>
      <c r="P14" s="74"/>
      <c r="Q14" s="74"/>
    </row>
    <row r="15" spans="1:17" s="4" customFormat="1" ht="31.5" customHeight="1">
      <c r="A15" s="96" t="s">
        <v>90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57"/>
      <c r="N15" s="57"/>
      <c r="O15" s="58"/>
      <c r="P15" s="74"/>
      <c r="Q15" s="74"/>
    </row>
    <row r="16" spans="1:17" s="4" customFormat="1" ht="31" customHeight="1">
      <c r="A16" s="98" t="s">
        <v>23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59"/>
      <c r="N16" s="59"/>
      <c r="O16" s="60"/>
      <c r="P16" s="74"/>
      <c r="Q16" s="74"/>
    </row>
    <row r="17" spans="1:23" s="4" customFormat="1" ht="6.5" customHeight="1">
      <c r="A17" s="78"/>
      <c r="B17" s="33"/>
      <c r="C17"/>
      <c r="D17"/>
      <c r="E17"/>
      <c r="F17"/>
      <c r="G17"/>
      <c r="H17" s="61"/>
      <c r="I17" s="61"/>
      <c r="J17" s="62"/>
      <c r="K17" s="64"/>
      <c r="L17" s="64"/>
      <c r="M17" s="59"/>
      <c r="N17" s="59"/>
      <c r="O17" s="60"/>
      <c r="P17" s="74"/>
      <c r="Q17" s="74"/>
    </row>
    <row r="18" spans="1:23" s="4" customFormat="1" ht="22" customHeight="1">
      <c r="A18" s="79" t="s">
        <v>6</v>
      </c>
      <c r="B18" s="79" t="s">
        <v>24</v>
      </c>
      <c r="C18" s="99" t="s">
        <v>25</v>
      </c>
      <c r="D18" s="99"/>
      <c r="E18" s="79" t="s">
        <v>26</v>
      </c>
      <c r="F18"/>
      <c r="G18"/>
      <c r="H18" s="61"/>
      <c r="I18" s="61"/>
      <c r="J18" s="62"/>
      <c r="K18" s="64"/>
      <c r="L18" s="64"/>
      <c r="M18" s="59"/>
      <c r="N18" s="59"/>
      <c r="O18" s="60"/>
      <c r="P18" s="74"/>
      <c r="Q18" s="74"/>
    </row>
    <row r="19" spans="1:23" s="4" customFormat="1" ht="22" customHeight="1">
      <c r="A19" s="25">
        <v>1</v>
      </c>
      <c r="B19" s="23" t="s">
        <v>27</v>
      </c>
      <c r="C19" s="100" t="s">
        <v>52</v>
      </c>
      <c r="D19" s="100"/>
      <c r="E19" s="93"/>
      <c r="F19"/>
      <c r="G19"/>
      <c r="H19" s="61"/>
      <c r="I19" s="61"/>
      <c r="J19" s="62"/>
      <c r="K19" s="64"/>
      <c r="L19" s="64"/>
      <c r="M19" s="59"/>
      <c r="N19" s="59"/>
      <c r="O19" s="60"/>
      <c r="P19" s="74"/>
      <c r="Q19" s="74"/>
    </row>
    <row r="20" spans="1:23" s="4" customFormat="1" ht="22" customHeight="1">
      <c r="A20" s="25">
        <v>2</v>
      </c>
      <c r="B20" s="23" t="s">
        <v>28</v>
      </c>
      <c r="C20" s="118"/>
      <c r="D20" s="119"/>
      <c r="E20" s="94"/>
      <c r="F20"/>
      <c r="G20"/>
      <c r="H20"/>
      <c r="I20"/>
      <c r="J20"/>
      <c r="K20" s="64"/>
      <c r="L20" s="64"/>
      <c r="M20" s="59"/>
      <c r="N20" s="59"/>
      <c r="O20" s="60"/>
      <c r="P20" s="74"/>
      <c r="Q20" s="74"/>
    </row>
    <row r="21" spans="1:23" s="4" customFormat="1" ht="22" customHeight="1">
      <c r="A21" s="25">
        <v>3</v>
      </c>
      <c r="B21" s="23" t="s">
        <v>29</v>
      </c>
      <c r="C21" s="118"/>
      <c r="D21" s="119"/>
      <c r="E21" s="94"/>
      <c r="F21"/>
      <c r="G21"/>
      <c r="H21" s="61"/>
      <c r="I21" s="61"/>
      <c r="J21" s="62"/>
      <c r="K21" s="64"/>
      <c r="L21" s="64"/>
      <c r="M21" s="59"/>
      <c r="N21" s="59"/>
      <c r="O21" s="60"/>
      <c r="P21" s="74"/>
      <c r="Q21" s="74"/>
    </row>
    <row r="22" spans="1:23" s="4" customFormat="1" ht="22" customHeight="1">
      <c r="A22" s="80">
        <v>3.1</v>
      </c>
      <c r="B22" s="81" t="s">
        <v>30</v>
      </c>
      <c r="C22" s="118"/>
      <c r="D22" s="119"/>
      <c r="E22" s="94"/>
      <c r="F22"/>
      <c r="G22"/>
      <c r="H22" s="61"/>
      <c r="I22" s="61"/>
      <c r="J22" s="62"/>
      <c r="K22" s="64"/>
      <c r="L22" s="64"/>
      <c r="M22" s="59"/>
      <c r="N22" s="59"/>
      <c r="O22" s="60"/>
      <c r="P22" s="74"/>
      <c r="Q22" s="74"/>
    </row>
    <row r="23" spans="1:23" s="4" customFormat="1" ht="22" customHeight="1">
      <c r="A23" s="80">
        <v>3.2</v>
      </c>
      <c r="B23" s="81" t="s">
        <v>31</v>
      </c>
      <c r="C23" s="118"/>
      <c r="D23" s="119"/>
      <c r="E23" s="95"/>
      <c r="F23"/>
      <c r="G23"/>
      <c r="H23" s="61"/>
      <c r="I23" s="61"/>
      <c r="J23" s="62"/>
      <c r="K23" s="64"/>
      <c r="L23" s="64"/>
      <c r="M23" s="59"/>
      <c r="N23" s="59"/>
      <c r="O23" s="60"/>
      <c r="P23" s="74"/>
      <c r="Q23" s="74"/>
    </row>
    <row r="24" spans="1:23" s="4" customFormat="1" ht="46" customHeight="1">
      <c r="A24" s="100" t="s">
        <v>32</v>
      </c>
      <c r="B24" s="100"/>
      <c r="C24" s="120"/>
      <c r="D24" s="121"/>
      <c r="E24" s="122"/>
      <c r="F24"/>
      <c r="G24"/>
      <c r="H24" s="61"/>
      <c r="I24" s="61"/>
      <c r="J24" s="62"/>
      <c r="K24" s="64"/>
      <c r="L24" s="64"/>
      <c r="M24" s="59"/>
      <c r="N24" s="59"/>
      <c r="O24" s="60"/>
      <c r="P24" s="74"/>
      <c r="Q24" s="74"/>
    </row>
    <row r="25" spans="1:23" s="4" customFormat="1" ht="7" customHeight="1">
      <c r="A25" s="113"/>
      <c r="B25" s="113"/>
      <c r="C25" s="113"/>
      <c r="D25" s="114"/>
      <c r="E25" s="114"/>
      <c r="F25"/>
      <c r="G25"/>
      <c r="H25" s="14"/>
      <c r="I25" s="14"/>
      <c r="J25" s="62"/>
      <c r="K25" s="64"/>
      <c r="L25" s="64"/>
      <c r="M25" s="59"/>
      <c r="N25" s="59"/>
      <c r="O25" s="60"/>
      <c r="P25" s="74"/>
      <c r="Q25" s="74"/>
    </row>
    <row r="26" spans="1:23" ht="22.5" customHeight="1">
      <c r="A26" s="28"/>
      <c r="B26" s="12"/>
      <c r="C26" s="12"/>
      <c r="D26" s="12"/>
      <c r="E26" s="12"/>
      <c r="F26" s="12"/>
      <c r="G26" s="12"/>
      <c r="H26" s="12"/>
      <c r="I26" s="12"/>
      <c r="J26" s="115" t="s">
        <v>93</v>
      </c>
      <c r="K26" s="115"/>
      <c r="L26" s="115"/>
      <c r="M26" s="35"/>
      <c r="N26" s="35"/>
      <c r="O26" s="35"/>
      <c r="P26" s="35"/>
      <c r="Q26" s="38"/>
    </row>
    <row r="27" spans="1:23" ht="26.25" customHeight="1">
      <c r="A27" s="28"/>
      <c r="B27" s="30"/>
      <c r="C27" s="116"/>
      <c r="D27" s="116"/>
      <c r="E27" s="19"/>
      <c r="F27" s="31"/>
      <c r="G27" s="19"/>
      <c r="H27" s="19"/>
      <c r="I27" s="19"/>
      <c r="J27" s="19"/>
      <c r="K27" s="31"/>
      <c r="L27" s="31"/>
      <c r="M27" s="35"/>
      <c r="N27" s="35"/>
      <c r="O27" s="35"/>
      <c r="P27" s="35"/>
      <c r="Q27" s="38"/>
    </row>
    <row r="28" spans="1:23" ht="26.25" customHeight="1">
      <c r="A28" s="28"/>
      <c r="B28" s="30"/>
      <c r="C28" s="19"/>
      <c r="D28" s="19"/>
      <c r="E28" s="19"/>
      <c r="F28" s="19"/>
      <c r="G28" s="19"/>
      <c r="H28" s="19"/>
      <c r="I28" s="19"/>
      <c r="J28" s="29"/>
      <c r="K28" s="21"/>
      <c r="L28" s="21"/>
      <c r="M28" s="35"/>
      <c r="N28" s="35"/>
      <c r="O28" s="35"/>
      <c r="P28" s="35"/>
      <c r="Q28" s="38"/>
    </row>
    <row r="29" spans="1:23" ht="39" customHeight="1">
      <c r="A29" s="28"/>
      <c r="B29" s="30"/>
      <c r="C29" s="32"/>
      <c r="D29" s="19"/>
      <c r="E29" s="32"/>
      <c r="F29" s="32"/>
      <c r="G29" s="32"/>
      <c r="H29" s="32"/>
      <c r="I29" s="32"/>
      <c r="J29" s="65"/>
      <c r="K29" s="66"/>
      <c r="L29" s="66"/>
      <c r="M29" s="35"/>
      <c r="N29" s="35"/>
      <c r="O29" s="35"/>
      <c r="P29" s="35"/>
      <c r="Q29" s="38"/>
      <c r="W29"/>
    </row>
    <row r="30" spans="1:23" ht="26.25" customHeight="1">
      <c r="A30" s="33"/>
      <c r="B30" s="34"/>
      <c r="C30" s="35"/>
      <c r="D30" s="35"/>
      <c r="E30" s="35"/>
      <c r="F30" s="35"/>
      <c r="G30" s="35"/>
      <c r="H30" s="35"/>
      <c r="I30" s="35"/>
      <c r="J30" s="67"/>
      <c r="K30" s="68"/>
      <c r="L30" s="68"/>
      <c r="M30" s="35"/>
      <c r="N30" s="35"/>
      <c r="O30" s="35"/>
      <c r="P30" s="35"/>
      <c r="Q30" s="38"/>
    </row>
    <row r="31" spans="1:23" ht="26.25" customHeight="1">
      <c r="A31" s="33"/>
      <c r="B31" s="34"/>
      <c r="C31" s="35"/>
      <c r="D31" s="35"/>
      <c r="E31" s="35"/>
      <c r="F31" s="35"/>
      <c r="G31" s="35"/>
      <c r="H31" s="35"/>
      <c r="I31" s="35"/>
      <c r="J31" s="67"/>
      <c r="K31" s="68"/>
      <c r="L31" s="68"/>
      <c r="M31" s="35"/>
      <c r="N31" s="35"/>
      <c r="O31" s="35"/>
      <c r="P31" s="35"/>
      <c r="Q31" s="38"/>
    </row>
    <row r="32" spans="1:23" ht="26.25" customHeight="1">
      <c r="A32" s="33"/>
      <c r="B32" s="36"/>
      <c r="C32" s="36"/>
      <c r="D32" s="35"/>
      <c r="E32" s="36"/>
      <c r="F32" s="37"/>
      <c r="G32" s="36"/>
      <c r="H32" s="36"/>
      <c r="I32" s="36"/>
      <c r="J32" s="35"/>
      <c r="K32" s="69"/>
      <c r="L32" s="69"/>
      <c r="M32" s="35"/>
      <c r="N32" s="35"/>
      <c r="O32" s="35"/>
      <c r="P32" s="35"/>
      <c r="Q32" s="38"/>
    </row>
    <row r="33" spans="1:17" ht="26.25" customHeight="1">
      <c r="A33" s="33"/>
      <c r="B33" s="36"/>
      <c r="C33" s="36"/>
      <c r="D33" s="35"/>
      <c r="E33" s="36"/>
      <c r="F33" s="37"/>
      <c r="G33" s="36"/>
      <c r="H33" s="36"/>
      <c r="I33" s="36"/>
      <c r="J33" s="35"/>
      <c r="K33" s="69"/>
      <c r="L33" s="69"/>
      <c r="M33" s="35"/>
      <c r="N33" s="35"/>
      <c r="O33" s="35"/>
      <c r="P33" s="35"/>
      <c r="Q33" s="38"/>
    </row>
    <row r="34" spans="1:17">
      <c r="A34" s="38"/>
      <c r="B34" s="34"/>
      <c r="C34" s="35"/>
      <c r="D34" s="35"/>
      <c r="E34" s="39"/>
      <c r="F34" s="35"/>
      <c r="G34" s="35"/>
      <c r="H34" s="67"/>
      <c r="I34" s="67"/>
      <c r="J34" s="67"/>
      <c r="K34" s="47"/>
      <c r="L34" s="47"/>
      <c r="M34" s="35"/>
      <c r="N34" s="35"/>
      <c r="O34" s="35"/>
      <c r="P34" s="35"/>
      <c r="Q34" s="38"/>
    </row>
    <row r="35" spans="1:17">
      <c r="A35" s="38"/>
      <c r="B35" s="34"/>
      <c r="C35" s="35"/>
      <c r="D35" s="35"/>
      <c r="E35" s="11"/>
      <c r="F35" s="35"/>
      <c r="G35" s="35"/>
      <c r="H35" s="70"/>
      <c r="I35" s="70"/>
      <c r="J35" s="70"/>
      <c r="K35" s="47"/>
      <c r="L35" s="47"/>
      <c r="M35" s="35"/>
      <c r="N35" s="35"/>
      <c r="O35" s="35"/>
      <c r="P35" s="35"/>
      <c r="Q35" s="38"/>
    </row>
    <row r="36" spans="1:17" hidden="1">
      <c r="A36" s="38"/>
      <c r="B36" s="36" t="s">
        <v>34</v>
      </c>
      <c r="C36" s="36" t="s">
        <v>35</v>
      </c>
      <c r="D36" s="35"/>
      <c r="E36" s="11"/>
      <c r="F36" s="35"/>
      <c r="G36" s="35"/>
      <c r="H36" s="36" t="s">
        <v>36</v>
      </c>
      <c r="I36" s="36"/>
      <c r="J36" s="36"/>
      <c r="K36" s="47"/>
      <c r="L36" s="47"/>
      <c r="M36" s="35"/>
      <c r="N36" s="35"/>
      <c r="O36" s="117" t="s">
        <v>37</v>
      </c>
      <c r="P36" s="117"/>
      <c r="Q36" s="38"/>
    </row>
    <row r="37" spans="1:17" hidden="1">
      <c r="B37" s="6" t="s">
        <v>38</v>
      </c>
      <c r="C37" s="40" t="s">
        <v>39</v>
      </c>
      <c r="D37" s="40"/>
      <c r="E37" s="41"/>
      <c r="F37" s="40"/>
      <c r="G37" s="40"/>
      <c r="H37" s="40"/>
      <c r="I37" s="40"/>
      <c r="J37" s="40"/>
      <c r="K37" s="71"/>
      <c r="L37" s="71"/>
      <c r="M37" s="40"/>
      <c r="N37" s="40"/>
      <c r="O37" s="110" t="s">
        <v>40</v>
      </c>
      <c r="P37" s="110"/>
    </row>
    <row r="38" spans="1:17" hidden="1">
      <c r="C38" s="40"/>
      <c r="D38" s="40"/>
      <c r="E38" s="41"/>
      <c r="F38" s="40"/>
      <c r="G38" s="40"/>
      <c r="H38" s="40"/>
      <c r="I38" s="40"/>
      <c r="J38" s="40"/>
      <c r="K38" s="71"/>
      <c r="L38" s="71"/>
      <c r="M38" s="40"/>
      <c r="N38" s="40"/>
      <c r="O38" s="72"/>
      <c r="P38" s="71"/>
    </row>
    <row r="39" spans="1:17" hidden="1">
      <c r="C39" s="42"/>
      <c r="D39" s="40"/>
      <c r="E39" s="41"/>
      <c r="F39" s="40"/>
      <c r="G39" s="40"/>
      <c r="H39" s="42"/>
      <c r="I39" s="42"/>
      <c r="J39" s="42"/>
      <c r="K39" s="71"/>
      <c r="L39" s="71"/>
      <c r="M39" s="40"/>
      <c r="N39" s="40"/>
      <c r="O39" s="72"/>
      <c r="P39" s="71"/>
    </row>
    <row r="40" spans="1:17" hidden="1">
      <c r="C40" s="40"/>
      <c r="D40" s="40"/>
      <c r="E40" s="41"/>
      <c r="F40" s="40"/>
      <c r="G40" s="40"/>
      <c r="H40" s="40"/>
      <c r="I40" s="40"/>
      <c r="J40" s="40"/>
      <c r="K40" s="71"/>
      <c r="L40" s="71"/>
      <c r="M40" s="40"/>
      <c r="N40" s="40"/>
      <c r="O40" s="72"/>
      <c r="P40" s="71"/>
    </row>
    <row r="41" spans="1:17" hidden="1">
      <c r="C41" s="40"/>
      <c r="D41" s="40"/>
      <c r="E41" s="41"/>
      <c r="F41" s="40"/>
      <c r="G41" s="40"/>
      <c r="H41" s="40"/>
      <c r="I41" s="40"/>
      <c r="J41" s="40"/>
      <c r="K41" s="71"/>
      <c r="L41" s="71"/>
      <c r="M41" s="40"/>
      <c r="N41" s="40"/>
      <c r="O41" s="72"/>
      <c r="P41" s="71"/>
    </row>
    <row r="42" spans="1:17" hidden="1">
      <c r="C42" s="40"/>
      <c r="D42" s="40"/>
      <c r="E42" s="41"/>
      <c r="F42" s="40"/>
      <c r="G42" s="40"/>
      <c r="H42" s="40"/>
      <c r="I42" s="40"/>
      <c r="J42" s="40"/>
      <c r="K42" s="71"/>
      <c r="L42" s="71"/>
      <c r="M42" s="40"/>
      <c r="N42" s="40"/>
      <c r="O42" s="72"/>
      <c r="P42" s="71"/>
    </row>
    <row r="43" spans="1:17" hidden="1">
      <c r="B43" s="43" t="s">
        <v>41</v>
      </c>
      <c r="C43" s="44" t="s">
        <v>42</v>
      </c>
      <c r="D43" s="40"/>
      <c r="E43" s="41"/>
      <c r="F43" s="40"/>
      <c r="G43" s="40"/>
      <c r="H43" s="44"/>
      <c r="I43" s="44"/>
      <c r="J43" s="44"/>
      <c r="K43" s="71"/>
      <c r="L43" s="71"/>
      <c r="M43" s="40"/>
      <c r="N43" s="40"/>
      <c r="O43" s="110" t="s">
        <v>43</v>
      </c>
      <c r="P43" s="110"/>
    </row>
  </sheetData>
  <mergeCells count="25">
    <mergeCell ref="O43:P43"/>
    <mergeCell ref="A25:C25"/>
    <mergeCell ref="D25:E25"/>
    <mergeCell ref="J26:L26"/>
    <mergeCell ref="C27:D27"/>
    <mergeCell ref="O36:P36"/>
    <mergeCell ref="O37:P37"/>
    <mergeCell ref="C20:D20"/>
    <mergeCell ref="C21:D21"/>
    <mergeCell ref="C22:D22"/>
    <mergeCell ref="C23:D23"/>
    <mergeCell ref="A24:B24"/>
    <mergeCell ref="C24:E24"/>
    <mergeCell ref="A13:F13"/>
    <mergeCell ref="A14:F14"/>
    <mergeCell ref="A15:L15"/>
    <mergeCell ref="A16:L16"/>
    <mergeCell ref="C18:D18"/>
    <mergeCell ref="C19:D19"/>
    <mergeCell ref="A1:B2"/>
    <mergeCell ref="C1:J2"/>
    <mergeCell ref="K1:L1"/>
    <mergeCell ref="K2:L2"/>
    <mergeCell ref="F3:G3"/>
    <mergeCell ref="H5:L5"/>
  </mergeCells>
  <printOptions horizontalCentered="1"/>
  <pageMargins left="0" right="0" top="0.1" bottom="0" header="0" footer="0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I6"/>
  <sheetViews>
    <sheetView zoomScale="80" zoomScaleNormal="80" workbookViewId="0">
      <selection activeCell="F13" sqref="F13"/>
    </sheetView>
  </sheetViews>
  <sheetFormatPr defaultColWidth="9" defaultRowHeight="14.5"/>
  <cols>
    <col min="1" max="1" width="1.81640625" customWidth="1"/>
    <col min="2" max="9" width="25.7265625" customWidth="1"/>
  </cols>
  <sheetData>
    <row r="5" spans="2:9" s="75" customFormat="1" ht="35.4" customHeight="1">
      <c r="B5" s="92" t="s">
        <v>64</v>
      </c>
      <c r="C5" s="92" t="s">
        <v>62</v>
      </c>
      <c r="D5" s="92" t="s">
        <v>60</v>
      </c>
      <c r="E5" s="92" t="s">
        <v>75</v>
      </c>
      <c r="F5" s="92" t="s">
        <v>68</v>
      </c>
      <c r="G5" s="92" t="s">
        <v>69</v>
      </c>
      <c r="H5" s="92" t="s">
        <v>56</v>
      </c>
      <c r="I5" s="90" t="s">
        <v>54</v>
      </c>
    </row>
    <row r="6" spans="2:9" ht="101" customHeight="1">
      <c r="B6" s="91" t="s">
        <v>65</v>
      </c>
      <c r="C6" s="91" t="s">
        <v>63</v>
      </c>
      <c r="D6" s="91" t="s">
        <v>61</v>
      </c>
      <c r="E6" s="91" t="s">
        <v>76</v>
      </c>
      <c r="F6" s="91" t="s">
        <v>59</v>
      </c>
      <c r="G6" s="91" t="s">
        <v>58</v>
      </c>
      <c r="H6" s="91" t="s">
        <v>57</v>
      </c>
      <c r="I6" s="9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44"/>
  <sheetViews>
    <sheetView zoomScale="80" zoomScaleNormal="80" workbookViewId="0">
      <selection activeCell="W9" sqref="W9"/>
    </sheetView>
  </sheetViews>
  <sheetFormatPr defaultColWidth="9.1796875" defaultRowHeight="18"/>
  <cols>
    <col min="1" max="1" width="4.453125" style="5" customWidth="1"/>
    <col min="2" max="2" width="5.81640625" style="5" customWidth="1"/>
    <col min="3" max="3" width="32.26953125" style="6" customWidth="1"/>
    <col min="4" max="4" width="9.26953125" style="7" customWidth="1"/>
    <col min="5" max="5" width="11" style="7" customWidth="1"/>
    <col min="6" max="10" width="10.90625" style="5" customWidth="1"/>
    <col min="11" max="11" width="16.26953125" style="5" customWidth="1"/>
    <col min="12" max="12" width="17.6328125" style="5" customWidth="1"/>
    <col min="13" max="13" width="10.08984375" style="5" customWidth="1"/>
    <col min="14" max="14" width="22" style="5" hidden="1" customWidth="1"/>
    <col min="15" max="15" width="17.453125" style="5" hidden="1" customWidth="1"/>
    <col min="16" max="16" width="17" style="5" hidden="1" customWidth="1"/>
    <col min="17" max="17" width="8.81640625" style="5" hidden="1" customWidth="1"/>
    <col min="18" max="18" width="9.1796875" style="5" hidden="1" customWidth="1"/>
    <col min="19" max="16384" width="9.1796875" style="5"/>
  </cols>
  <sheetData>
    <row r="2" spans="2:18" ht="22.75" customHeight="1">
      <c r="B2" s="111"/>
      <c r="C2" s="111"/>
      <c r="D2" s="112" t="s">
        <v>0</v>
      </c>
      <c r="E2" s="112"/>
      <c r="F2" s="112"/>
      <c r="G2" s="112"/>
      <c r="H2" s="112"/>
      <c r="I2" s="112"/>
      <c r="J2" s="112"/>
      <c r="K2" s="112"/>
      <c r="L2" s="101" t="s">
        <v>1</v>
      </c>
      <c r="M2" s="102"/>
      <c r="N2" s="40"/>
      <c r="O2" s="40"/>
      <c r="P2" s="40"/>
    </row>
    <row r="3" spans="2:18" ht="20.5" customHeight="1">
      <c r="B3" s="111"/>
      <c r="C3" s="111"/>
      <c r="D3" s="112"/>
      <c r="E3" s="112"/>
      <c r="F3" s="112"/>
      <c r="G3" s="112"/>
      <c r="H3" s="112"/>
      <c r="I3" s="112"/>
      <c r="J3" s="112"/>
      <c r="K3" s="112"/>
      <c r="L3" s="103" t="s">
        <v>2</v>
      </c>
      <c r="M3" s="104"/>
      <c r="N3" s="45"/>
      <c r="O3" s="45"/>
      <c r="P3" s="45"/>
    </row>
    <row r="4" spans="2:18" ht="11.4" customHeight="1">
      <c r="B4" s="8"/>
      <c r="C4" s="9"/>
      <c r="E4" s="10"/>
      <c r="F4" s="11"/>
      <c r="G4" s="105"/>
      <c r="H4" s="105"/>
      <c r="I4" s="46"/>
      <c r="J4" s="46"/>
      <c r="K4" s="46"/>
      <c r="L4" s="46"/>
      <c r="M4" s="47"/>
      <c r="N4" s="35"/>
      <c r="O4" s="35"/>
      <c r="P4" s="35"/>
      <c r="Q4" s="38"/>
      <c r="R4" s="38"/>
    </row>
    <row r="5" spans="2:18" s="1" customFormat="1" ht="21" customHeight="1">
      <c r="B5" s="12" t="s">
        <v>3</v>
      </c>
      <c r="C5" s="13"/>
      <c r="D5" s="14"/>
      <c r="E5" s="14"/>
      <c r="F5" s="15" t="s">
        <v>4</v>
      </c>
      <c r="G5" s="13"/>
      <c r="H5" s="14"/>
      <c r="I5" s="48"/>
      <c r="J5" s="48"/>
      <c r="K5" s="48"/>
      <c r="L5" s="48"/>
      <c r="M5" s="14"/>
    </row>
    <row r="6" spans="2:18" s="1" customFormat="1" ht="17.399999999999999" customHeight="1">
      <c r="B6" s="12"/>
      <c r="C6" s="13"/>
      <c r="D6" s="14"/>
      <c r="E6" s="14"/>
      <c r="F6" s="15"/>
      <c r="G6" s="13"/>
      <c r="H6" s="14"/>
      <c r="I6" s="48"/>
      <c r="J6" s="126" t="s">
        <v>5</v>
      </c>
      <c r="K6" s="126"/>
      <c r="L6" s="126"/>
      <c r="M6" s="14"/>
    </row>
    <row r="7" spans="2:18" s="2" customFormat="1" ht="9" customHeight="1">
      <c r="B7" s="16"/>
      <c r="C7" s="17"/>
      <c r="D7" s="18"/>
      <c r="E7" s="19"/>
      <c r="F7" s="20"/>
      <c r="G7" s="21"/>
      <c r="H7" s="21"/>
      <c r="I7" s="49"/>
      <c r="J7" s="49"/>
      <c r="K7" s="49"/>
      <c r="L7" s="49"/>
      <c r="M7" s="29"/>
      <c r="N7" s="35"/>
      <c r="O7" s="35"/>
      <c r="P7" s="35"/>
      <c r="Q7" s="38"/>
      <c r="R7" s="38"/>
    </row>
    <row r="8" spans="2:18" s="3" customFormat="1" ht="45">
      <c r="B8" s="22" t="s">
        <v>6</v>
      </c>
      <c r="C8" s="22" t="s">
        <v>7</v>
      </c>
      <c r="D8" s="22" t="s">
        <v>8</v>
      </c>
      <c r="E8" s="22" t="s">
        <v>9</v>
      </c>
      <c r="F8" s="22" t="s">
        <v>10</v>
      </c>
      <c r="G8" s="22" t="s">
        <v>11</v>
      </c>
      <c r="H8" s="22" t="s">
        <v>12</v>
      </c>
      <c r="I8" s="50" t="s">
        <v>13</v>
      </c>
      <c r="J8" s="22" t="s">
        <v>14</v>
      </c>
      <c r="K8" s="50" t="s">
        <v>15</v>
      </c>
      <c r="L8" s="22" t="s">
        <v>16</v>
      </c>
      <c r="M8" s="22" t="s">
        <v>17</v>
      </c>
      <c r="N8" s="51"/>
      <c r="O8" s="51" t="s">
        <v>18</v>
      </c>
      <c r="P8" s="51" t="s">
        <v>19</v>
      </c>
      <c r="Q8" s="73"/>
      <c r="R8" s="73"/>
    </row>
    <row r="9" spans="2:18" ht="17" customHeight="1">
      <c r="B9" s="23"/>
      <c r="C9" s="24"/>
      <c r="D9" s="25"/>
      <c r="E9" s="25"/>
      <c r="F9" s="26"/>
      <c r="G9" s="26"/>
      <c r="H9" s="26"/>
      <c r="I9" s="26"/>
      <c r="J9" s="26"/>
      <c r="K9" s="26"/>
      <c r="L9" s="82" t="s">
        <v>44</v>
      </c>
      <c r="M9" s="23"/>
      <c r="N9" s="52"/>
      <c r="O9" s="53" t="e">
        <f>#REF!-I9</f>
        <v>#REF!</v>
      </c>
      <c r="P9" s="54" t="e">
        <f t="shared" ref="P9:P15" si="0">O9/I9</f>
        <v>#REF!</v>
      </c>
      <c r="Q9" s="38"/>
      <c r="R9" s="38"/>
    </row>
    <row r="10" spans="2:18" ht="17" customHeight="1">
      <c r="B10" s="23"/>
      <c r="C10" s="24"/>
      <c r="D10" s="25"/>
      <c r="E10" s="25"/>
      <c r="F10" s="26"/>
      <c r="G10" s="26"/>
      <c r="H10" s="26"/>
      <c r="I10" s="26"/>
      <c r="J10" s="26"/>
      <c r="K10" s="26"/>
      <c r="L10" s="82" t="s">
        <v>44</v>
      </c>
      <c r="M10" s="23"/>
      <c r="N10" s="52"/>
      <c r="O10" s="53" t="e">
        <f>#REF!-I10</f>
        <v>#REF!</v>
      </c>
      <c r="P10" s="54" t="e">
        <f t="shared" si="0"/>
        <v>#REF!</v>
      </c>
      <c r="Q10" s="38"/>
      <c r="R10" s="38"/>
    </row>
    <row r="11" spans="2:18" ht="17" customHeight="1">
      <c r="B11" s="23"/>
      <c r="C11" s="24"/>
      <c r="D11" s="25"/>
      <c r="E11" s="25"/>
      <c r="F11" s="26"/>
      <c r="G11" s="26"/>
      <c r="H11" s="26"/>
      <c r="I11" s="26"/>
      <c r="J11" s="26"/>
      <c r="K11" s="26"/>
      <c r="L11" s="82" t="s">
        <v>44</v>
      </c>
      <c r="M11" s="23"/>
      <c r="N11" s="52"/>
      <c r="O11" s="53" t="e">
        <f>#REF!-I11</f>
        <v>#REF!</v>
      </c>
      <c r="P11" s="54" t="e">
        <f t="shared" si="0"/>
        <v>#REF!</v>
      </c>
      <c r="Q11" s="38"/>
      <c r="R11" s="38"/>
    </row>
    <row r="12" spans="2:18" ht="17" customHeight="1">
      <c r="B12" s="23"/>
      <c r="C12" s="24"/>
      <c r="D12" s="25"/>
      <c r="E12" s="25"/>
      <c r="F12" s="26"/>
      <c r="G12" s="26"/>
      <c r="H12" s="26"/>
      <c r="I12" s="26"/>
      <c r="J12" s="26"/>
      <c r="K12" s="26"/>
      <c r="L12" s="82" t="s">
        <v>44</v>
      </c>
      <c r="M12" s="23"/>
      <c r="N12" s="52"/>
      <c r="O12" s="53"/>
      <c r="P12" s="54"/>
      <c r="Q12" s="38"/>
      <c r="R12" s="38"/>
    </row>
    <row r="13" spans="2:18" ht="17" customHeight="1">
      <c r="B13" s="23"/>
      <c r="C13" s="24"/>
      <c r="D13" s="25"/>
      <c r="E13" s="25"/>
      <c r="F13" s="26"/>
      <c r="G13" s="26"/>
      <c r="H13" s="26"/>
      <c r="I13" s="26"/>
      <c r="J13" s="26"/>
      <c r="K13" s="26"/>
      <c r="L13" s="82" t="s">
        <v>44</v>
      </c>
      <c r="M13" s="23"/>
      <c r="N13" s="52"/>
      <c r="O13" s="53"/>
      <c r="P13" s="54"/>
      <c r="Q13" s="38"/>
      <c r="R13" s="38"/>
    </row>
    <row r="14" spans="2:18" ht="17" customHeight="1">
      <c r="B14" s="23"/>
      <c r="C14" s="24"/>
      <c r="D14" s="25"/>
      <c r="E14" s="25"/>
      <c r="F14" s="26"/>
      <c r="G14" s="26"/>
      <c r="H14" s="26"/>
      <c r="I14" s="26"/>
      <c r="J14" s="26"/>
      <c r="K14" s="26"/>
      <c r="L14" s="82" t="s">
        <v>44</v>
      </c>
      <c r="M14" s="23"/>
      <c r="N14" s="52"/>
      <c r="O14" s="53"/>
      <c r="P14" s="54"/>
      <c r="Q14" s="38"/>
      <c r="R14" s="38"/>
    </row>
    <row r="15" spans="2:18" ht="18.649999999999999" customHeight="1">
      <c r="B15" s="107" t="s">
        <v>20</v>
      </c>
      <c r="C15" s="108"/>
      <c r="D15" s="108"/>
      <c r="E15" s="108"/>
      <c r="F15" s="108"/>
      <c r="G15" s="109"/>
      <c r="H15" s="26"/>
      <c r="I15" s="26"/>
      <c r="J15" s="26"/>
      <c r="K15" s="26"/>
      <c r="L15" s="26"/>
      <c r="M15" s="23"/>
      <c r="N15" s="52"/>
      <c r="O15" s="53" t="e">
        <f>#REF!-I15</f>
        <v>#REF!</v>
      </c>
      <c r="P15" s="54" t="e">
        <f t="shared" si="0"/>
        <v>#REF!</v>
      </c>
      <c r="Q15" s="38"/>
      <c r="R15" s="38"/>
    </row>
    <row r="16" spans="2:18" s="4" customFormat="1" ht="18.649999999999999" customHeight="1">
      <c r="B16" s="123" t="s">
        <v>21</v>
      </c>
      <c r="C16" s="124"/>
      <c r="D16" s="124"/>
      <c r="E16" s="124"/>
      <c r="F16" s="124"/>
      <c r="G16" s="125"/>
      <c r="H16" s="27"/>
      <c r="I16" s="27"/>
      <c r="J16" s="27"/>
      <c r="K16" s="27"/>
      <c r="L16" s="27"/>
      <c r="M16" s="27"/>
      <c r="N16" s="55"/>
      <c r="O16" s="55">
        <f>SUMIF($P$9:P15,"&gt;=0",$O$9:O15)</f>
        <v>0</v>
      </c>
      <c r="P16" s="56"/>
      <c r="Q16" s="74"/>
      <c r="R16" s="74"/>
    </row>
    <row r="17" spans="2:24" s="4" customFormat="1" ht="18.649999999999999" customHeight="1">
      <c r="B17" s="96" t="s">
        <v>22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57"/>
      <c r="O17" s="57"/>
      <c r="P17" s="58"/>
      <c r="Q17" s="74"/>
      <c r="R17" s="74"/>
    </row>
    <row r="18" spans="2:24" s="4" customFormat="1" ht="34.5" customHeight="1">
      <c r="B18" s="98" t="s">
        <v>23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59"/>
      <c r="O18" s="59"/>
      <c r="P18" s="60"/>
      <c r="Q18" s="74"/>
      <c r="R18" s="74"/>
    </row>
    <row r="19" spans="2:24" s="4" customFormat="1" ht="13" customHeight="1">
      <c r="B19" s="19"/>
      <c r="C19" s="28"/>
      <c r="D19" s="13"/>
      <c r="E19" s="13"/>
      <c r="F19" s="13"/>
      <c r="G19" s="13"/>
      <c r="H19" s="13"/>
      <c r="I19" s="61"/>
      <c r="J19" s="61"/>
      <c r="K19" s="62"/>
      <c r="L19" s="63"/>
      <c r="M19" s="64"/>
      <c r="N19" s="59"/>
      <c r="O19" s="59"/>
      <c r="P19" s="60"/>
      <c r="Q19" s="74"/>
      <c r="R19" s="74"/>
    </row>
    <row r="20" spans="2:24" s="4" customFormat="1" ht="20" customHeight="1">
      <c r="B20" s="113"/>
      <c r="C20" s="113"/>
      <c r="D20" s="113"/>
      <c r="E20" s="127"/>
      <c r="F20" s="127"/>
      <c r="G20" s="13"/>
      <c r="H20" s="13"/>
      <c r="I20" s="61"/>
      <c r="J20" s="61"/>
      <c r="K20" s="62"/>
      <c r="L20" s="63"/>
      <c r="M20" s="64"/>
      <c r="N20" s="59"/>
      <c r="O20" s="59"/>
      <c r="P20" s="60"/>
      <c r="Q20" s="74"/>
      <c r="R20" s="74"/>
    </row>
    <row r="21" spans="2:24" s="4" customFormat="1" ht="20" customHeight="1">
      <c r="B21" s="113"/>
      <c r="C21" s="113"/>
      <c r="D21" s="113"/>
      <c r="E21" s="127"/>
      <c r="F21" s="127"/>
      <c r="G21" s="13"/>
      <c r="H21" s="13"/>
      <c r="I21" s="61"/>
      <c r="J21" s="61"/>
      <c r="K21" s="62"/>
      <c r="L21" s="63"/>
      <c r="M21" s="64"/>
      <c r="N21" s="59"/>
      <c r="O21" s="59"/>
      <c r="P21" s="60"/>
      <c r="Q21" s="74"/>
      <c r="R21" s="74"/>
    </row>
    <row r="22" spans="2:24" s="4" customFormat="1" ht="20" customHeight="1">
      <c r="B22" s="113"/>
      <c r="C22" s="113"/>
      <c r="D22" s="113"/>
      <c r="E22" s="127"/>
      <c r="F22" s="127"/>
      <c r="G22" s="13"/>
      <c r="H22" s="13"/>
      <c r="I22" s="61"/>
      <c r="J22" s="61"/>
      <c r="K22" s="62"/>
      <c r="L22" s="63"/>
      <c r="M22" s="64"/>
      <c r="N22" s="59"/>
      <c r="O22" s="59"/>
      <c r="P22" s="60"/>
      <c r="Q22" s="74"/>
      <c r="R22" s="74"/>
    </row>
    <row r="23" spans="2:24" s="4" customFormat="1" ht="20" customHeight="1">
      <c r="B23" s="113"/>
      <c r="C23" s="113"/>
      <c r="D23" s="113"/>
      <c r="E23" s="127"/>
      <c r="F23" s="127"/>
      <c r="G23" s="13"/>
      <c r="H23" s="13"/>
      <c r="I23" s="61"/>
      <c r="J23" s="61"/>
      <c r="K23" s="62"/>
      <c r="L23" s="63"/>
      <c r="M23" s="64"/>
      <c r="N23" s="59"/>
      <c r="O23" s="59"/>
      <c r="P23" s="60"/>
      <c r="Q23" s="74"/>
      <c r="R23" s="74"/>
    </row>
    <row r="24" spans="2:24" s="4" customFormat="1" ht="20" customHeight="1">
      <c r="B24" s="113"/>
      <c r="C24" s="113"/>
      <c r="D24" s="113"/>
      <c r="E24" s="127"/>
      <c r="F24" s="127"/>
      <c r="G24" s="13"/>
      <c r="H24" s="13"/>
      <c r="I24" s="61"/>
      <c r="J24" s="61"/>
      <c r="K24" s="62"/>
      <c r="L24" s="63"/>
      <c r="M24" s="64"/>
      <c r="N24" s="59"/>
      <c r="O24" s="59"/>
      <c r="P24" s="60"/>
      <c r="Q24" s="74"/>
      <c r="R24" s="74"/>
    </row>
    <row r="25" spans="2:24" s="4" customFormat="1" ht="40" customHeight="1">
      <c r="B25" s="113"/>
      <c r="C25" s="113"/>
      <c r="D25" s="113"/>
      <c r="E25" s="128"/>
      <c r="F25" s="128"/>
      <c r="G25" s="13"/>
      <c r="H25" s="13"/>
      <c r="I25" s="14"/>
      <c r="J25" s="14"/>
      <c r="K25" s="62"/>
      <c r="L25" s="63"/>
      <c r="M25" s="64"/>
      <c r="N25" s="59"/>
      <c r="O25" s="59"/>
      <c r="P25" s="60"/>
      <c r="Q25" s="74"/>
      <c r="R25" s="74"/>
    </row>
    <row r="26" spans="2:24" ht="22.5" customHeight="1">
      <c r="B26" s="28"/>
      <c r="C26" s="12"/>
      <c r="D26" s="12"/>
      <c r="E26" s="12"/>
      <c r="F26" s="12"/>
      <c r="G26" s="12"/>
      <c r="H26" s="12"/>
      <c r="I26" s="12"/>
      <c r="J26" s="12"/>
      <c r="K26" s="129" t="s">
        <v>33</v>
      </c>
      <c r="L26" s="129"/>
      <c r="M26" s="129"/>
      <c r="N26" s="35"/>
      <c r="O26" s="35"/>
      <c r="P26" s="35"/>
      <c r="Q26" s="35"/>
      <c r="R26" s="38"/>
    </row>
    <row r="27" spans="2:24" ht="26.25" customHeight="1">
      <c r="B27" s="28"/>
      <c r="C27" s="30"/>
      <c r="D27" s="116"/>
      <c r="E27" s="116"/>
      <c r="F27" s="19"/>
      <c r="G27" s="31"/>
      <c r="H27" s="19"/>
      <c r="I27" s="19"/>
      <c r="J27" s="19"/>
      <c r="K27" s="19"/>
      <c r="L27" s="19"/>
      <c r="M27" s="31"/>
      <c r="N27" s="35"/>
      <c r="O27" s="35"/>
      <c r="P27" s="35"/>
      <c r="Q27" s="35"/>
      <c r="R27" s="38"/>
    </row>
    <row r="28" spans="2:24" ht="26.25" customHeight="1">
      <c r="B28" s="28"/>
      <c r="C28" s="30"/>
      <c r="D28" s="19"/>
      <c r="E28" s="19"/>
      <c r="F28" s="19"/>
      <c r="G28" s="19"/>
      <c r="H28" s="19"/>
      <c r="I28" s="19"/>
      <c r="J28" s="19"/>
      <c r="K28" s="29"/>
      <c r="L28" s="29"/>
      <c r="M28" s="21"/>
      <c r="N28" s="35"/>
      <c r="O28" s="35"/>
      <c r="P28" s="35"/>
      <c r="Q28" s="35"/>
      <c r="R28" s="38"/>
    </row>
    <row r="29" spans="2:24" ht="39" customHeight="1">
      <c r="B29" s="28"/>
      <c r="C29" s="30"/>
      <c r="D29" s="32"/>
      <c r="E29" s="19"/>
      <c r="F29" s="32"/>
      <c r="G29" s="32"/>
      <c r="H29" s="32"/>
      <c r="I29" s="32"/>
      <c r="J29" s="32"/>
      <c r="K29" s="65"/>
      <c r="L29" s="65"/>
      <c r="M29" s="66"/>
      <c r="N29" s="35"/>
      <c r="O29" s="35"/>
      <c r="P29" s="35"/>
      <c r="Q29" s="35"/>
      <c r="R29" s="38"/>
      <c r="X29"/>
    </row>
    <row r="30" spans="2:24" ht="26.25" customHeight="1">
      <c r="B30" s="33"/>
      <c r="C30" s="34"/>
      <c r="D30" s="35"/>
      <c r="E30" s="35"/>
      <c r="F30" s="35"/>
      <c r="G30" s="35"/>
      <c r="H30" s="35"/>
      <c r="I30" s="35"/>
      <c r="J30" s="35"/>
      <c r="K30" s="67"/>
      <c r="L30" s="67"/>
      <c r="M30" s="68"/>
      <c r="N30" s="35"/>
      <c r="O30" s="35"/>
      <c r="P30" s="35"/>
      <c r="Q30" s="35"/>
      <c r="R30" s="38"/>
    </row>
    <row r="31" spans="2:24" ht="26.25" customHeight="1">
      <c r="B31" s="33"/>
      <c r="C31" s="34"/>
      <c r="D31" s="35"/>
      <c r="E31" s="35"/>
      <c r="F31" s="35"/>
      <c r="G31" s="35"/>
      <c r="H31" s="35"/>
      <c r="I31" s="35"/>
      <c r="J31" s="35"/>
      <c r="K31" s="67"/>
      <c r="L31" s="67"/>
      <c r="M31" s="68"/>
      <c r="N31" s="35"/>
      <c r="O31" s="35"/>
      <c r="P31" s="35"/>
      <c r="Q31" s="35"/>
      <c r="R31" s="38"/>
    </row>
    <row r="32" spans="2:24" ht="26.25" customHeight="1">
      <c r="B32" s="33"/>
      <c r="C32" s="34"/>
      <c r="D32" s="35"/>
      <c r="E32" s="35"/>
      <c r="F32" s="35"/>
      <c r="G32" s="35"/>
      <c r="H32" s="35"/>
      <c r="I32" s="35"/>
      <c r="J32" s="35"/>
      <c r="K32" s="67"/>
      <c r="L32" s="67"/>
      <c r="M32" s="68"/>
      <c r="N32" s="35"/>
      <c r="O32" s="35"/>
      <c r="P32" s="35"/>
      <c r="Q32" s="35"/>
      <c r="R32" s="38"/>
    </row>
    <row r="33" spans="2:18" ht="26.25" customHeight="1">
      <c r="B33" s="33"/>
      <c r="C33" s="36"/>
      <c r="D33" s="36"/>
      <c r="E33" s="35"/>
      <c r="F33" s="36"/>
      <c r="G33" s="37"/>
      <c r="H33" s="36"/>
      <c r="I33" s="36"/>
      <c r="J33" s="36"/>
      <c r="K33" s="35"/>
      <c r="L33" s="35"/>
      <c r="M33" s="69"/>
      <c r="N33" s="35"/>
      <c r="O33" s="35"/>
      <c r="P33" s="35"/>
      <c r="Q33" s="35"/>
      <c r="R33" s="38"/>
    </row>
    <row r="34" spans="2:18" ht="26.25" customHeight="1">
      <c r="B34" s="33"/>
      <c r="C34" s="36"/>
      <c r="D34" s="36"/>
      <c r="E34" s="35"/>
      <c r="F34" s="36"/>
      <c r="G34" s="37"/>
      <c r="H34" s="36"/>
      <c r="I34" s="36"/>
      <c r="J34" s="36"/>
      <c r="K34" s="35"/>
      <c r="L34" s="35"/>
      <c r="M34" s="69"/>
      <c r="N34" s="35"/>
      <c r="O34" s="35"/>
      <c r="P34" s="35"/>
      <c r="Q34" s="35"/>
      <c r="R34" s="38"/>
    </row>
    <row r="35" spans="2:18">
      <c r="B35" s="38"/>
      <c r="C35" s="34"/>
      <c r="D35" s="35"/>
      <c r="E35" s="35"/>
      <c r="F35" s="39"/>
      <c r="G35" s="35"/>
      <c r="H35" s="35"/>
      <c r="I35" s="67"/>
      <c r="J35" s="67"/>
      <c r="K35" s="67"/>
      <c r="L35" s="67"/>
      <c r="M35" s="47"/>
      <c r="N35" s="35"/>
      <c r="O35" s="35"/>
      <c r="P35" s="35"/>
      <c r="Q35" s="35"/>
      <c r="R35" s="38"/>
    </row>
    <row r="36" spans="2:18">
      <c r="B36" s="38"/>
      <c r="C36" s="34"/>
      <c r="D36" s="35"/>
      <c r="E36" s="35"/>
      <c r="F36" s="11"/>
      <c r="G36" s="35"/>
      <c r="H36" s="35"/>
      <c r="I36" s="70"/>
      <c r="J36" s="70"/>
      <c r="K36" s="70"/>
      <c r="L36" s="70"/>
      <c r="M36" s="47"/>
      <c r="N36" s="35"/>
      <c r="O36" s="35"/>
      <c r="P36" s="35"/>
      <c r="Q36" s="35"/>
      <c r="R36" s="38"/>
    </row>
    <row r="37" spans="2:18" hidden="1">
      <c r="B37" s="38"/>
      <c r="C37" s="36" t="s">
        <v>34</v>
      </c>
      <c r="D37" s="36" t="s">
        <v>35</v>
      </c>
      <c r="E37" s="35"/>
      <c r="F37" s="11"/>
      <c r="G37" s="35"/>
      <c r="H37" s="35"/>
      <c r="I37" s="36" t="s">
        <v>36</v>
      </c>
      <c r="J37" s="36"/>
      <c r="K37" s="36"/>
      <c r="L37" s="36"/>
      <c r="M37" s="47"/>
      <c r="N37" s="35"/>
      <c r="O37" s="35"/>
      <c r="P37" s="117" t="s">
        <v>37</v>
      </c>
      <c r="Q37" s="117"/>
      <c r="R37" s="38"/>
    </row>
    <row r="38" spans="2:18" hidden="1">
      <c r="C38" s="6" t="s">
        <v>38</v>
      </c>
      <c r="D38" s="40" t="s">
        <v>39</v>
      </c>
      <c r="E38" s="40"/>
      <c r="F38" s="41"/>
      <c r="G38" s="40"/>
      <c r="H38" s="40"/>
      <c r="I38" s="40"/>
      <c r="J38" s="40"/>
      <c r="K38" s="40"/>
      <c r="L38" s="40"/>
      <c r="M38" s="71"/>
      <c r="N38" s="40"/>
      <c r="O38" s="40"/>
      <c r="P38" s="110" t="s">
        <v>40</v>
      </c>
      <c r="Q38" s="110"/>
    </row>
    <row r="39" spans="2:18" hidden="1">
      <c r="D39" s="40"/>
      <c r="E39" s="40"/>
      <c r="F39" s="41"/>
      <c r="G39" s="40"/>
      <c r="H39" s="40"/>
      <c r="I39" s="40"/>
      <c r="J39" s="40"/>
      <c r="K39" s="40"/>
      <c r="L39" s="40"/>
      <c r="M39" s="71"/>
      <c r="N39" s="40"/>
      <c r="O39" s="40"/>
      <c r="P39" s="72"/>
      <c r="Q39" s="71"/>
    </row>
    <row r="40" spans="2:18" hidden="1">
      <c r="D40" s="42"/>
      <c r="E40" s="40"/>
      <c r="F40" s="41"/>
      <c r="G40" s="40"/>
      <c r="H40" s="40"/>
      <c r="I40" s="42"/>
      <c r="J40" s="42"/>
      <c r="K40" s="42"/>
      <c r="L40" s="42"/>
      <c r="M40" s="71"/>
      <c r="N40" s="40"/>
      <c r="O40" s="40"/>
      <c r="P40" s="72"/>
      <c r="Q40" s="71"/>
    </row>
    <row r="41" spans="2:18" hidden="1">
      <c r="D41" s="40"/>
      <c r="E41" s="40"/>
      <c r="F41" s="41"/>
      <c r="G41" s="40"/>
      <c r="H41" s="40"/>
      <c r="I41" s="40"/>
      <c r="J41" s="40"/>
      <c r="K41" s="40"/>
      <c r="L41" s="40"/>
      <c r="M41" s="71"/>
      <c r="N41" s="40"/>
      <c r="O41" s="40"/>
      <c r="P41" s="72"/>
      <c r="Q41" s="71"/>
    </row>
    <row r="42" spans="2:18" hidden="1">
      <c r="D42" s="40"/>
      <c r="E42" s="40"/>
      <c r="F42" s="41"/>
      <c r="G42" s="40"/>
      <c r="H42" s="40"/>
      <c r="I42" s="40"/>
      <c r="J42" s="40"/>
      <c r="K42" s="40"/>
      <c r="L42" s="40"/>
      <c r="M42" s="71"/>
      <c r="N42" s="40"/>
      <c r="O42" s="40"/>
      <c r="P42" s="72"/>
      <c r="Q42" s="71"/>
    </row>
    <row r="43" spans="2:18" hidden="1">
      <c r="D43" s="40"/>
      <c r="E43" s="40"/>
      <c r="F43" s="41"/>
      <c r="G43" s="40"/>
      <c r="H43" s="40"/>
      <c r="I43" s="40"/>
      <c r="J43" s="40"/>
      <c r="K43" s="40"/>
      <c r="L43" s="40"/>
      <c r="M43" s="71"/>
      <c r="N43" s="40"/>
      <c r="O43" s="40"/>
      <c r="P43" s="72"/>
      <c r="Q43" s="71"/>
    </row>
    <row r="44" spans="2:18" hidden="1">
      <c r="C44" s="43" t="s">
        <v>41</v>
      </c>
      <c r="D44" s="44" t="s">
        <v>42</v>
      </c>
      <c r="E44" s="40"/>
      <c r="F44" s="41"/>
      <c r="G44" s="40"/>
      <c r="H44" s="40"/>
      <c r="I44" s="44"/>
      <c r="J44" s="44"/>
      <c r="K44" s="44"/>
      <c r="L44" s="44"/>
      <c r="M44" s="71"/>
      <c r="N44" s="40"/>
      <c r="O44" s="40"/>
      <c r="P44" s="110" t="s">
        <v>43</v>
      </c>
      <c r="Q44" s="110"/>
    </row>
  </sheetData>
  <mergeCells count="27">
    <mergeCell ref="D27:E27"/>
    <mergeCell ref="P37:Q37"/>
    <mergeCell ref="P38:Q38"/>
    <mergeCell ref="P44:Q44"/>
    <mergeCell ref="B2:C3"/>
    <mergeCell ref="D2:K3"/>
    <mergeCell ref="B24:D24"/>
    <mergeCell ref="E24:F24"/>
    <mergeCell ref="B25:D25"/>
    <mergeCell ref="E25:F25"/>
    <mergeCell ref="K26:M26"/>
    <mergeCell ref="B21:D21"/>
    <mergeCell ref="E21:F21"/>
    <mergeCell ref="B22:D22"/>
    <mergeCell ref="E22:F22"/>
    <mergeCell ref="B23:D23"/>
    <mergeCell ref="E23:F23"/>
    <mergeCell ref="B16:G16"/>
    <mergeCell ref="B17:M17"/>
    <mergeCell ref="B18:M18"/>
    <mergeCell ref="B20:D20"/>
    <mergeCell ref="E20:F20"/>
    <mergeCell ref="L2:M2"/>
    <mergeCell ref="L3:M3"/>
    <mergeCell ref="G4:H4"/>
    <mergeCell ref="J6:L6"/>
    <mergeCell ref="B15:G15"/>
  </mergeCells>
  <printOptions horizontalCentered="1"/>
  <pageMargins left="0" right="0" top="0" bottom="0" header="0.3" footer="0.3"/>
  <pageSetup paperSize="9" scale="92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BM01</vt:lpstr>
      <vt:lpstr>BM01 (2)</vt:lpstr>
      <vt:lpstr>Tạo chữ ký đều nhau</vt:lpstr>
      <vt:lpstr>Hướng dẫn nhập</vt:lpstr>
      <vt:lpstr>'BM01'!Print_Area</vt:lpstr>
      <vt:lpstr>'BM01 (2)'!Print_Area</vt:lpstr>
      <vt:lpstr>'Hướng dẫn nhập'!Print_Area</vt:lpstr>
      <vt:lpstr>'BM01'!Print_Titles</vt:lpstr>
      <vt:lpstr>'BM01 (2)'!Print_Titles</vt:lpstr>
      <vt:lpstr>'Hướng dẫn nhập'!Print_Titles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Hồng, Phan Thùy Mỹ</dc:creator>
  <cp:lastModifiedBy>Hoàng, Trần Minh</cp:lastModifiedBy>
  <cp:lastPrinted>2026-06-10T03:36:11Z</cp:lastPrinted>
  <dcterms:created xsi:type="dcterms:W3CDTF">2015-06-05T18:17:00Z</dcterms:created>
  <dcterms:modified xsi:type="dcterms:W3CDTF">2026-06-10T03:37:07Z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D1EB3B3C8DF2489EA18F3B428BE85CC7_12</vt:lpwstr>
  </property>
  <property fmtid="{D5CDD505-2E9C-101B-9397-08002B2CF9AE}" pid="3" name="KSOProductBuildVer">
    <vt:lpwstr>1033-12.2.0.23196</vt:lpwstr>
  </property>
</Properties>
</file>