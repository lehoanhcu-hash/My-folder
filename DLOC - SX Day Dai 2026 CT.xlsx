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Data\Dư án dây đai đại lộc\Hương\Bảng tính giá\"/>
    </mc:Choice>
  </mc:AlternateContent>
  <xr:revisionPtr revIDLastSave="0" documentId="13_ncr:1_{3D624C04-047D-44FD-89CE-1DC86C8D638C}" xr6:coauthVersionLast="47" xr6:coauthVersionMax="47" xr10:uidLastSave="{00000000-0000-0000-0000-000000000000}"/>
  <bookViews>
    <workbookView xWindow="-110" yWindow="-110" windowWidth="19420" windowHeight="10300" tabRatio="644" firstSheet="5" activeTab="11" xr2:uid="{00000000-000D-0000-FFFF-FFFF00000000}"/>
  </bookViews>
  <sheets>
    <sheet name="KQKD Day Dai" sheetId="85" r:id="rId1"/>
    <sheet name="Cong suat" sheetId="52" r:id="rId2"/>
    <sheet name="Dinh muc" sheetId="47" r:id="rId3"/>
    <sheet name="CPSX" sheetId="84" r:id="rId4"/>
    <sheet name="CPSX Kg" sheetId="87" r:id="rId5"/>
    <sheet name="CPBH" sheetId="86" r:id="rId6"/>
    <sheet name="CPBH Kg" sheetId="88" r:id="rId7"/>
    <sheet name="4.Doanh thu" sheetId="40" r:id="rId8"/>
    <sheet name="1.NVL" sheetId="39" r:id="rId9"/>
    <sheet name="2.Hao hut" sheetId="38" r:id="rId10"/>
    <sheet name="3.Thanh pham" sheetId="37" r:id="rId11"/>
    <sheet name="PB_TSCD DC" sheetId="8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\" localSheetId="5" hidden="1">{"cashflow",#N/A,FALSE,"CASHFLOW "}</definedName>
    <definedName name="\" hidden="1">{"cashflow",#N/A,FALSE,"CASHFLOW "}</definedName>
    <definedName name="_" localSheetId="5" hidden="1">[1]DETAIL!#REF!</definedName>
    <definedName name="_" localSheetId="4" hidden="1">[1]DETAIL!#REF!</definedName>
    <definedName name="_" hidden="1">[1]DETAIL!#REF!</definedName>
    <definedName name="__" localSheetId="5" hidden="1">[1]DETAIL!#REF!</definedName>
    <definedName name="__" localSheetId="4" hidden="1">[1]DETAIL!#REF!</definedName>
    <definedName name="__" hidden="1">[1]DETAIL!#REF!</definedName>
    <definedName name="___" localSheetId="5" hidden="1">#REF!</definedName>
    <definedName name="___" localSheetId="4" hidden="1">#REF!</definedName>
    <definedName name="___" hidden="1">#REF!</definedName>
    <definedName name="____" localSheetId="5" hidden="1">#REF!</definedName>
    <definedName name="____" localSheetId="4" hidden="1">#REF!</definedName>
    <definedName name="____" hidden="1">#REF!</definedName>
    <definedName name="_____" localSheetId="5" hidden="1">#REF!</definedName>
    <definedName name="_____" localSheetId="4" hidden="1">#REF!</definedName>
    <definedName name="_____" hidden="1">#REF!</definedName>
    <definedName name="______" localSheetId="5" hidden="1">#REF!</definedName>
    <definedName name="______" localSheetId="4" hidden="1">#REF!</definedName>
    <definedName name="______" hidden="1">#REF!</definedName>
    <definedName name="_______" localSheetId="5" hidden="1">#REF!</definedName>
    <definedName name="_______" localSheetId="4" hidden="1">#REF!</definedName>
    <definedName name="_______" hidden="1">#REF!</definedName>
    <definedName name="________" localSheetId="5" hidden="1">#REF!</definedName>
    <definedName name="________" localSheetId="4" hidden="1">#REF!</definedName>
    <definedName name="________" hidden="1">#REF!</definedName>
    <definedName name="_________" localSheetId="5" hidden="1">#REF!</definedName>
    <definedName name="_________" localSheetId="4" hidden="1">#REF!</definedName>
    <definedName name="_________" hidden="1">#REF!</definedName>
    <definedName name="__________" localSheetId="5" hidden="1">#REF!</definedName>
    <definedName name="__________" localSheetId="4" hidden="1">#REF!</definedName>
    <definedName name="__________" hidden="1">#REF!</definedName>
    <definedName name="___________" localSheetId="5" hidden="1">#REF!</definedName>
    <definedName name="___________" localSheetId="4" hidden="1">#REF!</definedName>
    <definedName name="___________" hidden="1">#REF!</definedName>
    <definedName name="__________________________" localSheetId="5" hidden="1">#REF!</definedName>
    <definedName name="__________________________" localSheetId="4" hidden="1">#REF!</definedName>
    <definedName name="__________________________" hidden="1">#REF!</definedName>
    <definedName name="______________________________a1" localSheetId="5" hidden="1">{"cashflow",#N/A,FALSE,"CASHFLOW "}</definedName>
    <definedName name="______________________________a1" hidden="1">{"cashflow",#N/A,FALSE,"CASHFLOW "}</definedName>
    <definedName name="______________________________a10" localSheetId="5" hidden="1">{"sales",#N/A,FALSE,"SALES"}</definedName>
    <definedName name="______________________________a10" hidden="1">{"sales",#N/A,FALSE,"SALES"}</definedName>
    <definedName name="______________________________a2" localSheetId="5" hidden="1">{"hilight1",#N/A,FALSE,"HILIGHT1"}</definedName>
    <definedName name="______________________________a2" hidden="1">{"hilight1",#N/A,FALSE,"HILIGHT1"}</definedName>
    <definedName name="______________________________a3" localSheetId="5" hidden="1">{"hilight2",#N/A,FALSE,"HILIGHT2"}</definedName>
    <definedName name="______________________________a3" hidden="1">{"hilight2",#N/A,FALSE,"HILIGHT2"}</definedName>
    <definedName name="______________________________a4" localSheetId="5" hidden="1">{"hilight3",#N/A,FALSE,"HILIGHT3"}</definedName>
    <definedName name="______________________________a4" hidden="1">{"hilight3",#N/A,FALSE,"HILIGHT3"}</definedName>
    <definedName name="______________________________a5" localSheetId="5" hidden="1">{"income",#N/A,FALSE,"INCOME"}</definedName>
    <definedName name="______________________________a5" hidden="1">{"income",#N/A,FALSE,"INCOME"}</definedName>
    <definedName name="______________________________a6" localSheetId="5" hidden="1">{"index",#N/A,FALSE,"INDEX"}</definedName>
    <definedName name="______________________________a6" hidden="1">{"index",#N/A,FALSE,"INDEX"}</definedName>
    <definedName name="______________________________a7" localSheetId="5" hidden="1">{"PRINT_EST",#N/A,FALSE,"ESTMON"}</definedName>
    <definedName name="______________________________a7" hidden="1">{"PRINT_EST",#N/A,FALSE,"ESTMON"}</definedName>
    <definedName name="______________________________a8" localSheetId="5" hidden="1">{"revsale",#N/A,FALSE,"REV-ยุพดี"}</definedName>
    <definedName name="______________________________a8" hidden="1">{"revsale",#N/A,FALSE,"REV-ยุพดี"}</definedName>
    <definedName name="______________________________a9" localSheetId="5" hidden="1">{"revable",#N/A,FALSE,"REVABLE"}</definedName>
    <definedName name="______________________________a9" hidden="1">{"revable",#N/A,FALSE,"REVABLE"}</definedName>
    <definedName name="____________________________a1" localSheetId="5" hidden="1">{"'Sheet1'!$L$16"}</definedName>
    <definedName name="____________________________a1" hidden="1">{"'Sheet1'!$L$16"}</definedName>
    <definedName name="____________________________a10" localSheetId="5" hidden="1">{"'Sheet1'!$L$16"}</definedName>
    <definedName name="____________________________a10" hidden="1">{"'Sheet1'!$L$16"}</definedName>
    <definedName name="____________________________a11" localSheetId="5" hidden="1">{"'Sheet1'!$L$16"}</definedName>
    <definedName name="____________________________a11" hidden="1">{"'Sheet1'!$L$16"}</definedName>
    <definedName name="____________________________a12" localSheetId="5" hidden="1">{"'Sheet1'!$L$16"}</definedName>
    <definedName name="____________________________a12" hidden="1">{"'Sheet1'!$L$16"}</definedName>
    <definedName name="____________________________a2" localSheetId="5" hidden="1">{"'Sheet1'!$L$16"}</definedName>
    <definedName name="____________________________a2" hidden="1">{"'Sheet1'!$L$16"}</definedName>
    <definedName name="____________________________a3" localSheetId="5" hidden="1">{"'Sheet1'!$L$16"}</definedName>
    <definedName name="____________________________a3" hidden="1">{"'Sheet1'!$L$16"}</definedName>
    <definedName name="____________________________a4" localSheetId="5" hidden="1">{"'Sheet1'!$L$16"}</definedName>
    <definedName name="____________________________a4" hidden="1">{"'Sheet1'!$L$16"}</definedName>
    <definedName name="____________________________a5" localSheetId="5" hidden="1">{"'Sheet1'!$L$16"}</definedName>
    <definedName name="____________________________a5" hidden="1">{"'Sheet1'!$L$16"}</definedName>
    <definedName name="____________________________a6" localSheetId="5" hidden="1">{"index",#N/A,FALSE,"INDEX"}</definedName>
    <definedName name="____________________________a6" hidden="1">{"index",#N/A,FALSE,"INDEX"}</definedName>
    <definedName name="____________________________a7" localSheetId="5" hidden="1">{"'Sheet1'!$L$16"}</definedName>
    <definedName name="____________________________a7" hidden="1">{"'Sheet1'!$L$16"}</definedName>
    <definedName name="____________________________a8" localSheetId="5" hidden="1">{"'Sheet1'!$L$16"}</definedName>
    <definedName name="____________________________a8" hidden="1">{"'Sheet1'!$L$16"}</definedName>
    <definedName name="____________________________a9" localSheetId="5" hidden="1">{"'Sheet1'!$L$16"}</definedName>
    <definedName name="____________________________a9" hidden="1">{"'Sheet1'!$L$16"}</definedName>
    <definedName name="____________________________f5" localSheetId="5" hidden="1">{"'Sheet1'!$L$16"}</definedName>
    <definedName name="____________________________f5" hidden="1">{"'Sheet1'!$L$16"}</definedName>
    <definedName name="____________________________NSO2" localSheetId="5" hidden="1">{"'Sheet1'!$L$16"}</definedName>
    <definedName name="____________________________NSO2" hidden="1">{"'Sheet1'!$L$16"}</definedName>
    <definedName name="___________________________a1" localSheetId="5" hidden="1">{"'Sheet1'!$L$16"}</definedName>
    <definedName name="___________________________a1" hidden="1">{"'Sheet1'!$L$16"}</definedName>
    <definedName name="___________________________a10" localSheetId="5" hidden="1">{"'Sheet1'!$L$16"}</definedName>
    <definedName name="___________________________a10" hidden="1">{"'Sheet1'!$L$16"}</definedName>
    <definedName name="___________________________a11" localSheetId="5" hidden="1">{"'Sheet1'!$L$16"}</definedName>
    <definedName name="___________________________a11" hidden="1">{"'Sheet1'!$L$16"}</definedName>
    <definedName name="___________________________a12" localSheetId="5" hidden="1">{"'Sheet1'!$L$16"}</definedName>
    <definedName name="___________________________a12" hidden="1">{"'Sheet1'!$L$16"}</definedName>
    <definedName name="_________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localSheetId="5" hidden="1">{"'Sheet1'!$L$16"}</definedName>
    <definedName name="___________________________a2" hidden="1">{"'Sheet1'!$L$16"}</definedName>
    <definedName name="___________________________a3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localSheetId="5" hidden="1">{"'Sheet1'!$L$16"}</definedName>
    <definedName name="___________________________a4" hidden="1">{"'Sheet1'!$L$16"}</definedName>
    <definedName name="___________________________a5" localSheetId="5" hidden="1">{"'Sheet1'!$L$16"}</definedName>
    <definedName name="___________________________a5" hidden="1">{"'Sheet1'!$L$16"}</definedName>
    <definedName name="___________________________a6" localSheetId="5" hidden="1">{"index",#N/A,FALSE,"INDEX"}</definedName>
    <definedName name="___________________________a6" hidden="1">{"index",#N/A,FALSE,"INDEX"}</definedName>
    <definedName name="___________________________a7" localSheetId="5" hidden="1">{"'Sheet1'!$L$16"}</definedName>
    <definedName name="___________________________a7" hidden="1">{"'Sheet1'!$L$16"}</definedName>
    <definedName name="___________________________a8" localSheetId="5" hidden="1">{"'Sheet1'!$L$16"}</definedName>
    <definedName name="___________________________a8" hidden="1">{"'Sheet1'!$L$16"}</definedName>
    <definedName name="___________________________a9" localSheetId="5" hidden="1">{"'Sheet1'!$L$16"}</definedName>
    <definedName name="___________________________a9" hidden="1">{"'Sheet1'!$L$16"}</definedName>
    <definedName name="___________________________f5" localSheetId="5" hidden="1">{"'Sheet1'!$L$16"}</definedName>
    <definedName name="___________________________f5" hidden="1">{"'Sheet1'!$L$16"}</definedName>
    <definedName name="___________________________gg1" localSheetId="5" hidden="1">{"'Sheet1'!$L$16"}</definedName>
    <definedName name="___________________________gg1" hidden="1">{"'Sheet1'!$L$16"}</definedName>
    <definedName name="___________________________h1" localSheetId="5" hidden="1">{"'Sheet1'!$L$16"}</definedName>
    <definedName name="___________________________h1" hidden="1">{"'Sheet1'!$L$16"}</definedName>
    <definedName name="___________________________h2" localSheetId="5" hidden="1">{"'Sheet1'!$L$16"}</definedName>
    <definedName name="___________________________h2" hidden="1">{"'Sheet1'!$L$16"}</definedName>
    <definedName name="___________________________huy1" localSheetId="5" hidden="1">{"'Sheet1'!$L$16"}</definedName>
    <definedName name="___________________________huy1" hidden="1">{"'Sheet1'!$L$16"}</definedName>
    <definedName name="___________________________NSO2" localSheetId="5" hidden="1">{"'Sheet1'!$L$16"}</definedName>
    <definedName name="___________________________NSO2" hidden="1">{"'Sheet1'!$L$16"}</definedName>
    <definedName name="___________________________nso3" localSheetId="5" hidden="1">{"'Sheet1'!$L$16"}</definedName>
    <definedName name="___________________________nso3" hidden="1">{"'Sheet1'!$L$16"}</definedName>
    <definedName name="___________________________PA3" localSheetId="5" hidden="1">{"'Sheet1'!$L$16"}</definedName>
    <definedName name="___________________________PA3" hidden="1">{"'Sheet1'!$L$16"}</definedName>
    <definedName name="___________________________thu1" localSheetId="5" hidden="1">{"'Sheet1'!$L$16"}</definedName>
    <definedName name="___________________________thu1" hidden="1">{"'Sheet1'!$L$16"}</definedName>
    <definedName name="___________________________thu2" localSheetId="5" hidden="1">{"'Sheet1'!$L$16"}</definedName>
    <definedName name="___________________________thu2" hidden="1">{"'Sheet1'!$L$16"}</definedName>
    <definedName name="___________________________thu4" localSheetId="5" hidden="1">{"'Sheet1'!$L$16"}</definedName>
    <definedName name="___________________________thu4" hidden="1">{"'Sheet1'!$L$16"}</definedName>
    <definedName name="___________________________thu5" localSheetId="5" hidden="1">{"'Sheet1'!$L$16"}</definedName>
    <definedName name="___________________________thu5" hidden="1">{"'Sheet1'!$L$16"}</definedName>
    <definedName name="__________________________a1" localSheetId="5" hidden="1">{"cashflow",#N/A,FALSE,"CASHFLOW "}</definedName>
    <definedName name="__________________________a1" hidden="1">{"cashflow",#N/A,FALSE,"CASHFLOW "}</definedName>
    <definedName name="__________________________a10" localSheetId="5" hidden="1">{"sales",#N/A,FALSE,"SALES"}</definedName>
    <definedName name="__________________________a10" hidden="1">{"sales",#N/A,FALSE,"SALES"}</definedName>
    <definedName name="__________________________a11" localSheetId="5" hidden="1">{"'Sheet1'!$L$16"}</definedName>
    <definedName name="__________________________a11" hidden="1">{"'Sheet1'!$L$16"}</definedName>
    <definedName name="__________________________a12" localSheetId="5" hidden="1">{"'Sheet1'!$L$16"}</definedName>
    <definedName name="__________________________a12" hidden="1">{"'Sheet1'!$L$16"}</definedName>
    <definedName name="________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localSheetId="5" hidden="1">{"hilight1",#N/A,FALSE,"HILIGHT1"}</definedName>
    <definedName name="__________________________a2" hidden="1">{"hilight1",#N/A,FALSE,"HILIGHT1"}</definedName>
    <definedName name="__________________________a3" localSheetId="5" hidden="1">{"hilight2",#N/A,FALSE,"HILIGHT2"}</definedName>
    <definedName name="__________________________a3" hidden="1">{"hilight2",#N/A,FALSE,"HILIGHT2"}</definedName>
    <definedName name="__________________________a4" localSheetId="5" hidden="1">{"hilight3",#N/A,FALSE,"HILIGHT3"}</definedName>
    <definedName name="__________________________a4" hidden="1">{"hilight3",#N/A,FALSE,"HILIGHT3"}</definedName>
    <definedName name="__________________________a5" localSheetId="5" hidden="1">{"income",#N/A,FALSE,"INCOME"}</definedName>
    <definedName name="__________________________a5" hidden="1">{"income",#N/A,FALSE,"INCOME"}</definedName>
    <definedName name="__________________________a6" localSheetId="5" hidden="1">{"index",#N/A,FALSE,"INDEX"}</definedName>
    <definedName name="__________________________a6" hidden="1">{"index",#N/A,FALSE,"INDEX"}</definedName>
    <definedName name="__________________________a7" localSheetId="5" hidden="1">{"PRINT_EST",#N/A,FALSE,"ESTMON"}</definedName>
    <definedName name="__________________________a7" hidden="1">{"PRINT_EST",#N/A,FALSE,"ESTMON"}</definedName>
    <definedName name="__________________________a8" localSheetId="5" hidden="1">{"revsale",#N/A,FALSE,"REV-ยุพดี"}</definedName>
    <definedName name="__________________________a8" hidden="1">{"revsale",#N/A,FALSE,"REV-ยุพดี"}</definedName>
    <definedName name="__________________________a9" localSheetId="5" hidden="1">{"revable",#N/A,FALSE,"REVABLE"}</definedName>
    <definedName name="__________________________a9" hidden="1">{"revable",#N/A,FALSE,"REVABLE"}</definedName>
    <definedName name="__________________________f5" localSheetId="5" hidden="1">{"'Sheet1'!$L$16"}</definedName>
    <definedName name="__________________________f5" hidden="1">{"'Sheet1'!$L$16"}</definedName>
    <definedName name="__________________________gg1" localSheetId="5" hidden="1">{"'Sheet1'!$L$16"}</definedName>
    <definedName name="__________________________gg1" hidden="1">{"'Sheet1'!$L$16"}</definedName>
    <definedName name="__________________________h1" localSheetId="5" hidden="1">{"'Sheet1'!$L$16"}</definedName>
    <definedName name="__________________________h1" hidden="1">{"'Sheet1'!$L$16"}</definedName>
    <definedName name="__________________________h2" localSheetId="5" hidden="1">{"'Sheet1'!$L$16"}</definedName>
    <definedName name="__________________________h2" hidden="1">{"'Sheet1'!$L$16"}</definedName>
    <definedName name="__________________________huy1" localSheetId="5" hidden="1">{"'Sheet1'!$L$16"}</definedName>
    <definedName name="__________________________huy1" hidden="1">{"'Sheet1'!$L$16"}</definedName>
    <definedName name="__________________________NSO2" localSheetId="5" hidden="1">{"'Sheet1'!$L$16"}</definedName>
    <definedName name="__________________________NSO2" hidden="1">{"'Sheet1'!$L$16"}</definedName>
    <definedName name="__________________________nso3" localSheetId="5" hidden="1">{"'Sheet1'!$L$16"}</definedName>
    <definedName name="__________________________nso3" hidden="1">{"'Sheet1'!$L$16"}</definedName>
    <definedName name="__________________________PA3" localSheetId="5" hidden="1">{"'Sheet1'!$L$16"}</definedName>
    <definedName name="__________________________PA3" hidden="1">{"'Sheet1'!$L$16"}</definedName>
    <definedName name="__________________________T01" localSheetId="5" hidden="1">#REF!</definedName>
    <definedName name="__________________________T01" localSheetId="4" hidden="1">#REF!</definedName>
    <definedName name="__________________________T01" hidden="1">#REF!</definedName>
    <definedName name="__________________________thu1" localSheetId="5" hidden="1">{"'Sheet1'!$L$16"}</definedName>
    <definedName name="__________________________thu1" hidden="1">{"'Sheet1'!$L$16"}</definedName>
    <definedName name="__________________________thu2" localSheetId="5" hidden="1">{"'Sheet1'!$L$16"}</definedName>
    <definedName name="__________________________thu2" hidden="1">{"'Sheet1'!$L$16"}</definedName>
    <definedName name="__________________________thu4" localSheetId="5" hidden="1">{"'Sheet1'!$L$16"}</definedName>
    <definedName name="__________________________thu4" hidden="1">{"'Sheet1'!$L$16"}</definedName>
    <definedName name="__________________________thu5" localSheetId="5" hidden="1">{"'Sheet1'!$L$16"}</definedName>
    <definedName name="__________________________thu5" hidden="1">{"'Sheet1'!$L$16"}</definedName>
    <definedName name="_________________________a1" localSheetId="5" hidden="1">{"cashflow",#N/A,FALSE,"CASHFLOW "}</definedName>
    <definedName name="_________________________a1" hidden="1">{"cashflow",#N/A,FALSE,"CASHFLOW "}</definedName>
    <definedName name="_________________________a10" localSheetId="5" hidden="1">{"sales",#N/A,FALSE,"SALES"}</definedName>
    <definedName name="_________________________a10" hidden="1">{"sales",#N/A,FALSE,"SALES"}</definedName>
    <definedName name="_________________________a11" localSheetId="5" hidden="1">{"'Sheet1'!$L$16"}</definedName>
    <definedName name="_________________________a11" hidden="1">{"'Sheet1'!$L$16"}</definedName>
    <definedName name="_________________________a12" localSheetId="5" hidden="1">{"'Sheet1'!$L$16"}</definedName>
    <definedName name="_________________________a12" hidden="1">{"'Sheet1'!$L$16"}</definedName>
    <definedName name="_________________________a2" localSheetId="5" hidden="1">{"hilight1",#N/A,FALSE,"HILIGHT1"}</definedName>
    <definedName name="_________________________a2" hidden="1">{"hilight1",#N/A,FALSE,"HILIGHT1"}</definedName>
    <definedName name="_________________________a3" localSheetId="5" hidden="1">{"hilight2",#N/A,FALSE,"HILIGHT2"}</definedName>
    <definedName name="_________________________a3" hidden="1">{"hilight2",#N/A,FALSE,"HILIGHT2"}</definedName>
    <definedName name="_________________________a4" localSheetId="5" hidden="1">{"hilight3",#N/A,FALSE,"HILIGHT3"}</definedName>
    <definedName name="_________________________a4" hidden="1">{"hilight3",#N/A,FALSE,"HILIGHT3"}</definedName>
    <definedName name="_________________________a5" localSheetId="5" hidden="1">{"income",#N/A,FALSE,"INCOME"}</definedName>
    <definedName name="_________________________a5" hidden="1">{"income",#N/A,FALSE,"INCOME"}</definedName>
    <definedName name="_________________________a6" localSheetId="5" hidden="1">{"index",#N/A,FALSE,"INDEX"}</definedName>
    <definedName name="_________________________a6" hidden="1">{"index",#N/A,FALSE,"INDEX"}</definedName>
    <definedName name="_________________________a7" localSheetId="5" hidden="1">{"PRINT_EST",#N/A,FALSE,"ESTMON"}</definedName>
    <definedName name="_________________________a7" hidden="1">{"PRINT_EST",#N/A,FALSE,"ESTMON"}</definedName>
    <definedName name="_________________________a8" localSheetId="5" hidden="1">{"revsale",#N/A,FALSE,"REV-ยุพดี"}</definedName>
    <definedName name="_________________________a8" hidden="1">{"revsale",#N/A,FALSE,"REV-ยุพดี"}</definedName>
    <definedName name="_________________________a9" localSheetId="5" hidden="1">{"revable",#N/A,FALSE,"REVABLE"}</definedName>
    <definedName name="_________________________a9" hidden="1">{"revable",#N/A,FALSE,"REVABLE"}</definedName>
    <definedName name="_________________________f5" localSheetId="5" hidden="1">{"'Sheet1'!$L$16"}</definedName>
    <definedName name="_________________________f5" hidden="1">{"'Sheet1'!$L$16"}</definedName>
    <definedName name="_________________________NSO2" localSheetId="5" hidden="1">{"'Sheet1'!$L$16"}</definedName>
    <definedName name="_________________________NSO2" hidden="1">{"'Sheet1'!$L$16"}</definedName>
    <definedName name="_________________________T01" localSheetId="5" hidden="1">#REF!</definedName>
    <definedName name="_________________________T01" localSheetId="4" hidden="1">#REF!</definedName>
    <definedName name="_________________________T01" hidden="1">#REF!</definedName>
    <definedName name="________________________a1" localSheetId="5" hidden="1">{"cashflow",#N/A,FALSE,"CASHFLOW "}</definedName>
    <definedName name="________________________a1" hidden="1">{"cashflow",#N/A,FALSE,"CASHFLOW "}</definedName>
    <definedName name="________________________a10" localSheetId="5" hidden="1">{"sales",#N/A,FALSE,"SALES"}</definedName>
    <definedName name="________________________a10" hidden="1">{"sales",#N/A,FALSE,"SALES"}</definedName>
    <definedName name="________________________a11" localSheetId="5" hidden="1">{"'Sheet1'!$L$16"}</definedName>
    <definedName name="________________________a11" hidden="1">{"'Sheet1'!$L$16"}</definedName>
    <definedName name="________________________a12" localSheetId="5" hidden="1">{"'Sheet1'!$L$16"}</definedName>
    <definedName name="________________________a12" hidden="1">{"'Sheet1'!$L$16"}</definedName>
    <definedName name="________________________a2" localSheetId="5" hidden="1">{"hilight1",#N/A,FALSE,"HILIGHT1"}</definedName>
    <definedName name="________________________a2" hidden="1">{"hilight1",#N/A,FALSE,"HILIGHT1"}</definedName>
    <definedName name="________________________a3" localSheetId="5" hidden="1">{"hilight2",#N/A,FALSE,"HILIGHT2"}</definedName>
    <definedName name="________________________a3" hidden="1">{"hilight2",#N/A,FALSE,"HILIGHT2"}</definedName>
    <definedName name="________________________a4" localSheetId="5" hidden="1">{"hilight3",#N/A,FALSE,"HILIGHT3"}</definedName>
    <definedName name="________________________a4" hidden="1">{"hilight3",#N/A,FALSE,"HILIGHT3"}</definedName>
    <definedName name="________________________a5" localSheetId="5" hidden="1">{"income",#N/A,FALSE,"INCOME"}</definedName>
    <definedName name="________________________a5" hidden="1">{"income",#N/A,FALSE,"INCOME"}</definedName>
    <definedName name="________________________a6" localSheetId="5" hidden="1">{"index",#N/A,FALSE,"INDEX"}</definedName>
    <definedName name="________________________a6" hidden="1">{"index",#N/A,FALSE,"INDEX"}</definedName>
    <definedName name="________________________a7" localSheetId="5" hidden="1">{"PRINT_EST",#N/A,FALSE,"ESTMON"}</definedName>
    <definedName name="________________________a7" hidden="1">{"PRINT_EST",#N/A,FALSE,"ESTMON"}</definedName>
    <definedName name="________________________a8" localSheetId="5" hidden="1">{"revsale",#N/A,FALSE,"REV-ยุพดี"}</definedName>
    <definedName name="________________________a8" hidden="1">{"revsale",#N/A,FALSE,"REV-ยุพดี"}</definedName>
    <definedName name="________________________a9" localSheetId="5" hidden="1">{"revable",#N/A,FALSE,"REVABLE"}</definedName>
    <definedName name="________________________a9" hidden="1">{"revable",#N/A,FALSE,"REVABLE"}</definedName>
    <definedName name="________________________f5" localSheetId="5" hidden="1">{"'Sheet1'!$L$16"}</definedName>
    <definedName name="________________________f5" hidden="1">{"'Sheet1'!$L$16"}</definedName>
    <definedName name="________________________NSO2" localSheetId="5" hidden="1">{"'Sheet1'!$L$16"}</definedName>
    <definedName name="________________________NSO2" hidden="1">{"'Sheet1'!$L$16"}</definedName>
    <definedName name="________________________T01" localSheetId="5" hidden="1">#REF!</definedName>
    <definedName name="________________________T01" localSheetId="4" hidden="1">#REF!</definedName>
    <definedName name="________________________T01" hidden="1">#REF!</definedName>
    <definedName name="_______________________a1" localSheetId="5" hidden="1">{"cashflow",#N/A,FALSE,"CASHFLOW "}</definedName>
    <definedName name="_______________________a1" hidden="1">{"cashflow",#N/A,FALSE,"CASHFLOW "}</definedName>
    <definedName name="_______________________a10" localSheetId="5" hidden="1">{"sales",#N/A,FALSE,"SALES"}</definedName>
    <definedName name="_______________________a10" hidden="1">{"sales",#N/A,FALSE,"SALES"}</definedName>
    <definedName name="_______________________a11" localSheetId="5" hidden="1">{"'Sheet1'!$L$16"}</definedName>
    <definedName name="_______________________a11" hidden="1">{"'Sheet1'!$L$16"}</definedName>
    <definedName name="_______________________a12" localSheetId="5" hidden="1">{"'Sheet1'!$L$16"}</definedName>
    <definedName name="_______________________a12" hidden="1">{"'Sheet1'!$L$16"}</definedName>
    <definedName name="_____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localSheetId="5" hidden="1">{"hilight1",#N/A,FALSE,"HILIGHT1"}</definedName>
    <definedName name="_______________________a2" hidden="1">{"hilight1",#N/A,FALSE,"HILIGHT1"}</definedName>
    <definedName name="_______________________a3" localSheetId="5" hidden="1">{"hilight2",#N/A,FALSE,"HILIGHT2"}</definedName>
    <definedName name="_______________________a3" hidden="1">{"hilight2",#N/A,FALSE,"HILIGHT2"}</definedName>
    <definedName name="_______________________a4" localSheetId="5" hidden="1">{"hilight3",#N/A,FALSE,"HILIGHT3"}</definedName>
    <definedName name="_______________________a4" hidden="1">{"hilight3",#N/A,FALSE,"HILIGHT3"}</definedName>
    <definedName name="_______________________a5" localSheetId="5" hidden="1">{"income",#N/A,FALSE,"INCOME"}</definedName>
    <definedName name="_______________________a5" hidden="1">{"income",#N/A,FALSE,"INCOME"}</definedName>
    <definedName name="_______________________a6" localSheetId="5" hidden="1">{"index",#N/A,FALSE,"INDEX"}</definedName>
    <definedName name="_______________________a6" hidden="1">{"index",#N/A,FALSE,"INDEX"}</definedName>
    <definedName name="_______________________a7" localSheetId="5" hidden="1">{"PRINT_EST",#N/A,FALSE,"ESTMON"}</definedName>
    <definedName name="_______________________a7" hidden="1">{"PRINT_EST",#N/A,FALSE,"ESTMON"}</definedName>
    <definedName name="_______________________a8" localSheetId="5" hidden="1">{"revsale",#N/A,FALSE,"REV-ยุพดี"}</definedName>
    <definedName name="_______________________a8" hidden="1">{"revsale",#N/A,FALSE,"REV-ยุพดี"}</definedName>
    <definedName name="_______________________a9" localSheetId="5" hidden="1">{"revable",#N/A,FALSE,"REVABLE"}</definedName>
    <definedName name="_______________________a9" hidden="1">{"revable",#N/A,FALSE,"REVABLE"}</definedName>
    <definedName name="_______________________f5" localSheetId="5" hidden="1">{"'Sheet1'!$L$16"}</definedName>
    <definedName name="_______________________f5" hidden="1">{"'Sheet1'!$L$16"}</definedName>
    <definedName name="_______________________gg1" localSheetId="5" hidden="1">{"'Sheet1'!$L$16"}</definedName>
    <definedName name="_______________________gg1" hidden="1">{"'Sheet1'!$L$16"}</definedName>
    <definedName name="_______________________h1" localSheetId="5" hidden="1">{"'Sheet1'!$L$16"}</definedName>
    <definedName name="_______________________h1" hidden="1">{"'Sheet1'!$L$16"}</definedName>
    <definedName name="_______________________h2" localSheetId="5" hidden="1">{"'Sheet1'!$L$16"}</definedName>
    <definedName name="_______________________h2" hidden="1">{"'Sheet1'!$L$16"}</definedName>
    <definedName name="_______________________huy1" localSheetId="5" hidden="1">{"'Sheet1'!$L$16"}</definedName>
    <definedName name="_______________________huy1" hidden="1">{"'Sheet1'!$L$16"}</definedName>
    <definedName name="_______________________NSO2" localSheetId="5" hidden="1">{"'Sheet1'!$L$16"}</definedName>
    <definedName name="_______________________NSO2" hidden="1">{"'Sheet1'!$L$16"}</definedName>
    <definedName name="_______________________nso3" localSheetId="5" hidden="1">{"'Sheet1'!$L$16"}</definedName>
    <definedName name="_______________________nso3" hidden="1">{"'Sheet1'!$L$16"}</definedName>
    <definedName name="_______________________PA3" localSheetId="5" hidden="1">{"'Sheet1'!$L$16"}</definedName>
    <definedName name="_______________________PA3" hidden="1">{"'Sheet1'!$L$16"}</definedName>
    <definedName name="_______________________T01" localSheetId="5" hidden="1">#REF!</definedName>
    <definedName name="_______________________T01" localSheetId="4" hidden="1">#REF!</definedName>
    <definedName name="_______________________T01" hidden="1">#REF!</definedName>
    <definedName name="_______________________thu1" localSheetId="5" hidden="1">{"'Sheet1'!$L$16"}</definedName>
    <definedName name="_______________________thu1" hidden="1">{"'Sheet1'!$L$16"}</definedName>
    <definedName name="_______________________thu2" localSheetId="5" hidden="1">{"'Sheet1'!$L$16"}</definedName>
    <definedName name="_______________________thu2" hidden="1">{"'Sheet1'!$L$16"}</definedName>
    <definedName name="_______________________thu4" localSheetId="5" hidden="1">{"'Sheet1'!$L$16"}</definedName>
    <definedName name="_______________________thu4" hidden="1">{"'Sheet1'!$L$16"}</definedName>
    <definedName name="_______________________thu5" localSheetId="5" hidden="1">{"'Sheet1'!$L$16"}</definedName>
    <definedName name="_______________________thu5" hidden="1">{"'Sheet1'!$L$16"}</definedName>
    <definedName name="______________________a1" localSheetId="5" hidden="1">{"cashflow",#N/A,FALSE,"CASHFLOW "}</definedName>
    <definedName name="______________________a1" hidden="1">{"cashflow",#N/A,FALSE,"CASHFLOW "}</definedName>
    <definedName name="______________________a10" localSheetId="5" hidden="1">{"sales",#N/A,FALSE,"SALES"}</definedName>
    <definedName name="______________________a10" hidden="1">{"sales",#N/A,FALSE,"SALES"}</definedName>
    <definedName name="______________________a11" localSheetId="5" hidden="1">{"'Sheet1'!$L$16"}</definedName>
    <definedName name="______________________a11" hidden="1">{"'Sheet1'!$L$16"}</definedName>
    <definedName name="______________________a12" localSheetId="5" hidden="1">{"'Sheet1'!$L$16"}</definedName>
    <definedName name="______________________a12" hidden="1">{"'Sheet1'!$L$16"}</definedName>
    <definedName name="______________________a2" localSheetId="5" hidden="1">{"hilight1",#N/A,FALSE,"HILIGHT1"}</definedName>
    <definedName name="______________________a2" hidden="1">{"hilight1",#N/A,FALSE,"HILIGHT1"}</definedName>
    <definedName name="______________________a3" localSheetId="5" hidden="1">{"hilight2",#N/A,FALSE,"HILIGHT2"}</definedName>
    <definedName name="______________________a3" hidden="1">{"hilight2",#N/A,FALSE,"HILIGHT2"}</definedName>
    <definedName name="______________________a4" localSheetId="5" hidden="1">{"hilight3",#N/A,FALSE,"HILIGHT3"}</definedName>
    <definedName name="______________________a4" hidden="1">{"hilight3",#N/A,FALSE,"HILIGHT3"}</definedName>
    <definedName name="______________________a5" localSheetId="5" hidden="1">{"income",#N/A,FALSE,"INCOME"}</definedName>
    <definedName name="______________________a5" hidden="1">{"income",#N/A,FALSE,"INCOME"}</definedName>
    <definedName name="______________________a6" localSheetId="5" hidden="1">{"index",#N/A,FALSE,"INDEX"}</definedName>
    <definedName name="______________________a6" hidden="1">{"index",#N/A,FALSE,"INDEX"}</definedName>
    <definedName name="______________________a7" localSheetId="5" hidden="1">{"PRINT_EST",#N/A,FALSE,"ESTMON"}</definedName>
    <definedName name="______________________a7" hidden="1">{"PRINT_EST",#N/A,FALSE,"ESTMON"}</definedName>
    <definedName name="______________________a8" localSheetId="5" hidden="1">{"revsale",#N/A,FALSE,"REV-ยุพดี"}</definedName>
    <definedName name="______________________a8" hidden="1">{"revsale",#N/A,FALSE,"REV-ยุพดี"}</definedName>
    <definedName name="______________________a9" localSheetId="5" hidden="1">{"revable",#N/A,FALSE,"REVABLE"}</definedName>
    <definedName name="______________________a9" hidden="1">{"revable",#N/A,FALSE,"REVABLE"}</definedName>
    <definedName name="______________________f5" localSheetId="5" hidden="1">{"'Sheet1'!$L$16"}</definedName>
    <definedName name="______________________f5" hidden="1">{"'Sheet1'!$L$16"}</definedName>
    <definedName name="______________________NSO2" localSheetId="5" hidden="1">{"'Sheet1'!$L$16"}</definedName>
    <definedName name="______________________NSO2" hidden="1">{"'Sheet1'!$L$16"}</definedName>
    <definedName name="______________________T01" localSheetId="5" hidden="1">#REF!</definedName>
    <definedName name="______________________T01" localSheetId="4" hidden="1">#REF!</definedName>
    <definedName name="______________________T01" hidden="1">#REF!</definedName>
    <definedName name="_____________________a1" localSheetId="5" hidden="1">{"cashflow",#N/A,FALSE,"CASHFLOW "}</definedName>
    <definedName name="_____________________a1" hidden="1">{"cashflow",#N/A,FALSE,"CASHFLOW "}</definedName>
    <definedName name="_____________________a10" localSheetId="5" hidden="1">{"sales",#N/A,FALSE,"SALES"}</definedName>
    <definedName name="_____________________a10" hidden="1">{"sales",#N/A,FALSE,"SALES"}</definedName>
    <definedName name="_____________________a11" localSheetId="5" hidden="1">{"'Sheet1'!$L$16"}</definedName>
    <definedName name="_____________________a11" hidden="1">{"'Sheet1'!$L$16"}</definedName>
    <definedName name="_____________________a12" localSheetId="5" hidden="1">{"'Sheet1'!$L$16"}</definedName>
    <definedName name="_____________________a12" hidden="1">{"'Sheet1'!$L$16"}</definedName>
    <definedName name="___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localSheetId="5" hidden="1">{"hilight1",#N/A,FALSE,"HILIGHT1"}</definedName>
    <definedName name="_____________________a2" hidden="1">{"hilight1",#N/A,FALSE,"HILIGHT1"}</definedName>
    <definedName name="_____________________a3" localSheetId="5" hidden="1">{"hilight2",#N/A,FALSE,"HILIGHT2"}</definedName>
    <definedName name="_____________________a3" hidden="1">{"hilight2",#N/A,FALSE,"HILIGHT2"}</definedName>
    <definedName name="_____________________a4" localSheetId="5" hidden="1">{"hilight3",#N/A,FALSE,"HILIGHT3"}</definedName>
    <definedName name="_____________________a4" hidden="1">{"hilight3",#N/A,FALSE,"HILIGHT3"}</definedName>
    <definedName name="_____________________a5" localSheetId="5" hidden="1">{"income",#N/A,FALSE,"INCOME"}</definedName>
    <definedName name="_____________________a5" hidden="1">{"income",#N/A,FALSE,"INCOME"}</definedName>
    <definedName name="_____________________a6" localSheetId="5" hidden="1">{"index",#N/A,FALSE,"INDEX"}</definedName>
    <definedName name="_____________________a6" hidden="1">{"index",#N/A,FALSE,"INDEX"}</definedName>
    <definedName name="_____________________a7" localSheetId="5" hidden="1">{"PRINT_EST",#N/A,FALSE,"ESTMON"}</definedName>
    <definedName name="_____________________a7" hidden="1">{"PRINT_EST",#N/A,FALSE,"ESTMON"}</definedName>
    <definedName name="_____________________a8" localSheetId="5" hidden="1">{"revsale",#N/A,FALSE,"REV-ยุพดี"}</definedName>
    <definedName name="_____________________a8" hidden="1">{"revsale",#N/A,FALSE,"REV-ยุพดี"}</definedName>
    <definedName name="_____________________a9" localSheetId="5" hidden="1">{"revable",#N/A,FALSE,"REVABLE"}</definedName>
    <definedName name="_____________________a9" hidden="1">{"revable",#N/A,FALSE,"REVABLE"}</definedName>
    <definedName name="_____________________f5" localSheetId="5" hidden="1">{"'Sheet1'!$L$16"}</definedName>
    <definedName name="_____________________f5" hidden="1">{"'Sheet1'!$L$16"}</definedName>
    <definedName name="_____________________FOH2006" localSheetId="5" hidden="1">{#N/A,#N/A,FALSE,"TL";#N/A,#N/A,FALSE,"KK";#N/A,#N/A,FALSE,"TS";#N/A,#N/A,FALSE,"KW";#N/A,#N/A,FALSE,"LP";#N/A,#N/A,FALSE,"DC"}</definedName>
    <definedName name="_____________________FOH2006" hidden="1">{#N/A,#N/A,FALSE,"TL";#N/A,#N/A,FALSE,"KK";#N/A,#N/A,FALSE,"TS";#N/A,#N/A,FALSE,"KW";#N/A,#N/A,FALSE,"LP";#N/A,#N/A,FALSE,"DC"}</definedName>
    <definedName name="_____________________gg1" localSheetId="5" hidden="1">{"'Sheet1'!$L$16"}</definedName>
    <definedName name="_____________________gg1" hidden="1">{"'Sheet1'!$L$16"}</definedName>
    <definedName name="_____________________h1" localSheetId="5" hidden="1">{"'Sheet1'!$L$16"}</definedName>
    <definedName name="_____________________h1" hidden="1">{"'Sheet1'!$L$16"}</definedName>
    <definedName name="_____________________h2" localSheetId="5" hidden="1">{"'Sheet1'!$L$16"}</definedName>
    <definedName name="_____________________h2" hidden="1">{"'Sheet1'!$L$16"}</definedName>
    <definedName name="_____________________huy1" localSheetId="5" hidden="1">{"'Sheet1'!$L$16"}</definedName>
    <definedName name="_____________________huy1" hidden="1">{"'Sheet1'!$L$16"}</definedName>
    <definedName name="_____________________NSO2" localSheetId="5" hidden="1">{"'Sheet1'!$L$16"}</definedName>
    <definedName name="_____________________NSO2" hidden="1">{"'Sheet1'!$L$16"}</definedName>
    <definedName name="_____________________nso3" localSheetId="5" hidden="1">{"'Sheet1'!$L$16"}</definedName>
    <definedName name="_____________________nso3" hidden="1">{"'Sheet1'!$L$16"}</definedName>
    <definedName name="_____________________PA3" localSheetId="5" hidden="1">{"'Sheet1'!$L$16"}</definedName>
    <definedName name="_____________________PA3" hidden="1">{"'Sheet1'!$L$16"}</definedName>
    <definedName name="_____________________T01" localSheetId="5" hidden="1">#REF!</definedName>
    <definedName name="_____________________T01" localSheetId="4" hidden="1">#REF!</definedName>
    <definedName name="_____________________T01" hidden="1">#REF!</definedName>
    <definedName name="_____________________thu1" localSheetId="5" hidden="1">{"'Sheet1'!$L$16"}</definedName>
    <definedName name="_____________________thu1" hidden="1">{"'Sheet1'!$L$16"}</definedName>
    <definedName name="_____________________thu2" localSheetId="5" hidden="1">{"'Sheet1'!$L$16"}</definedName>
    <definedName name="_____________________thu2" hidden="1">{"'Sheet1'!$L$16"}</definedName>
    <definedName name="_____________________thu4" localSheetId="5" hidden="1">{"'Sheet1'!$L$16"}</definedName>
    <definedName name="_____________________thu4" hidden="1">{"'Sheet1'!$L$16"}</definedName>
    <definedName name="_____________________thu5" localSheetId="5" hidden="1">{"'Sheet1'!$L$16"}</definedName>
    <definedName name="_____________________thu5" hidden="1">{"'Sheet1'!$L$16"}</definedName>
    <definedName name="____________________a1" localSheetId="5" hidden="1">{"cashflow",#N/A,FALSE,"CASHFLOW "}</definedName>
    <definedName name="____________________a1" hidden="1">{"cashflow",#N/A,FALSE,"CASHFLOW "}</definedName>
    <definedName name="____________________a10" localSheetId="5" hidden="1">{"sales",#N/A,FALSE,"SALES"}</definedName>
    <definedName name="____________________a10" hidden="1">{"sales",#N/A,FALSE,"SALES"}</definedName>
    <definedName name="____________________a11" localSheetId="5" hidden="1">{"'Sheet1'!$L$16"}</definedName>
    <definedName name="____________________a11" hidden="1">{"'Sheet1'!$L$16"}</definedName>
    <definedName name="____________________a12" localSheetId="5" hidden="1">{"'Sheet1'!$L$16"}</definedName>
    <definedName name="____________________a12" hidden="1">{"'Sheet1'!$L$16"}</definedName>
    <definedName name="__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localSheetId="5" hidden="1">{"hilight1",#N/A,FALSE,"HILIGHT1"}</definedName>
    <definedName name="____________________a2" hidden="1">{"hilight1",#N/A,FALSE,"HILIGHT1"}</definedName>
    <definedName name="____________________a3" localSheetId="5" hidden="1">{"hilight2",#N/A,FALSE,"HILIGHT2"}</definedName>
    <definedName name="____________________a3" hidden="1">{"hilight2",#N/A,FALSE,"HILIGHT2"}</definedName>
    <definedName name="____________________a4" localSheetId="5" hidden="1">{"hilight3",#N/A,FALSE,"HILIGHT3"}</definedName>
    <definedName name="____________________a4" hidden="1">{"hilight3",#N/A,FALSE,"HILIGHT3"}</definedName>
    <definedName name="____________________a5" localSheetId="5" hidden="1">{"income",#N/A,FALSE,"INCOME"}</definedName>
    <definedName name="____________________a5" hidden="1">{"income",#N/A,FALSE,"INCOME"}</definedName>
    <definedName name="____________________a6" localSheetId="5" hidden="1">{"index",#N/A,FALSE,"INDEX"}</definedName>
    <definedName name="____________________a6" hidden="1">{"index",#N/A,FALSE,"INDEX"}</definedName>
    <definedName name="____________________a7" localSheetId="5" hidden="1">{"PRINT_EST",#N/A,FALSE,"ESTMON"}</definedName>
    <definedName name="____________________a7" hidden="1">{"PRINT_EST",#N/A,FALSE,"ESTMON"}</definedName>
    <definedName name="____________________a8" localSheetId="5" hidden="1">{"revsale",#N/A,FALSE,"REV-ยุพดี"}</definedName>
    <definedName name="____________________a8" hidden="1">{"revsale",#N/A,FALSE,"REV-ยุพดี"}</definedName>
    <definedName name="____________________a9" localSheetId="5" hidden="1">{"revable",#N/A,FALSE,"REVABLE"}</definedName>
    <definedName name="____________________a9" hidden="1">{"revable",#N/A,FALSE,"REVABLE"}</definedName>
    <definedName name="____________________f5" localSheetId="5" hidden="1">{"'Sheet1'!$L$16"}</definedName>
    <definedName name="____________________f5" hidden="1">{"'Sheet1'!$L$16"}</definedName>
    <definedName name="____________________gg1" localSheetId="5" hidden="1">{"'Sheet1'!$L$16"}</definedName>
    <definedName name="____________________gg1" hidden="1">{"'Sheet1'!$L$16"}</definedName>
    <definedName name="____________________h1" localSheetId="5" hidden="1">{"'Sheet1'!$L$16"}</definedName>
    <definedName name="____________________h1" hidden="1">{"'Sheet1'!$L$16"}</definedName>
    <definedName name="____________________h2" localSheetId="5" hidden="1">{"'Sheet1'!$L$16"}</definedName>
    <definedName name="____________________h2" hidden="1">{"'Sheet1'!$L$16"}</definedName>
    <definedName name="____________________huy1" localSheetId="5" hidden="1">{"'Sheet1'!$L$16"}</definedName>
    <definedName name="____________________huy1" hidden="1">{"'Sheet1'!$L$16"}</definedName>
    <definedName name="____________________NSO2" localSheetId="5" hidden="1">{"'Sheet1'!$L$16"}</definedName>
    <definedName name="____________________NSO2" hidden="1">{"'Sheet1'!$L$16"}</definedName>
    <definedName name="____________________nso3" localSheetId="5" hidden="1">{"'Sheet1'!$L$16"}</definedName>
    <definedName name="____________________nso3" hidden="1">{"'Sheet1'!$L$16"}</definedName>
    <definedName name="____________________PA3" localSheetId="5" hidden="1">{"'Sheet1'!$L$16"}</definedName>
    <definedName name="____________________PA3" hidden="1">{"'Sheet1'!$L$16"}</definedName>
    <definedName name="____________________T01" localSheetId="5" hidden="1">#REF!</definedName>
    <definedName name="____________________T01" localSheetId="4" hidden="1">#REF!</definedName>
    <definedName name="____________________T01" hidden="1">#REF!</definedName>
    <definedName name="____________________thu1" localSheetId="5" hidden="1">{"'Sheet1'!$L$16"}</definedName>
    <definedName name="____________________thu1" hidden="1">{"'Sheet1'!$L$16"}</definedName>
    <definedName name="____________________thu2" localSheetId="5" hidden="1">{"'Sheet1'!$L$16"}</definedName>
    <definedName name="____________________thu2" hidden="1">{"'Sheet1'!$L$16"}</definedName>
    <definedName name="____________________thu4" localSheetId="5" hidden="1">{"'Sheet1'!$L$16"}</definedName>
    <definedName name="____________________thu4" hidden="1">{"'Sheet1'!$L$16"}</definedName>
    <definedName name="____________________thu5" localSheetId="5" hidden="1">{"'Sheet1'!$L$16"}</definedName>
    <definedName name="____________________thu5" hidden="1">{"'Sheet1'!$L$16"}</definedName>
    <definedName name="___________________a1" localSheetId="5" hidden="1">{"cashflow",#N/A,FALSE,"CASHFLOW "}</definedName>
    <definedName name="___________________a1" hidden="1">{"cashflow",#N/A,FALSE,"CASHFLOW "}</definedName>
    <definedName name="___________________a10" localSheetId="5" hidden="1">{"sales",#N/A,FALSE,"SALES"}</definedName>
    <definedName name="___________________a10" hidden="1">{"sales",#N/A,FALSE,"SALES"}</definedName>
    <definedName name="___________________a11" localSheetId="5" hidden="1">{"'Sheet1'!$L$16"}</definedName>
    <definedName name="___________________a11" hidden="1">{"'Sheet1'!$L$16"}</definedName>
    <definedName name="___________________a12" localSheetId="5" hidden="1">{"'Sheet1'!$L$16"}</definedName>
    <definedName name="___________________a12" hidden="1">{"'Sheet1'!$L$16"}</definedName>
    <definedName name="_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localSheetId="5" hidden="1">{"hilight1",#N/A,FALSE,"HILIGHT1"}</definedName>
    <definedName name="___________________a2" hidden="1">{"hilight1",#N/A,FALSE,"HILIGHT1"}</definedName>
    <definedName name="___________________a3" localSheetId="5" hidden="1">{"hilight2",#N/A,FALSE,"HILIGHT2"}</definedName>
    <definedName name="___________________a3" hidden="1">{"hilight2",#N/A,FALSE,"HILIGHT2"}</definedName>
    <definedName name="___________________a4" localSheetId="5" hidden="1">{"hilight3",#N/A,FALSE,"HILIGHT3"}</definedName>
    <definedName name="___________________a4" hidden="1">{"hilight3",#N/A,FALSE,"HILIGHT3"}</definedName>
    <definedName name="___________________a5" localSheetId="5" hidden="1">{"income",#N/A,FALSE,"INCOME"}</definedName>
    <definedName name="___________________a5" hidden="1">{"income",#N/A,FALSE,"INCOME"}</definedName>
    <definedName name="___________________a6" localSheetId="5" hidden="1">{"index",#N/A,FALSE,"INDEX"}</definedName>
    <definedName name="___________________a6" hidden="1">{"index",#N/A,FALSE,"INDEX"}</definedName>
    <definedName name="___________________a7" localSheetId="5" hidden="1">{"PRINT_EST",#N/A,FALSE,"ESTMON"}</definedName>
    <definedName name="___________________a7" hidden="1">{"PRINT_EST",#N/A,FALSE,"ESTMON"}</definedName>
    <definedName name="___________________a8" localSheetId="5" hidden="1">{"revsale",#N/A,FALSE,"REV-ยุพดี"}</definedName>
    <definedName name="___________________a8" hidden="1">{"revsale",#N/A,FALSE,"REV-ยุพดี"}</definedName>
    <definedName name="___________________a9" localSheetId="5" hidden="1">{"revable",#N/A,FALSE,"REVABLE"}</definedName>
    <definedName name="___________________a9" hidden="1">{"revable",#N/A,FALSE,"REVABLE"}</definedName>
    <definedName name="___________________f5" localSheetId="5" hidden="1">{"'Sheet1'!$L$16"}</definedName>
    <definedName name="___________________f5" hidden="1">{"'Sheet1'!$L$16"}</definedName>
    <definedName name="___________________FOH2006" localSheetId="5" hidden="1">{#N/A,#N/A,FALSE,"TL";#N/A,#N/A,FALSE,"KK";#N/A,#N/A,FALSE,"TS";#N/A,#N/A,FALSE,"KW";#N/A,#N/A,FALSE,"LP";#N/A,#N/A,FALSE,"DC"}</definedName>
    <definedName name="___________________FOH2006" hidden="1">{#N/A,#N/A,FALSE,"TL";#N/A,#N/A,FALSE,"KK";#N/A,#N/A,FALSE,"TS";#N/A,#N/A,FALSE,"KW";#N/A,#N/A,FALSE,"LP";#N/A,#N/A,FALSE,"DC"}</definedName>
    <definedName name="___________________gg1" localSheetId="5" hidden="1">{"'Sheet1'!$L$16"}</definedName>
    <definedName name="___________________gg1" hidden="1">{"'Sheet1'!$L$16"}</definedName>
    <definedName name="___________________h1" localSheetId="5" hidden="1">{"'Sheet1'!$L$16"}</definedName>
    <definedName name="___________________h1" hidden="1">{"'Sheet1'!$L$16"}</definedName>
    <definedName name="___________________h2" localSheetId="5" hidden="1">{"'Sheet1'!$L$16"}</definedName>
    <definedName name="___________________h2" hidden="1">{"'Sheet1'!$L$16"}</definedName>
    <definedName name="___________________huy1" localSheetId="5" hidden="1">{"'Sheet1'!$L$16"}</definedName>
    <definedName name="___________________huy1" hidden="1">{"'Sheet1'!$L$16"}</definedName>
    <definedName name="___________________NSO2" localSheetId="5" hidden="1">{"'Sheet1'!$L$16"}</definedName>
    <definedName name="___________________NSO2" hidden="1">{"'Sheet1'!$L$16"}</definedName>
    <definedName name="___________________nso3" localSheetId="5" hidden="1">{"'Sheet1'!$L$16"}</definedName>
    <definedName name="___________________nso3" hidden="1">{"'Sheet1'!$L$16"}</definedName>
    <definedName name="___________________PA3" localSheetId="5" hidden="1">{"'Sheet1'!$L$16"}</definedName>
    <definedName name="___________________PA3" hidden="1">{"'Sheet1'!$L$16"}</definedName>
    <definedName name="___________________T01" localSheetId="5" hidden="1">#REF!</definedName>
    <definedName name="___________________T01" localSheetId="4" hidden="1">#REF!</definedName>
    <definedName name="___________________T01" hidden="1">#REF!</definedName>
    <definedName name="___________________thu1" localSheetId="5" hidden="1">{"'Sheet1'!$L$16"}</definedName>
    <definedName name="___________________thu1" hidden="1">{"'Sheet1'!$L$16"}</definedName>
    <definedName name="___________________thu2" localSheetId="5" hidden="1">{"'Sheet1'!$L$16"}</definedName>
    <definedName name="___________________thu2" hidden="1">{"'Sheet1'!$L$16"}</definedName>
    <definedName name="___________________thu4" localSheetId="5" hidden="1">{"'Sheet1'!$L$16"}</definedName>
    <definedName name="___________________thu4" hidden="1">{"'Sheet1'!$L$16"}</definedName>
    <definedName name="___________________thu5" localSheetId="5" hidden="1">{"'Sheet1'!$L$16"}</definedName>
    <definedName name="___________________thu5" hidden="1">{"'Sheet1'!$L$16"}</definedName>
    <definedName name="__________________a1" localSheetId="5" hidden="1">{"cashflow",#N/A,FALSE,"CASHFLOW "}</definedName>
    <definedName name="__________________a1" hidden="1">{"cashflow",#N/A,FALSE,"CASHFLOW "}</definedName>
    <definedName name="__________________a10" localSheetId="5" hidden="1">{"sales",#N/A,FALSE,"SALES"}</definedName>
    <definedName name="__________________a10" hidden="1">{"sales",#N/A,FALSE,"SALES"}</definedName>
    <definedName name="__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localSheetId="5" hidden="1">{"hilight1",#N/A,FALSE,"HILIGHT1"}</definedName>
    <definedName name="__________________a2" hidden="1">{"hilight1",#N/A,FALSE,"HILIGHT1"}</definedName>
    <definedName name="__________________a3" localSheetId="5" hidden="1">{"hilight2",#N/A,FALSE,"HILIGHT2"}</definedName>
    <definedName name="__________________a3" hidden="1">{"hilight2",#N/A,FALSE,"HILIGHT2"}</definedName>
    <definedName name="__________________a4" localSheetId="5" hidden="1">{"hilight3",#N/A,FALSE,"HILIGHT3"}</definedName>
    <definedName name="__________________a4" hidden="1">{"hilight3",#N/A,FALSE,"HILIGHT3"}</definedName>
    <definedName name="__________________a5" localSheetId="5" hidden="1">{"income",#N/A,FALSE,"INCOME"}</definedName>
    <definedName name="__________________a5" hidden="1">{"income",#N/A,FALSE,"INCOME"}</definedName>
    <definedName name="__________________a51" localSheetId="5" hidden="1">{"income",#N/A,FALSE,"INCOME"}</definedName>
    <definedName name="__________________a51" hidden="1">{"income",#N/A,FALSE,"INCOME"}</definedName>
    <definedName name="__________________a6" localSheetId="5" hidden="1">{"index",#N/A,FALSE,"INDEX"}</definedName>
    <definedName name="__________________a6" hidden="1">{"index",#N/A,FALSE,"INDEX"}</definedName>
    <definedName name="__________________a7" localSheetId="5" hidden="1">{"PRINT_EST",#N/A,FALSE,"ESTMON"}</definedName>
    <definedName name="__________________a7" hidden="1">{"PRINT_EST",#N/A,FALSE,"ESTMON"}</definedName>
    <definedName name="__________________a8" localSheetId="5" hidden="1">{"revsale",#N/A,FALSE,"REV-ยุพดี"}</definedName>
    <definedName name="__________________a8" hidden="1">{"revsale",#N/A,FALSE,"REV-ยุพดี"}</definedName>
    <definedName name="__________________a9" localSheetId="5" hidden="1">{"revable",#N/A,FALSE,"REVABLE"}</definedName>
    <definedName name="__________________a9" hidden="1">{"revable",#N/A,FALSE,"REVABLE"}</definedName>
    <definedName name="__________________B1" localSheetId="5" hidden="1">{"PRINT_EST",#N/A,FALSE,"ESTMON"}</definedName>
    <definedName name="__________________B1" hidden="1">{"PRINT_EST",#N/A,FALSE,"ESTMON"}</definedName>
    <definedName name="__________________f5" localSheetId="5" hidden="1">{"'Sheet1'!$L$16"}</definedName>
    <definedName name="__________________f5" hidden="1">{"'Sheet1'!$L$16"}</definedName>
    <definedName name="__________________FOH2006" localSheetId="5" hidden="1">{#N/A,#N/A,FALSE,"TL";#N/A,#N/A,FALSE,"KK";#N/A,#N/A,FALSE,"TS";#N/A,#N/A,FALSE,"KW";#N/A,#N/A,FALSE,"LP";#N/A,#N/A,FALSE,"DC"}</definedName>
    <definedName name="__________________FOH2006" hidden="1">{#N/A,#N/A,FALSE,"TL";#N/A,#N/A,FALSE,"KK";#N/A,#N/A,FALSE,"TS";#N/A,#N/A,FALSE,"KW";#N/A,#N/A,FALSE,"LP";#N/A,#N/A,FALSE,"DC"}</definedName>
    <definedName name="__________________gg1" localSheetId="5" hidden="1">{"'Sheet1'!$L$16"}</definedName>
    <definedName name="__________________gg1" hidden="1">{"'Sheet1'!$L$16"}</definedName>
    <definedName name="__________________h1" localSheetId="5" hidden="1">{"'Sheet1'!$L$16"}</definedName>
    <definedName name="__________________h1" hidden="1">{"'Sheet1'!$L$16"}</definedName>
    <definedName name="__________________h2" localSheetId="5" hidden="1">{"'Sheet1'!$L$16"}</definedName>
    <definedName name="__________________h2" hidden="1">{"'Sheet1'!$L$16"}</definedName>
    <definedName name="__________________huy1" localSheetId="5" hidden="1">{"'Sheet1'!$L$16"}</definedName>
    <definedName name="__________________huy1" hidden="1">{"'Sheet1'!$L$16"}</definedName>
    <definedName name="__________________KP300" localSheetId="5" hidden="1">{"level1",#N/A,FALSE,"1_LEV";"LEVEL1",#N/A,FALSE,"1_LEV"}</definedName>
    <definedName name="__________________KP300" hidden="1">{"level1",#N/A,FALSE,"1_LEV";"LEVEL1",#N/A,FALSE,"1_LEV"}</definedName>
    <definedName name="__________________NSO2" localSheetId="5" hidden="1">{"'Sheet1'!$L$16"}</definedName>
    <definedName name="__________________NSO2" hidden="1">{"'Sheet1'!$L$16"}</definedName>
    <definedName name="__________________nso3" localSheetId="5" hidden="1">{"'Sheet1'!$L$16"}</definedName>
    <definedName name="__________________nso3" hidden="1">{"'Sheet1'!$L$16"}</definedName>
    <definedName name="__________________PA3" localSheetId="5" hidden="1">{"'Sheet1'!$L$16"}</definedName>
    <definedName name="__________________PA3" hidden="1">{"'Sheet1'!$L$16"}</definedName>
    <definedName name="__________________T01" localSheetId="5" hidden="1">#REF!</definedName>
    <definedName name="__________________T01" localSheetId="4" hidden="1">#REF!</definedName>
    <definedName name="__________________T01" hidden="1">#REF!</definedName>
    <definedName name="__________________thu1" localSheetId="5" hidden="1">{"'Sheet1'!$L$16"}</definedName>
    <definedName name="__________________thu1" hidden="1">{"'Sheet1'!$L$16"}</definedName>
    <definedName name="__________________thu2" localSheetId="5" hidden="1">{"'Sheet1'!$L$16"}</definedName>
    <definedName name="__________________thu2" hidden="1">{"'Sheet1'!$L$16"}</definedName>
    <definedName name="__________________thu4" localSheetId="5" hidden="1">{"'Sheet1'!$L$16"}</definedName>
    <definedName name="__________________thu4" hidden="1">{"'Sheet1'!$L$16"}</definedName>
    <definedName name="__________________thu5" localSheetId="5" hidden="1">{"'Sheet1'!$L$16"}</definedName>
    <definedName name="__________________thu5" hidden="1">{"'Sheet1'!$L$16"}</definedName>
    <definedName name="_________________a1" localSheetId="5" hidden="1">{"cashflow",#N/A,FALSE,"CASHFLOW "}</definedName>
    <definedName name="_________________a1" hidden="1">{"cashflow",#N/A,FALSE,"CASHFLOW "}</definedName>
    <definedName name="_________________a10" localSheetId="5" hidden="1">{"sales",#N/A,FALSE,"SALES"}</definedName>
    <definedName name="_________________a10" hidden="1">{"sales",#N/A,FALSE,"SALES"}</definedName>
    <definedName name="_________________a11" localSheetId="5" hidden="1">{"'Sheet1'!$L$16"}</definedName>
    <definedName name="_________________a11" hidden="1">{"'Sheet1'!$L$16"}</definedName>
    <definedName name="_________________a12" localSheetId="5" hidden="1">{"'Sheet1'!$L$16"}</definedName>
    <definedName name="_________________a12" hidden="1">{"'Sheet1'!$L$16"}</definedName>
    <definedName name="_________________a133" localSheetId="5" hidden="1">{"revable",#N/A,FALSE,"REVABLE"}</definedName>
    <definedName name="_________________a133" hidden="1">{"revable",#N/A,FALSE,"REVABLE"}</definedName>
    <definedName name="_________________a2" localSheetId="5" hidden="1">{"hilight1",#N/A,FALSE,"HILIGHT1"}</definedName>
    <definedName name="_________________a2" hidden="1">{"hilight1",#N/A,FALSE,"HILIGHT1"}</definedName>
    <definedName name="_________________a3" localSheetId="5" hidden="1">{"hilight2",#N/A,FALSE,"HILIGHT2"}</definedName>
    <definedName name="_________________a3" hidden="1">{"hilight2",#N/A,FALSE,"HILIGHT2"}</definedName>
    <definedName name="_________________a4" localSheetId="5" hidden="1">{"hilight3",#N/A,FALSE,"HILIGHT3"}</definedName>
    <definedName name="_________________a4" hidden="1">{"hilight3",#N/A,FALSE,"HILIGHT3"}</definedName>
    <definedName name="_________________a5" localSheetId="5" hidden="1">{"income",#N/A,FALSE,"INCOME"}</definedName>
    <definedName name="_________________a5" hidden="1">{"income",#N/A,FALSE,"INCOME"}</definedName>
    <definedName name="_________________a51" localSheetId="5" hidden="1">{"income",#N/A,FALSE,"INCOME"}</definedName>
    <definedName name="_________________a51" hidden="1">{"income",#N/A,FALSE,"INCOME"}</definedName>
    <definedName name="_________________a6" localSheetId="5" hidden="1">{"index",#N/A,FALSE,"INDEX"}</definedName>
    <definedName name="_________________a6" hidden="1">{"index",#N/A,FALSE,"INDEX"}</definedName>
    <definedName name="_________________a7" localSheetId="5" hidden="1">{"PRINT_EST",#N/A,FALSE,"ESTMON"}</definedName>
    <definedName name="_________________a7" hidden="1">{"PRINT_EST",#N/A,FALSE,"ESTMON"}</definedName>
    <definedName name="_________________a8" localSheetId="5" hidden="1">{"revsale",#N/A,FALSE,"REV-ยุพดี"}</definedName>
    <definedName name="_________________a8" hidden="1">{"revsale",#N/A,FALSE,"REV-ยุพดี"}</definedName>
    <definedName name="_________________a9" localSheetId="5" hidden="1">{"revable",#N/A,FALSE,"REVABLE"}</definedName>
    <definedName name="_________________a9" hidden="1">{"revable",#N/A,FALSE,"REVABLE"}</definedName>
    <definedName name="_________________B1" localSheetId="5" hidden="1">{"PRINT_EST",#N/A,FALSE,"ESTMON"}</definedName>
    <definedName name="_________________B1" hidden="1">{"PRINT_EST",#N/A,FALSE,"ESTMON"}</definedName>
    <definedName name="_________________f5" localSheetId="5" hidden="1">{"'Sheet1'!$L$16"}</definedName>
    <definedName name="_________________f5" hidden="1">{"'Sheet1'!$L$16"}</definedName>
    <definedName name="_________________FOH2006" localSheetId="5" hidden="1">{#N/A,#N/A,FALSE,"TL";#N/A,#N/A,FALSE,"KK";#N/A,#N/A,FALSE,"TS";#N/A,#N/A,FALSE,"KW";#N/A,#N/A,FALSE,"LP";#N/A,#N/A,FALSE,"DC"}</definedName>
    <definedName name="_________________FOH2006" hidden="1">{#N/A,#N/A,FALSE,"TL";#N/A,#N/A,FALSE,"KK";#N/A,#N/A,FALSE,"TS";#N/A,#N/A,FALSE,"KW";#N/A,#N/A,FALSE,"LP";#N/A,#N/A,FALSE,"DC"}</definedName>
    <definedName name="_______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localSheetId="5" hidden="1">{"'Sheet1'!$L$16"}</definedName>
    <definedName name="_________________NSO2" hidden="1">{"'Sheet1'!$L$16"}</definedName>
    <definedName name="_________________T01" localSheetId="5" hidden="1">#REF!</definedName>
    <definedName name="_________________T01" localSheetId="4" hidden="1">#REF!</definedName>
    <definedName name="_________________T01" hidden="1">#REF!</definedName>
    <definedName name="________________a1" localSheetId="5" hidden="1">{"cashflow",#N/A,FALSE,"CASHFLOW "}</definedName>
    <definedName name="________________a1" hidden="1">{"cashflow",#N/A,FALSE,"CASHFLOW "}</definedName>
    <definedName name="________________a10" localSheetId="5" hidden="1">{"sales",#N/A,FALSE,"SALES"}</definedName>
    <definedName name="________________a10" hidden="1">{"sales",#N/A,FALSE,"SALES"}</definedName>
    <definedName name="________________a11" localSheetId="5" hidden="1">{"'Sheet1'!$L$16"}</definedName>
    <definedName name="________________a11" hidden="1">{"'Sheet1'!$L$16"}</definedName>
    <definedName name="________________a12" localSheetId="5" hidden="1">{"'Sheet1'!$L$16"}</definedName>
    <definedName name="________________a12" hidden="1">{"'Sheet1'!$L$16"}</definedName>
    <definedName name="__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5" hidden="1">{"hilight1",#N/A,FALSE,"HILIGHT1"}</definedName>
    <definedName name="________________a2" hidden="1">{"hilight1",#N/A,FALSE,"HILIGHT1"}</definedName>
    <definedName name="________________a3" localSheetId="5" hidden="1">{"hilight2",#N/A,FALSE,"HILIGHT2"}</definedName>
    <definedName name="________________a3" hidden="1">{"hilight2",#N/A,FALSE,"HILIGHT2"}</definedName>
    <definedName name="________________a4" localSheetId="5" hidden="1">{"hilight3",#N/A,FALSE,"HILIGHT3"}</definedName>
    <definedName name="________________a4" hidden="1">{"hilight3",#N/A,FALSE,"HILIGHT3"}</definedName>
    <definedName name="________________a5" localSheetId="5" hidden="1">{"income",#N/A,FALSE,"INCOME"}</definedName>
    <definedName name="________________a5" hidden="1">{"income",#N/A,FALSE,"INCOME"}</definedName>
    <definedName name="________________a6" localSheetId="5" hidden="1">{"index",#N/A,FALSE,"INDEX"}</definedName>
    <definedName name="________________a6" hidden="1">{"index",#N/A,FALSE,"INDEX"}</definedName>
    <definedName name="________________a7" localSheetId="5" hidden="1">{"PRINT_EST",#N/A,FALSE,"ESTMON"}</definedName>
    <definedName name="________________a7" hidden="1">{"PRINT_EST",#N/A,FALSE,"ESTMON"}</definedName>
    <definedName name="________________a8" localSheetId="5" hidden="1">{"revsale",#N/A,FALSE,"REV-ยุพดี"}</definedName>
    <definedName name="________________a8" hidden="1">{"revsale",#N/A,FALSE,"REV-ยุพดี"}</definedName>
    <definedName name="________________a9" localSheetId="5" hidden="1">{"revable",#N/A,FALSE,"REVABLE"}</definedName>
    <definedName name="________________a9" hidden="1">{"revable",#N/A,FALSE,"REVABLE"}</definedName>
    <definedName name="________________f5" localSheetId="5" hidden="1">{"'Sheet1'!$L$16"}</definedName>
    <definedName name="________________f5" hidden="1">{"'Sheet1'!$L$16"}</definedName>
    <definedName name="________________gg1" localSheetId="5" hidden="1">{"'Sheet1'!$L$16"}</definedName>
    <definedName name="________________gg1" hidden="1">{"'Sheet1'!$L$16"}</definedName>
    <definedName name="________________h1" localSheetId="5" hidden="1">{"'Sheet1'!$L$16"}</definedName>
    <definedName name="________________h1" hidden="1">{"'Sheet1'!$L$16"}</definedName>
    <definedName name="________________h2" localSheetId="5" hidden="1">{"'Sheet1'!$L$16"}</definedName>
    <definedName name="________________h2" hidden="1">{"'Sheet1'!$L$16"}</definedName>
    <definedName name="________________huy1" localSheetId="5" hidden="1">{"'Sheet1'!$L$16"}</definedName>
    <definedName name="________________huy1" hidden="1">{"'Sheet1'!$L$16"}</definedName>
    <definedName name="________________KP300" localSheetId="5" hidden="1">{"level1",#N/A,FALSE,"1_LEV";"LEVEL1",#N/A,FALSE,"1_LEV"}</definedName>
    <definedName name="________________KP300" hidden="1">{"level1",#N/A,FALSE,"1_LEV";"LEVEL1",#N/A,FALSE,"1_LEV"}</definedName>
    <definedName name="________________NSO2" localSheetId="5" hidden="1">{"'Sheet1'!$L$16"}</definedName>
    <definedName name="________________NSO2" hidden="1">{"'Sheet1'!$L$16"}</definedName>
    <definedName name="________________nso3" localSheetId="5" hidden="1">{"'Sheet1'!$L$16"}</definedName>
    <definedName name="________________nso3" hidden="1">{"'Sheet1'!$L$16"}</definedName>
    <definedName name="________________PA3" localSheetId="5" hidden="1">{"'Sheet1'!$L$16"}</definedName>
    <definedName name="________________PA3" hidden="1">{"'Sheet1'!$L$16"}</definedName>
    <definedName name="________________T01" localSheetId="5" hidden="1">#REF!</definedName>
    <definedName name="________________T01" localSheetId="4" hidden="1">#REF!</definedName>
    <definedName name="________________T01" hidden="1">#REF!</definedName>
    <definedName name="________________thu1" localSheetId="5" hidden="1">{"'Sheet1'!$L$16"}</definedName>
    <definedName name="________________thu1" hidden="1">{"'Sheet1'!$L$16"}</definedName>
    <definedName name="________________thu2" localSheetId="5" hidden="1">{"'Sheet1'!$L$16"}</definedName>
    <definedName name="________________thu2" hidden="1">{"'Sheet1'!$L$16"}</definedName>
    <definedName name="________________thu4" localSheetId="5" hidden="1">{"'Sheet1'!$L$16"}</definedName>
    <definedName name="________________thu4" hidden="1">{"'Sheet1'!$L$16"}</definedName>
    <definedName name="________________thu5" localSheetId="5" hidden="1">{"'Sheet1'!$L$16"}</definedName>
    <definedName name="________________thu5" hidden="1">{"'Sheet1'!$L$16"}</definedName>
    <definedName name="_______________a1" localSheetId="5" hidden="1">{"cashflow",#N/A,FALSE,"CASHFLOW "}</definedName>
    <definedName name="_______________a1" hidden="1">{"cashflow",#N/A,FALSE,"CASHFLOW "}</definedName>
    <definedName name="_______________a10" localSheetId="5" hidden="1">{"sales",#N/A,FALSE,"SALES"}</definedName>
    <definedName name="_______________a10" hidden="1">{"sales",#N/A,FALSE,"SALES"}</definedName>
    <definedName name="_______________a11" localSheetId="5" hidden="1">{"'Sheet1'!$L$16"}</definedName>
    <definedName name="_______________a11" hidden="1">{"'Sheet1'!$L$16"}</definedName>
    <definedName name="_______________a12" localSheetId="5" hidden="1">{"'Sheet1'!$L$16"}</definedName>
    <definedName name="_______________a12" hidden="1">{"'Sheet1'!$L$16"}</definedName>
    <definedName name="_______________a133" localSheetId="5" hidden="1">{"revable",#N/A,FALSE,"REVABLE"}</definedName>
    <definedName name="_______________a133" hidden="1">{"revable",#N/A,FALSE,"REVABLE"}</definedName>
    <definedName name="_______________a2" localSheetId="5" hidden="1">{"hilight1",#N/A,FALSE,"HILIGHT1"}</definedName>
    <definedName name="_______________a2" hidden="1">{"hilight1",#N/A,FALSE,"HILIGHT1"}</definedName>
    <definedName name="_______________a3" localSheetId="5" hidden="1">{"hilight2",#N/A,FALSE,"HILIGHT2"}</definedName>
    <definedName name="_______________a3" hidden="1">{"hilight2",#N/A,FALSE,"HILIGHT2"}</definedName>
    <definedName name="_______________a4" localSheetId="5" hidden="1">{"hilight3",#N/A,FALSE,"HILIGHT3"}</definedName>
    <definedName name="_______________a4" hidden="1">{"hilight3",#N/A,FALSE,"HILIGHT3"}</definedName>
    <definedName name="_______________a5" localSheetId="5" hidden="1">{"income",#N/A,FALSE,"INCOME"}</definedName>
    <definedName name="_______________a5" hidden="1">{"income",#N/A,FALSE,"INCOME"}</definedName>
    <definedName name="_______________a51" localSheetId="5" hidden="1">{"income",#N/A,FALSE,"INCOME"}</definedName>
    <definedName name="_______________a51" hidden="1">{"income",#N/A,FALSE,"INCOME"}</definedName>
    <definedName name="_______________a6" localSheetId="5" hidden="1">{"index",#N/A,FALSE,"INDEX"}</definedName>
    <definedName name="_______________a6" hidden="1">{"index",#N/A,FALSE,"INDEX"}</definedName>
    <definedName name="_______________a7" localSheetId="5" hidden="1">{"PRINT_EST",#N/A,FALSE,"ESTMON"}</definedName>
    <definedName name="_______________a7" hidden="1">{"PRINT_EST",#N/A,FALSE,"ESTMON"}</definedName>
    <definedName name="_______________a8" localSheetId="5" hidden="1">{"revsale",#N/A,FALSE,"REV-ยุพดี"}</definedName>
    <definedName name="_______________a8" hidden="1">{"revsale",#N/A,FALSE,"REV-ยุพดี"}</definedName>
    <definedName name="_______________a9" localSheetId="5" hidden="1">{"revable",#N/A,FALSE,"REVABLE"}</definedName>
    <definedName name="_______________a9" hidden="1">{"revable",#N/A,FALSE,"REVABLE"}</definedName>
    <definedName name="_______________apr2" localSheetId="5" hidden="1">{"'Model'!$A$1:$N$53"}</definedName>
    <definedName name="_______________apr2" hidden="1">{"'Model'!$A$1:$N$53"}</definedName>
    <definedName name="_______________B1" localSheetId="5" hidden="1">{"PRINT_EST",#N/A,FALSE,"ESTMON"}</definedName>
    <definedName name="_______________B1" hidden="1">{"PRINT_EST",#N/A,FALSE,"ESTMON"}</definedName>
    <definedName name="_______________f5" localSheetId="5" hidden="1">{"'Sheet1'!$L$16"}</definedName>
    <definedName name="_______________f5" hidden="1">{"'Sheet1'!$L$16"}</definedName>
    <definedName name="_______________FOH2006" localSheetId="5" hidden="1">{#N/A,#N/A,FALSE,"TL";#N/A,#N/A,FALSE,"KK";#N/A,#N/A,FALSE,"TS";#N/A,#N/A,FALSE,"KW";#N/A,#N/A,FALSE,"LP";#N/A,#N/A,FALSE,"DC"}</definedName>
    <definedName name="_______________FOH2006" hidden="1">{#N/A,#N/A,FALSE,"TL";#N/A,#N/A,FALSE,"KK";#N/A,#N/A,FALSE,"TS";#N/A,#N/A,FALSE,"KW";#N/A,#N/A,FALSE,"LP";#N/A,#N/A,FALSE,"DC"}</definedName>
    <definedName name="_______________h2" localSheetId="5" hidden="1">{"'Model'!$A$1:$N$53"}</definedName>
    <definedName name="_______________h2" hidden="1">{"'Model'!$A$1:$N$53"}</definedName>
    <definedName name="_______________KP300" localSheetId="5" hidden="1">{"level1",#N/A,FALSE,"1_LEV";"LEVEL1",#N/A,FALSE,"1_LEV"}</definedName>
    <definedName name="_______________KP300" hidden="1">{"level1",#N/A,FALSE,"1_LEV";"LEVEL1",#N/A,FALSE,"1_LEV"}</definedName>
    <definedName name="_____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localSheetId="5" hidden="1">{"'Sheet1'!$L$16"}</definedName>
    <definedName name="_______________NSO2" hidden="1">{"'Sheet1'!$L$16"}</definedName>
    <definedName name="_______________T01" localSheetId="5" hidden="1">#REF!</definedName>
    <definedName name="_______________T01" localSheetId="4" hidden="1">#REF!</definedName>
    <definedName name="_______________T01" hidden="1">#REF!</definedName>
    <definedName name="______________a1" localSheetId="5" hidden="1">{"cashflow",#N/A,FALSE,"CASHFLOW "}</definedName>
    <definedName name="______________a1" hidden="1">{"cashflow",#N/A,FALSE,"CASHFLOW "}</definedName>
    <definedName name="______________a10" localSheetId="5" hidden="1">{"sales",#N/A,FALSE,"SALES"}</definedName>
    <definedName name="______________a10" hidden="1">{"sales",#N/A,FALSE,"SALES"}</definedName>
    <definedName name="______________a11" localSheetId="5" hidden="1">{"'Sheet1'!$L$16"}</definedName>
    <definedName name="______________a11" hidden="1">{"'Sheet1'!$L$16"}</definedName>
    <definedName name="______________a12" localSheetId="5" hidden="1">{"'Sheet1'!$L$16"}</definedName>
    <definedName name="______________a12" hidden="1">{"'Sheet1'!$L$16"}</definedName>
    <definedName name="_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localSheetId="5" hidden="1">{"revable",#N/A,FALSE,"REVABLE"}</definedName>
    <definedName name="______________a133" hidden="1">{"revable",#N/A,FALSE,"REVABLE"}</definedName>
    <definedName name="______________a2" localSheetId="5" hidden="1">{"hilight1",#N/A,FALSE,"HILIGHT1"}</definedName>
    <definedName name="______________a2" hidden="1">{"hilight1",#N/A,FALSE,"HILIGHT1"}</definedName>
    <definedName name="______________a3" localSheetId="5" hidden="1">{"hilight2",#N/A,FALSE,"HILIGHT2"}</definedName>
    <definedName name="______________a3" hidden="1">{"hilight2",#N/A,FALSE,"HILIGHT2"}</definedName>
    <definedName name="______________a4" localSheetId="5" hidden="1">{"hilight3",#N/A,FALSE,"HILIGHT3"}</definedName>
    <definedName name="______________a4" hidden="1">{"hilight3",#N/A,FALSE,"HILIGHT3"}</definedName>
    <definedName name="______________a5" localSheetId="5" hidden="1">{"income",#N/A,FALSE,"INCOME"}</definedName>
    <definedName name="______________a5" hidden="1">{"income",#N/A,FALSE,"INCOME"}</definedName>
    <definedName name="______________a51" localSheetId="5" hidden="1">{"income",#N/A,FALSE,"INCOME"}</definedName>
    <definedName name="______________a51" hidden="1">{"income",#N/A,FALSE,"INCOME"}</definedName>
    <definedName name="______________a6" localSheetId="5" hidden="1">{"index",#N/A,FALSE,"INDEX"}</definedName>
    <definedName name="______________a6" hidden="1">{"index",#N/A,FALSE,"INDEX"}</definedName>
    <definedName name="______________a7" localSheetId="5" hidden="1">{"PRINT_EST",#N/A,FALSE,"ESTMON"}</definedName>
    <definedName name="______________a7" hidden="1">{"PRINT_EST",#N/A,FALSE,"ESTMON"}</definedName>
    <definedName name="______________a8" localSheetId="5" hidden="1">{"revsale",#N/A,FALSE,"REV-ยุพดี"}</definedName>
    <definedName name="______________a8" hidden="1">{"revsale",#N/A,FALSE,"REV-ยุพดี"}</definedName>
    <definedName name="______________a9" localSheetId="5" hidden="1">{"revable",#N/A,FALSE,"REVABLE"}</definedName>
    <definedName name="______________a9" hidden="1">{"revable",#N/A,FALSE,"REVABLE"}</definedName>
    <definedName name="______________apr2" localSheetId="5" hidden="1">{"'Model'!$A$1:$N$53"}</definedName>
    <definedName name="______________apr2" hidden="1">{"'Model'!$A$1:$N$53"}</definedName>
    <definedName name="______________B1" localSheetId="5" hidden="1">{"PRINT_EST",#N/A,FALSE,"ESTMON"}</definedName>
    <definedName name="______________B1" hidden="1">{"PRINT_EST",#N/A,FALSE,"ESTMON"}</definedName>
    <definedName name="______________f5" localSheetId="5" hidden="1">{"'Sheet1'!$L$16"}</definedName>
    <definedName name="______________f5" hidden="1">{"'Sheet1'!$L$16"}</definedName>
    <definedName name="______________FOH2006" localSheetId="5" hidden="1">{#N/A,#N/A,FALSE,"TL";#N/A,#N/A,FALSE,"KK";#N/A,#N/A,FALSE,"TS";#N/A,#N/A,FALSE,"KW";#N/A,#N/A,FALSE,"LP";#N/A,#N/A,FALSE,"DC"}</definedName>
    <definedName name="______________FOH2006" hidden="1">{#N/A,#N/A,FALSE,"TL";#N/A,#N/A,FALSE,"KK";#N/A,#N/A,FALSE,"TS";#N/A,#N/A,FALSE,"KW";#N/A,#N/A,FALSE,"LP";#N/A,#N/A,FALSE,"DC"}</definedName>
    <definedName name="______________gg1" localSheetId="5" hidden="1">{"'Sheet1'!$L$16"}</definedName>
    <definedName name="______________gg1" hidden="1">{"'Sheet1'!$L$16"}</definedName>
    <definedName name="______________h1" localSheetId="5" hidden="1">{"'Sheet1'!$L$16"}</definedName>
    <definedName name="______________h1" hidden="1">{"'Sheet1'!$L$16"}</definedName>
    <definedName name="______________h2" localSheetId="5" hidden="1">{"'Sheet1'!$L$16"}</definedName>
    <definedName name="______________h2" hidden="1">{"'Sheet1'!$L$16"}</definedName>
    <definedName name="______________huy1" localSheetId="5" hidden="1">{"'Sheet1'!$L$16"}</definedName>
    <definedName name="______________huy1" hidden="1">{"'Sheet1'!$L$16"}</definedName>
    <definedName name="______________KP300" localSheetId="5" hidden="1">{"level1",#N/A,FALSE,"1_LEV";"LEVEL1",#N/A,FALSE,"1_LEV"}</definedName>
    <definedName name="______________KP300" hidden="1">{"level1",#N/A,FALSE,"1_LEV";"LEVEL1",#N/A,FALSE,"1_LEV"}</definedName>
    <definedName name="____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localSheetId="5" hidden="1">{"'Sheet1'!$L$16"}</definedName>
    <definedName name="______________NSO2" hidden="1">{"'Sheet1'!$L$16"}</definedName>
    <definedName name="______________nso3" localSheetId="5" hidden="1">{"'Sheet1'!$L$16"}</definedName>
    <definedName name="______________nso3" hidden="1">{"'Sheet1'!$L$16"}</definedName>
    <definedName name="______________PA3" localSheetId="5" hidden="1">{"'Sheet1'!$L$16"}</definedName>
    <definedName name="______________PA3" hidden="1">{"'Sheet1'!$L$16"}</definedName>
    <definedName name="______________T01" localSheetId="5" hidden="1">#REF!</definedName>
    <definedName name="______________T01" localSheetId="4" hidden="1">#REF!</definedName>
    <definedName name="______________T01" hidden="1">#REF!</definedName>
    <definedName name="______________thu1" localSheetId="5" hidden="1">{"'Sheet1'!$L$16"}</definedName>
    <definedName name="______________thu1" hidden="1">{"'Sheet1'!$L$16"}</definedName>
    <definedName name="______________thu2" localSheetId="5" hidden="1">{"'Sheet1'!$L$16"}</definedName>
    <definedName name="______________thu2" hidden="1">{"'Sheet1'!$L$16"}</definedName>
    <definedName name="______________thu4" localSheetId="5" hidden="1">{"'Sheet1'!$L$16"}</definedName>
    <definedName name="______________thu4" hidden="1">{"'Sheet1'!$L$16"}</definedName>
    <definedName name="______________thu5" localSheetId="5" hidden="1">{"'Sheet1'!$L$16"}</definedName>
    <definedName name="______________thu5" hidden="1">{"'Sheet1'!$L$16"}</definedName>
    <definedName name="______________xlfn.BAHTTEXT" hidden="1">#NAME?</definedName>
    <definedName name="_____________a1" localSheetId="5" hidden="1">{"cashflow",#N/A,FALSE,"CASHFLOW "}</definedName>
    <definedName name="_____________a1" hidden="1">{"cashflow",#N/A,FALSE,"CASHFLOW "}</definedName>
    <definedName name="_____________a10" localSheetId="5" hidden="1">{"sales",#N/A,FALSE,"SALES"}</definedName>
    <definedName name="_____________a10" hidden="1">{"sales",#N/A,FALSE,"SALES"}</definedName>
    <definedName name="_____________a11" localSheetId="5" hidden="1">{"'Sheet1'!$L$16"}</definedName>
    <definedName name="_____________a11" hidden="1">{"'Sheet1'!$L$16"}</definedName>
    <definedName name="_____________a12" localSheetId="5" hidden="1">{"'Sheet1'!$L$16"}</definedName>
    <definedName name="_____________a12" hidden="1">{"'Sheet1'!$L$16"}</definedName>
    <definedName name="_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localSheetId="5" hidden="1">{"revable",#N/A,FALSE,"REVABLE"}</definedName>
    <definedName name="_____________a133" hidden="1">{"revable",#N/A,FALSE,"REVABLE"}</definedName>
    <definedName name="_____________a2" localSheetId="5" hidden="1">{"hilight1",#N/A,FALSE,"HILIGHT1"}</definedName>
    <definedName name="_____________a2" hidden="1">{"hilight1",#N/A,FALSE,"HILIGHT1"}</definedName>
    <definedName name="_____________a3" localSheetId="5" hidden="1">{"hilight2",#N/A,FALSE,"HILIGHT2"}</definedName>
    <definedName name="_____________a3" hidden="1">{"hilight2",#N/A,FALSE,"HILIGHT2"}</definedName>
    <definedName name="_____________a4" localSheetId="5" hidden="1">{"hilight3",#N/A,FALSE,"HILIGHT3"}</definedName>
    <definedName name="_____________a4" hidden="1">{"hilight3",#N/A,FALSE,"HILIGHT3"}</definedName>
    <definedName name="_____________a5" localSheetId="5" hidden="1">{"income",#N/A,FALSE,"INCOME"}</definedName>
    <definedName name="_____________a5" hidden="1">{"income",#N/A,FALSE,"INCOME"}</definedName>
    <definedName name="_____________a51" localSheetId="5" hidden="1">{"income",#N/A,FALSE,"INCOME"}</definedName>
    <definedName name="_____________a51" hidden="1">{"income",#N/A,FALSE,"INCOME"}</definedName>
    <definedName name="_____________a6" localSheetId="5" hidden="1">{"index",#N/A,FALSE,"INDEX"}</definedName>
    <definedName name="_____________a6" hidden="1">{"index",#N/A,FALSE,"INDEX"}</definedName>
    <definedName name="_____________a7" localSheetId="5" hidden="1">{"PRINT_EST",#N/A,FALSE,"ESTMON"}</definedName>
    <definedName name="_____________a7" hidden="1">{"PRINT_EST",#N/A,FALSE,"ESTMON"}</definedName>
    <definedName name="_____________a8" localSheetId="5" hidden="1">{"revsale",#N/A,FALSE,"REV-ยุพดี"}</definedName>
    <definedName name="_____________a8" hidden="1">{"revsale",#N/A,FALSE,"REV-ยุพดี"}</definedName>
    <definedName name="_____________a9" localSheetId="5" hidden="1">{"revable",#N/A,FALSE,"REVABLE"}</definedName>
    <definedName name="_____________a9" hidden="1">{"revable",#N/A,FALSE,"REVABLE"}</definedName>
    <definedName name="_____________apr2" localSheetId="5" hidden="1">{"'Model'!$A$1:$N$53"}</definedName>
    <definedName name="_____________apr2" hidden="1">{"'Model'!$A$1:$N$53"}</definedName>
    <definedName name="_____________B1" localSheetId="5" hidden="1">{"PRINT_EST",#N/A,FALSE,"ESTMON"}</definedName>
    <definedName name="_____________B1" hidden="1">{"PRINT_EST",#N/A,FALSE,"ESTMON"}</definedName>
    <definedName name="_____________f5" localSheetId="5" hidden="1">{"'Sheet1'!$L$16"}</definedName>
    <definedName name="_____________f5" hidden="1">{"'Sheet1'!$L$16"}</definedName>
    <definedName name="_____________FOH2006" localSheetId="5" hidden="1">{#N/A,#N/A,FALSE,"TL";#N/A,#N/A,FALSE,"KK";#N/A,#N/A,FALSE,"TS";#N/A,#N/A,FALSE,"KW";#N/A,#N/A,FALSE,"LP";#N/A,#N/A,FALSE,"DC"}</definedName>
    <definedName name="_____________FOH2006" hidden="1">{#N/A,#N/A,FALSE,"TL";#N/A,#N/A,FALSE,"KK";#N/A,#N/A,FALSE,"TS";#N/A,#N/A,FALSE,"KW";#N/A,#N/A,FALSE,"LP";#N/A,#N/A,FALSE,"DC"}</definedName>
    <definedName name="_____________gg1" localSheetId="5" hidden="1">{"'Sheet1'!$L$16"}</definedName>
    <definedName name="_____________gg1" hidden="1">{"'Sheet1'!$L$16"}</definedName>
    <definedName name="_____________h1" localSheetId="5" hidden="1">{"'Sheet1'!$L$16"}</definedName>
    <definedName name="_____________h1" hidden="1">{"'Sheet1'!$L$16"}</definedName>
    <definedName name="_____________h2" localSheetId="5" hidden="1">{"'Sheet1'!$L$16"}</definedName>
    <definedName name="_____________h2" hidden="1">{"'Sheet1'!$L$16"}</definedName>
    <definedName name="_____________huy1" localSheetId="5" hidden="1">{"'Sheet1'!$L$16"}</definedName>
    <definedName name="_____________huy1" hidden="1">{"'Sheet1'!$L$16"}</definedName>
    <definedName name="_____________KP300" localSheetId="5" hidden="1">{"level1",#N/A,FALSE,"1_LEV";"LEVEL1",#N/A,FALSE,"1_LEV"}</definedName>
    <definedName name="_____________KP300" hidden="1">{"level1",#N/A,FALSE,"1_LEV";"LEVEL1",#N/A,FALSE,"1_LEV"}</definedName>
    <definedName name="___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localSheetId="5" hidden="1">{"'Sheet1'!$L$16"}</definedName>
    <definedName name="_____________NSO2" hidden="1">{"'Sheet1'!$L$16"}</definedName>
    <definedName name="_____________nso3" localSheetId="5" hidden="1">{"'Sheet1'!$L$16"}</definedName>
    <definedName name="_____________nso3" hidden="1">{"'Sheet1'!$L$16"}</definedName>
    <definedName name="_____________PA3" localSheetId="5" hidden="1">{"'Sheet1'!$L$16"}</definedName>
    <definedName name="_____________PA3" hidden="1">{"'Sheet1'!$L$16"}</definedName>
    <definedName name="_____________T01" localSheetId="5" hidden="1">#REF!</definedName>
    <definedName name="_____________T01" localSheetId="4" hidden="1">#REF!</definedName>
    <definedName name="_____________T01" hidden="1">#REF!</definedName>
    <definedName name="_____________thu1" localSheetId="5" hidden="1">{"'Sheet1'!$L$16"}</definedName>
    <definedName name="_____________thu1" hidden="1">{"'Sheet1'!$L$16"}</definedName>
    <definedName name="_____________thu2" localSheetId="5" hidden="1">{"'Sheet1'!$L$16"}</definedName>
    <definedName name="_____________thu2" hidden="1">{"'Sheet1'!$L$16"}</definedName>
    <definedName name="_____________thu4" localSheetId="5" hidden="1">{"'Sheet1'!$L$16"}</definedName>
    <definedName name="_____________thu4" hidden="1">{"'Sheet1'!$L$16"}</definedName>
    <definedName name="_____________thu5" localSheetId="5" hidden="1">{"'Sheet1'!$L$16"}</definedName>
    <definedName name="_____________thu5" hidden="1">{"'Sheet1'!$L$16"}</definedName>
    <definedName name="_____________xlfn.BAHTTEXT" hidden="1">#NAME?</definedName>
    <definedName name="____________a1" localSheetId="5" hidden="1">{"cashflow",#N/A,FALSE,"CASHFLOW "}</definedName>
    <definedName name="____________a1" hidden="1">{"cashflow",#N/A,FALSE,"CASHFLOW "}</definedName>
    <definedName name="____________a10" localSheetId="5" hidden="1">{"sales",#N/A,FALSE,"SALES"}</definedName>
    <definedName name="____________a10" hidden="1">{"sales",#N/A,FALSE,"SALES"}</definedName>
    <definedName name="____________a11" localSheetId="5" hidden="1">{"'Sheet1'!$L$16"}</definedName>
    <definedName name="____________a11" hidden="1">{"'Sheet1'!$L$16"}</definedName>
    <definedName name="____________a12" localSheetId="5" hidden="1">{"'Sheet1'!$L$16"}</definedName>
    <definedName name="____________a12" hidden="1">{"'Sheet1'!$L$16"}</definedName>
    <definedName name="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localSheetId="5" hidden="1">{"revable",#N/A,FALSE,"REVABLE"}</definedName>
    <definedName name="____________a133" hidden="1">{"revable",#N/A,FALSE,"REVABLE"}</definedName>
    <definedName name="____________a2" localSheetId="5" hidden="1">{"hilight1",#N/A,FALSE,"HILIGHT1"}</definedName>
    <definedName name="____________a2" hidden="1">{"hilight1",#N/A,FALSE,"HILIGHT1"}</definedName>
    <definedName name="____________a3" localSheetId="5" hidden="1">{"hilight2",#N/A,FALSE,"HILIGHT2"}</definedName>
    <definedName name="____________a3" hidden="1">{"hilight2",#N/A,FALSE,"HILIGHT2"}</definedName>
    <definedName name="____________a4" localSheetId="5" hidden="1">{"hilight3",#N/A,FALSE,"HILIGHT3"}</definedName>
    <definedName name="____________a4" hidden="1">{"hilight3",#N/A,FALSE,"HILIGHT3"}</definedName>
    <definedName name="____________a5" localSheetId="5" hidden="1">{"income",#N/A,FALSE,"INCOME"}</definedName>
    <definedName name="____________a5" hidden="1">{"income",#N/A,FALSE,"INCOME"}</definedName>
    <definedName name="____________a51" localSheetId="5" hidden="1">{"income",#N/A,FALSE,"INCOME"}</definedName>
    <definedName name="____________a51" hidden="1">{"income",#N/A,FALSE,"INCOME"}</definedName>
    <definedName name="____________a6" localSheetId="5" hidden="1">{"index",#N/A,FALSE,"INDEX"}</definedName>
    <definedName name="____________a6" hidden="1">{"index",#N/A,FALSE,"INDEX"}</definedName>
    <definedName name="____________a7" localSheetId="5" hidden="1">{"PRINT_EST",#N/A,FALSE,"ESTMON"}</definedName>
    <definedName name="____________a7" hidden="1">{"PRINT_EST",#N/A,FALSE,"ESTMON"}</definedName>
    <definedName name="____________a8" localSheetId="5" hidden="1">{"revsale",#N/A,FALSE,"REV-ยุพดี"}</definedName>
    <definedName name="____________a8" hidden="1">{"revsale",#N/A,FALSE,"REV-ยุพดี"}</definedName>
    <definedName name="____________a9" localSheetId="5" hidden="1">{"revable",#N/A,FALSE,"REVABLE"}</definedName>
    <definedName name="____________a9" hidden="1">{"revable",#N/A,FALSE,"REVABLE"}</definedName>
    <definedName name="____________apr2" localSheetId="5" hidden="1">{"'Model'!$A$1:$N$53"}</definedName>
    <definedName name="____________apr2" hidden="1">{"'Model'!$A$1:$N$53"}</definedName>
    <definedName name="____________B1" localSheetId="5" hidden="1">{"PRINT_EST",#N/A,FALSE,"ESTMON"}</definedName>
    <definedName name="____________B1" hidden="1">{"PRINT_EST",#N/A,FALSE,"ESTMON"}</definedName>
    <definedName name="____________f5" localSheetId="5" hidden="1">{"'Sheet1'!$L$16"}</definedName>
    <definedName name="____________f5" hidden="1">{"'Sheet1'!$L$16"}</definedName>
    <definedName name="____________gg1" localSheetId="5" hidden="1">{"'Sheet1'!$L$16"}</definedName>
    <definedName name="____________gg1" hidden="1">{"'Sheet1'!$L$16"}</definedName>
    <definedName name="____________h1" localSheetId="5" hidden="1">{"'Sheet1'!$L$16"}</definedName>
    <definedName name="____________h1" hidden="1">{"'Sheet1'!$L$16"}</definedName>
    <definedName name="____________h2" localSheetId="5" hidden="1">{"'Sheet1'!$L$16"}</definedName>
    <definedName name="____________h2" hidden="1">{"'Sheet1'!$L$16"}</definedName>
    <definedName name="____________huy1" localSheetId="5" hidden="1">{"'Sheet1'!$L$16"}</definedName>
    <definedName name="____________huy1" hidden="1">{"'Sheet1'!$L$16"}</definedName>
    <definedName name="____________KP300" localSheetId="5" hidden="1">{"level1",#N/A,FALSE,"1_LEV";"LEVEL1",#N/A,FALSE,"1_LEV"}</definedName>
    <definedName name="____________KP300" hidden="1">{"level1",#N/A,FALSE,"1_LEV";"LEVEL1",#N/A,FALSE,"1_LEV"}</definedName>
    <definedName name="__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localSheetId="5" hidden="1">{"'Sheet1'!$L$16"}</definedName>
    <definedName name="____________NSO2" hidden="1">{"'Sheet1'!$L$16"}</definedName>
    <definedName name="____________nso3" localSheetId="5" hidden="1">{"'Sheet1'!$L$16"}</definedName>
    <definedName name="____________nso3" hidden="1">{"'Sheet1'!$L$16"}</definedName>
    <definedName name="____________PA3" localSheetId="5" hidden="1">{"'Sheet1'!$L$16"}</definedName>
    <definedName name="____________PA3" hidden="1">{"'Sheet1'!$L$16"}</definedName>
    <definedName name="____________T01" localSheetId="5" hidden="1">#REF!</definedName>
    <definedName name="____________T01" localSheetId="4" hidden="1">#REF!</definedName>
    <definedName name="____________T01" hidden="1">#REF!</definedName>
    <definedName name="____________thu1" localSheetId="5" hidden="1">{"'Sheet1'!$L$16"}</definedName>
    <definedName name="____________thu1" hidden="1">{"'Sheet1'!$L$16"}</definedName>
    <definedName name="____________thu2" localSheetId="5" hidden="1">{"'Sheet1'!$L$16"}</definedName>
    <definedName name="____________thu2" hidden="1">{"'Sheet1'!$L$16"}</definedName>
    <definedName name="____________thu4" localSheetId="5" hidden="1">{"'Sheet1'!$L$16"}</definedName>
    <definedName name="____________thu4" hidden="1">{"'Sheet1'!$L$16"}</definedName>
    <definedName name="____________thu5" localSheetId="5" hidden="1">{"'Sheet1'!$L$16"}</definedName>
    <definedName name="____________thu5" hidden="1">{"'Sheet1'!$L$16"}</definedName>
    <definedName name="____________xlfn.BAHTTEXT" hidden="1">#NAME?</definedName>
    <definedName name="___________a1" localSheetId="5" hidden="1">{"cashflow",#N/A,FALSE,"CASHFLOW "}</definedName>
    <definedName name="___________a1" hidden="1">{"cashflow",#N/A,FALSE,"CASHFLOW "}</definedName>
    <definedName name="___________a10" localSheetId="5" hidden="1">{"sales",#N/A,FALSE,"SALES"}</definedName>
    <definedName name="___________a10" hidden="1">{"sales",#N/A,FALSE,"SALES"}</definedName>
    <definedName name="___________a11" localSheetId="5" hidden="1">{"'Sheet1'!$L$16"}</definedName>
    <definedName name="___________a11" hidden="1">{"'Sheet1'!$L$16"}</definedName>
    <definedName name="___________a12" localSheetId="5" hidden="1">{"'Sheet1'!$L$16"}</definedName>
    <definedName name="___________a12" hidden="1">{"'Sheet1'!$L$16"}</definedName>
    <definedName name="___________a133" localSheetId="5" hidden="1">{"revable",#N/A,FALSE,"REVABLE"}</definedName>
    <definedName name="___________a133" hidden="1">{"revable",#N/A,FALSE,"REVABLE"}</definedName>
    <definedName name="___________a2" localSheetId="5" hidden="1">{"hilight1",#N/A,FALSE,"HILIGHT1"}</definedName>
    <definedName name="___________a2" hidden="1">{"hilight1",#N/A,FALSE,"HILIGHT1"}</definedName>
    <definedName name="___________a3" localSheetId="5" hidden="1">{"hilight2",#N/A,FALSE,"HILIGHT2"}</definedName>
    <definedName name="___________a3" hidden="1">{"hilight2",#N/A,FALSE,"HILIGHT2"}</definedName>
    <definedName name="___________a4" localSheetId="5" hidden="1">{"hilight3",#N/A,FALSE,"HILIGHT3"}</definedName>
    <definedName name="___________a4" hidden="1">{"hilight3",#N/A,FALSE,"HILIGHT3"}</definedName>
    <definedName name="___________a5" localSheetId="5" hidden="1">{"income",#N/A,FALSE,"INCOME"}</definedName>
    <definedName name="___________a5" hidden="1">{"income",#N/A,FALSE,"INCOME"}</definedName>
    <definedName name="___________a51" localSheetId="5" hidden="1">{"income",#N/A,FALSE,"INCOME"}</definedName>
    <definedName name="___________a51" hidden="1">{"income",#N/A,FALSE,"INCOME"}</definedName>
    <definedName name="___________a6" localSheetId="5" hidden="1">{"index",#N/A,FALSE,"INDEX"}</definedName>
    <definedName name="___________a6" hidden="1">{"index",#N/A,FALSE,"INDEX"}</definedName>
    <definedName name="___________a7" localSheetId="5" hidden="1">{"PRINT_EST",#N/A,FALSE,"ESTMON"}</definedName>
    <definedName name="___________a7" hidden="1">{"PRINT_EST",#N/A,FALSE,"ESTMON"}</definedName>
    <definedName name="___________a8" localSheetId="5" hidden="1">{"revsale",#N/A,FALSE,"REV-ยุพดี"}</definedName>
    <definedName name="___________a8" hidden="1">{"revsale",#N/A,FALSE,"REV-ยุพดี"}</definedName>
    <definedName name="___________a9" localSheetId="5" hidden="1">{"revable",#N/A,FALSE,"REVABLE"}</definedName>
    <definedName name="___________a9" hidden="1">{"revable",#N/A,FALSE,"REVABLE"}</definedName>
    <definedName name="___________B1" localSheetId="5" hidden="1">{"PRINT_EST",#N/A,FALSE,"ESTMON"}</definedName>
    <definedName name="___________B1" hidden="1">{"PRINT_EST",#N/A,FALSE,"ESTMON"}</definedName>
    <definedName name="___________f5" localSheetId="5" hidden="1">{"'Sheet1'!$L$16"}</definedName>
    <definedName name="___________f5" hidden="1">{"'Sheet1'!$L$16"}</definedName>
    <definedName name="___________FOH2006" localSheetId="5" hidden="1">{#N/A,#N/A,FALSE,"TL";#N/A,#N/A,FALSE,"KK";#N/A,#N/A,FALSE,"TS";#N/A,#N/A,FALSE,"KW";#N/A,#N/A,FALSE,"LP";#N/A,#N/A,FALSE,"DC"}</definedName>
    <definedName name="___________FOH2006" hidden="1">{#N/A,#N/A,FALSE,"TL";#N/A,#N/A,FALSE,"KK";#N/A,#N/A,FALSE,"TS";#N/A,#N/A,FALSE,"KW";#N/A,#N/A,FALSE,"LP";#N/A,#N/A,FALSE,"DC"}</definedName>
    <definedName name="___________KP300" localSheetId="5" hidden="1">{"level1",#N/A,FALSE,"1_LEV";"LEVEL1",#N/A,FALSE,"1_LEV"}</definedName>
    <definedName name="___________KP300" hidden="1">{"level1",#N/A,FALSE,"1_LEV";"LEVEL1",#N/A,FALSE,"1_LEV"}</definedName>
    <definedName name="_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localSheetId="5" hidden="1">{#N/A,#N/A,FALSE,"Assessment";#N/A,#N/A,FALSE,"Staffing";#N/A,#N/A,FALSE,"Hires";#N/A,#N/A,FALSE,"Assumptions"}</definedName>
    <definedName name="___________nat2" hidden="1">{#N/A,#N/A,FALSE,"Assessment";#N/A,#N/A,FALSE,"Staffing";#N/A,#N/A,FALSE,"Hires";#N/A,#N/A,FALSE,"Assumptions"}</definedName>
    <definedName name="___________nat3" localSheetId="5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localSheetId="5" hidden="1">{"'Sheet1'!$L$16"}</definedName>
    <definedName name="___________NSO2" hidden="1">{"'Sheet1'!$L$16"}</definedName>
    <definedName name="___________PA3" localSheetId="5" hidden="1">{"'Sheet1'!$L$16"}</definedName>
    <definedName name="___________PA3" hidden="1">{"'Sheet1'!$L$16"}</definedName>
    <definedName name="___________T01" localSheetId="5" hidden="1">#REF!</definedName>
    <definedName name="___________T01" localSheetId="4" hidden="1">#REF!</definedName>
    <definedName name="___________T01" hidden="1">#REF!</definedName>
    <definedName name="___________xlfn.BAHTTEXT" hidden="1">#NAME?</definedName>
    <definedName name="__________a1" localSheetId="5" hidden="1">{"cashflow",#N/A,FALSE,"CASHFLOW "}</definedName>
    <definedName name="__________a1" hidden="1">{"cashflow",#N/A,FALSE,"CASHFLOW "}</definedName>
    <definedName name="__________a10" localSheetId="5" hidden="1">{"sales",#N/A,FALSE,"SALES"}</definedName>
    <definedName name="__________a10" hidden="1">{"sales",#N/A,FALSE,"SALES"}</definedName>
    <definedName name="__________a11" localSheetId="5" hidden="1">{"'Sheet1'!$L$16"}</definedName>
    <definedName name="__________a11" hidden="1">{"'Sheet1'!$L$16"}</definedName>
    <definedName name="__________a12" localSheetId="5" hidden="1">{"'Sheet1'!$L$16"}</definedName>
    <definedName name="__________a12" hidden="1">{"'Sheet1'!$L$16"}</definedName>
    <definedName name="__________a133" localSheetId="5" hidden="1">{"revable",#N/A,FALSE,"REVABLE"}</definedName>
    <definedName name="__________a133" hidden="1">{"revable",#N/A,FALSE,"REVABLE"}</definedName>
    <definedName name="__________a2" localSheetId="5" hidden="1">{"hilight1",#N/A,FALSE,"HILIGHT1"}</definedName>
    <definedName name="__________a2" hidden="1">{"hilight1",#N/A,FALSE,"HILIGHT1"}</definedName>
    <definedName name="__________a3" localSheetId="5" hidden="1">{"hilight2",#N/A,FALSE,"HILIGHT2"}</definedName>
    <definedName name="__________a3" hidden="1">{"hilight2",#N/A,FALSE,"HILIGHT2"}</definedName>
    <definedName name="__________a4" localSheetId="5" hidden="1">{"hilight3",#N/A,FALSE,"HILIGHT3"}</definedName>
    <definedName name="__________a4" hidden="1">{"hilight3",#N/A,FALSE,"HILIGHT3"}</definedName>
    <definedName name="__________a5" localSheetId="5" hidden="1">{"income",#N/A,FALSE,"INCOME"}</definedName>
    <definedName name="__________a5" hidden="1">{"income",#N/A,FALSE,"INCOME"}</definedName>
    <definedName name="__________a51" localSheetId="5" hidden="1">{"income",#N/A,FALSE,"INCOME"}</definedName>
    <definedName name="__________a51" hidden="1">{"income",#N/A,FALSE,"INCOME"}</definedName>
    <definedName name="__________a6" localSheetId="5" hidden="1">{"index",#N/A,FALSE,"INDEX"}</definedName>
    <definedName name="__________a6" hidden="1">{"index",#N/A,FALSE,"INDEX"}</definedName>
    <definedName name="__________a7" localSheetId="5" hidden="1">{"PRINT_EST",#N/A,FALSE,"ESTMON"}</definedName>
    <definedName name="__________a7" hidden="1">{"PRINT_EST",#N/A,FALSE,"ESTMON"}</definedName>
    <definedName name="__________a8" localSheetId="5" hidden="1">{"revsale",#N/A,FALSE,"REV-ยุพดี"}</definedName>
    <definedName name="__________a8" hidden="1">{"revsale",#N/A,FALSE,"REV-ยุพดี"}</definedName>
    <definedName name="__________a9" localSheetId="5" hidden="1">{"revable",#N/A,FALSE,"REVABLE"}</definedName>
    <definedName name="__________a9" hidden="1">{"revable",#N/A,FALSE,"REVABLE"}</definedName>
    <definedName name="__________apr2" localSheetId="5" hidden="1">{"'Model'!$A$1:$N$53"}</definedName>
    <definedName name="__________apr2" hidden="1">{"'Model'!$A$1:$N$53"}</definedName>
    <definedName name="__________b1" localSheetId="5" hidden="1">{"'Sheet1'!$L$16"}</definedName>
    <definedName name="__________b1" hidden="1">{"'Sheet1'!$L$16"}</definedName>
    <definedName name="__________b3" localSheetId="5" hidden="1">{"'Sheet1'!$L$16"}</definedName>
    <definedName name="__________b3" hidden="1">{"'Sheet1'!$L$16"}</definedName>
    <definedName name="__________b4" localSheetId="5" hidden="1">{"'Sheet1'!$L$16"}</definedName>
    <definedName name="__________b4" hidden="1">{"'Sheet1'!$L$16"}</definedName>
    <definedName name="__________b5" localSheetId="5" hidden="1">{"'Sheet1'!$L$16"}</definedName>
    <definedName name="__________b5" hidden="1">{"'Sheet1'!$L$16"}</definedName>
    <definedName name="__________b6" localSheetId="5" hidden="1">{"'Sheet1'!$L$16"}</definedName>
    <definedName name="__________b6" hidden="1">{"'Sheet1'!$L$16"}</definedName>
    <definedName name="__________b7" localSheetId="5" hidden="1">{#N/A,#N/A,FALSE,"Chi tiÆt"}</definedName>
    <definedName name="__________b7" hidden="1">{#N/A,#N/A,FALSE,"Chi tiÆt"}</definedName>
    <definedName name="__________e1" localSheetId="5" hidden="1">{"'Sheet1'!$L$16"}</definedName>
    <definedName name="__________e1" hidden="1">{"'Sheet1'!$L$16"}</definedName>
    <definedName name="__________e2" localSheetId="5" hidden="1">{"'Sheet1'!$L$16"}</definedName>
    <definedName name="__________e2" hidden="1">{"'Sheet1'!$L$16"}</definedName>
    <definedName name="__________e4" localSheetId="5" hidden="1">{"'Sheet1'!$L$16"}</definedName>
    <definedName name="__________e4" hidden="1">{"'Sheet1'!$L$16"}</definedName>
    <definedName name="__________e5" localSheetId="5" hidden="1">{"'Sheet1'!$L$16"}</definedName>
    <definedName name="__________e5" hidden="1">{"'Sheet1'!$L$16"}</definedName>
    <definedName name="__________e6" localSheetId="5" hidden="1">{"'Sheet1'!$L$16"}</definedName>
    <definedName name="__________e6" hidden="1">{"'Sheet1'!$L$16"}</definedName>
    <definedName name="__________e7" localSheetId="5" hidden="1">{"'Sheet1'!$L$16"}</definedName>
    <definedName name="__________e7" hidden="1">{"'Sheet1'!$L$16"}</definedName>
    <definedName name="__________e8" localSheetId="5" hidden="1">{#N/A,#N/A,FALSE,"Chi tiÆt"}</definedName>
    <definedName name="__________e8" hidden="1">{#N/A,#N/A,FALSE,"Chi tiÆt"}</definedName>
    <definedName name="__________f1" localSheetId="5" hidden="1">{"'Sheet1'!$L$16"}</definedName>
    <definedName name="__________f1" hidden="1">{"'Sheet1'!$L$16"}</definedName>
    <definedName name="__________f2" localSheetId="5" hidden="1">{"'Sheet1'!$L$16"}</definedName>
    <definedName name="__________f2" hidden="1">{"'Sheet1'!$L$16"}</definedName>
    <definedName name="__________f3" localSheetId="5" hidden="1">{"'Sheet1'!$L$16"}</definedName>
    <definedName name="__________f3" hidden="1">{"'Sheet1'!$L$16"}</definedName>
    <definedName name="__________f4" localSheetId="5" hidden="1">{"'Sheet1'!$L$16"}</definedName>
    <definedName name="__________f4" hidden="1">{"'Sheet1'!$L$16"}</definedName>
    <definedName name="__________f5" localSheetId="5" hidden="1">{"'Sheet1'!$L$16"}</definedName>
    <definedName name="__________f5" hidden="1">{"'Sheet1'!$L$16"}</definedName>
    <definedName name="__________f6" localSheetId="5" hidden="1">{"'Sheet1'!$L$16"}</definedName>
    <definedName name="__________f6" hidden="1">{"'Sheet1'!$L$16"}</definedName>
    <definedName name="__________f7" localSheetId="5" hidden="1">{"'Sheet1'!$L$16"}</definedName>
    <definedName name="__________f7" hidden="1">{"'Sheet1'!$L$16"}</definedName>
    <definedName name="__________f8" localSheetId="5" hidden="1">{#N/A,#N/A,FALSE,"Chi tiÆt"}</definedName>
    <definedName name="__________f8" hidden="1">{#N/A,#N/A,FALSE,"Chi tiÆt"}</definedName>
    <definedName name="__________f9" localSheetId="5" hidden="1">{#N/A,#N/A,FALSE,"Chi tiÆt"}</definedName>
    <definedName name="__________f9" hidden="1">{#N/A,#N/A,FALSE,"Chi tiÆt"}</definedName>
    <definedName name="__________FOH2006" localSheetId="5" hidden="1">{#N/A,#N/A,FALSE,"TL";#N/A,#N/A,FALSE,"KK";#N/A,#N/A,FALSE,"TS";#N/A,#N/A,FALSE,"KW";#N/A,#N/A,FALSE,"LP";#N/A,#N/A,FALSE,"DC"}</definedName>
    <definedName name="__________FOH2006" hidden="1">{#N/A,#N/A,FALSE,"TL";#N/A,#N/A,FALSE,"KK";#N/A,#N/A,FALSE,"TS";#N/A,#N/A,FALSE,"KW";#N/A,#N/A,FALSE,"LP";#N/A,#N/A,FALSE,"DC"}</definedName>
    <definedName name="__________gw04" localSheetId="5" hidden="1">{#N/A,#N/A,FALSE,"Aging Summary";#N/A,#N/A,FALSE,"Ratio Analysis";#N/A,#N/A,FALSE,"Test 120 Day Accts";#N/A,#N/A,FALSE,"Tickmarks"}</definedName>
    <definedName name="__________gw04" hidden="1">{#N/A,#N/A,FALSE,"Aging Summary";#N/A,#N/A,FALSE,"Ratio Analysis";#N/A,#N/A,FALSE,"Test 120 Day Accts";#N/A,#N/A,FALSE,"Tickmarks"}</definedName>
    <definedName name="__________h2" localSheetId="5" hidden="1">{"'Model'!$A$1:$N$53"}</definedName>
    <definedName name="__________h2" hidden="1">{"'Model'!$A$1:$N$53"}</definedName>
    <definedName name="__________KP300" localSheetId="5" hidden="1">{"level1",#N/A,FALSE,"1_LEV";"LEVEL1",#N/A,FALSE,"1_LEV"}</definedName>
    <definedName name="__________KP300" hidden="1">{"level1",#N/A,FALSE,"1_LEV";"LEVEL1",#N/A,FALSE,"1_LEV"}</definedName>
    <definedName name="_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localSheetId="5" hidden="1">{#N/A,#N/A,FALSE,"Assessment";#N/A,#N/A,FALSE,"Staffing";#N/A,#N/A,FALSE,"Hires";#N/A,#N/A,FALSE,"Assumptions"}</definedName>
    <definedName name="__________nat2" hidden="1">{#N/A,#N/A,FALSE,"Assessment";#N/A,#N/A,FALSE,"Staffing";#N/A,#N/A,FALSE,"Hires";#N/A,#N/A,FALSE,"Assumptions"}</definedName>
    <definedName name="__________nat3" localSheetId="5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localSheetId="5" hidden="1">{"'Sheet1'!$L$16"}</definedName>
    <definedName name="__________NSO2" hidden="1">{"'Sheet1'!$L$16"}</definedName>
    <definedName name="__________s1" localSheetId="5" hidden="1">{"'Sheet1'!$L$16"}</definedName>
    <definedName name="__________s1" hidden="1">{"'Sheet1'!$L$16"}</definedName>
    <definedName name="__________s2" localSheetId="5" hidden="1">{"'Sheet1'!$L$16"}</definedName>
    <definedName name="__________s2" hidden="1">{"'Sheet1'!$L$16"}</definedName>
    <definedName name="__________s3" localSheetId="5" hidden="1">{"'Sheet1'!$L$16"}</definedName>
    <definedName name="__________s3" hidden="1">{"'Sheet1'!$L$16"}</definedName>
    <definedName name="__________s4" localSheetId="5" hidden="1">{"'Sheet1'!$L$16"}</definedName>
    <definedName name="__________s4" hidden="1">{"'Sheet1'!$L$16"}</definedName>
    <definedName name="__________s5" localSheetId="5" hidden="1">{"'Sheet1'!$L$16"}</definedName>
    <definedName name="__________s5" hidden="1">{"'Sheet1'!$L$16"}</definedName>
    <definedName name="__________s6" localSheetId="5" hidden="1">{#N/A,#N/A,FALSE,"Chi tiÆt"}</definedName>
    <definedName name="__________s6" hidden="1">{#N/A,#N/A,FALSE,"Chi tiÆt"}</definedName>
    <definedName name="__________s7" localSheetId="5" hidden="1">{#N/A,#N/A,FALSE,"Chi tiÆt"}</definedName>
    <definedName name="__________s7" hidden="1">{#N/A,#N/A,FALSE,"Chi tiÆt"}</definedName>
    <definedName name="__________T01" localSheetId="5" hidden="1">#REF!</definedName>
    <definedName name="__________T01" localSheetId="4" hidden="1">#REF!</definedName>
    <definedName name="__________T01" hidden="1">#REF!</definedName>
    <definedName name="__________t2" localSheetId="5" hidden="1">{"'Sheet1'!$L$16"}</definedName>
    <definedName name="__________t2" hidden="1">{"'Sheet1'!$L$16"}</definedName>
    <definedName name="__________t4" localSheetId="5" hidden="1">{"'Sheet1'!$L$16"}</definedName>
    <definedName name="__________t4" hidden="1">{"'Sheet1'!$L$16"}</definedName>
    <definedName name="__________t5" localSheetId="5" hidden="1">{"'Sheet1'!$L$16"}</definedName>
    <definedName name="__________t5" hidden="1">{"'Sheet1'!$L$16"}</definedName>
    <definedName name="__________t6" localSheetId="5" hidden="1">{"'Sheet1'!$L$16"}</definedName>
    <definedName name="__________t6" hidden="1">{"'Sheet1'!$L$16"}</definedName>
    <definedName name="__________t7" localSheetId="5" hidden="1">{"'Sheet1'!$L$16"}</definedName>
    <definedName name="__________t7" hidden="1">{"'Sheet1'!$L$16"}</definedName>
    <definedName name="__________t8" localSheetId="5" hidden="1">{#N/A,#N/A,FALSE,"Chi tiÆt"}</definedName>
    <definedName name="__________t8" hidden="1">{#N/A,#N/A,FALSE,"Chi tiÆt"}</definedName>
    <definedName name="__________t9" localSheetId="5" hidden="1">{"'Sheet1'!$L$16"}</definedName>
    <definedName name="__________t9" hidden="1">{"'Sheet1'!$L$16"}</definedName>
    <definedName name="__________w2" localSheetId="5" hidden="1">{"'Sheet1'!$L$16"}</definedName>
    <definedName name="__________w2" hidden="1">{"'Sheet1'!$L$16"}</definedName>
    <definedName name="__________w3" localSheetId="5" hidden="1">{"'Sheet1'!$L$16"}</definedName>
    <definedName name="__________w3" hidden="1">{"'Sheet1'!$L$16"}</definedName>
    <definedName name="__________w4" localSheetId="5" hidden="1">{"'Sheet1'!$L$16"}</definedName>
    <definedName name="__________w4" hidden="1">{"'Sheet1'!$L$16"}</definedName>
    <definedName name="__________w5" localSheetId="5" hidden="1">{"'Sheet1'!$L$16"}</definedName>
    <definedName name="__________w5" hidden="1">{"'Sheet1'!$L$16"}</definedName>
    <definedName name="__________w6" localSheetId="5" hidden="1">{#N/A,#N/A,FALSE,"Chi tiÆt"}</definedName>
    <definedName name="__________w6" hidden="1">{#N/A,#N/A,FALSE,"Chi tiÆt"}</definedName>
    <definedName name="__________w8" localSheetId="5" hidden="1">{"'Sheet1'!$L$16"}</definedName>
    <definedName name="__________w8" hidden="1">{"'Sheet1'!$L$16"}</definedName>
    <definedName name="__________w9" localSheetId="5" hidden="1">{"'Sheet1'!$L$16"}</definedName>
    <definedName name="__________w9" hidden="1">{"'Sheet1'!$L$16"}</definedName>
    <definedName name="__________xlfn.BAHTTEXT" hidden="1">#NAME?</definedName>
    <definedName name="_________a1" localSheetId="5" hidden="1">{"cashflow",#N/A,FALSE,"CASHFLOW "}</definedName>
    <definedName name="_________a1" hidden="1">{"cashflow",#N/A,FALSE,"CASHFLOW "}</definedName>
    <definedName name="_________a1_1" localSheetId="5" hidden="1">{"'Sheet1'!$L$16"}</definedName>
    <definedName name="_________a1_1" hidden="1">{"'Sheet1'!$L$16"}</definedName>
    <definedName name="_________a1_2" localSheetId="5" hidden="1">{"'Sheet1'!$L$16"}</definedName>
    <definedName name="_________a1_2" hidden="1">{"'Sheet1'!$L$16"}</definedName>
    <definedName name="_________a10" localSheetId="5" hidden="1">{"sales",#N/A,FALSE,"SALES"}</definedName>
    <definedName name="_________a10" hidden="1">{"sales",#N/A,FALSE,"SALES"}</definedName>
    <definedName name="_________a11" localSheetId="5" hidden="1">{"'Sheet1'!$L$16"}</definedName>
    <definedName name="_________a11" hidden="1">{"'Sheet1'!$L$16"}</definedName>
    <definedName name="_________a12" localSheetId="5" hidden="1">{"'Sheet1'!$L$16"}</definedName>
    <definedName name="_________a12" hidden="1">{"'Sheet1'!$L$16"}</definedName>
    <definedName name="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localSheetId="5" hidden="1">{"revable",#N/A,FALSE,"REVABLE"}</definedName>
    <definedName name="_________a133" hidden="1">{"revable",#N/A,FALSE,"REVABLE"}</definedName>
    <definedName name="_________a2" localSheetId="5" hidden="1">{"hilight1",#N/A,FALSE,"HILIGHT1"}</definedName>
    <definedName name="_________a2" hidden="1">{"hilight1",#N/A,FALSE,"HILIGHT1"}</definedName>
    <definedName name="_________a3" localSheetId="5" hidden="1">{"hilight2",#N/A,FALSE,"HILIGHT2"}</definedName>
    <definedName name="_________a3" hidden="1">{"hilight2",#N/A,FALSE,"HILIGHT2"}</definedName>
    <definedName name="_________a4" localSheetId="5" hidden="1">{"hilight3",#N/A,FALSE,"HILIGHT3"}</definedName>
    <definedName name="_________a4" hidden="1">{"hilight3",#N/A,FALSE,"HILIGHT3"}</definedName>
    <definedName name="_________a5" localSheetId="5" hidden="1">{"income",#N/A,FALSE,"INCOME"}</definedName>
    <definedName name="_________a5" hidden="1">{"income",#N/A,FALSE,"INCOME"}</definedName>
    <definedName name="_________a51" localSheetId="5" hidden="1">{"income",#N/A,FALSE,"INCOME"}</definedName>
    <definedName name="_________a51" hidden="1">{"income",#N/A,FALSE,"INCOME"}</definedName>
    <definedName name="_________a6" localSheetId="5" hidden="1">{"index",#N/A,FALSE,"INDEX"}</definedName>
    <definedName name="_________a6" hidden="1">{"index",#N/A,FALSE,"INDEX"}</definedName>
    <definedName name="_________a7" localSheetId="5" hidden="1">{"PRINT_EST",#N/A,FALSE,"ESTMON"}</definedName>
    <definedName name="_________a7" hidden="1">{"PRINT_EST",#N/A,FALSE,"ESTMON"}</definedName>
    <definedName name="_________a8" localSheetId="5" hidden="1">{"revsale",#N/A,FALSE,"REV-ยุพดี"}</definedName>
    <definedName name="_________a8" hidden="1">{"revsale",#N/A,FALSE,"REV-ยุพดี"}</definedName>
    <definedName name="_________a9" localSheetId="5" hidden="1">{"revable",#N/A,FALSE,"REVABLE"}</definedName>
    <definedName name="_________a9" hidden="1">{"revable",#N/A,FALSE,"REVABLE"}</definedName>
    <definedName name="_________apr2" localSheetId="5" hidden="1">{"'Model'!$A$1:$N$53"}</definedName>
    <definedName name="_________apr2" hidden="1">{"'Model'!$A$1:$N$53"}</definedName>
    <definedName name="_________b1" localSheetId="5" hidden="1">{"'Sheet1'!$L$16"}</definedName>
    <definedName name="_________b1" hidden="1">{"'Sheet1'!$L$16"}</definedName>
    <definedName name="_________b3" localSheetId="5" hidden="1">{"'Sheet1'!$L$16"}</definedName>
    <definedName name="_________b3" hidden="1">{"'Sheet1'!$L$16"}</definedName>
    <definedName name="_________b4" localSheetId="5" hidden="1">{"'Sheet1'!$L$16"}</definedName>
    <definedName name="_________b4" hidden="1">{"'Sheet1'!$L$16"}</definedName>
    <definedName name="_________b5" localSheetId="5" hidden="1">{"'Sheet1'!$L$16"}</definedName>
    <definedName name="_________b5" hidden="1">{"'Sheet1'!$L$16"}</definedName>
    <definedName name="_________b6" localSheetId="5" hidden="1">{"'Sheet1'!$L$16"}</definedName>
    <definedName name="_________b6" hidden="1">{"'Sheet1'!$L$16"}</definedName>
    <definedName name="_________b7" localSheetId="5" hidden="1">{#N/A,#N/A,FALSE,"Chi tiÆt"}</definedName>
    <definedName name="_________b7" hidden="1">{#N/A,#N/A,FALSE,"Chi tiÆt"}</definedName>
    <definedName name="_________e1" localSheetId="5" hidden="1">{"'Sheet1'!$L$16"}</definedName>
    <definedName name="_________e1" hidden="1">{"'Sheet1'!$L$16"}</definedName>
    <definedName name="_________e2" localSheetId="5" hidden="1">{"'Sheet1'!$L$16"}</definedName>
    <definedName name="_________e2" hidden="1">{"'Sheet1'!$L$16"}</definedName>
    <definedName name="_________e4" localSheetId="5" hidden="1">{"'Sheet1'!$L$16"}</definedName>
    <definedName name="_________e4" hidden="1">{"'Sheet1'!$L$16"}</definedName>
    <definedName name="_________e5" localSheetId="5" hidden="1">{"'Sheet1'!$L$16"}</definedName>
    <definedName name="_________e5" hidden="1">{"'Sheet1'!$L$16"}</definedName>
    <definedName name="_________e6" localSheetId="5" hidden="1">{"'Sheet1'!$L$16"}</definedName>
    <definedName name="_________e6" hidden="1">{"'Sheet1'!$L$16"}</definedName>
    <definedName name="_________e7" localSheetId="5" hidden="1">{"'Sheet1'!$L$16"}</definedName>
    <definedName name="_________e7" hidden="1">{"'Sheet1'!$L$16"}</definedName>
    <definedName name="_________e8" localSheetId="5" hidden="1">{#N/A,#N/A,FALSE,"Chi tiÆt"}</definedName>
    <definedName name="_________e8" hidden="1">{#N/A,#N/A,FALSE,"Chi tiÆt"}</definedName>
    <definedName name="_________f1" localSheetId="5" hidden="1">{"'Sheet1'!$L$16"}</definedName>
    <definedName name="_________f1" hidden="1">{"'Sheet1'!$L$16"}</definedName>
    <definedName name="_________f2" localSheetId="5" hidden="1">{"'Sheet1'!$L$16"}</definedName>
    <definedName name="_________f2" hidden="1">{"'Sheet1'!$L$16"}</definedName>
    <definedName name="_________f3" localSheetId="5" hidden="1">{"'Sheet1'!$L$16"}</definedName>
    <definedName name="_________f3" hidden="1">{"'Sheet1'!$L$16"}</definedName>
    <definedName name="_________f4" localSheetId="5" hidden="1">{"'Sheet1'!$L$16"}</definedName>
    <definedName name="_________f4" hidden="1">{"'Sheet1'!$L$16"}</definedName>
    <definedName name="_________f5" localSheetId="5" hidden="1">{"'Sheet1'!$L$16"}</definedName>
    <definedName name="_________f5" hidden="1">{"'Sheet1'!$L$16"}</definedName>
    <definedName name="_________f6" localSheetId="5" hidden="1">{"'Sheet1'!$L$16"}</definedName>
    <definedName name="_________f6" hidden="1">{"'Sheet1'!$L$16"}</definedName>
    <definedName name="_________f7" localSheetId="5" hidden="1">{"'Sheet1'!$L$16"}</definedName>
    <definedName name="_________f7" hidden="1">{"'Sheet1'!$L$16"}</definedName>
    <definedName name="_________f8" localSheetId="5" hidden="1">{#N/A,#N/A,FALSE,"Chi tiÆt"}</definedName>
    <definedName name="_________f8" hidden="1">{#N/A,#N/A,FALSE,"Chi tiÆt"}</definedName>
    <definedName name="_________f9" localSheetId="5" hidden="1">{#N/A,#N/A,FALSE,"Chi tiÆt"}</definedName>
    <definedName name="_________f9" hidden="1">{#N/A,#N/A,FALSE,"Chi tiÆt"}</definedName>
    <definedName name="_________FOH2006" localSheetId="5" hidden="1">{#N/A,#N/A,FALSE,"TL";#N/A,#N/A,FALSE,"KK";#N/A,#N/A,FALSE,"TS";#N/A,#N/A,FALSE,"KW";#N/A,#N/A,FALSE,"LP";#N/A,#N/A,FALSE,"DC"}</definedName>
    <definedName name="_________FOH2006" hidden="1">{#N/A,#N/A,FALSE,"TL";#N/A,#N/A,FALSE,"KK";#N/A,#N/A,FALSE,"TS";#N/A,#N/A,FALSE,"KW";#N/A,#N/A,FALSE,"LP";#N/A,#N/A,FALSE,"DC"}</definedName>
    <definedName name="_________Goi8" localSheetId="5" hidden="1">{"'Sheet1'!$L$16"}</definedName>
    <definedName name="_________Goi8" hidden="1">{"'Sheet1'!$L$16"}</definedName>
    <definedName name="_________gw04" localSheetId="5" hidden="1">{#N/A,#N/A,FALSE,"Aging Summary";#N/A,#N/A,FALSE,"Ratio Analysis";#N/A,#N/A,FALSE,"Test 120 Day Accts";#N/A,#N/A,FALSE,"Tickmarks"}</definedName>
    <definedName name="_________gw04" hidden="1">{#N/A,#N/A,FALSE,"Aging Summary";#N/A,#N/A,FALSE,"Ratio Analysis";#N/A,#N/A,FALSE,"Test 120 Day Accts";#N/A,#N/A,FALSE,"Tickmarks"}</definedName>
    <definedName name="_________h2" localSheetId="5" hidden="1">{"'Model'!$A$1:$N$53"}</definedName>
    <definedName name="_________h2" hidden="1">{"'Model'!$A$1:$N$53"}</definedName>
    <definedName name="_________KP300" localSheetId="5" hidden="1">{"level1",#N/A,FALSE,"1_LEV";"LEVEL1",#N/A,FALSE,"1_LEV"}</definedName>
    <definedName name="_________KP300" hidden="1">{"level1",#N/A,FALSE,"1_LEV";"LEVEL1",#N/A,FALSE,"1_LEV"}</definedName>
    <definedName name="_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localSheetId="5" hidden="1">{#N/A,#N/A,FALSE,"Assessment";#N/A,#N/A,FALSE,"Staffing";#N/A,#N/A,FALSE,"Hires";#N/A,#N/A,FALSE,"Assumptions"}</definedName>
    <definedName name="_________nat2" hidden="1">{#N/A,#N/A,FALSE,"Assessment";#N/A,#N/A,FALSE,"Staffing";#N/A,#N/A,FALSE,"Hires";#N/A,#N/A,FALSE,"Assumptions"}</definedName>
    <definedName name="_________nat3" localSheetId="5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localSheetId="5" hidden="1">{"'Sheet1'!$L$16"}</definedName>
    <definedName name="_________NSO2" hidden="1">{"'Sheet1'!$L$16"}</definedName>
    <definedName name="_________NSO2_1" localSheetId="5" hidden="1">{"'Sheet1'!$L$16"}</definedName>
    <definedName name="_________NSO2_1" hidden="1">{"'Sheet1'!$L$16"}</definedName>
    <definedName name="_________NSO2_2" localSheetId="5" hidden="1">{"'Sheet1'!$L$16"}</definedName>
    <definedName name="_________NSO2_2" hidden="1">{"'Sheet1'!$L$16"}</definedName>
    <definedName name="_________PA3" localSheetId="5" hidden="1">{"'Sheet1'!$L$16"}</definedName>
    <definedName name="_________PA3" hidden="1">{"'Sheet1'!$L$16"}</definedName>
    <definedName name="_________s1" localSheetId="5" hidden="1">{"'Sheet1'!$L$16"}</definedName>
    <definedName name="_________s1" hidden="1">{"'Sheet1'!$L$16"}</definedName>
    <definedName name="_________s2" localSheetId="5" hidden="1">{"'Sheet1'!$L$16"}</definedName>
    <definedName name="_________s2" hidden="1">{"'Sheet1'!$L$16"}</definedName>
    <definedName name="_________s3" localSheetId="5" hidden="1">{"'Sheet1'!$L$16"}</definedName>
    <definedName name="_________s3" hidden="1">{"'Sheet1'!$L$16"}</definedName>
    <definedName name="_________s4" localSheetId="5" hidden="1">{"'Sheet1'!$L$16"}</definedName>
    <definedName name="_________s4" hidden="1">{"'Sheet1'!$L$16"}</definedName>
    <definedName name="_________s5" localSheetId="5" hidden="1">{"'Sheet1'!$L$16"}</definedName>
    <definedName name="_________s5" hidden="1">{"'Sheet1'!$L$16"}</definedName>
    <definedName name="_________s6" localSheetId="5" hidden="1">{#N/A,#N/A,FALSE,"Chi tiÆt"}</definedName>
    <definedName name="_________s6" hidden="1">{#N/A,#N/A,FALSE,"Chi tiÆt"}</definedName>
    <definedName name="_________s7" localSheetId="5" hidden="1">{#N/A,#N/A,FALSE,"Chi tiÆt"}</definedName>
    <definedName name="_________s7" hidden="1">{#N/A,#N/A,FALSE,"Chi tiÆt"}</definedName>
    <definedName name="_________T01" localSheetId="5" hidden="1">#REF!</definedName>
    <definedName name="_________T01" localSheetId="4" hidden="1">#REF!</definedName>
    <definedName name="_________T01" hidden="1">#REF!</definedName>
    <definedName name="_________t2" localSheetId="5" hidden="1">{"'Sheet1'!$L$16"}</definedName>
    <definedName name="_________t2" hidden="1">{"'Sheet1'!$L$16"}</definedName>
    <definedName name="_________t4" localSheetId="5" hidden="1">{"'Sheet1'!$L$16"}</definedName>
    <definedName name="_________t4" hidden="1">{"'Sheet1'!$L$16"}</definedName>
    <definedName name="_________t5" localSheetId="5" hidden="1">{"'Sheet1'!$L$16"}</definedName>
    <definedName name="_________t5" hidden="1">{"'Sheet1'!$L$16"}</definedName>
    <definedName name="_________t6" localSheetId="5" hidden="1">{"'Sheet1'!$L$16"}</definedName>
    <definedName name="_________t6" hidden="1">{"'Sheet1'!$L$16"}</definedName>
    <definedName name="_________t7" localSheetId="5" hidden="1">{"'Sheet1'!$L$16"}</definedName>
    <definedName name="_________t7" hidden="1">{"'Sheet1'!$L$16"}</definedName>
    <definedName name="_________t8" localSheetId="5" hidden="1">{#N/A,#N/A,FALSE,"Chi tiÆt"}</definedName>
    <definedName name="_________t8" hidden="1">{#N/A,#N/A,FALSE,"Chi tiÆt"}</definedName>
    <definedName name="_________t9" localSheetId="5" hidden="1">{"'Sheet1'!$L$16"}</definedName>
    <definedName name="_________t9" hidden="1">{"'Sheet1'!$L$16"}</definedName>
    <definedName name="_________w2" localSheetId="5" hidden="1">{"'Sheet1'!$L$16"}</definedName>
    <definedName name="_________w2" hidden="1">{"'Sheet1'!$L$16"}</definedName>
    <definedName name="_________w3" localSheetId="5" hidden="1">{"'Sheet1'!$L$16"}</definedName>
    <definedName name="_________w3" hidden="1">{"'Sheet1'!$L$16"}</definedName>
    <definedName name="_________w4" localSheetId="5" hidden="1">{"'Sheet1'!$L$16"}</definedName>
    <definedName name="_________w4" hidden="1">{"'Sheet1'!$L$16"}</definedName>
    <definedName name="_________w5" localSheetId="5" hidden="1">{"'Sheet1'!$L$16"}</definedName>
    <definedName name="_________w5" hidden="1">{"'Sheet1'!$L$16"}</definedName>
    <definedName name="_________w6" localSheetId="5" hidden="1">{#N/A,#N/A,FALSE,"Chi tiÆt"}</definedName>
    <definedName name="_________w6" hidden="1">{#N/A,#N/A,FALSE,"Chi tiÆt"}</definedName>
    <definedName name="_________w8" localSheetId="5" hidden="1">{"'Sheet1'!$L$16"}</definedName>
    <definedName name="_________w8" hidden="1">{"'Sheet1'!$L$16"}</definedName>
    <definedName name="_________w9" localSheetId="5" hidden="1">{"'Sheet1'!$L$16"}</definedName>
    <definedName name="_________w9" hidden="1">{"'Sheet1'!$L$16"}</definedName>
    <definedName name="_________xlfn.BAHTTEXT" hidden="1">#NAME?</definedName>
    <definedName name="________a1" localSheetId="5" hidden="1">{"cashflow",#N/A,FALSE,"CASHFLOW "}</definedName>
    <definedName name="________a1" hidden="1">{"cashflow",#N/A,FALSE,"CASHFLOW "}</definedName>
    <definedName name="________a1_1" localSheetId="5" hidden="1">{"'Sheet1'!$L$16"}</definedName>
    <definedName name="________a1_1" hidden="1">{"'Sheet1'!$L$16"}</definedName>
    <definedName name="________a1_2" localSheetId="5" hidden="1">{"'Sheet1'!$L$16"}</definedName>
    <definedName name="________a1_2" hidden="1">{"'Sheet1'!$L$16"}</definedName>
    <definedName name="________a10" localSheetId="5" hidden="1">{"sales",#N/A,FALSE,"SALES"}</definedName>
    <definedName name="________a10" hidden="1">{"sales",#N/A,FALSE,"SALES"}</definedName>
    <definedName name="________a11" localSheetId="5" hidden="1">{"'Sheet1'!$L$16"}</definedName>
    <definedName name="________a11" hidden="1">{"'Sheet1'!$L$16"}</definedName>
    <definedName name="________a12" localSheetId="5" hidden="1">{"'Sheet1'!$L$16"}</definedName>
    <definedName name="________a12" hidden="1">{"'Sheet1'!$L$16"}</definedName>
    <definedName name="________a133" localSheetId="5" hidden="1">{"revable",#N/A,FALSE,"REVABLE"}</definedName>
    <definedName name="________a133" hidden="1">{"revable",#N/A,FALSE,"REVABLE"}</definedName>
    <definedName name="________a2" localSheetId="5" hidden="1">{"hilight1",#N/A,FALSE,"HILIGHT1"}</definedName>
    <definedName name="________a2" hidden="1">{"hilight1",#N/A,FALSE,"HILIGHT1"}</definedName>
    <definedName name="________a3" localSheetId="5" hidden="1">{"hilight2",#N/A,FALSE,"HILIGHT2"}</definedName>
    <definedName name="________a3" hidden="1">{"hilight2",#N/A,FALSE,"HILIGHT2"}</definedName>
    <definedName name="________a4" localSheetId="5" hidden="1">{"hilight3",#N/A,FALSE,"HILIGHT3"}</definedName>
    <definedName name="________a4" hidden="1">{"hilight3",#N/A,FALSE,"HILIGHT3"}</definedName>
    <definedName name="________a5" localSheetId="5" hidden="1">{"income",#N/A,FALSE,"INCOME"}</definedName>
    <definedName name="________a5" hidden="1">{"income",#N/A,FALSE,"INCOME"}</definedName>
    <definedName name="________a51" localSheetId="5" hidden="1">{"income",#N/A,FALSE,"INCOME"}</definedName>
    <definedName name="________a51" hidden="1">{"income",#N/A,FALSE,"INCOME"}</definedName>
    <definedName name="________a6" localSheetId="5" hidden="1">{"index",#N/A,FALSE,"INDEX"}</definedName>
    <definedName name="________a6" hidden="1">{"index",#N/A,FALSE,"INDEX"}</definedName>
    <definedName name="________a7" localSheetId="5" hidden="1">{"PRINT_EST",#N/A,FALSE,"ESTMON"}</definedName>
    <definedName name="________a7" hidden="1">{"PRINT_EST",#N/A,FALSE,"ESTMON"}</definedName>
    <definedName name="________a8" localSheetId="5" hidden="1">{"revsale",#N/A,FALSE,"REV-ยุพดี"}</definedName>
    <definedName name="________a8" hidden="1">{"revsale",#N/A,FALSE,"REV-ยุพดี"}</definedName>
    <definedName name="________a9" localSheetId="5" hidden="1">{"revable",#N/A,FALSE,"REVABLE"}</definedName>
    <definedName name="________a9" hidden="1">{"revable",#N/A,FALSE,"REVABLE"}</definedName>
    <definedName name="________apr2" localSheetId="5" hidden="1">{"'Model'!$A$1:$N$53"}</definedName>
    <definedName name="________apr2" hidden="1">{"'Model'!$A$1:$N$53"}</definedName>
    <definedName name="________b1" localSheetId="5" hidden="1">{"'Sheet1'!$L$16"}</definedName>
    <definedName name="________b1" hidden="1">{"'Sheet1'!$L$16"}</definedName>
    <definedName name="________b3" localSheetId="5" hidden="1">{"'Sheet1'!$L$16"}</definedName>
    <definedName name="________b3" hidden="1">{"'Sheet1'!$L$16"}</definedName>
    <definedName name="________b4" localSheetId="5" hidden="1">{"'Sheet1'!$L$16"}</definedName>
    <definedName name="________b4" hidden="1">{"'Sheet1'!$L$16"}</definedName>
    <definedName name="________b5" localSheetId="5" hidden="1">{"'Sheet1'!$L$16"}</definedName>
    <definedName name="________b5" hidden="1">{"'Sheet1'!$L$16"}</definedName>
    <definedName name="________b6" localSheetId="5" hidden="1">{"'Sheet1'!$L$16"}</definedName>
    <definedName name="________b6" hidden="1">{"'Sheet1'!$L$16"}</definedName>
    <definedName name="________b7" localSheetId="5" hidden="1">{#N/A,#N/A,FALSE,"Chi tiÆt"}</definedName>
    <definedName name="________b7" hidden="1">{#N/A,#N/A,FALSE,"Chi tiÆt"}</definedName>
    <definedName name="________e1" localSheetId="5" hidden="1">{"'Sheet1'!$L$16"}</definedName>
    <definedName name="________e1" hidden="1">{"'Sheet1'!$L$16"}</definedName>
    <definedName name="________e2" localSheetId="5" hidden="1">{"'Sheet1'!$L$16"}</definedName>
    <definedName name="________e2" hidden="1">{"'Sheet1'!$L$16"}</definedName>
    <definedName name="________e4" localSheetId="5" hidden="1">{"'Sheet1'!$L$16"}</definedName>
    <definedName name="________e4" hidden="1">{"'Sheet1'!$L$16"}</definedName>
    <definedName name="________e5" localSheetId="5" hidden="1">{"'Sheet1'!$L$16"}</definedName>
    <definedName name="________e5" hidden="1">{"'Sheet1'!$L$16"}</definedName>
    <definedName name="________e6" localSheetId="5" hidden="1">{"'Sheet1'!$L$16"}</definedName>
    <definedName name="________e6" hidden="1">{"'Sheet1'!$L$16"}</definedName>
    <definedName name="________e7" localSheetId="5" hidden="1">{"'Sheet1'!$L$16"}</definedName>
    <definedName name="________e7" hidden="1">{"'Sheet1'!$L$16"}</definedName>
    <definedName name="________e8" localSheetId="5" hidden="1">{#N/A,#N/A,FALSE,"Chi tiÆt"}</definedName>
    <definedName name="________e8" hidden="1">{#N/A,#N/A,FALSE,"Chi tiÆt"}</definedName>
    <definedName name="________f1" localSheetId="5" hidden="1">{"'Sheet1'!$L$16"}</definedName>
    <definedName name="________f1" hidden="1">{"'Sheet1'!$L$16"}</definedName>
    <definedName name="________f2" localSheetId="5" hidden="1">{"'Sheet1'!$L$16"}</definedName>
    <definedName name="________f2" hidden="1">{"'Sheet1'!$L$16"}</definedName>
    <definedName name="________f3" localSheetId="5" hidden="1">{"'Sheet1'!$L$16"}</definedName>
    <definedName name="________f3" hidden="1">{"'Sheet1'!$L$16"}</definedName>
    <definedName name="________f4" localSheetId="5" hidden="1">{"'Sheet1'!$L$16"}</definedName>
    <definedName name="________f4" hidden="1">{"'Sheet1'!$L$16"}</definedName>
    <definedName name="________f5" localSheetId="5" hidden="1">{"'Sheet1'!$L$16"}</definedName>
    <definedName name="________f5" hidden="1">{"'Sheet1'!$L$16"}</definedName>
    <definedName name="________f6" localSheetId="5" hidden="1">{"'Sheet1'!$L$16"}</definedName>
    <definedName name="________f6" hidden="1">{"'Sheet1'!$L$16"}</definedName>
    <definedName name="________f7" localSheetId="5" hidden="1">{"'Sheet1'!$L$16"}</definedName>
    <definedName name="________f7" hidden="1">{"'Sheet1'!$L$16"}</definedName>
    <definedName name="________f8" localSheetId="5" hidden="1">{#N/A,#N/A,FALSE,"Chi tiÆt"}</definedName>
    <definedName name="________f8" hidden="1">{#N/A,#N/A,FALSE,"Chi tiÆt"}</definedName>
    <definedName name="________f9" localSheetId="5" hidden="1">{#N/A,#N/A,FALSE,"Chi tiÆt"}</definedName>
    <definedName name="________f9" hidden="1">{#N/A,#N/A,FALSE,"Chi tiÆt"}</definedName>
    <definedName name="________FOH2006" localSheetId="5" hidden="1">{#N/A,#N/A,FALSE,"TL";#N/A,#N/A,FALSE,"KK";#N/A,#N/A,FALSE,"TS";#N/A,#N/A,FALSE,"KW";#N/A,#N/A,FALSE,"LP";#N/A,#N/A,FALSE,"DC"}</definedName>
    <definedName name="________FOH2006" hidden="1">{#N/A,#N/A,FALSE,"TL";#N/A,#N/A,FALSE,"KK";#N/A,#N/A,FALSE,"TS";#N/A,#N/A,FALSE,"KW";#N/A,#N/A,FALSE,"LP";#N/A,#N/A,FALSE,"DC"}</definedName>
    <definedName name="________gw04" localSheetId="5" hidden="1">{#N/A,#N/A,FALSE,"Aging Summary";#N/A,#N/A,FALSE,"Ratio Analysis";#N/A,#N/A,FALSE,"Test 120 Day Accts";#N/A,#N/A,FALSE,"Tickmarks"}</definedName>
    <definedName name="________gw04" hidden="1">{#N/A,#N/A,FALSE,"Aging Summary";#N/A,#N/A,FALSE,"Ratio Analysis";#N/A,#N/A,FALSE,"Test 120 Day Accts";#N/A,#N/A,FALSE,"Tickmarks"}</definedName>
    <definedName name="________H1" localSheetId="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localSheetId="5" hidden="1">{"'Model'!$A$1:$N$53"}</definedName>
    <definedName name="________h2" hidden="1">{"'Model'!$A$1:$N$53"}</definedName>
    <definedName name="________KP300" localSheetId="5" hidden="1">{"level1",#N/A,FALSE,"1_LEV";"LEVEL1",#N/A,FALSE,"1_LEV"}</definedName>
    <definedName name="________KP300" hidden="1">{"level1",#N/A,FALSE,"1_LEV";"LEVEL1",#N/A,FALSE,"1_LEV"}</definedName>
    <definedName name="________Lan1" localSheetId="5" hidden="1">{"'Sheet1'!$L$16"}</definedName>
    <definedName name="________Lan1" hidden="1">{"'Sheet1'!$L$16"}</definedName>
    <definedName name="________LAN3" localSheetId="5" hidden="1">{"'Sheet1'!$L$16"}</definedName>
    <definedName name="________LAN3" hidden="1">{"'Sheet1'!$L$16"}</definedName>
    <definedName name="_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localSheetId="5" hidden="1">{#N/A,#N/A,FALSE,"RECONC'L";#N/A,#N/A,FALSE,"WORKCAP";#N/A,#N/A,FALSE,"RECONC'L";#N/A,#N/A,FALSE,"ACCRUAL";#N/A,#N/A,FALSE,"DEBTOR";#N/A,#N/A,FALSE,"ADMALLOC"}</definedName>
    <definedName name="________n1" hidden="1">{#N/A,#N/A,FALSE,"RECONC'L";#N/A,#N/A,FALSE,"WORKCAP";#N/A,#N/A,FALSE,"RECONC'L";#N/A,#N/A,FALSE,"ACCRUAL";#N/A,#N/A,FALSE,"DEBTOR";#N/A,#N/A,FALSE,"ADMALLOC"}</definedName>
    <definedName name="________nat2" localSheetId="5" hidden="1">{#N/A,#N/A,FALSE,"Assessment";#N/A,#N/A,FALSE,"Staffing";#N/A,#N/A,FALSE,"Hires";#N/A,#N/A,FALSE,"Assumptions"}</definedName>
    <definedName name="________nat2" hidden="1">{#N/A,#N/A,FALSE,"Assessment";#N/A,#N/A,FALSE,"Staffing";#N/A,#N/A,FALSE,"Hires";#N/A,#N/A,FALSE,"Assumptions"}</definedName>
    <definedName name="________nat3" localSheetId="5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localSheetId="5" hidden="1">{"'Sheet1'!$L$16"}</definedName>
    <definedName name="________NSO2" hidden="1">{"'Sheet1'!$L$16"}</definedName>
    <definedName name="________NSO2_1" localSheetId="5" hidden="1">{"'Sheet1'!$L$16"}</definedName>
    <definedName name="________NSO2_1" hidden="1">{"'Sheet1'!$L$16"}</definedName>
    <definedName name="________NSO2_2" localSheetId="5" hidden="1">{"'Sheet1'!$L$16"}</definedName>
    <definedName name="________NSO2_2" hidden="1">{"'Sheet1'!$L$16"}</definedName>
    <definedName name="________q2" localSheetId="5" hidden="1">{"PAGE 1",#N/A,FALSE,"หน้า 1,2,3";"PAGE 2",#N/A,FALSE,"หน้า 1,2,3";"PAGE 3",#N/A,FALSE,"หน้า 1,2,3"}</definedName>
    <definedName name="________q2" hidden="1">{"PAGE 1",#N/A,FALSE,"หน้า 1,2,3";"PAGE 2",#N/A,FALSE,"หน้า 1,2,3";"PAGE 3",#N/A,FALSE,"หน้า 1,2,3"}</definedName>
    <definedName name="________q3" localSheetId="5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localSheetId="5" hidden="1">{"'Sheet1'!$L$16"}</definedName>
    <definedName name="________s1" hidden="1">{"'Sheet1'!$L$16"}</definedName>
    <definedName name="________s2" localSheetId="5" hidden="1">{"'Sheet1'!$L$16"}</definedName>
    <definedName name="________s2" hidden="1">{"'Sheet1'!$L$16"}</definedName>
    <definedName name="________s3" localSheetId="5" hidden="1">{"'Sheet1'!$L$16"}</definedName>
    <definedName name="________s3" hidden="1">{"'Sheet1'!$L$16"}</definedName>
    <definedName name="________s4" localSheetId="5" hidden="1">{"'Sheet1'!$L$16"}</definedName>
    <definedName name="________s4" hidden="1">{"'Sheet1'!$L$16"}</definedName>
    <definedName name="________s5" localSheetId="5" hidden="1">{"'Sheet1'!$L$16"}</definedName>
    <definedName name="________s5" hidden="1">{"'Sheet1'!$L$16"}</definedName>
    <definedName name="________s6" localSheetId="5" hidden="1">{#N/A,#N/A,FALSE,"Chi tiÆt"}</definedName>
    <definedName name="________s6" hidden="1">{#N/A,#N/A,FALSE,"Chi tiÆt"}</definedName>
    <definedName name="________s7" localSheetId="5" hidden="1">{#N/A,#N/A,FALSE,"Chi tiÆt"}</definedName>
    <definedName name="________s7" hidden="1">{#N/A,#N/A,FALSE,"Chi tiÆt"}</definedName>
    <definedName name="________T01" localSheetId="5" hidden="1">#REF!</definedName>
    <definedName name="________T01" localSheetId="4" hidden="1">#REF!</definedName>
    <definedName name="________T01" hidden="1">#REF!</definedName>
    <definedName name="________t2" localSheetId="5" hidden="1">{"'Sheet1'!$L$16"}</definedName>
    <definedName name="________t2" hidden="1">{"'Sheet1'!$L$16"}</definedName>
    <definedName name="________t4" localSheetId="5" hidden="1">{"'Sheet1'!$L$16"}</definedName>
    <definedName name="________t4" hidden="1">{"'Sheet1'!$L$16"}</definedName>
    <definedName name="________t5" localSheetId="5" hidden="1">{"'Sheet1'!$L$16"}</definedName>
    <definedName name="________t5" hidden="1">{"'Sheet1'!$L$16"}</definedName>
    <definedName name="________t6" localSheetId="5" hidden="1">{"'Sheet1'!$L$16"}</definedName>
    <definedName name="________t6" hidden="1">{"'Sheet1'!$L$16"}</definedName>
    <definedName name="________t7" localSheetId="5" hidden="1">{"'Sheet1'!$L$16"}</definedName>
    <definedName name="________t7" hidden="1">{"'Sheet1'!$L$16"}</definedName>
    <definedName name="________t8" localSheetId="5" hidden="1">{#N/A,#N/A,FALSE,"Chi tiÆt"}</definedName>
    <definedName name="________t8" hidden="1">{#N/A,#N/A,FALSE,"Chi tiÆt"}</definedName>
    <definedName name="________t9" localSheetId="5" hidden="1">{"'Sheet1'!$L$16"}</definedName>
    <definedName name="________t9" hidden="1">{"'Sheet1'!$L$16"}</definedName>
    <definedName name="________w2" localSheetId="5" hidden="1">{"'Sheet1'!$L$16"}</definedName>
    <definedName name="________w2" hidden="1">{"'Sheet1'!$L$16"}</definedName>
    <definedName name="________w3" localSheetId="5" hidden="1">{"'Sheet1'!$L$16"}</definedName>
    <definedName name="________w3" hidden="1">{"'Sheet1'!$L$16"}</definedName>
    <definedName name="________w4" localSheetId="5" hidden="1">{"'Sheet1'!$L$16"}</definedName>
    <definedName name="________w4" hidden="1">{"'Sheet1'!$L$16"}</definedName>
    <definedName name="________w5" localSheetId="5" hidden="1">{"'Sheet1'!$L$16"}</definedName>
    <definedName name="________w5" hidden="1">{"'Sheet1'!$L$16"}</definedName>
    <definedName name="________w6" localSheetId="5" hidden="1">{#N/A,#N/A,FALSE,"Chi tiÆt"}</definedName>
    <definedName name="________w6" hidden="1">{#N/A,#N/A,FALSE,"Chi tiÆt"}</definedName>
    <definedName name="________w8" localSheetId="5" hidden="1">{"'Sheet1'!$L$16"}</definedName>
    <definedName name="________w8" hidden="1">{"'Sheet1'!$L$16"}</definedName>
    <definedName name="________w9" localSheetId="5" hidden="1">{"'Sheet1'!$L$16"}</definedName>
    <definedName name="________w9" hidden="1">{"'Sheet1'!$L$16"}</definedName>
    <definedName name="________xlfn.BAHTTEXT" hidden="1">#NAME?</definedName>
    <definedName name="_______a1" localSheetId="5" hidden="1">{"cashflow",#N/A,FALSE,"CASHFLOW "}</definedName>
    <definedName name="_______a1" hidden="1">{"cashflow",#N/A,FALSE,"CASHFLOW "}</definedName>
    <definedName name="_______a1_1" localSheetId="5" hidden="1">{"'Sheet1'!$L$16"}</definedName>
    <definedName name="_______a1_1" hidden="1">{"'Sheet1'!$L$16"}</definedName>
    <definedName name="_______a1_2" localSheetId="5" hidden="1">{"'Sheet1'!$L$16"}</definedName>
    <definedName name="_______a1_2" hidden="1">{"'Sheet1'!$L$16"}</definedName>
    <definedName name="_______a10" localSheetId="5" hidden="1">{"sales",#N/A,FALSE,"SALES"}</definedName>
    <definedName name="_______a10" hidden="1">{"sales",#N/A,FALSE,"SALES"}</definedName>
    <definedName name="_______a11" localSheetId="5" hidden="1">{"'Sheet1'!$L$16"}</definedName>
    <definedName name="_______a11" hidden="1">{"'Sheet1'!$L$16"}</definedName>
    <definedName name="_______a12" localSheetId="5" hidden="1">{"'Sheet1'!$L$16"}</definedName>
    <definedName name="_______a12" hidden="1">{"'Sheet1'!$L$16"}</definedName>
    <definedName name="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localSheetId="5" hidden="1">{"revable",#N/A,FALSE,"REVABLE"}</definedName>
    <definedName name="_______a133" hidden="1">{"revable",#N/A,FALSE,"REVABLE"}</definedName>
    <definedName name="_______a2" localSheetId="5" hidden="1">{"hilight1",#N/A,FALSE,"HILIGHT1"}</definedName>
    <definedName name="_______a2" hidden="1">{"hilight1",#N/A,FALSE,"HILIGHT1"}</definedName>
    <definedName name="_______a3" localSheetId="5" hidden="1">{"hilight2",#N/A,FALSE,"HILIGHT2"}</definedName>
    <definedName name="_______a3" hidden="1">{"hilight2",#N/A,FALSE,"HILIGHT2"}</definedName>
    <definedName name="_______a4" localSheetId="5" hidden="1">{"hilight3",#N/A,FALSE,"HILIGHT3"}</definedName>
    <definedName name="_______a4" hidden="1">{"hilight3",#N/A,FALSE,"HILIGHT3"}</definedName>
    <definedName name="_______a5" localSheetId="5" hidden="1">{"income",#N/A,FALSE,"INCOME"}</definedName>
    <definedName name="_______a5" hidden="1">{"income",#N/A,FALSE,"INCOME"}</definedName>
    <definedName name="_______a51" localSheetId="5" hidden="1">{"income",#N/A,FALSE,"INCOME"}</definedName>
    <definedName name="_______a51" hidden="1">{"income",#N/A,FALSE,"INCOME"}</definedName>
    <definedName name="_______a6" localSheetId="5" hidden="1">{"index",#N/A,FALSE,"INDEX"}</definedName>
    <definedName name="_______a6" hidden="1">{"index",#N/A,FALSE,"INDEX"}</definedName>
    <definedName name="_______a7" localSheetId="5" hidden="1">{"PRINT_EST",#N/A,FALSE,"ESTMON"}</definedName>
    <definedName name="_______a7" hidden="1">{"PRINT_EST",#N/A,FALSE,"ESTMON"}</definedName>
    <definedName name="_______a8" localSheetId="5" hidden="1">{"revsale",#N/A,FALSE,"REV-ยุพดี"}</definedName>
    <definedName name="_______a8" hidden="1">{"revsale",#N/A,FALSE,"REV-ยุพดี"}</definedName>
    <definedName name="_______a9" localSheetId="5" hidden="1">{"revable",#N/A,FALSE,"REVABLE"}</definedName>
    <definedName name="_______a9" hidden="1">{"revable",#N/A,FALSE,"REVABLE"}</definedName>
    <definedName name="_______apr2" localSheetId="5" hidden="1">{"'Model'!$A$1:$N$53"}</definedName>
    <definedName name="_______apr2" hidden="1">{"'Model'!$A$1:$N$53"}</definedName>
    <definedName name="_______b1" localSheetId="5" hidden="1">{"'Sheet1'!$L$16"}</definedName>
    <definedName name="_______b1" hidden="1">{"'Sheet1'!$L$16"}</definedName>
    <definedName name="_______b3" localSheetId="5" hidden="1">{"'Sheet1'!$L$16"}</definedName>
    <definedName name="_______b3" hidden="1">{"'Sheet1'!$L$16"}</definedName>
    <definedName name="_______b4" localSheetId="5" hidden="1">{"'Sheet1'!$L$16"}</definedName>
    <definedName name="_______b4" hidden="1">{"'Sheet1'!$L$16"}</definedName>
    <definedName name="_______b5" localSheetId="5" hidden="1">{"'Sheet1'!$L$16"}</definedName>
    <definedName name="_______b5" hidden="1">{"'Sheet1'!$L$16"}</definedName>
    <definedName name="_______b6" localSheetId="5" hidden="1">{"'Sheet1'!$L$16"}</definedName>
    <definedName name="_______b6" hidden="1">{"'Sheet1'!$L$16"}</definedName>
    <definedName name="_______b7" localSheetId="5" hidden="1">{#N/A,#N/A,FALSE,"Chi tiÆt"}</definedName>
    <definedName name="_______b7" hidden="1">{#N/A,#N/A,FALSE,"Chi tiÆt"}</definedName>
    <definedName name="_______e1" localSheetId="5" hidden="1">{"'Sheet1'!$L$16"}</definedName>
    <definedName name="_______e1" hidden="1">{"'Sheet1'!$L$16"}</definedName>
    <definedName name="_______e2" localSheetId="5" hidden="1">{"'Sheet1'!$L$16"}</definedName>
    <definedName name="_______e2" hidden="1">{"'Sheet1'!$L$16"}</definedName>
    <definedName name="_______e4" localSheetId="5" hidden="1">{"'Sheet1'!$L$16"}</definedName>
    <definedName name="_______e4" hidden="1">{"'Sheet1'!$L$16"}</definedName>
    <definedName name="_______e5" localSheetId="5" hidden="1">{"'Sheet1'!$L$16"}</definedName>
    <definedName name="_______e5" hidden="1">{"'Sheet1'!$L$16"}</definedName>
    <definedName name="_______e6" localSheetId="5" hidden="1">{"'Sheet1'!$L$16"}</definedName>
    <definedName name="_______e6" hidden="1">{"'Sheet1'!$L$16"}</definedName>
    <definedName name="_______e7" localSheetId="5" hidden="1">{"'Sheet1'!$L$16"}</definedName>
    <definedName name="_______e7" hidden="1">{"'Sheet1'!$L$16"}</definedName>
    <definedName name="_______e8" localSheetId="5" hidden="1">{#N/A,#N/A,FALSE,"Chi tiÆt"}</definedName>
    <definedName name="_______e8" hidden="1">{#N/A,#N/A,FALSE,"Chi tiÆt"}</definedName>
    <definedName name="_______F1" localSheetId="5" hidden="1">{"'Sheet1'!$L$16"}</definedName>
    <definedName name="_______F1" hidden="1">{"'Sheet1'!$L$16"}</definedName>
    <definedName name="_______f2" localSheetId="5" hidden="1">{"'Sheet1'!$L$16"}</definedName>
    <definedName name="_______f2" hidden="1">{"'Sheet1'!$L$16"}</definedName>
    <definedName name="_______f3" localSheetId="5" hidden="1">{"'Sheet1'!$L$16"}</definedName>
    <definedName name="_______f3" hidden="1">{"'Sheet1'!$L$16"}</definedName>
    <definedName name="_______f4" localSheetId="5" hidden="1">{"'Sheet1'!$L$16"}</definedName>
    <definedName name="_______f4" hidden="1">{"'Sheet1'!$L$16"}</definedName>
    <definedName name="_______f5" localSheetId="5" hidden="1">{"'Sheet1'!$L$16"}</definedName>
    <definedName name="_______f5" hidden="1">{"'Sheet1'!$L$16"}</definedName>
    <definedName name="_______f6" localSheetId="5" hidden="1">{"'Sheet1'!$L$16"}</definedName>
    <definedName name="_______f6" hidden="1">{"'Sheet1'!$L$16"}</definedName>
    <definedName name="_______f7" localSheetId="5" hidden="1">{"'Sheet1'!$L$16"}</definedName>
    <definedName name="_______f7" hidden="1">{"'Sheet1'!$L$16"}</definedName>
    <definedName name="_______f8" localSheetId="5" hidden="1">{#N/A,#N/A,FALSE,"Chi tiÆt"}</definedName>
    <definedName name="_______f8" hidden="1">{#N/A,#N/A,FALSE,"Chi tiÆt"}</definedName>
    <definedName name="_______f9" localSheetId="5" hidden="1">{#N/A,#N/A,FALSE,"Chi tiÆt"}</definedName>
    <definedName name="_______f9" hidden="1">{#N/A,#N/A,FALSE,"Chi tiÆt"}</definedName>
    <definedName name="_______fd4" localSheetId="5" hidden="1">#REF!</definedName>
    <definedName name="_______fd4" localSheetId="4" hidden="1">#REF!</definedName>
    <definedName name="_______fd4" hidden="1">#REF!</definedName>
    <definedName name="_______FOH2006" localSheetId="5" hidden="1">{#N/A,#N/A,FALSE,"TL";#N/A,#N/A,FALSE,"KK";#N/A,#N/A,FALSE,"TS";#N/A,#N/A,FALSE,"KW";#N/A,#N/A,FALSE,"LP";#N/A,#N/A,FALSE,"DC"}</definedName>
    <definedName name="_______FOH2006" hidden="1">{#N/A,#N/A,FALSE,"TL";#N/A,#N/A,FALSE,"KK";#N/A,#N/A,FALSE,"TS";#N/A,#N/A,FALSE,"KW";#N/A,#N/A,FALSE,"LP";#N/A,#N/A,FALSE,"DC"}</definedName>
    <definedName name="_______gw04" localSheetId="5" hidden="1">{#N/A,#N/A,FALSE,"Aging Summary";#N/A,#N/A,FALSE,"Ratio Analysis";#N/A,#N/A,FALSE,"Test 120 Day Accts";#N/A,#N/A,FALSE,"Tickmarks"}</definedName>
    <definedName name="_______gw04" hidden="1">{#N/A,#N/A,FALSE,"Aging Summary";#N/A,#N/A,FALSE,"Ratio Analysis";#N/A,#N/A,FALSE,"Test 120 Day Accts";#N/A,#N/A,FALSE,"Tickmarks"}</definedName>
    <definedName name="_______H1" localSheetId="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localSheetId="5" hidden="1">{"'Model'!$A$1:$N$53"}</definedName>
    <definedName name="_______h2" hidden="1">{"'Model'!$A$1:$N$53"}</definedName>
    <definedName name="_______huy1" localSheetId="5" hidden="1">{"'Sheet1'!$L$16"}</definedName>
    <definedName name="_______huy1" hidden="1">{"'Sheet1'!$L$16"}</definedName>
    <definedName name="_______KP300" localSheetId="5" hidden="1">{"level1",#N/A,FALSE,"1_LEV";"LEVEL1",#N/A,FALSE,"1_LEV"}</definedName>
    <definedName name="_______KP300" hidden="1">{"level1",#N/A,FALSE,"1_LEV";"LEVEL1",#N/A,FALSE,"1_LEV"}</definedName>
    <definedName name="_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localSheetId="5" hidden="1">{#N/A,#N/A,FALSE,"RECONC'L";#N/A,#N/A,FALSE,"WORKCAP";#N/A,#N/A,FALSE,"RECONC'L";#N/A,#N/A,FALSE,"ACCRUAL";#N/A,#N/A,FALSE,"DEBTOR";#N/A,#N/A,FALSE,"ADMALLOC"}</definedName>
    <definedName name="_______n1" hidden="1">{#N/A,#N/A,FALSE,"RECONC'L";#N/A,#N/A,FALSE,"WORKCAP";#N/A,#N/A,FALSE,"RECONC'L";#N/A,#N/A,FALSE,"ACCRUAL";#N/A,#N/A,FALSE,"DEBTOR";#N/A,#N/A,FALSE,"ADMALLOC"}</definedName>
    <definedName name="_______nat2" localSheetId="5" hidden="1">{#N/A,#N/A,FALSE,"Assessment";#N/A,#N/A,FALSE,"Staffing";#N/A,#N/A,FALSE,"Hires";#N/A,#N/A,FALSE,"Assumptions"}</definedName>
    <definedName name="_______nat2" hidden="1">{#N/A,#N/A,FALSE,"Assessment";#N/A,#N/A,FALSE,"Staffing";#N/A,#N/A,FALSE,"Hires";#N/A,#N/A,FALSE,"Assumptions"}</definedName>
    <definedName name="_______nat3" localSheetId="5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localSheetId="5" hidden="1">{"'Sheet1'!$L$16"}</definedName>
    <definedName name="_______NSO2" hidden="1">{"'Sheet1'!$L$16"}</definedName>
    <definedName name="_______NSO2_1" localSheetId="5" hidden="1">{"'Sheet1'!$L$16"}</definedName>
    <definedName name="_______NSO2_1" hidden="1">{"'Sheet1'!$L$16"}</definedName>
    <definedName name="_______NSO2_2" localSheetId="5" hidden="1">{"'Sheet1'!$L$16"}</definedName>
    <definedName name="_______NSO2_2" hidden="1">{"'Sheet1'!$L$16"}</definedName>
    <definedName name="_______NSO3" localSheetId="5" hidden="1">{"'Sheet1'!$L$16"}</definedName>
    <definedName name="_______NSO3" hidden="1">{"'Sheet1'!$L$16"}</definedName>
    <definedName name="_______PA3" localSheetId="5" hidden="1">{"'Sheet1'!$L$16"}</definedName>
    <definedName name="_______PA3" hidden="1">{"'Sheet1'!$L$16"}</definedName>
    <definedName name="_______q2" localSheetId="5" hidden="1">{"PAGE 1",#N/A,FALSE,"หน้า 1,2,3";"PAGE 2",#N/A,FALSE,"หน้า 1,2,3";"PAGE 3",#N/A,FALSE,"หน้า 1,2,3"}</definedName>
    <definedName name="_______q2" hidden="1">{"PAGE 1",#N/A,FALSE,"หน้า 1,2,3";"PAGE 2",#N/A,FALSE,"หน้า 1,2,3";"PAGE 3",#N/A,FALSE,"หน้า 1,2,3"}</definedName>
    <definedName name="_______q3" localSheetId="5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localSheetId="5" hidden="1">{"'Sheet1'!$L$16"}</definedName>
    <definedName name="_______s1" hidden="1">{"'Sheet1'!$L$16"}</definedName>
    <definedName name="_______s2" localSheetId="5" hidden="1">{"'Sheet1'!$L$16"}</definedName>
    <definedName name="_______s2" hidden="1">{"'Sheet1'!$L$16"}</definedName>
    <definedName name="_______s3" localSheetId="5" hidden="1">{"'Sheet1'!$L$16"}</definedName>
    <definedName name="_______s3" hidden="1">{"'Sheet1'!$L$16"}</definedName>
    <definedName name="_______s4" localSheetId="5" hidden="1">{"'Sheet1'!$L$16"}</definedName>
    <definedName name="_______s4" hidden="1">{"'Sheet1'!$L$16"}</definedName>
    <definedName name="_______s5" localSheetId="5" hidden="1">{"'Sheet1'!$L$16"}</definedName>
    <definedName name="_______s5" hidden="1">{"'Sheet1'!$L$16"}</definedName>
    <definedName name="_______s6" localSheetId="5" hidden="1">{#N/A,#N/A,FALSE,"Chi tiÆt"}</definedName>
    <definedName name="_______s6" hidden="1">{#N/A,#N/A,FALSE,"Chi tiÆt"}</definedName>
    <definedName name="_______s7" localSheetId="5" hidden="1">{#N/A,#N/A,FALSE,"Chi tiÆt"}</definedName>
    <definedName name="_______s7" hidden="1">{#N/A,#N/A,FALSE,"Chi tiÆt"}</definedName>
    <definedName name="_______T01" localSheetId="5" hidden="1">#REF!</definedName>
    <definedName name="_______T01" localSheetId="4" hidden="1">#REF!</definedName>
    <definedName name="_______T01" hidden="1">#REF!</definedName>
    <definedName name="_______t2" localSheetId="5" hidden="1">{"'Sheet1'!$L$16"}</definedName>
    <definedName name="_______t2" hidden="1">{"'Sheet1'!$L$16"}</definedName>
    <definedName name="_______t4" localSheetId="5" hidden="1">{"'Sheet1'!$L$16"}</definedName>
    <definedName name="_______t4" hidden="1">{"'Sheet1'!$L$16"}</definedName>
    <definedName name="_______t5" localSheetId="5" hidden="1">{"'Sheet1'!$L$16"}</definedName>
    <definedName name="_______t5" hidden="1">{"'Sheet1'!$L$16"}</definedName>
    <definedName name="_______t6" localSheetId="5" hidden="1">{"'Sheet1'!$L$16"}</definedName>
    <definedName name="_______t6" hidden="1">{"'Sheet1'!$L$16"}</definedName>
    <definedName name="_______t7" localSheetId="5" hidden="1">{"'Sheet1'!$L$16"}</definedName>
    <definedName name="_______t7" hidden="1">{"'Sheet1'!$L$16"}</definedName>
    <definedName name="_______t8" localSheetId="5" hidden="1">{#N/A,#N/A,FALSE,"Chi tiÆt"}</definedName>
    <definedName name="_______t8" hidden="1">{#N/A,#N/A,FALSE,"Chi tiÆt"}</definedName>
    <definedName name="_______t9" localSheetId="5" hidden="1">{"'Sheet1'!$L$16"}</definedName>
    <definedName name="_______t9" hidden="1">{"'Sheet1'!$L$16"}</definedName>
    <definedName name="_______w2" localSheetId="5" hidden="1">{"'Sheet1'!$L$16"}</definedName>
    <definedName name="_______w2" hidden="1">{"'Sheet1'!$L$16"}</definedName>
    <definedName name="_______w3" localSheetId="5" hidden="1">{"'Sheet1'!$L$16"}</definedName>
    <definedName name="_______w3" hidden="1">{"'Sheet1'!$L$16"}</definedName>
    <definedName name="_______w4" localSheetId="5" hidden="1">{"'Sheet1'!$L$16"}</definedName>
    <definedName name="_______w4" hidden="1">{"'Sheet1'!$L$16"}</definedName>
    <definedName name="_______w5" localSheetId="5" hidden="1">{"'Sheet1'!$L$16"}</definedName>
    <definedName name="_______w5" hidden="1">{"'Sheet1'!$L$16"}</definedName>
    <definedName name="_______w6" localSheetId="5" hidden="1">{#N/A,#N/A,FALSE,"Chi tiÆt"}</definedName>
    <definedName name="_______w6" hidden="1">{#N/A,#N/A,FALSE,"Chi tiÆt"}</definedName>
    <definedName name="_______w8" localSheetId="5" hidden="1">{"'Sheet1'!$L$16"}</definedName>
    <definedName name="_______w8" hidden="1">{"'Sheet1'!$L$16"}</definedName>
    <definedName name="_______w9" localSheetId="5" hidden="1">{"'Sheet1'!$L$16"}</definedName>
    <definedName name="_______w9" hidden="1">{"'Sheet1'!$L$16"}</definedName>
    <definedName name="_______xlfn.BAHTTEXT" hidden="1">#NAME?</definedName>
    <definedName name="_______Z1" localSheetId="5" hidden="1">{"'ตัวอย่าง'!$A$1:$O$21"}</definedName>
    <definedName name="_______Z1" hidden="1">{"'ตัวอย่าง'!$A$1:$O$21"}</definedName>
    <definedName name="______a1" localSheetId="5" hidden="1">{"cashflow",#N/A,FALSE,"CASHFLOW "}</definedName>
    <definedName name="______a1" hidden="1">{"cashflow",#N/A,FALSE,"CASHFLOW "}</definedName>
    <definedName name="______a1_1" localSheetId="5" hidden="1">{"'Sheet1'!$L$16"}</definedName>
    <definedName name="______a1_1" hidden="1">{"'Sheet1'!$L$16"}</definedName>
    <definedName name="______a1_2" localSheetId="5" hidden="1">{"'Sheet1'!$L$16"}</definedName>
    <definedName name="______a1_2" hidden="1">{"'Sheet1'!$L$16"}</definedName>
    <definedName name="______a10" localSheetId="5" hidden="1">{"sales",#N/A,FALSE,"SALES"}</definedName>
    <definedName name="______a10" hidden="1">{"sales",#N/A,FALSE,"SALES"}</definedName>
    <definedName name="______a11" localSheetId="5" hidden="1">{"'Sheet1'!$L$16"}</definedName>
    <definedName name="______a11" hidden="1">{"'Sheet1'!$L$16"}</definedName>
    <definedName name="______a12" localSheetId="5" hidden="1">{"'Sheet1'!$L$16"}</definedName>
    <definedName name="______a12" hidden="1">{"'Sheet1'!$L$16"}</definedName>
    <definedName name="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localSheetId="5" hidden="1">{"revable",#N/A,FALSE,"REVABLE"}</definedName>
    <definedName name="______a133" hidden="1">{"revable",#N/A,FALSE,"REVABLE"}</definedName>
    <definedName name="______a2" localSheetId="5" hidden="1">{"hilight1",#N/A,FALSE,"HILIGHT1"}</definedName>
    <definedName name="______a2" hidden="1">{"hilight1",#N/A,FALSE,"HILIGHT1"}</definedName>
    <definedName name="______a3" localSheetId="5" hidden="1">{"hilight2",#N/A,FALSE,"HILIGHT2"}</definedName>
    <definedName name="______a3" hidden="1">{"hilight2",#N/A,FALSE,"HILIGHT2"}</definedName>
    <definedName name="______a4" localSheetId="5" hidden="1">{"hilight3",#N/A,FALSE,"HILIGHT3"}</definedName>
    <definedName name="______a4" hidden="1">{"hilight3",#N/A,FALSE,"HILIGHT3"}</definedName>
    <definedName name="______a5" localSheetId="5" hidden="1">{"income",#N/A,FALSE,"INCOME"}</definedName>
    <definedName name="______a5" hidden="1">{"income",#N/A,FALSE,"INCOME"}</definedName>
    <definedName name="______a51" localSheetId="5" hidden="1">{"income",#N/A,FALSE,"INCOME"}</definedName>
    <definedName name="______a51" hidden="1">{"income",#N/A,FALSE,"INCOME"}</definedName>
    <definedName name="______a6" localSheetId="5" hidden="1">{"index",#N/A,FALSE,"INDEX"}</definedName>
    <definedName name="______a6" hidden="1">{"index",#N/A,FALSE,"INDEX"}</definedName>
    <definedName name="______a7" localSheetId="5" hidden="1">{"PRINT_EST",#N/A,FALSE,"ESTMON"}</definedName>
    <definedName name="______a7" hidden="1">{"PRINT_EST",#N/A,FALSE,"ESTMON"}</definedName>
    <definedName name="______a8" localSheetId="5" hidden="1">{"revsale",#N/A,FALSE,"REV-ยุพดี"}</definedName>
    <definedName name="______a8" hidden="1">{"revsale",#N/A,FALSE,"REV-ยุพดี"}</definedName>
    <definedName name="______a9" localSheetId="5" hidden="1">{"revable",#N/A,FALSE,"REVABLE"}</definedName>
    <definedName name="______a9" hidden="1">{"revable",#N/A,FALSE,"REVABLE"}</definedName>
    <definedName name="______a99" localSheetId="5" hidden="1">{"revable",#N/A,FALSE,"REVABLE"}</definedName>
    <definedName name="______a99" hidden="1">{"revable",#N/A,FALSE,"REVABLE"}</definedName>
    <definedName name="______aa1" localSheetId="5" hidden="1">{"cashflow",#N/A,FALSE,"CASHFLOW "}</definedName>
    <definedName name="______aa1" hidden="1">{"cashflow",#N/A,FALSE,"CASHFLOW "}</definedName>
    <definedName name="______apr2" localSheetId="5" hidden="1">{"'Model'!$A$1:$N$53"}</definedName>
    <definedName name="______apr2" hidden="1">{"'Model'!$A$1:$N$53"}</definedName>
    <definedName name="______b1" localSheetId="5" hidden="1">{"'Sheet1'!$L$16"}</definedName>
    <definedName name="______b1" hidden="1">{"'Sheet1'!$L$16"}</definedName>
    <definedName name="______b3" localSheetId="5" hidden="1">{"'Sheet1'!$L$16"}</definedName>
    <definedName name="______b3" hidden="1">{"'Sheet1'!$L$16"}</definedName>
    <definedName name="______b4" localSheetId="5" hidden="1">{"'Sheet1'!$L$16"}</definedName>
    <definedName name="______b4" hidden="1">{"'Sheet1'!$L$16"}</definedName>
    <definedName name="______b5" localSheetId="5" hidden="1">{"'Sheet1'!$L$16"}</definedName>
    <definedName name="______b5" hidden="1">{"'Sheet1'!$L$16"}</definedName>
    <definedName name="______b6" localSheetId="5" hidden="1">{"'Sheet1'!$L$16"}</definedName>
    <definedName name="______b6" hidden="1">{"'Sheet1'!$L$16"}</definedName>
    <definedName name="______b7" localSheetId="5" hidden="1">{#N/A,#N/A,FALSE,"Chi tiÆt"}</definedName>
    <definedName name="______b7" hidden="1">{#N/A,#N/A,FALSE,"Chi tiÆt"}</definedName>
    <definedName name="______e1" localSheetId="5" hidden="1">{"'Sheet1'!$L$16"}</definedName>
    <definedName name="______e1" hidden="1">{"'Sheet1'!$L$16"}</definedName>
    <definedName name="______e2" localSheetId="5" hidden="1">{"'Sheet1'!$L$16"}</definedName>
    <definedName name="______e2" hidden="1">{"'Sheet1'!$L$16"}</definedName>
    <definedName name="______e4" localSheetId="5" hidden="1">{"'Sheet1'!$L$16"}</definedName>
    <definedName name="______e4" hidden="1">{"'Sheet1'!$L$16"}</definedName>
    <definedName name="______e5" localSheetId="5" hidden="1">{"'Sheet1'!$L$16"}</definedName>
    <definedName name="______e5" hidden="1">{"'Sheet1'!$L$16"}</definedName>
    <definedName name="______e6" localSheetId="5" hidden="1">{"'Sheet1'!$L$16"}</definedName>
    <definedName name="______e6" hidden="1">{"'Sheet1'!$L$16"}</definedName>
    <definedName name="______e7" localSheetId="5" hidden="1">{"'Sheet1'!$L$16"}</definedName>
    <definedName name="______e7" hidden="1">{"'Sheet1'!$L$16"}</definedName>
    <definedName name="______e8" localSheetId="5" hidden="1">{#N/A,#N/A,FALSE,"Chi tiÆt"}</definedName>
    <definedName name="______e8" hidden="1">{#N/A,#N/A,FALSE,"Chi tiÆt"}</definedName>
    <definedName name="______f1" localSheetId="5" hidden="1">{"'Sheet1'!$L$16"}</definedName>
    <definedName name="______f1" hidden="1">{"'Sheet1'!$L$16"}</definedName>
    <definedName name="______f2" localSheetId="5" hidden="1">{"'Sheet1'!$L$16"}</definedName>
    <definedName name="______f2" hidden="1">{"'Sheet1'!$L$16"}</definedName>
    <definedName name="______f3" localSheetId="5" hidden="1">{"'Sheet1'!$L$16"}</definedName>
    <definedName name="______f3" hidden="1">{"'Sheet1'!$L$16"}</definedName>
    <definedName name="______f4" localSheetId="5" hidden="1">{"'Sheet1'!$L$16"}</definedName>
    <definedName name="______f4" hidden="1">{"'Sheet1'!$L$16"}</definedName>
    <definedName name="______f5" localSheetId="5" hidden="1">{"'Sheet1'!$L$16"}</definedName>
    <definedName name="______f5" hidden="1">{"'Sheet1'!$L$16"}</definedName>
    <definedName name="______f6" localSheetId="5" hidden="1">{"'Sheet1'!$L$16"}</definedName>
    <definedName name="______f6" hidden="1">{"'Sheet1'!$L$16"}</definedName>
    <definedName name="______f7" localSheetId="5" hidden="1">{"'Sheet1'!$L$16"}</definedName>
    <definedName name="______f7" hidden="1">{"'Sheet1'!$L$16"}</definedName>
    <definedName name="______f8" localSheetId="5" hidden="1">{#N/A,#N/A,FALSE,"Chi tiÆt"}</definedName>
    <definedName name="______f8" hidden="1">{#N/A,#N/A,FALSE,"Chi tiÆt"}</definedName>
    <definedName name="______f9" localSheetId="5" hidden="1">{#N/A,#N/A,FALSE,"Chi tiÆt"}</definedName>
    <definedName name="______f9" hidden="1">{#N/A,#N/A,FALSE,"Chi tiÆt"}</definedName>
    <definedName name="______fd4" localSheetId="5" hidden="1">#REF!</definedName>
    <definedName name="______fd4" localSheetId="4" hidden="1">#REF!</definedName>
    <definedName name="______fd4" hidden="1">#REF!</definedName>
    <definedName name="______FOH2006" localSheetId="5" hidden="1">{#N/A,#N/A,FALSE,"TL";#N/A,#N/A,FALSE,"KK";#N/A,#N/A,FALSE,"TS";#N/A,#N/A,FALSE,"KW";#N/A,#N/A,FALSE,"LP";#N/A,#N/A,FALSE,"DC"}</definedName>
    <definedName name="______FOH2006" hidden="1">{#N/A,#N/A,FALSE,"TL";#N/A,#N/A,FALSE,"KK";#N/A,#N/A,FALSE,"TS";#N/A,#N/A,FALSE,"KW";#N/A,#N/A,FALSE,"LP";#N/A,#N/A,FALSE,"DC"}</definedName>
    <definedName name="______gw04" localSheetId="5" hidden="1">{#N/A,#N/A,FALSE,"Aging Summary";#N/A,#N/A,FALSE,"Ratio Analysis";#N/A,#N/A,FALSE,"Test 120 Day Accts";#N/A,#N/A,FALSE,"Tickmarks"}</definedName>
    <definedName name="______gw04" hidden="1">{#N/A,#N/A,FALSE,"Aging Summary";#N/A,#N/A,FALSE,"Ratio Analysis";#N/A,#N/A,FALSE,"Test 120 Day Accts";#N/A,#N/A,FALSE,"Tickmarks"}</definedName>
    <definedName name="______H1" localSheetId="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localSheetId="5" hidden="1">{"'Model'!$A$1:$N$53"}</definedName>
    <definedName name="______h2" hidden="1">{"'Model'!$A$1:$N$53"}</definedName>
    <definedName name="______huy1" localSheetId="5" hidden="1">{"'Sheet1'!$L$16"}</definedName>
    <definedName name="______huy1" hidden="1">{"'Sheet1'!$L$16"}</definedName>
    <definedName name="______KP300" localSheetId="5" hidden="1">{"level1",#N/A,FALSE,"1_LEV";"LEVEL1",#N/A,FALSE,"1_LEV"}</definedName>
    <definedName name="______KP300" hidden="1">{"level1",#N/A,FALSE,"1_LEV";"LEVEL1",#N/A,FALSE,"1_LEV"}</definedName>
    <definedName name="_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localSheetId="5" hidden="1">{#N/A,#N/A,FALSE,"RECONC'L";#N/A,#N/A,FALSE,"WORKCAP";#N/A,#N/A,FALSE,"RECONC'L";#N/A,#N/A,FALSE,"ACCRUAL";#N/A,#N/A,FALSE,"DEBTOR";#N/A,#N/A,FALSE,"ADMALLOC"}</definedName>
    <definedName name="______n1" hidden="1">{#N/A,#N/A,FALSE,"RECONC'L";#N/A,#N/A,FALSE,"WORKCAP";#N/A,#N/A,FALSE,"RECONC'L";#N/A,#N/A,FALSE,"ACCRUAL";#N/A,#N/A,FALSE,"DEBTOR";#N/A,#N/A,FALSE,"ADMALLOC"}</definedName>
    <definedName name="______nat2" localSheetId="5" hidden="1">{#N/A,#N/A,FALSE,"Assessment";#N/A,#N/A,FALSE,"Staffing";#N/A,#N/A,FALSE,"Hires";#N/A,#N/A,FALSE,"Assumptions"}</definedName>
    <definedName name="______nat2" hidden="1">{#N/A,#N/A,FALSE,"Assessment";#N/A,#N/A,FALSE,"Staffing";#N/A,#N/A,FALSE,"Hires";#N/A,#N/A,FALSE,"Assumptions"}</definedName>
    <definedName name="______nat3" localSheetId="5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localSheetId="5" hidden="1">{"'Sheet1'!$L$16"}</definedName>
    <definedName name="______NSO2" hidden="1">{"'Sheet1'!$L$16"}</definedName>
    <definedName name="______NSO2_1" localSheetId="5" hidden="1">{"'Sheet1'!$L$16"}</definedName>
    <definedName name="______NSO2_1" hidden="1">{"'Sheet1'!$L$16"}</definedName>
    <definedName name="______NSO2_2" localSheetId="5" hidden="1">{"'Sheet1'!$L$16"}</definedName>
    <definedName name="______NSO2_2" hidden="1">{"'Sheet1'!$L$16"}</definedName>
    <definedName name="______NSO3" localSheetId="5" hidden="1">{"'Sheet1'!$L$16"}</definedName>
    <definedName name="______NSO3" hidden="1">{"'Sheet1'!$L$16"}</definedName>
    <definedName name="______q2" localSheetId="5" hidden="1">{"PAGE 1",#N/A,FALSE,"หน้า 1,2,3";"PAGE 2",#N/A,FALSE,"หน้า 1,2,3";"PAGE 3",#N/A,FALSE,"หน้า 1,2,3"}</definedName>
    <definedName name="______q2" hidden="1">{"PAGE 1",#N/A,FALSE,"หน้า 1,2,3";"PAGE 2",#N/A,FALSE,"หน้า 1,2,3";"PAGE 3",#N/A,FALSE,"หน้า 1,2,3"}</definedName>
    <definedName name="______q3" localSheetId="5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localSheetId="5" hidden="1">{"'Sheet1'!$L$16"}</definedName>
    <definedName name="______s1" hidden="1">{"'Sheet1'!$L$16"}</definedName>
    <definedName name="______s2" localSheetId="5" hidden="1">{"'Sheet1'!$L$16"}</definedName>
    <definedName name="______s2" hidden="1">{"'Sheet1'!$L$16"}</definedName>
    <definedName name="______s3" localSheetId="5" hidden="1">{"'Sheet1'!$L$16"}</definedName>
    <definedName name="______s3" hidden="1">{"'Sheet1'!$L$16"}</definedName>
    <definedName name="______s4" localSheetId="5" hidden="1">{"'Sheet1'!$L$16"}</definedName>
    <definedName name="______s4" hidden="1">{"'Sheet1'!$L$16"}</definedName>
    <definedName name="______s5" localSheetId="5" hidden="1">{"'Sheet1'!$L$16"}</definedName>
    <definedName name="______s5" hidden="1">{"'Sheet1'!$L$16"}</definedName>
    <definedName name="______s6" localSheetId="5" hidden="1">{#N/A,#N/A,FALSE,"Chi tiÆt"}</definedName>
    <definedName name="______s6" hidden="1">{#N/A,#N/A,FALSE,"Chi tiÆt"}</definedName>
    <definedName name="______s7" localSheetId="5" hidden="1">{#N/A,#N/A,FALSE,"Chi tiÆt"}</definedName>
    <definedName name="______s7" hidden="1">{#N/A,#N/A,FALSE,"Chi tiÆt"}</definedName>
    <definedName name="______T01" localSheetId="5" hidden="1">#REF!</definedName>
    <definedName name="______T01" localSheetId="4" hidden="1">#REF!</definedName>
    <definedName name="______T01" hidden="1">#REF!</definedName>
    <definedName name="______t2" localSheetId="5" hidden="1">{"'Sheet1'!$L$16"}</definedName>
    <definedName name="______t2" hidden="1">{"'Sheet1'!$L$16"}</definedName>
    <definedName name="______t4" localSheetId="5" hidden="1">{"'Sheet1'!$L$16"}</definedName>
    <definedName name="______t4" hidden="1">{"'Sheet1'!$L$16"}</definedName>
    <definedName name="______t5" localSheetId="5" hidden="1">{"'Sheet1'!$L$16"}</definedName>
    <definedName name="______t5" hidden="1">{"'Sheet1'!$L$16"}</definedName>
    <definedName name="______t6" localSheetId="5" hidden="1">{"'Sheet1'!$L$16"}</definedName>
    <definedName name="______t6" hidden="1">{"'Sheet1'!$L$16"}</definedName>
    <definedName name="______t7" localSheetId="5" hidden="1">{"'Sheet1'!$L$16"}</definedName>
    <definedName name="______t7" hidden="1">{"'Sheet1'!$L$16"}</definedName>
    <definedName name="______t8" localSheetId="5" hidden="1">{#N/A,#N/A,FALSE,"Chi tiÆt"}</definedName>
    <definedName name="______t8" hidden="1">{#N/A,#N/A,FALSE,"Chi tiÆt"}</definedName>
    <definedName name="______t9" localSheetId="5" hidden="1">{"'Sheet1'!$L$16"}</definedName>
    <definedName name="______t9" hidden="1">{"'Sheet1'!$L$16"}</definedName>
    <definedName name="______w2" localSheetId="5" hidden="1">{"'Sheet1'!$L$16"}</definedName>
    <definedName name="______w2" hidden="1">{"'Sheet1'!$L$16"}</definedName>
    <definedName name="______w3" localSheetId="5" hidden="1">{"'Sheet1'!$L$16"}</definedName>
    <definedName name="______w3" hidden="1">{"'Sheet1'!$L$16"}</definedName>
    <definedName name="______w4" localSheetId="5" hidden="1">{"'Sheet1'!$L$16"}</definedName>
    <definedName name="______w4" hidden="1">{"'Sheet1'!$L$16"}</definedName>
    <definedName name="______w5" localSheetId="5" hidden="1">{"'Sheet1'!$L$16"}</definedName>
    <definedName name="______w5" hidden="1">{"'Sheet1'!$L$16"}</definedName>
    <definedName name="______w6" localSheetId="5" hidden="1">{#N/A,#N/A,FALSE,"Chi tiÆt"}</definedName>
    <definedName name="______w6" hidden="1">{#N/A,#N/A,FALSE,"Chi tiÆt"}</definedName>
    <definedName name="______w8" localSheetId="5" hidden="1">{"'Sheet1'!$L$16"}</definedName>
    <definedName name="______w8" hidden="1">{"'Sheet1'!$L$16"}</definedName>
    <definedName name="______w9" localSheetId="5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localSheetId="5" hidden="1">{"'ตัวอย่าง'!$A$1:$O$21"}</definedName>
    <definedName name="______Z1" hidden="1">{"'ตัวอย่าง'!$A$1:$O$21"}</definedName>
    <definedName name="_____a1" localSheetId="5" hidden="1">{"cashflow",#N/A,FALSE,"CASHFLOW "}</definedName>
    <definedName name="_____a1" hidden="1">{"cashflow",#N/A,FALSE,"CASHFLOW "}</definedName>
    <definedName name="_____a1_1" localSheetId="5" hidden="1">{"'Sheet1'!$L$16"}</definedName>
    <definedName name="_____a1_1" hidden="1">{"'Sheet1'!$L$16"}</definedName>
    <definedName name="_____a1_2" localSheetId="5" hidden="1">{"'Sheet1'!$L$16"}</definedName>
    <definedName name="_____a1_2" hidden="1">{"'Sheet1'!$L$16"}</definedName>
    <definedName name="_____a10" localSheetId="5" hidden="1">{"sales",#N/A,FALSE,"SALES"}</definedName>
    <definedName name="_____a10" hidden="1">{"sales",#N/A,FALSE,"SALES"}</definedName>
    <definedName name="_____a11" localSheetId="5" hidden="1">{"'Sheet1'!$L$16"}</definedName>
    <definedName name="_____a11" hidden="1">{"'Sheet1'!$L$16"}</definedName>
    <definedName name="_____a12" localSheetId="5" hidden="1">{"'Sheet1'!$L$16"}</definedName>
    <definedName name="_____a12" hidden="1">{"'Sheet1'!$L$16"}</definedName>
    <definedName name="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localSheetId="5" hidden="1">{"revable",#N/A,FALSE,"REVABLE"}</definedName>
    <definedName name="_____a133" hidden="1">{"revable",#N/A,FALSE,"REVABLE"}</definedName>
    <definedName name="_____a2" localSheetId="5" hidden="1">{"hilight1",#N/A,FALSE,"HILIGHT1"}</definedName>
    <definedName name="_____a2" hidden="1">{"hilight1",#N/A,FALSE,"HILIGHT1"}</definedName>
    <definedName name="_____a3" localSheetId="5" hidden="1">{"hilight2",#N/A,FALSE,"HILIGHT2"}</definedName>
    <definedName name="_____a3" hidden="1">{"hilight2",#N/A,FALSE,"HILIGHT2"}</definedName>
    <definedName name="_____a4" localSheetId="5" hidden="1">{"hilight3",#N/A,FALSE,"HILIGHT3"}</definedName>
    <definedName name="_____a4" hidden="1">{"hilight3",#N/A,FALSE,"HILIGHT3"}</definedName>
    <definedName name="_____a5" localSheetId="5" hidden="1">{"income",#N/A,FALSE,"INCOME"}</definedName>
    <definedName name="_____a5" hidden="1">{"income",#N/A,FALSE,"INCOME"}</definedName>
    <definedName name="_____a51" localSheetId="5" hidden="1">{"income",#N/A,FALSE,"INCOME"}</definedName>
    <definedName name="_____a51" hidden="1">{"income",#N/A,FALSE,"INCOME"}</definedName>
    <definedName name="_____a6" localSheetId="5" hidden="1">{"index",#N/A,FALSE,"INDEX"}</definedName>
    <definedName name="_____a6" hidden="1">{"index",#N/A,FALSE,"INDEX"}</definedName>
    <definedName name="_____a7" localSheetId="5" hidden="1">{"PRINT_EST",#N/A,FALSE,"ESTMON"}</definedName>
    <definedName name="_____a7" hidden="1">{"PRINT_EST",#N/A,FALSE,"ESTMON"}</definedName>
    <definedName name="_____a8" localSheetId="5" hidden="1">{"revsale",#N/A,FALSE,"REV-ยุพดี"}</definedName>
    <definedName name="_____a8" hidden="1">{"revsale",#N/A,FALSE,"REV-ยุพดี"}</definedName>
    <definedName name="_____a9" localSheetId="5" hidden="1">{"revable",#N/A,FALSE,"REVABLE"}</definedName>
    <definedName name="_____a9" hidden="1">{"revable",#N/A,FALSE,"REVABLE"}</definedName>
    <definedName name="_____a99" localSheetId="5" hidden="1">{"revable",#N/A,FALSE,"REVABLE"}</definedName>
    <definedName name="_____a99" hidden="1">{"revable",#N/A,FALSE,"REVABLE"}</definedName>
    <definedName name="_____aa1" localSheetId="5" hidden="1">{"cashflow",#N/A,FALSE,"CASHFLOW "}</definedName>
    <definedName name="_____aa1" hidden="1">{"cashflow",#N/A,FALSE,"CASHFLOW "}</definedName>
    <definedName name="_____apr2" localSheetId="5" hidden="1">{"'Model'!$A$1:$N$53"}</definedName>
    <definedName name="_____apr2" hidden="1">{"'Model'!$A$1:$N$53"}</definedName>
    <definedName name="_____b1" localSheetId="5" hidden="1">{"'Sheet1'!$L$16"}</definedName>
    <definedName name="_____b1" hidden="1">{"'Sheet1'!$L$16"}</definedName>
    <definedName name="_____b3" localSheetId="5" hidden="1">{"'Sheet1'!$L$16"}</definedName>
    <definedName name="_____b3" hidden="1">{"'Sheet1'!$L$16"}</definedName>
    <definedName name="_____b4" localSheetId="5" hidden="1">{"'Sheet1'!$L$16"}</definedName>
    <definedName name="_____b4" hidden="1">{"'Sheet1'!$L$16"}</definedName>
    <definedName name="_____b5" localSheetId="5" hidden="1">{"'Sheet1'!$L$16"}</definedName>
    <definedName name="_____b5" hidden="1">{"'Sheet1'!$L$16"}</definedName>
    <definedName name="_____b6" localSheetId="5" hidden="1">{"'Sheet1'!$L$16"}</definedName>
    <definedName name="_____b6" hidden="1">{"'Sheet1'!$L$16"}</definedName>
    <definedName name="_____b7" localSheetId="5" hidden="1">{#N/A,#N/A,FALSE,"Chi tiÆt"}</definedName>
    <definedName name="_____b7" hidden="1">{#N/A,#N/A,FALSE,"Chi tiÆt"}</definedName>
    <definedName name="_____e1" localSheetId="5" hidden="1">{"'Sheet1'!$L$16"}</definedName>
    <definedName name="_____e1" hidden="1">{"'Sheet1'!$L$16"}</definedName>
    <definedName name="_____e2" localSheetId="5" hidden="1">{"'Sheet1'!$L$16"}</definedName>
    <definedName name="_____e2" hidden="1">{"'Sheet1'!$L$16"}</definedName>
    <definedName name="_____e4" localSheetId="5" hidden="1">{"'Sheet1'!$L$16"}</definedName>
    <definedName name="_____e4" hidden="1">{"'Sheet1'!$L$16"}</definedName>
    <definedName name="_____e5" localSheetId="5" hidden="1">{"'Sheet1'!$L$16"}</definedName>
    <definedName name="_____e5" hidden="1">{"'Sheet1'!$L$16"}</definedName>
    <definedName name="_____e6" localSheetId="5" hidden="1">{"'Sheet1'!$L$16"}</definedName>
    <definedName name="_____e6" hidden="1">{"'Sheet1'!$L$16"}</definedName>
    <definedName name="_____e7" localSheetId="5" hidden="1">{"'Sheet1'!$L$16"}</definedName>
    <definedName name="_____e7" hidden="1">{"'Sheet1'!$L$16"}</definedName>
    <definedName name="_____e8" localSheetId="5" hidden="1">{#N/A,#N/A,FALSE,"Chi tiÆt"}</definedName>
    <definedName name="_____e8" hidden="1">{#N/A,#N/A,FALSE,"Chi tiÆt"}</definedName>
    <definedName name="_____f1" localSheetId="5" hidden="1">{"'Sheet1'!$L$16"}</definedName>
    <definedName name="_____f1" hidden="1">{"'Sheet1'!$L$16"}</definedName>
    <definedName name="_____f2" localSheetId="5" hidden="1">{"'Sheet1'!$L$16"}</definedName>
    <definedName name="_____f2" hidden="1">{"'Sheet1'!$L$16"}</definedName>
    <definedName name="_____f3" localSheetId="5" hidden="1">{"'Sheet1'!$L$16"}</definedName>
    <definedName name="_____f3" hidden="1">{"'Sheet1'!$L$16"}</definedName>
    <definedName name="_____f4" localSheetId="5" hidden="1">{"'Sheet1'!$L$16"}</definedName>
    <definedName name="_____f4" hidden="1">{"'Sheet1'!$L$16"}</definedName>
    <definedName name="_____f5" localSheetId="5" hidden="1">{"'Sheet1'!$L$16"}</definedName>
    <definedName name="_____f5" hidden="1">{"'Sheet1'!$L$16"}</definedName>
    <definedName name="_____f6" localSheetId="5" hidden="1">{"'Sheet1'!$L$16"}</definedName>
    <definedName name="_____f6" hidden="1">{"'Sheet1'!$L$16"}</definedName>
    <definedName name="_____f7" localSheetId="5" hidden="1">{"'Sheet1'!$L$16"}</definedName>
    <definedName name="_____f7" hidden="1">{"'Sheet1'!$L$16"}</definedName>
    <definedName name="_____f8" localSheetId="5" hidden="1">{#N/A,#N/A,FALSE,"Chi tiÆt"}</definedName>
    <definedName name="_____f8" hidden="1">{#N/A,#N/A,FALSE,"Chi tiÆt"}</definedName>
    <definedName name="_____f9" localSheetId="5" hidden="1">{#N/A,#N/A,FALSE,"Chi tiÆt"}</definedName>
    <definedName name="_____f9" hidden="1">{#N/A,#N/A,FALSE,"Chi tiÆt"}</definedName>
    <definedName name="_____fd4" localSheetId="5" hidden="1">#REF!</definedName>
    <definedName name="_____fd4" localSheetId="4" hidden="1">#REF!</definedName>
    <definedName name="_____fd4" hidden="1">#REF!</definedName>
    <definedName name="_____FOH2006" localSheetId="5" hidden="1">{#N/A,#N/A,FALSE,"TL";#N/A,#N/A,FALSE,"KK";#N/A,#N/A,FALSE,"TS";#N/A,#N/A,FALSE,"KW";#N/A,#N/A,FALSE,"LP";#N/A,#N/A,FALSE,"DC"}</definedName>
    <definedName name="_____FOH2006" hidden="1">{#N/A,#N/A,FALSE,"TL";#N/A,#N/A,FALSE,"KK";#N/A,#N/A,FALSE,"TS";#N/A,#N/A,FALSE,"KW";#N/A,#N/A,FALSE,"LP";#N/A,#N/A,FALSE,"DC"}</definedName>
    <definedName name="_____gw04" localSheetId="5" hidden="1">{#N/A,#N/A,FALSE,"Aging Summary";#N/A,#N/A,FALSE,"Ratio Analysis";#N/A,#N/A,FALSE,"Test 120 Day Accts";#N/A,#N/A,FALSE,"Tickmarks"}</definedName>
    <definedName name="_____gw04" hidden="1">{#N/A,#N/A,FALSE,"Aging Summary";#N/A,#N/A,FALSE,"Ratio Analysis";#N/A,#N/A,FALSE,"Test 120 Day Accts";#N/A,#N/A,FALSE,"Tickmarks"}</definedName>
    <definedName name="_____H1" localSheetId="5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2" localSheetId="5" hidden="1">{"'Model'!$A$1:$N$53"}</definedName>
    <definedName name="_____h2" hidden="1">{"'Model'!$A$1:$N$53"}</definedName>
    <definedName name="_____huy1" localSheetId="5" hidden="1">{"'Sheet1'!$L$16"}</definedName>
    <definedName name="_____huy1" hidden="1">{"'Sheet1'!$L$16"}</definedName>
    <definedName name="_____KP300" localSheetId="5" hidden="1">{"level1",#N/A,FALSE,"1_LEV";"LEVEL1",#N/A,FALSE,"1_LEV"}</definedName>
    <definedName name="_____KP300" hidden="1">{"level1",#N/A,FALSE,"1_LEV";"LEVEL1",#N/A,FALSE,"1_LEV"}</definedName>
    <definedName name="_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localSheetId="5" hidden="1">{#N/A,#N/A,FALSE,"RECONC'L";#N/A,#N/A,FALSE,"WORKCAP";#N/A,#N/A,FALSE,"RECONC'L";#N/A,#N/A,FALSE,"ACCRUAL";#N/A,#N/A,FALSE,"DEBTOR";#N/A,#N/A,FALSE,"ADMALLOC"}</definedName>
    <definedName name="_____n1" hidden="1">{#N/A,#N/A,FALSE,"RECONC'L";#N/A,#N/A,FALSE,"WORKCAP";#N/A,#N/A,FALSE,"RECONC'L";#N/A,#N/A,FALSE,"ACCRUAL";#N/A,#N/A,FALSE,"DEBTOR";#N/A,#N/A,FALSE,"ADMALLOC"}</definedName>
    <definedName name="_____nat2" localSheetId="5" hidden="1">{#N/A,#N/A,FALSE,"Assessment";#N/A,#N/A,FALSE,"Staffing";#N/A,#N/A,FALSE,"Hires";#N/A,#N/A,FALSE,"Assumptions"}</definedName>
    <definedName name="_____nat2" hidden="1">{#N/A,#N/A,FALSE,"Assessment";#N/A,#N/A,FALSE,"Staffing";#N/A,#N/A,FALSE,"Hires";#N/A,#N/A,FALSE,"Assumptions"}</definedName>
    <definedName name="_____nat3" localSheetId="5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localSheetId="5" hidden="1">{"'Sheet1'!$L$16"}</definedName>
    <definedName name="_____NSO2" hidden="1">{"'Sheet1'!$L$16"}</definedName>
    <definedName name="_____NSO2_1" localSheetId="5" hidden="1">{"'Sheet1'!$L$16"}</definedName>
    <definedName name="_____NSO2_1" hidden="1">{"'Sheet1'!$L$16"}</definedName>
    <definedName name="_____NSO2_2" localSheetId="5" hidden="1">{"'Sheet1'!$L$16"}</definedName>
    <definedName name="_____NSO2_2" hidden="1">{"'Sheet1'!$L$16"}</definedName>
    <definedName name="_____NSO3" localSheetId="5" hidden="1">{"'Sheet1'!$L$16"}</definedName>
    <definedName name="_____NSO3" hidden="1">{"'Sheet1'!$L$16"}</definedName>
    <definedName name="_____PA3" localSheetId="5" hidden="1">{"'Sheet1'!$L$16"}</definedName>
    <definedName name="_____PA3" hidden="1">{"'Sheet1'!$L$16"}</definedName>
    <definedName name="_____PUR6" localSheetId="5" hidden="1">{#N/A,#N/A,FALSE,"Sheet2"}</definedName>
    <definedName name="_____PUR6" hidden="1">{#N/A,#N/A,FALSE,"Sheet2"}</definedName>
    <definedName name="_____q2" localSheetId="5" hidden="1">{"PAGE 1",#N/A,FALSE,"หน้า 1,2,3";"PAGE 2",#N/A,FALSE,"หน้า 1,2,3";"PAGE 3",#N/A,FALSE,"หน้า 1,2,3"}</definedName>
    <definedName name="_____q2" hidden="1">{"PAGE 1",#N/A,FALSE,"หน้า 1,2,3";"PAGE 2",#N/A,FALSE,"หน้า 1,2,3";"PAGE 3",#N/A,FALSE,"หน้า 1,2,3"}</definedName>
    <definedName name="_____q3" localSheetId="5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localSheetId="5" hidden="1">{#N/A,#N/A,FALSE,"Sheet2"}</definedName>
    <definedName name="_____QUY3" hidden="1">{#N/A,#N/A,FALSE,"Sheet2"}</definedName>
    <definedName name="___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localSheetId="5" hidden="1">{"'Sheet1'!$L$16"}</definedName>
    <definedName name="_____s1" hidden="1">{"'Sheet1'!$L$16"}</definedName>
    <definedName name="_____s2" localSheetId="5" hidden="1">{"'Sheet1'!$L$16"}</definedName>
    <definedName name="_____s2" hidden="1">{"'Sheet1'!$L$16"}</definedName>
    <definedName name="_____s3" localSheetId="5" hidden="1">{"'Sheet1'!$L$16"}</definedName>
    <definedName name="_____s3" hidden="1">{"'Sheet1'!$L$16"}</definedName>
    <definedName name="_____s4" localSheetId="5" hidden="1">{"'Sheet1'!$L$16"}</definedName>
    <definedName name="_____s4" hidden="1">{"'Sheet1'!$L$16"}</definedName>
    <definedName name="_____s5" localSheetId="5" hidden="1">{"'Sheet1'!$L$16"}</definedName>
    <definedName name="_____s5" hidden="1">{"'Sheet1'!$L$16"}</definedName>
    <definedName name="_____s6" localSheetId="5" hidden="1">{#N/A,#N/A,FALSE,"Chi tiÆt"}</definedName>
    <definedName name="_____s6" hidden="1">{#N/A,#N/A,FALSE,"Chi tiÆt"}</definedName>
    <definedName name="_____s7" localSheetId="5" hidden="1">{#N/A,#N/A,FALSE,"Chi tiÆt"}</definedName>
    <definedName name="_____s7" hidden="1">{#N/A,#N/A,FALSE,"Chi tiÆt"}</definedName>
    <definedName name="_____T01" localSheetId="5" hidden="1">#REF!</definedName>
    <definedName name="_____T01" localSheetId="4" hidden="1">#REF!</definedName>
    <definedName name="_____T01" hidden="1">#REF!</definedName>
    <definedName name="_____t2" localSheetId="5" hidden="1">{"'Sheet1'!$L$16"}</definedName>
    <definedName name="_____t2" hidden="1">{"'Sheet1'!$L$16"}</definedName>
    <definedName name="_____t4" localSheetId="5" hidden="1">{"'Sheet1'!$L$16"}</definedName>
    <definedName name="_____t4" hidden="1">{"'Sheet1'!$L$16"}</definedName>
    <definedName name="_____t5" localSheetId="5" hidden="1">{"'Sheet1'!$L$16"}</definedName>
    <definedName name="_____t5" hidden="1">{"'Sheet1'!$L$16"}</definedName>
    <definedName name="_____t6" localSheetId="5" hidden="1">{"'Sheet1'!$L$16"}</definedName>
    <definedName name="_____t6" hidden="1">{"'Sheet1'!$L$16"}</definedName>
    <definedName name="_____t7" localSheetId="5" hidden="1">{"'Sheet1'!$L$16"}</definedName>
    <definedName name="_____t7" hidden="1">{"'Sheet1'!$L$16"}</definedName>
    <definedName name="_____t8" localSheetId="5" hidden="1">{#N/A,#N/A,FALSE,"Chi tiÆt"}</definedName>
    <definedName name="_____t8" hidden="1">{#N/A,#N/A,FALSE,"Chi tiÆt"}</definedName>
    <definedName name="_____t9" localSheetId="5" hidden="1">{"'Sheet1'!$L$16"}</definedName>
    <definedName name="_____t9" hidden="1">{"'Sheet1'!$L$16"}</definedName>
    <definedName name="_____w2" localSheetId="5" hidden="1">{"'Sheet1'!$L$16"}</definedName>
    <definedName name="_____w2" hidden="1">{"'Sheet1'!$L$16"}</definedName>
    <definedName name="_____w3" localSheetId="5" hidden="1">{"'Sheet1'!$L$16"}</definedName>
    <definedName name="_____w3" hidden="1">{"'Sheet1'!$L$16"}</definedName>
    <definedName name="_____w4" localSheetId="5" hidden="1">{"'Sheet1'!$L$16"}</definedName>
    <definedName name="_____w4" hidden="1">{"'Sheet1'!$L$16"}</definedName>
    <definedName name="_____w5" localSheetId="5" hidden="1">{"'Sheet1'!$L$16"}</definedName>
    <definedName name="_____w5" hidden="1">{"'Sheet1'!$L$16"}</definedName>
    <definedName name="_____w6" localSheetId="5" hidden="1">{#N/A,#N/A,FALSE,"Chi tiÆt"}</definedName>
    <definedName name="_____w6" hidden="1">{#N/A,#N/A,FALSE,"Chi tiÆt"}</definedName>
    <definedName name="_____w8" localSheetId="5" hidden="1">{"'Sheet1'!$L$16"}</definedName>
    <definedName name="_____w8" hidden="1">{"'Sheet1'!$L$16"}</definedName>
    <definedName name="_____w9" localSheetId="5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localSheetId="5" hidden="1">{"'ตัวอย่าง'!$A$1:$O$21"}</definedName>
    <definedName name="_____Z1" hidden="1">{"'ตัวอย่าง'!$A$1:$O$21"}</definedName>
    <definedName name="____a1" localSheetId="5" hidden="1">{"cashflow",#N/A,FALSE,"CASHFLOW "}</definedName>
    <definedName name="____a1" hidden="1">{"cashflow",#N/A,FALSE,"CASHFLOW "}</definedName>
    <definedName name="____a1_1" localSheetId="5" hidden="1">{"'Sheet1'!$L$16"}</definedName>
    <definedName name="____a1_1" hidden="1">{"'Sheet1'!$L$16"}</definedName>
    <definedName name="____a1_2" localSheetId="5" hidden="1">{"'Sheet1'!$L$16"}</definedName>
    <definedName name="____a1_2" hidden="1">{"'Sheet1'!$L$16"}</definedName>
    <definedName name="____a10" localSheetId="5" hidden="1">{"sales",#N/A,FALSE,"SALES"}</definedName>
    <definedName name="____a10" hidden="1">{"sales",#N/A,FALSE,"SALES"}</definedName>
    <definedName name="____a11" localSheetId="5" hidden="1">{"'Sheet1'!$L$16"}</definedName>
    <definedName name="____a11" hidden="1">{"'Sheet1'!$L$16"}</definedName>
    <definedName name="____a12" localSheetId="5" hidden="1">{"'Sheet1'!$L$16"}</definedName>
    <definedName name="____a12" hidden="1">{"'Sheet1'!$L$16"}</definedName>
    <definedName name="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localSheetId="5" hidden="1">{"revable",#N/A,FALSE,"REVABLE"}</definedName>
    <definedName name="____a133" hidden="1">{"revable",#N/A,FALSE,"REVABLE"}</definedName>
    <definedName name="____a2" localSheetId="5" hidden="1">{"hilight1",#N/A,FALSE,"HILIGHT1"}</definedName>
    <definedName name="____a2" hidden="1">{"hilight1",#N/A,FALSE,"HILIGHT1"}</definedName>
    <definedName name="____a3" localSheetId="5" hidden="1">{"hilight2",#N/A,FALSE,"HILIGHT2"}</definedName>
    <definedName name="____a3" hidden="1">{"hilight2",#N/A,FALSE,"HILIGHT2"}</definedName>
    <definedName name="____a4" localSheetId="5" hidden="1">{"hilight3",#N/A,FALSE,"HILIGHT3"}</definedName>
    <definedName name="____a4" hidden="1">{"hilight3",#N/A,FALSE,"HILIGHT3"}</definedName>
    <definedName name="____a5" localSheetId="5" hidden="1">{"income",#N/A,FALSE,"INCOME"}</definedName>
    <definedName name="____a5" hidden="1">{"income",#N/A,FALSE,"INCOME"}</definedName>
    <definedName name="____a51" localSheetId="5" hidden="1">{"income",#N/A,FALSE,"INCOME"}</definedName>
    <definedName name="____a51" hidden="1">{"income",#N/A,FALSE,"INCOME"}</definedName>
    <definedName name="____a6" localSheetId="5" hidden="1">{"index",#N/A,FALSE,"INDEX"}</definedName>
    <definedName name="____a6" hidden="1">{"index",#N/A,FALSE,"INDEX"}</definedName>
    <definedName name="____a7" localSheetId="5" hidden="1">{"PRINT_EST",#N/A,FALSE,"ESTMON"}</definedName>
    <definedName name="____a7" hidden="1">{"PRINT_EST",#N/A,FALSE,"ESTMON"}</definedName>
    <definedName name="____a8" localSheetId="5" hidden="1">{"revsale",#N/A,FALSE,"REV-ยุพดี"}</definedName>
    <definedName name="____a8" hidden="1">{"revsale",#N/A,FALSE,"REV-ยุพดี"}</definedName>
    <definedName name="____a9" localSheetId="5" hidden="1">{"revable",#N/A,FALSE,"REVABLE"}</definedName>
    <definedName name="____a9" hidden="1">{"revable",#N/A,FALSE,"REVABLE"}</definedName>
    <definedName name="____a99" localSheetId="5" hidden="1">{"revable",#N/A,FALSE,"REVABLE"}</definedName>
    <definedName name="____a99" hidden="1">{"revable",#N/A,FALSE,"REVABLE"}</definedName>
    <definedName name="____aa1" localSheetId="5" hidden="1">{"cashflow",#N/A,FALSE,"CASHFLOW "}</definedName>
    <definedName name="____aa1" hidden="1">{"cashflow",#N/A,FALSE,"CASHFLOW "}</definedName>
    <definedName name="____apr2" localSheetId="5" hidden="1">{"'Model'!$A$1:$N$53"}</definedName>
    <definedName name="____apr2" hidden="1">{"'Model'!$A$1:$N$53"}</definedName>
    <definedName name="____b1" localSheetId="5" hidden="1">{"'Sheet1'!$L$16"}</definedName>
    <definedName name="____b1" hidden="1">{"'Sheet1'!$L$16"}</definedName>
    <definedName name="____b3" localSheetId="5" hidden="1">{"'Sheet1'!$L$16"}</definedName>
    <definedName name="____b3" hidden="1">{"'Sheet1'!$L$16"}</definedName>
    <definedName name="____b4" localSheetId="5" hidden="1">{"'Sheet1'!$L$16"}</definedName>
    <definedName name="____b4" hidden="1">{"'Sheet1'!$L$16"}</definedName>
    <definedName name="____b5" localSheetId="5" hidden="1">{"'Sheet1'!$L$16"}</definedName>
    <definedName name="____b5" hidden="1">{"'Sheet1'!$L$16"}</definedName>
    <definedName name="____b6" localSheetId="5" hidden="1">{"'Sheet1'!$L$16"}</definedName>
    <definedName name="____b6" hidden="1">{"'Sheet1'!$L$16"}</definedName>
    <definedName name="____b7" localSheetId="5" hidden="1">{#N/A,#N/A,FALSE,"Chi tiÆt"}</definedName>
    <definedName name="____b7" hidden="1">{#N/A,#N/A,FALSE,"Chi tiÆt"}</definedName>
    <definedName name="____cap1111" localSheetId="5" hidden="1">{"index",#N/A,FALSE,"INDEX"}</definedName>
    <definedName name="____cap1111" hidden="1">{"index",#N/A,FALSE,"INDEX"}</definedName>
    <definedName name="____cap6666" localSheetId="5" hidden="1">{"index",#N/A,FALSE,"INDEX"}</definedName>
    <definedName name="____cap6666" hidden="1">{"index",#N/A,FALSE,"INDEX"}</definedName>
    <definedName name="____e1" localSheetId="5" hidden="1">{"'Sheet1'!$L$16"}</definedName>
    <definedName name="____e1" hidden="1">{"'Sheet1'!$L$16"}</definedName>
    <definedName name="____e2" localSheetId="5" hidden="1">{"'Sheet1'!$L$16"}</definedName>
    <definedName name="____e2" hidden="1">{"'Sheet1'!$L$16"}</definedName>
    <definedName name="____e4" localSheetId="5" hidden="1">{"'Sheet1'!$L$16"}</definedName>
    <definedName name="____e4" hidden="1">{"'Sheet1'!$L$16"}</definedName>
    <definedName name="____e5" localSheetId="5" hidden="1">{"'Sheet1'!$L$16"}</definedName>
    <definedName name="____e5" hidden="1">{"'Sheet1'!$L$16"}</definedName>
    <definedName name="____e6" localSheetId="5" hidden="1">{"'Sheet1'!$L$16"}</definedName>
    <definedName name="____e6" hidden="1">{"'Sheet1'!$L$16"}</definedName>
    <definedName name="____e7" localSheetId="5" hidden="1">{"'Sheet1'!$L$16"}</definedName>
    <definedName name="____e7" hidden="1">{"'Sheet1'!$L$16"}</definedName>
    <definedName name="____e8" localSheetId="5" hidden="1">{#N/A,#N/A,FALSE,"Chi tiÆt"}</definedName>
    <definedName name="____e8" hidden="1">{#N/A,#N/A,FALSE,"Chi tiÆt"}</definedName>
    <definedName name="____f1" localSheetId="5" hidden="1">{"'Sheet1'!$L$16"}</definedName>
    <definedName name="____f1" hidden="1">{"'Sheet1'!$L$16"}</definedName>
    <definedName name="____f2" localSheetId="5" hidden="1">{"'Sheet1'!$L$16"}</definedName>
    <definedName name="____f2" hidden="1">{"'Sheet1'!$L$16"}</definedName>
    <definedName name="____f3" localSheetId="5" hidden="1">{"'Sheet1'!$L$16"}</definedName>
    <definedName name="____f3" hidden="1">{"'Sheet1'!$L$16"}</definedName>
    <definedName name="____f4" localSheetId="5" hidden="1">{"'Sheet1'!$L$16"}</definedName>
    <definedName name="____f4" hidden="1">{"'Sheet1'!$L$16"}</definedName>
    <definedName name="____f5" localSheetId="5" hidden="1">{"'Sheet1'!$L$16"}</definedName>
    <definedName name="____f5" hidden="1">{"'Sheet1'!$L$16"}</definedName>
    <definedName name="____f6" localSheetId="5" hidden="1">{"'Sheet1'!$L$16"}</definedName>
    <definedName name="____f6" hidden="1">{"'Sheet1'!$L$16"}</definedName>
    <definedName name="____f7" localSheetId="5" hidden="1">{"'Sheet1'!$L$16"}</definedName>
    <definedName name="____f7" hidden="1">{"'Sheet1'!$L$16"}</definedName>
    <definedName name="____f8" localSheetId="5" hidden="1">{#N/A,#N/A,FALSE,"Chi tiÆt"}</definedName>
    <definedName name="____f8" hidden="1">{#N/A,#N/A,FALSE,"Chi tiÆt"}</definedName>
    <definedName name="____f9" localSheetId="5" hidden="1">{#N/A,#N/A,FALSE,"Chi tiÆt"}</definedName>
    <definedName name="____f9" hidden="1">{#N/A,#N/A,FALSE,"Chi tiÆt"}</definedName>
    <definedName name="____fd4" localSheetId="5" hidden="1">#REF!</definedName>
    <definedName name="____fd4" localSheetId="4" hidden="1">#REF!</definedName>
    <definedName name="____fd4" hidden="1">#REF!</definedName>
    <definedName name="____FOH2006" localSheetId="5" hidden="1">{#N/A,#N/A,FALSE,"TL";#N/A,#N/A,FALSE,"KK";#N/A,#N/A,FALSE,"TS";#N/A,#N/A,FALSE,"KW";#N/A,#N/A,FALSE,"LP";#N/A,#N/A,FALSE,"DC"}</definedName>
    <definedName name="____FOH2006" hidden="1">{#N/A,#N/A,FALSE,"TL";#N/A,#N/A,FALSE,"KK";#N/A,#N/A,FALSE,"TS";#N/A,#N/A,FALSE,"KW";#N/A,#N/A,FALSE,"LP";#N/A,#N/A,FALSE,"DC"}</definedName>
    <definedName name="____gw04" localSheetId="5" hidden="1">{#N/A,#N/A,FALSE,"Aging Summary";#N/A,#N/A,FALSE,"Ratio Analysis";#N/A,#N/A,FALSE,"Test 120 Day Accts";#N/A,#N/A,FALSE,"Tickmarks"}</definedName>
    <definedName name="____gw04" hidden="1">{#N/A,#N/A,FALSE,"Aging Summary";#N/A,#N/A,FALSE,"Ratio Analysis";#N/A,#N/A,FALSE,"Test 120 Day Accts";#N/A,#N/A,FALSE,"Tickmarks"}</definedName>
    <definedName name="____H1" localSheetId="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localSheetId="5" hidden="1">{"'Model'!$A$1:$N$53"}</definedName>
    <definedName name="____h2" hidden="1">{"'Model'!$A$1:$N$53"}</definedName>
    <definedName name="____huy1" localSheetId="5" hidden="1">{"'Sheet1'!$L$16"}</definedName>
    <definedName name="____huy1" hidden="1">{"'Sheet1'!$L$16"}</definedName>
    <definedName name="____KP300" localSheetId="5" hidden="1">{"level1",#N/A,FALSE,"1_LEV";"LEVEL1",#N/A,FALSE,"1_LEV"}</definedName>
    <definedName name="____KP300" hidden="1">{"level1",#N/A,FALSE,"1_LEV";"LEVEL1",#N/A,FALSE,"1_LEV"}</definedName>
    <definedName name="_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localSheetId="5" hidden="1">{#N/A,#N/A,FALSE,"RECONC'L";#N/A,#N/A,FALSE,"WORKCAP";#N/A,#N/A,FALSE,"RECONC'L";#N/A,#N/A,FALSE,"ACCRUAL";#N/A,#N/A,FALSE,"DEBTOR";#N/A,#N/A,FALSE,"ADMALLOC"}</definedName>
    <definedName name="____n1" hidden="1">{#N/A,#N/A,FALSE,"RECONC'L";#N/A,#N/A,FALSE,"WORKCAP";#N/A,#N/A,FALSE,"RECONC'L";#N/A,#N/A,FALSE,"ACCRUAL";#N/A,#N/A,FALSE,"DEBTOR";#N/A,#N/A,FALSE,"ADMALLOC"}</definedName>
    <definedName name="____nat2" localSheetId="5" hidden="1">{#N/A,#N/A,FALSE,"Assessment";#N/A,#N/A,FALSE,"Staffing";#N/A,#N/A,FALSE,"Hires";#N/A,#N/A,FALSE,"Assumptions"}</definedName>
    <definedName name="____nat2" hidden="1">{#N/A,#N/A,FALSE,"Assessment";#N/A,#N/A,FALSE,"Staffing";#N/A,#N/A,FALSE,"Hires";#N/A,#N/A,FALSE,"Assumptions"}</definedName>
    <definedName name="____nat3" localSheetId="5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localSheetId="5" hidden="1">{"'Sheet1'!$L$16"}</definedName>
    <definedName name="____NSO2" hidden="1">{"'Sheet1'!$L$16"}</definedName>
    <definedName name="____NSO2_1" localSheetId="5" hidden="1">{"'Sheet1'!$L$16"}</definedName>
    <definedName name="____NSO2_1" hidden="1">{"'Sheet1'!$L$16"}</definedName>
    <definedName name="____NSO2_2" localSheetId="5" hidden="1">{"'Sheet1'!$L$16"}</definedName>
    <definedName name="____NSO2_2" hidden="1">{"'Sheet1'!$L$16"}</definedName>
    <definedName name="____NSO3" localSheetId="5" hidden="1">{"'Sheet1'!$L$16"}</definedName>
    <definedName name="____NSO3" hidden="1">{"'Sheet1'!$L$16"}</definedName>
    <definedName name="____PA3" localSheetId="5" hidden="1">{"'Sheet1'!$L$16"}</definedName>
    <definedName name="____PA3" hidden="1">{"'Sheet1'!$L$16"}</definedName>
    <definedName name="____PUR6" localSheetId="5" hidden="1">{#N/A,#N/A,FALSE,"Sheet2"}</definedName>
    <definedName name="____PUR6" hidden="1">{#N/A,#N/A,FALSE,"Sheet2"}</definedName>
    <definedName name="____q2" localSheetId="5" hidden="1">{"PAGE 1",#N/A,FALSE,"หน้า 1,2,3";"PAGE 2",#N/A,FALSE,"หน้า 1,2,3";"PAGE 3",#N/A,FALSE,"หน้า 1,2,3"}</definedName>
    <definedName name="____q2" hidden="1">{"PAGE 1",#N/A,FALSE,"หน้า 1,2,3";"PAGE 2",#N/A,FALSE,"หน้า 1,2,3";"PAGE 3",#N/A,FALSE,"หน้า 1,2,3"}</definedName>
    <definedName name="____q3" localSheetId="5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localSheetId="5" hidden="1">{#N/A,#N/A,FALSE,"Sheet2"}</definedName>
    <definedName name="____QUY3" hidden="1">{#N/A,#N/A,FALSE,"Sheet2"}</definedName>
    <definedName name="__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localSheetId="5" hidden="1">{"'Sheet1'!$L$16"}</definedName>
    <definedName name="____s1" hidden="1">{"'Sheet1'!$L$16"}</definedName>
    <definedName name="____s2" localSheetId="5" hidden="1">{"'Sheet1'!$L$16"}</definedName>
    <definedName name="____s2" hidden="1">{"'Sheet1'!$L$16"}</definedName>
    <definedName name="____s3" localSheetId="5" hidden="1">{"'Sheet1'!$L$16"}</definedName>
    <definedName name="____s3" hidden="1">{"'Sheet1'!$L$16"}</definedName>
    <definedName name="____s4" localSheetId="5" hidden="1">{"'Sheet1'!$L$16"}</definedName>
    <definedName name="____s4" hidden="1">{"'Sheet1'!$L$16"}</definedName>
    <definedName name="____s5" localSheetId="5" hidden="1">{"'Sheet1'!$L$16"}</definedName>
    <definedName name="____s5" hidden="1">{"'Sheet1'!$L$16"}</definedName>
    <definedName name="____s6" localSheetId="5" hidden="1">{#N/A,#N/A,FALSE,"Chi tiÆt"}</definedName>
    <definedName name="____s6" hidden="1">{#N/A,#N/A,FALSE,"Chi tiÆt"}</definedName>
    <definedName name="____s7" localSheetId="5" hidden="1">{#N/A,#N/A,FALSE,"Chi tiÆt"}</definedName>
    <definedName name="____s7" hidden="1">{#N/A,#N/A,FALSE,"Chi tiÆt"}</definedName>
    <definedName name="____T01" localSheetId="5" hidden="1">#REF!</definedName>
    <definedName name="____T01" localSheetId="4" hidden="1">#REF!</definedName>
    <definedName name="____T01" hidden="1">#REF!</definedName>
    <definedName name="____t2" localSheetId="5" hidden="1">{"'Sheet1'!$L$16"}</definedName>
    <definedName name="____t2" hidden="1">{"'Sheet1'!$L$16"}</definedName>
    <definedName name="____t4" localSheetId="5" hidden="1">{"'Sheet1'!$L$16"}</definedName>
    <definedName name="____t4" hidden="1">{"'Sheet1'!$L$16"}</definedName>
    <definedName name="____t5" localSheetId="5" hidden="1">{"'Sheet1'!$L$16"}</definedName>
    <definedName name="____t5" hidden="1">{"'Sheet1'!$L$16"}</definedName>
    <definedName name="____t6" localSheetId="5" hidden="1">{"'Sheet1'!$L$16"}</definedName>
    <definedName name="____t6" hidden="1">{"'Sheet1'!$L$16"}</definedName>
    <definedName name="____t7" localSheetId="5" hidden="1">{"'Sheet1'!$L$16"}</definedName>
    <definedName name="____t7" hidden="1">{"'Sheet1'!$L$16"}</definedName>
    <definedName name="____t8" localSheetId="5" hidden="1">{#N/A,#N/A,FALSE,"Chi tiÆt"}</definedName>
    <definedName name="____t8" hidden="1">{#N/A,#N/A,FALSE,"Chi tiÆt"}</definedName>
    <definedName name="____t9" localSheetId="5" hidden="1">{"'Sheet1'!$L$16"}</definedName>
    <definedName name="____t9" hidden="1">{"'Sheet1'!$L$16"}</definedName>
    <definedName name="____tt3" localSheetId="5" hidden="1">{"'Sheet1'!$L$16"}</definedName>
    <definedName name="____tt3" hidden="1">{"'Sheet1'!$L$16"}</definedName>
    <definedName name="____U3" localSheetId="5" hidden="1">{#N/A,#N/A,FALSE,"Aging Summary";#N/A,#N/A,FALSE,"Ratio Analysis";#N/A,#N/A,FALSE,"Test 120 Day Accts";#N/A,#N/A,FALSE,"Tickmarks"}</definedName>
    <definedName name="____U3" hidden="1">{#N/A,#N/A,FALSE,"Aging Summary";#N/A,#N/A,FALSE,"Ratio Analysis";#N/A,#N/A,FALSE,"Test 120 Day Accts";#N/A,#N/A,FALSE,"Tickmarks"}</definedName>
    <definedName name="____w2" localSheetId="5" hidden="1">{"'Sheet1'!$L$16"}</definedName>
    <definedName name="____w2" hidden="1">{"'Sheet1'!$L$16"}</definedName>
    <definedName name="____w3" localSheetId="5" hidden="1">{"'Sheet1'!$L$16"}</definedName>
    <definedName name="____w3" hidden="1">{"'Sheet1'!$L$16"}</definedName>
    <definedName name="____w4" localSheetId="5" hidden="1">{"'Sheet1'!$L$16"}</definedName>
    <definedName name="____w4" hidden="1">{"'Sheet1'!$L$16"}</definedName>
    <definedName name="____w5" localSheetId="5" hidden="1">{"'Sheet1'!$L$16"}</definedName>
    <definedName name="____w5" hidden="1">{"'Sheet1'!$L$16"}</definedName>
    <definedName name="____w6" localSheetId="5" hidden="1">{#N/A,#N/A,FALSE,"Chi tiÆt"}</definedName>
    <definedName name="____w6" hidden="1">{#N/A,#N/A,FALSE,"Chi tiÆt"}</definedName>
    <definedName name="____w8" localSheetId="5" hidden="1">{"'Sheet1'!$L$16"}</definedName>
    <definedName name="____w8" hidden="1">{"'Sheet1'!$L$16"}</definedName>
    <definedName name="____w9" localSheetId="5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localSheetId="5" hidden="1">{"'ตัวอย่าง'!$A$1:$O$21"}</definedName>
    <definedName name="____Z1" hidden="1">{"'ตัวอย่าง'!$A$1:$O$21"}</definedName>
    <definedName name="___111" localSheetId="5" hidden="1">{"'Sheet1'!$L$16"}</definedName>
    <definedName name="___111" hidden="1">{"'Sheet1'!$L$16"}</definedName>
    <definedName name="___a1" localSheetId="5" hidden="1">{"cashflow",#N/A,FALSE,"CASHFLOW "}</definedName>
    <definedName name="___a1" hidden="1">{"cashflow",#N/A,FALSE,"CASHFLOW "}</definedName>
    <definedName name="___a1_1" localSheetId="5" hidden="1">{"'Sheet1'!$L$16"}</definedName>
    <definedName name="___a1_1" hidden="1">{"'Sheet1'!$L$16"}</definedName>
    <definedName name="___a1_2" localSheetId="5" hidden="1">{"'Sheet1'!$L$16"}</definedName>
    <definedName name="___a1_2" hidden="1">{"'Sheet1'!$L$16"}</definedName>
    <definedName name="___a10" localSheetId="5" hidden="1">{"sales",#N/A,FALSE,"SALES"}</definedName>
    <definedName name="___a10" hidden="1">{"sales",#N/A,FALSE,"SALES"}</definedName>
    <definedName name="___a11" localSheetId="5" hidden="1">{"'Sheet1'!$L$16"}</definedName>
    <definedName name="___a11" hidden="1">{"'Sheet1'!$L$16"}</definedName>
    <definedName name="___a12" localSheetId="5" hidden="1">{"'Sheet1'!$L$16"}</definedName>
    <definedName name="___a12" hidden="1">{"'Sheet1'!$L$16"}</definedName>
    <definedName name="___A123" localSheetId="5" hidden="1">#REF!</definedName>
    <definedName name="___A123" localSheetId="4" hidden="1">#REF!</definedName>
    <definedName name="___A123" hidden="1">#REF!</definedName>
    <definedName name="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localSheetId="5" hidden="1">{"revable",#N/A,FALSE,"REVABLE"}</definedName>
    <definedName name="___a133" hidden="1">{"revable",#N/A,FALSE,"REVABLE"}</definedName>
    <definedName name="___a2" localSheetId="5" hidden="1">{"hilight1",#N/A,FALSE,"HILIGHT1"}</definedName>
    <definedName name="___a2" hidden="1">{"hilight1",#N/A,FALSE,"HILIGHT1"}</definedName>
    <definedName name="___a3" localSheetId="5" hidden="1">{"hilight2",#N/A,FALSE,"HILIGHT2"}</definedName>
    <definedName name="___a3" hidden="1">{"hilight2",#N/A,FALSE,"HILIGHT2"}</definedName>
    <definedName name="___a4" localSheetId="5" hidden="1">{"hilight3",#N/A,FALSE,"HILIGHT3"}</definedName>
    <definedName name="___a4" hidden="1">{"hilight3",#N/A,FALSE,"HILIGHT3"}</definedName>
    <definedName name="___a5" localSheetId="5" hidden="1">{"income",#N/A,FALSE,"INCOME"}</definedName>
    <definedName name="___a5" hidden="1">{"income",#N/A,FALSE,"INCOME"}</definedName>
    <definedName name="___a51" localSheetId="5" hidden="1">{"income",#N/A,FALSE,"INCOME"}</definedName>
    <definedName name="___a51" hidden="1">{"income",#N/A,FALSE,"INCOME"}</definedName>
    <definedName name="___a6" localSheetId="5" hidden="1">{"index",#N/A,FALSE,"INDEX"}</definedName>
    <definedName name="___a6" hidden="1">{"index",#N/A,FALSE,"INDEX"}</definedName>
    <definedName name="___a7" localSheetId="5" hidden="1">{"PRINT_EST",#N/A,FALSE,"ESTMON"}</definedName>
    <definedName name="___a7" hidden="1">{"PRINT_EST",#N/A,FALSE,"ESTMON"}</definedName>
    <definedName name="___a8" localSheetId="5" hidden="1">{"revsale",#N/A,FALSE,"REV-ยุพดี"}</definedName>
    <definedName name="___a8" hidden="1">{"revsale",#N/A,FALSE,"REV-ยุพดี"}</definedName>
    <definedName name="___a9" localSheetId="5" hidden="1">{"revable",#N/A,FALSE,"REVABLE"}</definedName>
    <definedName name="___a9" hidden="1">{"revable",#N/A,FALSE,"REVABLE"}</definedName>
    <definedName name="___aa1" localSheetId="5" hidden="1">{"cashflow",#N/A,FALSE,"CASHFLOW "}</definedName>
    <definedName name="___aa1" hidden="1">{"cashflow",#N/A,FALSE,"CASHFLOW "}</definedName>
    <definedName name="___apr2" localSheetId="5" hidden="1">{"'Model'!$A$1:$N$53"}</definedName>
    <definedName name="___apr2" hidden="1">{"'Model'!$A$1:$N$53"}</definedName>
    <definedName name="___B1" localSheetId="5" hidden="1">{"PRINT_EST",#N/A,FALSE,"ESTMON"}</definedName>
    <definedName name="___B1" hidden="1">{"PRINT_EST",#N/A,FALSE,"ESTMON"}</definedName>
    <definedName name="___b3" localSheetId="5" hidden="1">{"'Sheet1'!$L$16"}</definedName>
    <definedName name="___b3" hidden="1">{"'Sheet1'!$L$16"}</definedName>
    <definedName name="___b4" localSheetId="5" hidden="1">{"'Sheet1'!$L$16"}</definedName>
    <definedName name="___b4" hidden="1">{"'Sheet1'!$L$16"}</definedName>
    <definedName name="___b5" localSheetId="5" hidden="1">{"'Sheet1'!$L$16"}</definedName>
    <definedName name="___b5" hidden="1">{"'Sheet1'!$L$16"}</definedName>
    <definedName name="___b6" localSheetId="5" hidden="1">{"'Sheet1'!$L$16"}</definedName>
    <definedName name="___b6" hidden="1">{"'Sheet1'!$L$16"}</definedName>
    <definedName name="___b7" localSheetId="5" hidden="1">{#N/A,#N/A,FALSE,"Chi tiÆt"}</definedName>
    <definedName name="___b7" hidden="1">{#N/A,#N/A,FALSE,"Chi tiÆt"}</definedName>
    <definedName name="___e1" localSheetId="5" hidden="1">{"'Sheet1'!$L$16"}</definedName>
    <definedName name="___e1" hidden="1">{"'Sheet1'!$L$16"}</definedName>
    <definedName name="___e2" localSheetId="5" hidden="1">{"'Sheet1'!$L$16"}</definedName>
    <definedName name="___e2" hidden="1">{"'Sheet1'!$L$16"}</definedName>
    <definedName name="___e4" localSheetId="5" hidden="1">{"'Sheet1'!$L$16"}</definedName>
    <definedName name="___e4" hidden="1">{"'Sheet1'!$L$16"}</definedName>
    <definedName name="___e5" localSheetId="5" hidden="1">{"'Sheet1'!$L$16"}</definedName>
    <definedName name="___e5" hidden="1">{"'Sheet1'!$L$16"}</definedName>
    <definedName name="___e6" localSheetId="5" hidden="1">{"'Sheet1'!$L$16"}</definedName>
    <definedName name="___e6" hidden="1">{"'Sheet1'!$L$16"}</definedName>
    <definedName name="___e7" localSheetId="5" hidden="1">{"'Sheet1'!$L$16"}</definedName>
    <definedName name="___e7" hidden="1">{"'Sheet1'!$L$16"}</definedName>
    <definedName name="___e8" localSheetId="5" hidden="1">{#N/A,#N/A,FALSE,"Chi tiÆt"}</definedName>
    <definedName name="___e8" hidden="1">{#N/A,#N/A,FALSE,"Chi tiÆt"}</definedName>
    <definedName name="___f1" localSheetId="5" hidden="1">{"'Sheet1'!$L$16"}</definedName>
    <definedName name="___f1" hidden="1">{"'Sheet1'!$L$16"}</definedName>
    <definedName name="___f2" localSheetId="5" hidden="1">{"'Sheet1'!$L$16"}</definedName>
    <definedName name="___f2" hidden="1">{"'Sheet1'!$L$16"}</definedName>
    <definedName name="___f3" localSheetId="5" hidden="1">{"'Sheet1'!$L$16"}</definedName>
    <definedName name="___f3" hidden="1">{"'Sheet1'!$L$16"}</definedName>
    <definedName name="___f4" localSheetId="5" hidden="1">{"'Sheet1'!$L$16"}</definedName>
    <definedName name="___f4" hidden="1">{"'Sheet1'!$L$16"}</definedName>
    <definedName name="___f5" localSheetId="5" hidden="1">{"'Sheet1'!$L$16"}</definedName>
    <definedName name="___f5" hidden="1">{"'Sheet1'!$L$16"}</definedName>
    <definedName name="___f6" localSheetId="5" hidden="1">{"'Sheet1'!$L$16"}</definedName>
    <definedName name="___f6" hidden="1">{"'Sheet1'!$L$16"}</definedName>
    <definedName name="___f7" localSheetId="5" hidden="1">{"'Sheet1'!$L$16"}</definedName>
    <definedName name="___f7" hidden="1">{"'Sheet1'!$L$16"}</definedName>
    <definedName name="___f8" localSheetId="5" hidden="1">{#N/A,#N/A,FALSE,"Chi tiÆt"}</definedName>
    <definedName name="___f8" hidden="1">{#N/A,#N/A,FALSE,"Chi tiÆt"}</definedName>
    <definedName name="___f9" localSheetId="5" hidden="1">{#N/A,#N/A,FALSE,"Chi tiÆt"}</definedName>
    <definedName name="___f9" hidden="1">{#N/A,#N/A,FALSE,"Chi tiÆt"}</definedName>
    <definedName name="___fd4" localSheetId="5" hidden="1">#REF!</definedName>
    <definedName name="___fd4" localSheetId="4" hidden="1">#REF!</definedName>
    <definedName name="___fd4" hidden="1">#REF!</definedName>
    <definedName name="___FOH2006" localSheetId="5" hidden="1">{#N/A,#N/A,FALSE,"TL";#N/A,#N/A,FALSE,"KK";#N/A,#N/A,FALSE,"TS";#N/A,#N/A,FALSE,"KW";#N/A,#N/A,FALSE,"LP";#N/A,#N/A,FALSE,"DC"}</definedName>
    <definedName name="___FOH2006" hidden="1">{#N/A,#N/A,FALSE,"TL";#N/A,#N/A,FALSE,"KK";#N/A,#N/A,FALSE,"TS";#N/A,#N/A,FALSE,"KW";#N/A,#N/A,FALSE,"LP";#N/A,#N/A,FALSE,"DC"}</definedName>
    <definedName name="___gg1" localSheetId="5" hidden="1">{"'Sheet1'!$L$16"}</definedName>
    <definedName name="___gg1" hidden="1">{"'Sheet1'!$L$16"}</definedName>
    <definedName name="___Goi8" localSheetId="5" hidden="1">{"'Sheet1'!$L$16"}</definedName>
    <definedName name="___Goi8" hidden="1">{"'Sheet1'!$L$16"}</definedName>
    <definedName name="___gw04" localSheetId="5" hidden="1">{#N/A,#N/A,FALSE,"Aging Summary";#N/A,#N/A,FALSE,"Ratio Analysis";#N/A,#N/A,FALSE,"Test 120 Day Accts";#N/A,#N/A,FALSE,"Tickmarks"}</definedName>
    <definedName name="___gw04" hidden="1">{#N/A,#N/A,FALSE,"Aging Summary";#N/A,#N/A,FALSE,"Ratio Analysis";#N/A,#N/A,FALSE,"Test 120 Day Accts";#N/A,#N/A,FALSE,"Tickmarks"}</definedName>
    <definedName name="___h1" localSheetId="5" hidden="1">{"'Sheet1'!$L$16"}</definedName>
    <definedName name="___h1" hidden="1">{"'Sheet1'!$L$16"}</definedName>
    <definedName name="___h2" localSheetId="5" hidden="1">{"'Sheet1'!$L$16"}</definedName>
    <definedName name="___h2" hidden="1">{"'Sheet1'!$L$16"}</definedName>
    <definedName name="___huy1" localSheetId="5" hidden="1">{"'Sheet1'!$L$16"}</definedName>
    <definedName name="___huy1" hidden="1">{"'Sheet1'!$L$16"}</definedName>
    <definedName name="___KP300" localSheetId="5" hidden="1">{"level1",#N/A,FALSE,"1_LEV";"LEVEL1",#N/A,FALSE,"1_LEV"}</definedName>
    <definedName name="___KP300" hidden="1">{"level1",#N/A,FALSE,"1_LEV";"LEVEL1",#N/A,FALSE,"1_LEV"}</definedName>
    <definedName name="___Lan1" localSheetId="5" hidden="1">{"'Sheet1'!$L$16"}</definedName>
    <definedName name="___Lan1" hidden="1">{"'Sheet1'!$L$16"}</definedName>
    <definedName name="___LAN3" localSheetId="5" hidden="1">{"'Sheet1'!$L$16"}</definedName>
    <definedName name="___LAN3" hidden="1">{"'Sheet1'!$L$16"}</definedName>
    <definedName name="_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localSheetId="5" hidden="1">{#N/A,#N/A,FALSE,"RECONC'L";#N/A,#N/A,FALSE,"WORKCAP";#N/A,#N/A,FALSE,"RECONC'L";#N/A,#N/A,FALSE,"ACCRUAL";#N/A,#N/A,FALSE,"DEBTOR";#N/A,#N/A,FALSE,"ADMALLOC"}</definedName>
    <definedName name="___n1" hidden="1">{#N/A,#N/A,FALSE,"RECONC'L";#N/A,#N/A,FALSE,"WORKCAP";#N/A,#N/A,FALSE,"RECONC'L";#N/A,#N/A,FALSE,"ACCRUAL";#N/A,#N/A,FALSE,"DEBTOR";#N/A,#N/A,FALSE,"ADMALLOC"}</definedName>
    <definedName name="___nat2" localSheetId="5" hidden="1">{#N/A,#N/A,FALSE,"Assessment";#N/A,#N/A,FALSE,"Staffing";#N/A,#N/A,FALSE,"Hires";#N/A,#N/A,FALSE,"Assumptions"}</definedName>
    <definedName name="___nat2" hidden="1">{#N/A,#N/A,FALSE,"Assessment";#N/A,#N/A,FALSE,"Staffing";#N/A,#N/A,FALSE,"Hires";#N/A,#N/A,FALSE,"Assumptions"}</definedName>
    <definedName name="___nat3" localSheetId="5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localSheetId="5" hidden="1">{"'Sheet1'!$L$16"}</definedName>
    <definedName name="___NSO2" hidden="1">{"'Sheet1'!$L$16"}</definedName>
    <definedName name="___NSO2_1" localSheetId="5" hidden="1">{"'Sheet1'!$L$16"}</definedName>
    <definedName name="___NSO2_1" hidden="1">{"'Sheet1'!$L$16"}</definedName>
    <definedName name="___NSO2_2" localSheetId="5" hidden="1">{"'Sheet1'!$L$16"}</definedName>
    <definedName name="___NSO2_2" hidden="1">{"'Sheet1'!$L$16"}</definedName>
    <definedName name="___nso3" localSheetId="5" hidden="1">{"'Sheet1'!$L$16"}</definedName>
    <definedName name="___nso3" hidden="1">{"'Sheet1'!$L$16"}</definedName>
    <definedName name="___PA3" localSheetId="5" hidden="1">{"'Sheet1'!$L$16"}</definedName>
    <definedName name="___PA3" hidden="1">{"'Sheet1'!$L$16"}</definedName>
    <definedName name="___PUR6" localSheetId="5" hidden="1">{#N/A,#N/A,FALSE,"Sheet2"}</definedName>
    <definedName name="___PUR6" hidden="1">{#N/A,#N/A,FALSE,"Sheet2"}</definedName>
    <definedName name="___q2" localSheetId="5" hidden="1">{"PAGE 1",#N/A,FALSE,"หน้า 1,2,3";"PAGE 2",#N/A,FALSE,"หน้า 1,2,3";"PAGE 3",#N/A,FALSE,"หน้า 1,2,3"}</definedName>
    <definedName name="___q2" hidden="1">{"PAGE 1",#N/A,FALSE,"หน้า 1,2,3";"PAGE 2",#N/A,FALSE,"หน้า 1,2,3";"PAGE 3",#N/A,FALSE,"หน้า 1,2,3"}</definedName>
    <definedName name="___q3" localSheetId="5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localSheetId="5" hidden="1">{#N/A,#N/A,FALSE,"Sheet2"}</definedName>
    <definedName name="___QUY3" hidden="1">{#N/A,#N/A,FALSE,"Sheet2"}</definedName>
    <definedName name="_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localSheetId="5" hidden="1">{"'Sheet1'!$L$16"}</definedName>
    <definedName name="___s1" hidden="1">{"'Sheet1'!$L$16"}</definedName>
    <definedName name="___s2" localSheetId="5" hidden="1">{"'Sheet1'!$L$16"}</definedName>
    <definedName name="___s2" hidden="1">{"'Sheet1'!$L$16"}</definedName>
    <definedName name="___s3" localSheetId="5" hidden="1">{"'Sheet1'!$L$16"}</definedName>
    <definedName name="___s3" hidden="1">{"'Sheet1'!$L$16"}</definedName>
    <definedName name="___s4" localSheetId="5" hidden="1">{"'Sheet1'!$L$16"}</definedName>
    <definedName name="___s4" hidden="1">{"'Sheet1'!$L$16"}</definedName>
    <definedName name="___s5" localSheetId="5" hidden="1">{"'Sheet1'!$L$16"}</definedName>
    <definedName name="___s5" hidden="1">{"'Sheet1'!$L$16"}</definedName>
    <definedName name="___s6" localSheetId="5" hidden="1">{#N/A,#N/A,FALSE,"Chi tiÆt"}</definedName>
    <definedName name="___s6" hidden="1">{#N/A,#N/A,FALSE,"Chi tiÆt"}</definedName>
    <definedName name="___s7" localSheetId="5" hidden="1">{#N/A,#N/A,FALSE,"Chi tiÆt"}</definedName>
    <definedName name="___s7" hidden="1">{#N/A,#N/A,FALSE,"Chi tiÆt"}</definedName>
    <definedName name="___T01" localSheetId="5" hidden="1">#REF!</definedName>
    <definedName name="___T01" localSheetId="4" hidden="1">#REF!</definedName>
    <definedName name="___T01" hidden="1">#REF!</definedName>
    <definedName name="___t2" localSheetId="5" hidden="1">{"'Sheet1'!$L$16"}</definedName>
    <definedName name="___t2" hidden="1">{"'Sheet1'!$L$16"}</definedName>
    <definedName name="___t4" localSheetId="5" hidden="1">{"'Sheet1'!$L$16"}</definedName>
    <definedName name="___t4" hidden="1">{"'Sheet1'!$L$16"}</definedName>
    <definedName name="___t5" localSheetId="5" hidden="1">{"'Sheet1'!$L$16"}</definedName>
    <definedName name="___t5" hidden="1">{"'Sheet1'!$L$16"}</definedName>
    <definedName name="___t6" localSheetId="5" hidden="1">{"'Sheet1'!$L$16"}</definedName>
    <definedName name="___t6" hidden="1">{"'Sheet1'!$L$16"}</definedName>
    <definedName name="___t7" localSheetId="5" hidden="1">{"'Sheet1'!$L$16"}</definedName>
    <definedName name="___t7" hidden="1">{"'Sheet1'!$L$16"}</definedName>
    <definedName name="___t8" localSheetId="5" hidden="1">{#N/A,#N/A,FALSE,"Chi tiÆt"}</definedName>
    <definedName name="___t8" hidden="1">{#N/A,#N/A,FALSE,"Chi tiÆt"}</definedName>
    <definedName name="___t9" localSheetId="5" hidden="1">{"'Sheet1'!$L$16"}</definedName>
    <definedName name="___t9" hidden="1">{"'Sheet1'!$L$16"}</definedName>
    <definedName name="___thu1" localSheetId="5" hidden="1">{"'Sheet1'!$L$16"}</definedName>
    <definedName name="___thu1" hidden="1">{"'Sheet1'!$L$16"}</definedName>
    <definedName name="___thu2" localSheetId="5" hidden="1">{"'Sheet1'!$L$16"}</definedName>
    <definedName name="___thu2" hidden="1">{"'Sheet1'!$L$16"}</definedName>
    <definedName name="___thu4" localSheetId="5" hidden="1">{"'Sheet1'!$L$16"}</definedName>
    <definedName name="___thu4" hidden="1">{"'Sheet1'!$L$16"}</definedName>
    <definedName name="___thu5" localSheetId="5" hidden="1">{"'Sheet1'!$L$16"}</definedName>
    <definedName name="___thu5" hidden="1">{"'Sheet1'!$L$16"}</definedName>
    <definedName name="___tm2" localSheetId="5" hidden="1">{#N/A,#N/A,FALSE,"Chi tiÆt"}</definedName>
    <definedName name="___tm2" hidden="1">{#N/A,#N/A,FALSE,"Chi tiÆt"}</definedName>
    <definedName name="___tt3" localSheetId="5" hidden="1">{"'Sheet1'!$L$16"}</definedName>
    <definedName name="___tt3" hidden="1">{"'Sheet1'!$L$16"}</definedName>
    <definedName name="___U3" localSheetId="5" hidden="1">{#N/A,#N/A,FALSE,"Aging Summary";#N/A,#N/A,FALSE,"Ratio Analysis";#N/A,#N/A,FALSE,"Test 120 Day Accts";#N/A,#N/A,FALSE,"Tickmarks"}</definedName>
    <definedName name="___U3" hidden="1">{#N/A,#N/A,FALSE,"Aging Summary";#N/A,#N/A,FALSE,"Ratio Analysis";#N/A,#N/A,FALSE,"Test 120 Day Accts";#N/A,#N/A,FALSE,"Tickmarks"}</definedName>
    <definedName name="___w2" localSheetId="5" hidden="1">{"'Sheet1'!$L$16"}</definedName>
    <definedName name="___w2" hidden="1">{"'Sheet1'!$L$16"}</definedName>
    <definedName name="___w3" localSheetId="5" hidden="1">{"'Sheet1'!$L$16"}</definedName>
    <definedName name="___w3" hidden="1">{"'Sheet1'!$L$16"}</definedName>
    <definedName name="___w4" localSheetId="5" hidden="1">{"'Sheet1'!$L$16"}</definedName>
    <definedName name="___w4" hidden="1">{"'Sheet1'!$L$16"}</definedName>
    <definedName name="___w5" localSheetId="5" hidden="1">{"'Sheet1'!$L$16"}</definedName>
    <definedName name="___w5" hidden="1">{"'Sheet1'!$L$16"}</definedName>
    <definedName name="___w6" localSheetId="5" hidden="1">{#N/A,#N/A,FALSE,"Chi tiÆt"}</definedName>
    <definedName name="___w6" hidden="1">{#N/A,#N/A,FALSE,"Chi tiÆt"}</definedName>
    <definedName name="___w8" localSheetId="5" hidden="1">{"'Sheet1'!$L$16"}</definedName>
    <definedName name="___w8" hidden="1">{"'Sheet1'!$L$16"}</definedName>
    <definedName name="___w9" localSheetId="5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localSheetId="5" hidden="1">{"'ตัวอย่าง'!$A$1:$O$21"}</definedName>
    <definedName name="___Z1" hidden="1">{"'ตัวอย่าง'!$A$1:$O$21"}</definedName>
    <definedName name="__10_0_0_F" localSheetId="5" hidden="1">#REF!</definedName>
    <definedName name="__10_0_0_F" localSheetId="4" hidden="1">#REF!</definedName>
    <definedName name="__10_0_0_F" hidden="1">#REF!</definedName>
    <definedName name="__123Graph_A" localSheetId="5" hidden="1">#REF!</definedName>
    <definedName name="__123Graph_A" localSheetId="4" hidden="1">#REF!</definedName>
    <definedName name="__123Graph_A" hidden="1">#REF!</definedName>
    <definedName name="__123Graph_AChart1" localSheetId="5" hidden="1">#REF!</definedName>
    <definedName name="__123Graph_AChart1" localSheetId="4" hidden="1">#REF!</definedName>
    <definedName name="__123Graph_AChart1" hidden="1">#REF!</definedName>
    <definedName name="__123Graph_ACurrent" localSheetId="5" hidden="1">#REF!</definedName>
    <definedName name="__123Graph_ACurrent" localSheetId="4" hidden="1">#REF!</definedName>
    <definedName name="__123Graph_ACurrent" hidden="1">#REF!</definedName>
    <definedName name="__123Graph_AGRAPH1" localSheetId="5" hidden="1">#REF!</definedName>
    <definedName name="__123Graph_AGRAPH1" localSheetId="4" hidden="1">#REF!</definedName>
    <definedName name="__123Graph_AGRAPH1" hidden="1">#REF!</definedName>
    <definedName name="__123Graph_AGRAPH2" localSheetId="5" hidden="1">#REF!</definedName>
    <definedName name="__123Graph_AGRAPH2" localSheetId="4" hidden="1">#REF!</definedName>
    <definedName name="__123Graph_AGRAPH2" hidden="1">#REF!</definedName>
    <definedName name="__123Graph_AGRAPH3" localSheetId="5" hidden="1">#REF!</definedName>
    <definedName name="__123Graph_AGRAPH3" localSheetId="4" hidden="1">#REF!</definedName>
    <definedName name="__123Graph_AGRAPH3" hidden="1">#REF!</definedName>
    <definedName name="__123Graph_AGRAPH4" localSheetId="5" hidden="1">#REF!</definedName>
    <definedName name="__123Graph_AGRAPH4" localSheetId="4" hidden="1">#REF!</definedName>
    <definedName name="__123Graph_AGRAPH4" hidden="1">#REF!</definedName>
    <definedName name="__123Graph_AGRAPH5" localSheetId="5" hidden="1">#REF!</definedName>
    <definedName name="__123Graph_AGRAPH5" localSheetId="4" hidden="1">#REF!</definedName>
    <definedName name="__123Graph_AGRAPH5" hidden="1">#REF!</definedName>
    <definedName name="__123Graph_AGRAPH6" localSheetId="5" hidden="1">#REF!</definedName>
    <definedName name="__123Graph_AGRAPH6" localSheetId="4" hidden="1">#REF!</definedName>
    <definedName name="__123Graph_AGRAPH6" hidden="1">#REF!</definedName>
    <definedName name="__123Graph_AGRAPH7" localSheetId="5" hidden="1">#REF!</definedName>
    <definedName name="__123Graph_AGRAPH7" localSheetId="4" hidden="1">#REF!</definedName>
    <definedName name="__123Graph_AGRAPH7" hidden="1">#REF!</definedName>
    <definedName name="__123Graph_AGRAPH8" localSheetId="5" hidden="1">#REF!</definedName>
    <definedName name="__123Graph_AGRAPH8" localSheetId="4" hidden="1">#REF!</definedName>
    <definedName name="__123Graph_AGRAPH8" hidden="1">#REF!</definedName>
    <definedName name="__123Graph_AGRAPH9" localSheetId="5" hidden="1">#REF!</definedName>
    <definedName name="__123Graph_AGRAPH9" localSheetId="4" hidden="1">#REF!</definedName>
    <definedName name="__123Graph_AGRAPH9" hidden="1">#REF!</definedName>
    <definedName name="__123Graph_AM105B2" localSheetId="5" hidden="1">#REF!</definedName>
    <definedName name="__123Graph_AM105B2" localSheetId="4" hidden="1">#REF!</definedName>
    <definedName name="__123Graph_AM105B2" hidden="1">#REF!</definedName>
    <definedName name="__123Graph_AM105I2" localSheetId="5" hidden="1">#REF!</definedName>
    <definedName name="__123Graph_AM105I2" localSheetId="4" hidden="1">#REF!</definedName>
    <definedName name="__123Graph_AM105I2" hidden="1">#REF!</definedName>
    <definedName name="__123Graph_AM105S2" localSheetId="5" hidden="1">#REF!</definedName>
    <definedName name="__123Graph_AM105S2" localSheetId="4" hidden="1">#REF!</definedName>
    <definedName name="__123Graph_AM105S2" hidden="1">#REF!</definedName>
    <definedName name="__123Graph_APIS" localSheetId="5" hidden="1">#REF!</definedName>
    <definedName name="__123Graph_APIS" localSheetId="4" hidden="1">#REF!</definedName>
    <definedName name="__123Graph_APIS" hidden="1">#REF!</definedName>
    <definedName name="__123Graph_B" localSheetId="5" hidden="1">#REF!</definedName>
    <definedName name="__123Graph_B" localSheetId="4" hidden="1">#REF!</definedName>
    <definedName name="__123Graph_B" hidden="1">#REF!</definedName>
    <definedName name="__123Graph_BChart1" localSheetId="5" hidden="1">#REF!</definedName>
    <definedName name="__123Graph_BChart1" localSheetId="4" hidden="1">#REF!</definedName>
    <definedName name="__123Graph_BChart1" hidden="1">#REF!</definedName>
    <definedName name="__123Graph_BCurrent" localSheetId="5" hidden="1">#REF!</definedName>
    <definedName name="__123Graph_BCurrent" localSheetId="4" hidden="1">#REF!</definedName>
    <definedName name="__123Graph_BCurrent" hidden="1">#REF!</definedName>
    <definedName name="__123Graph_BGRAPH1" localSheetId="5" hidden="1">#REF!</definedName>
    <definedName name="__123Graph_BGRAPH1" localSheetId="4" hidden="1">#REF!</definedName>
    <definedName name="__123Graph_BGRAPH1" hidden="1">#REF!</definedName>
    <definedName name="__123Graph_BGRAPH2" localSheetId="5" hidden="1">#REF!</definedName>
    <definedName name="__123Graph_BGRAPH2" localSheetId="4" hidden="1">#REF!</definedName>
    <definedName name="__123Graph_BGRAPH2" hidden="1">#REF!</definedName>
    <definedName name="__123Graph_BGRAPH3" localSheetId="5" hidden="1">#REF!</definedName>
    <definedName name="__123Graph_BGRAPH3" localSheetId="4" hidden="1">#REF!</definedName>
    <definedName name="__123Graph_BGRAPH3" hidden="1">#REF!</definedName>
    <definedName name="__123Graph_BGRAPH4" localSheetId="5" hidden="1">#REF!</definedName>
    <definedName name="__123Graph_BGRAPH4" localSheetId="4" hidden="1">#REF!</definedName>
    <definedName name="__123Graph_BGRAPH4" hidden="1">#REF!</definedName>
    <definedName name="__123Graph_BGRAPH5" localSheetId="5" hidden="1">#REF!</definedName>
    <definedName name="__123Graph_BGRAPH5" localSheetId="4" hidden="1">#REF!</definedName>
    <definedName name="__123Graph_BGRAPH5" hidden="1">#REF!</definedName>
    <definedName name="__123Graph_BGRAPH6" localSheetId="5" hidden="1">#REF!</definedName>
    <definedName name="__123Graph_BGRAPH6" localSheetId="4" hidden="1">#REF!</definedName>
    <definedName name="__123Graph_BGRAPH6" hidden="1">#REF!</definedName>
    <definedName name="__123Graph_BGRAPH7" localSheetId="5" hidden="1">#REF!</definedName>
    <definedName name="__123Graph_BGRAPH7" localSheetId="4" hidden="1">#REF!</definedName>
    <definedName name="__123Graph_BGRAPH7" hidden="1">#REF!</definedName>
    <definedName name="__123Graph_BGRAPH8" localSheetId="5" hidden="1">#REF!</definedName>
    <definedName name="__123Graph_BGRAPH8" localSheetId="4" hidden="1">#REF!</definedName>
    <definedName name="__123Graph_BGRAPH8" hidden="1">#REF!</definedName>
    <definedName name="__123Graph_BGRAPH9" localSheetId="5" hidden="1">#REF!</definedName>
    <definedName name="__123Graph_BGRAPH9" localSheetId="4" hidden="1">#REF!</definedName>
    <definedName name="__123Graph_BGRAPH9" hidden="1">#REF!</definedName>
    <definedName name="__123Graph_BM105G2" localSheetId="5" hidden="1">#REF!</definedName>
    <definedName name="__123Graph_BM105G2" localSheetId="4" hidden="1">#REF!</definedName>
    <definedName name="__123Graph_BM105G2" hidden="1">#REF!</definedName>
    <definedName name="__123Graph_BPIS" localSheetId="5" hidden="1">#REF!</definedName>
    <definedName name="__123Graph_BPIS" localSheetId="4" hidden="1">#REF!</definedName>
    <definedName name="__123Graph_BPIS" hidden="1">#REF!</definedName>
    <definedName name="__123Graph_C" localSheetId="5" hidden="1">#REF!</definedName>
    <definedName name="__123Graph_C" localSheetId="4" hidden="1">#REF!</definedName>
    <definedName name="__123Graph_C" hidden="1">#REF!</definedName>
    <definedName name="__123Graph_CChart1" localSheetId="5" hidden="1">#REF!</definedName>
    <definedName name="__123Graph_CChart1" localSheetId="4" hidden="1">#REF!</definedName>
    <definedName name="__123Graph_CChart1" hidden="1">#REF!</definedName>
    <definedName name="__123Graph_CCurrent" localSheetId="5" hidden="1">#REF!</definedName>
    <definedName name="__123Graph_CCurrent" localSheetId="4" hidden="1">#REF!</definedName>
    <definedName name="__123Graph_CCurrent" hidden="1">#REF!</definedName>
    <definedName name="__123Graph_CPIS" localSheetId="5" hidden="1">#REF!</definedName>
    <definedName name="__123Graph_CPIS" localSheetId="4" hidden="1">#REF!</definedName>
    <definedName name="__123Graph_CPIS" hidden="1">#REF!</definedName>
    <definedName name="__123Graph_D" localSheetId="5" hidden="1">#REF!</definedName>
    <definedName name="__123Graph_D" localSheetId="4" hidden="1">#REF!</definedName>
    <definedName name="__123Graph_D" hidden="1">#REF!</definedName>
    <definedName name="__123Graph_DCurrent" localSheetId="5" hidden="1">#REF!</definedName>
    <definedName name="__123Graph_DCurrent" localSheetId="4" hidden="1">#REF!</definedName>
    <definedName name="__123Graph_DCurrent" hidden="1">#REF!</definedName>
    <definedName name="__123Graph_DPIS" localSheetId="5" hidden="1">#REF!</definedName>
    <definedName name="__123Graph_DPIS" localSheetId="4" hidden="1">#REF!</definedName>
    <definedName name="__123Graph_DPIS" hidden="1">#REF!</definedName>
    <definedName name="__123Graph_E" localSheetId="5" hidden="1">#REF!</definedName>
    <definedName name="__123Graph_E" localSheetId="4" hidden="1">#REF!</definedName>
    <definedName name="__123Graph_E" hidden="1">#REF!</definedName>
    <definedName name="__123Graph_E1" localSheetId="5" hidden="1">#REF!</definedName>
    <definedName name="__123Graph_E1" localSheetId="4" hidden="1">#REF!</definedName>
    <definedName name="__123Graph_E1" hidden="1">#REF!</definedName>
    <definedName name="__123Graph_ECurrent" localSheetId="5" hidden="1">#REF!</definedName>
    <definedName name="__123Graph_ECurrent" localSheetId="4" hidden="1">#REF!</definedName>
    <definedName name="__123Graph_ECurrent" hidden="1">#REF!</definedName>
    <definedName name="__123Graph_F" localSheetId="5" hidden="1">#REF!</definedName>
    <definedName name="__123Graph_F" localSheetId="4" hidden="1">#REF!</definedName>
    <definedName name="__123Graph_F" hidden="1">#REF!</definedName>
    <definedName name="__123Graph_F1" localSheetId="5" hidden="1">#REF!</definedName>
    <definedName name="__123Graph_F1" localSheetId="4" hidden="1">#REF!</definedName>
    <definedName name="__123Graph_F1" hidden="1">#REF!</definedName>
    <definedName name="__123Graph_FCurrent" localSheetId="5" hidden="1">#REF!</definedName>
    <definedName name="__123Graph_FCurrent" localSheetId="4" hidden="1">#REF!</definedName>
    <definedName name="__123Graph_FCurrent" hidden="1">#REF!</definedName>
    <definedName name="__123Graph_LBL_A" localSheetId="5" hidden="1">#REF!</definedName>
    <definedName name="__123Graph_LBL_A" localSheetId="4" hidden="1">#REF!</definedName>
    <definedName name="__123Graph_LBL_A" hidden="1">#REF!</definedName>
    <definedName name="__123Graph_LBL_AM105B2" localSheetId="5" hidden="1">#REF!</definedName>
    <definedName name="__123Graph_LBL_AM105B2" localSheetId="4" hidden="1">#REF!</definedName>
    <definedName name="__123Graph_LBL_AM105B2" hidden="1">#REF!</definedName>
    <definedName name="__123Graph_LBL_AM105I2" localSheetId="5" hidden="1">#REF!</definedName>
    <definedName name="__123Graph_LBL_AM105I2" localSheetId="4" hidden="1">#REF!</definedName>
    <definedName name="__123Graph_LBL_AM105I2" hidden="1">#REF!</definedName>
    <definedName name="__123Graph_LBL_AM105S2" localSheetId="5" hidden="1">#REF!</definedName>
    <definedName name="__123Graph_LBL_AM105S2" localSheetId="4" hidden="1">#REF!</definedName>
    <definedName name="__123Graph_LBL_AM105S2" hidden="1">#REF!</definedName>
    <definedName name="__123Graph_LBL_BGRAPH2" localSheetId="5" hidden="1">#REF!</definedName>
    <definedName name="__123Graph_LBL_BGRAPH2" localSheetId="4" hidden="1">#REF!</definedName>
    <definedName name="__123Graph_LBL_BGRAPH2" hidden="1">#REF!</definedName>
    <definedName name="__123Graph_LBL_BGRAPH3" localSheetId="5" hidden="1">#REF!</definedName>
    <definedName name="__123Graph_LBL_BGRAPH3" localSheetId="4" hidden="1">#REF!</definedName>
    <definedName name="__123Graph_LBL_BGRAPH3" hidden="1">#REF!</definedName>
    <definedName name="__123Graph_LBL_BGRAPH4" localSheetId="5" hidden="1">#REF!</definedName>
    <definedName name="__123Graph_LBL_BGRAPH4" localSheetId="4" hidden="1">#REF!</definedName>
    <definedName name="__123Graph_LBL_BGRAPH4" hidden="1">#REF!</definedName>
    <definedName name="__123Graph_LBL_BM105G2" localSheetId="5" hidden="1">#REF!</definedName>
    <definedName name="__123Graph_LBL_BM105G2" localSheetId="4" hidden="1">#REF!</definedName>
    <definedName name="__123Graph_LBL_BM105G2" hidden="1">#REF!</definedName>
    <definedName name="__123Graph_X" localSheetId="5" hidden="1">#REF!</definedName>
    <definedName name="__123Graph_X" localSheetId="4" hidden="1">#REF!</definedName>
    <definedName name="__123Graph_X" hidden="1">#REF!</definedName>
    <definedName name="__123Graph_XGRAPH2" localSheetId="5" hidden="1">#REF!</definedName>
    <definedName name="__123Graph_XGRAPH2" localSheetId="4" hidden="1">#REF!</definedName>
    <definedName name="__123Graph_XGRAPH2" hidden="1">#REF!</definedName>
    <definedName name="__123Graph_XGRAPH3" localSheetId="5" hidden="1">#REF!</definedName>
    <definedName name="__123Graph_XGRAPH3" localSheetId="4" hidden="1">#REF!</definedName>
    <definedName name="__123Graph_XGRAPH3" hidden="1">#REF!</definedName>
    <definedName name="__123Graph_XGRAPH4" localSheetId="5" hidden="1">#REF!</definedName>
    <definedName name="__123Graph_XGRAPH4" localSheetId="4" hidden="1">#REF!</definedName>
    <definedName name="__123Graph_XGRAPH4" hidden="1">#REF!</definedName>
    <definedName name="__123Graph_XGRAPH5" localSheetId="5" hidden="1">#REF!</definedName>
    <definedName name="__123Graph_XGRAPH5" localSheetId="4" hidden="1">#REF!</definedName>
    <definedName name="__123Graph_XGRAPH5" hidden="1">#REF!</definedName>
    <definedName name="__123Graph_XGRAPH6" localSheetId="5" hidden="1">#REF!</definedName>
    <definedName name="__123Graph_XGRAPH6" localSheetId="4" hidden="1">#REF!</definedName>
    <definedName name="__123Graph_XGRAPH6" hidden="1">#REF!</definedName>
    <definedName name="__123Graph_XGRAPH7" localSheetId="5" hidden="1">#REF!</definedName>
    <definedName name="__123Graph_XGRAPH7" localSheetId="4" hidden="1">#REF!</definedName>
    <definedName name="__123Graph_XGRAPH7" hidden="1">#REF!</definedName>
    <definedName name="__123Graph_XGRAPH8" localSheetId="5" hidden="1">#REF!</definedName>
    <definedName name="__123Graph_XGRAPH8" localSheetId="4" hidden="1">#REF!</definedName>
    <definedName name="__123Graph_XGRAPH8" hidden="1">#REF!</definedName>
    <definedName name="__123Graph_XGRAPH9" localSheetId="5" hidden="1">#REF!</definedName>
    <definedName name="__123Graph_XGRAPH9" localSheetId="4" hidden="1">#REF!</definedName>
    <definedName name="__123Graph_XGRAPH9" hidden="1">#REF!</definedName>
    <definedName name="__123Graph_XM105B2" localSheetId="5" hidden="1">#REF!</definedName>
    <definedName name="__123Graph_XM105B2" localSheetId="4" hidden="1">#REF!</definedName>
    <definedName name="__123Graph_XM105B2" hidden="1">#REF!</definedName>
    <definedName name="__123Graph_XM105G2" localSheetId="5" hidden="1">#REF!</definedName>
    <definedName name="__123Graph_XM105G2" localSheetId="4" hidden="1">#REF!</definedName>
    <definedName name="__123Graph_XM105G2" hidden="1">#REF!</definedName>
    <definedName name="__123Graph_XM105I2" localSheetId="5" hidden="1">#REF!</definedName>
    <definedName name="__123Graph_XM105I2" localSheetId="4" hidden="1">#REF!</definedName>
    <definedName name="__123Graph_XM105I2" hidden="1">#REF!</definedName>
    <definedName name="__123Graph_XM105IR2" localSheetId="5" hidden="1">#REF!</definedName>
    <definedName name="__123Graph_XM105IR2" localSheetId="4" hidden="1">#REF!</definedName>
    <definedName name="__123Graph_XM105IR2" hidden="1">#REF!</definedName>
    <definedName name="__123Graph_XM105S2" localSheetId="5" hidden="1">#REF!</definedName>
    <definedName name="__123Graph_XM105S2" localSheetId="4" hidden="1">#REF!</definedName>
    <definedName name="__123Graph_XM105S2" hidden="1">#REF!</definedName>
    <definedName name="__123Graph_XM105W2" localSheetId="5" hidden="1">#REF!</definedName>
    <definedName name="__123Graph_XM105W2" localSheetId="4" hidden="1">#REF!</definedName>
    <definedName name="__123Graph_XM105W2" hidden="1">#REF!</definedName>
    <definedName name="__123Graph_XPIS" localSheetId="5" hidden="1">#REF!</definedName>
    <definedName name="__123Graph_XPIS" localSheetId="4" hidden="1">#REF!</definedName>
    <definedName name="__123Graph_XPIS" hidden="1">#REF!</definedName>
    <definedName name="__13_0_0_F" localSheetId="5" hidden="1">#REF!</definedName>
    <definedName name="__13_0_0_F" localSheetId="4" hidden="1">#REF!</definedName>
    <definedName name="__13_0_0_F" hidden="1">#REF!</definedName>
    <definedName name="__3F" localSheetId="5" hidden="1">#REF!</definedName>
    <definedName name="__3F" localSheetId="4" hidden="1">#REF!</definedName>
    <definedName name="__3F" hidden="1">#REF!</definedName>
    <definedName name="__5_0_0_F" localSheetId="5" hidden="1">#REF!</definedName>
    <definedName name="__5_0_0_F" localSheetId="4" hidden="1">#REF!</definedName>
    <definedName name="__5_0_0_F" hidden="1">#REF!</definedName>
    <definedName name="__6_0_0_F" localSheetId="5" hidden="1">#REF!</definedName>
    <definedName name="__6_0_0_F" localSheetId="4" hidden="1">#REF!</definedName>
    <definedName name="__6_0_0_F" hidden="1">#REF!</definedName>
    <definedName name="__8F" localSheetId="5" hidden="1">#REF!</definedName>
    <definedName name="__8F" localSheetId="4" hidden="1">#REF!</definedName>
    <definedName name="__8F" hidden="1">#REF!</definedName>
    <definedName name="__a1" localSheetId="5" hidden="1">{"cashflow",#N/A,FALSE,"CASHFLOW "}</definedName>
    <definedName name="__a1" hidden="1">{"cashflow",#N/A,FALSE,"CASHFLOW "}</definedName>
    <definedName name="__a1_1" localSheetId="5" hidden="1">{"'Sheet1'!$L$16"}</definedName>
    <definedName name="__a1_1" hidden="1">{"'Sheet1'!$L$16"}</definedName>
    <definedName name="__a1_1_1" localSheetId="5" hidden="1">{"'Sheet1'!$L$16"}</definedName>
    <definedName name="__a1_1_1" hidden="1">{"'Sheet1'!$L$16"}</definedName>
    <definedName name="__a1_1_1_1" localSheetId="5" hidden="1">{"'Sheet1'!$L$16"}</definedName>
    <definedName name="__a1_1_1_1" hidden="1">{"'Sheet1'!$L$16"}</definedName>
    <definedName name="__a1_1_1_2" localSheetId="5" hidden="1">{"'Sheet1'!$L$16"}</definedName>
    <definedName name="__a1_1_1_2" hidden="1">{"'Sheet1'!$L$16"}</definedName>
    <definedName name="__a1_1_2" localSheetId="5" hidden="1">{"'Sheet1'!$L$16"}</definedName>
    <definedName name="__a1_1_2" hidden="1">{"'Sheet1'!$L$16"}</definedName>
    <definedName name="__a1_1_3" localSheetId="5" hidden="1">{"'Sheet1'!$L$16"}</definedName>
    <definedName name="__a1_1_3" hidden="1">{"'Sheet1'!$L$16"}</definedName>
    <definedName name="__a1_2" localSheetId="5" hidden="1">{"'Sheet1'!$L$16"}</definedName>
    <definedName name="__a1_2" hidden="1">{"'Sheet1'!$L$16"}</definedName>
    <definedName name="__a1_2_1" localSheetId="5" hidden="1">{"'Sheet1'!$L$16"}</definedName>
    <definedName name="__a1_2_1" hidden="1">{"'Sheet1'!$L$16"}</definedName>
    <definedName name="__a1_2_2" localSheetId="5" hidden="1">{"'Sheet1'!$L$16"}</definedName>
    <definedName name="__a1_2_2" hidden="1">{"'Sheet1'!$L$16"}</definedName>
    <definedName name="__a1_3" localSheetId="5" hidden="1">{"'Sheet1'!$L$16"}</definedName>
    <definedName name="__a1_3" hidden="1">{"'Sheet1'!$L$16"}</definedName>
    <definedName name="__a1_4" localSheetId="5" hidden="1">{"'Sheet1'!$L$16"}</definedName>
    <definedName name="__a1_4" hidden="1">{"'Sheet1'!$L$16"}</definedName>
    <definedName name="__a10" localSheetId="5" hidden="1">{"sales",#N/A,FALSE,"SALES"}</definedName>
    <definedName name="__a10" hidden="1">{"sales",#N/A,FALSE,"SALES"}</definedName>
    <definedName name="__a11" localSheetId="5" hidden="1">{"'Sheet1'!$L$16"}</definedName>
    <definedName name="__a11" hidden="1">{"'Sheet1'!$L$16"}</definedName>
    <definedName name="__a12" localSheetId="5" hidden="1">{"'Sheet1'!$L$16"}</definedName>
    <definedName name="__a12" hidden="1">{"'Sheet1'!$L$16"}</definedName>
    <definedName name="__A123" localSheetId="5" hidden="1">#REF!</definedName>
    <definedName name="__A123" localSheetId="4" hidden="1">#REF!</definedName>
    <definedName name="__A123" hidden="1">#REF!</definedName>
    <definedName name="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localSheetId="5" hidden="1">{"revable",#N/A,FALSE,"REVABLE"}</definedName>
    <definedName name="__a133" hidden="1">{"revable",#N/A,FALSE,"REVABLE"}</definedName>
    <definedName name="__a2" localSheetId="5" hidden="1">{"hilight1",#N/A,FALSE,"HILIGHT1"}</definedName>
    <definedName name="__a2" hidden="1">{"hilight1",#N/A,FALSE,"HILIGHT1"}</definedName>
    <definedName name="__a3" localSheetId="5" hidden="1">{"hilight2",#N/A,FALSE,"HILIGHT2"}</definedName>
    <definedName name="__a3" hidden="1">{"hilight2",#N/A,FALSE,"HILIGHT2"}</definedName>
    <definedName name="__a4" localSheetId="5" hidden="1">{"hilight3",#N/A,FALSE,"HILIGHT3"}</definedName>
    <definedName name="__a4" hidden="1">{"hilight3",#N/A,FALSE,"HILIGHT3"}</definedName>
    <definedName name="__a5" localSheetId="5" hidden="1">{"income",#N/A,FALSE,"INCOME"}</definedName>
    <definedName name="__a5" hidden="1">{"income",#N/A,FALSE,"INCOME"}</definedName>
    <definedName name="__a51" localSheetId="5" hidden="1">{"income",#N/A,FALSE,"INCOME"}</definedName>
    <definedName name="__a51" hidden="1">{"income",#N/A,FALSE,"INCOME"}</definedName>
    <definedName name="__a6" localSheetId="5" hidden="1">{"index",#N/A,FALSE,"INDEX"}</definedName>
    <definedName name="__a6" hidden="1">{"index",#N/A,FALSE,"INDEX"}</definedName>
    <definedName name="__a7" localSheetId="5" hidden="1">{"PRINT_EST",#N/A,FALSE,"ESTMON"}</definedName>
    <definedName name="__a7" hidden="1">{"PRINT_EST",#N/A,FALSE,"ESTMON"}</definedName>
    <definedName name="__a8" localSheetId="5" hidden="1">{"revsale",#N/A,FALSE,"REV-ยุพดี"}</definedName>
    <definedName name="__a8" hidden="1">{"revsale",#N/A,FALSE,"REV-ยุพดี"}</definedName>
    <definedName name="__a9" localSheetId="5" hidden="1">{"revable",#N/A,FALSE,"REVABLE"}</definedName>
    <definedName name="__a9" hidden="1">{"revable",#N/A,FALSE,"REVABLE"}</definedName>
    <definedName name="__a99" localSheetId="5" hidden="1">{"revable",#N/A,FALSE,"REVABLE"}</definedName>
    <definedName name="__a99" hidden="1">{"revable",#N/A,FALSE,"REVABLE"}</definedName>
    <definedName name="__aa1" localSheetId="5" hidden="1">{"cashflow",#N/A,FALSE,"CASHFLOW "}</definedName>
    <definedName name="__aa1" hidden="1">{"cashflow",#N/A,FALSE,"CASHFLOW "}</definedName>
    <definedName name="__apr2" localSheetId="5" hidden="1">{"'Model'!$A$1:$N$53"}</definedName>
    <definedName name="__apr2" hidden="1">{"'Model'!$A$1:$N$53"}</definedName>
    <definedName name="__As1" localSheetId="5" hidden="1">#REF!</definedName>
    <definedName name="__As1" localSheetId="4" hidden="1">#REF!</definedName>
    <definedName name="__As1" hidden="1">#REF!</definedName>
    <definedName name="__B1" localSheetId="5" hidden="1">{"PRINT_EST",#N/A,FALSE,"ESTMON"}</definedName>
    <definedName name="__B1" hidden="1">{"PRINT_EST",#N/A,FALSE,"ESTMON"}</definedName>
    <definedName name="__b3" localSheetId="5" hidden="1">{"'Sheet1'!$L$16"}</definedName>
    <definedName name="__b3" hidden="1">{"'Sheet1'!$L$16"}</definedName>
    <definedName name="__b4" localSheetId="5" hidden="1">{"'Sheet1'!$L$16"}</definedName>
    <definedName name="__b4" hidden="1">{"'Sheet1'!$L$16"}</definedName>
    <definedName name="__b5" localSheetId="5" hidden="1">{"'Sheet1'!$L$16"}</definedName>
    <definedName name="__b5" hidden="1">{"'Sheet1'!$L$16"}</definedName>
    <definedName name="__b6" localSheetId="5" hidden="1">{"'Sheet1'!$L$16"}</definedName>
    <definedName name="__b6" hidden="1">{"'Sheet1'!$L$16"}</definedName>
    <definedName name="__b7" localSheetId="5" hidden="1">{#N/A,#N/A,FALSE,"Chi tiÆt"}</definedName>
    <definedName name="__b7" hidden="1">{#N/A,#N/A,FALSE,"Chi tiÆt"}</definedName>
    <definedName name="__BA2" localSheetId="5" hidden="1">{"'Sheet1'!$L$16"}</definedName>
    <definedName name="__BA2" hidden="1">{"'Sheet1'!$L$16"}</definedName>
    <definedName name="__BQ22" localSheetId="5" hidden="1">{"'Sheet1'!$L$16"}</definedName>
    <definedName name="__BQ22" hidden="1">{"'Sheet1'!$L$16"}</definedName>
    <definedName name="__BS0509" localSheetId="5" hidden="1">{#N/A,#N/A,FALSE,"CCTV"}</definedName>
    <definedName name="__BS0509" hidden="1">{#N/A,#N/A,FALSE,"CCTV"}</definedName>
    <definedName name="__cad2" localSheetId="5" hidden="1">{#N/A,#N/A,TRUE,"BT M200 da 10x20"}</definedName>
    <definedName name="__cad2" hidden="1">{#N/A,#N/A,TRUE,"BT M200 da 10x20"}</definedName>
    <definedName name="__cap1111" localSheetId="5" hidden="1">{"index",#N/A,FALSE,"INDEX"}</definedName>
    <definedName name="__cap1111" hidden="1">{"index",#N/A,FALSE,"INDEX"}</definedName>
    <definedName name="__cap6666" localSheetId="5" hidden="1">{"index",#N/A,FALSE,"INDEX"}</definedName>
    <definedName name="__cap6666" hidden="1">{"index",#N/A,FALSE,"INDEX"}</definedName>
    <definedName name="__d1500" localSheetId="5" hidden="1">{"'Sheet1'!$L$16"}</definedName>
    <definedName name="__d1500" hidden="1">{"'Sheet1'!$L$16"}</definedName>
    <definedName name="__DCF1" localSheetId="5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localSheetId="5" hidden="1">{"'Sheet1'!$L$16"}</definedName>
    <definedName name="__e1" hidden="1">{"'Sheet1'!$L$16"}</definedName>
    <definedName name="__e2" localSheetId="5" hidden="1">{"'Sheet1'!$L$16"}</definedName>
    <definedName name="__e2" hidden="1">{"'Sheet1'!$L$16"}</definedName>
    <definedName name="__e4" localSheetId="5" hidden="1">{"'Sheet1'!$L$16"}</definedName>
    <definedName name="__e4" hidden="1">{"'Sheet1'!$L$16"}</definedName>
    <definedName name="__e5" localSheetId="5" hidden="1">{"'Sheet1'!$L$16"}</definedName>
    <definedName name="__e5" hidden="1">{"'Sheet1'!$L$16"}</definedName>
    <definedName name="__e6" localSheetId="5" hidden="1">{"'Sheet1'!$L$16"}</definedName>
    <definedName name="__e6" hidden="1">{"'Sheet1'!$L$16"}</definedName>
    <definedName name="__e7" localSheetId="5" hidden="1">{"'Sheet1'!$L$16"}</definedName>
    <definedName name="__e7" hidden="1">{"'Sheet1'!$L$16"}</definedName>
    <definedName name="__e8" localSheetId="5" hidden="1">{#N/A,#N/A,FALSE,"Chi tiÆt"}</definedName>
    <definedName name="__e8" hidden="1">{#N/A,#N/A,FALSE,"Chi tiÆt"}</definedName>
    <definedName name="__Es1" localSheetId="5" hidden="1">#REF!</definedName>
    <definedName name="__Es1" localSheetId="4" hidden="1">#REF!</definedName>
    <definedName name="__Es1" hidden="1">#REF!</definedName>
    <definedName name="__F1" localSheetId="5" hidden="1">{"'Sheet1'!$L$16"}</definedName>
    <definedName name="__F1" hidden="1">{"'Sheet1'!$L$16"}</definedName>
    <definedName name="__f2" localSheetId="5" hidden="1">{"'Sheet1'!$L$16"}</definedName>
    <definedName name="__f2" hidden="1">{"'Sheet1'!$L$16"}</definedName>
    <definedName name="__f3" localSheetId="5" hidden="1">{"'Sheet1'!$L$16"}</definedName>
    <definedName name="__f3" hidden="1">{"'Sheet1'!$L$16"}</definedName>
    <definedName name="__f4" localSheetId="5" hidden="1">{"'Sheet1'!$L$16"}</definedName>
    <definedName name="__f4" hidden="1">{"'Sheet1'!$L$16"}</definedName>
    <definedName name="__f5" localSheetId="5" hidden="1">{"'Sheet1'!$L$16"}</definedName>
    <definedName name="__f5" hidden="1">{"'Sheet1'!$L$16"}</definedName>
    <definedName name="__f6" localSheetId="5" hidden="1">{"'Sheet1'!$L$16"}</definedName>
    <definedName name="__f6" hidden="1">{"'Sheet1'!$L$16"}</definedName>
    <definedName name="__f7" localSheetId="5" hidden="1">{"'Sheet1'!$L$16"}</definedName>
    <definedName name="__f7" hidden="1">{"'Sheet1'!$L$16"}</definedName>
    <definedName name="__f8" localSheetId="5" hidden="1">{#N/A,#N/A,FALSE,"Chi tiÆt"}</definedName>
    <definedName name="__f8" hidden="1">{#N/A,#N/A,FALSE,"Chi tiÆt"}</definedName>
    <definedName name="__f9" localSheetId="5" hidden="1">{#N/A,#N/A,FALSE,"Chi tiÆt"}</definedName>
    <definedName name="__f9" hidden="1">{#N/A,#N/A,FALSE,"Chi tiÆt"}</definedName>
    <definedName name="__fd4" localSheetId="5" hidden="1">#REF!</definedName>
    <definedName name="__fd4" localSheetId="4" hidden="1">#REF!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localSheetId="5" hidden="1">{3808}</definedName>
    <definedName name="__FDS_USED_FOR_REUSING_RANGE_IDS_RECYCLE" hidden="1">{3808}</definedName>
    <definedName name="__FOH2006" localSheetId="5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GB01" localSheetId="5" hidden="1">{"'Sheet1'!$L$16"}</definedName>
    <definedName name="__GB01" hidden="1">{"'Sheet1'!$L$16"}</definedName>
    <definedName name="__gg1" localSheetId="5" hidden="1">{"'Sheet1'!$L$16"}</definedName>
    <definedName name="__gg1" hidden="1">{"'Sheet1'!$L$16"}</definedName>
    <definedName name="__gg1_1" localSheetId="5" hidden="1">{"'Sheet1'!$L$16"}</definedName>
    <definedName name="__gg1_1" hidden="1">{"'Sheet1'!$L$16"}</definedName>
    <definedName name="__gg1_1_1" localSheetId="5" hidden="1">{"'Sheet1'!$L$16"}</definedName>
    <definedName name="__gg1_1_1" hidden="1">{"'Sheet1'!$L$16"}</definedName>
    <definedName name="__gg1_1_1_1" localSheetId="5" hidden="1">{"'Sheet1'!$L$16"}</definedName>
    <definedName name="__gg1_1_1_1" hidden="1">{"'Sheet1'!$L$16"}</definedName>
    <definedName name="__gg1_1_1_2" localSheetId="5" hidden="1">{"'Sheet1'!$L$16"}</definedName>
    <definedName name="__gg1_1_1_2" hidden="1">{"'Sheet1'!$L$16"}</definedName>
    <definedName name="__gg1_1_2" localSheetId="5" hidden="1">{"'Sheet1'!$L$16"}</definedName>
    <definedName name="__gg1_1_2" hidden="1">{"'Sheet1'!$L$16"}</definedName>
    <definedName name="__gg1_1_3" localSheetId="5" hidden="1">{"'Sheet1'!$L$16"}</definedName>
    <definedName name="__gg1_1_3" hidden="1">{"'Sheet1'!$L$16"}</definedName>
    <definedName name="__gg1_2" localSheetId="5" hidden="1">{"'Sheet1'!$L$16"}</definedName>
    <definedName name="__gg1_2" hidden="1">{"'Sheet1'!$L$16"}</definedName>
    <definedName name="__gg1_2_1" localSheetId="5" hidden="1">{"'Sheet1'!$L$16"}</definedName>
    <definedName name="__gg1_2_1" hidden="1">{"'Sheet1'!$L$16"}</definedName>
    <definedName name="__gg1_2_2" localSheetId="5" hidden="1">{"'Sheet1'!$L$16"}</definedName>
    <definedName name="__gg1_2_2" hidden="1">{"'Sheet1'!$L$16"}</definedName>
    <definedName name="__gg1_3" localSheetId="5" hidden="1">{"'Sheet1'!$L$16"}</definedName>
    <definedName name="__gg1_3" hidden="1">{"'Sheet1'!$L$16"}</definedName>
    <definedName name="__gg1_4" localSheetId="5" hidden="1">{"'Sheet1'!$L$16"}</definedName>
    <definedName name="__gg1_4" hidden="1">{"'Sheet1'!$L$16"}</definedName>
    <definedName name="__gw04" localSheetId="5" hidden="1">{#N/A,#N/A,FALSE,"Aging Summary";#N/A,#N/A,FALSE,"Ratio Analysis";#N/A,#N/A,FALSE,"Test 120 Day Accts";#N/A,#N/A,FALSE,"Tickmarks"}</definedName>
    <definedName name="__gw04" hidden="1">{#N/A,#N/A,FALSE,"Aging Summary";#N/A,#N/A,FALSE,"Ratio Analysis";#N/A,#N/A,FALSE,"Test 120 Day Accts";#N/A,#N/A,FALSE,"Tickmarks"}</definedName>
    <definedName name="__h1" localSheetId="5" hidden="1">{"'TDTGT (theo Dphuong)'!$A$4:$F$75"}</definedName>
    <definedName name="__h1" hidden="1">{"'TDTGT (theo Dphuong)'!$A$4:$F$75"}</definedName>
    <definedName name="__h1_1" localSheetId="5" hidden="1">{"'Sheet1'!$L$16"}</definedName>
    <definedName name="__h1_1" hidden="1">{"'Sheet1'!$L$16"}</definedName>
    <definedName name="__h1_1_1" localSheetId="5" hidden="1">{"'Sheet1'!$L$16"}</definedName>
    <definedName name="__h1_1_1" hidden="1">{"'Sheet1'!$L$16"}</definedName>
    <definedName name="__h1_1_1_1" localSheetId="5" hidden="1">{"'Sheet1'!$L$16"}</definedName>
    <definedName name="__h1_1_1_1" hidden="1">{"'Sheet1'!$L$16"}</definedName>
    <definedName name="__h1_1_1_2" localSheetId="5" hidden="1">{"'Sheet1'!$L$16"}</definedName>
    <definedName name="__h1_1_1_2" hidden="1">{"'Sheet1'!$L$16"}</definedName>
    <definedName name="__h1_1_2" localSheetId="5" hidden="1">{"'Sheet1'!$L$16"}</definedName>
    <definedName name="__h1_1_2" hidden="1">{"'Sheet1'!$L$16"}</definedName>
    <definedName name="__h1_1_3" localSheetId="5" hidden="1">{"'Sheet1'!$L$16"}</definedName>
    <definedName name="__h1_1_3" hidden="1">{"'Sheet1'!$L$16"}</definedName>
    <definedName name="__h1_2" localSheetId="5" hidden="1">{"'Sheet1'!$L$16"}</definedName>
    <definedName name="__h1_2" hidden="1">{"'Sheet1'!$L$16"}</definedName>
    <definedName name="__h1_2_1" localSheetId="5" hidden="1">{"'Sheet1'!$L$16"}</definedName>
    <definedName name="__h1_2_1" hidden="1">{"'Sheet1'!$L$16"}</definedName>
    <definedName name="__h1_2_2" localSheetId="5" hidden="1">{"'Sheet1'!$L$16"}</definedName>
    <definedName name="__h1_2_2" hidden="1">{"'Sheet1'!$L$16"}</definedName>
    <definedName name="__h1_3" localSheetId="5" hidden="1">{"'Sheet1'!$L$16"}</definedName>
    <definedName name="__h1_3" hidden="1">{"'Sheet1'!$L$16"}</definedName>
    <definedName name="__h1_4" localSheetId="5" hidden="1">{"'Sheet1'!$L$16"}</definedName>
    <definedName name="__h1_4" hidden="1">{"'Sheet1'!$L$16"}</definedName>
    <definedName name="__H13" localSheetId="5" hidden="1">{"'Sheet1'!$L$16"}</definedName>
    <definedName name="__H13" hidden="1">{"'Sheet1'!$L$16"}</definedName>
    <definedName name="__h2" localSheetId="5" hidden="1">{"'Sheet1'!$L$16"}</definedName>
    <definedName name="__h2" hidden="1">{"'Sheet1'!$L$16"}</definedName>
    <definedName name="__h2_1" localSheetId="5" hidden="1">{"'Sheet1'!$L$16"}</definedName>
    <definedName name="__h2_1" hidden="1">{"'Sheet1'!$L$16"}</definedName>
    <definedName name="__h2_1_1" localSheetId="5" hidden="1">{"'Sheet1'!$L$16"}</definedName>
    <definedName name="__h2_1_1" hidden="1">{"'Sheet1'!$L$16"}</definedName>
    <definedName name="__h2_1_1_1" localSheetId="5" hidden="1">{"'Sheet1'!$L$16"}</definedName>
    <definedName name="__h2_1_1_1" hidden="1">{"'Sheet1'!$L$16"}</definedName>
    <definedName name="__h2_1_1_2" localSheetId="5" hidden="1">{"'Sheet1'!$L$16"}</definedName>
    <definedName name="__h2_1_1_2" hidden="1">{"'Sheet1'!$L$16"}</definedName>
    <definedName name="__h2_1_2" localSheetId="5" hidden="1">{"'Sheet1'!$L$16"}</definedName>
    <definedName name="__h2_1_2" hidden="1">{"'Sheet1'!$L$16"}</definedName>
    <definedName name="__h2_1_3" localSheetId="5" hidden="1">{"'Sheet1'!$L$16"}</definedName>
    <definedName name="__h2_1_3" hidden="1">{"'Sheet1'!$L$16"}</definedName>
    <definedName name="__h2_2" localSheetId="5" hidden="1">{"'Sheet1'!$L$16"}</definedName>
    <definedName name="__h2_2" hidden="1">{"'Sheet1'!$L$16"}</definedName>
    <definedName name="__h2_2_1" localSheetId="5" hidden="1">{"'Sheet1'!$L$16"}</definedName>
    <definedName name="__h2_2_1" hidden="1">{"'Sheet1'!$L$16"}</definedName>
    <definedName name="__h2_2_2" localSheetId="5" hidden="1">{"'Sheet1'!$L$16"}</definedName>
    <definedName name="__h2_2_2" hidden="1">{"'Sheet1'!$L$16"}</definedName>
    <definedName name="__h2_3" localSheetId="5" hidden="1">{"'Sheet1'!$L$16"}</definedName>
    <definedName name="__h2_3" hidden="1">{"'Sheet1'!$L$16"}</definedName>
    <definedName name="__h2_4" localSheetId="5" hidden="1">{"'Sheet1'!$L$16"}</definedName>
    <definedName name="__h2_4" hidden="1">{"'Sheet1'!$L$16"}</definedName>
    <definedName name="__HOA12" localSheetId="5" hidden="1">{"'Sheet1'!$L$16"}</definedName>
    <definedName name="__HOA12" hidden="1">{"'Sheet1'!$L$16"}</definedName>
    <definedName name="__Ht_USD_Spc_YTD_Spc_1?" hidden="1">"Month_Spc_(YTD_Spc_amounts_Spc_in_Spc_USD'000)"</definedName>
    <definedName name="__huy1" localSheetId="5" hidden="1">{"'Sheet1'!$L$16"}</definedName>
    <definedName name="__huy1" hidden="1">{"'Sheet1'!$L$16"}</definedName>
    <definedName name="__huy1_1" localSheetId="5" hidden="1">{"'Sheet1'!$L$16"}</definedName>
    <definedName name="__huy1_1" hidden="1">{"'Sheet1'!$L$16"}</definedName>
    <definedName name="__huy1_1_1" localSheetId="5" hidden="1">{"'Sheet1'!$L$16"}</definedName>
    <definedName name="__huy1_1_1" hidden="1">{"'Sheet1'!$L$16"}</definedName>
    <definedName name="__huy1_1_1_1" localSheetId="5" hidden="1">{"'Sheet1'!$L$16"}</definedName>
    <definedName name="__huy1_1_1_1" hidden="1">{"'Sheet1'!$L$16"}</definedName>
    <definedName name="__huy1_1_1_2" localSheetId="5" hidden="1">{"'Sheet1'!$L$16"}</definedName>
    <definedName name="__huy1_1_1_2" hidden="1">{"'Sheet1'!$L$16"}</definedName>
    <definedName name="__huy1_1_2" localSheetId="5" hidden="1">{"'Sheet1'!$L$16"}</definedName>
    <definedName name="__huy1_1_2" hidden="1">{"'Sheet1'!$L$16"}</definedName>
    <definedName name="__huy1_1_3" localSheetId="5" hidden="1">{"'Sheet1'!$L$16"}</definedName>
    <definedName name="__huy1_1_3" hidden="1">{"'Sheet1'!$L$16"}</definedName>
    <definedName name="__huy1_2" localSheetId="5" hidden="1">{"'Sheet1'!$L$16"}</definedName>
    <definedName name="__huy1_2" hidden="1">{"'Sheet1'!$L$16"}</definedName>
    <definedName name="__huy1_2_1" localSheetId="5" hidden="1">{"'Sheet1'!$L$16"}</definedName>
    <definedName name="__huy1_2_1" hidden="1">{"'Sheet1'!$L$16"}</definedName>
    <definedName name="__huy1_2_2" localSheetId="5" hidden="1">{"'Sheet1'!$L$16"}</definedName>
    <definedName name="__huy1_2_2" hidden="1">{"'Sheet1'!$L$16"}</definedName>
    <definedName name="__huy1_3" localSheetId="5" hidden="1">{"'Sheet1'!$L$16"}</definedName>
    <definedName name="__huy1_3" hidden="1">{"'Sheet1'!$L$16"}</definedName>
    <definedName name="__huy1_4" localSheetId="5" hidden="1">{"'Sheet1'!$L$16"}</definedName>
    <definedName name="__huy1_4" hidden="1">{"'Sheet1'!$L$16"}</definedName>
    <definedName name="__HUY5" localSheetId="5" hidden="1">{"'Sheet1'!$L$16"}</definedName>
    <definedName name="__HUY5" hidden="1">{"'Sheet1'!$L$16"}</definedName>
    <definedName name="__IN123" localSheetId="5" hidden="1">{"'Sheet1'!$L$16"}</definedName>
    <definedName name="__IN123" hidden="1">{"'Sheet1'!$L$16"}</definedName>
    <definedName name="__IntlFixup" hidden="1">TRUE</definedName>
    <definedName name="__IntlFixupTable" localSheetId="5" hidden="1">#REF!</definedName>
    <definedName name="__IntlFixupTable" localSheetId="4" hidden="1">#REF!</definedName>
    <definedName name="__IntlFixupTable" hidden="1">#REF!</definedName>
    <definedName name="__Key2" localSheetId="5" hidden="1">#REF!</definedName>
    <definedName name="__Key2" localSheetId="4" hidden="1">#REF!</definedName>
    <definedName name="__Key2" hidden="1">#REF!</definedName>
    <definedName name="__KP300" localSheetId="5" hidden="1">{"level1",#N/A,FALSE,"1_LEV";"LEVEL1",#N/A,FALSE,"1_LEV"}</definedName>
    <definedName name="__KP300" hidden="1">{"level1",#N/A,FALSE,"1_LEV";"LEVEL1",#N/A,FALSE,"1_LEV"}</definedName>
    <definedName name="__lk2" localSheetId="5" hidden="1">{"'Sheet1'!$L$16"}</definedName>
    <definedName name="__lk2" hidden="1">{"'Sheet1'!$L$16"}</definedName>
    <definedName name="__M10" localSheetId="5" hidden="1">{"'Sheet1'!$L$16"}</definedName>
    <definedName name="__M10" hidden="1">{"'Sheet1'!$L$16"}</definedName>
    <definedName name="__M2" localSheetId="5" hidden="1">{"'Sheet1'!$L$16"}</definedName>
    <definedName name="__M2" hidden="1">{"'Sheet1'!$L$16"}</definedName>
    <definedName name="_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localSheetId="5" hidden="1">{#N/A,#N/A,FALSE,"RECONC'L";#N/A,#N/A,FALSE,"WORKCAP";#N/A,#N/A,FALSE,"RECONC'L";#N/A,#N/A,FALSE,"ACCRUAL";#N/A,#N/A,FALSE,"DEBTOR";#N/A,#N/A,FALSE,"ADMALLOC"}</definedName>
    <definedName name="__n1" hidden="1">{#N/A,#N/A,FALSE,"RECONC'L";#N/A,#N/A,FALSE,"WORKCAP";#N/A,#N/A,FALSE,"RECONC'L";#N/A,#N/A,FALSE,"ACCRUAL";#N/A,#N/A,FALSE,"DEBTOR";#N/A,#N/A,FALSE,"ADMALLOC"}</definedName>
    <definedName name="__nat2" localSheetId="5" hidden="1">{#N/A,#N/A,FALSE,"Assessment";#N/A,#N/A,FALSE,"Staffing";#N/A,#N/A,FALSE,"Hires";#N/A,#N/A,FALSE,"Assumptions"}</definedName>
    <definedName name="__nat2" hidden="1">{#N/A,#N/A,FALSE,"Assessment";#N/A,#N/A,FALSE,"Staffing";#N/A,#N/A,FALSE,"Hires";#N/A,#N/A,FALSE,"Assumptions"}</definedName>
    <definedName name="__nat3" localSheetId="5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localSheetId="5" hidden="1">{"'Sheet1'!$L$16"}</definedName>
    <definedName name="__NOS3" hidden="1">{"'Sheet1'!$L$16"}</definedName>
    <definedName name="__NS03" localSheetId="5" hidden="1">{"'Sheet1'!$L$16"}</definedName>
    <definedName name="__NS03" hidden="1">{"'Sheet1'!$L$16"}</definedName>
    <definedName name="__NSO2" localSheetId="5" hidden="1">{"'Sheet1'!$L$16"}</definedName>
    <definedName name="__NSO2" hidden="1">{"'Sheet1'!$L$16"}</definedName>
    <definedName name="__NSO2_1" localSheetId="5" hidden="1">{"'Sheet1'!$L$16"}</definedName>
    <definedName name="__NSO2_1" hidden="1">{"'Sheet1'!$L$16"}</definedName>
    <definedName name="__NSO2_1_1" localSheetId="5" hidden="1">{"'Sheet1'!$L$16"}</definedName>
    <definedName name="__NSO2_1_1" hidden="1">{"'Sheet1'!$L$16"}</definedName>
    <definedName name="__NSO2_1_1_1" localSheetId="5" hidden="1">{"'Sheet1'!$L$16"}</definedName>
    <definedName name="__NSO2_1_1_1" hidden="1">{"'Sheet1'!$L$16"}</definedName>
    <definedName name="__NSO2_1_1_2" localSheetId="5" hidden="1">{"'Sheet1'!$L$16"}</definedName>
    <definedName name="__NSO2_1_1_2" hidden="1">{"'Sheet1'!$L$16"}</definedName>
    <definedName name="__NSO2_1_2" localSheetId="5" hidden="1">{"'Sheet1'!$L$16"}</definedName>
    <definedName name="__NSO2_1_2" hidden="1">{"'Sheet1'!$L$16"}</definedName>
    <definedName name="__NSO2_1_3" localSheetId="5" hidden="1">{"'Sheet1'!$L$16"}</definedName>
    <definedName name="__NSO2_1_3" hidden="1">{"'Sheet1'!$L$16"}</definedName>
    <definedName name="__NSO2_2" localSheetId="5" hidden="1">{"'Sheet1'!$L$16"}</definedName>
    <definedName name="__NSO2_2" hidden="1">{"'Sheet1'!$L$16"}</definedName>
    <definedName name="__NSO2_2_1" localSheetId="5" hidden="1">{"'Sheet1'!$L$16"}</definedName>
    <definedName name="__NSO2_2_1" hidden="1">{"'Sheet1'!$L$16"}</definedName>
    <definedName name="__NSO2_2_2" localSheetId="5" hidden="1">{"'Sheet1'!$L$16"}</definedName>
    <definedName name="__NSO2_2_2" hidden="1">{"'Sheet1'!$L$16"}</definedName>
    <definedName name="__NSO2_3" localSheetId="5" hidden="1">{"'Sheet1'!$L$16"}</definedName>
    <definedName name="__NSO2_3" hidden="1">{"'Sheet1'!$L$16"}</definedName>
    <definedName name="__NSO2_4" localSheetId="5" hidden="1">{"'Sheet1'!$L$16"}</definedName>
    <definedName name="__NSO2_4" hidden="1">{"'Sheet1'!$L$16"}</definedName>
    <definedName name="__NSO23" localSheetId="5" hidden="1">{"'Sheet1'!$L$16"}</definedName>
    <definedName name="__NSO23" hidden="1">{"'Sheet1'!$L$16"}</definedName>
    <definedName name="__NSO3" localSheetId="5" hidden="1">{"'Sheet1'!$L$16"}</definedName>
    <definedName name="__NSO3" hidden="1">{"'Sheet1'!$L$16"}</definedName>
    <definedName name="__nso3_1" localSheetId="5" hidden="1">{"'Sheet1'!$L$16"}</definedName>
    <definedName name="__nso3_1" hidden="1">{"'Sheet1'!$L$16"}</definedName>
    <definedName name="__nso3_1_1" localSheetId="5" hidden="1">{"'Sheet1'!$L$16"}</definedName>
    <definedName name="__nso3_1_1" hidden="1">{"'Sheet1'!$L$16"}</definedName>
    <definedName name="__nso3_1_1_1" localSheetId="5" hidden="1">{"'Sheet1'!$L$16"}</definedName>
    <definedName name="__nso3_1_1_1" hidden="1">{"'Sheet1'!$L$16"}</definedName>
    <definedName name="__nso3_1_1_2" localSheetId="5" hidden="1">{"'Sheet1'!$L$16"}</definedName>
    <definedName name="__nso3_1_1_2" hidden="1">{"'Sheet1'!$L$16"}</definedName>
    <definedName name="__nso3_1_2" localSheetId="5" hidden="1">{"'Sheet1'!$L$16"}</definedName>
    <definedName name="__nso3_1_2" hidden="1">{"'Sheet1'!$L$16"}</definedName>
    <definedName name="__nso3_1_3" localSheetId="5" hidden="1">{"'Sheet1'!$L$16"}</definedName>
    <definedName name="__nso3_1_3" hidden="1">{"'Sheet1'!$L$16"}</definedName>
    <definedName name="__nso3_2" localSheetId="5" hidden="1">{"'Sheet1'!$L$16"}</definedName>
    <definedName name="__nso3_2" hidden="1">{"'Sheet1'!$L$16"}</definedName>
    <definedName name="__nso3_2_1" localSheetId="5" hidden="1">{"'Sheet1'!$L$16"}</definedName>
    <definedName name="__nso3_2_1" hidden="1">{"'Sheet1'!$L$16"}</definedName>
    <definedName name="__nso3_2_2" localSheetId="5" hidden="1">{"'Sheet1'!$L$16"}</definedName>
    <definedName name="__nso3_2_2" hidden="1">{"'Sheet1'!$L$16"}</definedName>
    <definedName name="__nso3_3" localSheetId="5" hidden="1">{"'Sheet1'!$L$16"}</definedName>
    <definedName name="__nso3_3" hidden="1">{"'Sheet1'!$L$16"}</definedName>
    <definedName name="__nso3_4" localSheetId="5" hidden="1">{"'Sheet1'!$L$16"}</definedName>
    <definedName name="__nso3_4" hidden="1">{"'Sheet1'!$L$16"}</definedName>
    <definedName name="__PA3" localSheetId="5" hidden="1">{"'Sheet1'!$L$16"}</definedName>
    <definedName name="__PA3" hidden="1">{"'Sheet1'!$L$16"}</definedName>
    <definedName name="__PA3_1" localSheetId="5" hidden="1">{"'Sheet1'!$L$16"}</definedName>
    <definedName name="__PA3_1" hidden="1">{"'Sheet1'!$L$16"}</definedName>
    <definedName name="__PA3_1_1" localSheetId="5" hidden="1">{"'Sheet1'!$L$16"}</definedName>
    <definedName name="__PA3_1_1" hidden="1">{"'Sheet1'!$L$16"}</definedName>
    <definedName name="__PA3_1_1_1" localSheetId="5" hidden="1">{"'Sheet1'!$L$16"}</definedName>
    <definedName name="__PA3_1_1_1" hidden="1">{"'Sheet1'!$L$16"}</definedName>
    <definedName name="__PA3_1_1_2" localSheetId="5" hidden="1">{"'Sheet1'!$L$16"}</definedName>
    <definedName name="__PA3_1_1_2" hidden="1">{"'Sheet1'!$L$16"}</definedName>
    <definedName name="__PA3_1_2" localSheetId="5" hidden="1">{"'Sheet1'!$L$16"}</definedName>
    <definedName name="__PA3_1_2" hidden="1">{"'Sheet1'!$L$16"}</definedName>
    <definedName name="__PA3_1_3" localSheetId="5" hidden="1">{"'Sheet1'!$L$16"}</definedName>
    <definedName name="__PA3_1_3" hidden="1">{"'Sheet1'!$L$16"}</definedName>
    <definedName name="__PA3_2" localSheetId="5" hidden="1">{"'Sheet1'!$L$16"}</definedName>
    <definedName name="__PA3_2" hidden="1">{"'Sheet1'!$L$16"}</definedName>
    <definedName name="__PA3_2_1" localSheetId="5" hidden="1">{"'Sheet1'!$L$16"}</definedName>
    <definedName name="__PA3_2_1" hidden="1">{"'Sheet1'!$L$16"}</definedName>
    <definedName name="__PA3_2_2" localSheetId="5" hidden="1">{"'Sheet1'!$L$16"}</definedName>
    <definedName name="__PA3_2_2" hidden="1">{"'Sheet1'!$L$16"}</definedName>
    <definedName name="__PA3_3" localSheetId="5" hidden="1">{"'Sheet1'!$L$16"}</definedName>
    <definedName name="__PA3_3" hidden="1">{"'Sheet1'!$L$16"}</definedName>
    <definedName name="__PA3_4" localSheetId="5" hidden="1">{"'Sheet1'!$L$16"}</definedName>
    <definedName name="__PA3_4" hidden="1">{"'Sheet1'!$L$16"}</definedName>
    <definedName name="__PUR6" localSheetId="5" hidden="1">{#N/A,#N/A,FALSE,"Sheet2"}</definedName>
    <definedName name="__PUR6" hidden="1">{#N/A,#N/A,FALSE,"Sheet2"}</definedName>
    <definedName name="__q2" localSheetId="5" hidden="1">{"PAGE 1",#N/A,FALSE,"หน้า 1,2,3";"PAGE 2",#N/A,FALSE,"หน้า 1,2,3";"PAGE 3",#N/A,FALSE,"หน้า 1,2,3"}</definedName>
    <definedName name="__q2" hidden="1">{"PAGE 1",#N/A,FALSE,"หน้า 1,2,3";"PAGE 2",#N/A,FALSE,"หน้า 1,2,3";"PAGE 3",#N/A,FALSE,"หน้า 1,2,3"}</definedName>
    <definedName name="__q3" localSheetId="5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localSheetId="5" hidden="1">{#N/A,#N/A,FALSE,"Sheet2"}</definedName>
    <definedName name="__QUY3" hidden="1">{#N/A,#N/A,FALSE,"Sheet2"}</definedName>
    <definedName name="__QUY4" localSheetId="5" hidden="1">{"'Sheet1'!$L$16"}</definedName>
    <definedName name="__QUY4" hidden="1">{"'Sheet1'!$L$16"}</definedName>
    <definedName name="_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localSheetId="5" hidden="1">{"'Sheet1'!$L$16"}</definedName>
    <definedName name="__s1" hidden="1">{"'Sheet1'!$L$16"}</definedName>
    <definedName name="__s2" localSheetId="5" hidden="1">{"'Sheet1'!$L$16"}</definedName>
    <definedName name="__s2" hidden="1">{"'Sheet1'!$L$16"}</definedName>
    <definedName name="__s3" localSheetId="5" hidden="1">{"'Sheet1'!$L$16"}</definedName>
    <definedName name="__s3" hidden="1">{"'Sheet1'!$L$16"}</definedName>
    <definedName name="__s4" localSheetId="5" hidden="1">{"'Sheet1'!$L$16"}</definedName>
    <definedName name="__s4" hidden="1">{"'Sheet1'!$L$16"}</definedName>
    <definedName name="__s5" localSheetId="5" hidden="1">{"'Sheet1'!$L$16"}</definedName>
    <definedName name="__s5" hidden="1">{"'Sheet1'!$L$16"}</definedName>
    <definedName name="__s6" localSheetId="5" hidden="1">{#N/A,#N/A,FALSE,"Chi tiÆt"}</definedName>
    <definedName name="__s6" hidden="1">{#N/A,#N/A,FALSE,"Chi tiÆt"}</definedName>
    <definedName name="__s7" localSheetId="5" hidden="1">{#N/A,#N/A,FALSE,"Chi tiÆt"}</definedName>
    <definedName name="__s7" hidden="1">{#N/A,#N/A,FALSE,"Chi tiÆt"}</definedName>
    <definedName name="__se1" localSheetId="5" hidden="1">{#N/A,#N/A,FALSE,"m66";#N/A,#N/A,FALSE,"m66"}</definedName>
    <definedName name="__se1" hidden="1">{#N/A,#N/A,FALSE,"m66";#N/A,#N/A,FALSE,"m66"}</definedName>
    <definedName name="__T01" localSheetId="5" hidden="1">#REF!</definedName>
    <definedName name="__T01" localSheetId="4" hidden="1">#REF!</definedName>
    <definedName name="__T01" hidden="1">#REF!</definedName>
    <definedName name="__T04" localSheetId="5" hidden="1">{#N/A,#N/A,FALSE,"CCTV"}</definedName>
    <definedName name="__T04" hidden="1">{#N/A,#N/A,FALSE,"CCTV"}</definedName>
    <definedName name="__t2" localSheetId="5" hidden="1">{"'Sheet1'!$L$16"}</definedName>
    <definedName name="__t2" hidden="1">{"'Sheet1'!$L$16"}</definedName>
    <definedName name="__t4" localSheetId="5" hidden="1">{"'Sheet1'!$L$16"}</definedName>
    <definedName name="__t4" hidden="1">{"'Sheet1'!$L$16"}</definedName>
    <definedName name="__t5" localSheetId="5" hidden="1">{"'Sheet1'!$L$16"}</definedName>
    <definedName name="__t5" hidden="1">{"'Sheet1'!$L$16"}</definedName>
    <definedName name="__t6" localSheetId="5" hidden="1">{"'Sheet1'!$L$16"}</definedName>
    <definedName name="__t6" hidden="1">{"'Sheet1'!$L$16"}</definedName>
    <definedName name="__t7" localSheetId="5" hidden="1">{"'Sheet1'!$L$16"}</definedName>
    <definedName name="__t7" hidden="1">{"'Sheet1'!$L$16"}</definedName>
    <definedName name="__t8" localSheetId="5" hidden="1">{#N/A,#N/A,FALSE,"Chi tiÆt"}</definedName>
    <definedName name="__t8" hidden="1">{#N/A,#N/A,FALSE,"Chi tiÆt"}</definedName>
    <definedName name="__t9" localSheetId="5" hidden="1">{"'Sheet1'!$L$16"}</definedName>
    <definedName name="__t9" hidden="1">{"'Sheet1'!$L$16"}</definedName>
    <definedName name="__thu1" localSheetId="5" hidden="1">{"'Sheet1'!$L$16"}</definedName>
    <definedName name="__thu1" hidden="1">{"'Sheet1'!$L$16"}</definedName>
    <definedName name="__thu1_1" localSheetId="5" hidden="1">{"'Sheet1'!$L$16"}</definedName>
    <definedName name="__thu1_1" hidden="1">{"'Sheet1'!$L$16"}</definedName>
    <definedName name="__thu1_1_1" localSheetId="5" hidden="1">{"'Sheet1'!$L$16"}</definedName>
    <definedName name="__thu1_1_1" hidden="1">{"'Sheet1'!$L$16"}</definedName>
    <definedName name="__thu1_1_1_1" localSheetId="5" hidden="1">{"'Sheet1'!$L$16"}</definedName>
    <definedName name="__thu1_1_1_1" hidden="1">{"'Sheet1'!$L$16"}</definedName>
    <definedName name="__thu1_1_1_2" localSheetId="5" hidden="1">{"'Sheet1'!$L$16"}</definedName>
    <definedName name="__thu1_1_1_2" hidden="1">{"'Sheet1'!$L$16"}</definedName>
    <definedName name="__thu1_1_2" localSheetId="5" hidden="1">{"'Sheet1'!$L$16"}</definedName>
    <definedName name="__thu1_1_2" hidden="1">{"'Sheet1'!$L$16"}</definedName>
    <definedName name="__thu1_1_3" localSheetId="5" hidden="1">{"'Sheet1'!$L$16"}</definedName>
    <definedName name="__thu1_1_3" hidden="1">{"'Sheet1'!$L$16"}</definedName>
    <definedName name="__thu1_2" localSheetId="5" hidden="1">{"'Sheet1'!$L$16"}</definedName>
    <definedName name="__thu1_2" hidden="1">{"'Sheet1'!$L$16"}</definedName>
    <definedName name="__thu1_2_1" localSheetId="5" hidden="1">{"'Sheet1'!$L$16"}</definedName>
    <definedName name="__thu1_2_1" hidden="1">{"'Sheet1'!$L$16"}</definedName>
    <definedName name="__thu1_2_2" localSheetId="5" hidden="1">{"'Sheet1'!$L$16"}</definedName>
    <definedName name="__thu1_2_2" hidden="1">{"'Sheet1'!$L$16"}</definedName>
    <definedName name="__thu1_3" localSheetId="5" hidden="1">{"'Sheet1'!$L$16"}</definedName>
    <definedName name="__thu1_3" hidden="1">{"'Sheet1'!$L$16"}</definedName>
    <definedName name="__thu1_4" localSheetId="5" hidden="1">{"'Sheet1'!$L$16"}</definedName>
    <definedName name="__thu1_4" hidden="1">{"'Sheet1'!$L$16"}</definedName>
    <definedName name="__thu2" localSheetId="5" hidden="1">{"'Sheet1'!$L$16"}</definedName>
    <definedName name="__thu2" hidden="1">{"'Sheet1'!$L$16"}</definedName>
    <definedName name="__thu2_1" localSheetId="5" hidden="1">{"'Sheet1'!$L$16"}</definedName>
    <definedName name="__thu2_1" hidden="1">{"'Sheet1'!$L$16"}</definedName>
    <definedName name="__thu2_1_1" localSheetId="5" hidden="1">{"'Sheet1'!$L$16"}</definedName>
    <definedName name="__thu2_1_1" hidden="1">{"'Sheet1'!$L$16"}</definedName>
    <definedName name="__thu2_1_1_1" localSheetId="5" hidden="1">{"'Sheet1'!$L$16"}</definedName>
    <definedName name="__thu2_1_1_1" hidden="1">{"'Sheet1'!$L$16"}</definedName>
    <definedName name="__thu2_1_1_2" localSheetId="5" hidden="1">{"'Sheet1'!$L$16"}</definedName>
    <definedName name="__thu2_1_1_2" hidden="1">{"'Sheet1'!$L$16"}</definedName>
    <definedName name="__thu2_1_2" localSheetId="5" hidden="1">{"'Sheet1'!$L$16"}</definedName>
    <definedName name="__thu2_1_2" hidden="1">{"'Sheet1'!$L$16"}</definedName>
    <definedName name="__thu2_1_3" localSheetId="5" hidden="1">{"'Sheet1'!$L$16"}</definedName>
    <definedName name="__thu2_1_3" hidden="1">{"'Sheet1'!$L$16"}</definedName>
    <definedName name="__thu2_2" localSheetId="5" hidden="1">{"'Sheet1'!$L$16"}</definedName>
    <definedName name="__thu2_2" hidden="1">{"'Sheet1'!$L$16"}</definedName>
    <definedName name="__thu2_2_1" localSheetId="5" hidden="1">{"'Sheet1'!$L$16"}</definedName>
    <definedName name="__thu2_2_1" hidden="1">{"'Sheet1'!$L$16"}</definedName>
    <definedName name="__thu2_2_2" localSheetId="5" hidden="1">{"'Sheet1'!$L$16"}</definedName>
    <definedName name="__thu2_2_2" hidden="1">{"'Sheet1'!$L$16"}</definedName>
    <definedName name="__thu2_3" localSheetId="5" hidden="1">{"'Sheet1'!$L$16"}</definedName>
    <definedName name="__thu2_3" hidden="1">{"'Sheet1'!$L$16"}</definedName>
    <definedName name="__thu2_4" localSheetId="5" hidden="1">{"'Sheet1'!$L$16"}</definedName>
    <definedName name="__thu2_4" hidden="1">{"'Sheet1'!$L$16"}</definedName>
    <definedName name="__thu4" localSheetId="5" hidden="1">{"'Sheet1'!$L$16"}</definedName>
    <definedName name="__thu4" hidden="1">{"'Sheet1'!$L$16"}</definedName>
    <definedName name="__thu4_1" localSheetId="5" hidden="1">{"'Sheet1'!$L$16"}</definedName>
    <definedName name="__thu4_1" hidden="1">{"'Sheet1'!$L$16"}</definedName>
    <definedName name="__thu4_1_1" localSheetId="5" hidden="1">{"'Sheet1'!$L$16"}</definedName>
    <definedName name="__thu4_1_1" hidden="1">{"'Sheet1'!$L$16"}</definedName>
    <definedName name="__thu4_1_1_1" localSheetId="5" hidden="1">{"'Sheet1'!$L$16"}</definedName>
    <definedName name="__thu4_1_1_1" hidden="1">{"'Sheet1'!$L$16"}</definedName>
    <definedName name="__thu4_1_1_2" localSheetId="5" hidden="1">{"'Sheet1'!$L$16"}</definedName>
    <definedName name="__thu4_1_1_2" hidden="1">{"'Sheet1'!$L$16"}</definedName>
    <definedName name="__thu4_1_2" localSheetId="5" hidden="1">{"'Sheet1'!$L$16"}</definedName>
    <definedName name="__thu4_1_2" hidden="1">{"'Sheet1'!$L$16"}</definedName>
    <definedName name="__thu4_1_3" localSheetId="5" hidden="1">{"'Sheet1'!$L$16"}</definedName>
    <definedName name="__thu4_1_3" hidden="1">{"'Sheet1'!$L$16"}</definedName>
    <definedName name="__thu4_2" localSheetId="5" hidden="1">{"'Sheet1'!$L$16"}</definedName>
    <definedName name="__thu4_2" hidden="1">{"'Sheet1'!$L$16"}</definedName>
    <definedName name="__thu4_2_1" localSheetId="5" hidden="1">{"'Sheet1'!$L$16"}</definedName>
    <definedName name="__thu4_2_1" hidden="1">{"'Sheet1'!$L$16"}</definedName>
    <definedName name="__thu4_2_2" localSheetId="5" hidden="1">{"'Sheet1'!$L$16"}</definedName>
    <definedName name="__thu4_2_2" hidden="1">{"'Sheet1'!$L$16"}</definedName>
    <definedName name="__thu4_3" localSheetId="5" hidden="1">{"'Sheet1'!$L$16"}</definedName>
    <definedName name="__thu4_3" hidden="1">{"'Sheet1'!$L$16"}</definedName>
    <definedName name="__thu4_4" localSheetId="5" hidden="1">{"'Sheet1'!$L$16"}</definedName>
    <definedName name="__thu4_4" hidden="1">{"'Sheet1'!$L$16"}</definedName>
    <definedName name="__thu5" localSheetId="5" hidden="1">{"'Sheet1'!$L$16"}</definedName>
    <definedName name="__thu5" hidden="1">{"'Sheet1'!$L$16"}</definedName>
    <definedName name="__thu5_1" localSheetId="5" hidden="1">{"'Sheet1'!$L$16"}</definedName>
    <definedName name="__thu5_1" hidden="1">{"'Sheet1'!$L$16"}</definedName>
    <definedName name="__thu5_1_1" localSheetId="5" hidden="1">{"'Sheet1'!$L$16"}</definedName>
    <definedName name="__thu5_1_1" hidden="1">{"'Sheet1'!$L$16"}</definedName>
    <definedName name="__thu5_1_1_1" localSheetId="5" hidden="1">{"'Sheet1'!$L$16"}</definedName>
    <definedName name="__thu5_1_1_1" hidden="1">{"'Sheet1'!$L$16"}</definedName>
    <definedName name="__thu5_1_1_2" localSheetId="5" hidden="1">{"'Sheet1'!$L$16"}</definedName>
    <definedName name="__thu5_1_1_2" hidden="1">{"'Sheet1'!$L$16"}</definedName>
    <definedName name="__thu5_1_2" localSheetId="5" hidden="1">{"'Sheet1'!$L$16"}</definedName>
    <definedName name="__thu5_1_2" hidden="1">{"'Sheet1'!$L$16"}</definedName>
    <definedName name="__thu5_1_3" localSheetId="5" hidden="1">{"'Sheet1'!$L$16"}</definedName>
    <definedName name="__thu5_1_3" hidden="1">{"'Sheet1'!$L$16"}</definedName>
    <definedName name="__thu5_2" localSheetId="5" hidden="1">{"'Sheet1'!$L$16"}</definedName>
    <definedName name="__thu5_2" hidden="1">{"'Sheet1'!$L$16"}</definedName>
    <definedName name="__thu5_2_1" localSheetId="5" hidden="1">{"'Sheet1'!$L$16"}</definedName>
    <definedName name="__thu5_2_1" hidden="1">{"'Sheet1'!$L$16"}</definedName>
    <definedName name="__thu5_2_2" localSheetId="5" hidden="1">{"'Sheet1'!$L$16"}</definedName>
    <definedName name="__thu5_2_2" hidden="1">{"'Sheet1'!$L$16"}</definedName>
    <definedName name="__thu5_3" localSheetId="5" hidden="1">{"'Sheet1'!$L$16"}</definedName>
    <definedName name="__thu5_3" hidden="1">{"'Sheet1'!$L$16"}</definedName>
    <definedName name="__thu5_4" localSheetId="5" hidden="1">{"'Sheet1'!$L$16"}</definedName>
    <definedName name="__thu5_4" hidden="1">{"'Sheet1'!$L$16"}</definedName>
    <definedName name="__tm2" localSheetId="5" hidden="1">{#N/A,#N/A,FALSE,"Chi tiÆt"}</definedName>
    <definedName name="__tm2" hidden="1">{#N/A,#N/A,FALSE,"Chi tiÆt"}</definedName>
    <definedName name="__U3" localSheetId="5" hidden="1">{#N/A,#N/A,FALSE,"Aging Summary";#N/A,#N/A,FALSE,"Ratio Analysis";#N/A,#N/A,FALSE,"Test 120 Day Accts";#N/A,#N/A,FALSE,"Tickmarks"}</definedName>
    <definedName name="__U3" hidden="1">{#N/A,#N/A,FALSE,"Aging Summary";#N/A,#N/A,FALSE,"Ratio Analysis";#N/A,#N/A,FALSE,"Test 120 Day Accts";#N/A,#N/A,FALSE,"Tickmarks"}</definedName>
    <definedName name="__VL1" localSheetId="5" hidden="1">{"'Sheet1'!$L$16"}</definedName>
    <definedName name="__VL1" hidden="1">{"'Sheet1'!$L$16"}</definedName>
    <definedName name="__VL12" localSheetId="5" hidden="1">{"'Sheet1'!$L$16"}</definedName>
    <definedName name="__VL12" hidden="1">{"'Sheet1'!$L$16"}</definedName>
    <definedName name="__VL123" localSheetId="5" hidden="1">{"'Sheet1'!$L$16"}</definedName>
    <definedName name="__VL123" hidden="1">{"'Sheet1'!$L$16"}</definedName>
    <definedName name="__VL12346" localSheetId="5" hidden="1">{"'Sheet1'!$L$16"}</definedName>
    <definedName name="__VL12346" hidden="1">{"'Sheet1'!$L$16"}</definedName>
    <definedName name="__VP06" localSheetId="5" hidden="1">{"'Sheet1'!$L$16"}</definedName>
    <definedName name="__VP06" hidden="1">{"'Sheet1'!$L$16"}</definedName>
    <definedName name="__w2" localSheetId="5" hidden="1">{"'Sheet1'!$L$16"}</definedName>
    <definedName name="__w2" hidden="1">{"'Sheet1'!$L$16"}</definedName>
    <definedName name="__w3" localSheetId="5" hidden="1">{"'Sheet1'!$L$16"}</definedName>
    <definedName name="__w3" hidden="1">{"'Sheet1'!$L$16"}</definedName>
    <definedName name="__w4" localSheetId="5" hidden="1">{"'Sheet1'!$L$16"}</definedName>
    <definedName name="__w4" hidden="1">{"'Sheet1'!$L$16"}</definedName>
    <definedName name="__w5" localSheetId="5" hidden="1">{"'Sheet1'!$L$16"}</definedName>
    <definedName name="__w5" hidden="1">{"'Sheet1'!$L$16"}</definedName>
    <definedName name="__w6" localSheetId="5" hidden="1">{#N/A,#N/A,FALSE,"Chi tiÆt"}</definedName>
    <definedName name="__w6" hidden="1">{#N/A,#N/A,FALSE,"Chi tiÆt"}</definedName>
    <definedName name="__w8" localSheetId="5" hidden="1">{"'Sheet1'!$L$16"}</definedName>
    <definedName name="__w8" hidden="1">{"'Sheet1'!$L$16"}</definedName>
    <definedName name="__w9" localSheetId="5" hidden="1">{"'Sheet1'!$L$16"}</definedName>
    <definedName name="__w9" hidden="1">{"'Sheet1'!$L$16"}</definedName>
    <definedName name="__WW2" localSheetId="5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localSheetId="5" hidden="1">{"'ตัวอย่าง'!$A$1:$O$21"}</definedName>
    <definedName name="__Z1" hidden="1">{"'ตัวอย่าง'!$A$1:$O$21"}</definedName>
    <definedName name="_00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 localSheetId="5">#REF!</definedName>
    <definedName name="_1" localSheetId="4">#REF!</definedName>
    <definedName name="_1">#REF!</definedName>
    <definedName name="_1_" localSheetId="5" hidden="1">#REF!</definedName>
    <definedName name="_1_" localSheetId="4" hidden="1">#REF!</definedName>
    <definedName name="_1_" hidden="1">#REF!</definedName>
    <definedName name="_1_?" localSheetId="5" hidden="1">#REF!</definedName>
    <definedName name="_1_?" localSheetId="4" hidden="1">#REF!</definedName>
    <definedName name="_1_?" hidden="1">#REF!</definedName>
    <definedName name="_1__123Graph_ACHART_1" localSheetId="5" hidden="1">#REF!</definedName>
    <definedName name="_1__123Graph_ACHART_1" localSheetId="4" hidden="1">#REF!</definedName>
    <definedName name="_1__123Graph_ACHART_1" hidden="1">#REF!</definedName>
    <definedName name="_1__123Graph_Aｸﾞﾗﾌ_1" localSheetId="5" hidden="1">#REF!</definedName>
    <definedName name="_1__123Graph_Aｸﾞﾗﾌ_1" localSheetId="4" hidden="1">#REF!</definedName>
    <definedName name="_1__123Graph_Aｸﾞﾗﾌ_1" hidden="1">#REF!</definedName>
    <definedName name="_1__FDSAUDITLINK__" localSheetId="5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localSheetId="5" hidden="1">#REF!</definedName>
    <definedName name="_1_0_0_F" localSheetId="4" hidden="1">#REF!</definedName>
    <definedName name="_1_0_0_F" hidden="1">#REF!</definedName>
    <definedName name="_10________________________________________________________________________F" localSheetId="5" hidden="1">#REF!</definedName>
    <definedName name="_10________________________________________________________________________F" localSheetId="4" hidden="1">#REF!</definedName>
    <definedName name="_10________________________________________________________________________F" hidden="1">#REF!</definedName>
    <definedName name="_10__________0_0_F" localSheetId="5" hidden="1">#REF!</definedName>
    <definedName name="_10__________0_0_F" localSheetId="4" hidden="1">#REF!</definedName>
    <definedName name="_10__________0_0_F" hidden="1">#REF!</definedName>
    <definedName name="_10_______F" localSheetId="5" hidden="1">#REF!</definedName>
    <definedName name="_10_______F" localSheetId="4" hidden="1">#REF!</definedName>
    <definedName name="_10_______F" hidden="1">#REF!</definedName>
    <definedName name="_10___0_0_F" localSheetId="5" hidden="1">#REF!</definedName>
    <definedName name="_10___0_0_F" localSheetId="4" hidden="1">#REF!</definedName>
    <definedName name="_10___0_0_F" hidden="1">#REF!</definedName>
    <definedName name="_10__123Graph_DCHART_1" localSheetId="5" hidden="1">#REF!</definedName>
    <definedName name="_10__123Graph_DCHART_1" localSheetId="4" hidden="1">#REF!</definedName>
    <definedName name="_10__123Graph_DCHART_1" hidden="1">#REF!</definedName>
    <definedName name="_10__123Graph_Xｸﾞﾗﾌ_5" localSheetId="5" hidden="1">#REF!</definedName>
    <definedName name="_10__123Graph_Xｸﾞﾗﾌ_5" localSheetId="4" hidden="1">#REF!</definedName>
    <definedName name="_10__123Graph_Xｸﾞﾗﾌ_5" hidden="1">#REF!</definedName>
    <definedName name="_10__FDSAUDITLINK__" localSheetId="5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localSheetId="5" hidden="1">#REF!</definedName>
    <definedName name="_10_0_0_F" localSheetId="4" hidden="1">#REF!</definedName>
    <definedName name="_10_0_0_F" hidden="1">#REF!</definedName>
    <definedName name="_100__FDSAUDITLINK__" localSheetId="5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localSheetId="5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localSheetId="5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localSheetId="5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localSheetId="5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localSheetId="5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localSheetId="5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localSheetId="5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localSheetId="5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localSheetId="5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localSheetId="5" hidden="1">[1]DETAIL!#REF!</definedName>
    <definedName name="_10F" localSheetId="4" hidden="1">[1]DETAIL!#REF!</definedName>
    <definedName name="_10F" hidden="1">[1]DETAIL!#REF!</definedName>
    <definedName name="_11_??????2" localSheetId="5" hidden="1">BlankMacro1</definedName>
    <definedName name="_11_??????2" localSheetId="4" hidden="1">BlankMacro1</definedName>
    <definedName name="_11_??????2" hidden="1">BlankMacro1</definedName>
    <definedName name="_11____________________________________________________________________0_0_F" localSheetId="5" hidden="1">#REF!</definedName>
    <definedName name="_11____________________________________________________________________0_0_F" localSheetId="4" hidden="1">#REF!</definedName>
    <definedName name="_11____________________________________________________________________0_0_F" hidden="1">#REF!</definedName>
    <definedName name="_11______F" localSheetId="5" hidden="1">#REF!</definedName>
    <definedName name="_11______F" localSheetId="4" hidden="1">#REF!</definedName>
    <definedName name="_11______F" hidden="1">#REF!</definedName>
    <definedName name="_11___0_0_F" localSheetId="5" hidden="1">#REF!</definedName>
    <definedName name="_11___0_0_F" localSheetId="4" hidden="1">#REF!</definedName>
    <definedName name="_11___0_0_F" hidden="1">#REF!</definedName>
    <definedName name="_11__123Graph_DCHART_2" localSheetId="5" hidden="1">#REF!</definedName>
    <definedName name="_11__123Graph_DCHART_2" localSheetId="4" hidden="1">#REF!</definedName>
    <definedName name="_11__123Graph_DCHART_2" hidden="1">#REF!</definedName>
    <definedName name="_11__FDSAUDITLINK__" localSheetId="5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localSheetId="5" hidden="1">[1]DETAIL!#REF!</definedName>
    <definedName name="_11_0_0_F" localSheetId="4" hidden="1">[1]DETAIL!#REF!</definedName>
    <definedName name="_11_0_0_F" hidden="1">[1]DETAIL!#REF!</definedName>
    <definedName name="_110__FDSAUDITLINK__" localSheetId="5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localSheetId="5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localSheetId="5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localSheetId="5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localSheetId="5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localSheetId="5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localSheetId="5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localSheetId="5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localSheetId="5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localSheetId="5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localSheetId="5" hidden="1">#REF!</definedName>
    <definedName name="_11F" localSheetId="4" hidden="1">#REF!</definedName>
    <definedName name="_11F" hidden="1">#REF!</definedName>
    <definedName name="_12_________0_0_F" localSheetId="5" hidden="1">#REF!</definedName>
    <definedName name="_12_________0_0_F" localSheetId="4" hidden="1">#REF!</definedName>
    <definedName name="_12_________0_0_F" hidden="1">#REF!</definedName>
    <definedName name="_12______F" localSheetId="5" hidden="1">#REF!</definedName>
    <definedName name="_12______F" localSheetId="4" hidden="1">#REF!</definedName>
    <definedName name="_12______F" hidden="1">#REF!</definedName>
    <definedName name="_12__0_0_F" localSheetId="5" hidden="1">#REF!</definedName>
    <definedName name="_12__0_0_F" localSheetId="4" hidden="1">#REF!</definedName>
    <definedName name="_12__0_0_F" hidden="1">#REF!</definedName>
    <definedName name="_12__123Graph_DCHART_3" localSheetId="5" hidden="1">#REF!</definedName>
    <definedName name="_12__123Graph_DCHART_3" localSheetId="4" hidden="1">#REF!</definedName>
    <definedName name="_12__123Graph_DCHART_3" hidden="1">#REF!</definedName>
    <definedName name="_12__FDSAUDITLINK__" localSheetId="5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localSheetId="5" hidden="1">#REF!</definedName>
    <definedName name="_12_0_0_F" localSheetId="4" hidden="1">#REF!</definedName>
    <definedName name="_12_0_0_F" hidden="1">#REF!</definedName>
    <definedName name="_120__FDSAUDITLINK__" localSheetId="5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localSheetId="5" hidden="1">#REF!</definedName>
    <definedName name="_123_0_0_F" localSheetId="4" hidden="1">#REF!</definedName>
    <definedName name="_123_0_0_F" hidden="1">#REF!</definedName>
    <definedName name="_12F" localSheetId="5" hidden="1">[1]DETAIL!#REF!</definedName>
    <definedName name="_12F" localSheetId="4" hidden="1">[1]DETAIL!#REF!</definedName>
    <definedName name="_12F" hidden="1">[1]DETAIL!#REF!</definedName>
    <definedName name="_13_____F" localSheetId="5" hidden="1">#REF!</definedName>
    <definedName name="_13_____F" localSheetId="4" hidden="1">#REF!</definedName>
    <definedName name="_13_____F" hidden="1">#REF!</definedName>
    <definedName name="_13__0_0_F" localSheetId="5" hidden="1">#REF!</definedName>
    <definedName name="_13__0_0_F" localSheetId="4" hidden="1">#REF!</definedName>
    <definedName name="_13__0_0_F" hidden="1">#REF!</definedName>
    <definedName name="_13__123Graph_ECHART_3" localSheetId="5" hidden="1">#REF!</definedName>
    <definedName name="_13__123Graph_ECHART_3" localSheetId="4" hidden="1">#REF!</definedName>
    <definedName name="_13__123Graph_ECHART_3" hidden="1">#REF!</definedName>
    <definedName name="_13__FDSAUDITLINK__" localSheetId="5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localSheetId="5" hidden="1">#REF!</definedName>
    <definedName name="_13_0_0_F" localSheetId="4" hidden="1">#REF!</definedName>
    <definedName name="_13_0_0_F" hidden="1">#REF!</definedName>
    <definedName name="_14_??????3" localSheetId="5" hidden="1">BlankMacro1</definedName>
    <definedName name="_14_??????3" localSheetId="4" hidden="1">BlankMacro1</definedName>
    <definedName name="_14_??????3" hidden="1">BlankMacro1</definedName>
    <definedName name="_14___________________________________________________F" localSheetId="5" hidden="1">#REF!</definedName>
    <definedName name="_14___________________________________________________F" localSheetId="4" hidden="1">#REF!</definedName>
    <definedName name="_14___________________________________________________F" hidden="1">#REF!</definedName>
    <definedName name="_14______0_0_F" localSheetId="5" hidden="1">#REF!</definedName>
    <definedName name="_14______0_0_F" localSheetId="4" hidden="1">#REF!</definedName>
    <definedName name="_14______0_0_F" hidden="1">#REF!</definedName>
    <definedName name="_14_____F" localSheetId="5" hidden="1">#REF!</definedName>
    <definedName name="_14_____F" localSheetId="4" hidden="1">#REF!</definedName>
    <definedName name="_14_____F" hidden="1">#REF!</definedName>
    <definedName name="_14__123Graph_XCHART_1" localSheetId="5" hidden="1">#REF!</definedName>
    <definedName name="_14__123Graph_XCHART_1" localSheetId="4" hidden="1">#REF!</definedName>
    <definedName name="_14__123Graph_XCHART_1" hidden="1">#REF!</definedName>
    <definedName name="_14__FDSAUDITLINK__" localSheetId="5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localSheetId="5" hidden="1">#REF!</definedName>
    <definedName name="_14_0_0_F" localSheetId="4" hidden="1">#REF!</definedName>
    <definedName name="_14_0_0_F" hidden="1">#REF!</definedName>
    <definedName name="_14F" localSheetId="5" hidden="1">[1]DETAIL!#REF!</definedName>
    <definedName name="_14F" localSheetId="4" hidden="1">[1]DETAIL!#REF!</definedName>
    <definedName name="_14F" hidden="1">[1]DETAIL!#REF!</definedName>
    <definedName name="_15_______________________________________________0_0_F" localSheetId="5" hidden="1">#REF!</definedName>
    <definedName name="_15_______________________________________________0_0_F" localSheetId="4" hidden="1">#REF!</definedName>
    <definedName name="_15_______________________________________________0_0_F" hidden="1">#REF!</definedName>
    <definedName name="_15____0_0_F" localSheetId="5" hidden="1">#REF!</definedName>
    <definedName name="_15____0_0_F" localSheetId="4" hidden="1">#REF!</definedName>
    <definedName name="_15____0_0_F" hidden="1">#REF!</definedName>
    <definedName name="_15__123Graph_XCHART_2" localSheetId="5" hidden="1">#REF!</definedName>
    <definedName name="_15__123Graph_XCHART_2" localSheetId="4" hidden="1">#REF!</definedName>
    <definedName name="_15__123Graph_XCHART_2" hidden="1">#REF!</definedName>
    <definedName name="_15__FDSAUDITLINK__" localSheetId="5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localSheetId="5" hidden="1">[1]DETAIL!#REF!</definedName>
    <definedName name="_15_0_0_F" localSheetId="4" hidden="1">[1]DETAIL!#REF!</definedName>
    <definedName name="_15_0_0_F" hidden="1">[1]DETAIL!#REF!</definedName>
    <definedName name="_15F" localSheetId="5" hidden="1">[1]DETAIL!#REF!</definedName>
    <definedName name="_15F" localSheetId="4" hidden="1">[1]DETAIL!#REF!</definedName>
    <definedName name="_15F" hidden="1">[1]DETAIL!#REF!</definedName>
    <definedName name="_16_____0_0_F" localSheetId="5" hidden="1">#REF!</definedName>
    <definedName name="_16_____0_0_F" localSheetId="4" hidden="1">#REF!</definedName>
    <definedName name="_16_____0_0_F" hidden="1">#REF!</definedName>
    <definedName name="_16___0_0_F" localSheetId="5" hidden="1">#REF!</definedName>
    <definedName name="_16___0_0_F" localSheetId="4" hidden="1">#REF!</definedName>
    <definedName name="_16___0_0_F" hidden="1">#REF!</definedName>
    <definedName name="_16__FDSAUDITLINK__" localSheetId="5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localSheetId="5" hidden="1">#REF!</definedName>
    <definedName name="_16_0_0_F" localSheetId="4" hidden="1">#REF!</definedName>
    <definedName name="_16_0_0_F" hidden="1">#REF!</definedName>
    <definedName name="_17_??????4" localSheetId="5" hidden="1">BlankMacro1</definedName>
    <definedName name="_17_??????4" localSheetId="4" hidden="1">BlankMacro1</definedName>
    <definedName name="_17_??????4" hidden="1">BlankMacro1</definedName>
    <definedName name="_17__0_0_F" localSheetId="5" hidden="1">#REF!</definedName>
    <definedName name="_17__0_0_F" localSheetId="4" hidden="1">#REF!</definedName>
    <definedName name="_17__0_0_F" hidden="1">#REF!</definedName>
    <definedName name="_17__FDSAUDITLINK__" localSheetId="5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localSheetId="5" hidden="1">#REF!</definedName>
    <definedName name="_17_0_0_F" localSheetId="4" hidden="1">#REF!</definedName>
    <definedName name="_17_0_0_F" hidden="1">#REF!</definedName>
    <definedName name="_17³_¿ª" localSheetId="5" hidden="1">{#N/A,#N/A,FALSE,"CCTV"}</definedName>
    <definedName name="_17³_¿ª" hidden="1">{#N/A,#N/A,FALSE,"CCTV"}</definedName>
    <definedName name="_17F" localSheetId="5" hidden="1">#REF!</definedName>
    <definedName name="_17F" localSheetId="4" hidden="1">#REF!</definedName>
    <definedName name="_17F" hidden="1">#REF!</definedName>
    <definedName name="_18__FDSAUDITLINK__" localSheetId="5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localSheetId="5" hidden="1">#REF!</definedName>
    <definedName name="_18_0_0_F" localSheetId="4" hidden="1">#REF!</definedName>
    <definedName name="_18_0_0_F" hidden="1">#REF!</definedName>
    <definedName name="_18F" localSheetId="5" hidden="1">#REF!</definedName>
    <definedName name="_18F" localSheetId="4" hidden="1">#REF!</definedName>
    <definedName name="_18F" hidden="1">#REF!</definedName>
    <definedName name="_19_______F" localSheetId="5" hidden="1">#REF!</definedName>
    <definedName name="_19_______F" localSheetId="4" hidden="1">#REF!</definedName>
    <definedName name="_19_______F" hidden="1">#REF!</definedName>
    <definedName name="_19__0_0_F" localSheetId="5" hidden="1">#REF!</definedName>
    <definedName name="_19__0_0_F" localSheetId="4" hidden="1">#REF!</definedName>
    <definedName name="_19__0_0_F" hidden="1">#REF!</definedName>
    <definedName name="_19__FDSAUDITLINK__" localSheetId="5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localSheetId="5" hidden="1">[1]DETAIL!#REF!</definedName>
    <definedName name="_19_0_0_F" localSheetId="4" hidden="1">[1]DETAIL!#REF!</definedName>
    <definedName name="_19_0_0_F" hidden="1">[1]DETAIL!#REF!</definedName>
    <definedName name="_19F" localSheetId="5" hidden="1">#REF!</definedName>
    <definedName name="_19F" localSheetId="4" hidden="1">#REF!</definedName>
    <definedName name="_19F" hidden="1">#REF!</definedName>
    <definedName name="_2" localSheetId="5">#REF!</definedName>
    <definedName name="_2" localSheetId="4">#REF!</definedName>
    <definedName name="_2">#REF!</definedName>
    <definedName name="_2__________________0_0_F" localSheetId="5" hidden="1">#REF!</definedName>
    <definedName name="_2__________________0_0_F" localSheetId="4" hidden="1">#REF!</definedName>
    <definedName name="_2__________________0_0_F" hidden="1">#REF!</definedName>
    <definedName name="_2__123Graph_ACHART_2" localSheetId="5" hidden="1">#REF!</definedName>
    <definedName name="_2__123Graph_ACHART_2" localSheetId="4" hidden="1">#REF!</definedName>
    <definedName name="_2__123Graph_ACHART_2" hidden="1">#REF!</definedName>
    <definedName name="_2__123Graph_Aｸﾞﾗﾌ_2" localSheetId="5" hidden="1">#REF!</definedName>
    <definedName name="_2__123Graph_Aｸﾞﾗﾌ_2" localSheetId="4" hidden="1">#REF!</definedName>
    <definedName name="_2__123Graph_Aｸﾞﾗﾌ_2" hidden="1">#REF!</definedName>
    <definedName name="_2__FDSAUDITLINK__" localSheetId="5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localSheetId="5" hidden="1">[1]DETAIL!#REF!</definedName>
    <definedName name="_2_0_0_F" localSheetId="4" hidden="1">[1]DETAIL!#REF!</definedName>
    <definedName name="_2_0_0_F" hidden="1">[1]DETAIL!#REF!</definedName>
    <definedName name="_20_??????5" localSheetId="5" hidden="1">BlankMacro1</definedName>
    <definedName name="_20_??????5" localSheetId="4" hidden="1">BlankMacro1</definedName>
    <definedName name="_20_??????5" hidden="1">BlankMacro1</definedName>
    <definedName name="_20___0_0_F" localSheetId="5" hidden="1">#REF!</definedName>
    <definedName name="_20___0_0_F" localSheetId="4" hidden="1">#REF!</definedName>
    <definedName name="_20___0_0_F" hidden="1">#REF!</definedName>
    <definedName name="_20__FDSAUDITLINK__" localSheetId="5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localSheetId="5" hidden="1">[1]DETAIL!#REF!</definedName>
    <definedName name="_20_0_0_F" localSheetId="4" hidden="1">[1]DETAIL!#REF!</definedName>
    <definedName name="_20_0_0_F" hidden="1">[1]DETAIL!#REF!</definedName>
    <definedName name="_21______F" localSheetId="5" hidden="1">#REF!</definedName>
    <definedName name="_21______F" localSheetId="4" hidden="1">#REF!</definedName>
    <definedName name="_21______F" hidden="1">#REF!</definedName>
    <definedName name="_21__FDSAUDITLINK__" localSheetId="5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localSheetId="5" hidden="1">[1]DETAIL!#REF!</definedName>
    <definedName name="_21_0_0_F" localSheetId="4" hidden="1">[1]DETAIL!#REF!</definedName>
    <definedName name="_21_0_0_F" hidden="1">[1]DETAIL!#REF!</definedName>
    <definedName name="_22__0_0_F" localSheetId="5" hidden="1">#REF!</definedName>
    <definedName name="_22__0_0_F" localSheetId="4" hidden="1">#REF!</definedName>
    <definedName name="_22__0_0_F" hidden="1">#REF!</definedName>
    <definedName name="_22__FDSAUDITLINK__" localSheetId="5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localSheetId="5" hidden="1">#REF!</definedName>
    <definedName name="_22_0_0_F" localSheetId="4" hidden="1">#REF!</definedName>
    <definedName name="_22_0_0_F" hidden="1">#REF!</definedName>
    <definedName name="_22F" localSheetId="5" hidden="1">#REF!</definedName>
    <definedName name="_22F" localSheetId="4" hidden="1">#REF!</definedName>
    <definedName name="_22F" hidden="1">#REF!</definedName>
    <definedName name="_23_??????6" localSheetId="5" hidden="1">BlankMacro1</definedName>
    <definedName name="_23_??????6" localSheetId="4" hidden="1">BlankMacro1</definedName>
    <definedName name="_23_??????6" hidden="1">BlankMacro1</definedName>
    <definedName name="_23_____F" localSheetId="5" hidden="1">#REF!</definedName>
    <definedName name="_23_____F" localSheetId="4" hidden="1">#REF!</definedName>
    <definedName name="_23_____F" hidden="1">#REF!</definedName>
    <definedName name="_23____0_0_F" localSheetId="5" hidden="1">#REF!</definedName>
    <definedName name="_23____0_0_F" localSheetId="4" hidden="1">#REF!</definedName>
    <definedName name="_23____0_0_F" hidden="1">#REF!</definedName>
    <definedName name="_23__FDSAUDITLINK__" localSheetId="5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localSheetId="5" hidden="1">#REF!</definedName>
    <definedName name="_24______F" localSheetId="4" hidden="1">#REF!</definedName>
    <definedName name="_24______F" hidden="1">#REF!</definedName>
    <definedName name="_24__FDSAUDITLINK__" localSheetId="5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localSheetId="5" hidden="1">#REF!</definedName>
    <definedName name="_24_0_0_F" localSheetId="4" hidden="1">#REF!</definedName>
    <definedName name="_24_0_0_F" hidden="1">#REF!</definedName>
    <definedName name="_25___0_0_F" localSheetId="5" hidden="1">#REF!</definedName>
    <definedName name="_25___0_0_F" localSheetId="4" hidden="1">#REF!</definedName>
    <definedName name="_25___0_0_F" hidden="1">#REF!</definedName>
    <definedName name="_25__FDSAUDITLINK__" localSheetId="5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localSheetId="5" hidden="1">#REF!</definedName>
    <definedName name="_25MAÕ_HAØNG" localSheetId="4" hidden="1">#REF!</definedName>
    <definedName name="_25MAÕ_HAØNG" hidden="1">#REF!</definedName>
    <definedName name="_26__FDSAUDITLINK__" localSheetId="5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localSheetId="5" hidden="1">[1]DETAIL!#REF!</definedName>
    <definedName name="_26_0_0_F" localSheetId="4" hidden="1">[1]DETAIL!#REF!</definedName>
    <definedName name="_26_0_0_F" hidden="1">[1]DETAIL!#REF!</definedName>
    <definedName name="_26F" localSheetId="5" hidden="1">#REF!</definedName>
    <definedName name="_26F" localSheetId="4" hidden="1">#REF!</definedName>
    <definedName name="_26F" hidden="1">#REF!</definedName>
    <definedName name="_26MAÕ_SOÁ_THUEÁ" localSheetId="5" hidden="1">#REF!</definedName>
    <definedName name="_26MAÕ_SOÁ_THUEÁ" localSheetId="4" hidden="1">#REF!</definedName>
    <definedName name="_26MAÕ_SOÁ_THUEÁ" hidden="1">#REF!</definedName>
    <definedName name="_27____0_0_F" localSheetId="5" hidden="1">#REF!</definedName>
    <definedName name="_27____0_0_F" localSheetId="4" hidden="1">#REF!</definedName>
    <definedName name="_27____0_0_F" hidden="1">#REF!</definedName>
    <definedName name="_27__0_0_F" localSheetId="5" hidden="1">#REF!</definedName>
    <definedName name="_27__0_0_F" localSheetId="4" hidden="1">#REF!</definedName>
    <definedName name="_27__0_0_F" hidden="1">#REF!</definedName>
    <definedName name="_27__FDSAUDITLINK__" localSheetId="5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localSheetId="5" hidden="1">[1]DETAIL!#REF!</definedName>
    <definedName name="_27_0_0_F" localSheetId="4" hidden="1">[1]DETAIL!#REF!</definedName>
    <definedName name="_27_0_0_F" hidden="1">[1]DETAIL!#REF!</definedName>
    <definedName name="_27ÑÔN_GIAÙ" localSheetId="5" hidden="1">#REF!</definedName>
    <definedName name="_27ÑÔN_GIAÙ" localSheetId="4" hidden="1">#REF!</definedName>
    <definedName name="_27ÑÔN_GIAÙ" hidden="1">#REF!</definedName>
    <definedName name="_28__FDSAUDITLINK__" localSheetId="5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localSheetId="5" hidden="1">[1]DETAIL!#REF!</definedName>
    <definedName name="_28_0_0_F" localSheetId="4" hidden="1">[1]DETAIL!#REF!</definedName>
    <definedName name="_28_0_0_F" hidden="1">[1]DETAIL!#REF!</definedName>
    <definedName name="_28SOÁ_CTÖØ" localSheetId="5" hidden="1">#REF!</definedName>
    <definedName name="_28SOÁ_CTÖØ" localSheetId="4" hidden="1">#REF!</definedName>
    <definedName name="_28SOÁ_CTÖØ" hidden="1">#REF!</definedName>
    <definedName name="_29__FDSAUDITLINK__" localSheetId="5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localSheetId="5" hidden="1">#REF!</definedName>
    <definedName name="_29_0_0_F" localSheetId="4" hidden="1">#REF!</definedName>
    <definedName name="_29_0_0_F" hidden="1">#REF!</definedName>
    <definedName name="_298F" localSheetId="5" hidden="1">#REF!</definedName>
    <definedName name="_298F" localSheetId="4" hidden="1">#REF!</definedName>
    <definedName name="_298F" hidden="1">#REF!</definedName>
    <definedName name="_29SOÁ_LÖÔÏNG" localSheetId="5" hidden="1">#REF!</definedName>
    <definedName name="_29SOÁ_LÖÔÏNG" localSheetId="4" hidden="1">#REF!</definedName>
    <definedName name="_29SOÁ_LÖÔÏNG" hidden="1">#REF!</definedName>
    <definedName name="_2F" localSheetId="5" hidden="1">[1]DETAIL!#REF!</definedName>
    <definedName name="_2F" localSheetId="4" hidden="1">[1]DETAIL!#REF!</definedName>
    <definedName name="_2F" hidden="1">[1]DETAIL!#REF!</definedName>
    <definedName name="_3" localSheetId="5">#REF!</definedName>
    <definedName name="_3" localSheetId="4">#REF!</definedName>
    <definedName name="_3">#REF!</definedName>
    <definedName name="_3__123Graph_ACHART_1" localSheetId="5" hidden="1">#REF!</definedName>
    <definedName name="_3__123Graph_ACHART_1" localSheetId="4" hidden="1">#REF!</definedName>
    <definedName name="_3__123Graph_ACHART_1" hidden="1">#REF!</definedName>
    <definedName name="_3__123Graph_ACHART_3" localSheetId="5" hidden="1">#REF!</definedName>
    <definedName name="_3__123Graph_ACHART_3" localSheetId="4" hidden="1">#REF!</definedName>
    <definedName name="_3__123Graph_ACHART_3" hidden="1">#REF!</definedName>
    <definedName name="_3__123Graph_ATEILM_RKTE" localSheetId="5" hidden="1">#REF!</definedName>
    <definedName name="_3__123Graph_ATEILM_RKTE" localSheetId="4" hidden="1">#REF!</definedName>
    <definedName name="_3__123Graph_ATEILM_RKTE" hidden="1">#REF!</definedName>
    <definedName name="_3__123Graph_Aｸﾞﾗﾌ_3" localSheetId="5" hidden="1">#REF!</definedName>
    <definedName name="_3__123Graph_Aｸﾞﾗﾌ_3" localSheetId="4" hidden="1">#REF!</definedName>
    <definedName name="_3__123Graph_Aｸﾞﾗﾌ_3" hidden="1">#REF!</definedName>
    <definedName name="_3__FDSAUDITLINK__" localSheetId="5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localSheetId="5" hidden="1">[1]DETAIL!#REF!</definedName>
    <definedName name="_3_0_0_F" localSheetId="4" hidden="1">[1]DETAIL!#REF!</definedName>
    <definedName name="_3_0_0_F" hidden="1">[1]DETAIL!#REF!</definedName>
    <definedName name="_30___0_0_F" localSheetId="5" hidden="1">#REF!</definedName>
    <definedName name="_30___0_0_F" localSheetId="4" hidden="1">#REF!</definedName>
    <definedName name="_30___0_0_F" hidden="1">#REF!</definedName>
    <definedName name="_30__FDSAUDITLINK__" localSheetId="5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localSheetId="5" hidden="1">[1]DETAIL!#REF!</definedName>
    <definedName name="_300_0_0_F" localSheetId="4" hidden="1">[1]DETAIL!#REF!</definedName>
    <definedName name="_300_0_0_F" hidden="1">[1]DETAIL!#REF!</definedName>
    <definedName name="_301_0_0_F" localSheetId="5" hidden="1">[1]DETAIL!#REF!</definedName>
    <definedName name="_301_0_0_F" localSheetId="4" hidden="1">[1]DETAIL!#REF!</definedName>
    <definedName name="_301_0_0_F" hidden="1">[1]DETAIL!#REF!</definedName>
    <definedName name="_30TEÂN_HAØNG" localSheetId="5" hidden="1">#REF!</definedName>
    <definedName name="_30TEÂN_HAØNG" localSheetId="4" hidden="1">#REF!</definedName>
    <definedName name="_30TEÂN_HAØNG" hidden="1">#REF!</definedName>
    <definedName name="_31__FDSAUDITLINK__" localSheetId="5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localSheetId="5" hidden="1">#REF!</definedName>
    <definedName name="_31_0_0_F" localSheetId="4" hidden="1">#REF!</definedName>
    <definedName name="_31_0_0_F" hidden="1">#REF!</definedName>
    <definedName name="_31TEÂN_KHAÙCH_HAØ" localSheetId="5" hidden="1">#REF!</definedName>
    <definedName name="_31TEÂN_KHAÙCH_HAØ" localSheetId="4" hidden="1">#REF!</definedName>
    <definedName name="_31TEÂN_KHAÙCH_HAØ" hidden="1">#REF!</definedName>
    <definedName name="_32__FDSAUDITLINK__" localSheetId="5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localSheetId="5" hidden="1">#REF!</definedName>
    <definedName name="_32_0_0_F" localSheetId="4" hidden="1">#REF!</definedName>
    <definedName name="_32_0_0_F" hidden="1">#REF!</definedName>
    <definedName name="_32F" localSheetId="5" hidden="1">#REF!</definedName>
    <definedName name="_32F" localSheetId="4" hidden="1">#REF!</definedName>
    <definedName name="_32F" hidden="1">#REF!</definedName>
    <definedName name="_32THAØNH_TIEÀN" localSheetId="5" hidden="1">#REF!</definedName>
    <definedName name="_32THAØNH_TIEÀN" localSheetId="4" hidden="1">#REF!</definedName>
    <definedName name="_32THAØNH_TIEÀN" hidden="1">#REF!</definedName>
    <definedName name="_33__0_0_F" localSheetId="5" hidden="1">#REF!</definedName>
    <definedName name="_33__0_0_F" localSheetId="4" hidden="1">#REF!</definedName>
    <definedName name="_33__0_0_F" hidden="1">#REF!</definedName>
    <definedName name="_33__FDSAUDITLINK__" localSheetId="5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localSheetId="5" hidden="1">#REF!</definedName>
    <definedName name="_33F" localSheetId="4" hidden="1">#REF!</definedName>
    <definedName name="_33F" hidden="1">#REF!</definedName>
    <definedName name="_33TRÒ_GIAÙ" localSheetId="5" hidden="1">#REF!</definedName>
    <definedName name="_33TRÒ_GIAÙ" localSheetId="4" hidden="1">#REF!</definedName>
    <definedName name="_33TRÒ_GIAÙ" hidden="1">#REF!</definedName>
    <definedName name="_34__FDSAUDITLINK__" localSheetId="5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localSheetId="5" hidden="1">#REF!</definedName>
    <definedName name="_34TRÒ_GIAÙ__VAT" localSheetId="4" hidden="1">#REF!</definedName>
    <definedName name="_34TRÒ_GIAÙ__VAT" hidden="1">#REF!</definedName>
    <definedName name="_35__FDSAUDITLINK__" localSheetId="5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localSheetId="5" hidden="1">#REF!</definedName>
    <definedName name="_356_0_0_F" localSheetId="4" hidden="1">#REF!</definedName>
    <definedName name="_356_0_0_F" hidden="1">#REF!</definedName>
    <definedName name="_36__FDSAUDITLINK__" localSheetId="5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localSheetId="5" hidden="1">[1]DETAIL!#REF!</definedName>
    <definedName name="_36_0_0_F" localSheetId="4" hidden="1">[1]DETAIL!#REF!</definedName>
    <definedName name="_36_0_0_F" hidden="1">[1]DETAIL!#REF!</definedName>
    <definedName name="_37__FDSAUDITLINK__" localSheetId="5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localSheetId="5" hidden="1">[1]DETAIL!#REF!</definedName>
    <definedName name="_37_0_0_F" localSheetId="4" hidden="1">[1]DETAIL!#REF!</definedName>
    <definedName name="_37_0_0_F" hidden="1">[1]DETAIL!#REF!</definedName>
    <definedName name="_38__FDSAUDITLINK__" localSheetId="5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localSheetId="5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localSheetId="5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localSheetId="5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localSheetId="5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localSheetId="5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localSheetId="5" hidden="1">#REF!</definedName>
    <definedName name="_39_0_0_F" localSheetId="4" hidden="1">#REF!</definedName>
    <definedName name="_39_0_0_F" hidden="1">#REF!</definedName>
    <definedName name="_3915__FDSAUDITLINK__" localSheetId="5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localSheetId="5" hidden="1">#REF!</definedName>
    <definedName name="_3F" localSheetId="4" hidden="1">#REF!</definedName>
    <definedName name="_3F" hidden="1">#REF!</definedName>
    <definedName name="_4" localSheetId="5">#REF!</definedName>
    <definedName name="_4" localSheetId="4">#REF!</definedName>
    <definedName name="_4">#REF!</definedName>
    <definedName name="_4_??" localSheetId="5" hidden="1">BlankMacro1</definedName>
    <definedName name="_4_??" localSheetId="4" hidden="1">BlankMacro1</definedName>
    <definedName name="_4_??" hidden="1">BlankMacro1</definedName>
    <definedName name="_4_________________0_0_F" localSheetId="5" hidden="1">#REF!</definedName>
    <definedName name="_4_________________0_0_F" localSheetId="4" hidden="1">#REF!</definedName>
    <definedName name="_4_________________0_0_F" hidden="1">#REF!</definedName>
    <definedName name="_4__123Graph_ACHART_2" localSheetId="5" hidden="1">#REF!</definedName>
    <definedName name="_4__123Graph_ACHART_2" localSheetId="4" hidden="1">#REF!</definedName>
    <definedName name="_4__123Graph_ACHART_2" hidden="1">#REF!</definedName>
    <definedName name="_4__123Graph_Aｸﾞﾗﾌ_4" localSheetId="5" hidden="1">#REF!</definedName>
    <definedName name="_4__123Graph_Aｸﾞﾗﾌ_4" localSheetId="4" hidden="1">#REF!</definedName>
    <definedName name="_4__123Graph_Aｸﾞﾗﾌ_4" hidden="1">#REF!</definedName>
    <definedName name="_4__123Graph_BCHART_1" localSheetId="5" hidden="1">#REF!</definedName>
    <definedName name="_4__123Graph_BCHART_1" localSheetId="4" hidden="1">#REF!</definedName>
    <definedName name="_4__123Graph_BCHART_1" hidden="1">#REF!</definedName>
    <definedName name="_4__FDSAUDITLINK__" localSheetId="5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localSheetId="5" hidden="1">[1]DETAIL!#REF!</definedName>
    <definedName name="_4_0_0_F" localSheetId="4" hidden="1">[1]DETAIL!#REF!</definedName>
    <definedName name="_4_0_0_F" hidden="1">[1]DETAIL!#REF!</definedName>
    <definedName name="_40__FDSAUDITLINK__" localSheetId="5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localSheetId="5" hidden="1">#REF!</definedName>
    <definedName name="_40_0_0_F" localSheetId="4" hidden="1">#REF!</definedName>
    <definedName name="_40_0_0_F" hidden="1">#REF!</definedName>
    <definedName name="_41____0_0_F" localSheetId="5" hidden="1">#REF!</definedName>
    <definedName name="_41____0_0_F" localSheetId="4" hidden="1">#REF!</definedName>
    <definedName name="_41____0_0_F" hidden="1">#REF!</definedName>
    <definedName name="_41__FDSAUDITLINK__" localSheetId="5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localSheetId="5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localSheetId="5" hidden="1">#REF!</definedName>
    <definedName name="_43___0_0_F" localSheetId="4" hidden="1">#REF!</definedName>
    <definedName name="_43___0_0_F" hidden="1">#REF!</definedName>
    <definedName name="_43__FDSAUDITLINK__" localSheetId="5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localSheetId="5" hidden="1">#REF!</definedName>
    <definedName name="_43F" localSheetId="4" hidden="1">#REF!</definedName>
    <definedName name="_43F" hidden="1">#REF!</definedName>
    <definedName name="_44__FDSAUDITLINK__" localSheetId="5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localSheetId="5" hidden="1">#REF!</definedName>
    <definedName name="_44_0_0_F" localSheetId="4" hidden="1">#REF!</definedName>
    <definedName name="_44_0_0_F" hidden="1">#REF!</definedName>
    <definedName name="_44F" localSheetId="5" hidden="1">#REF!</definedName>
    <definedName name="_44F" localSheetId="4" hidden="1">#REF!</definedName>
    <definedName name="_44F" hidden="1">#REF!</definedName>
    <definedName name="_45__0_0_F" localSheetId="5" hidden="1">#REF!</definedName>
    <definedName name="_45__0_0_F" localSheetId="4" hidden="1">#REF!</definedName>
    <definedName name="_45__0_0_F" hidden="1">#REF!</definedName>
    <definedName name="_45__FDSAUDITLINK__" localSheetId="5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localSheetId="5" hidden="1">#REF!</definedName>
    <definedName name="_45_0_0_F" localSheetId="4" hidden="1">#REF!</definedName>
    <definedName name="_45_0_0_F" hidden="1">#REF!</definedName>
    <definedName name="_46__FDSAUDITLINK__" localSheetId="5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localSheetId="5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localSheetId="5" hidden="1">#REF!</definedName>
    <definedName name="_47_0_0_F" localSheetId="4" hidden="1">#REF!</definedName>
    <definedName name="_47_0_0_F" hidden="1">#REF!</definedName>
    <definedName name="_48__0_0_F" localSheetId="5" hidden="1">#REF!</definedName>
    <definedName name="_48__0_0_F" localSheetId="4" hidden="1">#REF!</definedName>
    <definedName name="_48__0_0_F" hidden="1">#REF!</definedName>
    <definedName name="_48__FDSAUDITLINK__" localSheetId="5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localSheetId="5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localSheetId="5" hidden="1">[1]DETAIL!#REF!</definedName>
    <definedName name="_4F" localSheetId="4" hidden="1">[1]DETAIL!#REF!</definedName>
    <definedName name="_4F" hidden="1">[1]DETAIL!#REF!</definedName>
    <definedName name="_5" localSheetId="5">#REF!</definedName>
    <definedName name="_5" localSheetId="4">#REF!</definedName>
    <definedName name="_5">#REF!</definedName>
    <definedName name="_5_??????" localSheetId="5" hidden="1">#REF!</definedName>
    <definedName name="_5_??????" localSheetId="4" hidden="1">#REF!</definedName>
    <definedName name="_5_??????" hidden="1">#REF!</definedName>
    <definedName name="_5__123Graph_Aｸﾞﾗﾌ_5" localSheetId="5" hidden="1">#REF!</definedName>
    <definedName name="_5__123Graph_Aｸﾞﾗﾌ_5" localSheetId="4" hidden="1">#REF!</definedName>
    <definedName name="_5__123Graph_Aｸﾞﾗﾌ_5" hidden="1">#REF!</definedName>
    <definedName name="_5__123Graph_BCHART_2" localSheetId="5" hidden="1">#REF!</definedName>
    <definedName name="_5__123Graph_BCHART_2" localSheetId="4" hidden="1">#REF!</definedName>
    <definedName name="_5__123Graph_BCHART_2" hidden="1">#REF!</definedName>
    <definedName name="_5__FDSAUDITLINK__" localSheetId="5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localSheetId="5" hidden="1">[1]DETAIL!#REF!</definedName>
    <definedName name="_5_0_0_F" localSheetId="4" hidden="1">[1]DETAIL!#REF!</definedName>
    <definedName name="_5_0_0_F" hidden="1">[1]DETAIL!#REF!</definedName>
    <definedName name="_50__FDSAUDITLINK__" localSheetId="5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localSheetId="5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localSheetId="5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localSheetId="5" hidden="1">#REF!</definedName>
    <definedName name="_52_0_0_F" localSheetId="4" hidden="1">#REF!</definedName>
    <definedName name="_52_0_0_F" hidden="1">#REF!</definedName>
    <definedName name="_53__FDSAUDITLINK__" localSheetId="5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localSheetId="5" hidden="1">#REF!</definedName>
    <definedName name="_53_0_0_F" localSheetId="4" hidden="1">#REF!</definedName>
    <definedName name="_53_0_0_F" hidden="1">#REF!</definedName>
    <definedName name="_54__FDSAUDITLINK__" localSheetId="5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localSheetId="5" hidden="1">#REF!</definedName>
    <definedName name="_54_0_0_F" localSheetId="4" hidden="1">#REF!</definedName>
    <definedName name="_54_0_0_F" hidden="1">#REF!</definedName>
    <definedName name="_55__FDSAUDITLINK__" localSheetId="5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localSheetId="5" hidden="1">#REF!</definedName>
    <definedName name="_55_0_0_F" localSheetId="4" hidden="1">#REF!</definedName>
    <definedName name="_55_0_0_F" hidden="1">#REF!</definedName>
    <definedName name="_56__FDSAUDITLINK__" localSheetId="5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localSheetId="5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localSheetId="5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localSheetId="5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localSheetId="5" hidden="1">[1]DETAIL!#REF!</definedName>
    <definedName name="_5F" localSheetId="4" hidden="1">[1]DETAIL!#REF!</definedName>
    <definedName name="_5F" hidden="1">[1]DETAIL!#REF!</definedName>
    <definedName name="_6______________0_0_F" localSheetId="5" hidden="1">#REF!</definedName>
    <definedName name="_6______________0_0_F" localSheetId="4" hidden="1">#REF!</definedName>
    <definedName name="_6______________0_0_F" hidden="1">#REF!</definedName>
    <definedName name="_6__123Graph_ATEILM_RKTE2" localSheetId="5" hidden="1">#REF!</definedName>
    <definedName name="_6__123Graph_ATEILM_RKTE2" localSheetId="4" hidden="1">#REF!</definedName>
    <definedName name="_6__123Graph_ATEILM_RKTE2" hidden="1">#REF!</definedName>
    <definedName name="_6__123Graph_BCHART_3" localSheetId="5" hidden="1">#REF!</definedName>
    <definedName name="_6__123Graph_BCHART_3" localSheetId="4" hidden="1">#REF!</definedName>
    <definedName name="_6__123Graph_BCHART_3" hidden="1">#REF!</definedName>
    <definedName name="_6__123Graph_CCHART_1" localSheetId="5" hidden="1">#REF!</definedName>
    <definedName name="_6__123Graph_CCHART_1" localSheetId="4" hidden="1">#REF!</definedName>
    <definedName name="_6__123Graph_CCHART_1" hidden="1">#REF!</definedName>
    <definedName name="_6__123Graph_Xｸﾞﾗﾌ_1" localSheetId="5" hidden="1">#REF!</definedName>
    <definedName name="_6__123Graph_Xｸﾞﾗﾌ_1" localSheetId="4" hidden="1">#REF!</definedName>
    <definedName name="_6__123Graph_Xｸﾞﾗﾌ_1" hidden="1">#REF!</definedName>
    <definedName name="_6__FDSAUDITLINK__" localSheetId="5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localSheetId="5" hidden="1">[1]DETAIL!#REF!</definedName>
    <definedName name="_6_0_0_F" localSheetId="4" hidden="1">[1]DETAIL!#REF!</definedName>
    <definedName name="_6_0_0_F" hidden="1">[1]DETAIL!#REF!</definedName>
    <definedName name="_60__FDSAUDITLINK__" localSheetId="5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localSheetId="5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localSheetId="5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localSheetId="5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localSheetId="5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localSheetId="5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localSheetId="5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localSheetId="5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localSheetId="5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localSheetId="5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localSheetId="5" hidden="1">[1]DETAIL!#REF!</definedName>
    <definedName name="_6F" localSheetId="4" hidden="1">[1]DETAIL!#REF!</definedName>
    <definedName name="_6F" hidden="1">[1]DETAIL!#REF!</definedName>
    <definedName name="_7_____F" localSheetId="5" hidden="1">#REF!</definedName>
    <definedName name="_7_____F" localSheetId="4" hidden="1">#REF!</definedName>
    <definedName name="_7_____F" hidden="1">#REF!</definedName>
    <definedName name="_7__123Graph_CCHART_1" localSheetId="5" hidden="1">#REF!</definedName>
    <definedName name="_7__123Graph_CCHART_1" localSheetId="4" hidden="1">#REF!</definedName>
    <definedName name="_7__123Graph_CCHART_1" hidden="1">#REF!</definedName>
    <definedName name="_7__123Graph_DCHART_1" localSheetId="5" hidden="1">#REF!</definedName>
    <definedName name="_7__123Graph_DCHART_1" localSheetId="4" hidden="1">#REF!</definedName>
    <definedName name="_7__123Graph_DCHART_1" hidden="1">#REF!</definedName>
    <definedName name="_7__123Graph_Xｸﾞﾗﾌ_2" localSheetId="5" hidden="1">#REF!</definedName>
    <definedName name="_7__123Graph_Xｸﾞﾗﾌ_2" localSheetId="4" hidden="1">#REF!</definedName>
    <definedName name="_7__123Graph_Xｸﾞﾗﾌ_2" hidden="1">#REF!</definedName>
    <definedName name="_7__FDSAUDITLINK__" localSheetId="5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localSheetId="5" hidden="1">[1]DETAIL!#REF!</definedName>
    <definedName name="_7_0_0_F" localSheetId="4" hidden="1">[1]DETAIL!#REF!</definedName>
    <definedName name="_7_0_0_F" hidden="1">[1]DETAIL!#REF!</definedName>
    <definedName name="_70__FDSAUDITLINK__" localSheetId="5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localSheetId="5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localSheetId="5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localSheetId="5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localSheetId="5" hidden="1">#REF!</definedName>
    <definedName name="_73F" localSheetId="4" hidden="1">#REF!</definedName>
    <definedName name="_73F" hidden="1">#REF!</definedName>
    <definedName name="_74__FDSAUDITLINK__" localSheetId="5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localSheetId="5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localSheetId="5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localSheetId="5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localSheetId="5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localSheetId="5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localSheetId="5" hidden="1">#REF!</definedName>
    <definedName name="_7F" localSheetId="4" hidden="1">#REF!</definedName>
    <definedName name="_7F" hidden="1">#REF!</definedName>
    <definedName name="_8_??????1" localSheetId="5" hidden="1">BlankMacro1</definedName>
    <definedName name="_8_??????1" localSheetId="4" hidden="1">BlankMacro1</definedName>
    <definedName name="_8_??????1" hidden="1">BlankMacro1</definedName>
    <definedName name="_8_____________0_0_F" localSheetId="5" hidden="1">#REF!</definedName>
    <definedName name="_8_____________0_0_F" localSheetId="4" hidden="1">#REF!</definedName>
    <definedName name="_8_____________0_0_F" hidden="1">#REF!</definedName>
    <definedName name="_8__123Graph_CCHART_2" localSheetId="5" hidden="1">#REF!</definedName>
    <definedName name="_8__123Graph_CCHART_2" localSheetId="4" hidden="1">#REF!</definedName>
    <definedName name="_8__123Graph_CCHART_2" hidden="1">#REF!</definedName>
    <definedName name="_8__123Graph_Xｸﾞﾗﾌ_3" localSheetId="5" hidden="1">#REF!</definedName>
    <definedName name="_8__123Graph_Xｸﾞﾗﾌ_3" localSheetId="4" hidden="1">#REF!</definedName>
    <definedName name="_8__123Graph_Xｸﾞﾗﾌ_3" hidden="1">#REF!</definedName>
    <definedName name="_8__FDSAUDITLINK__" localSheetId="5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localSheetId="5" hidden="1">[1]DETAIL!#REF!</definedName>
    <definedName name="_8_0_0_F" localSheetId="4" hidden="1">[1]DETAIL!#REF!</definedName>
    <definedName name="_8_0_0_F" hidden="1">[1]DETAIL!#REF!</definedName>
    <definedName name="_80__FDSAUDITLINK__" localSheetId="5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localSheetId="5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localSheetId="5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localSheetId="5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localSheetId="5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localSheetId="5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localSheetId="5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localSheetId="5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localSheetId="5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localSheetId="5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localSheetId="5" hidden="1">#REF!</definedName>
    <definedName name="_8F" localSheetId="4" hidden="1">#REF!</definedName>
    <definedName name="_8F" hidden="1">#REF!</definedName>
    <definedName name="_9_______F" localSheetId="5" hidden="1">#REF!</definedName>
    <definedName name="_9_______F" localSheetId="4" hidden="1">#REF!</definedName>
    <definedName name="_9_______F" hidden="1">#REF!</definedName>
    <definedName name="_9__123Graph_CCHART_3" localSheetId="5" hidden="1">#REF!</definedName>
    <definedName name="_9__123Graph_CCHART_3" localSheetId="4" hidden="1">#REF!</definedName>
    <definedName name="_9__123Graph_CCHART_3" hidden="1">#REF!</definedName>
    <definedName name="_9__123Graph_XTEILM_RKTE2" localSheetId="5" hidden="1">#REF!</definedName>
    <definedName name="_9__123Graph_XTEILM_RKTE2" localSheetId="4" hidden="1">#REF!</definedName>
    <definedName name="_9__123Graph_XTEILM_RKTE2" hidden="1">#REF!</definedName>
    <definedName name="_9__123Graph_Xｸﾞﾗﾌ_4" localSheetId="5" hidden="1">#REF!</definedName>
    <definedName name="_9__123Graph_Xｸﾞﾗﾌ_4" localSheetId="4" hidden="1">#REF!</definedName>
    <definedName name="_9__123Graph_Xｸﾞﾗﾌ_4" hidden="1">#REF!</definedName>
    <definedName name="_9__FDSAUDITLINK__" localSheetId="5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localSheetId="5" hidden="1">#REF!</definedName>
    <definedName name="_9_0_0_F" localSheetId="4" hidden="1">#REF!</definedName>
    <definedName name="_9_0_0_F" hidden="1">#REF!</definedName>
    <definedName name="_90__FDSAUDITLINK__" localSheetId="5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localSheetId="5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localSheetId="5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localSheetId="5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localSheetId="5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localSheetId="5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localSheetId="5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localSheetId="5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localSheetId="5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localSheetId="5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localSheetId="5" hidden="1">#REF!</definedName>
    <definedName name="_9F" localSheetId="4" hidden="1">#REF!</definedName>
    <definedName name="_9F" hidden="1">#REF!</definedName>
    <definedName name="_a1" localSheetId="5" hidden="1">{"cashflow",#N/A,FALSE,"CASHFLOW "}</definedName>
    <definedName name="_a1" hidden="1">{"cashflow",#N/A,FALSE,"CASHFLOW "}</definedName>
    <definedName name="_a1_1" localSheetId="5" hidden="1">{"'Sheet1'!$L$16"}</definedName>
    <definedName name="_a1_1" hidden="1">{"'Sheet1'!$L$16"}</definedName>
    <definedName name="_a1_1_1" localSheetId="5" hidden="1">{"'Sheet1'!$L$16"}</definedName>
    <definedName name="_a1_1_1" hidden="1">{"'Sheet1'!$L$16"}</definedName>
    <definedName name="_a1_1_1_1" localSheetId="5" hidden="1">{"'Sheet1'!$L$16"}</definedName>
    <definedName name="_a1_1_1_1" hidden="1">{"'Sheet1'!$L$16"}</definedName>
    <definedName name="_a1_1_1_1_1" localSheetId="5" hidden="1">{"'Sheet1'!$L$16"}</definedName>
    <definedName name="_a1_1_1_1_1" hidden="1">{"'Sheet1'!$L$16"}</definedName>
    <definedName name="_a1_1_1_1_1_1" localSheetId="5" hidden="1">{"'Sheet1'!$L$16"}</definedName>
    <definedName name="_a1_1_1_1_1_1" hidden="1">{"'Sheet1'!$L$16"}</definedName>
    <definedName name="_a1_1_1_1_1_2" localSheetId="5" hidden="1">{"'Sheet1'!$L$16"}</definedName>
    <definedName name="_a1_1_1_1_1_2" hidden="1">{"'Sheet1'!$L$16"}</definedName>
    <definedName name="_a1_1_1_1_2" localSheetId="5" hidden="1">{"'Sheet1'!$L$16"}</definedName>
    <definedName name="_a1_1_1_1_2" hidden="1">{"'Sheet1'!$L$16"}</definedName>
    <definedName name="_a1_1_1_1_3" localSheetId="5" hidden="1">{"'Sheet1'!$L$16"}</definedName>
    <definedName name="_a1_1_1_1_3" hidden="1">{"'Sheet1'!$L$16"}</definedName>
    <definedName name="_a1_1_1_2" localSheetId="5" hidden="1">{"'Sheet1'!$L$16"}</definedName>
    <definedName name="_a1_1_1_2" hidden="1">{"'Sheet1'!$L$16"}</definedName>
    <definedName name="_a1_1_1_2_1" localSheetId="5" hidden="1">{"'Sheet1'!$L$16"}</definedName>
    <definedName name="_a1_1_1_2_1" hidden="1">{"'Sheet1'!$L$16"}</definedName>
    <definedName name="_a1_1_1_2_2" localSheetId="5" hidden="1">{"'Sheet1'!$L$16"}</definedName>
    <definedName name="_a1_1_1_2_2" hidden="1">{"'Sheet1'!$L$16"}</definedName>
    <definedName name="_a1_1_1_3" localSheetId="5" hidden="1">{"'Sheet1'!$L$16"}</definedName>
    <definedName name="_a1_1_1_3" hidden="1">{"'Sheet1'!$L$16"}</definedName>
    <definedName name="_a1_1_1_3_1" localSheetId="5" hidden="1">{"'Sheet1'!$L$16"}</definedName>
    <definedName name="_a1_1_1_3_1" hidden="1">{"'Sheet1'!$L$16"}</definedName>
    <definedName name="_a1_1_1_3_2" localSheetId="5" hidden="1">{"'Sheet1'!$L$16"}</definedName>
    <definedName name="_a1_1_1_3_2" hidden="1">{"'Sheet1'!$L$16"}</definedName>
    <definedName name="_a1_1_1_4" localSheetId="5" hidden="1">{"'Sheet1'!$L$16"}</definedName>
    <definedName name="_a1_1_1_4" hidden="1">{"'Sheet1'!$L$16"}</definedName>
    <definedName name="_a1_1_1_5" localSheetId="5" hidden="1">{"'Sheet1'!$L$16"}</definedName>
    <definedName name="_a1_1_1_5" hidden="1">{"'Sheet1'!$L$16"}</definedName>
    <definedName name="_a1_1_2" localSheetId="5" hidden="1">{"'Sheet1'!$L$16"}</definedName>
    <definedName name="_a1_1_2" hidden="1">{"'Sheet1'!$L$16"}</definedName>
    <definedName name="_a1_1_2_1" localSheetId="5" hidden="1">{"'Sheet1'!$L$16"}</definedName>
    <definedName name="_a1_1_2_1" hidden="1">{"'Sheet1'!$L$16"}</definedName>
    <definedName name="_a1_1_2_2" localSheetId="5" hidden="1">{"'Sheet1'!$L$16"}</definedName>
    <definedName name="_a1_1_2_2" hidden="1">{"'Sheet1'!$L$16"}</definedName>
    <definedName name="_a1_1_3" localSheetId="5" hidden="1">{"'Sheet1'!$L$16"}</definedName>
    <definedName name="_a1_1_3" hidden="1">{"'Sheet1'!$L$16"}</definedName>
    <definedName name="_a1_1_3_1" localSheetId="5" hidden="1">{"'Sheet1'!$L$16"}</definedName>
    <definedName name="_a1_1_3_1" hidden="1">{"'Sheet1'!$L$16"}</definedName>
    <definedName name="_a1_1_3_2" localSheetId="5" hidden="1">{"'Sheet1'!$L$16"}</definedName>
    <definedName name="_a1_1_3_2" hidden="1">{"'Sheet1'!$L$16"}</definedName>
    <definedName name="_a1_1_4" localSheetId="5" hidden="1">{"'Sheet1'!$L$16"}</definedName>
    <definedName name="_a1_1_4" hidden="1">{"'Sheet1'!$L$16"}</definedName>
    <definedName name="_a1_1_5" localSheetId="5" hidden="1">{"'Sheet1'!$L$16"}</definedName>
    <definedName name="_a1_1_5" hidden="1">{"'Sheet1'!$L$16"}</definedName>
    <definedName name="_a1_2" localSheetId="5" hidden="1">{"'Sheet1'!$L$16"}</definedName>
    <definedName name="_a1_2" hidden="1">{"'Sheet1'!$L$16"}</definedName>
    <definedName name="_a1_2_1" localSheetId="5" hidden="1">{"'Sheet1'!$L$16"}</definedName>
    <definedName name="_a1_2_1" hidden="1">{"'Sheet1'!$L$16"}</definedName>
    <definedName name="_a1_2_2" localSheetId="5" hidden="1">{"'Sheet1'!$L$16"}</definedName>
    <definedName name="_a1_2_2" hidden="1">{"'Sheet1'!$L$16"}</definedName>
    <definedName name="_a1_3" localSheetId="5" hidden="1">{"'Sheet1'!$L$16"}</definedName>
    <definedName name="_a1_3" hidden="1">{"'Sheet1'!$L$16"}</definedName>
    <definedName name="_a1_3_1" localSheetId="5" hidden="1">{"'Sheet1'!$L$16"}</definedName>
    <definedName name="_a1_3_1" hidden="1">{"'Sheet1'!$L$16"}</definedName>
    <definedName name="_a1_3_2" localSheetId="5" hidden="1">{"'Sheet1'!$L$16"}</definedName>
    <definedName name="_a1_3_2" hidden="1">{"'Sheet1'!$L$16"}</definedName>
    <definedName name="_a1_4" localSheetId="5" hidden="1">{"'Sheet1'!$L$16"}</definedName>
    <definedName name="_a1_4" hidden="1">{"'Sheet1'!$L$16"}</definedName>
    <definedName name="_a1_4_1" localSheetId="5" hidden="1">{"'Sheet1'!$L$16"}</definedName>
    <definedName name="_a1_4_1" hidden="1">{"'Sheet1'!$L$16"}</definedName>
    <definedName name="_a1_4_2" localSheetId="5" hidden="1">{"'Sheet1'!$L$16"}</definedName>
    <definedName name="_a1_4_2" hidden="1">{"'Sheet1'!$L$16"}</definedName>
    <definedName name="_a1_5" localSheetId="5" hidden="1">{"'Sheet1'!$L$16"}</definedName>
    <definedName name="_a1_5" hidden="1">{"'Sheet1'!$L$16"}</definedName>
    <definedName name="_a1_5_1" localSheetId="5" hidden="1">{"'Sheet1'!$L$16"}</definedName>
    <definedName name="_a1_5_1" hidden="1">{"'Sheet1'!$L$16"}</definedName>
    <definedName name="_a1_5_2" localSheetId="5" hidden="1">{"'Sheet1'!$L$16"}</definedName>
    <definedName name="_a1_5_2" hidden="1">{"'Sheet1'!$L$16"}</definedName>
    <definedName name="_a10" localSheetId="5" hidden="1">{"sales",#N/A,FALSE,"SALES"}</definedName>
    <definedName name="_a10" hidden="1">{"sales",#N/A,FALSE,"SALES"}</definedName>
    <definedName name="_a100000001" localSheetId="5" hidden="1">{"hilight3",#N/A,FALSE,"HILIGHT3"}</definedName>
    <definedName name="_a100000001" hidden="1">{"hilight3",#N/A,FALSE,"HILIGHT3"}</definedName>
    <definedName name="_a11" localSheetId="5" hidden="1">{"'Sheet1'!$L$16"}</definedName>
    <definedName name="_a11" hidden="1">{"'Sheet1'!$L$16"}</definedName>
    <definedName name="_a12" localSheetId="5" hidden="1">{"'Sheet1'!$L$16"}</definedName>
    <definedName name="_a12" hidden="1">{"'Sheet1'!$L$16"}</definedName>
    <definedName name="_A123" localSheetId="5" hidden="1">#REF!</definedName>
    <definedName name="_A123" localSheetId="4" hidden="1">#REF!</definedName>
    <definedName name="_A123" hidden="1">#REF!</definedName>
    <definedName name="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localSheetId="5" hidden="1">{"revable",#N/A,FALSE,"REVABLE"}</definedName>
    <definedName name="_a133" hidden="1">{"revable",#N/A,FALSE,"REVABLE"}</definedName>
    <definedName name="_a14" localSheetId="5" hidden="1">{"TAG1AGMS",#N/A,FALSE,"TAG 1A"}</definedName>
    <definedName name="_a14" hidden="1">{"TAG1AGMS",#N/A,FALSE,"TAG 1A"}</definedName>
    <definedName name="_a15" localSheetId="5" hidden="1">{"weichwaren",#N/A,FALSE,"Liste 1";"hartwaren",#N/A,FALSE,"Liste 1";"food",#N/A,FALSE,"Liste 1";"fleisch",#N/A,FALSE,"Liste 1"}</definedName>
    <definedName name="_a15" hidden="1">{"weichwaren",#N/A,FALSE,"Liste 1";"hartwaren",#N/A,FALSE,"Liste 1";"food",#N/A,FALSE,"Liste 1";"fleisch",#N/A,FALSE,"Liste 1"}</definedName>
    <definedName name="_a16" localSheetId="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localSheetId="5" hidden="1">{"TAG1AGMS",#N/A,FALSE,"TAG 1A"}</definedName>
    <definedName name="_a17" hidden="1">{"TAG1AGMS",#N/A,FALSE,"TAG 1A"}</definedName>
    <definedName name="_a18" localSheetId="5" hidden="1">{"Tages_D",#N/A,FALSE,"Tagesbericht";"Tages_PL",#N/A,FALSE,"Tagesbericht"}</definedName>
    <definedName name="_a18" hidden="1">{"Tages_D",#N/A,FALSE,"Tagesbericht";"Tages_PL",#N/A,FALSE,"Tagesbericht"}</definedName>
    <definedName name="_a19" localSheetId="5" hidden="1">{"fleisch",#N/A,FALSE,"WG HK";"food",#N/A,FALSE,"WG HK";"hartwaren",#N/A,FALSE,"WG HK";"weichwaren",#N/A,FALSE,"WG HK"}</definedName>
    <definedName name="_a19" hidden="1">{"fleisch",#N/A,FALSE,"WG HK";"food",#N/A,FALSE,"WG HK";"hartwaren",#N/A,FALSE,"WG HK";"weichwaren",#N/A,FALSE,"WG HK"}</definedName>
    <definedName name="_a2" localSheetId="5" hidden="1">{"hilight1",#N/A,FALSE,"HILIGHT1"}</definedName>
    <definedName name="_a2" hidden="1">{"hilight1",#N/A,FALSE,"HILIGHT1"}</definedName>
    <definedName name="_a3" localSheetId="5" hidden="1">{"hilight2",#N/A,FALSE,"HILIGHT2"}</definedName>
    <definedName name="_a3" hidden="1">{"hilight2",#N/A,FALSE,"HILIGHT2"}</definedName>
    <definedName name="_a33" localSheetId="5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4" localSheetId="5" hidden="1">{"hilight3",#N/A,FALSE,"HILIGHT3"}</definedName>
    <definedName name="_a4" hidden="1">{"hilight3",#N/A,FALSE,"HILIGHT3"}</definedName>
    <definedName name="_a45" localSheetId="5" hidden="1">#REF!</definedName>
    <definedName name="_a45" localSheetId="4" hidden="1">#REF!</definedName>
    <definedName name="_a45" hidden="1">#REF!</definedName>
    <definedName name="_a5" localSheetId="5" hidden="1">{"income",#N/A,FALSE,"INCOME"}</definedName>
    <definedName name="_a5" hidden="1">{"income",#N/A,FALSE,"INCOME"}</definedName>
    <definedName name="_a51" localSheetId="5" hidden="1">{"income",#N/A,FALSE,"INCOME"}</definedName>
    <definedName name="_a51" hidden="1">{"income",#N/A,FALSE,"INCOME"}</definedName>
    <definedName name="_a55" localSheetId="5" hidden="1">{"Tages_D",#N/A,FALSE,"Tagesbericht";"Tages_PL",#N/A,FALSE,"Tagesbericht"}</definedName>
    <definedName name="_a55" hidden="1">{"Tages_D",#N/A,FALSE,"Tagesbericht";"Tages_PL",#N/A,FALSE,"Tagesbericht"}</definedName>
    <definedName name="_a6" localSheetId="5" hidden="1">{"index",#N/A,FALSE,"INDEX"}</definedName>
    <definedName name="_a6" hidden="1">{"index",#N/A,FALSE,"INDEX"}</definedName>
    <definedName name="_a66" localSheetId="5" hidden="1">{"TAG1AGMS",#N/A,FALSE,"TAG 1A"}</definedName>
    <definedName name="_a66" hidden="1">{"TAG1AGMS",#N/A,FALSE,"TAG 1A"}</definedName>
    <definedName name="_a7" localSheetId="5" hidden="1">{"PRINT_EST",#N/A,FALSE,"ESTMON"}</definedName>
    <definedName name="_a7" hidden="1">{"PRINT_EST",#N/A,FALSE,"ESTMON"}</definedName>
    <definedName name="_a8" localSheetId="5" hidden="1">{"revsale",#N/A,FALSE,"REV-ยุพดี"}</definedName>
    <definedName name="_a8" hidden="1">{"revsale",#N/A,FALSE,"REV-ยุพดี"}</definedName>
    <definedName name="_a9" localSheetId="5" hidden="1">{"revable",#N/A,FALSE,"REVABLE"}</definedName>
    <definedName name="_a9" hidden="1">{"revable",#N/A,FALSE,"REVABLE"}</definedName>
    <definedName name="_a99" localSheetId="5" hidden="1">{"revable",#N/A,FALSE,"REVABLE"}</definedName>
    <definedName name="_a99" hidden="1">{"revable",#N/A,FALSE,"REVABLE"}</definedName>
    <definedName name="_aa1" localSheetId="5" hidden="1">{"cashflow",#N/A,FALSE,"CASHFLOW "}</definedName>
    <definedName name="_aa1" hidden="1">{"cashflow",#N/A,FALSE,"CASHFLOW "}</definedName>
    <definedName name="_aa22" localSheetId="5" hidden="1">{"Tages_D",#N/A,FALSE,"Tagesbericht";"Tages_PL",#N/A,FALSE,"Tagesbericht"}</definedName>
    <definedName name="_aa22" hidden="1">{"Tages_D",#N/A,FALSE,"Tagesbericht";"Tages_PL",#N/A,FALSE,"Tagesbericht"}</definedName>
    <definedName name="_ABC1" localSheetId="5" hidden="1">{"'Sheet1'!$L$16"}</definedName>
    <definedName name="_ABC1" hidden="1">{"'Sheet1'!$L$16"}</definedName>
    <definedName name="_AL2" localSheetId="5" hidden="1">{#N/A,#N/A,FALSE,"Chi tiÆt"}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localSheetId="5" hidden="1">{"'Model'!$A$1:$N$53"}</definedName>
    <definedName name="_apr2" hidden="1">{"'Model'!$A$1:$N$53"}</definedName>
    <definedName name="_As1" localSheetId="5" hidden="1">#REF!</definedName>
    <definedName name="_As1" localSheetId="4" hidden="1">#REF!</definedName>
    <definedName name="_As1" hidden="1">#REF!</definedName>
    <definedName name="_b1" localSheetId="5" hidden="1">{"'Sheet1'!$L$16"}</definedName>
    <definedName name="_b1" hidden="1">{"'Sheet1'!$L$16"}</definedName>
    <definedName name="_b18" localSheetId="5" hidden="1">{"Tages_D",#N/A,FALSE,"Tagesbericht";"Tages_PL",#N/A,FALSE,"Tagesbericht"}</definedName>
    <definedName name="_b18" hidden="1">{"Tages_D",#N/A,FALSE,"Tagesbericht";"Tages_PL",#N/A,FALSE,"Tagesbericht"}</definedName>
    <definedName name="_b19" localSheetId="5" hidden="1">{"Tages_D",#N/A,FALSE,"Tagesbericht";"Tages_PL",#N/A,FALSE,"Tagesbericht"}</definedName>
    <definedName name="_b19" hidden="1">{"Tages_D",#N/A,FALSE,"Tagesbericht";"Tages_PL",#N/A,FALSE,"Tagesbericht"}</definedName>
    <definedName name="_b3" localSheetId="5" hidden="1">{"'Sheet1'!$L$16"}</definedName>
    <definedName name="_b3" hidden="1">{"'Sheet1'!$L$16"}</definedName>
    <definedName name="_b4" localSheetId="5" hidden="1">{"'Sheet1'!$L$16"}</definedName>
    <definedName name="_b4" hidden="1">{"'Sheet1'!$L$16"}</definedName>
    <definedName name="_b5" localSheetId="5" hidden="1">{"'Sheet1'!$L$16"}</definedName>
    <definedName name="_b5" hidden="1">{"'Sheet1'!$L$16"}</definedName>
    <definedName name="_b6" localSheetId="5" hidden="1">{"'Sheet1'!$L$16"}</definedName>
    <definedName name="_b6" hidden="1">{"'Sheet1'!$L$16"}</definedName>
    <definedName name="_b7" localSheetId="5" hidden="1">{#N/A,#N/A,FALSE,"Chi tiÆt"}</definedName>
    <definedName name="_b7" hidden="1">{#N/A,#N/A,FALSE,"Chi tiÆt"}</definedName>
    <definedName name="_BA2" localSheetId="5" hidden="1">{"'Sheet1'!$L$16"}</definedName>
    <definedName name="_BA2" hidden="1">{"'Sheet1'!$L$16"}</definedName>
    <definedName name="_bdm.0352AD5BC8974483AD8F758D81559C4B.edm" localSheetId="5" hidden="1">#REF!</definedName>
    <definedName name="_bdm.0352AD5BC8974483AD8F758D81559C4B.edm" localSheetId="4" hidden="1">#REF!</definedName>
    <definedName name="_bdm.0352AD5BC8974483AD8F758D81559C4B.edm" hidden="1">#REF!</definedName>
    <definedName name="_bdm.0BE42A9121A34DE0AF764B7834BA886D.edm" localSheetId="5" hidden="1">#REF!</definedName>
    <definedName name="_bdm.0BE42A9121A34DE0AF764B7834BA886D.edm" localSheetId="4" hidden="1">#REF!</definedName>
    <definedName name="_bdm.0BE42A9121A34DE0AF764B7834BA886D.edm" hidden="1">#REF!</definedName>
    <definedName name="_bdm.209F0E9536F5414ABE5B892B1B56C529.edm" localSheetId="5" hidden="1">#REF!</definedName>
    <definedName name="_bdm.209F0E9536F5414ABE5B892B1B56C529.edm" localSheetId="4" hidden="1">#REF!</definedName>
    <definedName name="_bdm.209F0E9536F5414ABE5B892B1B56C529.edm" hidden="1">#REF!</definedName>
    <definedName name="_bdm.45E597CDB27D4A5FBA9CE5456C380287.edm" localSheetId="5" hidden="1">#REF!</definedName>
    <definedName name="_bdm.45E597CDB27D4A5FBA9CE5456C380287.edm" localSheetId="4" hidden="1">#REF!</definedName>
    <definedName name="_bdm.45E597CDB27D4A5FBA9CE5456C380287.edm" hidden="1">#REF!</definedName>
    <definedName name="_bdm.48EC97D14FAC42A2B99E4822C97DC841.edm" localSheetId="5" hidden="1">#REF!</definedName>
    <definedName name="_bdm.48EC97D14FAC42A2B99E4822C97DC841.edm" localSheetId="4" hidden="1">#REF!</definedName>
    <definedName name="_bdm.48EC97D14FAC42A2B99E4822C97DC841.edm" hidden="1">#REF!</definedName>
    <definedName name="_bdm.5010A66FDA1D4A5C89B061EBD267E018.edm" localSheetId="5" hidden="1">#REF!</definedName>
    <definedName name="_bdm.5010A66FDA1D4A5C89B061EBD267E018.edm" localSheetId="4" hidden="1">#REF!</definedName>
    <definedName name="_bdm.5010A66FDA1D4A5C89B061EBD267E018.edm" hidden="1">#REF!</definedName>
    <definedName name="_bdm.52618411990543B6AE6F19B857D55497.edm" localSheetId="5" hidden="1">#REF!</definedName>
    <definedName name="_bdm.52618411990543B6AE6F19B857D55497.edm" localSheetId="4" hidden="1">#REF!</definedName>
    <definedName name="_bdm.52618411990543B6AE6F19B857D55497.edm" hidden="1">#REF!</definedName>
    <definedName name="_bdm.610AF287726E41BC8DAEECC0FD9475E5.edm" localSheetId="5" hidden="1">#REF!</definedName>
    <definedName name="_bdm.610AF287726E41BC8DAEECC0FD9475E5.edm" localSheetId="4" hidden="1">#REF!</definedName>
    <definedName name="_bdm.610AF287726E41BC8DAEECC0FD9475E5.edm" hidden="1">#REF!</definedName>
    <definedName name="_bdm.65E3A508ACE44FF2921CAA7350998681.edm" localSheetId="5" hidden="1">#REF!</definedName>
    <definedName name="_bdm.65E3A508ACE44FF2921CAA7350998681.edm" localSheetId="4" hidden="1">#REF!</definedName>
    <definedName name="_bdm.65E3A508ACE44FF2921CAA7350998681.edm" hidden="1">#REF!</definedName>
    <definedName name="_bdm.7C6426C1081C4B62AC192299F915DB1D.edm" localSheetId="5" hidden="1">#REF!</definedName>
    <definedName name="_bdm.7C6426C1081C4B62AC192299F915DB1D.edm" localSheetId="4" hidden="1">#REF!</definedName>
    <definedName name="_bdm.7C6426C1081C4B62AC192299F915DB1D.edm" hidden="1">#REF!</definedName>
    <definedName name="_bdm.810D9907712147CCB68C743A02D482F7.edm" localSheetId="5" hidden="1">#REF!</definedName>
    <definedName name="_bdm.810D9907712147CCB68C743A02D482F7.edm" localSheetId="4" hidden="1">#REF!</definedName>
    <definedName name="_bdm.810D9907712147CCB68C743A02D482F7.edm" hidden="1">#REF!</definedName>
    <definedName name="_bdm.8633481907C249E58E7B95159C3E558C.edm" localSheetId="5" hidden="1">#REF!</definedName>
    <definedName name="_bdm.8633481907C249E58E7B95159C3E558C.edm" localSheetId="4" hidden="1">#REF!</definedName>
    <definedName name="_bdm.8633481907C249E58E7B95159C3E558C.edm" hidden="1">#REF!</definedName>
    <definedName name="_bdm.93475E69206A4A71892E4C3FCA2D5D20.edm" localSheetId="5" hidden="1">#REF!</definedName>
    <definedName name="_bdm.93475E69206A4A71892E4C3FCA2D5D20.edm" localSheetId="4" hidden="1">#REF!</definedName>
    <definedName name="_bdm.93475E69206A4A71892E4C3FCA2D5D20.edm" hidden="1">#REF!</definedName>
    <definedName name="_bdm.BC73C1315733463ABA8F35CF36E670D2.edm" localSheetId="5" hidden="1">#REF!</definedName>
    <definedName name="_bdm.BC73C1315733463ABA8F35CF36E670D2.edm" localSheetId="4" hidden="1">#REF!</definedName>
    <definedName name="_bdm.BC73C1315733463ABA8F35CF36E670D2.edm" hidden="1">#REF!</definedName>
    <definedName name="_bdm.CAF676A2885E4D7F828214173307C888.edm" localSheetId="5" hidden="1">#REF!</definedName>
    <definedName name="_bdm.CAF676A2885E4D7F828214173307C888.edm" localSheetId="4" hidden="1">#REF!</definedName>
    <definedName name="_bdm.CAF676A2885E4D7F828214173307C888.edm" hidden="1">#REF!</definedName>
    <definedName name="_bdm.D943C822FB584D06891BAE17B2AC4204.edm" localSheetId="5" hidden="1">#REF!</definedName>
    <definedName name="_bdm.D943C822FB584D06891BAE17B2AC4204.edm" localSheetId="4" hidden="1">#REF!</definedName>
    <definedName name="_bdm.D943C822FB584D06891BAE17B2AC4204.edm" hidden="1">#REF!</definedName>
    <definedName name="_bdm.E7D4F600AEB946A6B094878EBFE48A39.edm" localSheetId="5" hidden="1">#REF!</definedName>
    <definedName name="_bdm.E7D4F600AEB946A6B094878EBFE48A39.edm" localSheetId="4" hidden="1">#REF!</definedName>
    <definedName name="_bdm.E7D4F600AEB946A6B094878EBFE48A39.edm" hidden="1">#REF!</definedName>
    <definedName name="_bdm.E9ECFCD50849415181B38A11E4A91DA5.edm" localSheetId="5" hidden="1">#REF!</definedName>
    <definedName name="_bdm.E9ECFCD50849415181B38A11E4A91DA5.edm" localSheetId="4" hidden="1">#REF!</definedName>
    <definedName name="_bdm.E9ECFCD50849415181B38A11E4A91DA5.edm" hidden="1">#REF!</definedName>
    <definedName name="_bdm.EA31AAC4224A49E08E71DB4B4EB2944E.edm" localSheetId="5" hidden="1">#REF!</definedName>
    <definedName name="_bdm.EA31AAC4224A49E08E71DB4B4EB2944E.edm" localSheetId="4" hidden="1">#REF!</definedName>
    <definedName name="_bdm.EA31AAC4224A49E08E71DB4B4EB2944E.edm" hidden="1">#REF!</definedName>
    <definedName name="_bdm.F4DFCF610F804F0EBC635163893E69C5.edm" localSheetId="5" hidden="1">#REF!</definedName>
    <definedName name="_bdm.F4DFCF610F804F0EBC635163893E69C5.edm" localSheetId="4" hidden="1">#REF!</definedName>
    <definedName name="_bdm.F4DFCF610F804F0EBC635163893E69C5.edm" hidden="1">#REF!</definedName>
    <definedName name="_bdm.FD064865F2C947EB9DE0109ABA7109FF.edm" localSheetId="5" hidden="1">#REF!</definedName>
    <definedName name="_bdm.FD064865F2C947EB9DE0109ABA7109FF.edm" localSheetId="4" hidden="1">#REF!</definedName>
    <definedName name="_bdm.FD064865F2C947EB9DE0109ABA7109FF.edm" hidden="1">#REF!</definedName>
    <definedName name="_bdm.tmp.edm" localSheetId="5" hidden="1">#REF!</definedName>
    <definedName name="_bdm.tmp.edm" localSheetId="4" hidden="1">#REF!</definedName>
    <definedName name="_bdm.tmp.edm" hidden="1">#REF!</definedName>
    <definedName name="_BEx2231" localSheetId="5" hidden="1">Stat Key #REF!</definedName>
    <definedName name="_BEx2231" localSheetId="4" hidden="1">Stat Key #REF!</definedName>
    <definedName name="_BEx2231" hidden="1">Stat Key #REF!</definedName>
    <definedName name="_Bm2" localSheetId="5" hidden="1">{"'Sheet1'!$L$16"}</definedName>
    <definedName name="_Bm2" hidden="1">{"'Sheet1'!$L$16"}</definedName>
    <definedName name="_BQ22" localSheetId="5" hidden="1">{"'Sheet1'!$L$16"}</definedName>
    <definedName name="_BQ22" hidden="1">{"'Sheet1'!$L$16"}</definedName>
    <definedName name="_Builtin0" localSheetId="5" hidden="1">#REF!</definedName>
    <definedName name="_Builtin0" localSheetId="4" hidden="1">#REF!</definedName>
    <definedName name="_Builtin0" hidden="1">#REF!</definedName>
    <definedName name="_Builtin155" hidden="1">#N/A</definedName>
    <definedName name="_cad2" localSheetId="5" hidden="1">{#N/A,#N/A,TRUE,"BT M200 da 10x20"}</definedName>
    <definedName name="_cad2" hidden="1">{#N/A,#N/A,TRUE,"BT M200 da 10x20"}</definedName>
    <definedName name="_CD2" localSheetId="5" hidden="1">{"'Sheet1'!$L$16"}</definedName>
    <definedName name="_CD2" hidden="1">{"'Sheet1'!$L$16"}</definedName>
    <definedName name="_CLA2" localSheetId="5" hidden="1">{#N/A,#N/A,FALSE,"Sheet1"}</definedName>
    <definedName name="_CLA2" hidden="1">{#N/A,#N/A,FALSE,"Sheet1"}</definedName>
    <definedName name="_CLA22" localSheetId="5" hidden="1">{#N/A,#N/A,FALSE,"Sheet1"}</definedName>
    <definedName name="_CLA22" hidden="1">{#N/A,#N/A,FALSE,"Sheet1"}</definedName>
    <definedName name="_CN1" localSheetId="5" hidden="1">{"'Sheet1'!$L$16"}</definedName>
    <definedName name="_CN1" hidden="1">{"'Sheet1'!$L$16"}</definedName>
    <definedName name="_D1112" localSheetId="5" hidden="1">{"'照明目录'!$A$1:$H$31"}</definedName>
    <definedName name="_D1112" hidden="1">{"'照明目录'!$A$1:$H$31"}</definedName>
    <definedName name="_d1500" localSheetId="5" hidden="1">{"'Sheet1'!$L$16"}</definedName>
    <definedName name="_d1500" hidden="1">{"'Sheet1'!$L$16"}</definedName>
    <definedName name="_Dist_Values" localSheetId="5" hidden="1">#REF!</definedName>
    <definedName name="_Dist_Values" localSheetId="4" hidden="1">#REF!</definedName>
    <definedName name="_Dist_Values" hidden="1">#REF!</definedName>
    <definedName name="_e1" localSheetId="5" hidden="1">{"'Sheet1'!$L$16"}</definedName>
    <definedName name="_e1" hidden="1">{"'Sheet1'!$L$16"}</definedName>
    <definedName name="_e2" localSheetId="5" hidden="1">{"'Sheet1'!$L$16"}</definedName>
    <definedName name="_e2" hidden="1">{"'Sheet1'!$L$16"}</definedName>
    <definedName name="_e4" localSheetId="5" hidden="1">{"'Sheet1'!$L$16"}</definedName>
    <definedName name="_e4" hidden="1">{"'Sheet1'!$L$16"}</definedName>
    <definedName name="_e5" localSheetId="5" hidden="1">{"'Sheet1'!$L$16"}</definedName>
    <definedName name="_e5" hidden="1">{"'Sheet1'!$L$16"}</definedName>
    <definedName name="_e6" localSheetId="5" hidden="1">{"'Sheet1'!$L$16"}</definedName>
    <definedName name="_e6" hidden="1">{"'Sheet1'!$L$16"}</definedName>
    <definedName name="_e7" localSheetId="5" hidden="1">{"'Sheet1'!$L$16"}</definedName>
    <definedName name="_e7" hidden="1">{"'Sheet1'!$L$16"}</definedName>
    <definedName name="_e8" localSheetId="5" hidden="1">{#N/A,#N/A,FALSE,"Chi tiÆt"}</definedName>
    <definedName name="_e8" hidden="1">{#N/A,#N/A,FALSE,"Chi tiÆt"}</definedName>
    <definedName name="_EA1116" localSheetId="5" hidden="1">{"'照明目录'!$A$1:$H$31"}</definedName>
    <definedName name="_EA1116" hidden="1">{"'照明目录'!$A$1:$H$31"}</definedName>
    <definedName name="_Es1" localSheetId="5" hidden="1">#REF!</definedName>
    <definedName name="_Es1" localSheetId="4" hidden="1">#REF!</definedName>
    <definedName name="_Es1" hidden="1">#REF!</definedName>
    <definedName name="_F1" localSheetId="5" hidden="1">{"'Sheet1'!$L$16"}</definedName>
    <definedName name="_F1" hidden="1">{"'Sheet1'!$L$16"}</definedName>
    <definedName name="_f2" localSheetId="5" hidden="1">{"'Sheet1'!$L$16"}</definedName>
    <definedName name="_f2" hidden="1">{"'Sheet1'!$L$16"}</definedName>
    <definedName name="_f3" localSheetId="5" hidden="1">{"'Sheet1'!$L$16"}</definedName>
    <definedName name="_f3" hidden="1">{"'Sheet1'!$L$16"}</definedName>
    <definedName name="_f4" localSheetId="5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5" localSheetId="5" hidden="1">{"'Sheet1'!$L$16"}</definedName>
    <definedName name="_f5" hidden="1">{"'Sheet1'!$L$16"}</definedName>
    <definedName name="_f6" localSheetId="5" hidden="1">{"'Sheet1'!$L$16"}</definedName>
    <definedName name="_f6" hidden="1">{"'Sheet1'!$L$16"}</definedName>
    <definedName name="_f7" localSheetId="5" hidden="1">{"'Sheet1'!$L$16"}</definedName>
    <definedName name="_f7" hidden="1">{"'Sheet1'!$L$16"}</definedName>
    <definedName name="_f8" localSheetId="5" hidden="1">{#N/A,#N/A,FALSE,"Chi tiÆt"}</definedName>
    <definedName name="_f8" hidden="1">{#N/A,#N/A,FALSE,"Chi tiÆt"}</definedName>
    <definedName name="_f9" localSheetId="5" hidden="1">{#N/A,#N/A,FALSE,"Chi tiÆt"}</definedName>
    <definedName name="_f9" hidden="1">{#N/A,#N/A,FALSE,"Chi tiÆt"}</definedName>
    <definedName name="_fd4" localSheetId="5" hidden="1">#REF!</definedName>
    <definedName name="_fd4" localSheetId="4" hidden="1">#REF!</definedName>
    <definedName name="_fd4" hidden="1">#REF!</definedName>
    <definedName name="_fgh1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localSheetId="5" hidden="1">#REF!</definedName>
    <definedName name="_Fil" localSheetId="4" hidden="1">#REF!</definedName>
    <definedName name="_Fil" hidden="1">#REF!</definedName>
    <definedName name="_Fill" localSheetId="5" hidden="1">[2]detail!#REF!</definedName>
    <definedName name="_Fill" localSheetId="4" hidden="1">[2]detail!#REF!</definedName>
    <definedName name="_Fill" hidden="1">[2]detail!#REF!</definedName>
    <definedName name="_Fill1" localSheetId="5" hidden="1">#REF!</definedName>
    <definedName name="_Fill1" localSheetId="4" hidden="1">#REF!</definedName>
    <definedName name="_Fill1" hidden="1">#REF!</definedName>
    <definedName name="_xlnm._FilterDatabase" localSheetId="5" hidden="1">#REF!</definedName>
    <definedName name="_xlnm._FilterDatabase" localSheetId="4" hidden="1">#REF!</definedName>
    <definedName name="_xlnm._FilterDatabase" hidden="1">#REF!</definedName>
    <definedName name="_FOH2006" localSheetId="5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B01" localSheetId="5" hidden="1">{"'Sheet1'!$L$16"}</definedName>
    <definedName name="_GB01" hidden="1">{"'Sheet1'!$L$16"}</definedName>
    <definedName name="_gdh1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localSheetId="5" hidden="1">{"'Sheet1'!$L$16"}</definedName>
    <definedName name="_gg1" hidden="1">{"'Sheet1'!$L$16"}</definedName>
    <definedName name="_gg1_1" localSheetId="5" hidden="1">{"'Sheet1'!$L$16"}</definedName>
    <definedName name="_gg1_1" hidden="1">{"'Sheet1'!$L$16"}</definedName>
    <definedName name="_gg1_1_1" localSheetId="5" hidden="1">{"'Sheet1'!$L$16"}</definedName>
    <definedName name="_gg1_1_1" hidden="1">{"'Sheet1'!$L$16"}</definedName>
    <definedName name="_gg1_1_1_1" localSheetId="5" hidden="1">{"'Sheet1'!$L$16"}</definedName>
    <definedName name="_gg1_1_1_1" hidden="1">{"'Sheet1'!$L$16"}</definedName>
    <definedName name="_gg1_1_1_2" localSheetId="5" hidden="1">{"'Sheet1'!$L$16"}</definedName>
    <definedName name="_gg1_1_1_2" hidden="1">{"'Sheet1'!$L$16"}</definedName>
    <definedName name="_gg1_1_2" localSheetId="5" hidden="1">{"'Sheet1'!$L$16"}</definedName>
    <definedName name="_gg1_1_2" hidden="1">{"'Sheet1'!$L$16"}</definedName>
    <definedName name="_gg1_1_3" localSheetId="5" hidden="1">{"'Sheet1'!$L$16"}</definedName>
    <definedName name="_gg1_1_3" hidden="1">{"'Sheet1'!$L$16"}</definedName>
    <definedName name="_gg1_2" localSheetId="5" hidden="1">{"'Sheet1'!$L$16"}</definedName>
    <definedName name="_gg1_2" hidden="1">{"'Sheet1'!$L$16"}</definedName>
    <definedName name="_gg1_2_1" localSheetId="5" hidden="1">{"'Sheet1'!$L$16"}</definedName>
    <definedName name="_gg1_2_1" hidden="1">{"'Sheet1'!$L$16"}</definedName>
    <definedName name="_gg1_2_2" localSheetId="5" hidden="1">{"'Sheet1'!$L$16"}</definedName>
    <definedName name="_gg1_2_2" hidden="1">{"'Sheet1'!$L$16"}</definedName>
    <definedName name="_gg1_3" localSheetId="5" hidden="1">{"'Sheet1'!$L$16"}</definedName>
    <definedName name="_gg1_3" hidden="1">{"'Sheet1'!$L$16"}</definedName>
    <definedName name="_gg1_4" localSheetId="5" hidden="1">{"'Sheet1'!$L$16"}</definedName>
    <definedName name="_gg1_4" hidden="1">{"'Sheet1'!$L$16"}</definedName>
    <definedName name="_GL635" localSheetId="5" hidden="1">{"'Sheet1'!$L$16"}</definedName>
    <definedName name="_GL635" hidden="1">{"'Sheet1'!$L$16"}</definedName>
    <definedName name="_Goi8" localSheetId="5" hidden="1">{"'Sheet1'!$L$16"}</definedName>
    <definedName name="_Goi8" hidden="1">{"'Sheet1'!$L$16"}</definedName>
    <definedName name="_gw04" localSheetId="5" hidden="1">{#N/A,#N/A,FALSE,"Aging Summary";#N/A,#N/A,FALSE,"Ratio Analysis";#N/A,#N/A,FALSE,"Test 120 Day Accts";#N/A,#N/A,FALSE,"Tickmarks"}</definedName>
    <definedName name="_gw04" hidden="1">{#N/A,#N/A,FALSE,"Aging Summary";#N/A,#N/A,FALSE,"Ratio Analysis";#N/A,#N/A,FALSE,"Test 120 Day Accts";#N/A,#N/A,FALSE,"Tickmarks"}</definedName>
    <definedName name="_h1" localSheetId="5" hidden="1">{"'TDTGT (theo Dphuong)'!$A$4:$F$75"}</definedName>
    <definedName name="_h1" hidden="1">{"'TDTGT (theo Dphuong)'!$A$4:$F$75"}</definedName>
    <definedName name="_h1_1" localSheetId="5" hidden="1">{"'Sheet1'!$L$16"}</definedName>
    <definedName name="_h1_1" hidden="1">{"'Sheet1'!$L$16"}</definedName>
    <definedName name="_h1_1_1" localSheetId="5" hidden="1">{"'Sheet1'!$L$16"}</definedName>
    <definedName name="_h1_1_1" hidden="1">{"'Sheet1'!$L$16"}</definedName>
    <definedName name="_h1_1_1_1" localSheetId="5" hidden="1">{"'Sheet1'!$L$16"}</definedName>
    <definedName name="_h1_1_1_1" hidden="1">{"'Sheet1'!$L$16"}</definedName>
    <definedName name="_h1_1_1_2" localSheetId="5" hidden="1">{"'Sheet1'!$L$16"}</definedName>
    <definedName name="_h1_1_1_2" hidden="1">{"'Sheet1'!$L$16"}</definedName>
    <definedName name="_h1_1_2" localSheetId="5" hidden="1">{"'Sheet1'!$L$16"}</definedName>
    <definedName name="_h1_1_2" hidden="1">{"'Sheet1'!$L$16"}</definedName>
    <definedName name="_h1_1_3" localSheetId="5" hidden="1">{"'Sheet1'!$L$16"}</definedName>
    <definedName name="_h1_1_3" hidden="1">{"'Sheet1'!$L$16"}</definedName>
    <definedName name="_h1_2" localSheetId="5" hidden="1">{"'Sheet1'!$L$16"}</definedName>
    <definedName name="_h1_2" hidden="1">{"'Sheet1'!$L$16"}</definedName>
    <definedName name="_h1_2_1" localSheetId="5" hidden="1">{"'Sheet1'!$L$16"}</definedName>
    <definedName name="_h1_2_1" hidden="1">{"'Sheet1'!$L$16"}</definedName>
    <definedName name="_h1_2_2" localSheetId="5" hidden="1">{"'Sheet1'!$L$16"}</definedName>
    <definedName name="_h1_2_2" hidden="1">{"'Sheet1'!$L$16"}</definedName>
    <definedName name="_h1_3" localSheetId="5" hidden="1">{"'Sheet1'!$L$16"}</definedName>
    <definedName name="_h1_3" hidden="1">{"'Sheet1'!$L$16"}</definedName>
    <definedName name="_h1_4" localSheetId="5" hidden="1">{"'Sheet1'!$L$16"}</definedName>
    <definedName name="_h1_4" hidden="1">{"'Sheet1'!$L$16"}</definedName>
    <definedName name="_h2" localSheetId="5" hidden="1">{"'Sheet1'!$L$16"}</definedName>
    <definedName name="_h2" hidden="1">{"'Sheet1'!$L$16"}</definedName>
    <definedName name="_h2_1" localSheetId="5" hidden="1">{"'Sheet1'!$L$16"}</definedName>
    <definedName name="_h2_1" hidden="1">{"'Sheet1'!$L$16"}</definedName>
    <definedName name="_h2_1_1" localSheetId="5" hidden="1">{"'Sheet1'!$L$16"}</definedName>
    <definedName name="_h2_1_1" hidden="1">{"'Sheet1'!$L$16"}</definedName>
    <definedName name="_h2_1_1_1" localSheetId="5" hidden="1">{"'Sheet1'!$L$16"}</definedName>
    <definedName name="_h2_1_1_1" hidden="1">{"'Sheet1'!$L$16"}</definedName>
    <definedName name="_h2_1_1_2" localSheetId="5" hidden="1">{"'Sheet1'!$L$16"}</definedName>
    <definedName name="_h2_1_1_2" hidden="1">{"'Sheet1'!$L$16"}</definedName>
    <definedName name="_h2_1_2" localSheetId="5" hidden="1">{"'Sheet1'!$L$16"}</definedName>
    <definedName name="_h2_1_2" hidden="1">{"'Sheet1'!$L$16"}</definedName>
    <definedName name="_h2_1_3" localSheetId="5" hidden="1">{"'Sheet1'!$L$16"}</definedName>
    <definedName name="_h2_1_3" hidden="1">{"'Sheet1'!$L$16"}</definedName>
    <definedName name="_h2_2" localSheetId="5" hidden="1">{"'Sheet1'!$L$16"}</definedName>
    <definedName name="_h2_2" hidden="1">{"'Sheet1'!$L$16"}</definedName>
    <definedName name="_h2_2_1" localSheetId="5" hidden="1">{"'Sheet1'!$L$16"}</definedName>
    <definedName name="_h2_2_1" hidden="1">{"'Sheet1'!$L$16"}</definedName>
    <definedName name="_h2_2_2" localSheetId="5" hidden="1">{"'Sheet1'!$L$16"}</definedName>
    <definedName name="_h2_2_2" hidden="1">{"'Sheet1'!$L$16"}</definedName>
    <definedName name="_h2_3" localSheetId="5" hidden="1">{"'Sheet1'!$L$16"}</definedName>
    <definedName name="_h2_3" hidden="1">{"'Sheet1'!$L$16"}</definedName>
    <definedName name="_h2_4" localSheetId="5" hidden="1">{"'Sheet1'!$L$16"}</definedName>
    <definedName name="_h2_4" hidden="1">{"'Sheet1'!$L$16"}</definedName>
    <definedName name="_huy1" localSheetId="5" hidden="1">{"'Sheet1'!$L$16"}</definedName>
    <definedName name="_huy1" hidden="1">{"'Sheet1'!$L$16"}</definedName>
    <definedName name="_huy1_1" localSheetId="5" hidden="1">{"'Sheet1'!$L$16"}</definedName>
    <definedName name="_huy1_1" hidden="1">{"'Sheet1'!$L$16"}</definedName>
    <definedName name="_huy1_1_1" localSheetId="5" hidden="1">{"'Sheet1'!$L$16"}</definedName>
    <definedName name="_huy1_1_1" hidden="1">{"'Sheet1'!$L$16"}</definedName>
    <definedName name="_huy1_1_1_1" localSheetId="5" hidden="1">{"'Sheet1'!$L$16"}</definedName>
    <definedName name="_huy1_1_1_1" hidden="1">{"'Sheet1'!$L$16"}</definedName>
    <definedName name="_huy1_1_1_2" localSheetId="5" hidden="1">{"'Sheet1'!$L$16"}</definedName>
    <definedName name="_huy1_1_1_2" hidden="1">{"'Sheet1'!$L$16"}</definedName>
    <definedName name="_huy1_1_2" localSheetId="5" hidden="1">{"'Sheet1'!$L$16"}</definedName>
    <definedName name="_huy1_1_2" hidden="1">{"'Sheet1'!$L$16"}</definedName>
    <definedName name="_huy1_1_3" localSheetId="5" hidden="1">{"'Sheet1'!$L$16"}</definedName>
    <definedName name="_huy1_1_3" hidden="1">{"'Sheet1'!$L$16"}</definedName>
    <definedName name="_huy1_2" localSheetId="5" hidden="1">{"'Sheet1'!$L$16"}</definedName>
    <definedName name="_huy1_2" hidden="1">{"'Sheet1'!$L$16"}</definedName>
    <definedName name="_huy1_2_1" localSheetId="5" hidden="1">{"'Sheet1'!$L$16"}</definedName>
    <definedName name="_huy1_2_1" hidden="1">{"'Sheet1'!$L$16"}</definedName>
    <definedName name="_huy1_2_2" localSheetId="5" hidden="1">{"'Sheet1'!$L$16"}</definedName>
    <definedName name="_huy1_2_2" hidden="1">{"'Sheet1'!$L$16"}</definedName>
    <definedName name="_huy1_3" localSheetId="5" hidden="1">{"'Sheet1'!$L$16"}</definedName>
    <definedName name="_huy1_3" hidden="1">{"'Sheet1'!$L$16"}</definedName>
    <definedName name="_huy1_4" localSheetId="5" hidden="1">{"'Sheet1'!$L$16"}</definedName>
    <definedName name="_huy1_4" hidden="1">{"'Sheet1'!$L$16"}</definedName>
    <definedName name="_HUY5" localSheetId="5" hidden="1">{"'Sheet1'!$L$16"}</definedName>
    <definedName name="_HUY5" hidden="1">{"'Sheet1'!$L$16"}</definedName>
    <definedName name="_KA1" localSheetId="5" hidden="1">{#N/A,#N/A,FALSE,"Sheet1"}</definedName>
    <definedName name="_KA1" hidden="1">{#N/A,#N/A,FALSE,"Sheet1"}</definedName>
    <definedName name="_Key1" localSheetId="5" hidden="1">[3]PLANBS3!#REF!</definedName>
    <definedName name="_Key1" localSheetId="4" hidden="1">[3]PLANBS3!#REF!</definedName>
    <definedName name="_Key1" hidden="1">[3]PLANBS3!#REF!</definedName>
    <definedName name="_Key1.1" localSheetId="5" hidden="1">#REF!</definedName>
    <definedName name="_Key1.1" localSheetId="4" hidden="1">#REF!</definedName>
    <definedName name="_Key1.1" hidden="1">#REF!</definedName>
    <definedName name="_Key1.2" localSheetId="5" hidden="1">#REF!</definedName>
    <definedName name="_Key1.2" localSheetId="4" hidden="1">#REF!</definedName>
    <definedName name="_Key1.2" hidden="1">#REF!</definedName>
    <definedName name="_Key1.3" localSheetId="5" hidden="1">#REF!</definedName>
    <definedName name="_Key1.3" localSheetId="4" hidden="1">#REF!</definedName>
    <definedName name="_Key1.3" hidden="1">#REF!</definedName>
    <definedName name="_kEY11" localSheetId="5" hidden="1">#REF!</definedName>
    <definedName name="_kEY11" localSheetId="4" hidden="1">#REF!</definedName>
    <definedName name="_kEY11" hidden="1">#REF!</definedName>
    <definedName name="_Key2" localSheetId="5" hidden="1">[3]PLANBS3!#REF!</definedName>
    <definedName name="_Key2" localSheetId="4" hidden="1">[3]PLANBS3!#REF!</definedName>
    <definedName name="_Key2" hidden="1">[3]PLANBS3!#REF!</definedName>
    <definedName name="_key3" localSheetId="5" hidden="1">#REF!</definedName>
    <definedName name="_key3" localSheetId="4" hidden="1">#REF!</definedName>
    <definedName name="_key3" hidden="1">#REF!</definedName>
    <definedName name="_Key4" localSheetId="5" hidden="1">#REF!</definedName>
    <definedName name="_Key4" localSheetId="4" hidden="1">#REF!</definedName>
    <definedName name="_Key4" hidden="1">#REF!</definedName>
    <definedName name="_KP300" localSheetId="5" hidden="1">{"level1",#N/A,FALSE,"1_LEV";"LEVEL1",#N/A,FALSE,"1_LEV"}</definedName>
    <definedName name="_KP300" hidden="1">{"level1",#N/A,FALSE,"1_LEV";"LEVEL1",#N/A,FALSE,"1_LEV"}</definedName>
    <definedName name="_lan1" localSheetId="5" hidden="1">{#N/A,#N/A,TRUE,"BT M200 da 10x20"}</definedName>
    <definedName name="_lan1" hidden="1">{#N/A,#N/A,TRUE,"BT M200 da 10x20"}</definedName>
    <definedName name="_LAN3" localSheetId="5" hidden="1">{"'Sheet1'!$L$16"}</definedName>
    <definedName name="_LAN3" hidden="1">{"'Sheet1'!$L$16"}</definedName>
    <definedName name="_m1" hidden="1">#N/A</definedName>
    <definedName name="_M10" localSheetId="5" hidden="1">{"'Sheet1'!$L$16"}</definedName>
    <definedName name="_M10" hidden="1">{"'Sheet1'!$L$16"}</definedName>
    <definedName name="_M2" localSheetId="5" hidden="1">{"'Sheet1'!$L$16"}</definedName>
    <definedName name="_M2" hidden="1">{"'Sheet1'!$L$16"}</definedName>
    <definedName name="_mar03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localSheetId="5" hidden="1">#REF!</definedName>
    <definedName name="_MatInverse_In" localSheetId="4" hidden="1">#REF!</definedName>
    <definedName name="_MatInverse_In" hidden="1">#REF!</definedName>
    <definedName name="_MER1" localSheetId="5" hidden="1">{"'Sheet1'!$L$16"}</definedName>
    <definedName name="_MER1" hidden="1">{"'Sheet1'!$L$16"}</definedName>
    <definedName name="_n1" localSheetId="5" hidden="1">{#N/A,#N/A,FALSE,"RECONC'L";#N/A,#N/A,FALSE,"WORKCAP";#N/A,#N/A,FALSE,"RECONC'L";#N/A,#N/A,FALSE,"ACCRUAL";#N/A,#N/A,FALSE,"DEBTOR";#N/A,#N/A,FALSE,"ADMALLOC"}</definedName>
    <definedName name="_n1" hidden="1">{#N/A,#N/A,FALSE,"RECONC'L";#N/A,#N/A,FALSE,"WORKCAP";#N/A,#N/A,FALSE,"RECONC'L";#N/A,#N/A,FALSE,"ACCRUAL";#N/A,#N/A,FALSE,"DEBTOR";#N/A,#N/A,FALSE,"ADMALLOC"}</definedName>
    <definedName name="_N4" localSheetId="5" hidden="1">{#N/A,#N/A,FALSE,"Sheet1"}</definedName>
    <definedName name="_N4" hidden="1">{#N/A,#N/A,FALSE,"Sheet1"}</definedName>
    <definedName name="_nat2" localSheetId="5" hidden="1">{#N/A,#N/A,FALSE,"Assessment";#N/A,#N/A,FALSE,"Staffing";#N/A,#N/A,FALSE,"Hires";#N/A,#N/A,FALSE,"Assumptions"}</definedName>
    <definedName name="_nat2" hidden="1">{#N/A,#N/A,FALSE,"Assessment";#N/A,#N/A,FALSE,"Staffing";#N/A,#N/A,FALSE,"Hires";#N/A,#N/A,FALSE,"Assumptions"}</definedName>
    <definedName name="_nat3" localSheetId="5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localSheetId="5" hidden="1">{#N/A,#N/A,FALSE,"Gesamt";#N/A,#N/A,FALSE,"Ree KG";#N/A,#N/A,FALSE,"Ree Inter";#N/A,#N/A,FALSE,"BTM";#N/A,#N/A,FALSE,"GmbH";#N/A,#N/A,FALSE,"Sonstige"}</definedName>
    <definedName name="_new1" hidden="1">{#N/A,#N/A,FALSE,"Gesamt";#N/A,#N/A,FALSE,"Ree KG";#N/A,#N/A,FALSE,"Ree Inter";#N/A,#N/A,FALSE,"BTM";#N/A,#N/A,FALSE,"GmbH";#N/A,#N/A,FALSE,"Sonstige"}</definedName>
    <definedName name="_new2" localSheetId="5" hidden="1">{"'Sheet1'!$L$16"}</definedName>
    <definedName name="_new2" hidden="1">{"'Sheet1'!$L$16"}</definedName>
    <definedName name="_new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localSheetId="5" hidden="1">{"'Sheet1'!$L$16"}</definedName>
    <definedName name="_NGA04" hidden="1">{"'Sheet1'!$L$16"}</definedName>
    <definedName name="_NS02" localSheetId="5" hidden="1">{"'Sheet1'!$L$16"}</definedName>
    <definedName name="_NS02" hidden="1">{"'Sheet1'!$L$16"}</definedName>
    <definedName name="_NS03" localSheetId="5" hidden="1">{"'Sheet1'!$L$16"}</definedName>
    <definedName name="_NS03" hidden="1">{"'Sheet1'!$L$16"}</definedName>
    <definedName name="_NSO2" localSheetId="5" hidden="1">{"'Sheet1'!$L$16"}</definedName>
    <definedName name="_NSO2" hidden="1">{"'Sheet1'!$L$16"}</definedName>
    <definedName name="_NSO2_1" localSheetId="5" hidden="1">{"'Sheet1'!$L$16"}</definedName>
    <definedName name="_NSO2_1" hidden="1">{"'Sheet1'!$L$16"}</definedName>
    <definedName name="_NSO2_1_1" localSheetId="5" hidden="1">{"'Sheet1'!$L$16"}</definedName>
    <definedName name="_NSO2_1_1" hidden="1">{"'Sheet1'!$L$16"}</definedName>
    <definedName name="_NSO2_1_1_1" localSheetId="5" hidden="1">{"'Sheet1'!$L$16"}</definedName>
    <definedName name="_NSO2_1_1_1" hidden="1">{"'Sheet1'!$L$16"}</definedName>
    <definedName name="_NSO2_1_1_1_1" localSheetId="5" hidden="1">{"'Sheet1'!$L$16"}</definedName>
    <definedName name="_NSO2_1_1_1_1" hidden="1">{"'Sheet1'!$L$16"}</definedName>
    <definedName name="_NSO2_1_1_1_1_1" localSheetId="5" hidden="1">{"'Sheet1'!$L$16"}</definedName>
    <definedName name="_NSO2_1_1_1_1_1" hidden="1">{"'Sheet1'!$L$16"}</definedName>
    <definedName name="_NSO2_1_1_1_1_2" localSheetId="5" hidden="1">{"'Sheet1'!$L$16"}</definedName>
    <definedName name="_NSO2_1_1_1_1_2" hidden="1">{"'Sheet1'!$L$16"}</definedName>
    <definedName name="_NSO2_1_1_1_2" localSheetId="5" hidden="1">{"'Sheet1'!$L$16"}</definedName>
    <definedName name="_NSO2_1_1_1_2" hidden="1">{"'Sheet1'!$L$16"}</definedName>
    <definedName name="_NSO2_1_1_1_3" localSheetId="5" hidden="1">{"'Sheet1'!$L$16"}</definedName>
    <definedName name="_NSO2_1_1_1_3" hidden="1">{"'Sheet1'!$L$16"}</definedName>
    <definedName name="_NSO2_1_1_2" localSheetId="5" hidden="1">{"'Sheet1'!$L$16"}</definedName>
    <definedName name="_NSO2_1_1_2" hidden="1">{"'Sheet1'!$L$16"}</definedName>
    <definedName name="_NSO2_1_1_2_1" localSheetId="5" hidden="1">{"'Sheet1'!$L$16"}</definedName>
    <definedName name="_NSO2_1_1_2_1" hidden="1">{"'Sheet1'!$L$16"}</definedName>
    <definedName name="_NSO2_1_1_2_2" localSheetId="5" hidden="1">{"'Sheet1'!$L$16"}</definedName>
    <definedName name="_NSO2_1_1_2_2" hidden="1">{"'Sheet1'!$L$16"}</definedName>
    <definedName name="_NSO2_1_1_3" localSheetId="5" hidden="1">{"'Sheet1'!$L$16"}</definedName>
    <definedName name="_NSO2_1_1_3" hidden="1">{"'Sheet1'!$L$16"}</definedName>
    <definedName name="_NSO2_1_1_3_1" localSheetId="5" hidden="1">{"'Sheet1'!$L$16"}</definedName>
    <definedName name="_NSO2_1_1_3_1" hidden="1">{"'Sheet1'!$L$16"}</definedName>
    <definedName name="_NSO2_1_1_3_2" localSheetId="5" hidden="1">{"'Sheet1'!$L$16"}</definedName>
    <definedName name="_NSO2_1_1_3_2" hidden="1">{"'Sheet1'!$L$16"}</definedName>
    <definedName name="_NSO2_1_1_4" localSheetId="5" hidden="1">{"'Sheet1'!$L$16"}</definedName>
    <definedName name="_NSO2_1_1_4" hidden="1">{"'Sheet1'!$L$16"}</definedName>
    <definedName name="_NSO2_1_1_5" localSheetId="5" hidden="1">{"'Sheet1'!$L$16"}</definedName>
    <definedName name="_NSO2_1_1_5" hidden="1">{"'Sheet1'!$L$16"}</definedName>
    <definedName name="_NSO2_1_2" localSheetId="5" hidden="1">{"'Sheet1'!$L$16"}</definedName>
    <definedName name="_NSO2_1_2" hidden="1">{"'Sheet1'!$L$16"}</definedName>
    <definedName name="_NSO2_1_2_1" localSheetId="5" hidden="1">{"'Sheet1'!$L$16"}</definedName>
    <definedName name="_NSO2_1_2_1" hidden="1">{"'Sheet1'!$L$16"}</definedName>
    <definedName name="_NSO2_1_2_2" localSheetId="5" hidden="1">{"'Sheet1'!$L$16"}</definedName>
    <definedName name="_NSO2_1_2_2" hidden="1">{"'Sheet1'!$L$16"}</definedName>
    <definedName name="_NSO2_1_3" localSheetId="5" hidden="1">{"'Sheet1'!$L$16"}</definedName>
    <definedName name="_NSO2_1_3" hidden="1">{"'Sheet1'!$L$16"}</definedName>
    <definedName name="_NSO2_1_3_1" localSheetId="5" hidden="1">{"'Sheet1'!$L$16"}</definedName>
    <definedName name="_NSO2_1_3_1" hidden="1">{"'Sheet1'!$L$16"}</definedName>
    <definedName name="_NSO2_1_3_2" localSheetId="5" hidden="1">{"'Sheet1'!$L$16"}</definedName>
    <definedName name="_NSO2_1_3_2" hidden="1">{"'Sheet1'!$L$16"}</definedName>
    <definedName name="_NSO2_1_4" localSheetId="5" hidden="1">{"'Sheet1'!$L$16"}</definedName>
    <definedName name="_NSO2_1_4" hidden="1">{"'Sheet1'!$L$16"}</definedName>
    <definedName name="_NSO2_1_5" localSheetId="5" hidden="1">{"'Sheet1'!$L$16"}</definedName>
    <definedName name="_NSO2_1_5" hidden="1">{"'Sheet1'!$L$16"}</definedName>
    <definedName name="_NSO2_2" localSheetId="5" hidden="1">{"'Sheet1'!$L$16"}</definedName>
    <definedName name="_NSO2_2" hidden="1">{"'Sheet1'!$L$16"}</definedName>
    <definedName name="_NSO2_2_1" localSheetId="5" hidden="1">{"'Sheet1'!$L$16"}</definedName>
    <definedName name="_NSO2_2_1" hidden="1">{"'Sheet1'!$L$16"}</definedName>
    <definedName name="_NSO2_2_2" localSheetId="5" hidden="1">{"'Sheet1'!$L$16"}</definedName>
    <definedName name="_NSO2_2_2" hidden="1">{"'Sheet1'!$L$16"}</definedName>
    <definedName name="_NSO2_3" localSheetId="5" hidden="1">{"'Sheet1'!$L$16"}</definedName>
    <definedName name="_NSO2_3" hidden="1">{"'Sheet1'!$L$16"}</definedName>
    <definedName name="_NSO2_3_1" localSheetId="5" hidden="1">{"'Sheet1'!$L$16"}</definedName>
    <definedName name="_NSO2_3_1" hidden="1">{"'Sheet1'!$L$16"}</definedName>
    <definedName name="_NSO2_3_2" localSheetId="5" hidden="1">{"'Sheet1'!$L$16"}</definedName>
    <definedName name="_NSO2_3_2" hidden="1">{"'Sheet1'!$L$16"}</definedName>
    <definedName name="_NSO2_4" localSheetId="5" hidden="1">{"'Sheet1'!$L$16"}</definedName>
    <definedName name="_NSO2_4" hidden="1">{"'Sheet1'!$L$16"}</definedName>
    <definedName name="_NSO2_4_1" localSheetId="5" hidden="1">{"'Sheet1'!$L$16"}</definedName>
    <definedName name="_NSO2_4_1" hidden="1">{"'Sheet1'!$L$16"}</definedName>
    <definedName name="_NSO2_4_2" localSheetId="5" hidden="1">{"'Sheet1'!$L$16"}</definedName>
    <definedName name="_NSO2_4_2" hidden="1">{"'Sheet1'!$L$16"}</definedName>
    <definedName name="_NSO2_5" localSheetId="5" hidden="1">{"'Sheet1'!$L$16"}</definedName>
    <definedName name="_NSO2_5" hidden="1">{"'Sheet1'!$L$16"}</definedName>
    <definedName name="_NSO2_5_1" localSheetId="5" hidden="1">{"'Sheet1'!$L$16"}</definedName>
    <definedName name="_NSO2_5_1" hidden="1">{"'Sheet1'!$L$16"}</definedName>
    <definedName name="_NSO2_5_2" localSheetId="5" hidden="1">{"'Sheet1'!$L$16"}</definedName>
    <definedName name="_NSO2_5_2" hidden="1">{"'Sheet1'!$L$16"}</definedName>
    <definedName name="_NSO3" localSheetId="5" hidden="1">{"'Sheet1'!$L$16"}</definedName>
    <definedName name="_NSO3" hidden="1">{"'Sheet1'!$L$16"}</definedName>
    <definedName name="_nso3_1" localSheetId="5" hidden="1">{"'Sheet1'!$L$16"}</definedName>
    <definedName name="_nso3_1" hidden="1">{"'Sheet1'!$L$16"}</definedName>
    <definedName name="_nso3_1_1" localSheetId="5" hidden="1">{"'Sheet1'!$L$16"}</definedName>
    <definedName name="_nso3_1_1" hidden="1">{"'Sheet1'!$L$16"}</definedName>
    <definedName name="_nso3_1_1_1" localSheetId="5" hidden="1">{"'Sheet1'!$L$16"}</definedName>
    <definedName name="_nso3_1_1_1" hidden="1">{"'Sheet1'!$L$16"}</definedName>
    <definedName name="_nso3_1_1_2" localSheetId="5" hidden="1">{"'Sheet1'!$L$16"}</definedName>
    <definedName name="_nso3_1_1_2" hidden="1">{"'Sheet1'!$L$16"}</definedName>
    <definedName name="_nso3_1_2" localSheetId="5" hidden="1">{"'Sheet1'!$L$16"}</definedName>
    <definedName name="_nso3_1_2" hidden="1">{"'Sheet1'!$L$16"}</definedName>
    <definedName name="_nso3_1_3" localSheetId="5" hidden="1">{"'Sheet1'!$L$16"}</definedName>
    <definedName name="_nso3_1_3" hidden="1">{"'Sheet1'!$L$16"}</definedName>
    <definedName name="_nso3_2" localSheetId="5" hidden="1">{"'Sheet1'!$L$16"}</definedName>
    <definedName name="_nso3_2" hidden="1">{"'Sheet1'!$L$16"}</definedName>
    <definedName name="_nso3_2_1" localSheetId="5" hidden="1">{"'Sheet1'!$L$16"}</definedName>
    <definedName name="_nso3_2_1" hidden="1">{"'Sheet1'!$L$16"}</definedName>
    <definedName name="_nso3_2_2" localSheetId="5" hidden="1">{"'Sheet1'!$L$16"}</definedName>
    <definedName name="_nso3_2_2" hidden="1">{"'Sheet1'!$L$16"}</definedName>
    <definedName name="_nso3_3" localSheetId="5" hidden="1">{"'Sheet1'!$L$16"}</definedName>
    <definedName name="_nso3_3" hidden="1">{"'Sheet1'!$L$16"}</definedName>
    <definedName name="_nso3_4" localSheetId="5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localSheetId="5" hidden="1">{"'Sheet1'!$L$16"}</definedName>
    <definedName name="_PA3" hidden="1">{"'Sheet1'!$L$16"}</definedName>
    <definedName name="_PA3_1" localSheetId="5" hidden="1">{"'Sheet1'!$L$16"}</definedName>
    <definedName name="_PA3_1" hidden="1">{"'Sheet1'!$L$16"}</definedName>
    <definedName name="_PA3_1_1" localSheetId="5" hidden="1">{"'Sheet1'!$L$16"}</definedName>
    <definedName name="_PA3_1_1" hidden="1">{"'Sheet1'!$L$16"}</definedName>
    <definedName name="_PA3_1_1_1" localSheetId="5" hidden="1">{"'Sheet1'!$L$16"}</definedName>
    <definedName name="_PA3_1_1_1" hidden="1">{"'Sheet1'!$L$16"}</definedName>
    <definedName name="_PA3_1_1_2" localSheetId="5" hidden="1">{"'Sheet1'!$L$16"}</definedName>
    <definedName name="_PA3_1_1_2" hidden="1">{"'Sheet1'!$L$16"}</definedName>
    <definedName name="_PA3_1_2" localSheetId="5" hidden="1">{"'Sheet1'!$L$16"}</definedName>
    <definedName name="_PA3_1_2" hidden="1">{"'Sheet1'!$L$16"}</definedName>
    <definedName name="_PA3_1_3" localSheetId="5" hidden="1">{"'Sheet1'!$L$16"}</definedName>
    <definedName name="_PA3_1_3" hidden="1">{"'Sheet1'!$L$16"}</definedName>
    <definedName name="_PA3_2" localSheetId="5" hidden="1">{"'Sheet1'!$L$16"}</definedName>
    <definedName name="_PA3_2" hidden="1">{"'Sheet1'!$L$16"}</definedName>
    <definedName name="_PA3_2_1" localSheetId="5" hidden="1">{"'Sheet1'!$L$16"}</definedName>
    <definedName name="_PA3_2_1" hidden="1">{"'Sheet1'!$L$16"}</definedName>
    <definedName name="_PA3_2_2" localSheetId="5" hidden="1">{"'Sheet1'!$L$16"}</definedName>
    <definedName name="_PA3_2_2" hidden="1">{"'Sheet1'!$L$16"}</definedName>
    <definedName name="_PA3_3" localSheetId="5" hidden="1">{"'Sheet1'!$L$16"}</definedName>
    <definedName name="_PA3_3" hidden="1">{"'Sheet1'!$L$16"}</definedName>
    <definedName name="_PA3_4" localSheetId="5" hidden="1">{"'Sheet1'!$L$16"}</definedName>
    <definedName name="_PA3_4" hidden="1">{"'Sheet1'!$L$16"}</definedName>
    <definedName name="_Parse_In" localSheetId="5" hidden="1">#REF!</definedName>
    <definedName name="_Parse_In" localSheetId="4" hidden="1">#REF!</definedName>
    <definedName name="_Parse_In" hidden="1">#REF!</definedName>
    <definedName name="_Parse_Out" localSheetId="5" hidden="1">[4]total!#REF!</definedName>
    <definedName name="_Parse_Out" localSheetId="4" hidden="1">[4]total!#REF!</definedName>
    <definedName name="_Parse_Out" hidden="1">[4]total!#REF!</definedName>
    <definedName name="_PJB05" localSheetId="5" hidden="1">{"'Sheet1'!$L$16"}</definedName>
    <definedName name="_PJB05" hidden="1">{"'Sheet1'!$L$16"}</definedName>
    <definedName name="_PL3" localSheetId="5" hidden="1">{"'Sheet1'!$L$16"}</definedName>
    <definedName name="_PL3" hidden="1">{"'Sheet1'!$L$16"}</definedName>
    <definedName name="_PUR6" localSheetId="5" hidden="1">{#N/A,#N/A,FALSE,"Sheet2"}</definedName>
    <definedName name="_PUR6" hidden="1">{#N/A,#N/A,FALSE,"Sheet2"}</definedName>
    <definedName name="_q2" localSheetId="5" hidden="1">{"PAGE 1",#N/A,FALSE,"หน้า 1,2,3";"PAGE 2",#N/A,FALSE,"หน้า 1,2,3";"PAGE 3",#N/A,FALSE,"หน้า 1,2,3"}</definedName>
    <definedName name="_q2" hidden="1">{"PAGE 1",#N/A,FALSE,"หน้า 1,2,3";"PAGE 2",#N/A,FALSE,"หน้า 1,2,3";"PAGE 3",#N/A,FALSE,"หน้า 1,2,3"}</definedName>
    <definedName name="_q3" localSheetId="5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localSheetId="5" hidden="1">{#N/A,#N/A,FALSE,"Sheet2"}</definedName>
    <definedName name="_QUY3" hidden="1">{#N/A,#N/A,FALSE,"Sheet2"}</definedName>
    <definedName name="_QUY4" localSheetId="5" hidden="1">{"'Sheet1'!$L$16"}</definedName>
    <definedName name="_QUY4" hidden="1">{"'Sheet1'!$L$16"}</definedName>
    <definedName name="_Regression_Int" hidden="1">1</definedName>
    <definedName name="_Regression_Out" localSheetId="5" hidden="1">#REF!</definedName>
    <definedName name="_Regression_Out" localSheetId="4" hidden="1">#REF!</definedName>
    <definedName name="_Regression_Out" hidden="1">#REF!</definedName>
    <definedName name="_Regression_X" localSheetId="5" hidden="1">#REF!</definedName>
    <definedName name="_Regression_X" localSheetId="4" hidden="1">#REF!</definedName>
    <definedName name="_Regression_X" hidden="1">#REF!</definedName>
    <definedName name="_Regression_Y" localSheetId="5" hidden="1">#REF!</definedName>
    <definedName name="_Regression_Y" localSheetId="4" hidden="1">#REF!</definedName>
    <definedName name="_Regression_Y" hidden="1">#REF!</definedName>
    <definedName name="_ROD01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localSheetId="5" hidden="1">{"'Sheet1'!$L$16"}</definedName>
    <definedName name="_s1" hidden="1">{"'Sheet1'!$L$16"}</definedName>
    <definedName name="_s2" localSheetId="5" hidden="1">{"'Sheet1'!$L$16"}</definedName>
    <definedName name="_s2" hidden="1">{"'Sheet1'!$L$16"}</definedName>
    <definedName name="_s3" localSheetId="5" hidden="1">{"'Sheet1'!$L$16"}</definedName>
    <definedName name="_s3" hidden="1">{"'Sheet1'!$L$16"}</definedName>
    <definedName name="_s4" localSheetId="5" hidden="1">{"'Sheet1'!$L$16"}</definedName>
    <definedName name="_s4" hidden="1">{"'Sheet1'!$L$16"}</definedName>
    <definedName name="_s5" localSheetId="5" hidden="1">{"'Sheet1'!$L$16"}</definedName>
    <definedName name="_s5" hidden="1">{"'Sheet1'!$L$16"}</definedName>
    <definedName name="_s6" localSheetId="5" hidden="1">{#N/A,#N/A,FALSE,"Chi tiÆt"}</definedName>
    <definedName name="_s6" hidden="1">{#N/A,#N/A,FALSE,"Chi tiÆt"}</definedName>
    <definedName name="_s7" localSheetId="5" hidden="1">{#N/A,#N/A,FALSE,"Chi tiÆt"}</definedName>
    <definedName name="_s7" hidden="1">{#N/A,#N/A,FALSE,"Chi tiÆt"}</definedName>
    <definedName name="_se1" localSheetId="5" hidden="1">{#N/A,#N/A,FALSE,"m66";#N/A,#N/A,FALSE,"m66"}</definedName>
    <definedName name="_se1" hidden="1">{#N/A,#N/A,FALSE,"m66";#N/A,#N/A,FALSE,"m66"}</definedName>
    <definedName name="_Sort" localSheetId="5" hidden="1">[3]PLANBS3!#REF!</definedName>
    <definedName name="_Sort" localSheetId="4" hidden="1">[3]PLANBS3!#REF!</definedName>
    <definedName name="_Sort" hidden="1">[3]PLANBS3!#REF!</definedName>
    <definedName name="_Sort1" localSheetId="5" hidden="1">#REF!</definedName>
    <definedName name="_Sort1" localSheetId="4" hidden="1">#REF!</definedName>
    <definedName name="_Sort1" hidden="1">#REF!</definedName>
    <definedName name="_Sort1.1" localSheetId="5" hidden="1">#REF!</definedName>
    <definedName name="_Sort1.1" localSheetId="4" hidden="1">#REF!</definedName>
    <definedName name="_Sort1.1" hidden="1">#REF!</definedName>
    <definedName name="_Sort1.2" localSheetId="5" hidden="1">#REF!</definedName>
    <definedName name="_Sort1.2" localSheetId="4" hidden="1">#REF!</definedName>
    <definedName name="_Sort1.2" hidden="1">#REF!</definedName>
    <definedName name="_Sort1.3" localSheetId="5" hidden="1">#REF!</definedName>
    <definedName name="_Sort1.3" localSheetId="4" hidden="1">#REF!</definedName>
    <definedName name="_Sort1.3" hidden="1">#REF!</definedName>
    <definedName name="_sort2" localSheetId="5" hidden="1">#REF!</definedName>
    <definedName name="_sort2" localSheetId="4" hidden="1">#REF!</definedName>
    <definedName name="_sort2" hidden="1">#REF!</definedName>
    <definedName name="_sort3" localSheetId="5" hidden="1">#REF!</definedName>
    <definedName name="_sort3" localSheetId="4" hidden="1">#REF!</definedName>
    <definedName name="_sort3" hidden="1">#REF!</definedName>
    <definedName name="_T01" localSheetId="5" hidden="1">#REF!</definedName>
    <definedName name="_T01" localSheetId="4" hidden="1">#REF!</definedName>
    <definedName name="_T01" hidden="1">#REF!</definedName>
    <definedName name="_T04" localSheetId="5" hidden="1">{#N/A,#N/A,FALSE,"CCTV"}</definedName>
    <definedName name="_T04" hidden="1">{#N/A,#N/A,FALSE,"CCTV"}</definedName>
    <definedName name="_t1" localSheetId="5" hidden="1">{"'Sheet1'!$L$16"}</definedName>
    <definedName name="_t1" hidden="1">{"'Sheet1'!$L$16"}</definedName>
    <definedName name="_T10" localSheetId="5" hidden="1">{"'Sheet1'!$L$16"}</definedName>
    <definedName name="_T10" hidden="1">{"'Sheet1'!$L$16"}</definedName>
    <definedName name="_t2" localSheetId="5" hidden="1">{"'Sheet1'!$L$16"}</definedName>
    <definedName name="_t2" hidden="1">{"'Sheet1'!$L$16"}</definedName>
    <definedName name="_t4" localSheetId="5" hidden="1">#REF!</definedName>
    <definedName name="_t4" localSheetId="4" hidden="1">#REF!</definedName>
    <definedName name="_t4" hidden="1">#REF!</definedName>
    <definedName name="_t5" localSheetId="5" hidden="1">{"'Sheet1'!$L$16"}</definedName>
    <definedName name="_t5" hidden="1">{"'Sheet1'!$L$16"}</definedName>
    <definedName name="_t6" localSheetId="5" hidden="1">{"'Sheet1'!$L$16"}</definedName>
    <definedName name="_t6" hidden="1">{"'Sheet1'!$L$16"}</definedName>
    <definedName name="_t7" localSheetId="5" hidden="1">{"'Sheet1'!$L$16"}</definedName>
    <definedName name="_t7" hidden="1">{"'Sheet1'!$L$16"}</definedName>
    <definedName name="_t8" localSheetId="5" hidden="1">{#N/A,#N/A,FALSE,"Chi tiÆt"}</definedName>
    <definedName name="_t8" hidden="1">{#N/A,#N/A,FALSE,"Chi tiÆt"}</definedName>
    <definedName name="_t9" localSheetId="5" hidden="1">{"'Sheet1'!$L$16"}</definedName>
    <definedName name="_t9" hidden="1">{"'Sheet1'!$L$16"}</definedName>
    <definedName name="_Table1_In1" localSheetId="5" hidden="1">[5]DIL4!#REF!</definedName>
    <definedName name="_Table1_In1" localSheetId="4" hidden="1">[5]DIL4!#REF!</definedName>
    <definedName name="_Table1_In1" hidden="1">[5]DIL4!#REF!</definedName>
    <definedName name="_Table1_Out" hidden="1">[5]DIL4!$E$59:$I$68</definedName>
    <definedName name="_Table2_In1" localSheetId="5" hidden="1">[5]DIL4!#REF!</definedName>
    <definedName name="_Table2_In1" localSheetId="4" hidden="1">[5]DIL4!#REF!</definedName>
    <definedName name="_Table2_In1" hidden="1">[5]DIL4!#REF!</definedName>
    <definedName name="_Table2_In2" localSheetId="5" hidden="1">[5]DIL4!#REF!</definedName>
    <definedName name="_Table2_In2" localSheetId="4" hidden="1">[5]DIL4!#REF!</definedName>
    <definedName name="_Table2_In2" hidden="1">[5]DIL4!#REF!</definedName>
    <definedName name="_Table2_Out" hidden="1">[5]DIL4!$B$36:$M$47</definedName>
    <definedName name="_thu1" localSheetId="5" hidden="1">{"'Sheet1'!$L$16"}</definedName>
    <definedName name="_thu1" hidden="1">{"'Sheet1'!$L$16"}</definedName>
    <definedName name="_thu1_1" localSheetId="5" hidden="1">{"'Sheet1'!$L$16"}</definedName>
    <definedName name="_thu1_1" hidden="1">{"'Sheet1'!$L$16"}</definedName>
    <definedName name="_thu1_1_1" localSheetId="5" hidden="1">{"'Sheet1'!$L$16"}</definedName>
    <definedName name="_thu1_1_1" hidden="1">{"'Sheet1'!$L$16"}</definedName>
    <definedName name="_thu1_1_1_1" localSheetId="5" hidden="1">{"'Sheet1'!$L$16"}</definedName>
    <definedName name="_thu1_1_1_1" hidden="1">{"'Sheet1'!$L$16"}</definedName>
    <definedName name="_thu1_1_1_2" localSheetId="5" hidden="1">{"'Sheet1'!$L$16"}</definedName>
    <definedName name="_thu1_1_1_2" hidden="1">{"'Sheet1'!$L$16"}</definedName>
    <definedName name="_thu1_1_2" localSheetId="5" hidden="1">{"'Sheet1'!$L$16"}</definedName>
    <definedName name="_thu1_1_2" hidden="1">{"'Sheet1'!$L$16"}</definedName>
    <definedName name="_thu1_1_3" localSheetId="5" hidden="1">{"'Sheet1'!$L$16"}</definedName>
    <definedName name="_thu1_1_3" hidden="1">{"'Sheet1'!$L$16"}</definedName>
    <definedName name="_thu1_2" localSheetId="5" hidden="1">{"'Sheet1'!$L$16"}</definedName>
    <definedName name="_thu1_2" hidden="1">{"'Sheet1'!$L$16"}</definedName>
    <definedName name="_thu1_2_1" localSheetId="5" hidden="1">{"'Sheet1'!$L$16"}</definedName>
    <definedName name="_thu1_2_1" hidden="1">{"'Sheet1'!$L$16"}</definedName>
    <definedName name="_thu1_2_2" localSheetId="5" hidden="1">{"'Sheet1'!$L$16"}</definedName>
    <definedName name="_thu1_2_2" hidden="1">{"'Sheet1'!$L$16"}</definedName>
    <definedName name="_thu1_3" localSheetId="5" hidden="1">{"'Sheet1'!$L$16"}</definedName>
    <definedName name="_thu1_3" hidden="1">{"'Sheet1'!$L$16"}</definedName>
    <definedName name="_thu1_4" localSheetId="5" hidden="1">{"'Sheet1'!$L$16"}</definedName>
    <definedName name="_thu1_4" hidden="1">{"'Sheet1'!$L$16"}</definedName>
    <definedName name="_thu2" localSheetId="5" hidden="1">{"'Sheet1'!$L$16"}</definedName>
    <definedName name="_thu2" hidden="1">{"'Sheet1'!$L$16"}</definedName>
    <definedName name="_thu2_1" localSheetId="5" hidden="1">{"'Sheet1'!$L$16"}</definedName>
    <definedName name="_thu2_1" hidden="1">{"'Sheet1'!$L$16"}</definedName>
    <definedName name="_thu2_1_1" localSheetId="5" hidden="1">{"'Sheet1'!$L$16"}</definedName>
    <definedName name="_thu2_1_1" hidden="1">{"'Sheet1'!$L$16"}</definedName>
    <definedName name="_thu2_1_1_1" localSheetId="5" hidden="1">{"'Sheet1'!$L$16"}</definedName>
    <definedName name="_thu2_1_1_1" hidden="1">{"'Sheet1'!$L$16"}</definedName>
    <definedName name="_thu2_1_1_2" localSheetId="5" hidden="1">{"'Sheet1'!$L$16"}</definedName>
    <definedName name="_thu2_1_1_2" hidden="1">{"'Sheet1'!$L$16"}</definedName>
    <definedName name="_thu2_1_2" localSheetId="5" hidden="1">{"'Sheet1'!$L$16"}</definedName>
    <definedName name="_thu2_1_2" hidden="1">{"'Sheet1'!$L$16"}</definedName>
    <definedName name="_thu2_1_3" localSheetId="5" hidden="1">{"'Sheet1'!$L$16"}</definedName>
    <definedName name="_thu2_1_3" hidden="1">{"'Sheet1'!$L$16"}</definedName>
    <definedName name="_thu2_2" localSheetId="5" hidden="1">{"'Sheet1'!$L$16"}</definedName>
    <definedName name="_thu2_2" hidden="1">{"'Sheet1'!$L$16"}</definedName>
    <definedName name="_thu2_2_1" localSheetId="5" hidden="1">{"'Sheet1'!$L$16"}</definedName>
    <definedName name="_thu2_2_1" hidden="1">{"'Sheet1'!$L$16"}</definedName>
    <definedName name="_thu2_2_2" localSheetId="5" hidden="1">{"'Sheet1'!$L$16"}</definedName>
    <definedName name="_thu2_2_2" hidden="1">{"'Sheet1'!$L$16"}</definedName>
    <definedName name="_thu2_3" localSheetId="5" hidden="1">{"'Sheet1'!$L$16"}</definedName>
    <definedName name="_thu2_3" hidden="1">{"'Sheet1'!$L$16"}</definedName>
    <definedName name="_thu2_4" localSheetId="5" hidden="1">{"'Sheet1'!$L$16"}</definedName>
    <definedName name="_thu2_4" hidden="1">{"'Sheet1'!$L$16"}</definedName>
    <definedName name="_thu4" localSheetId="5" hidden="1">{"'Sheet1'!$L$16"}</definedName>
    <definedName name="_thu4" hidden="1">{"'Sheet1'!$L$16"}</definedName>
    <definedName name="_thu4_1" localSheetId="5" hidden="1">{"'Sheet1'!$L$16"}</definedName>
    <definedName name="_thu4_1" hidden="1">{"'Sheet1'!$L$16"}</definedName>
    <definedName name="_thu4_1_1" localSheetId="5" hidden="1">{"'Sheet1'!$L$16"}</definedName>
    <definedName name="_thu4_1_1" hidden="1">{"'Sheet1'!$L$16"}</definedName>
    <definedName name="_thu4_1_1_1" localSheetId="5" hidden="1">{"'Sheet1'!$L$16"}</definedName>
    <definedName name="_thu4_1_1_1" hidden="1">{"'Sheet1'!$L$16"}</definedName>
    <definedName name="_thu4_1_1_2" localSheetId="5" hidden="1">{"'Sheet1'!$L$16"}</definedName>
    <definedName name="_thu4_1_1_2" hidden="1">{"'Sheet1'!$L$16"}</definedName>
    <definedName name="_thu4_1_2" localSheetId="5" hidden="1">{"'Sheet1'!$L$16"}</definedName>
    <definedName name="_thu4_1_2" hidden="1">{"'Sheet1'!$L$16"}</definedName>
    <definedName name="_thu4_1_3" localSheetId="5" hidden="1">{"'Sheet1'!$L$16"}</definedName>
    <definedName name="_thu4_1_3" hidden="1">{"'Sheet1'!$L$16"}</definedName>
    <definedName name="_thu4_2" localSheetId="5" hidden="1">{"'Sheet1'!$L$16"}</definedName>
    <definedName name="_thu4_2" hidden="1">{"'Sheet1'!$L$16"}</definedName>
    <definedName name="_thu4_2_1" localSheetId="5" hidden="1">{"'Sheet1'!$L$16"}</definedName>
    <definedName name="_thu4_2_1" hidden="1">{"'Sheet1'!$L$16"}</definedName>
    <definedName name="_thu4_2_2" localSheetId="5" hidden="1">{"'Sheet1'!$L$16"}</definedName>
    <definedName name="_thu4_2_2" hidden="1">{"'Sheet1'!$L$16"}</definedName>
    <definedName name="_thu4_3" localSheetId="5" hidden="1">{"'Sheet1'!$L$16"}</definedName>
    <definedName name="_thu4_3" hidden="1">{"'Sheet1'!$L$16"}</definedName>
    <definedName name="_thu4_4" localSheetId="5" hidden="1">{"'Sheet1'!$L$16"}</definedName>
    <definedName name="_thu4_4" hidden="1">{"'Sheet1'!$L$16"}</definedName>
    <definedName name="_thu5" localSheetId="5" hidden="1">{"'Sheet1'!$L$16"}</definedName>
    <definedName name="_thu5" hidden="1">{"'Sheet1'!$L$16"}</definedName>
    <definedName name="_thu5_1" localSheetId="5" hidden="1">{"'Sheet1'!$L$16"}</definedName>
    <definedName name="_thu5_1" hidden="1">{"'Sheet1'!$L$16"}</definedName>
    <definedName name="_thu5_1_1" localSheetId="5" hidden="1">{"'Sheet1'!$L$16"}</definedName>
    <definedName name="_thu5_1_1" hidden="1">{"'Sheet1'!$L$16"}</definedName>
    <definedName name="_thu5_1_1_1" localSheetId="5" hidden="1">{"'Sheet1'!$L$16"}</definedName>
    <definedName name="_thu5_1_1_1" hidden="1">{"'Sheet1'!$L$16"}</definedName>
    <definedName name="_thu5_1_1_2" localSheetId="5" hidden="1">{"'Sheet1'!$L$16"}</definedName>
    <definedName name="_thu5_1_1_2" hidden="1">{"'Sheet1'!$L$16"}</definedName>
    <definedName name="_thu5_1_2" localSheetId="5" hidden="1">{"'Sheet1'!$L$16"}</definedName>
    <definedName name="_thu5_1_2" hidden="1">{"'Sheet1'!$L$16"}</definedName>
    <definedName name="_thu5_1_3" localSheetId="5" hidden="1">{"'Sheet1'!$L$16"}</definedName>
    <definedName name="_thu5_1_3" hidden="1">{"'Sheet1'!$L$16"}</definedName>
    <definedName name="_thu5_2" localSheetId="5" hidden="1">{"'Sheet1'!$L$16"}</definedName>
    <definedName name="_thu5_2" hidden="1">{"'Sheet1'!$L$16"}</definedName>
    <definedName name="_thu5_2_1" localSheetId="5" hidden="1">{"'Sheet1'!$L$16"}</definedName>
    <definedName name="_thu5_2_1" hidden="1">{"'Sheet1'!$L$16"}</definedName>
    <definedName name="_thu5_2_2" localSheetId="5" hidden="1">{"'Sheet1'!$L$16"}</definedName>
    <definedName name="_thu5_2_2" hidden="1">{"'Sheet1'!$L$16"}</definedName>
    <definedName name="_thu5_3" localSheetId="5" hidden="1">{"'Sheet1'!$L$16"}</definedName>
    <definedName name="_thu5_3" hidden="1">{"'Sheet1'!$L$16"}</definedName>
    <definedName name="_thu5_4" localSheetId="5" hidden="1">{"'Sheet1'!$L$16"}</definedName>
    <definedName name="_thu5_4" hidden="1">{"'Sheet1'!$L$16"}</definedName>
    <definedName name="_tm2" localSheetId="5" hidden="1">{#N/A,#N/A,FALSE,"Chi tiÆt"}</definedName>
    <definedName name="_tm2" hidden="1">{#N/A,#N/A,FALSE,"Chi tiÆt"}</definedName>
    <definedName name="_tt3" localSheetId="5" hidden="1">{"'Sheet1'!$L$16"}</definedName>
    <definedName name="_tt3" hidden="1">{"'Sheet1'!$L$16"}</definedName>
    <definedName name="_u18" localSheetId="5" hidden="1">{"Tages_D",#N/A,FALSE,"Tagesbericht";"Tages_PL",#N/A,FALSE,"Tagesbericht"}</definedName>
    <definedName name="_u18" hidden="1">{"Tages_D",#N/A,FALSE,"Tagesbericht";"Tages_PL",#N/A,FALSE,"Tagesbericht"}</definedName>
    <definedName name="_u20" localSheetId="5" hidden="1">{"fleisch",#N/A,FALSE,"WG HK";"food",#N/A,FALSE,"WG HK";"hartwaren",#N/A,FALSE,"WG HK";"weichwaren",#N/A,FALSE,"WG HK"}</definedName>
    <definedName name="_u20" hidden="1">{"fleisch",#N/A,FALSE,"WG HK";"food",#N/A,FALSE,"WG HK";"hartwaren",#N/A,FALSE,"WG HK";"weichwaren",#N/A,FALSE,"WG HK"}</definedName>
    <definedName name="_U3" localSheetId="5" hidden="1">{#N/A,#N/A,FALSE,"Aging Summary";#N/A,#N/A,FALSE,"Ratio Analysis";#N/A,#N/A,FALSE,"Test 120 Day Accts";#N/A,#N/A,FALSE,"Tickmarks"}</definedName>
    <definedName name="_U3" hidden="1">{#N/A,#N/A,FALSE,"Aging Summary";#N/A,#N/A,FALSE,"Ratio Analysis";#N/A,#N/A,FALSE,"Test 120 Day Accts";#N/A,#N/A,FALSE,"Tickmarks"}</definedName>
    <definedName name="_UB1" localSheetId="5" hidden="1">{"'Feb 99'!$A$1:$G$30"}</definedName>
    <definedName name="_UB1" hidden="1">{"'Feb 99'!$A$1:$G$30"}</definedName>
    <definedName name="_UB2" localSheetId="5" hidden="1">{"'Feb 99'!$A$1:$G$30"}</definedName>
    <definedName name="_UB2" hidden="1">{"'Feb 99'!$A$1:$G$30"}</definedName>
    <definedName name="_uyu6" localSheetId="5" hidden="1">BlankMacro1</definedName>
    <definedName name="_uyu6" localSheetId="4" hidden="1">BlankMacro1</definedName>
    <definedName name="_uyu6" hidden="1">BlankMacro1</definedName>
    <definedName name="_w2" localSheetId="5" hidden="1">{"'Sheet1'!$L$16"}</definedName>
    <definedName name="_w2" hidden="1">{"'Sheet1'!$L$16"}</definedName>
    <definedName name="_w3" localSheetId="5" hidden="1">{"'Sheet1'!$L$16"}</definedName>
    <definedName name="_w3" hidden="1">{"'Sheet1'!$L$16"}</definedName>
    <definedName name="_w4" localSheetId="5" hidden="1">{"'Sheet1'!$L$16"}</definedName>
    <definedName name="_w4" hidden="1">{"'Sheet1'!$L$16"}</definedName>
    <definedName name="_w5" localSheetId="5" hidden="1">{"'Sheet1'!$L$16"}</definedName>
    <definedName name="_w5" hidden="1">{"'Sheet1'!$L$16"}</definedName>
    <definedName name="_w6" localSheetId="5" hidden="1">{#N/A,#N/A,FALSE,"Chi tiÆt"}</definedName>
    <definedName name="_w6" hidden="1">{#N/A,#N/A,FALSE,"Chi tiÆt"}</definedName>
    <definedName name="_w8" localSheetId="5" hidden="1">{"'Sheet1'!$L$16"}</definedName>
    <definedName name="_w8" hidden="1">{"'Sheet1'!$L$16"}</definedName>
    <definedName name="_w9" localSheetId="5" hidden="1">{"'Sheet1'!$L$16"}</definedName>
    <definedName name="_w9" hidden="1">{"'Sheet1'!$L$16"}</definedName>
    <definedName name="_wrn1" localSheetId="5" hidden="1">{#N/A,#N/A,FALSE,"SPLIT1";#N/A,#N/A,FALSE,"SPLIT2";#N/A,#N/A,FALSE,"TELEX";#N/A,#N/A,FALSE,"TELEX"}</definedName>
    <definedName name="_wrn1" hidden="1">{#N/A,#N/A,FALSE,"SPLIT1";#N/A,#N/A,FALSE,"SPLIT2";#N/A,#N/A,FALSE,"TELEX";#N/A,#N/A,FALSE,"TELEX"}</definedName>
    <definedName name="_ww2" localSheetId="5" hidden="1">{#N/A,#N/A,FALSE,"Admin";#N/A,#N/A,FALSE,"Other"}</definedName>
    <definedName name="_ww2" hidden="1">{#N/A,#N/A,FALSE,"Admin";#N/A,#N/A,FALSE,"Other"}</definedName>
    <definedName name="_Z1" localSheetId="5" hidden="1">{"'ตัวอย่าง'!$A$1:$O$21"}</definedName>
    <definedName name="_Z1" hidden="1">{"'ตัวอย่าง'!$A$1:$O$21"}</definedName>
    <definedName name="µ" localSheetId="5" hidden="1">{"'Sheet1'!$L$16"}</definedName>
    <definedName name="µ" hidden="1">{"'Sheet1'!$L$16"}</definedName>
    <definedName name="a" localSheetId="5">#REF!</definedName>
    <definedName name="a" localSheetId="4">#REF!</definedName>
    <definedName name="a">#REF!</definedName>
    <definedName name="á" localSheetId="5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à" localSheetId="5" hidden="1">#REF!</definedName>
    <definedName name="à" localSheetId="4" hidden="1">#REF!</definedName>
    <definedName name="à" hidden="1">#REF!</definedName>
    <definedName name="â" localSheetId="5" hidden="1">{"'Sheet1'!$L$16"}</definedName>
    <definedName name="â" hidden="1">{"'Sheet1'!$L$16"}</definedName>
    <definedName name="Ầ" localSheetId="5" hidden="1">{#N/A,#N/A,FALSE,"CCTV"}</definedName>
    <definedName name="Ầ" hidden="1">{#N/A,#N/A,FALSE,"CCTV"}</definedName>
    <definedName name="a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localSheetId="5" hidden="1">{#N/A,#N/A,FALSE,"Sheet1"}</definedName>
    <definedName name="A2A" hidden="1">{#N/A,#N/A,FALSE,"Sheet1"}</definedName>
    <definedName name="A2PRJE" localSheetId="5" hidden="1">{#N/A,#N/A,FALSE,"Sheet1"}</definedName>
    <definedName name="A2PRJE" hidden="1">{#N/A,#N/A,FALSE,"Sheet1"}</definedName>
    <definedName name="AA" localSheetId="5" hidden="1">{"F3 detail",#N/A,FALSE,"F1";"F3 Presentation",#N/A,FALSE,"F3 "}</definedName>
    <definedName name="AA" hidden="1">{"F3 detail",#N/A,FALSE,"F1";"F3 Presentation",#N/A,FALSE,"F3 "}</definedName>
    <definedName name="aâ" localSheetId="5" hidden="1">{"'Sheet1'!$L$16"}</definedName>
    <definedName name="aâ" hidden="1">{"'Sheet1'!$L$16"}</definedName>
    <definedName name="AA.Report.Files" localSheetId="5" hidden="1">#REF!</definedName>
    <definedName name="AA.Report.Files" localSheetId="4" hidden="1">#REF!</definedName>
    <definedName name="AA.Report.Files" hidden="1">#REF!</definedName>
    <definedName name="AA.Reports.Available" localSheetId="5" hidden="1">#REF!</definedName>
    <definedName name="AA.Reports.Available" localSheetId="4" hidden="1">#REF!</definedName>
    <definedName name="AA.Reports.Available" hidden="1">#REF!</definedName>
    <definedName name="aaa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5" hidden="1">{"Profit",#N/A,FALSE,"448k";"Capital",#N/A,FALSE,"448k"}</definedName>
    <definedName name="aaaaa" hidden="1">{"Profit",#N/A,FALSE,"448k";"Capital",#N/A,FALSE,"448k"}</definedName>
    <definedName name="aaaaaa" localSheetId="5" hidden="1">{#N/A,#N/A,FALSE,"CCTV"}</definedName>
    <definedName name="aaaaaa" hidden="1">{#N/A,#N/A,FALSE,"CCTV"}</definedName>
    <definedName name="aaaaaaa" localSheetId="5" hidden="1">#REF!</definedName>
    <definedName name="aaaaaaa" localSheetId="4" hidden="1">#REF!</definedName>
    <definedName name="aaaaaaa" hidden="1">#REF!</definedName>
    <definedName name="aaaaaaaa" localSheetId="5" hidden="1">{"Tages_D",#N/A,FALSE,"Tagesbericht";"Tages_PL",#N/A,FALSE,"Tagesbericht"}</definedName>
    <definedName name="aaaaaaaa" hidden="1">{"Tages_D",#N/A,FALSE,"Tagesbericht";"Tages_PL",#N/A,FALSE,"Tagesbericht"}</definedName>
    <definedName name="aaaaaaaaaa" localSheetId="5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localSheetId="5" hidden="1">#REF!</definedName>
    <definedName name="AAAAAAAAAAAAA" localSheetId="4" hidden="1">#REF!</definedName>
    <definedName name="AAAAAAAAAAAAA" hidden="1">#REF!</definedName>
    <definedName name="aaaaaaaaaaaaaaaa" localSheetId="5" hidden="1">{0}</definedName>
    <definedName name="aaaaaaaaaaaaaaaa" hidden="1">{0}</definedName>
    <definedName name="aaag" localSheetId="5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5" hidden="1">{"'매출계획'!$D$2"}</definedName>
    <definedName name="aad" hidden="1">{"'매출계획'!$D$2"}</definedName>
    <definedName name="aas" localSheetId="5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localSheetId="5" hidden="1">{#N/A,#N/A,FALSE,"SPLIT1";#N/A,#N/A,FALSE,"SPLIT2";#N/A,#N/A,FALSE,"TELEX";#N/A,#N/A,FALSE,"TELEX";#N/A,#N/A,FALSE,"VCB";#N/A,#N/A,FALSE,"VCB"}</definedName>
    <definedName name="aassd" hidden="1">{#N/A,#N/A,FALSE,"SPLIT1";#N/A,#N/A,FALSE,"SPLIT2";#N/A,#N/A,FALSE,"TELEX";#N/A,#N/A,FALSE,"TELEX";#N/A,#N/A,FALSE,"VCB";#N/A,#N/A,FALSE,"VCB"}</definedName>
    <definedName name="ää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localSheetId="5" hidden="1">{"weichwaren",#N/A,FALSE,"Liste 1";"hartwaren",#N/A,FALSE,"Liste 1";"food",#N/A,FALSE,"Liste 1";"fleisch",#N/A,FALSE,"Liste 1"}</definedName>
    <definedName name="aawe" hidden="1">{"weichwaren",#N/A,FALSE,"Liste 1";"hartwaren",#N/A,FALSE,"Liste 1";"food",#N/A,FALSE,"Liste 1";"fleisch",#N/A,FALSE,"Liste 1"}</definedName>
    <definedName name="aaww" localSheetId="5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localSheetId="5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bc" localSheetId="5" hidden="1">{"'매출계획'!$D$2"}</definedName>
    <definedName name="abc" hidden="1">{"'매출계획'!$D$2"}</definedName>
    <definedName name="ac" localSheetId="5" hidden="1">#REF!</definedName>
    <definedName name="ac" localSheetId="4" hidden="1">#REF!</definedName>
    <definedName name="ac" hidden="1">#REF!</definedName>
    <definedName name="Access_Button" hidden="1">"Primark_SUMMER_1998_SUMMARY_List"</definedName>
    <definedName name="AccessDatabase" hidden="1">"H:\My Documents\PLAN\Primark.mdb"</definedName>
    <definedName name="AccessOpt" hidden="1">"Yes"</definedName>
    <definedName name="Accounts" localSheetId="5">#REF!</definedName>
    <definedName name="Accounts" localSheetId="4">#REF!</definedName>
    <definedName name="Accounts">#REF!</definedName>
    <definedName name="ấcdv" localSheetId="5" hidden="1">{#N/A,#N/A,FALSE,"Week 2002";#N/A,#N/A,FALSE,"YTD 2002";#N/A,#N/A,FALSE,"Quarterly Trend(Q3)"}</definedName>
    <definedName name="ấcdv" hidden="1">{#N/A,#N/A,FALSE,"Week 2002";#N/A,#N/A,FALSE,"YTD 2002";#N/A,#N/A,FALSE,"Quarterly Trend(Q3)"}</definedName>
    <definedName name="ACT" localSheetId="5" hidden="1">{#N/A,#N/A,FALSE,"TL";#N/A,#N/A,FALSE,"KK";#N/A,#N/A,FALSE,"TS";#N/A,#N/A,FALSE,"KW";#N/A,#N/A,FALSE,"LP";#N/A,#N/A,FALSE,"DC"}</definedName>
    <definedName name="ACT" hidden="1">{#N/A,#N/A,FALSE,"TL";#N/A,#N/A,FALSE,"KK";#N/A,#N/A,FALSE,"TS";#N/A,#N/A,FALSE,"KW";#N/A,#N/A,FALSE,"LP";#N/A,#N/A,FALSE,"DC"}</definedName>
    <definedName name="Activity_Reports" localSheetId="5">#REF!</definedName>
    <definedName name="Activity_Reports" localSheetId="4">#REF!</definedName>
    <definedName name="Activity_Reports">#REF!</definedName>
    <definedName name="ad" localSheetId="5" hidden="1">{"income",#N/A,FALSE,"INCOME"}</definedName>
    <definedName name="ad" hidden="1">{"income",#N/A,FALSE,"INCOME"}</definedName>
    <definedName name="àd" localSheetId="5" hidden="1">{"Offgrid",#N/A,FALSE,"OFFGRID";"Region",#N/A,FALSE,"REGION";"Offgrid -2",#N/A,FALSE,"OFFGRID";"WTP",#N/A,FALSE,"WTP";"WTP -2",#N/A,FALSE,"WTP";"Project",#N/A,FALSE,"PROJECT";"Summary -2",#N/A,FALSE,"SUMMARY"}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localSheetId="5" hidden="1">{"'매출계획'!$D$2"}</definedName>
    <definedName name="ADAS" hidden="1">{"'매출계획'!$D$2"}</definedName>
    <definedName name="adasadad" localSheetId="5" hidden="1">{#N/A,#N/A,TRUE,"BT M200 da 10x20"}</definedName>
    <definedName name="adasadad" hidden="1">{#N/A,#N/A,TRUE,"BT M200 da 10x20"}</definedName>
    <definedName name="ADC" localSheetId="5" hidden="1">{"'매출계획'!$D$2"}</definedName>
    <definedName name="ADC" hidden="1">{"'매출계획'!$D$2"}</definedName>
    <definedName name="add" localSheetId="5" hidden="1">#REF!</definedName>
    <definedName name="add" localSheetId="4" hidden="1">#REF!</definedName>
    <definedName name="add" hidden="1">#REF!</definedName>
    <definedName name="adead" localSheetId="5" hidden="1">{"'Sheet1'!$L$16"}</definedName>
    <definedName name="adead" hidden="1">{"'Sheet1'!$L$16"}</definedName>
    <definedName name="ad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localSheetId="5" hidden="1">{#N/A,#N/A,FALSE,"CCTV"}</definedName>
    <definedName name="ÁDF" hidden="1">{#N/A,#N/A,FALSE,"CCTV"}</definedName>
    <definedName name="adfd" localSheetId="5" hidden="1">{0,#N/A,FALSE,0}</definedName>
    <definedName name="adfd" hidden="1">{0,#N/A,FALSE,0}</definedName>
    <definedName name="ADFHA" localSheetId="5" hidden="1">{"'Sheet1'!$L$16"}</definedName>
    <definedName name="ADFHA" hidden="1">{"'Sheet1'!$L$16"}</definedName>
    <definedName name="ADFHGADFH" localSheetId="5" hidden="1">{"'Sheet1'!$L$16"}</definedName>
    <definedName name="ADFHGADFH" hidden="1">{"'Sheet1'!$L$16"}</definedName>
    <definedName name="ADFJDGJ" localSheetId="5" hidden="1">{#N/A,#N/A,FALSE,"CCTV"}</definedName>
    <definedName name="ADFJDGJ" hidden="1">{#N/A,#N/A,FALSE,"CCTV"}</definedName>
    <definedName name="ADG" localSheetId="5" hidden="1">{"'매출계획'!$D$2"}</definedName>
    <definedName name="ADG" hidden="1">{"'매출계획'!$D$2"}</definedName>
    <definedName name="adgad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 localSheetId="5">#REF!</definedName>
    <definedName name="ADM" localSheetId="4">#REF!</definedName>
    <definedName name="ADM">#REF!</definedName>
    <definedName name="adqad" localSheetId="5" hidden="1">{#N/A,#N/A,FALSE,"Gesamt";#N/A,#N/A,FALSE,"Ree KG";#N/A,#N/A,FALSE,"Ree Inter";#N/A,#N/A,FALSE,"BTM";#N/A,#N/A,FALSE,"GmbH";#N/A,#N/A,FALSE,"Sonstige"}</definedName>
    <definedName name="adqad" hidden="1">{#N/A,#N/A,FALSE,"Gesamt";#N/A,#N/A,FALSE,"Ree KG";#N/A,#N/A,FALSE,"Ree Inter";#N/A,#N/A,FALSE,"BTM";#N/A,#N/A,FALSE,"GmbH";#N/A,#N/A,FALSE,"Sonstige"}</definedName>
    <definedName name="adsadasdasd" localSheetId="5" hidden="1">#REF!</definedName>
    <definedName name="adsadasdasd" localSheetId="4" hidden="1">#REF!</definedName>
    <definedName name="adsadasdasd" hidden="1">#REF!</definedName>
    <definedName name="adsasf" localSheetId="5" hidden="1">{"'Sheet1'!$L$16"}</definedName>
    <definedName name="adsasf" hidden="1">{"'Sheet1'!$L$16"}</definedName>
    <definedName name="adsf" localSheetId="5" hidden="1">{0,#N/A,FALSE,0}</definedName>
    <definedName name="adsf" hidden="1">{0,#N/A,FALSE,0}</definedName>
    <definedName name="adsf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localSheetId="5" hidden="1">{"HK PR",#N/A,FALSE,"HK";"SUMMARY",#N/A,FALSE,"PAYROLL";"SUMMARY",#N/A,FALSE,"PAYROLL";"HK PR",#N/A,FALSE,"HK"}</definedName>
    <definedName name="ae" hidden="1">{"HK PR",#N/A,FALSE,"HK";"SUMMARY",#N/A,FALSE,"PAYROLL";"SUMMARY",#N/A,FALSE,"PAYROLL";"HK PR",#N/A,FALSE,"HK"}</definedName>
    <definedName name="aef" localSheetId="5" hidden="1">{"'ตัวอย่าง'!$A$1:$O$21"}</definedName>
    <definedName name="aef" hidden="1">{"'ตัวอย่าง'!$A$1:$O$21"}</definedName>
    <definedName name="AERG" localSheetId="5" hidden="1">{"'매출계획'!$D$2"}</definedName>
    <definedName name="AERG" hidden="1">{"'매출계획'!$D$2"}</definedName>
    <definedName name="AERT" localSheetId="5" hidden="1">{"'매출계획'!$D$2"}</definedName>
    <definedName name="AERT" hidden="1">{"'매출계획'!$D$2"}</definedName>
    <definedName name="ÂF" localSheetId="5" hidden="1">{#N/A,#N/A,FALSE,"CCTV"}</definedName>
    <definedName name="ÂF" hidden="1">{#N/A,#N/A,FALSE,"CCTV"}</definedName>
    <definedName name="afa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localSheetId="5" hidden="1">{"'ตัวอย่าง'!$A$1:$O$21"}</definedName>
    <definedName name="afd" hidden="1">{"'ตัวอย่าง'!$A$1:$O$21"}</definedName>
    <definedName name="afd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localSheetId="5" hidden="1">{#N/A,#N/A,FALSE,"CCTV"}</definedName>
    <definedName name="afdasgh" hidden="1">{#N/A,#N/A,FALSE,"CCTV"}</definedName>
    <definedName name="afdsfdg" localSheetId="5" hidden="1">{#N/A,#N/A,FALSE,"CCTV"}</definedName>
    <definedName name="afdsfdg" hidden="1">{#N/A,#N/A,FALSE,"CCTV"}</definedName>
    <definedName name="afffgff" localSheetId="5" hidden="1">{#N/A,#N/A,FALSE,"CCTV"}</definedName>
    <definedName name="afffgff" hidden="1">{#N/A,#N/A,FALSE,"CCTV"}</definedName>
    <definedName name="afg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localSheetId="5" hidden="1">#REF!</definedName>
    <definedName name="afgFSDFD" localSheetId="4" hidden="1">#REF!</definedName>
    <definedName name="afgFSDFD" hidden="1">#REF!</definedName>
    <definedName name="AG" localSheetId="5" hidden="1">{"'매출계획'!$D$2"}</definedName>
    <definedName name="AG" hidden="1">{"'매출계획'!$D$2"}</definedName>
    <definedName name="ag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localSheetId="5" hidden="1">{#N/A,#N/A,FALSE,"CCTV"}</definedName>
    <definedName name="ÁGADFGA" hidden="1">{#N/A,#N/A,FALSE,"CCTV"}</definedName>
    <definedName name="agfa" localSheetId="5" hidden="1">{"'Sheet1'!$L$16"}</definedName>
    <definedName name="agfa" hidden="1">{"'Sheet1'!$L$16"}</definedName>
    <definedName name="ag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localSheetId="5" hidden="1">{#N/A,#N/A,FALSE,"CCTV"}</definedName>
    <definedName name="AH" hidden="1">{#N/A,#N/A,FALSE,"CCTV"}</definedName>
    <definedName name="ai" localSheetId="5" hidden="1">{"level1",#N/A,FALSE,"1_LEV";"LEVEL1",#N/A,FALSE,"1_LEV"}</definedName>
    <definedName name="ai" hidden="1">{"level1",#N/A,FALSE,"1_LEV";"LEVEL1",#N/A,FALSE,"1_LEV"}</definedName>
    <definedName name="alc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localSheetId="5" hidden="1">{"'Feb 99'!$A$1:$G$30"}</definedName>
    <definedName name="ALI" hidden="1">{"'Feb 99'!$A$1:$G$30"}</definedName>
    <definedName name="aLKFJFH" localSheetId="5" hidden="1">{#N/A,#N/A,FALSE,"CCTV"}</definedName>
    <definedName name="aLKFJFH" hidden="1">{#N/A,#N/A,FALSE,"CCTV"}</definedName>
    <definedName name="all" localSheetId="5" hidden="1">{#N/A,#N/A,FALSE,"m66";#N/A,#N/A,FALSE,"m66"}</definedName>
    <definedName name="all" hidden="1">{#N/A,#N/A,FALSE,"m66";#N/A,#N/A,FALSE,"m66"}</definedName>
    <definedName name="already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localSheetId="5" hidden="1">{"level1",#N/A,FALSE,"1_LEV";"LEVEL1",#N/A,FALSE,"1_LEV"}</definedName>
    <definedName name="amie" hidden="1">{"level1",#N/A,FALSE,"1_LEV";"LEVEL1",#N/A,FALSE,"1_LEV"}</definedName>
    <definedName name="ancd" localSheetId="5" hidden="1">{#N/A,#N/A,FALSE,"SPLIT1";#N/A,#N/A,FALSE,"SPLIT2";#N/A,#N/A,FALSE,"TELEX";#N/A,#N/A,FALSE,"TELEX";#N/A,#N/A,FALSE,"VCB";#N/A,#N/A,FALSE,"VCB"}</definedName>
    <definedName name="ancd" hidden="1">{#N/A,#N/A,FALSE,"SPLIT1";#N/A,#N/A,FALSE,"SPLIT2";#N/A,#N/A,FALSE,"TELEX";#N/A,#N/A,FALSE,"TELEX";#N/A,#N/A,FALSE,"VCB";#N/A,#N/A,FALSE,"VCB"}</definedName>
    <definedName name="anphong" localSheetId="5" hidden="1">{"'Sheet1'!$L$16"}</definedName>
    <definedName name="anphong" hidden="1">{"'Sheet1'!$L$16"}</definedName>
    <definedName name="anscount" hidden="1">1</definedName>
    <definedName name="appendix4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[6]!Table6[Application]</definedName>
    <definedName name="APRDN" localSheetId="5" hidden="1">{"'Sheet1'!$L$16"}</definedName>
    <definedName name="APRDN" hidden="1">{"'Sheet1'!$L$16"}</definedName>
    <definedName name="AQWS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localSheetId="5" hidden="1">#REF!</definedName>
    <definedName name="AR" localSheetId="4" hidden="1">#REF!</definedName>
    <definedName name="AR" hidden="1">#REF!</definedName>
    <definedName name="AR_Trade" localSheetId="5" hidden="1">{#N/A,#N/A,FALSE,"Aging Summary";#N/A,#N/A,FALSE,"Ratio Analysis";#N/A,#N/A,FALSE,"Test 120 Day Accts";#N/A,#N/A,FALSE,"Tickmarks"}</definedName>
    <definedName name="AR_Trade" hidden="1">{#N/A,#N/A,FALSE,"Aging Summary";#N/A,#N/A,FALSE,"Ratio Analysis";#N/A,#N/A,FALSE,"Test 120 Day Accts";#N/A,#N/A,FALSE,"Tickmarks"}</definedName>
    <definedName name="arg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localSheetId="5" hidden="1">{#N/A,#N/A,FALSE,"Aging Summary";#N/A,#N/A,FALSE,"Ratio Analysis";#N/A,#N/A,FALSE,"Test 120 Day Accts";#N/A,#N/A,FALSE,"Tickmarks"}</definedName>
    <definedName name="ARO" hidden="1">{#N/A,#N/A,FALSE,"Aging Summary";#N/A,#N/A,FALSE,"Ratio Analysis";#N/A,#N/A,FALSE,"Test 120 Day Accts";#N/A,#N/A,FALSE,"Tickmarks"}</definedName>
    <definedName name="ART" localSheetId="5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localSheetId="5" hidden="1">#REF!</definedName>
    <definedName name="AS2LinkLS" localSheetId="4" hidden="1">#REF!</definedName>
    <definedName name="AS2LinkLS" hidden="1">#REF!</definedName>
    <definedName name="AS2NamedRange" hidden="1">5</definedName>
    <definedName name="AS2ReportLS" hidden="1">1</definedName>
    <definedName name="AS2StaticLS" localSheetId="5" hidden="1">#REF!</definedName>
    <definedName name="AS2StaticLS" localSheetId="4" hidden="1">#REF!</definedName>
    <definedName name="AS2StaticLS" hidden="1">#REF!</definedName>
    <definedName name="AS2SyncStepLS" hidden="1">0</definedName>
    <definedName name="AS2TickmarkLS" localSheetId="5" hidden="1">#REF!</definedName>
    <definedName name="AS2TickmarkLS" localSheetId="4" hidden="1">#REF!</definedName>
    <definedName name="AS2TickmarkLS" hidden="1">#REF!</definedName>
    <definedName name="AS2VersionLS" hidden="1">300</definedName>
    <definedName name="as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localSheetId="5" hidden="1">{"'Sheet1'!$L$16"}</definedName>
    <definedName name="asc" hidden="1">{"'Sheet1'!$L$16"}</definedName>
    <definedName name="asd" localSheetId="5" hidden="1">{"hilight2",#N/A,FALSE,"HILIGHT2"}</definedName>
    <definedName name="asd" hidden="1">{"hilight2",#N/A,FALSE,"HILIGHT2"}</definedName>
    <definedName name="asda" localSheetId="5" hidden="1">#REF!</definedName>
    <definedName name="asda" localSheetId="4" hidden="1">#REF!</definedName>
    <definedName name="asda" hidden="1">#REF!</definedName>
    <definedName name="asdadasd" localSheetId="5" hidden="1">#REF!</definedName>
    <definedName name="asdadasd" localSheetId="4" hidden="1">#REF!</definedName>
    <definedName name="asdadasd" hidden="1">#REF!</definedName>
    <definedName name="asdasd" localSheetId="5" hidden="1">#REF!</definedName>
    <definedName name="asdasd" localSheetId="4" hidden="1">#REF!</definedName>
    <definedName name="asdasd" hidden="1">#REF!</definedName>
    <definedName name="asdasdas" localSheetId="5" hidden="1">{#N/A,#N/A,FALSE,"Sheet2"}</definedName>
    <definedName name="asdasdas" hidden="1">{#N/A,#N/A,FALSE,"Sheet2"}</definedName>
    <definedName name="asdasdasd" localSheetId="5" hidden="1">#REF!</definedName>
    <definedName name="asdasdasd" localSheetId="4" hidden="1">#REF!</definedName>
    <definedName name="asdasdasd" hidden="1">#REF!</definedName>
    <definedName name="asdasddfguer" localSheetId="5" hidden="1">#REF!</definedName>
    <definedName name="asdasddfguer" localSheetId="4" hidden="1">#REF!</definedName>
    <definedName name="asdasddfguer" hidden="1">#REF!</definedName>
    <definedName name="asdaserqwr" localSheetId="5" hidden="1">{"'Sheet1'!$L$16"}</definedName>
    <definedName name="asdaserqwr" hidden="1">{"'Sheet1'!$L$16"}</definedName>
    <definedName name="asdcad" localSheetId="5" hidden="1">{#N/A,#N/A,FALSE,"CCTV"}</definedName>
    <definedName name="asdcad" hidden="1">{#N/A,#N/A,FALSE,"CCTV"}</definedName>
    <definedName name="asdf" localSheetId="5" hidden="1">#REF!</definedName>
    <definedName name="asdf" localSheetId="4" hidden="1">#REF!</definedName>
    <definedName name="asdf" hidden="1">#REF!</definedName>
    <definedName name="asdfadf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localSheetId="5" hidden="1">{#N/A,#N/A,FALSE,"SPLIT1";#N/A,#N/A,FALSE,"SPLIT2";#N/A,#N/A,FALSE,"TELEX";#N/A,#N/A,FALSE,"TELEX"}</definedName>
    <definedName name="asdfaqwerasdr" hidden="1">{#N/A,#N/A,FALSE,"SPLIT1";#N/A,#N/A,FALSE,"SPLIT2";#N/A,#N/A,FALSE,"TELEX";#N/A,#N/A,FALSE,"TELEX"}</definedName>
    <definedName name="asdfasd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localSheetId="5" hidden="1">{#N/A,#N/A,FALSE,"SPLIT1";#N/A,#N/A,FALSE,"SPLIT2";#N/A,#N/A,FALSE,"TELEX";#N/A,#N/A,FALSE,"TELEX";#N/A,#N/A,FALSE,"VCB";#N/A,#N/A,FALSE,"VCB"}</definedName>
    <definedName name="asdfasdfasdf" hidden="1">{#N/A,#N/A,FALSE,"SPLIT1";#N/A,#N/A,FALSE,"SPLIT2";#N/A,#N/A,FALSE,"TELEX";#N/A,#N/A,FALSE,"TELEX";#N/A,#N/A,FALSE,"VCB";#N/A,#N/A,FALSE,"VCB"}</definedName>
    <definedName name="asdfasdfasdfasdf" localSheetId="5" hidden="1">{#N/A,#N/A,FALSE,"SPLIT1";#N/A,#N/A,FALSE,"SPLIT2";#N/A,#N/A,FALSE,"TELEX";#N/A,#N/A,FALSE,"TELEX"}</definedName>
    <definedName name="asdfasdfasdfasdf" hidden="1">{#N/A,#N/A,FALSE,"SPLIT1";#N/A,#N/A,FALSE,"SPLIT2";#N/A,#N/A,FALSE,"TELEX";#N/A,#N/A,FALSE,"TELEX"}</definedName>
    <definedName name="asdfasdfasdfasdfasdf" localSheetId="5" hidden="1">{#N/A,#N/A,FALSE,"SPLIT1";#N/A,#N/A,FALSE,"SPLIT2";#N/A,#N/A,FALSE,"TELEX";#N/A,#N/A,FALSE,"TELEX";#N/A,#N/A,FALSE,"VCB";#N/A,#N/A,FALSE,"VCB"}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localSheetId="5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localSheetId="5" hidden="1">{#N/A,#N/A,FALSE,"SPLIT1";#N/A,#N/A,FALSE,"SPLIT2";#N/A,#N/A,FALSE,"TELEX";#N/A,#N/A,FALSE,"TELEX"}</definedName>
    <definedName name="asdfasdfasdgasgadfhadfh" hidden="1">{#N/A,#N/A,FALSE,"SPLIT1";#N/A,#N/A,FALSE,"SPLIT2";#N/A,#N/A,FALSE,"TELEX";#N/A,#N/A,FALSE,"TELEX"}</definedName>
    <definedName name="asdfasdfds" localSheetId="5" hidden="1">#REF!</definedName>
    <definedName name="asdfasdfds" localSheetId="4" hidden="1">#REF!</definedName>
    <definedName name="asdfasdfds" hidden="1">#REF!</definedName>
    <definedName name="ASDFASERFWERWEF" localSheetId="5" hidden="1">#REF!</definedName>
    <definedName name="ASDFASERFWERWEF" localSheetId="4" hidden="1">#REF!</definedName>
    <definedName name="ASDFASERFWERWEF" hidden="1">#REF!</definedName>
    <definedName name="asdfgg" localSheetId="5" hidden="1">{#N/A,#N/A,FALSE,"SPLIT1";#N/A,#N/A,FALSE,"SPLIT2";#N/A,#N/A,FALSE,"TELEX";#N/A,#N/A,FALSE,"TELEX";#N/A,#N/A,FALSE,"VCB";#N/A,#N/A,FALSE,"VCB"}</definedName>
    <definedName name="asdfgg" hidden="1">{#N/A,#N/A,FALSE,"SPLIT1";#N/A,#N/A,FALSE,"SPLIT2";#N/A,#N/A,FALSE,"TELEX";#N/A,#N/A,FALSE,"TELEX";#N/A,#N/A,FALSE,"VCB";#N/A,#N/A,FALSE,"VCB"}</definedName>
    <definedName name="asdfggg" localSheetId="5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localSheetId="5" hidden="1">{#N/A,#N/A,FALSE,"CCTV"}</definedName>
    <definedName name="asdfgjhkjk" hidden="1">{#N/A,#N/A,FALSE,"CCTV"}</definedName>
    <definedName name="asdg" localSheetId="5" hidden="1">{"'1-TheatreBkgs'!$A$1:$L$102"}</definedName>
    <definedName name="asdg" hidden="1">{"'1-TheatreBkgs'!$A$1:$L$102"}</definedName>
    <definedName name="asdg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localSheetId="5" hidden="1">#REF!</definedName>
    <definedName name="ASDSVCSV" localSheetId="4" hidden="1">#REF!</definedName>
    <definedName name="ASDSVCSV" hidden="1">#REF!</definedName>
    <definedName name="ase" localSheetId="5" hidden="1">{"Tages_D",#N/A,FALSE,"Tagesbericht";"Tages_PL",#N/A,FALSE,"Tagesbericht"}</definedName>
    <definedName name="ase" hidden="1">{"Tages_D",#N/A,FALSE,"Tagesbericht";"Tages_PL",#N/A,FALSE,"Tagesbericht"}</definedName>
    <definedName name="ased" localSheetId="5" hidden="1">{"Tages_D",#N/A,FALSE,"Tagesbericht";"Tages_PL",#N/A,FALSE,"Tagesbericht"}</definedName>
    <definedName name="ased" hidden="1">{"Tages_D",#N/A,FALSE,"Tagesbericht";"Tages_PL",#N/A,FALSE,"Tagesbericht"}</definedName>
    <definedName name="asew" localSheetId="5" hidden="1">{"'ตัวอย่าง'!$A$1:$O$21"}</definedName>
    <definedName name="asew" hidden="1">{"'ตัวอย่าง'!$A$1:$O$21"}</definedName>
    <definedName name="asfaf" localSheetId="5" hidden="1">{"level1",#N/A,FALSE,"1_LEV";"LEVEL1",#N/A,FALSE,"1_LEV"}</definedName>
    <definedName name="asfaf" hidden="1">{"level1",#N/A,FALSE,"1_LEV";"LEVEL1",#N/A,FALSE,"1_LEV"}</definedName>
    <definedName name="asfasf" localSheetId="5" hidden="1">{"'Sheet1'!$L$16"}</definedName>
    <definedName name="asfasf" hidden="1">{"'Sheet1'!$L$16"}</definedName>
    <definedName name="asfer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localSheetId="5" hidden="1">{"F3 Presentation",#N/A,FALSE,"F3 ";"F3 detail",#N/A,FALSE,"F3 "}</definedName>
    <definedName name="asgv" hidden="1">{"F3 Presentation",#N/A,FALSE,"F3 ";"F3 detail",#N/A,FALSE,"F3 "}</definedName>
    <definedName name="ass" localSheetId="5" hidden="1">{"revable",#N/A,FALSE,"REVABLE"}</definedName>
    <definedName name="ass" hidden="1">{"revable",#N/A,FALSE,"REVABLE"}</definedName>
    <definedName name="assdd" localSheetId="5" hidden="1">{"'Sheet1'!$L$16"}</definedName>
    <definedName name="assdd" hidden="1">{"'Sheet1'!$L$16"}</definedName>
    <definedName name="asss" localSheetId="5" hidden="1">{"'1-TheatreBkgs'!$A$1:$L$102"}</definedName>
    <definedName name="asss" hidden="1">{"'1-TheatreBkgs'!$A$1:$L$102"}</definedName>
    <definedName name="assssssanidn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localSheetId="5" hidden="1">{"revable",#N/A,FALSE,"REVABLE"}</definedName>
    <definedName name="ast" hidden="1">{"revable",#N/A,FALSE,"REVABLE"}</definedName>
    <definedName name="asv" localSheetId="5" hidden="1">{"'Sheet1'!$L$16"}</definedName>
    <definedName name="asv" hidden="1">{"'Sheet1'!$L$16"}</definedName>
    <definedName name="asws" localSheetId="5" hidden="1">{#N/A,#N/A,FALSE,"CCTV"}</definedName>
    <definedName name="asws" hidden="1">{#N/A,#N/A,FALSE,"CCTV"}</definedName>
    <definedName name="ASㅁㄴㄴ" localSheetId="5" hidden="1">{"'매출계획'!$D$2"}</definedName>
    <definedName name="ASㅁㄴㄴ" hidden="1">{"'매출계획'!$D$2"}</definedName>
    <definedName name="AU" localSheetId="5" hidden="1">{"'Sheet1'!$L$16"}</definedName>
    <definedName name="AU" hidden="1">{"'Sheet1'!$L$16"}</definedName>
    <definedName name="Aug.05" localSheetId="5" hidden="1">{"'Sheet1'!$L$16"}</definedName>
    <definedName name="Aug.05" hidden="1">{"'Sheet1'!$L$16"}</definedName>
    <definedName name="AUGFIX01" localSheetId="5" hidden="1">{"level1",#N/A,FALSE,"1_LEV";"LEVEL1",#N/A,FALSE,"1_LEV"}</definedName>
    <definedName name="AUGFIX01" hidden="1">{"level1",#N/A,FALSE,"1_LEV";"LEVEL1",#N/A,FALSE,"1_LEV"}</definedName>
    <definedName name="AUGFIX02" localSheetId="5" hidden="1">{"level1",#N/A,FALSE,"1_LEV";"LEVEL1",#N/A,FALSE,"1_LEV"}</definedName>
    <definedName name="AUGFIX02" hidden="1">{"level1",#N/A,FALSE,"1_LEV";"LEVEL1",#N/A,FALSE,"1_LEV"}</definedName>
    <definedName name="avc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localSheetId="5" hidden="1">{"'매출계획'!$D$2"}</definedName>
    <definedName name="AWERT" hidden="1">{"'매출계획'!$D$2"}</definedName>
    <definedName name="awlfj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localSheetId="5" hidden="1">{"hilight1",#N/A,FALSE,"HILIGHT1"}</definedName>
    <definedName name="aWS" hidden="1">{"hilight1",#N/A,FALSE,"HILIGHT1"}</definedName>
    <definedName name="awsgtrf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localSheetId="5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localSheetId="5" hidden="1">{"'매출계획'!$D$2"}</definedName>
    <definedName name="AZ" hidden="1">{"'매출계획'!$D$2"}</definedName>
    <definedName name="B" localSheetId="5">#REF!</definedName>
    <definedName name="B" localSheetId="4">#REF!</definedName>
    <definedName name="B">#REF!</definedName>
    <definedName name="B1.1" localSheetId="5" hidden="1">#REF!</definedName>
    <definedName name="B1.1" localSheetId="4" hidden="1">#REF!</definedName>
    <definedName name="B1.1" hidden="1">#REF!</definedName>
    <definedName name="BABA" localSheetId="5" hidden="1">{"'Sheet1'!$L$16"}</definedName>
    <definedName name="BABA" hidden="1">{"'Sheet1'!$L$16"}</definedName>
    <definedName name="back" localSheetId="5">#REF!</definedName>
    <definedName name="back" localSheetId="4">#REF!</definedName>
    <definedName name="back">#REF!</definedName>
    <definedName name="bal" localSheetId="5" hidden="1">#REF!</definedName>
    <definedName name="bal" localSheetId="4" hidden="1">#REF!</definedName>
    <definedName name="bal" hidden="1">#REF!</definedName>
    <definedName name="balancesheet" localSheetId="5" hidden="1">#REF!</definedName>
    <definedName name="balancesheet" localSheetId="4" hidden="1">#REF!</definedName>
    <definedName name="balancesheet" hidden="1">#REF!</definedName>
    <definedName name="ban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localSheetId="5" hidden="1">{"'Sheet1'!$L$16"}</definedName>
    <definedName name="banking1" hidden="1">{"'Sheet1'!$L$16"}</definedName>
    <definedName name="Bao" localSheetId="5" hidden="1">{#N/A,#N/A,FALSE,"Chi tiÆt"}</definedName>
    <definedName name="Bao" hidden="1">{#N/A,#N/A,FALSE,"Chi tiÆt"}</definedName>
    <definedName name="baogio" localSheetId="5" hidden="1">{#N/A,#N/A,FALSE,"CCTV"}</definedName>
    <definedName name="baogio" hidden="1">{#N/A,#N/A,FALSE,"CCTV"}</definedName>
    <definedName name="BASE1" localSheetId="5" hidden="1">{#N/A,#N/A,FALSE,"CCTV"}</definedName>
    <definedName name="BASE1" hidden="1">{#N/A,#N/A,FALSE,"CCTV"}</definedName>
    <definedName name="BASE2" localSheetId="5" hidden="1">{#N/A,#N/A,FALSE,"CCTV"}</definedName>
    <definedName name="BASE2" hidden="1">{#N/A,#N/A,FALSE,"CCTV"}</definedName>
    <definedName name="bb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localSheetId="5" hidden="1">{"'ตัวอย่าง'!$A$1:$O$21"}</definedName>
    <definedName name="bbbbbbbbb" hidden="1">{"'ตัวอย่าง'!$A$1:$O$21"}</definedName>
    <definedName name="bcong5.03" localSheetId="5" hidden="1">{"'Sheet1'!$L$16"}</definedName>
    <definedName name="bcong5.03" hidden="1">{"'Sheet1'!$L$16"}</definedName>
    <definedName name="BCTHUET6" localSheetId="5" hidden="1">{"'Sheet1'!$L$16"}</definedName>
    <definedName name="BCTHUET6" hidden="1">{"'Sheet1'!$L$16"}</definedName>
    <definedName name="BCV" localSheetId="5" hidden="1">{"'매출계획'!$D$2"}</definedName>
    <definedName name="BCV" hidden="1">{"'매출계획'!$D$2"}</definedName>
    <definedName name="BEx00YBID5NGFPBA5XV5WKLV3XQ8" localSheetId="5" hidden="1">Stat Key #REF!</definedName>
    <definedName name="BEx00YBID5NGFPBA5XV5WKLV3XQ8" localSheetId="4" hidden="1">Stat Key #REF!</definedName>
    <definedName name="BEx00YBID5NGFPBA5XV5WKLV3XQ8" hidden="1">Stat Key #REF!</definedName>
    <definedName name="BEx00YRMWRRN9YYEO5QJFUWENZAZ" localSheetId="5" hidden="1">PCA Cube CPBH!p&amp;CPBH!L by Profit #REF!</definedName>
    <definedName name="BEx00YRMWRRN9YYEO5QJFUWENZAZ" localSheetId="4" hidden="1">PCA Cube [0]!p&amp;[0]!L by Profit #REF!</definedName>
    <definedName name="BEx00YRMWRRN9YYEO5QJFUWENZAZ" hidden="1">PCA Cube p&amp;L by Profit #REF!</definedName>
    <definedName name="BEx00ZYSJX8GI4SVAKKS5G614LX8" localSheetId="5" hidden="1">Stat Key #REF!</definedName>
    <definedName name="BEx00ZYSJX8GI4SVAKKS5G614LX8" localSheetId="4" hidden="1">Stat Key #REF!</definedName>
    <definedName name="BEx00ZYSJX8GI4SVAKKS5G614LX8" hidden="1">Stat Key #REF!</definedName>
    <definedName name="BEx015TAHSXF8A4A8QV9IYVCI7YR" localSheetId="5" hidden="1">Balance #REF!</definedName>
    <definedName name="BEx015TAHSXF8A4A8QV9IYVCI7YR" localSheetId="4" hidden="1">Balance #REF!</definedName>
    <definedName name="BEx015TAHSXF8A4A8QV9IYVCI7YR" hidden="1">Balance #REF!</definedName>
    <definedName name="BEx01L3K20XXWOQIKRQMCIUR2CV1" localSheetId="5" hidden="1">#REF!</definedName>
    <definedName name="BEx01L3K20XXWOQIKRQMCIUR2CV1" localSheetId="4" hidden="1">#REF!</definedName>
    <definedName name="BEx01L3K20XXWOQIKRQMCIUR2CV1" hidden="1">#REF!</definedName>
    <definedName name="BEx1G1298KRJECT1KZ4K418HQV3O" localSheetId="5" hidden="1">Balance #REF!</definedName>
    <definedName name="BEx1G1298KRJECT1KZ4K418HQV3O" localSheetId="4" hidden="1">Balance #REF!</definedName>
    <definedName name="BEx1G1298KRJECT1KZ4K418HQV3O" hidden="1">Balance #REF!</definedName>
    <definedName name="BEx1HBD45N7VENNICLCPUCN7RJY0" localSheetId="5" hidden="1">Stat Key #REF!</definedName>
    <definedName name="BEx1HBD45N7VENNICLCPUCN7RJY0" localSheetId="4" hidden="1">Stat Key #REF!</definedName>
    <definedName name="BEx1HBD45N7VENNICLCPUCN7RJY0" hidden="1">Stat Key #REF!</definedName>
    <definedName name="BEx1HZXXT48OAKV9YCV5TKA7XA37" localSheetId="5" hidden="1">#REF!</definedName>
    <definedName name="BEx1HZXXT48OAKV9YCV5TKA7XA37" localSheetId="4" hidden="1">#REF!</definedName>
    <definedName name="BEx1HZXXT48OAKV9YCV5TKA7XA37" hidden="1">#REF!</definedName>
    <definedName name="BEx1IV9D7SVNJKEOYIOTEX4ZQI24" localSheetId="5" hidden="1">Stat Key #REF!</definedName>
    <definedName name="BEx1IV9D7SVNJKEOYIOTEX4ZQI24" localSheetId="4" hidden="1">Stat Key #REF!</definedName>
    <definedName name="BEx1IV9D7SVNJKEOYIOTEX4ZQI24" hidden="1">Stat Key #REF!</definedName>
    <definedName name="BEx1JCSGKB0SKVGAA1Q3V5Q9GBUE" localSheetId="5" hidden="1">Sales #REF!</definedName>
    <definedName name="BEx1JCSGKB0SKVGAA1Q3V5Q9GBUE" localSheetId="4" hidden="1">Sales #REF!</definedName>
    <definedName name="BEx1JCSGKB0SKVGAA1Q3V5Q9GBUE" hidden="1">Sales #REF!</definedName>
    <definedName name="BEx1LHTDQ3BDBX3CY98KO10N4VSH" localSheetId="5" hidden="1">PCA Cube CPBH!p&amp;CPBH!L by Profit #REF!</definedName>
    <definedName name="BEx1LHTDQ3BDBX3CY98KO10N4VSH" localSheetId="4" hidden="1">PCA Cube [0]!p&amp;[0]!L by Profit #REF!</definedName>
    <definedName name="BEx1LHTDQ3BDBX3CY98KO10N4VSH" hidden="1">PCA Cube p&amp;L by Profit #REF!</definedName>
    <definedName name="BEx1MUD5RKHLA4QF7CZITHHGT4IR" localSheetId="5" hidden="1">Cost #REF!</definedName>
    <definedName name="BEx1MUD5RKHLA4QF7CZITHHGT4IR" localSheetId="4" hidden="1">Cost #REF!</definedName>
    <definedName name="BEx1MUD5RKHLA4QF7CZITHHGT4IR" hidden="1">Cost #REF!</definedName>
    <definedName name="BEx1OC0HIHMN68QC05T495HI5XRT" localSheetId="5" hidden="1">PCA Cube CPBH!p&amp;CPBH!L by Profit #REF!</definedName>
    <definedName name="BEx1OC0HIHMN68QC05T495HI5XRT" localSheetId="4" hidden="1">PCA Cube [0]!p&amp;[0]!L by Profit #REF!</definedName>
    <definedName name="BEx1OC0HIHMN68QC05T495HI5XRT" hidden="1">PCA Cube p&amp;L by Profit #REF!</definedName>
    <definedName name="BEx1RP8OOR8V4GL9JG4PRLGQVDL2" localSheetId="5" hidden="1">#REF!</definedName>
    <definedName name="BEx1RP8OOR8V4GL9JG4PRLGQVDL2" localSheetId="4" hidden="1">#REF!</definedName>
    <definedName name="BEx1RP8OOR8V4GL9JG4PRLGQVDL2" hidden="1">#REF!</definedName>
    <definedName name="BEx1RTA9N9K3D334AMMAB5SB1IPW" localSheetId="5" hidden="1">Sales #REF!</definedName>
    <definedName name="BEx1RTA9N9K3D334AMMAB5SB1IPW" localSheetId="4" hidden="1">Sales #REF!</definedName>
    <definedName name="BEx1RTA9N9K3D334AMMAB5SB1IPW" hidden="1">Sales #REF!</definedName>
    <definedName name="BEx1SBKES9TRVNT8I3ST7LKLUSCX" localSheetId="5" hidden="1">PCA Cube by GL #REF!</definedName>
    <definedName name="BEx1SBKES9TRVNT8I3ST7LKLUSCX" localSheetId="4" hidden="1">PCA Cube by GL #REF!</definedName>
    <definedName name="BEx1SBKES9TRVNT8I3ST7LKLUSCX" hidden="1">PCA Cube by GL #REF!</definedName>
    <definedName name="BEx1TDMOPCTE5XLY1C94G3TH4Z6D" hidden="1">#N/A</definedName>
    <definedName name="BEx1UO8FKR4RSSQ8PWEUJI22GA02" localSheetId="5" hidden="1">#REF!</definedName>
    <definedName name="BEx1UO8FKR4RSSQ8PWEUJI22GA02" localSheetId="4" hidden="1">#REF!</definedName>
    <definedName name="BEx1UO8FKR4RSSQ8PWEUJI22GA02" hidden="1">#REF!</definedName>
    <definedName name="BEx1VJ91EGF02SVFROM36L8N7V42" localSheetId="5" hidden="1">PCA Cube CPBH!p&amp;CPBH!L by Profit #REF!</definedName>
    <definedName name="BEx1VJ91EGF02SVFROM36L8N7V42" localSheetId="4" hidden="1">PCA Cube [0]!p&amp;[0]!L by Profit #REF!</definedName>
    <definedName name="BEx1VJ91EGF02SVFROM36L8N7V42" hidden="1">PCA Cube p&amp;L by Profit #REF!</definedName>
    <definedName name="BEx1XGMSWQRH04DR6D8D32LTAFXS" localSheetId="5" hidden="1">FIGL Cube by #REF!</definedName>
    <definedName name="BEx1XGMSWQRH04DR6D8D32LTAFXS" localSheetId="4" hidden="1">FIGL Cube by #REF!</definedName>
    <definedName name="BEx1XGMSWQRH04DR6D8D32LTAFXS" hidden="1">FIGL Cube by #REF!</definedName>
    <definedName name="BEx3B26FAU4BE9XEX1ORD15X113N" localSheetId="5" hidden="1">Weekly KPI #REF!</definedName>
    <definedName name="BEx3B26FAU4BE9XEX1ORD15X113N" localSheetId="4" hidden="1">Weekly KPI #REF!</definedName>
    <definedName name="BEx3B26FAU4BE9XEX1ORD15X113N" hidden="1">Weekly KPI #REF!</definedName>
    <definedName name="BEx3C01NYX0TA2X6W0JXRJ3AKV64" localSheetId="5" hidden="1">FIGL Cube by GL #REF!</definedName>
    <definedName name="BEx3C01NYX0TA2X6W0JXRJ3AKV64" localSheetId="4" hidden="1">FIGL Cube by GL #REF!</definedName>
    <definedName name="BEx3C01NYX0TA2X6W0JXRJ3AKV64" hidden="1">FIGL Cube by GL #REF!</definedName>
    <definedName name="BEx3CJ2NR23Y66SYTOETD1RHDMIM" localSheetId="5" hidden="1">PCA Cube by GL #REF!</definedName>
    <definedName name="BEx3CJ2NR23Y66SYTOETD1RHDMIM" localSheetId="4" hidden="1">PCA Cube by GL #REF!</definedName>
    <definedName name="BEx3CJ2NR23Y66SYTOETD1RHDMIM" hidden="1">PCA Cube by GL #REF!</definedName>
    <definedName name="BEx3ED07Y3510OFGLVS6SAPEX39P" localSheetId="5" hidden="1">PCA Cube CPBH!p&amp;CPBH!L by Profit #REF!</definedName>
    <definedName name="BEx3ED07Y3510OFGLVS6SAPEX39P" localSheetId="4" hidden="1">PCA Cube [0]!p&amp;[0]!L by Profit #REF!</definedName>
    <definedName name="BEx3ED07Y3510OFGLVS6SAPEX39P" hidden="1">PCA Cube p&amp;L by Profit #REF!</definedName>
    <definedName name="BEx3EHNKG2H5BP2X3RRLN0FCBDEJ" localSheetId="5" hidden="1">PCA Cube CPBH!p&amp;CPBH!L by Profit #REF!</definedName>
    <definedName name="BEx3EHNKG2H5BP2X3RRLN0FCBDEJ" localSheetId="4" hidden="1">PCA Cube [0]!p&amp;[0]!L by Profit #REF!</definedName>
    <definedName name="BEx3EHNKG2H5BP2X3RRLN0FCBDEJ" hidden="1">PCA Cube p&amp;L by Profit #REF!</definedName>
    <definedName name="BEx3ENY673TKTGB1K5WZTSO80U4K" localSheetId="5" hidden="1">Stat Key #REF!</definedName>
    <definedName name="BEx3ENY673TKTGB1K5WZTSO80U4K" localSheetId="4" hidden="1">Stat Key #REF!</definedName>
    <definedName name="BEx3ENY673TKTGB1K5WZTSO80U4K" hidden="1">Stat Key #REF!</definedName>
    <definedName name="BEx3H4NR0T5SCJ8VOXANA1078H75" localSheetId="5" hidden="1">Balance #REF!</definedName>
    <definedName name="BEx3H4NR0T5SCJ8VOXANA1078H75" localSheetId="4" hidden="1">Balance #REF!</definedName>
    <definedName name="BEx3H4NR0T5SCJ8VOXANA1078H75" hidden="1">Balance #REF!</definedName>
    <definedName name="BEx3I9V9K7AV41R3XRCFPR0HEKJR" localSheetId="5" hidden="1">Financials - Prior #REF!</definedName>
    <definedName name="BEx3I9V9K7AV41R3XRCFPR0HEKJR" localSheetId="4" hidden="1">Financials - Prior #REF!</definedName>
    <definedName name="BEx3I9V9K7AV41R3XRCFPR0HEKJR" hidden="1">Financials - Prior #REF!</definedName>
    <definedName name="BEx3IVWC7EINDQ48V0O28396VAI3" localSheetId="5" hidden="1">PCA Cube CPBH!p&amp;CPBH!L by Profit #REF!</definedName>
    <definedName name="BEx3IVWC7EINDQ48V0O28396VAI3" localSheetId="4" hidden="1">PCA Cube [0]!p&amp;[0]!L by Profit #REF!</definedName>
    <definedName name="BEx3IVWC7EINDQ48V0O28396VAI3" hidden="1">PCA Cube p&amp;L by Profit #REF!</definedName>
    <definedName name="BEx3JQGPUNHKC5QZPKHSA17GW5MH" localSheetId="5" hidden="1">#REF!</definedName>
    <definedName name="BEx3JQGPUNHKC5QZPKHSA17GW5MH" localSheetId="4" hidden="1">#REF!</definedName>
    <definedName name="BEx3JQGPUNHKC5QZPKHSA17GW5MH" hidden="1">#REF!</definedName>
    <definedName name="BEx3JXT6PCVNXT9E6X7QHXFHOFA1" localSheetId="5" hidden="1">Sales #REF!</definedName>
    <definedName name="BEx3JXT6PCVNXT9E6X7QHXFHOFA1" localSheetId="4" hidden="1">Sales #REF!</definedName>
    <definedName name="BEx3JXT6PCVNXT9E6X7QHXFHOFA1" hidden="1">Sales #REF!</definedName>
    <definedName name="BEx3K5QZCYBUW93N75YYMKEQTEJO" localSheetId="5" hidden="1">Stat Key #REF!</definedName>
    <definedName name="BEx3K5QZCYBUW93N75YYMKEQTEJO" localSheetId="4" hidden="1">Stat Key #REF!</definedName>
    <definedName name="BEx3K5QZCYBUW93N75YYMKEQTEJO" hidden="1">Stat Key #REF!</definedName>
    <definedName name="BEx3LJY7LDVGZJE3GJM9UCQQVY26" localSheetId="5" hidden="1">PCA Cube by GL #REF!</definedName>
    <definedName name="BEx3LJY7LDVGZJE3GJM9UCQQVY26" localSheetId="4" hidden="1">PCA Cube by GL #REF!</definedName>
    <definedName name="BEx3LJY7LDVGZJE3GJM9UCQQVY26" hidden="1">PCA Cube by GL #REF!</definedName>
    <definedName name="BEx3LOLD93FINK24XRLFOL4HRAVI" hidden="1">#N/A</definedName>
    <definedName name="BEx3M4S6AO494RHO7E4L2BGJ9AIM" localSheetId="5" hidden="1">Stat Key #REF!</definedName>
    <definedName name="BEx3M4S6AO494RHO7E4L2BGJ9AIM" localSheetId="4" hidden="1">Stat Key #REF!</definedName>
    <definedName name="BEx3M4S6AO494RHO7E4L2BGJ9AIM" hidden="1">Stat Key #REF!</definedName>
    <definedName name="BEx3OQL4PSEX5IVIXMHF0BWPXU98" localSheetId="5" hidden="1">#REF!</definedName>
    <definedName name="BEx3OQL4PSEX5IVIXMHF0BWPXU98" localSheetId="4" hidden="1">#REF!</definedName>
    <definedName name="BEx3OQL4PSEX5IVIXMHF0BWPXU98" hidden="1">#REF!</definedName>
    <definedName name="BEx3PB45HFPVC8AVRDYINNC63B1V" localSheetId="5" hidden="1">Sales #REF!</definedName>
    <definedName name="BEx3PB45HFPVC8AVRDYINNC63B1V" localSheetId="4" hidden="1">Sales #REF!</definedName>
    <definedName name="BEx3PB45HFPVC8AVRDYINNC63B1V" hidden="1">Sales #REF!</definedName>
    <definedName name="BEx3PNUMCJ6IVH0D91OTHJB15GLP" localSheetId="5" hidden="1">Financials - Prior #REF!</definedName>
    <definedName name="BEx3PNUMCJ6IVH0D91OTHJB15GLP" localSheetId="4" hidden="1">Financials - Prior #REF!</definedName>
    <definedName name="BEx3PNUMCJ6IVH0D91OTHJB15GLP" hidden="1">Financials - Prior #REF!</definedName>
    <definedName name="BEx3Q0LAP5OHFRYMOC1AKQTZCCA4" localSheetId="5" hidden="1">Stat Key #REF!</definedName>
    <definedName name="BEx3Q0LAP5OHFRYMOC1AKQTZCCA4" localSheetId="4" hidden="1">Stat Key #REF!</definedName>
    <definedName name="BEx3Q0LAP5OHFRYMOC1AKQTZCCA4" hidden="1">Stat Key #REF!</definedName>
    <definedName name="BEx3QH80CTCOTSUOC8UWB9OCYSI4" localSheetId="5" hidden="1">PCA Cube by GL #REF!</definedName>
    <definedName name="BEx3QH80CTCOTSUOC8UWB9OCYSI4" localSheetId="4" hidden="1">PCA Cube by GL #REF!</definedName>
    <definedName name="BEx3QH80CTCOTSUOC8UWB9OCYSI4" hidden="1">PCA Cube by GL #REF!</definedName>
    <definedName name="BEx3SGJT3YFDJV1E1UN555Y7K0WB" localSheetId="5" hidden="1">PCA Cube CPBH!p&amp;CPBH!L by Profit #REF!</definedName>
    <definedName name="BEx3SGJT3YFDJV1E1UN555Y7K0WB" localSheetId="4" hidden="1">PCA Cube [0]!p&amp;[0]!L by Profit #REF!</definedName>
    <definedName name="BEx3SGJT3YFDJV1E1UN555Y7K0WB" hidden="1">PCA Cube p&amp;L by Profit #REF!</definedName>
    <definedName name="BEx3SO1JQMBS2OAF4BSQDBC83AOZ" localSheetId="5" hidden="1">Stat Key #REF!</definedName>
    <definedName name="BEx3SO1JQMBS2OAF4BSQDBC83AOZ" localSheetId="4" hidden="1">Stat Key #REF!</definedName>
    <definedName name="BEx3SO1JQMBS2OAF4BSQDBC83AOZ" hidden="1">Stat Key #REF!</definedName>
    <definedName name="BEx3UAC0OE7PYA3ADF3TG5OT4BNE" localSheetId="5" hidden="1">FIGL Cube by GL #REF!</definedName>
    <definedName name="BEx3UAC0OE7PYA3ADF3TG5OT4BNE" localSheetId="4" hidden="1">FIGL Cube by GL #REF!</definedName>
    <definedName name="BEx3UAC0OE7PYA3ADF3TG5OT4BNE" hidden="1">FIGL Cube by GL #REF!</definedName>
    <definedName name="BEx59U5RVBS5J46R8I9DY8WCMEWI" localSheetId="5" hidden="1">Financials - Prior #REF!</definedName>
    <definedName name="BEx59U5RVBS5J46R8I9DY8WCMEWI" localSheetId="4" hidden="1">Financials - Prior #REF!</definedName>
    <definedName name="BEx59U5RVBS5J46R8I9DY8WCMEWI" hidden="1">Financials - Prior #REF!</definedName>
    <definedName name="BEx5AMXKNUE35ZW6O5BL2OLSTESD" localSheetId="5" hidden="1">Stat Key #REF!</definedName>
    <definedName name="BEx5AMXKNUE35ZW6O5BL2OLSTESD" localSheetId="4" hidden="1">Stat Key #REF!</definedName>
    <definedName name="BEx5AMXKNUE35ZW6O5BL2OLSTESD" hidden="1">Stat Key #REF!</definedName>
    <definedName name="BEx5BGLS0KO7IMPMUIEM931K3AKN" localSheetId="5" hidden="1">PCA Cube CPBH!p&amp;CPBH!L by Profit #REF!</definedName>
    <definedName name="BEx5BGLS0KO7IMPMUIEM931K3AKN" localSheetId="4" hidden="1">PCA Cube [0]!p&amp;[0]!L by Profit #REF!</definedName>
    <definedName name="BEx5BGLS0KO7IMPMUIEM931K3AKN" hidden="1">PCA Cube p&amp;L by Profit #REF!</definedName>
    <definedName name="BEx5CFIMCLG1TE6EFY1LBTWI0V81" localSheetId="5" hidden="1">#REF!</definedName>
    <definedName name="BEx5CFIMCLG1TE6EFY1LBTWI0V81" localSheetId="4" hidden="1">#REF!</definedName>
    <definedName name="BEx5CFIMCLG1TE6EFY1LBTWI0V81" hidden="1">#REF!</definedName>
    <definedName name="BEx5D5547BZ9LLAL3SE06TM5693U" localSheetId="5" hidden="1">PCA Statkey by Profit #REF!</definedName>
    <definedName name="BEx5D5547BZ9LLAL3SE06TM5693U" localSheetId="4" hidden="1">PCA Statkey by Profit #REF!</definedName>
    <definedName name="BEx5D5547BZ9LLAL3SE06TM5693U" hidden="1">PCA Statkey by Profit #REF!</definedName>
    <definedName name="BEx5EFG08IIV4F5N3THGOF52RJ90" localSheetId="5" hidden="1">Financials - Prior #REF!</definedName>
    <definedName name="BEx5EFG08IIV4F5N3THGOF52RJ90" localSheetId="4" hidden="1">Financials - Prior #REF!</definedName>
    <definedName name="BEx5EFG08IIV4F5N3THGOF52RJ90" hidden="1">Financials - Prior #REF!</definedName>
    <definedName name="BEx5ER4SJ4958AW3ODDWP5BMRGXY" localSheetId="5" hidden="1">PCA Cube by GL #REF!</definedName>
    <definedName name="BEx5ER4SJ4958AW3ODDWP5BMRGXY" localSheetId="4" hidden="1">PCA Cube by GL #REF!</definedName>
    <definedName name="BEx5ER4SJ4958AW3ODDWP5BMRGXY" hidden="1">PCA Cube by GL #REF!</definedName>
    <definedName name="BEx5ES6HA847TKZF3SQ5XS4BN7EG" localSheetId="5" hidden="1">Balance #REF!</definedName>
    <definedName name="BEx5ES6HA847TKZF3SQ5XS4BN7EG" localSheetId="4" hidden="1">Balance #REF!</definedName>
    <definedName name="BEx5ES6HA847TKZF3SQ5XS4BN7EG" hidden="1">Balance #REF!</definedName>
    <definedName name="BEx5FBTAF4QT6NJGCTWDYYTQEO8N" localSheetId="5" hidden="1">PCA Cube CPBH!p&amp;CPBH!L by Profit #REF!</definedName>
    <definedName name="BEx5FBTAF4QT6NJGCTWDYYTQEO8N" localSheetId="4" hidden="1">PCA Cube [0]!p&amp;[0]!L by Profit #REF!</definedName>
    <definedName name="BEx5FBTAF4QT6NJGCTWDYYTQEO8N" hidden="1">PCA Cube p&amp;L by Profit #REF!</definedName>
    <definedName name="BEx5FJAV0BUU8X6VYTC0L58UD9OV" localSheetId="5" hidden="1">Weekly KPI #REF!</definedName>
    <definedName name="BEx5FJAV0BUU8X6VYTC0L58UD9OV" localSheetId="4" hidden="1">Weekly KPI #REF!</definedName>
    <definedName name="BEx5FJAV0BUU8X6VYTC0L58UD9OV" hidden="1">Weekly KPI #REF!</definedName>
    <definedName name="BEx5GERRDTY9X3Q44PPT6D1YUFL2" localSheetId="5" hidden="1">Cost #REF!</definedName>
    <definedName name="BEx5GERRDTY9X3Q44PPT6D1YUFL2" localSheetId="4" hidden="1">Cost #REF!</definedName>
    <definedName name="BEx5GERRDTY9X3Q44PPT6D1YUFL2" hidden="1">Cost #REF!</definedName>
    <definedName name="BEx5GMEUJGIOG3KYY8B3E33TWIVR" localSheetId="5" hidden="1">Stat Key #REF!</definedName>
    <definedName name="BEx5GMEUJGIOG3KYY8B3E33TWIVR" localSheetId="4" hidden="1">Stat Key #REF!</definedName>
    <definedName name="BEx5GMEUJGIOG3KYY8B3E33TWIVR" hidden="1">Stat Key #REF!</definedName>
    <definedName name="BEx5J6KJCIA054X5JL5JAWMU96OO" localSheetId="5" hidden="1">PCA Cube CPBH!p&amp;CPBH!L by Profit #REF!</definedName>
    <definedName name="BEx5J6KJCIA054X5JL5JAWMU96OO" localSheetId="4" hidden="1">PCA Cube [0]!p&amp;[0]!L by Profit #REF!</definedName>
    <definedName name="BEx5J6KJCIA054X5JL5JAWMU96OO" hidden="1">PCA Cube p&amp;L by Profit #REF!</definedName>
    <definedName name="BEx5J8DBXXXZ6VRAKQAE2E9QVMA8" localSheetId="5" hidden="1">Cost #REF!</definedName>
    <definedName name="BEx5J8DBXXXZ6VRAKQAE2E9QVMA8" localSheetId="4" hidden="1">Cost #REF!</definedName>
    <definedName name="BEx5J8DBXXXZ6VRAKQAE2E9QVMA8" hidden="1">Cost #REF!</definedName>
    <definedName name="BEx5JV5BXSE2Q18524NRNYDCR1LC" localSheetId="5" hidden="1">PCA Cube by GL #REF!</definedName>
    <definedName name="BEx5JV5BXSE2Q18524NRNYDCR1LC" localSheetId="4" hidden="1">PCA Cube by GL #REF!</definedName>
    <definedName name="BEx5JV5BXSE2Q18524NRNYDCR1LC" hidden="1">PCA Cube by GL #REF!</definedName>
    <definedName name="BEx5KE128N1HKAP4N47Y8PJR1T2G" localSheetId="5" hidden="1">PCA Cube by GL #REF!</definedName>
    <definedName name="BEx5KE128N1HKAP4N47Y8PJR1T2G" localSheetId="4" hidden="1">PCA Cube by GL #REF!</definedName>
    <definedName name="BEx5KE128N1HKAP4N47Y8PJR1T2G" hidden="1">PCA Cube by GL #REF!</definedName>
    <definedName name="BEx5KLTMAQLUVLLN257E6UIZWF7T" localSheetId="5" hidden="1">Cost #REF!</definedName>
    <definedName name="BEx5KLTMAQLUVLLN257E6UIZWF7T" localSheetId="4" hidden="1">Cost #REF!</definedName>
    <definedName name="BEx5KLTMAQLUVLLN257E6UIZWF7T" hidden="1">Cost #REF!</definedName>
    <definedName name="BEx5MX4XIRZACIN5LFJK9ZZ2P4AW" localSheetId="5" hidden="1">Capital Employed by #REF!</definedName>
    <definedName name="BEx5MX4XIRZACIN5LFJK9ZZ2P4AW" localSheetId="4" hidden="1">Capital Employed by #REF!</definedName>
    <definedName name="BEx5MX4XIRZACIN5LFJK9ZZ2P4AW" hidden="1">Capital Employed by #REF!</definedName>
    <definedName name="BEx5N6FFDDHUQSZD7BV430M8PGQH" localSheetId="5" hidden="1">Sales #REF!</definedName>
    <definedName name="BEx5N6FFDDHUQSZD7BV430M8PGQH" localSheetId="4" hidden="1">Sales #REF!</definedName>
    <definedName name="BEx5N6FFDDHUQSZD7BV430M8PGQH" hidden="1">Sales #REF!</definedName>
    <definedName name="BEx5NUUPIHRNABGUOI1EUZW555OF" localSheetId="5" hidden="1">Balance #REF!</definedName>
    <definedName name="BEx5NUUPIHRNABGUOI1EUZW555OF" localSheetId="4" hidden="1">Balance #REF!</definedName>
    <definedName name="BEx5NUUPIHRNABGUOI1EUZW555OF" hidden="1">Balance #REF!</definedName>
    <definedName name="BEx5ORTM4EHT1GX3DLQK9KKSZ8B6" localSheetId="5" hidden="1">#REF!</definedName>
    <definedName name="BEx5ORTM4EHT1GX3DLQK9KKSZ8B6" localSheetId="4" hidden="1">#REF!</definedName>
    <definedName name="BEx5ORTM4EHT1GX3DLQK9KKSZ8B6" hidden="1">#REF!</definedName>
    <definedName name="BEx5QE444SPS9G7IZUJVCHAG6A3V" localSheetId="5" hidden="1">Financials - Prior #REF!</definedName>
    <definedName name="BEx5QE444SPS9G7IZUJVCHAG6A3V" localSheetId="4" hidden="1">Financials - Prior #REF!</definedName>
    <definedName name="BEx5QE444SPS9G7IZUJVCHAG6A3V" hidden="1">Financials - Prior #REF!</definedName>
    <definedName name="BEx74SKTSYZC4JAG10H9UDESMMRW" localSheetId="5" hidden="1">Capital Employed by #REF!</definedName>
    <definedName name="BEx74SKTSYZC4JAG10H9UDESMMRW" localSheetId="4" hidden="1">Capital Employed by #REF!</definedName>
    <definedName name="BEx74SKTSYZC4JAG10H9UDESMMRW" hidden="1">Capital Employed by #REF!</definedName>
    <definedName name="BEx74YKL4IIU7IK7XP77L6M7JI0Q" localSheetId="5" hidden="1">Stat Key #REF!</definedName>
    <definedName name="BEx74YKL4IIU7IK7XP77L6M7JI0Q" localSheetId="4" hidden="1">Stat Key #REF!</definedName>
    <definedName name="BEx74YKL4IIU7IK7XP77L6M7JI0Q" hidden="1">Stat Key #REF!</definedName>
    <definedName name="BEx75PZS2SRS5VQO2856WVJ2ND4N" localSheetId="5" hidden="1">#REF!</definedName>
    <definedName name="BEx75PZS2SRS5VQO2856WVJ2ND4N" localSheetId="4" hidden="1">#REF!</definedName>
    <definedName name="BEx75PZS2SRS5VQO2856WVJ2ND4N" hidden="1">#REF!</definedName>
    <definedName name="BEx7CUZHLKLYSFMRY3OOCSVE51D7" localSheetId="5" hidden="1">Balance #REF!</definedName>
    <definedName name="BEx7CUZHLKLYSFMRY3OOCSVE51D7" localSheetId="4" hidden="1">Balance #REF!</definedName>
    <definedName name="BEx7CUZHLKLYSFMRY3OOCSVE51D7" hidden="1">Balance #REF!</definedName>
    <definedName name="BEx7GAM670XF1O4W3PZBR256A1KB" localSheetId="5" hidden="1">Financials - Prior #REF!</definedName>
    <definedName name="BEx7GAM670XF1O4W3PZBR256A1KB" localSheetId="4" hidden="1">Financials - Prior #REF!</definedName>
    <definedName name="BEx7GAM670XF1O4W3PZBR256A1KB" hidden="1">Financials - Prior #REF!</definedName>
    <definedName name="BEx7GD5RFH5LJBA29OXE029KVNEQ" localSheetId="5" hidden="1">Sales #REF!</definedName>
    <definedName name="BEx7GD5RFH5LJBA29OXE029KVNEQ" localSheetId="4" hidden="1">Sales #REF!</definedName>
    <definedName name="BEx7GD5RFH5LJBA29OXE029KVNEQ" hidden="1">Sales #REF!</definedName>
    <definedName name="BEx7GF9ASYXFPZFDF2HY73LI1T8U" localSheetId="5" hidden="1">Stat Key #REF!</definedName>
    <definedName name="BEx7GF9ASYXFPZFDF2HY73LI1T8U" localSheetId="4" hidden="1">Stat Key #REF!</definedName>
    <definedName name="BEx7GF9ASYXFPZFDF2HY73LI1T8U" hidden="1">Stat Key #REF!</definedName>
    <definedName name="BEx7GOEBH2E3RXCT98T47ZPEO80Q" localSheetId="5" hidden="1">FIGL Cube by GL #REF!</definedName>
    <definedName name="BEx7GOEBH2E3RXCT98T47ZPEO80Q" localSheetId="4" hidden="1">FIGL Cube by GL #REF!</definedName>
    <definedName name="BEx7GOEBH2E3RXCT98T47ZPEO80Q" hidden="1">FIGL Cube by GL #REF!</definedName>
    <definedName name="BEx7GQSSH3PR5IP3FRLS7PYKOCEF" localSheetId="5" hidden="1">Stat Key #REF!</definedName>
    <definedName name="BEx7GQSSH3PR5IP3FRLS7PYKOCEF" localSheetId="4" hidden="1">Stat Key #REF!</definedName>
    <definedName name="BEx7GQSSH3PR5IP3FRLS7PYKOCEF" hidden="1">Stat Key #REF!</definedName>
    <definedName name="BEx7ILS21FECPFONXIJTIQKZTKLW" localSheetId="5" hidden="1">#REF!</definedName>
    <definedName name="BEx7ILS21FECPFONXIJTIQKZTKLW" localSheetId="4" hidden="1">#REF!</definedName>
    <definedName name="BEx7ILS21FECPFONXIJTIQKZTKLW" hidden="1">#REF!</definedName>
    <definedName name="BEx7IRXA68PSR3HIG5P092QHFUEJ" localSheetId="5" hidden="1">Sales #REF!</definedName>
    <definedName name="BEx7IRXA68PSR3HIG5P092QHFUEJ" localSheetId="4" hidden="1">Sales #REF!</definedName>
    <definedName name="BEx7IRXA68PSR3HIG5P092QHFUEJ" hidden="1">Sales #REF!</definedName>
    <definedName name="BEx7ISDEIDZYDRAN2XHAC737BKR2" localSheetId="5" hidden="1">PCA Cube by GL #REF!</definedName>
    <definedName name="BEx7ISDEIDZYDRAN2XHAC737BKR2" localSheetId="4" hidden="1">PCA Cube by GL #REF!</definedName>
    <definedName name="BEx7ISDEIDZYDRAN2XHAC737BKR2" hidden="1">PCA Cube by GL #REF!</definedName>
    <definedName name="BEx7JACSMSWCEH319HTJURJFTSFU" localSheetId="5" hidden="1">Sales #REF!</definedName>
    <definedName name="BEx7JACSMSWCEH319HTJURJFTSFU" localSheetId="4" hidden="1">Sales #REF!</definedName>
    <definedName name="BEx7JACSMSWCEH319HTJURJFTSFU" hidden="1">Sales #REF!</definedName>
    <definedName name="BEx7JLQT0LEQAHLE5TM2VQD0K35L" localSheetId="5" hidden="1">PCA Statkey by Profit #REF!</definedName>
    <definedName name="BEx7JLQT0LEQAHLE5TM2VQD0K35L" localSheetId="4" hidden="1">PCA Statkey by Profit #REF!</definedName>
    <definedName name="BEx7JLQT0LEQAHLE5TM2VQD0K35L" hidden="1">PCA Statkey by Profit #REF!</definedName>
    <definedName name="BEx7JTDUPB0U500J1WN245YIKHQ8" localSheetId="5" hidden="1">Stat Key #REF!</definedName>
    <definedName name="BEx7JTDUPB0U500J1WN245YIKHQ8" localSheetId="4" hidden="1">Stat Key #REF!</definedName>
    <definedName name="BEx7JTDUPB0U500J1WN245YIKHQ8" hidden="1">Stat Key #REF!</definedName>
    <definedName name="BEx7L3E4OJ0F138WZF37W04MOQ2P" localSheetId="5" hidden="1">#REF!</definedName>
    <definedName name="BEx7L3E4OJ0F138WZF37W04MOQ2P" localSheetId="4" hidden="1">#REF!</definedName>
    <definedName name="BEx7L3E4OJ0F138WZF37W04MOQ2P" hidden="1">#REF!</definedName>
    <definedName name="BEx7L6OODY8K3FCLC1QXLO4GJ55Q" localSheetId="5" hidden="1">Sales #REF!</definedName>
    <definedName name="BEx7L6OODY8K3FCLC1QXLO4GJ55Q" localSheetId="4" hidden="1">Sales #REF!</definedName>
    <definedName name="BEx7L6OODY8K3FCLC1QXLO4GJ55Q" hidden="1">Sales #REF!</definedName>
    <definedName name="BEx7L8HKUBYU2N2E2LTD2DT5MFHF" localSheetId="5" hidden="1">PCA Cube CPBH!p&amp;CPBH!L by Profit #REF!</definedName>
    <definedName name="BEx7L8HKUBYU2N2E2LTD2DT5MFHF" localSheetId="4" hidden="1">PCA Cube [0]!p&amp;[0]!L by Profit #REF!</definedName>
    <definedName name="BEx7L8HKUBYU2N2E2LTD2DT5MFHF" hidden="1">PCA Cube p&amp;L by Profit #REF!</definedName>
    <definedName name="BEx7MXXA3BL463VNO56IQVDCRNPN" localSheetId="5" hidden="1">Weekly KPI #REF!</definedName>
    <definedName name="BEx7MXXA3BL463VNO56IQVDCRNPN" localSheetId="4" hidden="1">Weekly KPI #REF!</definedName>
    <definedName name="BEx7MXXA3BL463VNO56IQVDCRNPN" hidden="1">Weekly KPI #REF!</definedName>
    <definedName name="BEx90TCXM07DCGKQ6PP94JDC2Q19" localSheetId="5" hidden="1">Balance #REF!</definedName>
    <definedName name="BEx90TCXM07DCGKQ6PP94JDC2Q19" localSheetId="4" hidden="1">Balance #REF!</definedName>
    <definedName name="BEx90TCXM07DCGKQ6PP94JDC2Q19" hidden="1">Balance #REF!</definedName>
    <definedName name="BEx91IZEBCKBX8HJ4RKSH3T633VJ" localSheetId="5" hidden="1">#REF!</definedName>
    <definedName name="BEx91IZEBCKBX8HJ4RKSH3T633VJ" localSheetId="4" hidden="1">#REF!</definedName>
    <definedName name="BEx91IZEBCKBX8HJ4RKSH3T633VJ" hidden="1">#REF!</definedName>
    <definedName name="BEx95GFXYNFJ3Y9GQTA7TFRQA2E4" localSheetId="5" hidden="1">PCA Cube by GL #REF!</definedName>
    <definedName name="BEx95GFXYNFJ3Y9GQTA7TFRQA2E4" localSheetId="4" hidden="1">PCA Cube by GL #REF!</definedName>
    <definedName name="BEx95GFXYNFJ3Y9GQTA7TFRQA2E4" hidden="1">PCA Cube by GL #REF!</definedName>
    <definedName name="BEx95YVF5C5FIQ6DCNDO1Z0YV5L5" localSheetId="5" hidden="1">Stat Key #REF!</definedName>
    <definedName name="BEx95YVF5C5FIQ6DCNDO1Z0YV5L5" localSheetId="4" hidden="1">Stat Key #REF!</definedName>
    <definedName name="BEx95YVF5C5FIQ6DCNDO1Z0YV5L5" hidden="1">Stat Key #REF!</definedName>
    <definedName name="BEx98LVL90BE7D84NKILKAK2VC3C" localSheetId="5" hidden="1">Weekly KPI #REF!</definedName>
    <definedName name="BEx98LVL90BE7D84NKILKAK2VC3C" localSheetId="4" hidden="1">Weekly KPI #REF!</definedName>
    <definedName name="BEx98LVL90BE7D84NKILKAK2VC3C" hidden="1">Weekly KPI #REF!</definedName>
    <definedName name="BEx98UKHG9IEZ5KQRJ1HIDLR4KPM" localSheetId="5" hidden="1">Weekly KPI #REF!</definedName>
    <definedName name="BEx98UKHG9IEZ5KQRJ1HIDLR4KPM" localSheetId="4" hidden="1">Weekly KPI #REF!</definedName>
    <definedName name="BEx98UKHG9IEZ5KQRJ1HIDLR4KPM" hidden="1">Weekly KPI #REF!</definedName>
    <definedName name="BEx9AGK81ZDMW90NRLEZPPPYGK85" localSheetId="5" hidden="1">PCA Cube CPBH!p&amp;CPBH!L by Profit #REF!</definedName>
    <definedName name="BEx9AGK81ZDMW90NRLEZPPPYGK85" localSheetId="4" hidden="1">PCA Cube [0]!p&amp;[0]!L by Profit #REF!</definedName>
    <definedName name="BEx9AGK81ZDMW90NRLEZPPPYGK85" hidden="1">PCA Cube p&amp;L by Profit #REF!</definedName>
    <definedName name="BEx9BQ9I8KH8D83AODG5JALDL2E7" localSheetId="5" hidden="1">Stat Key #REF!</definedName>
    <definedName name="BEx9BQ9I8KH8D83AODG5JALDL2E7" localSheetId="4" hidden="1">Stat Key #REF!</definedName>
    <definedName name="BEx9BQ9I8KH8D83AODG5JALDL2E7" hidden="1">Stat Key #REF!</definedName>
    <definedName name="BEx9E9DF5T5I7NMUHUSIME47T0W9" localSheetId="5" hidden="1">Financials - Prior #REF!</definedName>
    <definedName name="BEx9E9DF5T5I7NMUHUSIME47T0W9" localSheetId="4" hidden="1">Financials - Prior #REF!</definedName>
    <definedName name="BEx9E9DF5T5I7NMUHUSIME47T0W9" hidden="1">Financials - Prior #REF!</definedName>
    <definedName name="BEx9EZG3T2KCLLIB4RLF2PD1L1ON" localSheetId="5" hidden="1">Stat Key #REF!</definedName>
    <definedName name="BEx9EZG3T2KCLLIB4RLF2PD1L1ON" localSheetId="4" hidden="1">Stat Key #REF!</definedName>
    <definedName name="BEx9EZG3T2KCLLIB4RLF2PD1L1ON" hidden="1">Stat Key #REF!</definedName>
    <definedName name="BEx9HLPDNKKEXIPVS0AUPB33LFD5" localSheetId="5" hidden="1">Weekly KPI #REF!</definedName>
    <definedName name="BEx9HLPDNKKEXIPVS0AUPB33LFD5" localSheetId="4" hidden="1">Weekly KPI #REF!</definedName>
    <definedName name="BEx9HLPDNKKEXIPVS0AUPB33LFD5" hidden="1">Weekly KPI #REF!</definedName>
    <definedName name="BExAWT39979Y5AA24PFVVBYP1HMZ" localSheetId="5" hidden="1">Stat Key #REF!</definedName>
    <definedName name="BExAWT39979Y5AA24PFVVBYP1HMZ" localSheetId="4" hidden="1">Stat Key #REF!</definedName>
    <definedName name="BExAWT39979Y5AA24PFVVBYP1HMZ" hidden="1">Stat Key #REF!</definedName>
    <definedName name="BExAYJKTLUY0WPMCGZ6VEFR34QX8" localSheetId="5" hidden="1">PCA Cube by GL #REF!</definedName>
    <definedName name="BExAYJKTLUY0WPMCGZ6VEFR34QX8" localSheetId="4" hidden="1">PCA Cube by GL #REF!</definedName>
    <definedName name="BExAYJKTLUY0WPMCGZ6VEFR34QX8" hidden="1">PCA Cube by GL #REF!</definedName>
    <definedName name="BExAZ3I9YZ0OK8AFUI0NCBLXXV4J" localSheetId="5" hidden="1">Sales #REF!</definedName>
    <definedName name="BExAZ3I9YZ0OK8AFUI0NCBLXXV4J" localSheetId="4" hidden="1">Sales #REF!</definedName>
    <definedName name="BExAZ3I9YZ0OK8AFUI0NCBLXXV4J" hidden="1">Sales #REF!</definedName>
    <definedName name="BExB3RXQJQWFF9P38YOLT3YH8K2V" hidden="1">#N/A</definedName>
    <definedName name="BExB4EF2VDTB15W5V70QXJ9D6HV4" localSheetId="5" hidden="1">Financials - Prior #REF!</definedName>
    <definedName name="BExB4EF2VDTB15W5V70QXJ9D6HV4" localSheetId="4" hidden="1">Financials - Prior #REF!</definedName>
    <definedName name="BExB4EF2VDTB15W5V70QXJ9D6HV4" hidden="1">Financials - Prior #REF!</definedName>
    <definedName name="BExB4U5HIUN2URGEHB3DTZKVBLJD" localSheetId="5" hidden="1">Balance #REF!</definedName>
    <definedName name="BExB4U5HIUN2URGEHB3DTZKVBLJD" localSheetId="4" hidden="1">Balance #REF!</definedName>
    <definedName name="BExB4U5HIUN2URGEHB3DTZKVBLJD" hidden="1">Balance #REF!</definedName>
    <definedName name="BExB5X44OCNWJP4O36LYGMK8F5CA" localSheetId="5" hidden="1">PCA Statkey by Profit #REF!</definedName>
    <definedName name="BExB5X44OCNWJP4O36LYGMK8F5CA" localSheetId="4" hidden="1">PCA Statkey by Profit #REF!</definedName>
    <definedName name="BExB5X44OCNWJP4O36LYGMK8F5CA" hidden="1">PCA Statkey by Profit #REF!</definedName>
    <definedName name="BExB6ZH0Y2AEYTL7T47BYDT3R076" localSheetId="5" hidden="1">Sales #REF!</definedName>
    <definedName name="BExB6ZH0Y2AEYTL7T47BYDT3R076" localSheetId="4" hidden="1">Sales #REF!</definedName>
    <definedName name="BExB6ZH0Y2AEYTL7T47BYDT3R076" hidden="1">Sales #REF!</definedName>
    <definedName name="BExB7C26T16PEB9NLRFXZ0T4TPYF" localSheetId="5" hidden="1">PCA Cube by GL #REF!</definedName>
    <definedName name="BExB7C26T16PEB9NLRFXZ0T4TPYF" localSheetId="4" hidden="1">PCA Cube by GL #REF!</definedName>
    <definedName name="BExB7C26T16PEB9NLRFXZ0T4TPYF" hidden="1">PCA Cube by GL #REF!</definedName>
    <definedName name="BExB8DTOQJ524TV47NBU6Y8JD2GI" localSheetId="5" hidden="1">PCA Cube by GL #REF!</definedName>
    <definedName name="BExB8DTOQJ524TV47NBU6Y8JD2GI" localSheetId="4" hidden="1">PCA Cube by GL #REF!</definedName>
    <definedName name="BExB8DTOQJ524TV47NBU6Y8JD2GI" hidden="1">PCA Cube by GL #REF!</definedName>
    <definedName name="BExB8MYP3J72XV05LEBOSN79N2A5" localSheetId="5" hidden="1">Stat Key #REF!</definedName>
    <definedName name="BExB8MYP3J72XV05LEBOSN79N2A5" localSheetId="4" hidden="1">Stat Key #REF!</definedName>
    <definedName name="BExB8MYP3J72XV05LEBOSN79N2A5" hidden="1">Stat Key #REF!</definedName>
    <definedName name="BExB98E3ML579Q3115RN6UQZGSSP" localSheetId="5" hidden="1">Stat Key #REF!</definedName>
    <definedName name="BExB98E3ML579Q3115RN6UQZGSSP" localSheetId="4" hidden="1">Stat Key #REF!</definedName>
    <definedName name="BExB98E3ML579Q3115RN6UQZGSSP" hidden="1">Stat Key #REF!</definedName>
    <definedName name="BExB9CVWJFW0MUU19819UW7LRTQY" localSheetId="5" hidden="1">Stat Key #REF!</definedName>
    <definedName name="BExB9CVWJFW0MUU19819UW7LRTQY" localSheetId="4" hidden="1">Stat Key #REF!</definedName>
    <definedName name="BExB9CVWJFW0MUU19819UW7LRTQY" hidden="1">Stat Key #REF!</definedName>
    <definedName name="BExBDUVH9P5ULH37Y490M42FU90B" localSheetId="5" hidden="1">Capital Employed by #REF!</definedName>
    <definedName name="BExBDUVH9P5ULH37Y490M42FU90B" localSheetId="4" hidden="1">Capital Employed by #REF!</definedName>
    <definedName name="BExBDUVH9P5ULH37Y490M42FU90B" hidden="1">Capital Employed by #REF!</definedName>
    <definedName name="BExBDUVI8WKP7VR3QQ9N3GNZZTOY" localSheetId="5" hidden="1">PCA Cube by GL #REF!</definedName>
    <definedName name="BExBDUVI8WKP7VR3QQ9N3GNZZTOY" localSheetId="4" hidden="1">PCA Cube by GL #REF!</definedName>
    <definedName name="BExBDUVI8WKP7VR3QQ9N3GNZZTOY" hidden="1">PCA Cube by GL #REF!</definedName>
    <definedName name="BExBDVH265L20RMCRHU53QZSX59U" localSheetId="5" hidden="1">PCA Cube CPBH!p&amp;CPBH!L by Profit #REF!</definedName>
    <definedName name="BExBDVH265L20RMCRHU53QZSX59U" localSheetId="4" hidden="1">PCA Cube [0]!p&amp;[0]!L by Profit #REF!</definedName>
    <definedName name="BExBDVH265L20RMCRHU53QZSX59U" hidden="1">PCA Cube p&amp;L by Profit #REF!</definedName>
    <definedName name="BExBFEX5D46PCLOYGE3LIRP0XFCY" localSheetId="5" hidden="1">Financials - Prior #REF!</definedName>
    <definedName name="BExBFEX5D46PCLOYGE3LIRP0XFCY" localSheetId="4" hidden="1">Financials - Prior #REF!</definedName>
    <definedName name="BExBFEX5D46PCLOYGE3LIRP0XFCY" hidden="1">Financials - Prior #REF!</definedName>
    <definedName name="BExCR8MKLBRQR3OOXIXDOPQ5RL51" localSheetId="5" hidden="1">PCA Cube by GL #REF!</definedName>
    <definedName name="BExCR8MKLBRQR3OOXIXDOPQ5RL51" localSheetId="4" hidden="1">PCA Cube by GL #REF!</definedName>
    <definedName name="BExCR8MKLBRQR3OOXIXDOPQ5RL51" hidden="1">PCA Cube by GL #REF!</definedName>
    <definedName name="BExCTRQMA5QTJWBTMAIF02X65KFL" localSheetId="5" hidden="1">#REF!</definedName>
    <definedName name="BExCTRQMA5QTJWBTMAIF02X65KFL" localSheetId="4" hidden="1">#REF!</definedName>
    <definedName name="BExCTRQMA5QTJWBTMAIF02X65KFL" hidden="1">#REF!</definedName>
    <definedName name="BExCWEFZQZKE3EGZ431OSFC5V89X" localSheetId="5" hidden="1">Sales #REF!</definedName>
    <definedName name="BExCWEFZQZKE3EGZ431OSFC5V89X" localSheetId="4" hidden="1">Sales #REF!</definedName>
    <definedName name="BExCWEFZQZKE3EGZ431OSFC5V89X" hidden="1">Sales #REF!</definedName>
    <definedName name="BExCZIOHH6HLTNXB3BSBMS5FCSWB" localSheetId="5" hidden="1">#REF!</definedName>
    <definedName name="BExCZIOHH6HLTNXB3BSBMS5FCSWB" localSheetId="4" hidden="1">#REF!</definedName>
    <definedName name="BExCZIOHH6HLTNXB3BSBMS5FCSWB" hidden="1">#REF!</definedName>
    <definedName name="BExD0SZETQ9D8L07D9IPYERRR6EB" localSheetId="5" hidden="1">Cost #REF!</definedName>
    <definedName name="BExD0SZETQ9D8L07D9IPYERRR6EB" localSheetId="4" hidden="1">Cost #REF!</definedName>
    <definedName name="BExD0SZETQ9D8L07D9IPYERRR6EB" hidden="1">Cost #REF!</definedName>
    <definedName name="BExD100V2KDX02260SX6RAU9M49A" localSheetId="5" hidden="1">PCA Cube by GL #REF!</definedName>
    <definedName name="BExD100V2KDX02260SX6RAU9M49A" localSheetId="4" hidden="1">PCA Cube by GL #REF!</definedName>
    <definedName name="BExD100V2KDX02260SX6RAU9M49A" hidden="1">PCA Cube by GL #REF!</definedName>
    <definedName name="BExD1H3V8J5G7ZQ8W42YG966T8X3" localSheetId="5" hidden="1">Stat Key #REF!</definedName>
    <definedName name="BExD1H3V8J5G7ZQ8W42YG966T8X3" localSheetId="4" hidden="1">Stat Key #REF!</definedName>
    <definedName name="BExD1H3V8J5G7ZQ8W42YG966T8X3" hidden="1">Stat Key #REF!</definedName>
    <definedName name="BExD3F36SC53CN1I0ALAWVG2Q2C0" localSheetId="5" hidden="1">PCA Cube CPBH!p&amp;CPBH!L by Profit #REF!</definedName>
    <definedName name="BExD3F36SC53CN1I0ALAWVG2Q2C0" localSheetId="4" hidden="1">PCA Cube [0]!p&amp;[0]!L by Profit #REF!</definedName>
    <definedName name="BExD3F36SC53CN1I0ALAWVG2Q2C0" hidden="1">PCA Cube p&amp;L by Profit #REF!</definedName>
    <definedName name="BExD40TC263V86N8T32313B7CSVI" localSheetId="5" hidden="1">#REF!</definedName>
    <definedName name="BExD40TC263V86N8T32313B7CSVI" localSheetId="4" hidden="1">#REF!</definedName>
    <definedName name="BExD40TC263V86N8T32313B7CSVI" hidden="1">#REF!</definedName>
    <definedName name="BExD4YJ90IOKGKY63A956CEHCRTS" localSheetId="5" hidden="1">PCA Cube CPBH!p&amp;CPBH!L by Profit #REF!</definedName>
    <definedName name="BExD4YJ90IOKGKY63A956CEHCRTS" localSheetId="4" hidden="1">PCA Cube [0]!p&amp;[0]!L by Profit #REF!</definedName>
    <definedName name="BExD4YJ90IOKGKY63A956CEHCRTS" hidden="1">PCA Cube p&amp;L by Profit #REF!</definedName>
    <definedName name="BExD7SFEC2PLDP11NDRQ1KCKH6US" localSheetId="5" hidden="1">Cost #REF!</definedName>
    <definedName name="BExD7SFEC2PLDP11NDRQ1KCKH6US" localSheetId="4" hidden="1">Cost #REF!</definedName>
    <definedName name="BExD7SFEC2PLDP11NDRQ1KCKH6US" hidden="1">Cost #REF!</definedName>
    <definedName name="BExD7XOB5TE739KCQP0PUQ43WWN4" localSheetId="5" hidden="1">Stat Key #REF!</definedName>
    <definedName name="BExD7XOB5TE739KCQP0PUQ43WWN4" localSheetId="4" hidden="1">Stat Key #REF!</definedName>
    <definedName name="BExD7XOB5TE739KCQP0PUQ43WWN4" hidden="1">Stat Key #REF!</definedName>
    <definedName name="BExD7Y4JV1OPZGH3FWV1822HFBB9" localSheetId="5" hidden="1">#REF!</definedName>
    <definedName name="BExD7Y4JV1OPZGH3FWV1822HFBB9" localSheetId="4" hidden="1">#REF!</definedName>
    <definedName name="BExD7Y4JV1OPZGH3FWV1822HFBB9" hidden="1">#REF!</definedName>
    <definedName name="BExD8USH7IU9B2V43300KD112P0A" localSheetId="5" hidden="1">#REF!</definedName>
    <definedName name="BExD8USH7IU9B2V43300KD112P0A" localSheetId="4" hidden="1">#REF!</definedName>
    <definedName name="BExD8USH7IU9B2V43300KD112P0A" hidden="1">#REF!</definedName>
    <definedName name="BExD8YZJ4MYT4VO8ZQEJP659N73O" hidden="1">#N/A</definedName>
    <definedName name="BExDBR8LGPOXB54PGZNEVPVTDH2N" localSheetId="5" hidden="1">PCA Statkey by Profit #REF!</definedName>
    <definedName name="BExDBR8LGPOXB54PGZNEVPVTDH2N" localSheetId="4" hidden="1">PCA Statkey by Profit #REF!</definedName>
    <definedName name="BExDBR8LGPOXB54PGZNEVPVTDH2N" hidden="1">PCA Statkey by Profit #REF!</definedName>
    <definedName name="BExEONB3COV8354HQ3FDFFPSASSJ" localSheetId="5" hidden="1">PCA #REF!</definedName>
    <definedName name="BExEONB3COV8354HQ3FDFFPSASSJ" localSheetId="4" hidden="1">PCA #REF!</definedName>
    <definedName name="BExEONB3COV8354HQ3FDFFPSASSJ" hidden="1">PCA #REF!</definedName>
    <definedName name="BExEQ1YJURXDM3G2MQQ9CMKIOKMF" localSheetId="5" hidden="1">PCA Statkey by Profit #REF!</definedName>
    <definedName name="BExEQ1YJURXDM3G2MQQ9CMKIOKMF" localSheetId="4" hidden="1">PCA Statkey by Profit #REF!</definedName>
    <definedName name="BExEQ1YJURXDM3G2MQQ9CMKIOKMF" hidden="1">PCA Statkey by Profit #REF!</definedName>
    <definedName name="BExEQ83O7F0XKVM0KW9IL94RQ6UC" localSheetId="5" hidden="1">Stat Key #REF!</definedName>
    <definedName name="BExEQ83O7F0XKVM0KW9IL94RQ6UC" localSheetId="4" hidden="1">Stat Key #REF!</definedName>
    <definedName name="BExEQ83O7F0XKVM0KW9IL94RQ6UC" hidden="1">Stat Key #REF!</definedName>
    <definedName name="BExERTXWZ5WXAQZ3LBLD33ZCL7G4" localSheetId="5" hidden="1">Stat Key #REF!</definedName>
    <definedName name="BExERTXWZ5WXAQZ3LBLD33ZCL7G4" localSheetId="4" hidden="1">Stat Key #REF!</definedName>
    <definedName name="BExERTXWZ5WXAQZ3LBLD33ZCL7G4" hidden="1">Stat Key #REF!</definedName>
    <definedName name="BExET6HUONZASBKI139PVWEUZPB2" localSheetId="5" hidden="1">PCA Cube CPBH!p&amp;CPBH!L by Profit #REF!</definedName>
    <definedName name="BExET6HUONZASBKI139PVWEUZPB2" localSheetId="4" hidden="1">PCA Cube [0]!p&amp;[0]!L by Profit #REF!</definedName>
    <definedName name="BExET6HUONZASBKI139PVWEUZPB2" hidden="1">PCA Cube p&amp;L by Profit #REF!</definedName>
    <definedName name="BExET7ZSMHYP44PZT75DYQSJ9TI1" localSheetId="5" hidden="1">PCA Cube CPBH!p&amp;CPBH!L by Profit #REF!</definedName>
    <definedName name="BExET7ZSMHYP44PZT75DYQSJ9TI1" localSheetId="4" hidden="1">PCA Cube [0]!p&amp;[0]!L by Profit #REF!</definedName>
    <definedName name="BExET7ZSMHYP44PZT75DYQSJ9TI1" hidden="1">PCA Cube p&amp;L by Profit #REF!</definedName>
    <definedName name="BExEV7BKBG3S8NZE1FWODTIENBLV" localSheetId="5" hidden="1">PCA Cube CPBH!p&amp;CPBH!L by Profit #REF!</definedName>
    <definedName name="BExEV7BKBG3S8NZE1FWODTIENBLV" localSheetId="4" hidden="1">PCA Cube [0]!p&amp;[0]!L by Profit #REF!</definedName>
    <definedName name="BExEV7BKBG3S8NZE1FWODTIENBLV" hidden="1">PCA Cube p&amp;L by Profit #REF!</definedName>
    <definedName name="BExEX502RRLC2R9T8K1KFLZ4NVQ2" localSheetId="5" hidden="1">Balance #REF!</definedName>
    <definedName name="BExEX502RRLC2R9T8K1KFLZ4NVQ2" localSheetId="4" hidden="1">Balance #REF!</definedName>
    <definedName name="BExEX502RRLC2R9T8K1KFLZ4NVQ2" hidden="1">Balance #REF!</definedName>
    <definedName name="BExEXDU94UM4G7VT8AE3HEFP6DU1" localSheetId="5" hidden="1">#REF!</definedName>
    <definedName name="BExEXDU94UM4G7VT8AE3HEFP6DU1" localSheetId="4" hidden="1">#REF!</definedName>
    <definedName name="BExEXDU94UM4G7VT8AE3HEFP6DU1" hidden="1">#REF!</definedName>
    <definedName name="BExEXG3AL9XN1XRU4N3N2D5B3LWA" localSheetId="5" hidden="1">PCA Cube by GL #REF!</definedName>
    <definedName name="BExEXG3AL9XN1XRU4N3N2D5B3LWA" localSheetId="4" hidden="1">PCA Cube by GL #REF!</definedName>
    <definedName name="BExEXG3AL9XN1XRU4N3N2D5B3LWA" hidden="1">PCA Cube by GL #REF!</definedName>
    <definedName name="BExEY4D8LXWV4OT4D70LHA9D5VR0" localSheetId="5" hidden="1">#REF!</definedName>
    <definedName name="BExEY4D8LXWV4OT4D70LHA9D5VR0" localSheetId="4" hidden="1">#REF!</definedName>
    <definedName name="BExEY4D8LXWV4OT4D70LHA9D5VR0" hidden="1">#REF!</definedName>
    <definedName name="BExEYY6QIKZ1YQG2PLBK2X5I1AAX" localSheetId="5" hidden="1">#REF!</definedName>
    <definedName name="BExEYY6QIKZ1YQG2PLBK2X5I1AAX" localSheetId="4" hidden="1">#REF!</definedName>
    <definedName name="BExEYY6QIKZ1YQG2PLBK2X5I1AAX" hidden="1">#REF!</definedName>
    <definedName name="BExF0U2GXQJK47H6TDKGLY3Q4PO2" localSheetId="5" hidden="1">Sales #REF!</definedName>
    <definedName name="BExF0U2GXQJK47H6TDKGLY3Q4PO2" localSheetId="4" hidden="1">Sales #REF!</definedName>
    <definedName name="BExF0U2GXQJK47H6TDKGLY3Q4PO2" hidden="1">Sales #REF!</definedName>
    <definedName name="BExF119FS2J0CPH4NFUNH5Y6P4FF" localSheetId="5" hidden="1">Balance #REF!</definedName>
    <definedName name="BExF119FS2J0CPH4NFUNH5Y6P4FF" localSheetId="4" hidden="1">Balance #REF!</definedName>
    <definedName name="BExF119FS2J0CPH4NFUNH5Y6P4FF" hidden="1">Balance #REF!</definedName>
    <definedName name="BExF167J5IVFMPC6NH0BT3H15OMT" localSheetId="5" hidden="1">#REF!</definedName>
    <definedName name="BExF167J5IVFMPC6NH0BT3H15OMT" localSheetId="4" hidden="1">#REF!</definedName>
    <definedName name="BExF167J5IVFMPC6NH0BT3H15OMT" hidden="1">#REF!</definedName>
    <definedName name="BExF1B5H7JJXUQJT6640GYZ0YCKB" localSheetId="5" hidden="1">#REF!</definedName>
    <definedName name="BExF1B5H7JJXUQJT6640GYZ0YCKB" localSheetId="4" hidden="1">#REF!</definedName>
    <definedName name="BExF1B5H7JJXUQJT6640GYZ0YCKB" hidden="1">#REF!</definedName>
    <definedName name="BExF1LSFOKCET8J203M349ADI245" localSheetId="5" hidden="1">#REF!</definedName>
    <definedName name="BExF1LSFOKCET8J203M349ADI245" localSheetId="4" hidden="1">#REF!</definedName>
    <definedName name="BExF1LSFOKCET8J203M349ADI245" hidden="1">#REF!</definedName>
    <definedName name="BExF3EZ5CQ40RBW8SBWAU3WK1QIY" localSheetId="5" hidden="1">PCA Cube CPBH!p&amp;CPBH!L by Profit #REF!</definedName>
    <definedName name="BExF3EZ5CQ40RBW8SBWAU3WK1QIY" localSheetId="4" hidden="1">PCA Cube [0]!p&amp;[0]!L by Profit #REF!</definedName>
    <definedName name="BExF3EZ5CQ40RBW8SBWAU3WK1QIY" hidden="1">PCA Cube p&amp;L by Profit #REF!</definedName>
    <definedName name="BExF3R9HQJXI2QYZO69WUUZM0IO2" localSheetId="5" hidden="1">Stat Key #REF!</definedName>
    <definedName name="BExF3R9HQJXI2QYZO69WUUZM0IO2" localSheetId="4" hidden="1">Stat Key #REF!</definedName>
    <definedName name="BExF3R9HQJXI2QYZO69WUUZM0IO2" hidden="1">Stat Key #REF!</definedName>
    <definedName name="BExF63XCVV3VCBTZKIX9VOFI9L2T" localSheetId="5" hidden="1">Stat Key #REF!</definedName>
    <definedName name="BExF63XCVV3VCBTZKIX9VOFI9L2T" localSheetId="4" hidden="1">Stat Key #REF!</definedName>
    <definedName name="BExF63XCVV3VCBTZKIX9VOFI9L2T" hidden="1">Stat Key #REF!</definedName>
    <definedName name="BExF672Q0SYU6F0WP3ICHQPCHNA1" localSheetId="5" hidden="1">PCA Cube CPBH!p&amp;CPBH!L by Profit #REF!</definedName>
    <definedName name="BExF672Q0SYU6F0WP3ICHQPCHNA1" localSheetId="4" hidden="1">PCA Cube [0]!p&amp;[0]!L by Profit #REF!</definedName>
    <definedName name="BExF672Q0SYU6F0WP3ICHQPCHNA1" hidden="1">PCA Cube p&amp;L by Profit #REF!</definedName>
    <definedName name="BExF6XG700ZEDCFQ4N4H8YHH0EUU" localSheetId="5" hidden="1">Financials - Prior #REF!</definedName>
    <definedName name="BExF6XG700ZEDCFQ4N4H8YHH0EUU" localSheetId="4" hidden="1">Financials - Prior #REF!</definedName>
    <definedName name="BExF6XG700ZEDCFQ4N4H8YHH0EUU" hidden="1">Financials - Prior #REF!</definedName>
    <definedName name="BExGMUWRYY9FD768A7OKO9R3TUV7" localSheetId="5" hidden="1">Cost #REF!</definedName>
    <definedName name="BExGMUWRYY9FD768A7OKO9R3TUV7" localSheetId="4" hidden="1">Cost #REF!</definedName>
    <definedName name="BExGMUWRYY9FD768A7OKO9R3TUV7" hidden="1">Cost #REF!</definedName>
    <definedName name="BExGOUE0MAIDUPVG2L9FHMU1OMDW" localSheetId="5" hidden="1">PCA Statkey by Profit #REF!</definedName>
    <definedName name="BExGOUE0MAIDUPVG2L9FHMU1OMDW" localSheetId="4" hidden="1">PCA Statkey by Profit #REF!</definedName>
    <definedName name="BExGOUE0MAIDUPVG2L9FHMU1OMDW" hidden="1">PCA Statkey by Profit #REF!</definedName>
    <definedName name="BExGPEM8FSBRJ9YC38L921J2QPBM" localSheetId="5" hidden="1">Cost #REF!</definedName>
    <definedName name="BExGPEM8FSBRJ9YC38L921J2QPBM" localSheetId="4" hidden="1">Cost #REF!</definedName>
    <definedName name="BExGPEM8FSBRJ9YC38L921J2QPBM" hidden="1">Cost #REF!</definedName>
    <definedName name="BExGR3GJ2J7JT513SH5SFWS8EG01" localSheetId="5" hidden="1">#REF!</definedName>
    <definedName name="BExGR3GJ2J7JT513SH5SFWS8EG01" localSheetId="4" hidden="1">#REF!</definedName>
    <definedName name="BExGR3GJ2J7JT513SH5SFWS8EG01" hidden="1">#REF!</definedName>
    <definedName name="BExGR6WIJ1AEWSBRYZOEQR1Q5D8G" localSheetId="5" hidden="1">Cost #REF!</definedName>
    <definedName name="BExGR6WIJ1AEWSBRYZOEQR1Q5D8G" localSheetId="4" hidden="1">Cost #REF!</definedName>
    <definedName name="BExGR6WIJ1AEWSBRYZOEQR1Q5D8G" hidden="1">Cost #REF!</definedName>
    <definedName name="BExGRJN66HDRNCDXECTL3VFCZC7V" localSheetId="5" hidden="1">#REF!</definedName>
    <definedName name="BExGRJN66HDRNCDXECTL3VFCZC7V" localSheetId="4" hidden="1">#REF!</definedName>
    <definedName name="BExGRJN66HDRNCDXECTL3VFCZC7V" hidden="1">#REF!</definedName>
    <definedName name="BExGRS13C78QW8PP32XPH1R36BS7" localSheetId="5" hidden="1">Stat Key #REF!</definedName>
    <definedName name="BExGRS13C78QW8PP32XPH1R36BS7" localSheetId="4" hidden="1">Stat Key #REF!</definedName>
    <definedName name="BExGRS13C78QW8PP32XPH1R36BS7" hidden="1">Stat Key #REF!</definedName>
    <definedName name="BExGSTHUYA7PLEZLLYPEYLRVR8WQ" localSheetId="5" hidden="1">#REF!</definedName>
    <definedName name="BExGSTHUYA7PLEZLLYPEYLRVR8WQ" localSheetId="4" hidden="1">#REF!</definedName>
    <definedName name="BExGSTHUYA7PLEZLLYPEYLRVR8WQ" hidden="1">#REF!</definedName>
    <definedName name="BExGSZN350NLNPMM3PF4NVOIHQ2M" localSheetId="5" hidden="1">#REF!</definedName>
    <definedName name="BExGSZN350NLNPMM3PF4NVOIHQ2M" localSheetId="4" hidden="1">#REF!</definedName>
    <definedName name="BExGSZN350NLNPMM3PF4NVOIHQ2M" hidden="1">#REF!</definedName>
    <definedName name="BExGT8MM7OF2WAT62BFOO6PSZ4BS" localSheetId="5" hidden="1">Stat Key #REF!</definedName>
    <definedName name="BExGT8MM7OF2WAT62BFOO6PSZ4BS" localSheetId="4" hidden="1">Stat Key #REF!</definedName>
    <definedName name="BExGT8MM7OF2WAT62BFOO6PSZ4BS" hidden="1">Stat Key #REF!</definedName>
    <definedName name="BExGVRVYUAGJE4XBXCIP234YOEEN" localSheetId="5" hidden="1">#REF!</definedName>
    <definedName name="BExGVRVYUAGJE4XBXCIP234YOEEN" localSheetId="4" hidden="1">#REF!</definedName>
    <definedName name="BExGVRVYUAGJE4XBXCIP234YOEEN" hidden="1">#REF!</definedName>
    <definedName name="BExGVVS9C37L3ZLL7SRQ7BKXI96S" localSheetId="5" hidden="1">#REF!</definedName>
    <definedName name="BExGVVS9C37L3ZLL7SRQ7BKXI96S" localSheetId="4" hidden="1">#REF!</definedName>
    <definedName name="BExGVVS9C37L3ZLL7SRQ7BKXI96S" hidden="1">#REF!</definedName>
    <definedName name="BExGWWCL9UGTUX7UOVXJ5CSCBYRH" localSheetId="5" hidden="1">PCA Cube by GL #REF!</definedName>
    <definedName name="BExGWWCL9UGTUX7UOVXJ5CSCBYRH" localSheetId="4" hidden="1">PCA Cube by GL #REF!</definedName>
    <definedName name="BExGWWCL9UGTUX7UOVXJ5CSCBYRH" hidden="1">PCA Cube by GL #REF!</definedName>
    <definedName name="BExGYCHTNVBQVYQH2N0QTPE7T8OG" localSheetId="5" hidden="1">Stat Key #REF!</definedName>
    <definedName name="BExGYCHTNVBQVYQH2N0QTPE7T8OG" localSheetId="4" hidden="1">Stat Key #REF!</definedName>
    <definedName name="BExGYCHTNVBQVYQH2N0QTPE7T8OG" hidden="1">Stat Key #REF!</definedName>
    <definedName name="BExH1AFWIKSFJ3RAOD3LW97VG3H8" localSheetId="5" hidden="1">Capital Employed by #REF!</definedName>
    <definedName name="BExH1AFWIKSFJ3RAOD3LW97VG3H8" localSheetId="4" hidden="1">Capital Employed by #REF!</definedName>
    <definedName name="BExH1AFWIKSFJ3RAOD3LW97VG3H8" hidden="1">Capital Employed by #REF!</definedName>
    <definedName name="BExH2NFXK60U3SINULU4W2ZUNAQK" localSheetId="5" hidden="1">Weekly KPI #REF!</definedName>
    <definedName name="BExH2NFXK60U3SINULU4W2ZUNAQK" localSheetId="4" hidden="1">Weekly KPI #REF!</definedName>
    <definedName name="BExH2NFXK60U3SINULU4W2ZUNAQK" hidden="1">Weekly KPI #REF!</definedName>
    <definedName name="BExIGPMA5RFMGW7NCQIXIE6MI6PO" localSheetId="5" hidden="1">Financials - Prior #REF!</definedName>
    <definedName name="BExIGPMA5RFMGW7NCQIXIE6MI6PO" localSheetId="4" hidden="1">Financials - Prior #REF!</definedName>
    <definedName name="BExIGPMA5RFMGW7NCQIXIE6MI6PO" hidden="1">Financials - Prior #REF!</definedName>
    <definedName name="BExIGQIMVM7H9K4O0GJU41UXB6W9" localSheetId="5" hidden="1">Balance #REF!</definedName>
    <definedName name="BExIGQIMVM7H9K4O0GJU41UXB6W9" localSheetId="4" hidden="1">Balance #REF!</definedName>
    <definedName name="BExIGQIMVM7H9K4O0GJU41UXB6W9" hidden="1">Balance #REF!</definedName>
    <definedName name="BExIHBSPOASFNMHXALY97HXPFWRI" localSheetId="5" hidden="1">Cost #REF!</definedName>
    <definedName name="BExIHBSPOASFNMHXALY97HXPFWRI" localSheetId="4" hidden="1">Cost #REF!</definedName>
    <definedName name="BExIHBSPOASFNMHXALY97HXPFWRI" hidden="1">Cost #REF!</definedName>
    <definedName name="BExIHVA1SW6RRMN5JPNAVXI0550D" localSheetId="5" hidden="1">#REF!</definedName>
    <definedName name="BExIHVA1SW6RRMN5JPNAVXI0550D" localSheetId="4" hidden="1">#REF!</definedName>
    <definedName name="BExIHVA1SW6RRMN5JPNAVXI0550D" hidden="1">#REF!</definedName>
    <definedName name="BExIIVU7W0FS55INPOVT9FBQN25Y" localSheetId="5" hidden="1">#REF!</definedName>
    <definedName name="BExIIVU7W0FS55INPOVT9FBQN25Y" localSheetId="4" hidden="1">#REF!</definedName>
    <definedName name="BExIIVU7W0FS55INPOVT9FBQN25Y" hidden="1">#REF!</definedName>
    <definedName name="BExIK5UI6JIGT9HWA701WVWJEWRO" localSheetId="5" hidden="1">#REF!</definedName>
    <definedName name="BExIK5UI6JIGT9HWA701WVWJEWRO" localSheetId="4" hidden="1">#REF!</definedName>
    <definedName name="BExIK5UI6JIGT9HWA701WVWJEWRO" hidden="1">#REF!</definedName>
    <definedName name="BExIL40DT0ICZ1ZM0K91EQ6IM2K8" localSheetId="5" hidden="1">Balance #REF!</definedName>
    <definedName name="BExIL40DT0ICZ1ZM0K91EQ6IM2K8" localSheetId="4" hidden="1">Balance #REF!</definedName>
    <definedName name="BExIL40DT0ICZ1ZM0K91EQ6IM2K8" hidden="1">Balance #REF!</definedName>
    <definedName name="BExIL45T8ZWP0ZW7RAZN29UQY8E1" localSheetId="5" hidden="1">PCA Cube CPBH!p&amp;CPBH!L by Profit #REF!</definedName>
    <definedName name="BExIL45T8ZWP0ZW7RAZN29UQY8E1" localSheetId="4" hidden="1">PCA Cube [0]!p&amp;[0]!L by Profit #REF!</definedName>
    <definedName name="BExIL45T8ZWP0ZW7RAZN29UQY8E1" hidden="1">PCA Cube p&amp;L by Profit #REF!</definedName>
    <definedName name="BExILKHTB9RASA7HFQP7LNO2RN75" localSheetId="5" hidden="1">#REF!</definedName>
    <definedName name="BExILKHTB9RASA7HFQP7LNO2RN75" localSheetId="4" hidden="1">#REF!</definedName>
    <definedName name="BExILKHTB9RASA7HFQP7LNO2RN75" hidden="1">#REF!</definedName>
    <definedName name="BExINA2ZJAI3K13AVJQ0MEFD2L3A" localSheetId="5" hidden="1">PCA Cube by GL #REF!</definedName>
    <definedName name="BExINA2ZJAI3K13AVJQ0MEFD2L3A" localSheetId="4" hidden="1">PCA Cube by GL #REF!</definedName>
    <definedName name="BExINA2ZJAI3K13AVJQ0MEFD2L3A" hidden="1">PCA Cube by GL #REF!</definedName>
    <definedName name="BExIR9MWCUXQ1PIKTDU2NUO7UC80" localSheetId="5" hidden="1">Cost #REF!</definedName>
    <definedName name="BExIR9MWCUXQ1PIKTDU2NUO7UC80" localSheetId="4" hidden="1">Cost #REF!</definedName>
    <definedName name="BExIR9MWCUXQ1PIKTDU2NUO7UC80" hidden="1">Cost #REF!</definedName>
    <definedName name="BExIUK65KO7S29CXSM6P78HK4M3Z" localSheetId="5" hidden="1">Capital Employed by #REF!</definedName>
    <definedName name="BExIUK65KO7S29CXSM6P78HK4M3Z" localSheetId="4" hidden="1">Capital Employed by #REF!</definedName>
    <definedName name="BExIUK65KO7S29CXSM6P78HK4M3Z" hidden="1">Capital Employed by #REF!</definedName>
    <definedName name="BExIVYYW1JLDAL99IF5QX9PDTHTB" localSheetId="5" hidden="1">Stat Key #REF!</definedName>
    <definedName name="BExIVYYW1JLDAL99IF5QX9PDTHTB" localSheetId="4" hidden="1">Stat Key #REF!</definedName>
    <definedName name="BExIVYYW1JLDAL99IF5QX9PDTHTB" hidden="1">Stat Key #REF!</definedName>
    <definedName name="BExIX3VKLG2AWYKL6FRNC413JZE6" localSheetId="5" hidden="1">Key #REF!</definedName>
    <definedName name="BExIX3VKLG2AWYKL6FRNC413JZE6" localSheetId="4" hidden="1">Key #REF!</definedName>
    <definedName name="BExIX3VKLG2AWYKL6FRNC413JZE6" hidden="1">Key #REF!</definedName>
    <definedName name="BExIX8O8CXY11R936FG8KYYER3L4" localSheetId="5" hidden="1">Stat Key #REF!</definedName>
    <definedName name="BExIX8O8CXY11R936FG8KYYER3L4" localSheetId="4" hidden="1">Stat Key #REF!</definedName>
    <definedName name="BExIX8O8CXY11R936FG8KYYER3L4" hidden="1">Stat Key #REF!</definedName>
    <definedName name="BExIYQ649L046KGPY1VOY71Y2V7S" localSheetId="5" hidden="1">Stat Key #REF!</definedName>
    <definedName name="BExIYQ649L046KGPY1VOY71Y2V7S" localSheetId="4" hidden="1">Stat Key #REF!</definedName>
    <definedName name="BExIYQ649L046KGPY1VOY71Y2V7S" hidden="1">Stat Key #REF!</definedName>
    <definedName name="BExKDLF2U62TRMTNRIKVFEBVYVTK" localSheetId="5" hidden="1">Sales #REF!</definedName>
    <definedName name="BExKDLF2U62TRMTNRIKVFEBVYVTK" localSheetId="4" hidden="1">Sales #REF!</definedName>
    <definedName name="BExKDLF2U62TRMTNRIKVFEBVYVTK" hidden="1">Sales #REF!</definedName>
    <definedName name="BExKDPBBMAXPZ8NX9NE8FZGX8IE9" localSheetId="5" hidden="1">Stat Key #REF!</definedName>
    <definedName name="BExKDPBBMAXPZ8NX9NE8FZGX8IE9" localSheetId="4" hidden="1">Stat Key #REF!</definedName>
    <definedName name="BExKDPBBMAXPZ8NX9NE8FZGX8IE9" hidden="1">Stat Key #REF!</definedName>
    <definedName name="BExKE0JUTDRN1NSSNCGPCG9EVICK" localSheetId="5" hidden="1">#REF!</definedName>
    <definedName name="BExKE0JUTDRN1NSSNCGPCG9EVICK" localSheetId="4" hidden="1">#REF!</definedName>
    <definedName name="BExKE0JUTDRN1NSSNCGPCG9EVICK" hidden="1">#REF!</definedName>
    <definedName name="BExKECOX4DBSYAP2ZWVB0ESMWSYA" localSheetId="5" hidden="1">Stat Key #REF!</definedName>
    <definedName name="BExKECOX4DBSYAP2ZWVB0ESMWSYA" localSheetId="4" hidden="1">Stat Key #REF!</definedName>
    <definedName name="BExKECOX4DBSYAP2ZWVB0ESMWSYA" hidden="1">Stat Key #REF!</definedName>
    <definedName name="BExKF19O6TAMRAWIRQ6KO114CC7O" localSheetId="5" hidden="1">PCA Cube CPBH!p&amp;CPBH!L by Profit #REF!</definedName>
    <definedName name="BExKF19O6TAMRAWIRQ6KO114CC7O" localSheetId="4" hidden="1">PCA Cube [0]!p&amp;[0]!L by Profit #REF!</definedName>
    <definedName name="BExKF19O6TAMRAWIRQ6KO114CC7O" hidden="1">PCA Cube p&amp;L by Profit #REF!</definedName>
    <definedName name="BExKG3117T9OGHNZYM5TWVT2O749" localSheetId="5" hidden="1">#REF!</definedName>
    <definedName name="BExKG3117T9OGHNZYM5TWVT2O749" localSheetId="4" hidden="1">#REF!</definedName>
    <definedName name="BExKG3117T9OGHNZYM5TWVT2O749" hidden="1">#REF!</definedName>
    <definedName name="BExKGM27MBY48XBQMU4JNZQNME80" localSheetId="5" hidden="1">PCA Cube by GL #REF!</definedName>
    <definedName name="BExKGM27MBY48XBQMU4JNZQNME80" localSheetId="4" hidden="1">PCA Cube by GL #REF!</definedName>
    <definedName name="BExKGM27MBY48XBQMU4JNZQNME80" hidden="1">PCA Cube by GL #REF!</definedName>
    <definedName name="BExKHQYXS21HEZH2DL0ZU0QE2V6Z" localSheetId="5" hidden="1">PCA Cube by GL #REF!</definedName>
    <definedName name="BExKHQYXS21HEZH2DL0ZU0QE2V6Z" localSheetId="4" hidden="1">PCA Cube by GL #REF!</definedName>
    <definedName name="BExKHQYXS21HEZH2DL0ZU0QE2V6Z" hidden="1">PCA Cube by GL #REF!</definedName>
    <definedName name="BExKI9EEPZTM6U2D5OBZPRG884HA" localSheetId="5" hidden="1">Sales #REF!</definedName>
    <definedName name="BExKI9EEPZTM6U2D5OBZPRG884HA" localSheetId="4" hidden="1">Sales #REF!</definedName>
    <definedName name="BExKI9EEPZTM6U2D5OBZPRG884HA" hidden="1">Sales #REF!</definedName>
    <definedName name="BExKIAWD36UHGXPQ0KKBHDEHMV5J" localSheetId="5" hidden="1">Stat Key #REF!</definedName>
    <definedName name="BExKIAWD36UHGXPQ0KKBHDEHMV5J" localSheetId="4" hidden="1">Stat Key #REF!</definedName>
    <definedName name="BExKIAWD36UHGXPQ0KKBHDEHMV5J" hidden="1">Stat Key #REF!</definedName>
    <definedName name="BExKIJ4ZUBYQC8MU45JASNIDW3XI" localSheetId="5" hidden="1">PCA Cube by GL #REF!</definedName>
    <definedName name="BExKIJ4ZUBYQC8MU45JASNIDW3XI" localSheetId="4" hidden="1">PCA Cube by GL #REF!</definedName>
    <definedName name="BExKIJ4ZUBYQC8MU45JASNIDW3XI" hidden="1">PCA Cube by GL #REF!</definedName>
    <definedName name="BExKIRTXENVJFE7BJ390OAE8R7VC" localSheetId="5" hidden="1">Sales #REF!</definedName>
    <definedName name="BExKIRTXENVJFE7BJ390OAE8R7VC" localSheetId="4" hidden="1">Sales #REF!</definedName>
    <definedName name="BExKIRTXENVJFE7BJ390OAE8R7VC" hidden="1">Sales #REF!</definedName>
    <definedName name="BExKJTAMFXIL5ADOWR2UTEUC5RVU" localSheetId="5" hidden="1">#REF!</definedName>
    <definedName name="BExKJTAMFXIL5ADOWR2UTEUC5RVU" localSheetId="4" hidden="1">#REF!</definedName>
    <definedName name="BExKJTAMFXIL5ADOWR2UTEUC5RVU" hidden="1">#REF!</definedName>
    <definedName name="BExKJWL8ZTB1YT80642N50U2Y3LL" localSheetId="5" hidden="1">Balance #REF!</definedName>
    <definedName name="BExKJWL8ZTB1YT80642N50U2Y3LL" localSheetId="4" hidden="1">Balance #REF!</definedName>
    <definedName name="BExKJWL8ZTB1YT80642N50U2Y3LL" hidden="1">Balance #REF!</definedName>
    <definedName name="BExKLVRQPZ3N3XF8B5Q2YH020987" localSheetId="5" hidden="1">PCA Statkey by Profit #REF!</definedName>
    <definedName name="BExKLVRQPZ3N3XF8B5Q2YH020987" localSheetId="4" hidden="1">PCA Statkey by Profit #REF!</definedName>
    <definedName name="BExKLVRQPZ3N3XF8B5Q2YH020987" hidden="1">PCA Statkey by Profit #REF!</definedName>
    <definedName name="BExKM4RGD3CGUJFQNJUZ7Q96O05Y" localSheetId="5" hidden="1">#REF!</definedName>
    <definedName name="BExKM4RGD3CGUJFQNJUZ7Q96O05Y" localSheetId="4" hidden="1">#REF!</definedName>
    <definedName name="BExKM4RGD3CGUJFQNJUZ7Q96O05Y" hidden="1">#REF!</definedName>
    <definedName name="BExKMHSP877O7I6KOFVXM1HJNBDV" localSheetId="5" hidden="1">Sales #REF!</definedName>
    <definedName name="BExKMHSP877O7I6KOFVXM1HJNBDV" localSheetId="4" hidden="1">Sales #REF!</definedName>
    <definedName name="BExKMHSP877O7I6KOFVXM1HJNBDV" hidden="1">Sales #REF!</definedName>
    <definedName name="BExKMNCE13MSXS7EG410J9UXQAIH" localSheetId="5" hidden="1">#REF!</definedName>
    <definedName name="BExKMNCE13MSXS7EG410J9UXQAIH" localSheetId="4" hidden="1">#REF!</definedName>
    <definedName name="BExKMNCE13MSXS7EG410J9UXQAIH" hidden="1">#REF!</definedName>
    <definedName name="BExKOIBTNYKNKGR3OGA2X8QSS2RH" localSheetId="5" hidden="1">Stat Key #REF!</definedName>
    <definedName name="BExKOIBTNYKNKGR3OGA2X8QSS2RH" localSheetId="4" hidden="1">Stat Key #REF!</definedName>
    <definedName name="BExKOIBTNYKNKGR3OGA2X8QSS2RH" hidden="1">Stat Key #REF!</definedName>
    <definedName name="BExKPJSBI5I90YRJINAJQ1HI34PJ" localSheetId="5" hidden="1">Sales #REF!</definedName>
    <definedName name="BExKPJSBI5I90YRJINAJQ1HI34PJ" localSheetId="4" hidden="1">Sales #REF!</definedName>
    <definedName name="BExKPJSBI5I90YRJINAJQ1HI34PJ" hidden="1">Sales #REF!</definedName>
    <definedName name="BExKQF3SP26XO6QF1A45F90F8SD5" localSheetId="5" hidden="1">FIGL Cube by GL #REF!</definedName>
    <definedName name="BExKQF3SP26XO6QF1A45F90F8SD5" localSheetId="4" hidden="1">FIGL Cube by GL #REF!</definedName>
    <definedName name="BExKQF3SP26XO6QF1A45F90F8SD5" hidden="1">FIGL Cube by GL #REF!</definedName>
    <definedName name="BExKR8RXMB5W6PISG5ZO0TX3PID9" localSheetId="5" hidden="1">PCA Cube by GL #REF!</definedName>
    <definedName name="BExKR8RXMB5W6PISG5ZO0TX3PID9" localSheetId="4" hidden="1">PCA Cube by GL #REF!</definedName>
    <definedName name="BExKR8RXMB5W6PISG5ZO0TX3PID9" hidden="1">PCA Cube by GL #REF!</definedName>
    <definedName name="BExKRN0EFS84I0I7AYPWUTJGLPMF" localSheetId="5" hidden="1">FIGL Cube by #REF!</definedName>
    <definedName name="BExKRN0EFS84I0I7AYPWUTJGLPMF" localSheetId="4" hidden="1">FIGL Cube by #REF!</definedName>
    <definedName name="BExKRN0EFS84I0I7AYPWUTJGLPMF" hidden="1">FIGL Cube by #REF!</definedName>
    <definedName name="BExKRRNOR173VF56DHGQF6N3MTYT" localSheetId="5" hidden="1">Weekly KPI #REF!</definedName>
    <definedName name="BExKRRNOR173VF56DHGQF6N3MTYT" localSheetId="4" hidden="1">Weekly KPI #REF!</definedName>
    <definedName name="BExKRRNOR173VF56DHGQF6N3MTYT" hidden="1">Weekly KPI #REF!</definedName>
    <definedName name="BExKS73AQDK5K1XQWFCOZ0M3A7OB" localSheetId="5" hidden="1">Weekly KPI #REF!</definedName>
    <definedName name="BExKS73AQDK5K1XQWFCOZ0M3A7OB" localSheetId="4" hidden="1">Weekly KPI #REF!</definedName>
    <definedName name="BExKS73AQDK5K1XQWFCOZ0M3A7OB" hidden="1">Weekly KPI #REF!</definedName>
    <definedName name="BExMA1XLXACJ4KOUL1BYSGGDSWJ7" localSheetId="5" hidden="1">Sales #REF!</definedName>
    <definedName name="BExMA1XLXACJ4KOUL1BYSGGDSWJ7" localSheetId="4" hidden="1">Sales #REF!</definedName>
    <definedName name="BExMA1XLXACJ4KOUL1BYSGGDSWJ7" hidden="1">Sales #REF!</definedName>
    <definedName name="BExMBXTCJWRDKUDFMGVSAG2JY3AL" localSheetId="5" hidden="1">PCA Cube CPBH!p&amp;CPBH!L by Profit #REF!</definedName>
    <definedName name="BExMBXTCJWRDKUDFMGVSAG2JY3AL" localSheetId="4" hidden="1">PCA Cube [0]!p&amp;[0]!L by Profit #REF!</definedName>
    <definedName name="BExMBXTCJWRDKUDFMGVSAG2JY3AL" hidden="1">PCA Cube p&amp;L by Profit #REF!</definedName>
    <definedName name="BExMEI9VYN2ZWFZZEEA2GC1V4DHB" localSheetId="5" hidden="1">PCA Cube CPBH!p&amp;CPBH!L by Profit #REF!</definedName>
    <definedName name="BExMEI9VYN2ZWFZZEEA2GC1V4DHB" localSheetId="4" hidden="1">PCA Cube [0]!p&amp;[0]!L by Profit #REF!</definedName>
    <definedName name="BExMEI9VYN2ZWFZZEEA2GC1V4DHB" hidden="1">PCA Cube p&amp;L by Profit #REF!</definedName>
    <definedName name="BExMGPOZ3XOWWQVHAF6CV49QNPR8" localSheetId="5" hidden="1">Cost #REF!</definedName>
    <definedName name="BExMGPOZ3XOWWQVHAF6CV49QNPR8" localSheetId="4" hidden="1">Cost #REF!</definedName>
    <definedName name="BExMGPOZ3XOWWQVHAF6CV49QNPR8" hidden="1">Cost #REF!</definedName>
    <definedName name="BExMGYJ7MH0DIHR8TXYRA8B3PDRP" localSheetId="5" hidden="1">PCA Statkey by Profit #REF!</definedName>
    <definedName name="BExMGYJ7MH0DIHR8TXYRA8B3PDRP" localSheetId="4" hidden="1">PCA Statkey by Profit #REF!</definedName>
    <definedName name="BExMGYJ7MH0DIHR8TXYRA8B3PDRP" hidden="1">PCA Statkey by Profit #REF!</definedName>
    <definedName name="BExMJMQNADK5M1Q5P5HWM6FR96L1" hidden="1">#N/A</definedName>
    <definedName name="BExMKYE2KPVOP1LF57NR2CR773G9" localSheetId="5" hidden="1">PCA Statkey by Profit #REF!</definedName>
    <definedName name="BExMKYE2KPVOP1LF57NR2CR773G9" localSheetId="4" hidden="1">PCA Statkey by Profit #REF!</definedName>
    <definedName name="BExMKYE2KPVOP1LF57NR2CR773G9" hidden="1">PCA Statkey by Profit #REF!</definedName>
    <definedName name="BExMNH74ODSOVQYX4NW9ZEFQYAOG" hidden="1">#N/A</definedName>
    <definedName name="BExMNKY372BF1TQR0UPE2RC4UCTW" localSheetId="5" hidden="1">#REF!</definedName>
    <definedName name="BExMNKY372BF1TQR0UPE2RC4UCTW" localSheetId="4" hidden="1">#REF!</definedName>
    <definedName name="BExMNKY372BF1TQR0UPE2RC4UCTW" hidden="1">#REF!</definedName>
    <definedName name="BExMNXJ8A2Y7C41KDKE6J6G3T4UT" localSheetId="5" hidden="1">#REF!</definedName>
    <definedName name="BExMNXJ8A2Y7C41KDKE6J6G3T4UT" localSheetId="4" hidden="1">#REF!</definedName>
    <definedName name="BExMNXJ8A2Y7C41KDKE6J6G3T4UT" hidden="1">#REF!</definedName>
    <definedName name="BExMOGV4ZZ0UBPQMQKEZSMQ88CF7" localSheetId="5" hidden="1">Stat Key #REF!</definedName>
    <definedName name="BExMOGV4ZZ0UBPQMQKEZSMQ88CF7" localSheetId="4" hidden="1">Stat Key #REF!</definedName>
    <definedName name="BExMOGV4ZZ0UBPQMQKEZSMQ88CF7" hidden="1">Stat Key #REF!</definedName>
    <definedName name="BExMP0N86NIZFKRJDNP7C6UYQQ33" localSheetId="5" hidden="1">PCA Cube CPBH!p&amp;CPBH!L by Profit #REF!</definedName>
    <definedName name="BExMP0N86NIZFKRJDNP7C6UYQQ33" localSheetId="4" hidden="1">PCA Cube [0]!p&amp;[0]!L by Profit #REF!</definedName>
    <definedName name="BExMP0N86NIZFKRJDNP7C6UYQQ33" hidden="1">PCA Cube p&amp;L by Profit #REF!</definedName>
    <definedName name="BExMQ3064BKW2P7MDOXE14Z9K934" localSheetId="5" hidden="1">Stat Key #REF!</definedName>
    <definedName name="BExMQ3064BKW2P7MDOXE14Z9K934" localSheetId="4" hidden="1">Stat Key #REF!</definedName>
    <definedName name="BExMQ3064BKW2P7MDOXE14Z9K934" hidden="1">Stat Key #REF!</definedName>
    <definedName name="BExMR0PW02U9CZ2O0FBH1C0BNZVH" localSheetId="5" hidden="1">Balance #REF!</definedName>
    <definedName name="BExMR0PW02U9CZ2O0FBH1C0BNZVH" localSheetId="4" hidden="1">Balance #REF!</definedName>
    <definedName name="BExMR0PW02U9CZ2O0FBH1C0BNZVH" hidden="1">Balance #REF!</definedName>
    <definedName name="BExO52QYQ356W5G1NDL32BOCQJAN" localSheetId="5" hidden="1">Stat Key #REF!</definedName>
    <definedName name="BExO52QYQ356W5G1NDL32BOCQJAN" localSheetId="4" hidden="1">Stat Key #REF!</definedName>
    <definedName name="BExO52QYQ356W5G1NDL32BOCQJAN" hidden="1">Stat Key #REF!</definedName>
    <definedName name="BExO5IXMMEXD2S31P2U52ZPOQZ4O" hidden="1">#N/A</definedName>
    <definedName name="BExO6YHE8J2RBJ4MS0Q0HKALTCAY" localSheetId="5" hidden="1">#REF!</definedName>
    <definedName name="BExO6YHE8J2RBJ4MS0Q0HKALTCAY" localSheetId="4" hidden="1">#REF!</definedName>
    <definedName name="BExO6YHE8J2RBJ4MS0Q0HKALTCAY" hidden="1">#REF!</definedName>
    <definedName name="BExO7QSYD3JFH403WI5PF9WOL7EE" localSheetId="5" hidden="1">#REF!</definedName>
    <definedName name="BExO7QSYD3JFH403WI5PF9WOL7EE" localSheetId="4" hidden="1">#REF!</definedName>
    <definedName name="BExO7QSYD3JFH403WI5PF9WOL7EE" hidden="1">#REF!</definedName>
    <definedName name="BExODHLHVO1YU6AYVWHRM4FYEEVY" localSheetId="5" hidden="1">PCA Cube CPBH!p&amp;CPBH!L by Profit #REF!</definedName>
    <definedName name="BExODHLHVO1YU6AYVWHRM4FYEEVY" localSheetId="4" hidden="1">PCA Cube [0]!p&amp;[0]!L by Profit #REF!</definedName>
    <definedName name="BExODHLHVO1YU6AYVWHRM4FYEEVY" hidden="1">PCA Cube p&amp;L by Profit #REF!</definedName>
    <definedName name="BExODN574ZY9WR1DA9A20NWT5DII" localSheetId="5" hidden="1">Stat Key #REF!</definedName>
    <definedName name="BExODN574ZY9WR1DA9A20NWT5DII" localSheetId="4" hidden="1">Stat Key #REF!</definedName>
    <definedName name="BExODN574ZY9WR1DA9A20NWT5DII" hidden="1">Stat Key #REF!</definedName>
    <definedName name="BExOE84AZZFLSQADBHEEEZIH8K1Z" localSheetId="5" hidden="1">#REF!</definedName>
    <definedName name="BExOE84AZZFLSQADBHEEEZIH8K1Z" localSheetId="4" hidden="1">#REF!</definedName>
    <definedName name="BExOE84AZZFLSQADBHEEEZIH8K1Z" hidden="1">#REF!</definedName>
    <definedName name="BExOFYGJZXCI5V7XGINBWQUBCZA1" localSheetId="5" hidden="1">#REF!</definedName>
    <definedName name="BExOFYGJZXCI5V7XGINBWQUBCZA1" localSheetId="4" hidden="1">#REF!</definedName>
    <definedName name="BExOFYGJZXCI5V7XGINBWQUBCZA1" hidden="1">#REF!</definedName>
    <definedName name="BExOG10543ZEP1FNQ54NMZ43NOVL" localSheetId="5" hidden="1">Financials - Prior #REF!</definedName>
    <definedName name="BExOG10543ZEP1FNQ54NMZ43NOVL" localSheetId="4" hidden="1">Financials - Prior #REF!</definedName>
    <definedName name="BExOG10543ZEP1FNQ54NMZ43NOVL" hidden="1">Financials - Prior #REF!</definedName>
    <definedName name="BExOGCZQIMJ15O110UMJ429J8NJ6" localSheetId="5" hidden="1">PCA Statkey by Profit #REF!</definedName>
    <definedName name="BExOGCZQIMJ15O110UMJ429J8NJ6" localSheetId="4" hidden="1">PCA Statkey by Profit #REF!</definedName>
    <definedName name="BExOGCZQIMJ15O110UMJ429J8NJ6" hidden="1">PCA Statkey by Profit #REF!</definedName>
    <definedName name="BExOGF3B1ARXFO58WUY4IFY0AXLC" localSheetId="5" hidden="1">Sales #REF!</definedName>
    <definedName name="BExOGF3B1ARXFO58WUY4IFY0AXLC" localSheetId="4" hidden="1">Sales #REF!</definedName>
    <definedName name="BExOGF3B1ARXFO58WUY4IFY0AXLC" hidden="1">Sales #REF!</definedName>
    <definedName name="BExOJA6RWS2RHN3VUF7J6ZZ39UD4" localSheetId="5" hidden="1">#REF!</definedName>
    <definedName name="BExOJA6RWS2RHN3VUF7J6ZZ39UD4" localSheetId="4" hidden="1">#REF!</definedName>
    <definedName name="BExOJA6RWS2RHN3VUF7J6ZZ39UD4" hidden="1">#REF!</definedName>
    <definedName name="BExOJYM1Z4IRYTWQNOG17KT4QK81" localSheetId="5" hidden="1">PCA Cube CPBH!p&amp;CPBH!L by Profit #REF!</definedName>
    <definedName name="BExOJYM1Z4IRYTWQNOG17KT4QK81" localSheetId="4" hidden="1">PCA Cube [0]!p&amp;[0]!L by Profit #REF!</definedName>
    <definedName name="BExOJYM1Z4IRYTWQNOG17KT4QK81" hidden="1">PCA Cube p&amp;L by Profit #REF!</definedName>
    <definedName name="BExOL9YTG4YQZTP6MT0CZNLW8RBD" localSheetId="5" hidden="1">PCA Cube by GL #REF!</definedName>
    <definedName name="BExOL9YTG4YQZTP6MT0CZNLW8RBD" localSheetId="4" hidden="1">PCA Cube by GL #REF!</definedName>
    <definedName name="BExOL9YTG4YQZTP6MT0CZNLW8RBD" hidden="1">PCA Cube by GL #REF!</definedName>
    <definedName name="BExOLQ5H62AOJN7UVX4P9LS775UD" localSheetId="5" hidden="1">Sales #REF!</definedName>
    <definedName name="BExOLQ5H62AOJN7UVX4P9LS775UD" localSheetId="4" hidden="1">Sales #REF!</definedName>
    <definedName name="BExOLQ5H62AOJN7UVX4P9LS775UD" hidden="1">Sales #REF!</definedName>
    <definedName name="BExOLW58M3412DQ65KPYOXFTGZGU" localSheetId="5" hidden="1">FIGL Cube by #REF!</definedName>
    <definedName name="BExOLW58M3412DQ65KPYOXFTGZGU" localSheetId="4" hidden="1">FIGL Cube by #REF!</definedName>
    <definedName name="BExOLW58M3412DQ65KPYOXFTGZGU" hidden="1">FIGL Cube by #REF!</definedName>
    <definedName name="BExOMFMD8Q4IGC2FQTY2E1RAM9L1" localSheetId="5" hidden="1">Capital Employed by #REF!</definedName>
    <definedName name="BExOMFMD8Q4IGC2FQTY2E1RAM9L1" localSheetId="4" hidden="1">Capital Employed by #REF!</definedName>
    <definedName name="BExOMFMD8Q4IGC2FQTY2E1RAM9L1" hidden="1">Capital Employed by #REF!</definedName>
    <definedName name="BExOMQPLQ4QV7LH4TY39L3DQ89LN" localSheetId="5" hidden="1">PCA Statkey by Profit #REF!</definedName>
    <definedName name="BExOMQPLQ4QV7LH4TY39L3DQ89LN" localSheetId="4" hidden="1">PCA Statkey by Profit #REF!</definedName>
    <definedName name="BExOMQPLQ4QV7LH4TY39L3DQ89LN" hidden="1">PCA Statkey by Profit #REF!</definedName>
    <definedName name="BExOP2S1SZGWLB974U2XAF13E3LV" localSheetId="5" hidden="1">Balance #REF!</definedName>
    <definedName name="BExOP2S1SZGWLB974U2XAF13E3LV" localSheetId="4" hidden="1">Balance #REF!</definedName>
    <definedName name="BExOP2S1SZGWLB974U2XAF13E3LV" hidden="1">Balance #REF!</definedName>
    <definedName name="BExQ1UNGS02XPGD4NEUUXBFJ6BWQ" localSheetId="5" hidden="1">#REF!</definedName>
    <definedName name="BExQ1UNGS02XPGD4NEUUXBFJ6BWQ" localSheetId="4" hidden="1">#REF!</definedName>
    <definedName name="BExQ1UNGS02XPGD4NEUUXBFJ6BWQ" hidden="1">#REF!</definedName>
    <definedName name="BExQ3EP3QNZR8672MQBASJBZCARC" localSheetId="5" hidden="1">PCA Cube by GL #REF!</definedName>
    <definedName name="BExQ3EP3QNZR8672MQBASJBZCARC" localSheetId="4" hidden="1">PCA Cube by GL #REF!</definedName>
    <definedName name="BExQ3EP3QNZR8672MQBASJBZCARC" hidden="1">PCA Cube by GL #REF!</definedName>
    <definedName name="BExQ5JKMBENT3F5QZL1VAMK72OOM" localSheetId="5" hidden="1">Financials - Prior #REF!</definedName>
    <definedName name="BExQ5JKMBENT3F5QZL1VAMK72OOM" localSheetId="4" hidden="1">Financials - Prior #REF!</definedName>
    <definedName name="BExQ5JKMBENT3F5QZL1VAMK72OOM" hidden="1">Financials - Prior #REF!</definedName>
    <definedName name="BExQ6KFK8RY953WUNEGEONQBJNJH" localSheetId="5" hidden="1">#REF!</definedName>
    <definedName name="BExQ6KFK8RY953WUNEGEONQBJNJH" localSheetId="4" hidden="1">#REF!</definedName>
    <definedName name="BExQ6KFK8RY953WUNEGEONQBJNJH" hidden="1">#REF!</definedName>
    <definedName name="BExQ6XMB4GX76LGACM2G7K7KNSMA" localSheetId="5" hidden="1">#REF!</definedName>
    <definedName name="BExQ6XMB4GX76LGACM2G7K7KNSMA" localSheetId="4" hidden="1">#REF!</definedName>
    <definedName name="BExQ6XMB4GX76LGACM2G7K7KNSMA" hidden="1">#REF!</definedName>
    <definedName name="BExQ72PRGGMTZ2LTO3LHHS7CI7V1" localSheetId="5" hidden="1">#REF!</definedName>
    <definedName name="BExQ72PRGGMTZ2LTO3LHHS7CI7V1" localSheetId="4" hidden="1">#REF!</definedName>
    <definedName name="BExQ72PRGGMTZ2LTO3LHHS7CI7V1" hidden="1">#REF!</definedName>
    <definedName name="BExQBK907PKNFAAK1RI42AMIDAG2" localSheetId="5" hidden="1">#REF!</definedName>
    <definedName name="BExQBK907PKNFAAK1RI42AMIDAG2" localSheetId="4" hidden="1">#REF!</definedName>
    <definedName name="BExQBK907PKNFAAK1RI42AMIDAG2" hidden="1">#REF!</definedName>
    <definedName name="BExQBTOZV7LWUZL3JNC7BQ9ENYGP" localSheetId="5" hidden="1">Stat Key #REF!</definedName>
    <definedName name="BExQBTOZV7LWUZL3JNC7BQ9ENYGP" localSheetId="4" hidden="1">Stat Key #REF!</definedName>
    <definedName name="BExQBTOZV7LWUZL3JNC7BQ9ENYGP" hidden="1">Stat Key #REF!</definedName>
    <definedName name="BExQCN27L2DP8JXYJEOEPJD3OD9M" localSheetId="5" hidden="1">Stat Key #REF!</definedName>
    <definedName name="BExQCN27L2DP8JXYJEOEPJD3OD9M" localSheetId="4" hidden="1">Stat Key #REF!</definedName>
    <definedName name="BExQCN27L2DP8JXYJEOEPJD3OD9M" hidden="1">Stat Key #REF!</definedName>
    <definedName name="BExQCPB7TJC6ZYR06WLRZQSYLHYQ" localSheetId="5" hidden="1">PCA Cube CPBH!p&amp;CPBH!L by Profit #REF!</definedName>
    <definedName name="BExQCPB7TJC6ZYR06WLRZQSYLHYQ" localSheetId="4" hidden="1">PCA Cube [0]!p&amp;[0]!L by Profit #REF!</definedName>
    <definedName name="BExQCPB7TJC6ZYR06WLRZQSYLHYQ" hidden="1">PCA Cube p&amp;L by Profit #REF!</definedName>
    <definedName name="BExQD1ASPPBVK3AUJ6C82DDU3I4J" localSheetId="5" hidden="1">PCA Cube by GL #REF!</definedName>
    <definedName name="BExQD1ASPPBVK3AUJ6C82DDU3I4J" localSheetId="4" hidden="1">PCA Cube by GL #REF!</definedName>
    <definedName name="BExQD1ASPPBVK3AUJ6C82DDU3I4J" hidden="1">PCA Cube by GL #REF!</definedName>
    <definedName name="BExQD6UGUX56J682IZ8NLSSYRNAF" localSheetId="5" hidden="1">Sales #REF!</definedName>
    <definedName name="BExQD6UGUX56J682IZ8NLSSYRNAF" localSheetId="4" hidden="1">Sales #REF!</definedName>
    <definedName name="BExQD6UGUX56J682IZ8NLSSYRNAF" hidden="1">Sales #REF!</definedName>
    <definedName name="BExQGVB7K7QFJYFRTBETNGEPZWLF" localSheetId="5" hidden="1">#REF!</definedName>
    <definedName name="BExQGVB7K7QFJYFRTBETNGEPZWLF" localSheetId="4" hidden="1">#REF!</definedName>
    <definedName name="BExQGVB7K7QFJYFRTBETNGEPZWLF" hidden="1">#REF!</definedName>
    <definedName name="BExQHZH031WM21292PLXDGSUCKD3" localSheetId="5" hidden="1">FIGL Cube by GL #REF!</definedName>
    <definedName name="BExQHZH031WM21292PLXDGSUCKD3" localSheetId="4" hidden="1">FIGL Cube by GL #REF!</definedName>
    <definedName name="BExQHZH031WM21292PLXDGSUCKD3" hidden="1">FIGL Cube by GL #REF!</definedName>
    <definedName name="BExQJAZ2DKSCO3QHK44ZHC541SX4" localSheetId="5" hidden="1">Sales #REF!</definedName>
    <definedName name="BExQJAZ2DKSCO3QHK44ZHC541SX4" localSheetId="4" hidden="1">Sales #REF!</definedName>
    <definedName name="BExQJAZ2DKSCO3QHK44ZHC541SX4" hidden="1">Sales #REF!</definedName>
    <definedName name="BExQJOGLETXKFU10VFQ3DUDVFIVS" localSheetId="5" hidden="1">Cost #REF!</definedName>
    <definedName name="BExQJOGLETXKFU10VFQ3DUDVFIVS" localSheetId="4" hidden="1">Cost #REF!</definedName>
    <definedName name="BExQJOGLETXKFU10VFQ3DUDVFIVS" hidden="1">Cost #REF!</definedName>
    <definedName name="BExQJQ3WLG07RDZGEINF0BECRT6W" localSheetId="5" hidden="1">Weekly KPI #REF!</definedName>
    <definedName name="BExQJQ3WLG07RDZGEINF0BECRT6W" localSheetId="4" hidden="1">Weekly KPI #REF!</definedName>
    <definedName name="BExQJQ3WLG07RDZGEINF0BECRT6W" hidden="1">Weekly KPI #REF!</definedName>
    <definedName name="BExQJRWL3V8OIQ9FC0J2PD6QXCO6" localSheetId="5" hidden="1">PCA Cube CPBH!p&amp;CPBH!L by Profit #REF!</definedName>
    <definedName name="BExQJRWL3V8OIQ9FC0J2PD6QXCO6" localSheetId="4" hidden="1">PCA Cube [0]!p&amp;[0]!L by Profit #REF!</definedName>
    <definedName name="BExQJRWL3V8OIQ9FC0J2PD6QXCO6" hidden="1">PCA Cube p&amp;L by Profit #REF!</definedName>
    <definedName name="BExQKAHKA2LWUT29A67T7PHWDL8G" localSheetId="5" hidden="1">Stat Key #REF!</definedName>
    <definedName name="BExQKAHKA2LWUT29A67T7PHWDL8G" localSheetId="4" hidden="1">Stat Key #REF!</definedName>
    <definedName name="BExQKAHKA2LWUT29A67T7PHWDL8G" hidden="1">Stat Key #REF!</definedName>
    <definedName name="BExS06LMRSBKPP5179IE6U8KTE2J" localSheetId="5" hidden="1">Capital Employed by #REF!</definedName>
    <definedName name="BExS06LMRSBKPP5179IE6U8KTE2J" localSheetId="4" hidden="1">Capital Employed by #REF!</definedName>
    <definedName name="BExS06LMRSBKPP5179IE6U8KTE2J" hidden="1">Capital Employed by #REF!</definedName>
    <definedName name="BExS0FFVRTJ46QA86LXAXJ46FRQ7" localSheetId="5" hidden="1">PCA Cube by GL #REF!</definedName>
    <definedName name="BExS0FFVRTJ46QA86LXAXJ46FRQ7" localSheetId="4" hidden="1">PCA Cube by GL #REF!</definedName>
    <definedName name="BExS0FFVRTJ46QA86LXAXJ46FRQ7" hidden="1">PCA Cube by GL #REF!</definedName>
    <definedName name="BExS1IUMRBX09GW5KBA99FO3C0JP" localSheetId="5" hidden="1">#REF!</definedName>
    <definedName name="BExS1IUMRBX09GW5KBA99FO3C0JP" localSheetId="4" hidden="1">#REF!</definedName>
    <definedName name="BExS1IUMRBX09GW5KBA99FO3C0JP" hidden="1">#REF!</definedName>
    <definedName name="BExS1XZL9I9BJGNDIULG593TMIJH" localSheetId="5" hidden="1">Stat Key #REF!</definedName>
    <definedName name="BExS1XZL9I9BJGNDIULG593TMIJH" localSheetId="4" hidden="1">Stat Key #REF!</definedName>
    <definedName name="BExS1XZL9I9BJGNDIULG593TMIJH" hidden="1">Stat Key #REF!</definedName>
    <definedName name="BExS1YVZ5LXGSZTV08QOGBZPWJQI" localSheetId="5" hidden="1">Stat Key #REF!</definedName>
    <definedName name="BExS1YVZ5LXGSZTV08QOGBZPWJQI" localSheetId="4" hidden="1">Stat Key #REF!</definedName>
    <definedName name="BExS1YVZ5LXGSZTV08QOGBZPWJQI" hidden="1">Stat Key #REF!</definedName>
    <definedName name="BExS2983M2NMIV3VQ5Q3838N0B9M" localSheetId="5" hidden="1">Sales #REF!</definedName>
    <definedName name="BExS2983M2NMIV3VQ5Q3838N0B9M" localSheetId="4" hidden="1">Sales #REF!</definedName>
    <definedName name="BExS2983M2NMIV3VQ5Q3838N0B9M" hidden="1">Sales #REF!</definedName>
    <definedName name="BExS2BX84K3WNOHHXTE5EH849JVZ" localSheetId="5" hidden="1">#REF!</definedName>
    <definedName name="BExS2BX84K3WNOHHXTE5EH849JVZ" localSheetId="4" hidden="1">#REF!</definedName>
    <definedName name="BExS2BX84K3WNOHHXTE5EH849JVZ" hidden="1">#REF!</definedName>
    <definedName name="BExS2FO0MESHHMII0W4TOGUBJH5D" localSheetId="5" hidden="1">#REF!</definedName>
    <definedName name="BExS2FO0MESHHMII0W4TOGUBJH5D" localSheetId="4" hidden="1">#REF!</definedName>
    <definedName name="BExS2FO0MESHHMII0W4TOGUBJH5D" hidden="1">#REF!</definedName>
    <definedName name="BExS6331P8EW63XQTOGAQPXZ9J8T" localSheetId="5" hidden="1">#REF!</definedName>
    <definedName name="BExS6331P8EW63XQTOGAQPXZ9J8T" localSheetId="4" hidden="1">#REF!</definedName>
    <definedName name="BExS6331P8EW63XQTOGAQPXZ9J8T" hidden="1">#REF!</definedName>
    <definedName name="BExS67A93JM1POI27DNJY5N3X3UD" localSheetId="5" hidden="1">Balance #REF!</definedName>
    <definedName name="BExS67A93JM1POI27DNJY5N3X3UD" localSheetId="4" hidden="1">Balance #REF!</definedName>
    <definedName name="BExS67A93JM1POI27DNJY5N3X3UD" hidden="1">Balance #REF!</definedName>
    <definedName name="BExS67L0V8G8L11AJK8SGJ5CQRZS" localSheetId="5" hidden="1">Weekly KPI #REF!</definedName>
    <definedName name="BExS67L0V8G8L11AJK8SGJ5CQRZS" localSheetId="4" hidden="1">Weekly KPI #REF!</definedName>
    <definedName name="BExS67L0V8G8L11AJK8SGJ5CQRZS" hidden="1">Weekly KPI #REF!</definedName>
    <definedName name="BExS7FHNILQBKBDF2YN5L35TV2RM" localSheetId="5" hidden="1">Stat Key #REF!</definedName>
    <definedName name="BExS7FHNILQBKBDF2YN5L35TV2RM" localSheetId="4" hidden="1">Stat Key #REF!</definedName>
    <definedName name="BExS7FHNILQBKBDF2YN5L35TV2RM" hidden="1">Stat Key #REF!</definedName>
    <definedName name="BExS8MHVXHU5XOJW37K1Y4EPC0WL" localSheetId="5" hidden="1">#REF!</definedName>
    <definedName name="BExS8MHVXHU5XOJW37K1Y4EPC0WL" localSheetId="4" hidden="1">#REF!</definedName>
    <definedName name="BExS8MHVXHU5XOJW37K1Y4EPC0WL" hidden="1">#REF!</definedName>
    <definedName name="BExSAXYJH8PF0AOO0TMZ8GZRZYKO" localSheetId="5" hidden="1">Sales #REF!</definedName>
    <definedName name="BExSAXYJH8PF0AOO0TMZ8GZRZYKO" localSheetId="4" hidden="1">Sales #REF!</definedName>
    <definedName name="BExSAXYJH8PF0AOO0TMZ8GZRZYKO" hidden="1">Sales #REF!</definedName>
    <definedName name="BExSB2LV3N7QIXFQ0YSN5ECK52LZ" localSheetId="5" hidden="1">Balance #REF!</definedName>
    <definedName name="BExSB2LV3N7QIXFQ0YSN5ECK52LZ" localSheetId="4" hidden="1">Balance #REF!</definedName>
    <definedName name="BExSB2LV3N7QIXFQ0YSN5ECK52LZ" hidden="1">Balance #REF!</definedName>
    <definedName name="BExSBMDZX02MGUP77C2P3JDAKAIF" localSheetId="5" hidden="1">#REF!</definedName>
    <definedName name="BExSBMDZX02MGUP77C2P3JDAKAIF" localSheetId="4" hidden="1">#REF!</definedName>
    <definedName name="BExSBMDZX02MGUP77C2P3JDAKAIF" hidden="1">#REF!</definedName>
    <definedName name="BExSC2VE4YHOL4PFTV6JHMISZG82" localSheetId="5" hidden="1">Financials - Prior #REF!</definedName>
    <definedName name="BExSC2VE4YHOL4PFTV6JHMISZG82" localSheetId="4" hidden="1">Financials - Prior #REF!</definedName>
    <definedName name="BExSC2VE4YHOL4PFTV6JHMISZG82" hidden="1">Financials - Prior #REF!</definedName>
    <definedName name="BExSCKUMW87PNQANFNJVBG0J8UO5" localSheetId="5" hidden="1">Stat Key #REF!</definedName>
    <definedName name="BExSCKUMW87PNQANFNJVBG0J8UO5" localSheetId="4" hidden="1">Stat Key #REF!</definedName>
    <definedName name="BExSCKUMW87PNQANFNJVBG0J8UO5" hidden="1">Stat Key #REF!</definedName>
    <definedName name="BExSD2ZIMPV4N71UOB6BY9YOZ7JT" localSheetId="5" hidden="1">Capital #REF!</definedName>
    <definedName name="BExSD2ZIMPV4N71UOB6BY9YOZ7JT" localSheetId="4" hidden="1">Capital #REF!</definedName>
    <definedName name="BExSD2ZIMPV4N71UOB6BY9YOZ7JT" hidden="1">Capital #REF!</definedName>
    <definedName name="BExSDABRS00CRKN92DNDOTCKW746" localSheetId="5" hidden="1">FIGL Cube by GL #REF!</definedName>
    <definedName name="BExSDABRS00CRKN92DNDOTCKW746" localSheetId="4" hidden="1">FIGL Cube by GL #REF!</definedName>
    <definedName name="BExSDABRS00CRKN92DNDOTCKW746" hidden="1">FIGL Cube by GL #REF!</definedName>
    <definedName name="BExSDW7FMOS8MX2YIRDTD4EDEJRK" localSheetId="5" hidden="1">Sales #REF!</definedName>
    <definedName name="BExSDW7FMOS8MX2YIRDTD4EDEJRK" localSheetId="4" hidden="1">Sales #REF!</definedName>
    <definedName name="BExSDW7FMOS8MX2YIRDTD4EDEJRK" hidden="1">Sales #REF!</definedName>
    <definedName name="BExSFD90BUEWN8XC6DZ51184Z6OP" localSheetId="5" hidden="1">Stat Key #REF!</definedName>
    <definedName name="BExSFD90BUEWN8XC6DZ51184Z6OP" localSheetId="4" hidden="1">Stat Key #REF!</definedName>
    <definedName name="BExSFD90BUEWN8XC6DZ51184Z6OP" hidden="1">Stat Key #REF!</definedName>
    <definedName name="BExSFJUD1JXIB8S4CI1G3OQE37RE" localSheetId="5" hidden="1">Stat Key #REF!</definedName>
    <definedName name="BExSFJUD1JXIB8S4CI1G3OQE37RE" localSheetId="4" hidden="1">Stat Key #REF!</definedName>
    <definedName name="BExSFJUD1JXIB8S4CI1G3OQE37RE" hidden="1">Stat Key #REF!</definedName>
    <definedName name="BExSFRMWOPSH7B7HHMXQNYBNQ5AA" localSheetId="5" hidden="1">Balance #REF!</definedName>
    <definedName name="BExSFRMWOPSH7B7HHMXQNYBNQ5AA" localSheetId="4" hidden="1">Balance #REF!</definedName>
    <definedName name="BExSFRMWOPSH7B7HHMXQNYBNQ5AA" hidden="1">Balance #REF!</definedName>
    <definedName name="BExSFW4QLMNU5D0N5DNMJRACGB44" localSheetId="5" hidden="1">#REF!</definedName>
    <definedName name="BExSFW4QLMNU5D0N5DNMJRACGB44" localSheetId="4" hidden="1">#REF!</definedName>
    <definedName name="BExSFW4QLMNU5D0N5DNMJRACGB44" hidden="1">#REF!</definedName>
    <definedName name="BExSGU5FM4JAE2AICI12AEOCC88Z" localSheetId="5" hidden="1">Sales #REF!</definedName>
    <definedName name="BExSGU5FM4JAE2AICI12AEOCC88Z" localSheetId="4" hidden="1">Sales #REF!</definedName>
    <definedName name="BExSGU5FM4JAE2AICI12AEOCC88Z" hidden="1">Sales #REF!</definedName>
    <definedName name="BExSH2E43KKMER05XSPSAH0D7E5L" localSheetId="5" hidden="1">Sales #REF!</definedName>
    <definedName name="BExSH2E43KKMER05XSPSAH0D7E5L" localSheetId="4" hidden="1">Sales #REF!</definedName>
    <definedName name="BExSH2E43KKMER05XSPSAH0D7E5L" hidden="1">Sales #REF!</definedName>
    <definedName name="BExSIJFUAKB564KZGJEWYYKBQ6W8" localSheetId="5" hidden="1">Stat Key #REF!</definedName>
    <definedName name="BExSIJFUAKB564KZGJEWYYKBQ6W8" localSheetId="4" hidden="1">Stat Key #REF!</definedName>
    <definedName name="BExSIJFUAKB564KZGJEWYYKBQ6W8" hidden="1">Stat Key #REF!</definedName>
    <definedName name="BExTUCE6ZLMNMLU7NSQ0CVO2ENLH" localSheetId="5" hidden="1">PCA Cube CPBH!p&amp;CPBH!L by Profit #REF!</definedName>
    <definedName name="BExTUCE6ZLMNMLU7NSQ0CVO2ENLH" localSheetId="4" hidden="1">PCA Cube [0]!p&amp;[0]!L by Profit #REF!</definedName>
    <definedName name="BExTUCE6ZLMNMLU7NSQ0CVO2ENLH" hidden="1">PCA Cube p&amp;L by Profit #REF!</definedName>
    <definedName name="BExTVAK9OVMT4MFSCO4MFCTZ2OS1" localSheetId="5" hidden="1">Stat Key #REF!</definedName>
    <definedName name="BExTVAK9OVMT4MFSCO4MFCTZ2OS1" localSheetId="4" hidden="1">Stat Key #REF!</definedName>
    <definedName name="BExTVAK9OVMT4MFSCO4MFCTZ2OS1" hidden="1">Stat Key #REF!</definedName>
    <definedName name="BExTVII92OY7H2YU7LDL07TC4TUR" localSheetId="5" hidden="1">PCA Cube by GL #REF!</definedName>
    <definedName name="BExTVII92OY7H2YU7LDL07TC4TUR" localSheetId="4" hidden="1">PCA Cube by GL #REF!</definedName>
    <definedName name="BExTVII92OY7H2YU7LDL07TC4TUR" hidden="1">PCA Cube by GL #REF!</definedName>
    <definedName name="BExTVXHQ61PJXP9ED3WFXAEQGKY5" localSheetId="5" hidden="1">#REF!</definedName>
    <definedName name="BExTVXHQ61PJXP9ED3WFXAEQGKY5" localSheetId="4" hidden="1">#REF!</definedName>
    <definedName name="BExTVXHQ61PJXP9ED3WFXAEQGKY5" hidden="1">#REF!</definedName>
    <definedName name="BExTWKPUF1WDIIL3Z5GE4T3A5L9M" localSheetId="5" hidden="1">Stat Key #REF!</definedName>
    <definedName name="BExTWKPUF1WDIIL3Z5GE4T3A5L9M" localSheetId="4" hidden="1">Stat Key #REF!</definedName>
    <definedName name="BExTWKPUF1WDIIL3Z5GE4T3A5L9M" hidden="1">Stat Key #REF!</definedName>
    <definedName name="BExTYL8RJWBFM6N83CQSE93HK4IR" localSheetId="5" hidden="1">Sales #REF!</definedName>
    <definedName name="BExTYL8RJWBFM6N83CQSE93HK4IR" localSheetId="4" hidden="1">Sales #REF!</definedName>
    <definedName name="BExTYL8RJWBFM6N83CQSE93HK4IR" hidden="1">Sales #REF!</definedName>
    <definedName name="BExU0MTK8EXJ210YUQ6YOFMWRVIO" localSheetId="5" hidden="1">FIGL Cube by #REF!</definedName>
    <definedName name="BExU0MTK8EXJ210YUQ6YOFMWRVIO" localSheetId="4" hidden="1">FIGL Cube by #REF!</definedName>
    <definedName name="BExU0MTK8EXJ210YUQ6YOFMWRVIO" hidden="1">FIGL Cube by #REF!</definedName>
    <definedName name="BExU0Y7L9W1GIUXJEUY5H2D5TPNR" localSheetId="5" hidden="1">Capital Employed by #REF!</definedName>
    <definedName name="BExU0Y7L9W1GIUXJEUY5H2D5TPNR" localSheetId="4" hidden="1">Capital Employed by #REF!</definedName>
    <definedName name="BExU0Y7L9W1GIUXJEUY5H2D5TPNR" hidden="1">Capital Employed by #REF!</definedName>
    <definedName name="BExU1UVI8PMASBCGM38E1YVX2TUZ" localSheetId="5" hidden="1">Capital Employed by #REF!</definedName>
    <definedName name="BExU1UVI8PMASBCGM38E1YVX2TUZ" localSheetId="4" hidden="1">Capital Employed by #REF!</definedName>
    <definedName name="BExU1UVI8PMASBCGM38E1YVX2TUZ" hidden="1">Capital Employed by #REF!</definedName>
    <definedName name="BExU386H9UY9THJQDGI7GXR1NW9J" localSheetId="5" hidden="1">Stat Key #REF!</definedName>
    <definedName name="BExU386H9UY9THJQDGI7GXR1NW9J" localSheetId="4" hidden="1">Stat Key #REF!</definedName>
    <definedName name="BExU386H9UY9THJQDGI7GXR1NW9J" hidden="1">Stat Key #REF!</definedName>
    <definedName name="BExU3TB1FRKUFAWLSBFGDKEIY0GZ" localSheetId="5" hidden="1">Financials - Prior #REF!</definedName>
    <definedName name="BExU3TB1FRKUFAWLSBFGDKEIY0GZ" localSheetId="4" hidden="1">Financials - Prior #REF!</definedName>
    <definedName name="BExU3TB1FRKUFAWLSBFGDKEIY0GZ" hidden="1">Financials - Prior #REF!</definedName>
    <definedName name="BExU4IBXDRVMMCUQM8G8Y5UVG45Q" localSheetId="5" hidden="1">Stat Key #REF!</definedName>
    <definedName name="BExU4IBXDRVMMCUQM8G8Y5UVG45Q" localSheetId="4" hidden="1">Stat Key #REF!</definedName>
    <definedName name="BExU4IBXDRVMMCUQM8G8Y5UVG45Q" hidden="1">Stat Key #REF!</definedName>
    <definedName name="BExU70E4ZUMZOAB9DFE779M7H4N3" localSheetId="5" hidden="1">#REF!</definedName>
    <definedName name="BExU70E4ZUMZOAB9DFE779M7H4N3" localSheetId="4" hidden="1">#REF!</definedName>
    <definedName name="BExU70E4ZUMZOAB9DFE779M7H4N3" hidden="1">#REF!</definedName>
    <definedName name="BExU70OVG69G5BQBVVYE98P8QZ6X" localSheetId="5" hidden="1">Balance #REF!</definedName>
    <definedName name="BExU70OVG69G5BQBVVYE98P8QZ6X" localSheetId="4" hidden="1">Balance #REF!</definedName>
    <definedName name="BExU70OVG69G5BQBVVYE98P8QZ6X" hidden="1">Balance #REF!</definedName>
    <definedName name="BExU9ZDVJWDEZ9B7320KU1JTFHSW" localSheetId="5" hidden="1">Stat Key #REF!</definedName>
    <definedName name="BExU9ZDVJWDEZ9B7320KU1JTFHSW" localSheetId="4" hidden="1">Stat Key #REF!</definedName>
    <definedName name="BExU9ZDVJWDEZ9B7320KU1JTFHSW" hidden="1">Stat Key #REF!</definedName>
    <definedName name="BExUARUQ2M64SYF83KXZU001KW0G" localSheetId="5" hidden="1">Stat Key #REF!</definedName>
    <definedName name="BExUARUQ2M64SYF83KXZU001KW0G" localSheetId="4" hidden="1">Stat Key #REF!</definedName>
    <definedName name="BExUARUQ2M64SYF83KXZU001KW0G" hidden="1">Stat Key #REF!</definedName>
    <definedName name="BExUCRMPZQ1EHG9GXXZMYFPNTM3A" hidden="1">#N/A</definedName>
    <definedName name="BExUDNZZZXTU1G5SSPAVRN9FNC4I" localSheetId="5" hidden="1">PCA Cube CPBH!p&amp;CPBH!L by Profit #REF!</definedName>
    <definedName name="BExUDNZZZXTU1G5SSPAVRN9FNC4I" localSheetId="4" hidden="1">PCA Cube [0]!p&amp;[0]!L by Profit #REF!</definedName>
    <definedName name="BExUDNZZZXTU1G5SSPAVRN9FNC4I" hidden="1">PCA Cube p&amp;L by Profit #REF!</definedName>
    <definedName name="BExVRSQ7G44MXXXBZP4X8NZZ1L4T" localSheetId="5" hidden="1">#REF!</definedName>
    <definedName name="BExVRSQ7G44MXXXBZP4X8NZZ1L4T" localSheetId="4" hidden="1">#REF!</definedName>
    <definedName name="BExVRSQ7G44MXXXBZP4X8NZZ1L4T" hidden="1">#REF!</definedName>
    <definedName name="BExVS3D5GX6CKM1NXYZSCEOYACPZ" localSheetId="5" hidden="1">Key #REF!</definedName>
    <definedName name="BExVS3D5GX6CKM1NXYZSCEOYACPZ" localSheetId="4" hidden="1">Key #REF!</definedName>
    <definedName name="BExVS3D5GX6CKM1NXYZSCEOYACPZ" hidden="1">Key #REF!</definedName>
    <definedName name="BExVTW9155VL84LJIMJO9X0X6XMG" localSheetId="5" hidden="1">Weekly KPI #REF!</definedName>
    <definedName name="BExVTW9155VL84LJIMJO9X0X6XMG" localSheetId="4" hidden="1">Weekly KPI #REF!</definedName>
    <definedName name="BExVTW9155VL84LJIMJO9X0X6XMG" hidden="1">Weekly KPI #REF!</definedName>
    <definedName name="BExVVMQLACOP7FAZBIA79TQGCYAY" localSheetId="5" hidden="1">Stat Key #REF!</definedName>
    <definedName name="BExVVMQLACOP7FAZBIA79TQGCYAY" localSheetId="4" hidden="1">Stat Key #REF!</definedName>
    <definedName name="BExVVMQLACOP7FAZBIA79TQGCYAY" hidden="1">Stat Key #REF!</definedName>
    <definedName name="BExVX66I8LBR5JLSC93GUVPIY19W" localSheetId="5" hidden="1">Stat Key #REF!</definedName>
    <definedName name="BExVX66I8LBR5JLSC93GUVPIY19W" localSheetId="4" hidden="1">Stat Key #REF!</definedName>
    <definedName name="BExVX66I8LBR5JLSC93GUVPIY19W" hidden="1">Stat Key #REF!</definedName>
    <definedName name="BExVY2JR12G2SXGT1P6WEA58J5SF" localSheetId="5" hidden="1">Stat Key #REF!</definedName>
    <definedName name="BExVY2JR12G2SXGT1P6WEA58J5SF" localSheetId="4" hidden="1">Stat Key #REF!</definedName>
    <definedName name="BExVY2JR12G2SXGT1P6WEA58J5SF" hidden="1">Stat Key #REF!</definedName>
    <definedName name="BExVYBOYGG74CEJRZUHGNZHWTKGS" localSheetId="5" hidden="1">Financials - Prior #REF!</definedName>
    <definedName name="BExVYBOYGG74CEJRZUHGNZHWTKGS" localSheetId="4" hidden="1">Financials - Prior #REF!</definedName>
    <definedName name="BExVYBOYGG74CEJRZUHGNZHWTKGS" hidden="1">Financials - Prior #REF!</definedName>
    <definedName name="BExVYT82EAH1LNR7L1NW3DDELI2N" localSheetId="5" hidden="1">PCA Cube by GL #REF!</definedName>
    <definedName name="BExVYT82EAH1LNR7L1NW3DDELI2N" localSheetId="4" hidden="1">PCA Cube by GL #REF!</definedName>
    <definedName name="BExVYT82EAH1LNR7L1NW3DDELI2N" hidden="1">PCA Cube by GL #REF!</definedName>
    <definedName name="BExW05XB4CFQGXK85I4JD3DR365K" localSheetId="5" hidden="1">#REF!</definedName>
    <definedName name="BExW05XB4CFQGXK85I4JD3DR365K" localSheetId="4" hidden="1">#REF!</definedName>
    <definedName name="BExW05XB4CFQGXK85I4JD3DR365K" hidden="1">#REF!</definedName>
    <definedName name="BExW0IYPWV86RX1Z2Z3BU1ZUFNWM" localSheetId="5" hidden="1">#REF!</definedName>
    <definedName name="BExW0IYPWV86RX1Z2Z3BU1ZUFNWM" localSheetId="4" hidden="1">#REF!</definedName>
    <definedName name="BExW0IYPWV86RX1Z2Z3BU1ZUFNWM" hidden="1">#REF!</definedName>
    <definedName name="BExW0K5QQI8MRY9DIMGIYV5NP52C" localSheetId="5" hidden="1">Balance #REF!</definedName>
    <definedName name="BExW0K5QQI8MRY9DIMGIYV5NP52C" localSheetId="4" hidden="1">Balance #REF!</definedName>
    <definedName name="BExW0K5QQI8MRY9DIMGIYV5NP52C" hidden="1">Balance #REF!</definedName>
    <definedName name="BExW0KGI8LFJ4LKXWV0PAZX8ZBEN" localSheetId="5" hidden="1">Stat Key #REF!</definedName>
    <definedName name="BExW0KGI8LFJ4LKXWV0PAZX8ZBEN" localSheetId="4" hidden="1">Stat Key #REF!</definedName>
    <definedName name="BExW0KGI8LFJ4LKXWV0PAZX8ZBEN" hidden="1">Stat Key #REF!</definedName>
    <definedName name="BExW1MZ3VQ6VBRYJSLT8QIAVDB36" localSheetId="5" hidden="1">Stat Key #REF!</definedName>
    <definedName name="BExW1MZ3VQ6VBRYJSLT8QIAVDB36" localSheetId="4" hidden="1">Stat Key #REF!</definedName>
    <definedName name="BExW1MZ3VQ6VBRYJSLT8QIAVDB36" hidden="1">Stat Key #REF!</definedName>
    <definedName name="BExW5JDRQEA50B319VGP92MKL08X" localSheetId="5" hidden="1">Stat Key #REF!</definedName>
    <definedName name="BExW5JDRQEA50B319VGP92MKL08X" localSheetId="4" hidden="1">Stat Key #REF!</definedName>
    <definedName name="BExW5JDRQEA50B319VGP92MKL08X" hidden="1">Stat Key #REF!</definedName>
    <definedName name="BExW5NKOL90K9ZGIR3Z216HK6W90" localSheetId="5" hidden="1">Balance #REF!</definedName>
    <definedName name="BExW5NKOL90K9ZGIR3Z216HK6W90" localSheetId="4" hidden="1">Balance #REF!</definedName>
    <definedName name="BExW5NKOL90K9ZGIR3Z216HK6W90" hidden="1">Balance #REF!</definedName>
    <definedName name="BExXM5V66CPJL0CWKYUQQEUMHNRV" localSheetId="5" hidden="1">PCA Cube CPBH!p&amp;CPBH!L by Profit #REF!</definedName>
    <definedName name="BExXM5V66CPJL0CWKYUQQEUMHNRV" localSheetId="4" hidden="1">PCA Cube [0]!p&amp;[0]!L by Profit #REF!</definedName>
    <definedName name="BExXM5V66CPJL0CWKYUQQEUMHNRV" hidden="1">PCA Cube p&amp;L by Profit #REF!</definedName>
    <definedName name="BExXN4XKLUPO8W2I342RDGS27T1H" localSheetId="5" hidden="1">Balance #REF!</definedName>
    <definedName name="BExXN4XKLUPO8W2I342RDGS27T1H" localSheetId="4" hidden="1">Balance #REF!</definedName>
    <definedName name="BExXN4XKLUPO8W2I342RDGS27T1H" hidden="1">Balance #REF!</definedName>
    <definedName name="BExXOMKQ2RSCTA0TXMDSYSNZUWV2" localSheetId="5" hidden="1">Balance #REF!</definedName>
    <definedName name="BExXOMKQ2RSCTA0TXMDSYSNZUWV2" localSheetId="4" hidden="1">Balance #REF!</definedName>
    <definedName name="BExXOMKQ2RSCTA0TXMDSYSNZUWV2" hidden="1">Balance #REF!</definedName>
    <definedName name="BExXORIVIWLDMFL3IQ7IULEKAQF8" localSheetId="5" hidden="1">PCA Cube by GL #REF!</definedName>
    <definedName name="BExXORIVIWLDMFL3IQ7IULEKAQF8" localSheetId="4" hidden="1">PCA Cube by GL #REF!</definedName>
    <definedName name="BExXORIVIWLDMFL3IQ7IULEKAQF8" hidden="1">PCA Cube by GL #REF!</definedName>
    <definedName name="BExXPHQWNMWNZUKVHWLG0UVDXUBO" hidden="1">#N/A</definedName>
    <definedName name="BExXPOXVAXEBXHGFZIGQPJV9PCF3" localSheetId="5" hidden="1">PCA Statkey by Profit #REF!</definedName>
    <definedName name="BExXPOXVAXEBXHGFZIGQPJV9PCF3" localSheetId="4" hidden="1">PCA Statkey by Profit #REF!</definedName>
    <definedName name="BExXPOXVAXEBXHGFZIGQPJV9PCF3" hidden="1">PCA Statkey by Profit #REF!</definedName>
    <definedName name="BExXQC5Y3NO1QJ37OOGM8AW5YQON" localSheetId="5" hidden="1">Cost #REF!</definedName>
    <definedName name="BExXQC5Y3NO1QJ37OOGM8AW5YQON" localSheetId="4" hidden="1">Cost #REF!</definedName>
    <definedName name="BExXQC5Y3NO1QJ37OOGM8AW5YQON" hidden="1">Cost #REF!</definedName>
    <definedName name="BExXRFVH8IKEEJQ85CT0WK0ILOAI" localSheetId="5" hidden="1">Cost #REF!</definedName>
    <definedName name="BExXRFVH8IKEEJQ85CT0WK0ILOAI" localSheetId="4" hidden="1">Cost #REF!</definedName>
    <definedName name="BExXRFVH8IKEEJQ85CT0WK0ILOAI" hidden="1">Cost #REF!</definedName>
    <definedName name="BExXRG0Z51OUC9XG8I43W14ACRGG" localSheetId="5" hidden="1">Stat Key #REF!</definedName>
    <definedName name="BExXRG0Z51OUC9XG8I43W14ACRGG" localSheetId="4" hidden="1">Stat Key #REF!</definedName>
    <definedName name="BExXRG0Z51OUC9XG8I43W14ACRGG" hidden="1">Stat Key #REF!</definedName>
    <definedName name="BExXRR9JBR9BNCJVKMGMBI3DS4TG" localSheetId="5" hidden="1">PCA Cube by GL #REF!</definedName>
    <definedName name="BExXRR9JBR9BNCJVKMGMBI3DS4TG" localSheetId="4" hidden="1">PCA Cube by GL #REF!</definedName>
    <definedName name="BExXRR9JBR9BNCJVKMGMBI3DS4TG" hidden="1">PCA Cube by GL #REF!</definedName>
    <definedName name="BExXT1F3RWI3Y38E73TI1CI2LD96" localSheetId="5" hidden="1">Cost #REF!</definedName>
    <definedName name="BExXT1F3RWI3Y38E73TI1CI2LD96" localSheetId="4" hidden="1">Cost #REF!</definedName>
    <definedName name="BExXT1F3RWI3Y38E73TI1CI2LD96" hidden="1">Cost #REF!</definedName>
    <definedName name="BExXU3MPA8HDCS70PPNHVHOWVVFG" localSheetId="5" hidden="1">PCA Cube by GL #REF!</definedName>
    <definedName name="BExXU3MPA8HDCS70PPNHVHOWVVFG" localSheetId="4" hidden="1">PCA Cube by GL #REF!</definedName>
    <definedName name="BExXU3MPA8HDCS70PPNHVHOWVVFG" hidden="1">PCA Cube by GL #REF!</definedName>
    <definedName name="BExXWWBWJKZ6AINRM8UE2K6H813M" localSheetId="5" hidden="1">#REF!</definedName>
    <definedName name="BExXWWBWJKZ6AINRM8UE2K6H813M" localSheetId="4" hidden="1">#REF!</definedName>
    <definedName name="BExXWWBWJKZ6AINRM8UE2K6H813M" hidden="1">#REF!</definedName>
    <definedName name="BExXX9O2QS1HP1ZGRRQNV22SV8JD" localSheetId="5" hidden="1">PCA Cube CPBH!p&amp;CPBH!L by Profit #REF!</definedName>
    <definedName name="BExXX9O2QS1HP1ZGRRQNV22SV8JD" localSheetId="4" hidden="1">PCA Cube [0]!p&amp;[0]!L by Profit #REF!</definedName>
    <definedName name="BExXX9O2QS1HP1ZGRRQNV22SV8JD" hidden="1">PCA Cube p&amp;L by Profit #REF!</definedName>
    <definedName name="BExXXOCLXRVQBHYH970269XO80HS" localSheetId="5" hidden="1">Stat Key #REF!</definedName>
    <definedName name="BExXXOCLXRVQBHYH970269XO80HS" localSheetId="4" hidden="1">Stat Key #REF!</definedName>
    <definedName name="BExXXOCLXRVQBHYH970269XO80HS" hidden="1">Stat Key #REF!</definedName>
    <definedName name="BExXYD2O80YE26BKL10CAV0R515F" localSheetId="5" hidden="1">PCA Cube CPBH!p&amp;CPBH!L by Profit #REF!</definedName>
    <definedName name="BExXYD2O80YE26BKL10CAV0R515F" localSheetId="4" hidden="1">PCA Cube [0]!p&amp;[0]!L by Profit #REF!</definedName>
    <definedName name="BExXYD2O80YE26BKL10CAV0R515F" hidden="1">PCA Cube p&amp;L by Profit #REF!</definedName>
    <definedName name="BExXZN2XZS4KDG9XEUIG9QI53FYR" localSheetId="5" hidden="1">#REF!</definedName>
    <definedName name="BExXZN2XZS4KDG9XEUIG9QI53FYR" localSheetId="4" hidden="1">#REF!</definedName>
    <definedName name="BExXZN2XZS4KDG9XEUIG9QI53FYR" hidden="1">#REF!</definedName>
    <definedName name="BExY0Y4RTTMPCKW55F89EN59A45B" localSheetId="5" hidden="1">PCA Cube CPBH!p&amp;CPBH!L by Profit #REF!</definedName>
    <definedName name="BExY0Y4RTTMPCKW55F89EN59A45B" localSheetId="4" hidden="1">PCA Cube [0]!p&amp;[0]!L by Profit #REF!</definedName>
    <definedName name="BExY0Y4RTTMPCKW55F89EN59A45B" hidden="1">PCA Cube p&amp;L by Profit #REF!</definedName>
    <definedName name="BExY1L7KE5XLL8VS9SFCV71P927O" localSheetId="5" hidden="1">Sales #REF!</definedName>
    <definedName name="BExY1L7KE5XLL8VS9SFCV71P927O" localSheetId="4" hidden="1">Sales #REF!</definedName>
    <definedName name="BExY1L7KE5XLL8VS9SFCV71P927O" hidden="1">Sales #REF!</definedName>
    <definedName name="BExY2A8ETRH3FUPH3RA2G4YUXUTI" localSheetId="5" hidden="1">Sales #REF!</definedName>
    <definedName name="BExY2A8ETRH3FUPH3RA2G4YUXUTI" localSheetId="4" hidden="1">Sales #REF!</definedName>
    <definedName name="BExY2A8ETRH3FUPH3RA2G4YUXUTI" hidden="1">Sales #REF!</definedName>
    <definedName name="BExY470KYIV2VP0SC58OM8QMZTY9" localSheetId="5" hidden="1">#REF!</definedName>
    <definedName name="BExY470KYIV2VP0SC58OM8QMZTY9" localSheetId="4" hidden="1">#REF!</definedName>
    <definedName name="BExY470KYIV2VP0SC58OM8QMZTY9" hidden="1">#REF!</definedName>
    <definedName name="BExY568B2ORG9UPJHA700F203WNG" localSheetId="5" hidden="1">Financials - Prior #REF!</definedName>
    <definedName name="BExY568B2ORG9UPJHA700F203WNG" localSheetId="4" hidden="1">Financials - Prior #REF!</definedName>
    <definedName name="BExY568B2ORG9UPJHA700F203WNG" hidden="1">Financials - Prior #REF!</definedName>
    <definedName name="BExZJDYD8PH4TW3C4MW9PZDRV9DF" localSheetId="5" hidden="1">Stat Key #REF!</definedName>
    <definedName name="BExZJDYD8PH4TW3C4MW9PZDRV9DF" localSheetId="4" hidden="1">Stat Key #REF!</definedName>
    <definedName name="BExZJDYD8PH4TW3C4MW9PZDRV9DF" hidden="1">Stat Key #REF!</definedName>
    <definedName name="BExZKM5QZ0L9CYV6R657E62IN7NB" localSheetId="5" hidden="1">PCA Cube CPBH!p&amp;CPBH!L by Profit #REF!</definedName>
    <definedName name="BExZKM5QZ0L9CYV6R657E62IN7NB" localSheetId="4" hidden="1">PCA Cube [0]!p&amp;[0]!L by Profit #REF!</definedName>
    <definedName name="BExZKM5QZ0L9CYV6R657E62IN7NB" hidden="1">PCA Cube p&amp;L by Profit #REF!</definedName>
    <definedName name="BExZL5XUL9TGNR9ISX97XPOVD38M" localSheetId="5" hidden="1">#REF!</definedName>
    <definedName name="BExZL5XUL9TGNR9ISX97XPOVD38M" localSheetId="4" hidden="1">#REF!</definedName>
    <definedName name="BExZL5XUL9TGNR9ISX97XPOVD38M" hidden="1">#REF!</definedName>
    <definedName name="BExZO0VV323HIYMF516781JVA7N6" localSheetId="5" hidden="1">PCA Cube by GL #REF!</definedName>
    <definedName name="BExZO0VV323HIYMF516781JVA7N6" localSheetId="4" hidden="1">PCA Cube by GL #REF!</definedName>
    <definedName name="BExZO0VV323HIYMF516781JVA7N6" hidden="1">PCA Cube by GL #REF!</definedName>
    <definedName name="BExZPMFHJGID7HHK2HWOI292D4WT" localSheetId="5" hidden="1">Sales #REF!</definedName>
    <definedName name="BExZPMFHJGID7HHK2HWOI292D4WT" localSheetId="4" hidden="1">Sales #REF!</definedName>
    <definedName name="BExZPMFHJGID7HHK2HWOI292D4WT" hidden="1">Sales #REF!</definedName>
    <definedName name="BExZPQ0XN99A1IHMTMS0QBJ523PK" localSheetId="5" hidden="1">Financials - Prior #REF!</definedName>
    <definedName name="BExZPQ0XN99A1IHMTMS0QBJ523PK" localSheetId="4" hidden="1">Financials - Prior #REF!</definedName>
    <definedName name="BExZPQ0XN99A1IHMTMS0QBJ523PK" hidden="1">Financials - Prior #REF!</definedName>
    <definedName name="BExZR4IX5O1TS4IN669ZZ80XZ40K" localSheetId="5" hidden="1">Sales #REF!</definedName>
    <definedName name="BExZR4IX5O1TS4IN669ZZ80XZ40K" localSheetId="4" hidden="1">Sales #REF!</definedName>
    <definedName name="BExZR4IX5O1TS4IN669ZZ80XZ40K" hidden="1">Sales #REF!</definedName>
    <definedName name="BExZR8KIMQN8EKAR3KEEO85VP071" localSheetId="5" hidden="1">Stat Key #REF!</definedName>
    <definedName name="BExZR8KIMQN8EKAR3KEEO85VP071" localSheetId="4" hidden="1">Stat Key #REF!</definedName>
    <definedName name="BExZR8KIMQN8EKAR3KEEO85VP071" hidden="1">Stat Key #REF!</definedName>
    <definedName name="BExZSBJ61MOB9Y5KK8OZPGTJMSDB" localSheetId="5" hidden="1">Stat Key #REF!</definedName>
    <definedName name="BExZSBJ61MOB9Y5KK8OZPGTJMSDB" localSheetId="4" hidden="1">Stat Key #REF!</definedName>
    <definedName name="BExZSBJ61MOB9Y5KK8OZPGTJMSDB" hidden="1">Stat Key #REF!</definedName>
    <definedName name="BExZSMX51HR5GLKW08JGXAF6M43N" localSheetId="5" hidden="1">Balance #REF!</definedName>
    <definedName name="BExZSMX51HR5GLKW08JGXAF6M43N" localSheetId="4" hidden="1">Balance #REF!</definedName>
    <definedName name="BExZSMX51HR5GLKW08JGXAF6M43N" hidden="1">Balance #REF!</definedName>
    <definedName name="BExZT8SSBP52BMR781HUJ7Y55GQF" localSheetId="5" hidden="1">Cost #REF!</definedName>
    <definedName name="BExZT8SSBP52BMR781HUJ7Y55GQF" localSheetId="4" hidden="1">Cost #REF!</definedName>
    <definedName name="BExZT8SSBP52BMR781HUJ7Y55GQF" hidden="1">Cost #REF!</definedName>
    <definedName name="BExZTTBUKWEHN3YPOBMWC5VK0COX" localSheetId="5" hidden="1">Stat Key #REF!</definedName>
    <definedName name="BExZTTBUKWEHN3YPOBMWC5VK0COX" localSheetId="4" hidden="1">Stat Key #REF!</definedName>
    <definedName name="BExZTTBUKWEHN3YPOBMWC5VK0COX" hidden="1">Stat Key #REF!</definedName>
    <definedName name="BExZUW50J9DSAB92APRCSV0E7DZM" localSheetId="5" hidden="1">#REF!</definedName>
    <definedName name="BExZUW50J9DSAB92APRCSV0E7DZM" localSheetId="4" hidden="1">#REF!</definedName>
    <definedName name="BExZUW50J9DSAB92APRCSV0E7DZM" hidden="1">#REF!</definedName>
    <definedName name="BExZUWFSMOQ5BBONOV4QBKEA6NW9" localSheetId="5" hidden="1">#REF!</definedName>
    <definedName name="BExZUWFSMOQ5BBONOV4QBKEA6NW9" localSheetId="4" hidden="1">#REF!</definedName>
    <definedName name="BExZUWFSMOQ5BBONOV4QBKEA6NW9" hidden="1">#REF!</definedName>
    <definedName name="BExZVCRRENPUGU4IAFDN9KWTHXFV" localSheetId="5" hidden="1">Balance #REF!</definedName>
    <definedName name="BExZVCRRENPUGU4IAFDN9KWTHXFV" localSheetId="4" hidden="1">Balance #REF!</definedName>
    <definedName name="BExZVCRRENPUGU4IAFDN9KWTHXFV" hidden="1">Balance #REF!</definedName>
    <definedName name="BExZWRVADOH3OLA7ZJTBKSPKX8BO" localSheetId="5" hidden="1">Stat Key #REF!</definedName>
    <definedName name="BExZWRVADOH3OLA7ZJTBKSPKX8BO" localSheetId="4" hidden="1">Stat Key #REF!</definedName>
    <definedName name="BExZWRVADOH3OLA7ZJTBKSPKX8BO" hidden="1">Stat Key #REF!</definedName>
    <definedName name="BExZZFMHSCTXPM4LX9F56KCZONMY" localSheetId="5" hidden="1">Stat Key #REF!</definedName>
    <definedName name="BExZZFMHSCTXPM4LX9F56KCZONMY" localSheetId="4" hidden="1">Stat Key #REF!</definedName>
    <definedName name="BExZZFMHSCTXPM4LX9F56KCZONMY" hidden="1">Stat Key #REF!</definedName>
    <definedName name="bf7yre" localSheetId="5" hidden="1">{"'Sheet1'!$L$16"}</definedName>
    <definedName name="bf7yre" hidden="1">{"'Sheet1'!$L$16"}</definedName>
    <definedName name="bfbfdhfdhdfgh" localSheetId="5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localSheetId="5" hidden="1">#REF!</definedName>
    <definedName name="BHXH" localSheetId="4" hidden="1">#REF!</definedName>
    <definedName name="BHXH" hidden="1">#REF!</definedName>
    <definedName name="bi" localSheetId="5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5" hidden="1">{"'Sheet1'!$L$16"}</definedName>
    <definedName name="bieudo" hidden="1">{"'Sheet1'!$L$16"}</definedName>
    <definedName name="bieudo1" localSheetId="5" hidden="1">{"'Sheet1'!$L$16"}</definedName>
    <definedName name="bieudo1" hidden="1">{"'Sheet1'!$L$16"}</definedName>
    <definedName name="binh" localSheetId="5" hidden="1">{"'Sheet1'!$L$16"}</definedName>
    <definedName name="binh" hidden="1">{"'Sheet1'!$L$16"}</definedName>
    <definedName name="binh1" localSheetId="5" hidden="1">{"'Sheet1'!$L$16"}</definedName>
    <definedName name="binh1" hidden="1">{"'Sheet1'!$L$16"}</definedName>
    <definedName name="biz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localSheetId="5" hidden="1">{#N/A,#N/A,FALSE,"CCTV"}</definedName>
    <definedName name="BJJ" hidden="1">{#N/A,#N/A,FALSE,"CCTV"}</definedName>
    <definedName name="bleine.erg" localSheetId="5" hidden="1">{"fleisch",#N/A,FALSE,"WG HK";"food",#N/A,FALSE,"WG HK";"hartwaren",#N/A,FALSE,"WG HK";"weichwaren",#N/A,FALSE,"WG HK"}</definedName>
    <definedName name="bleine.erg" hidden="1">{"fleisch",#N/A,FALSE,"WG HK";"food",#N/A,FALSE,"WG HK";"hartwaren",#N/A,FALSE,"WG HK";"weichwaren",#N/A,FALSE,"WG HK"}</definedName>
    <definedName name="BLPH1" localSheetId="5" hidden="1">#REF!</definedName>
    <definedName name="BLPH1" localSheetId="4" hidden="1">#REF!</definedName>
    <definedName name="BLPH1" hidden="1">#REF!</definedName>
    <definedName name="BLPH2" localSheetId="5" hidden="1">#REF!</definedName>
    <definedName name="BLPH2" localSheetId="4" hidden="1">#REF!</definedName>
    <definedName name="BLPH2" hidden="1">#REF!</definedName>
    <definedName name="BLPH3" localSheetId="5" hidden="1">#REF!</definedName>
    <definedName name="BLPH3" localSheetId="4" hidden="1">#REF!</definedName>
    <definedName name="BLPH3" hidden="1">#REF!</definedName>
    <definedName name="BLPH4" localSheetId="5" hidden="1">#REF!</definedName>
    <definedName name="BLPH4" localSheetId="4" hidden="1">#REF!</definedName>
    <definedName name="BLPH4" hidden="1">#REF!</definedName>
    <definedName name="BLPH5" localSheetId="5" hidden="1">#REF!</definedName>
    <definedName name="BLPH5" localSheetId="4" hidden="1">#REF!</definedName>
    <definedName name="BLPH5" hidden="1">#REF!</definedName>
    <definedName name="BLPH6" localSheetId="5" hidden="1">#REF!</definedName>
    <definedName name="BLPH6" localSheetId="4" hidden="1">#REF!</definedName>
    <definedName name="BLPH6" hidden="1">#REF!</definedName>
    <definedName name="BM" localSheetId="5" hidden="1">#REF!</definedName>
    <definedName name="BM" localSheetId="4" hidden="1">#REF!</definedName>
    <definedName name="BM" hidden="1">#REF!</definedName>
    <definedName name="BNE_MESSAGES_HIDDEN" localSheetId="5" hidden="1">#REF!</definedName>
    <definedName name="BNE_MESSAGES_HIDDEN" localSheetId="4" hidden="1">#REF!</definedName>
    <definedName name="BNE_MESSAGES_HIDDEN" hidden="1">#REF!</definedName>
    <definedName name="BO" localSheetId="5" hidden="1">{#N/A,#N/A,FALSE,"CCTV"}</definedName>
    <definedName name="BO" hidden="1">{#N/A,#N/A,FALSE,"CCTV"}</definedName>
    <definedName name="BO00043B7E1E324A3B816B38E3ACAE0671" localSheetId="5" hidden="1">#REF!</definedName>
    <definedName name="BO00043B7E1E324A3B816B38E3ACAE0671" localSheetId="4" hidden="1">#REF!</definedName>
    <definedName name="BO00043B7E1E324A3B816B38E3ACAE0671" hidden="1">#REF!</definedName>
    <definedName name="BO0007353E98C84C90990324AADCC29B40" localSheetId="5" hidden="1">#REF!</definedName>
    <definedName name="BO0007353E98C84C90990324AADCC29B40" localSheetId="4" hidden="1">#REF!</definedName>
    <definedName name="BO0007353E98C84C90990324AADCC29B40" hidden="1">#REF!</definedName>
    <definedName name="BO001D509B859B4E6D8B03981122F6CF9A" localSheetId="5" hidden="1">#REF!</definedName>
    <definedName name="BO001D509B859B4E6D8B03981122F6CF9A" localSheetId="4" hidden="1">#REF!</definedName>
    <definedName name="BO001D509B859B4E6D8B03981122F6CF9A" hidden="1">#REF!</definedName>
    <definedName name="BO00469B4A8FC24A3B870A9D7B502678F0" localSheetId="5" hidden="1">#REF!</definedName>
    <definedName name="BO00469B4A8FC24A3B870A9D7B502678F0" localSheetId="4" hidden="1">#REF!</definedName>
    <definedName name="BO00469B4A8FC24A3B870A9D7B502678F0" hidden="1">#REF!</definedName>
    <definedName name="BO00511179B958499598FEC41C5AC390A4" localSheetId="5" hidden="1">#REF!</definedName>
    <definedName name="BO00511179B958499598FEC41C5AC390A4" localSheetId="4" hidden="1">#REF!</definedName>
    <definedName name="BO00511179B958499598FEC41C5AC390A4" hidden="1">#REF!</definedName>
    <definedName name="BO0058A5E0C1104588BFD1FC5F694286F9" localSheetId="5" hidden="1">#REF!</definedName>
    <definedName name="BO0058A5E0C1104588BFD1FC5F694286F9" localSheetId="4" hidden="1">#REF!</definedName>
    <definedName name="BO0058A5E0C1104588BFD1FC5F694286F9" hidden="1">#REF!</definedName>
    <definedName name="BO005A577D92864FC8B40998831CDFE7A8" localSheetId="5" hidden="1">#REF!</definedName>
    <definedName name="BO005A577D92864FC8B40998831CDFE7A8" localSheetId="4" hidden="1">#REF!</definedName>
    <definedName name="BO005A577D92864FC8B40998831CDFE7A8" hidden="1">#REF!</definedName>
    <definedName name="BO005BDC81E98343A093AADEF94EB59FAF" localSheetId="5" hidden="1">#REF!</definedName>
    <definedName name="BO005BDC81E98343A093AADEF94EB59FAF" localSheetId="4" hidden="1">#REF!</definedName>
    <definedName name="BO005BDC81E98343A093AADEF94EB59FAF" hidden="1">#REF!</definedName>
    <definedName name="BO006EB7602ECB4617926F9BF23B814C2B" localSheetId="5" hidden="1">#REF!</definedName>
    <definedName name="BO006EB7602ECB4617926F9BF23B814C2B" localSheetId="4" hidden="1">#REF!</definedName>
    <definedName name="BO006EB7602ECB4617926F9BF23B814C2B" hidden="1">#REF!</definedName>
    <definedName name="BO0072FE9EACD94DEDAA496B23B65E7D1C" localSheetId="5" hidden="1">#REF!</definedName>
    <definedName name="BO0072FE9EACD94DEDAA496B23B65E7D1C" localSheetId="4" hidden="1">#REF!</definedName>
    <definedName name="BO0072FE9EACD94DEDAA496B23B65E7D1C" hidden="1">#REF!</definedName>
    <definedName name="BO00812175877B44EE88DDEE95E65B5A27" localSheetId="5" hidden="1">#REF!</definedName>
    <definedName name="BO00812175877B44EE88DDEE95E65B5A27" localSheetId="4" hidden="1">#REF!</definedName>
    <definedName name="BO00812175877B44EE88DDEE95E65B5A27" hidden="1">#REF!</definedName>
    <definedName name="BO00A6737BAC0E4619AF80A481C30796C1" localSheetId="5" hidden="1">#REF!</definedName>
    <definedName name="BO00A6737BAC0E4619AF80A481C30796C1" localSheetId="4" hidden="1">#REF!</definedName>
    <definedName name="BO00A6737BAC0E4619AF80A481C30796C1" hidden="1">#REF!</definedName>
    <definedName name="BO00AF1B8FB5C74830AF6C90ECD1289A90" localSheetId="5" hidden="1">#REF!</definedName>
    <definedName name="BO00AF1B8FB5C74830AF6C90ECD1289A90" localSheetId="4" hidden="1">#REF!</definedName>
    <definedName name="BO00AF1B8FB5C74830AF6C90ECD1289A90" hidden="1">#REF!</definedName>
    <definedName name="BO00CD9D7A0C624F4BB2AF0F67622C7F91" localSheetId="5" hidden="1">#REF!</definedName>
    <definedName name="BO00CD9D7A0C624F4BB2AF0F67622C7F91" localSheetId="4" hidden="1">#REF!</definedName>
    <definedName name="BO00CD9D7A0C624F4BB2AF0F67622C7F91" hidden="1">#REF!</definedName>
    <definedName name="BO00D8F3CF7CD2475BB9B1385DA290D0F5" localSheetId="5" hidden="1">#REF!</definedName>
    <definedName name="BO00D8F3CF7CD2475BB9B1385DA290D0F5" localSheetId="4" hidden="1">#REF!</definedName>
    <definedName name="BO00D8F3CF7CD2475BB9B1385DA290D0F5" hidden="1">#REF!</definedName>
    <definedName name="BO010C1152C9AA4686BBA23F5C14948D90" localSheetId="5" hidden="1">#REF!</definedName>
    <definedName name="BO010C1152C9AA4686BBA23F5C14948D90" localSheetId="4" hidden="1">#REF!</definedName>
    <definedName name="BO010C1152C9AA4686BBA23F5C14948D90" hidden="1">#REF!</definedName>
    <definedName name="BO0129892555A4411A8EC61716113918DD" localSheetId="5" hidden="1">#REF!</definedName>
    <definedName name="BO0129892555A4411A8EC61716113918DD" localSheetId="4" hidden="1">#REF!</definedName>
    <definedName name="BO0129892555A4411A8EC61716113918DD" hidden="1">#REF!</definedName>
    <definedName name="BO018E3CCFDE224CDDABC737A9A76A8FDA" localSheetId="5" hidden="1">#REF!</definedName>
    <definedName name="BO018E3CCFDE224CDDABC737A9A76A8FDA" localSheetId="4" hidden="1">#REF!</definedName>
    <definedName name="BO018E3CCFDE224CDDABC737A9A76A8FDA" hidden="1">#REF!</definedName>
    <definedName name="BO01C72B19B7EE45BC8CE7B0BD936E7956" localSheetId="5" hidden="1">#REF!</definedName>
    <definedName name="BO01C72B19B7EE45BC8CE7B0BD936E7956" localSheetId="4" hidden="1">#REF!</definedName>
    <definedName name="BO01C72B19B7EE45BC8CE7B0BD936E7956" hidden="1">#REF!</definedName>
    <definedName name="BO01D0E16CBD0C473996504B44510A2B25" localSheetId="5" hidden="1">[7]lailo!#REF!</definedName>
    <definedName name="BO01D0E16CBD0C473996504B44510A2B25" localSheetId="4" hidden="1">[7]lailo!#REF!</definedName>
    <definedName name="BO01D0E16CBD0C473996504B44510A2B25" hidden="1">[7]lailo!#REF!</definedName>
    <definedName name="BO01EF9BC3509746939ED1C0E4F00BF055" localSheetId="5" hidden="1">#REF!</definedName>
    <definedName name="BO01EF9BC3509746939ED1C0E4F00BF055" localSheetId="4" hidden="1">#REF!</definedName>
    <definedName name="BO01EF9BC3509746939ED1C0E4F00BF055" hidden="1">#REF!</definedName>
    <definedName name="BO020F2E97F5CF403D8F93927170418F64" localSheetId="5" hidden="1">#REF!</definedName>
    <definedName name="BO020F2E97F5CF403D8F93927170418F64" localSheetId="4" hidden="1">#REF!</definedName>
    <definedName name="BO020F2E97F5CF403D8F93927170418F64" hidden="1">#REF!</definedName>
    <definedName name="BO0216458ABC754695A1F9A8CDB0DD094C" localSheetId="5" hidden="1">#REF!</definedName>
    <definedName name="BO0216458ABC754695A1F9A8CDB0DD094C" localSheetId="4" hidden="1">#REF!</definedName>
    <definedName name="BO0216458ABC754695A1F9A8CDB0DD094C" hidden="1">#REF!</definedName>
    <definedName name="BO022317F8B3944CD883A13E728C129916" localSheetId="5" hidden="1">#REF!</definedName>
    <definedName name="BO022317F8B3944CD883A13E728C129916" localSheetId="4" hidden="1">#REF!</definedName>
    <definedName name="BO022317F8B3944CD883A13E728C129916" hidden="1">#REF!</definedName>
    <definedName name="BO02392633CA99433B88D46F2EF39F428A" localSheetId="5" hidden="1">#REF!</definedName>
    <definedName name="BO02392633CA99433B88D46F2EF39F428A" localSheetId="4" hidden="1">#REF!</definedName>
    <definedName name="BO02392633CA99433B88D46F2EF39F428A" hidden="1">#REF!</definedName>
    <definedName name="BO02516734C6DF4EF2B0A72A47B8AABEFB" localSheetId="5" hidden="1">[8]Ketqua!#REF!</definedName>
    <definedName name="BO02516734C6DF4EF2B0A72A47B8AABEFB" localSheetId="4" hidden="1">[8]Ketqua!#REF!</definedName>
    <definedName name="BO02516734C6DF4EF2B0A72A47B8AABEFB" hidden="1">[8]Ketqua!#REF!</definedName>
    <definedName name="BO025AE4BEE53A48D9A746940840AC45E3" localSheetId="5" hidden="1">#REF!</definedName>
    <definedName name="BO025AE4BEE53A48D9A746940840AC45E3" localSheetId="4" hidden="1">#REF!</definedName>
    <definedName name="BO025AE4BEE53A48D9A746940840AC45E3" hidden="1">#REF!</definedName>
    <definedName name="BO0263C4E4D97940D39436F60599A2C5F1" localSheetId="5" hidden="1">#REF!</definedName>
    <definedName name="BO0263C4E4D97940D39436F60599A2C5F1" localSheetId="4" hidden="1">#REF!</definedName>
    <definedName name="BO0263C4E4D97940D39436F60599A2C5F1" hidden="1">#REF!</definedName>
    <definedName name="BO0267242988E74024A09BC21EDF6C64A4" localSheetId="5" hidden="1">#REF!</definedName>
    <definedName name="BO0267242988E74024A09BC21EDF6C64A4" localSheetId="4" hidden="1">#REF!</definedName>
    <definedName name="BO0267242988E74024A09BC21EDF6C64A4" hidden="1">#REF!</definedName>
    <definedName name="BO0267FAC085D24B43ABFECB24098612DA" localSheetId="5" hidden="1">#REF!</definedName>
    <definedName name="BO0267FAC085D24B43ABFECB24098612DA" localSheetId="4" hidden="1">#REF!</definedName>
    <definedName name="BO0267FAC085D24B43ABFECB24098612DA" hidden="1">#REF!</definedName>
    <definedName name="BO028E39D140FF49049FAF8BBBD288FBDC" localSheetId="5" hidden="1">#REF!</definedName>
    <definedName name="BO028E39D140FF49049FAF8BBBD288FBDC" localSheetId="4" hidden="1">#REF!</definedName>
    <definedName name="BO028E39D140FF49049FAF8BBBD288FBDC" hidden="1">#REF!</definedName>
    <definedName name="BO0298FD225F294931811B0F63E6435B0F" localSheetId="5" hidden="1">#REF!</definedName>
    <definedName name="BO0298FD225F294931811B0F63E6435B0F" localSheetId="4" hidden="1">#REF!</definedName>
    <definedName name="BO0298FD225F294931811B0F63E6435B0F" hidden="1">#REF!</definedName>
    <definedName name="BO02A5060651364F86A67E16B0D01E5044" localSheetId="5" hidden="1">#REF!</definedName>
    <definedName name="BO02A5060651364F86A67E16B0D01E5044" localSheetId="4" hidden="1">#REF!</definedName>
    <definedName name="BO02A5060651364F86A67E16B0D01E5044" hidden="1">#REF!</definedName>
    <definedName name="BO02A8FD3A8942468DBAD7F1EDD7F87346" localSheetId="5" hidden="1">[8]Ketqua!#REF!</definedName>
    <definedName name="BO02A8FD3A8942468DBAD7F1EDD7F87346" localSheetId="4" hidden="1">[8]Ketqua!#REF!</definedName>
    <definedName name="BO02A8FD3A8942468DBAD7F1EDD7F87346" hidden="1">[8]Ketqua!#REF!</definedName>
    <definedName name="BO02B45FA6AADE4C048DCAE919837D312D" localSheetId="5" hidden="1">#REF!</definedName>
    <definedName name="BO02B45FA6AADE4C048DCAE919837D312D" localSheetId="4" hidden="1">#REF!</definedName>
    <definedName name="BO02B45FA6AADE4C048DCAE919837D312D" hidden="1">#REF!</definedName>
    <definedName name="BO02B4A629B0A64CA08F02737274717F08" localSheetId="5" hidden="1">#REF!</definedName>
    <definedName name="BO02B4A629B0A64CA08F02737274717F08" localSheetId="4" hidden="1">#REF!</definedName>
    <definedName name="BO02B4A629B0A64CA08F02737274717F08" hidden="1">#REF!</definedName>
    <definedName name="BO02DC581C85D44A4389CC4C44151E1DB0" localSheetId="5" hidden="1">#REF!</definedName>
    <definedName name="BO02DC581C85D44A4389CC4C44151E1DB0" localSheetId="4" hidden="1">#REF!</definedName>
    <definedName name="BO02DC581C85D44A4389CC4C44151E1DB0" hidden="1">#REF!</definedName>
    <definedName name="BO02EDCEDFE10D4AC2A231A3CBE58F7EE5" localSheetId="5" hidden="1">#REF!</definedName>
    <definedName name="BO02EDCEDFE10D4AC2A231A3CBE58F7EE5" localSheetId="4" hidden="1">#REF!</definedName>
    <definedName name="BO02EDCEDFE10D4AC2A231A3CBE58F7EE5" hidden="1">#REF!</definedName>
    <definedName name="BO0310434ADBE047E4A5F0AD18050F6D5F" localSheetId="5" hidden="1">#REF!</definedName>
    <definedName name="BO0310434ADBE047E4A5F0AD18050F6D5F" localSheetId="4" hidden="1">#REF!</definedName>
    <definedName name="BO0310434ADBE047E4A5F0AD18050F6D5F" hidden="1">#REF!</definedName>
    <definedName name="BO0314764F4C5D42EA9D1F72E84948A9BB" localSheetId="5" hidden="1">#REF!</definedName>
    <definedName name="BO0314764F4C5D42EA9D1F72E84948A9BB" localSheetId="4" hidden="1">#REF!</definedName>
    <definedName name="BO0314764F4C5D42EA9D1F72E84948A9BB" hidden="1">#REF!</definedName>
    <definedName name="BO0316956B2BAC45A481DC8002316172FC" localSheetId="5" hidden="1">#REF!</definedName>
    <definedName name="BO0316956B2BAC45A481DC8002316172FC" localSheetId="4" hidden="1">#REF!</definedName>
    <definedName name="BO0316956B2BAC45A481DC8002316172FC" hidden="1">#REF!</definedName>
    <definedName name="BO031CB95051AA419CB611A1C0F7545ED6" localSheetId="5" hidden="1">#REF!</definedName>
    <definedName name="BO031CB95051AA419CB611A1C0F7545ED6" localSheetId="4" hidden="1">#REF!</definedName>
    <definedName name="BO031CB95051AA419CB611A1C0F7545ED6" hidden="1">#REF!</definedName>
    <definedName name="BO0328F39573D7436EA381251DD7480737" localSheetId="5" hidden="1">#REF!</definedName>
    <definedName name="BO0328F39573D7436EA381251DD7480737" localSheetId="4" hidden="1">#REF!</definedName>
    <definedName name="BO0328F39573D7436EA381251DD7480737" hidden="1">#REF!</definedName>
    <definedName name="BO0329DF376872482BAF40387242076A6D" localSheetId="5" hidden="1">#REF!</definedName>
    <definedName name="BO0329DF376872482BAF40387242076A6D" localSheetId="4" hidden="1">#REF!</definedName>
    <definedName name="BO0329DF376872482BAF40387242076A6D" hidden="1">#REF!</definedName>
    <definedName name="BO034C1D37DF534343A97C0F61C184324C" localSheetId="5" hidden="1">#REF!</definedName>
    <definedName name="BO034C1D37DF534343A97C0F61C184324C" localSheetId="4" hidden="1">#REF!</definedName>
    <definedName name="BO034C1D37DF534343A97C0F61C184324C" hidden="1">#REF!</definedName>
    <definedName name="BO036A36663A234B36B1D4EE07A3B64966" localSheetId="5" hidden="1">#REF!</definedName>
    <definedName name="BO036A36663A234B36B1D4EE07A3B64966" localSheetId="4" hidden="1">#REF!</definedName>
    <definedName name="BO036A36663A234B36B1D4EE07A3B64966" hidden="1">#REF!</definedName>
    <definedName name="BO036F67714744474AB1F77029EE79AB51" localSheetId="5" hidden="1">#REF!</definedName>
    <definedName name="BO036F67714744474AB1F77029EE79AB51" localSheetId="4" hidden="1">#REF!</definedName>
    <definedName name="BO036F67714744474AB1F77029EE79AB51" hidden="1">#REF!</definedName>
    <definedName name="BO03977E62870F485EB06A6C1FDEA877E5" localSheetId="5" hidden="1">#REF!</definedName>
    <definedName name="BO03977E62870F485EB06A6C1FDEA877E5" localSheetId="4" hidden="1">#REF!</definedName>
    <definedName name="BO03977E62870F485EB06A6C1FDEA877E5" hidden="1">#REF!</definedName>
    <definedName name="BO039A64D8FDDC49A880B52646C73F8551" localSheetId="5" hidden="1">#REF!</definedName>
    <definedName name="BO039A64D8FDDC49A880B52646C73F8551" localSheetId="4" hidden="1">#REF!</definedName>
    <definedName name="BO039A64D8FDDC49A880B52646C73F8551" hidden="1">#REF!</definedName>
    <definedName name="BO03A3D34B8CDB4916966D3B9D7530964C" localSheetId="5" hidden="1">#REF!</definedName>
    <definedName name="BO03A3D34B8CDB4916966D3B9D7530964C" localSheetId="4" hidden="1">#REF!</definedName>
    <definedName name="BO03A3D34B8CDB4916966D3B9D7530964C" hidden="1">#REF!</definedName>
    <definedName name="BO03AEAA8135F246B6B78DE44E056257DC" localSheetId="5" hidden="1">#REF!</definedName>
    <definedName name="BO03AEAA8135F246B6B78DE44E056257DC" localSheetId="4" hidden="1">#REF!</definedName>
    <definedName name="BO03AEAA8135F246B6B78DE44E056257DC" hidden="1">#REF!</definedName>
    <definedName name="BO03B0651779BF413996A5DE334F47529E" localSheetId="5" hidden="1">#REF!</definedName>
    <definedName name="BO03B0651779BF413996A5DE334F47529E" localSheetId="4" hidden="1">#REF!</definedName>
    <definedName name="BO03B0651779BF413996A5DE334F47529E" hidden="1">#REF!</definedName>
    <definedName name="BO03D993E14C9345D9A09E5317112E649E" localSheetId="5" hidden="1">#REF!</definedName>
    <definedName name="BO03D993E14C9345D9A09E5317112E649E" localSheetId="4" hidden="1">#REF!</definedName>
    <definedName name="BO03D993E14C9345D9A09E5317112E649E" hidden="1">#REF!</definedName>
    <definedName name="BO03F1070120594A87AB0062B6EC7563DC" localSheetId="5" hidden="1">#REF!</definedName>
    <definedName name="BO03F1070120594A87AB0062B6EC7563DC" localSheetId="4" hidden="1">#REF!</definedName>
    <definedName name="BO03F1070120594A87AB0062B6EC7563DC" hidden="1">#REF!</definedName>
    <definedName name="BO03FF099F75314586A6835C388F1BF0E1" localSheetId="5" hidden="1">#REF!</definedName>
    <definedName name="BO03FF099F75314586A6835C388F1BF0E1" localSheetId="4" hidden="1">#REF!</definedName>
    <definedName name="BO03FF099F75314586A6835C388F1BF0E1" hidden="1">#REF!</definedName>
    <definedName name="BO0417ED1D7CBF4ED2B28EA719E997CA52" localSheetId="5" hidden="1">#REF!</definedName>
    <definedName name="BO0417ED1D7CBF4ED2B28EA719E997CA52" localSheetId="4" hidden="1">#REF!</definedName>
    <definedName name="BO0417ED1D7CBF4ED2B28EA719E997CA52" hidden="1">#REF!</definedName>
    <definedName name="BO041904C037764F3D843C1624A04C02AC" localSheetId="5" hidden="1">#REF!</definedName>
    <definedName name="BO041904C037764F3D843C1624A04C02AC" localSheetId="4" hidden="1">#REF!</definedName>
    <definedName name="BO041904C037764F3D843C1624A04C02AC" hidden="1">#REF!</definedName>
    <definedName name="BO04411B9C03EF4B029504628119BA38BE" localSheetId="5" hidden="1">#REF!</definedName>
    <definedName name="BO04411B9C03EF4B029504628119BA38BE" localSheetId="4" hidden="1">#REF!</definedName>
    <definedName name="BO04411B9C03EF4B029504628119BA38BE" hidden="1">#REF!</definedName>
    <definedName name="BO0441DA88C7F74AE9BFADC1941F5CF686" localSheetId="5" hidden="1">#REF!</definedName>
    <definedName name="BO0441DA88C7F74AE9BFADC1941F5CF686" localSheetId="4" hidden="1">#REF!</definedName>
    <definedName name="BO0441DA88C7F74AE9BFADC1941F5CF686" hidden="1">#REF!</definedName>
    <definedName name="BO04421AD5ACB3481FAC4353D581E82D5A" localSheetId="5" hidden="1">#REF!</definedName>
    <definedName name="BO04421AD5ACB3481FAC4353D581E82D5A" localSheetId="4" hidden="1">#REF!</definedName>
    <definedName name="BO04421AD5ACB3481FAC4353D581E82D5A" hidden="1">#REF!</definedName>
    <definedName name="BO044F0637C2AD47F09DFC37A56C115C0E" localSheetId="5" hidden="1">#REF!</definedName>
    <definedName name="BO044F0637C2AD47F09DFC37A56C115C0E" localSheetId="4" hidden="1">#REF!</definedName>
    <definedName name="BO044F0637C2AD47F09DFC37A56C115C0E" hidden="1">#REF!</definedName>
    <definedName name="BO0468B70DCA464DEB896E51909AE6CC0A" localSheetId="5" hidden="1">#REF!</definedName>
    <definedName name="BO0468B70DCA464DEB896E51909AE6CC0A" localSheetId="4" hidden="1">#REF!</definedName>
    <definedName name="BO0468B70DCA464DEB896E51909AE6CC0A" hidden="1">#REF!</definedName>
    <definedName name="BO048A491E9D8F402587ED350C273C7635" localSheetId="5" hidden="1">#REF!</definedName>
    <definedName name="BO048A491E9D8F402587ED350C273C7635" localSheetId="4" hidden="1">#REF!</definedName>
    <definedName name="BO048A491E9D8F402587ED350C273C7635" hidden="1">#REF!</definedName>
    <definedName name="BO048C4D3FE93F49AA8198D2880A899608" localSheetId="5" hidden="1">[7]lailo!#REF!</definedName>
    <definedName name="BO048C4D3FE93F49AA8198D2880A899608" localSheetId="4" hidden="1">[7]lailo!#REF!</definedName>
    <definedName name="BO048C4D3FE93F49AA8198D2880A899608" hidden="1">[7]lailo!#REF!</definedName>
    <definedName name="BO049368304C694928BF12E8C39A084E34" localSheetId="5" hidden="1">#REF!</definedName>
    <definedName name="BO049368304C694928BF12E8C39A084E34" localSheetId="4" hidden="1">#REF!</definedName>
    <definedName name="BO049368304C694928BF12E8C39A084E34" hidden="1">#REF!</definedName>
    <definedName name="BO0497D4BA7B1F46C88C265E498D165441" localSheetId="5" hidden="1">#REF!</definedName>
    <definedName name="BO0497D4BA7B1F46C88C265E498D165441" localSheetId="4" hidden="1">#REF!</definedName>
    <definedName name="BO0497D4BA7B1F46C88C265E498D165441" hidden="1">#REF!</definedName>
    <definedName name="BO049DD26879614F4D8D1A8B4DE85A5A00" localSheetId="5" hidden="1">#REF!</definedName>
    <definedName name="BO049DD26879614F4D8D1A8B4DE85A5A00" localSheetId="4" hidden="1">#REF!</definedName>
    <definedName name="BO049DD26879614F4D8D1A8B4DE85A5A00" hidden="1">#REF!</definedName>
    <definedName name="BO04B25781FA1341529AF5AB3CBE3AC2CB" localSheetId="5" hidden="1">#REF!</definedName>
    <definedName name="BO04B25781FA1341529AF5AB3CBE3AC2CB" localSheetId="4" hidden="1">#REF!</definedName>
    <definedName name="BO04B25781FA1341529AF5AB3CBE3AC2CB" hidden="1">#REF!</definedName>
    <definedName name="BO04B75EC4531244EA841D17B01F38E684" localSheetId="5" hidden="1">#REF!</definedName>
    <definedName name="BO04B75EC4531244EA841D17B01F38E684" localSheetId="4" hidden="1">#REF!</definedName>
    <definedName name="BO04B75EC4531244EA841D17B01F38E684" hidden="1">#REF!</definedName>
    <definedName name="BO04BE305BE627425DA7C2FEF199FBCBA2" localSheetId="5" hidden="1">#REF!</definedName>
    <definedName name="BO04BE305BE627425DA7C2FEF199FBCBA2" localSheetId="4" hidden="1">#REF!</definedName>
    <definedName name="BO04BE305BE627425DA7C2FEF199FBCBA2" hidden="1">#REF!</definedName>
    <definedName name="BO04BF788D29F64A1989788FA25E12E023" localSheetId="5" hidden="1">#REF!</definedName>
    <definedName name="BO04BF788D29F64A1989788FA25E12E023" localSheetId="4" hidden="1">#REF!</definedName>
    <definedName name="BO04BF788D29F64A1989788FA25E12E023" hidden="1">#REF!</definedName>
    <definedName name="BO04D714BBB7F04DF3900CB84A582E797F" localSheetId="5" hidden="1">#REF!</definedName>
    <definedName name="BO04D714BBB7F04DF3900CB84A582E797F" localSheetId="4" hidden="1">#REF!</definedName>
    <definedName name="BO04D714BBB7F04DF3900CB84A582E797F" hidden="1">#REF!</definedName>
    <definedName name="BO04E64DD9362740CC9D10E316836F8F67" localSheetId="5" hidden="1">#REF!</definedName>
    <definedName name="BO04E64DD9362740CC9D10E316836F8F67" localSheetId="4" hidden="1">#REF!</definedName>
    <definedName name="BO04E64DD9362740CC9D10E316836F8F67" hidden="1">#REF!</definedName>
    <definedName name="BO051C1091726B452B8D655520FF5EE783" localSheetId="5" hidden="1">#REF!</definedName>
    <definedName name="BO051C1091726B452B8D655520FF5EE783" localSheetId="4" hidden="1">#REF!</definedName>
    <definedName name="BO051C1091726B452B8D655520FF5EE783" hidden="1">#REF!</definedName>
    <definedName name="BO053101CB6B5347D1A1EBDB90D6FB228A" localSheetId="5" hidden="1">#REF!</definedName>
    <definedName name="BO053101CB6B5347D1A1EBDB90D6FB228A" localSheetId="4" hidden="1">#REF!</definedName>
    <definedName name="BO053101CB6B5347D1A1EBDB90D6FB228A" hidden="1">#REF!</definedName>
    <definedName name="BO05364567627347FCA1CA8CE5B4A3FB26" localSheetId="5" hidden="1">#REF!</definedName>
    <definedName name="BO05364567627347FCA1CA8CE5B4A3FB26" localSheetId="4" hidden="1">#REF!</definedName>
    <definedName name="BO05364567627347FCA1CA8CE5B4A3FB26" hidden="1">#REF!</definedName>
    <definedName name="BO05419C07D7B6466394350974D9D4F877" localSheetId="5" hidden="1">[9]Giaitrinh!#REF!</definedName>
    <definedName name="BO05419C07D7B6466394350974D9D4F877" localSheetId="4" hidden="1">[9]Giaitrinh!#REF!</definedName>
    <definedName name="BO05419C07D7B6466394350974D9D4F877" hidden="1">[9]Giaitrinh!#REF!</definedName>
    <definedName name="BO054ED8F6C4F44487ADB29B59982252CC" localSheetId="5" hidden="1">#REF!</definedName>
    <definedName name="BO054ED8F6C4F44487ADB29B59982252CC" localSheetId="4" hidden="1">#REF!</definedName>
    <definedName name="BO054ED8F6C4F44487ADB29B59982252CC" hidden="1">#REF!</definedName>
    <definedName name="BO0556F300631C480EA6B463850051DA74" localSheetId="5" hidden="1">#REF!</definedName>
    <definedName name="BO0556F300631C480EA6B463850051DA74" localSheetId="4" hidden="1">#REF!</definedName>
    <definedName name="BO0556F300631C480EA6B463850051DA74" hidden="1">#REF!</definedName>
    <definedName name="BO055E5CFDB95646998EC626861A0C2B73" localSheetId="5" hidden="1">#REF!</definedName>
    <definedName name="BO055E5CFDB95646998EC626861A0C2B73" localSheetId="4" hidden="1">#REF!</definedName>
    <definedName name="BO055E5CFDB95646998EC626861A0C2B73" hidden="1">#REF!</definedName>
    <definedName name="BO05825FB84EB24E3B83FF5DCC93F10D81" localSheetId="5" hidden="1">#REF!</definedName>
    <definedName name="BO05825FB84EB24E3B83FF5DCC93F10D81" localSheetId="4" hidden="1">#REF!</definedName>
    <definedName name="BO05825FB84EB24E3B83FF5DCC93F10D81" hidden="1">#REF!</definedName>
    <definedName name="BO05995E7AB6704082ADAB4A0B58C5CEEF" localSheetId="5" hidden="1">#REF!</definedName>
    <definedName name="BO05995E7AB6704082ADAB4A0B58C5CEEF" localSheetId="4" hidden="1">#REF!</definedName>
    <definedName name="BO05995E7AB6704082ADAB4A0B58C5CEEF" hidden="1">#REF!</definedName>
    <definedName name="BO05A3F61282EC43B3B97A691A40F7C450" localSheetId="5" hidden="1">#REF!</definedName>
    <definedName name="BO05A3F61282EC43B3B97A691A40F7C450" localSheetId="4" hidden="1">#REF!</definedName>
    <definedName name="BO05A3F61282EC43B3B97A691A40F7C450" hidden="1">#REF!</definedName>
    <definedName name="BO05C2DB77C7B947E98528927DCA453F7F" localSheetId="5" hidden="1">#REF!</definedName>
    <definedName name="BO05C2DB77C7B947E98528927DCA453F7F" localSheetId="4" hidden="1">#REF!</definedName>
    <definedName name="BO05C2DB77C7B947E98528927DCA453F7F" hidden="1">#REF!</definedName>
    <definedName name="BO05CDD744762749858557A0B082E5E0CC" localSheetId="5" hidden="1">#REF!</definedName>
    <definedName name="BO05CDD744762749858557A0B082E5E0CC" localSheetId="4" hidden="1">#REF!</definedName>
    <definedName name="BO05CDD744762749858557A0B082E5E0CC" hidden="1">#REF!</definedName>
    <definedName name="BO05D7BFBA926C4BEA996341E2927DBF40" localSheetId="5" hidden="1">#REF!</definedName>
    <definedName name="BO05D7BFBA926C4BEA996341E2927DBF40" localSheetId="4" hidden="1">#REF!</definedName>
    <definedName name="BO05D7BFBA926C4BEA996341E2927DBF40" hidden="1">#REF!</definedName>
    <definedName name="BO05E365F7C10B4BA4BB1703328868651A" localSheetId="5" hidden="1">#REF!</definedName>
    <definedName name="BO05E365F7C10B4BA4BB1703328868651A" localSheetId="4" hidden="1">#REF!</definedName>
    <definedName name="BO05E365F7C10B4BA4BB1703328868651A" hidden="1">#REF!</definedName>
    <definedName name="BO05E40BCD1D3C46B9A30A4697F9797A57" localSheetId="5" hidden="1">#REF!</definedName>
    <definedName name="BO05E40BCD1D3C46B9A30A4697F9797A57" localSheetId="4" hidden="1">#REF!</definedName>
    <definedName name="BO05E40BCD1D3C46B9A30A4697F9797A57" hidden="1">#REF!</definedName>
    <definedName name="BO060F8C52B3094EAC877EBE571B0DF8B1" localSheetId="5" hidden="1">#REF!</definedName>
    <definedName name="BO060F8C52B3094EAC877EBE571B0DF8B1" localSheetId="4" hidden="1">#REF!</definedName>
    <definedName name="BO060F8C52B3094EAC877EBE571B0DF8B1" hidden="1">#REF!</definedName>
    <definedName name="BO062524A44C3C4563B104F4101474D932" localSheetId="5" hidden="1">#REF!</definedName>
    <definedName name="BO062524A44C3C4563B104F4101474D932" localSheetId="4" hidden="1">#REF!</definedName>
    <definedName name="BO062524A44C3C4563B104F4101474D932" hidden="1">#REF!</definedName>
    <definedName name="BO0625991EB72E4657A577E0A4DF41E2A5" localSheetId="5" hidden="1">#REF!</definedName>
    <definedName name="BO0625991EB72E4657A577E0A4DF41E2A5" localSheetId="4" hidden="1">#REF!</definedName>
    <definedName name="BO0625991EB72E4657A577E0A4DF41E2A5" hidden="1">#REF!</definedName>
    <definedName name="BO0628130A34F34472B8E9063AF8F9AFC3" localSheetId="5" hidden="1">#REF!</definedName>
    <definedName name="BO0628130A34F34472B8E9063AF8F9AFC3" localSheetId="4" hidden="1">#REF!</definedName>
    <definedName name="BO0628130A34F34472B8E9063AF8F9AFC3" hidden="1">#REF!</definedName>
    <definedName name="BO06444E01A6B34207B4CD327BA584CFFF" localSheetId="5" hidden="1">#REF!</definedName>
    <definedName name="BO06444E01A6B34207B4CD327BA584CFFF" localSheetId="4" hidden="1">#REF!</definedName>
    <definedName name="BO06444E01A6B34207B4CD327BA584CFFF" hidden="1">#REF!</definedName>
    <definedName name="BO065127342F5E49D488919F425C845667" localSheetId="5" hidden="1">#REF!</definedName>
    <definedName name="BO065127342F5E49D488919F425C845667" localSheetId="4" hidden="1">#REF!</definedName>
    <definedName name="BO065127342F5E49D488919F425C845667" hidden="1">#REF!</definedName>
    <definedName name="BO0661E126B4BF4E8EACCA3FBD6C2C87CF" localSheetId="5" hidden="1">#REF!</definedName>
    <definedName name="BO0661E126B4BF4E8EACCA3FBD6C2C87CF" localSheetId="4" hidden="1">#REF!</definedName>
    <definedName name="BO0661E126B4BF4E8EACCA3FBD6C2C87CF" hidden="1">#REF!</definedName>
    <definedName name="BO06680EA4F77447F799C43FA166DF7162" localSheetId="5" hidden="1">#REF!</definedName>
    <definedName name="BO06680EA4F77447F799C43FA166DF7162" localSheetId="4" hidden="1">#REF!</definedName>
    <definedName name="BO06680EA4F77447F799C43FA166DF7162" hidden="1">#REF!</definedName>
    <definedName name="BO066A4C1DA23B49DFACCCAF1FA429A2B9" localSheetId="5" hidden="1">#REF!</definedName>
    <definedName name="BO066A4C1DA23B49DFACCCAF1FA429A2B9" localSheetId="4" hidden="1">#REF!</definedName>
    <definedName name="BO066A4C1DA23B49DFACCCAF1FA429A2B9" hidden="1">#REF!</definedName>
    <definedName name="BO0670AF263C42445F9ACE8605F789AEE5" localSheetId="5" hidden="1">#REF!</definedName>
    <definedName name="BO0670AF263C42445F9ACE8605F789AEE5" localSheetId="4" hidden="1">#REF!</definedName>
    <definedName name="BO0670AF263C42445F9ACE8605F789AEE5" hidden="1">#REF!</definedName>
    <definedName name="BO06760500AD0C4142A407DB3927CE2BAE" localSheetId="5" hidden="1">#REF!</definedName>
    <definedName name="BO06760500AD0C4142A407DB3927CE2BAE" localSheetId="4" hidden="1">#REF!</definedName>
    <definedName name="BO06760500AD0C4142A407DB3927CE2BAE" hidden="1">#REF!</definedName>
    <definedName name="BO06857A035FAF4289957CDE75EB967671" localSheetId="5" hidden="1">#REF!</definedName>
    <definedName name="BO06857A035FAF4289957CDE75EB967671" localSheetId="4" hidden="1">#REF!</definedName>
    <definedName name="BO06857A035FAF4289957CDE75EB967671" hidden="1">#REF!</definedName>
    <definedName name="BO068ED56E4F9942A496A1732FE7C6436F" localSheetId="5" hidden="1">#REF!</definedName>
    <definedName name="BO068ED56E4F9942A496A1732FE7C6436F" localSheetId="4" hidden="1">#REF!</definedName>
    <definedName name="BO068ED56E4F9942A496A1732FE7C6436F" hidden="1">#REF!</definedName>
    <definedName name="BO069278A1412F47DE85C43EB68CAF717F" localSheetId="5" hidden="1">#REF!</definedName>
    <definedName name="BO069278A1412F47DE85C43EB68CAF717F" localSheetId="4" hidden="1">#REF!</definedName>
    <definedName name="BO069278A1412F47DE85C43EB68CAF717F" hidden="1">#REF!</definedName>
    <definedName name="BO069D95D7128C4CDBB80B0FA7654B69D1" localSheetId="5" hidden="1">#REF!</definedName>
    <definedName name="BO069D95D7128C4CDBB80B0FA7654B69D1" localSheetId="4" hidden="1">#REF!</definedName>
    <definedName name="BO069D95D7128C4CDBB80B0FA7654B69D1" hidden="1">#REF!</definedName>
    <definedName name="BO069FFAF6E0F24557A494D9ED7F76D822" localSheetId="5" hidden="1">#REF!</definedName>
    <definedName name="BO069FFAF6E0F24557A494D9ED7F76D822" localSheetId="4" hidden="1">#REF!</definedName>
    <definedName name="BO069FFAF6E0F24557A494D9ED7F76D822" hidden="1">#REF!</definedName>
    <definedName name="BO06A1D57108984BD8BFF93A7198192A58" localSheetId="5" hidden="1">#REF!</definedName>
    <definedName name="BO06A1D57108984BD8BFF93A7198192A58" localSheetId="4" hidden="1">#REF!</definedName>
    <definedName name="BO06A1D57108984BD8BFF93A7198192A58" hidden="1">#REF!</definedName>
    <definedName name="BO06B55AE9F1974782A547E2592A91DC44" localSheetId="5" hidden="1">#REF!</definedName>
    <definedName name="BO06B55AE9F1974782A547E2592A91DC44" localSheetId="4" hidden="1">#REF!</definedName>
    <definedName name="BO06B55AE9F1974782A547E2592A91DC44" hidden="1">#REF!</definedName>
    <definedName name="BO06CDADE6119F4877A0512DB59C5C94BF" localSheetId="5" hidden="1">#REF!</definedName>
    <definedName name="BO06CDADE6119F4877A0512DB59C5C94BF" localSheetId="4" hidden="1">#REF!</definedName>
    <definedName name="BO06CDADE6119F4877A0512DB59C5C94BF" hidden="1">#REF!</definedName>
    <definedName name="BO06E32C35EADD426283277A6F4767C6B0" localSheetId="5" hidden="1">[8]Ketqua!#REF!</definedName>
    <definedName name="BO06E32C35EADD426283277A6F4767C6B0" localSheetId="4" hidden="1">[8]Ketqua!#REF!</definedName>
    <definedName name="BO06E32C35EADD426283277A6F4767C6B0" hidden="1">[8]Ketqua!#REF!</definedName>
    <definedName name="BO06F7275DF23345599284D3C4A571E0B7" localSheetId="5" hidden="1">#REF!</definedName>
    <definedName name="BO06F7275DF23345599284D3C4A571E0B7" localSheetId="4" hidden="1">#REF!</definedName>
    <definedName name="BO06F7275DF23345599284D3C4A571E0B7" hidden="1">#REF!</definedName>
    <definedName name="BO06F84B2E93AF42B79BEE7ACF7916F30F" localSheetId="5" hidden="1">#REF!</definedName>
    <definedName name="BO06F84B2E93AF42B79BEE7ACF7916F30F" localSheetId="4" hidden="1">#REF!</definedName>
    <definedName name="BO06F84B2E93AF42B79BEE7ACF7916F30F" hidden="1">#REF!</definedName>
    <definedName name="BO072E9D4BFB3B48A99E31E6E0F4FF1CFC" localSheetId="5" hidden="1">#REF!</definedName>
    <definedName name="BO072E9D4BFB3B48A99E31E6E0F4FF1CFC" localSheetId="4" hidden="1">#REF!</definedName>
    <definedName name="BO072E9D4BFB3B48A99E31E6E0F4FF1CFC" hidden="1">#REF!</definedName>
    <definedName name="BO0748F9E9364A44AAB45528629279E47E" localSheetId="5" hidden="1">#REF!</definedName>
    <definedName name="BO0748F9E9364A44AAB45528629279E47E" localSheetId="4" hidden="1">#REF!</definedName>
    <definedName name="BO0748F9E9364A44AAB45528629279E47E" hidden="1">#REF!</definedName>
    <definedName name="BO0757CF0ECADF45B9B3960183597987D1" localSheetId="5" hidden="1">#REF!</definedName>
    <definedName name="BO0757CF0ECADF45B9B3960183597987D1" localSheetId="4" hidden="1">#REF!</definedName>
    <definedName name="BO0757CF0ECADF45B9B3960183597987D1" hidden="1">#REF!</definedName>
    <definedName name="BO076D271E53024E82B0564BC6E6B8C52B" localSheetId="5" hidden="1">#REF!</definedName>
    <definedName name="BO076D271E53024E82B0564BC6E6B8C52B" localSheetId="4" hidden="1">#REF!</definedName>
    <definedName name="BO076D271E53024E82B0564BC6E6B8C52B" hidden="1">#REF!</definedName>
    <definedName name="BO07720AA381684C1982634DF097D5658D" localSheetId="5" hidden="1">#REF!</definedName>
    <definedName name="BO07720AA381684C1982634DF097D5658D" localSheetId="4" hidden="1">#REF!</definedName>
    <definedName name="BO07720AA381684C1982634DF097D5658D" hidden="1">#REF!</definedName>
    <definedName name="BO0777C7463E304517B7CBFBC815B79B02" localSheetId="5" hidden="1">#REF!</definedName>
    <definedName name="BO0777C7463E304517B7CBFBC815B79B02" localSheetId="4" hidden="1">#REF!</definedName>
    <definedName name="BO0777C7463E304517B7CBFBC815B79B02" hidden="1">#REF!</definedName>
    <definedName name="BO0789E5305658448CB66B462D6CE4F4BA" localSheetId="5" hidden="1">#REF!</definedName>
    <definedName name="BO0789E5305658448CB66B462D6CE4F4BA" localSheetId="4" hidden="1">#REF!</definedName>
    <definedName name="BO0789E5305658448CB66B462D6CE4F4BA" hidden="1">#REF!</definedName>
    <definedName name="BO07A8CDC0A3CF441BAAE2615CC7E6C67A" localSheetId="5" hidden="1">#REF!</definedName>
    <definedName name="BO07A8CDC0A3CF441BAAE2615CC7E6C67A" localSheetId="4" hidden="1">#REF!</definedName>
    <definedName name="BO07A8CDC0A3CF441BAAE2615CC7E6C67A" hidden="1">#REF!</definedName>
    <definedName name="BO07B5E13CAA4346C2B80A18CCB51064C0" localSheetId="5" hidden="1">#REF!</definedName>
    <definedName name="BO07B5E13CAA4346C2B80A18CCB51064C0" localSheetId="4" hidden="1">#REF!</definedName>
    <definedName name="BO07B5E13CAA4346C2B80A18CCB51064C0" hidden="1">#REF!</definedName>
    <definedName name="BO07BC23E784F941FAADD17157A1CB33AD" localSheetId="5" hidden="1">#REF!</definedName>
    <definedName name="BO07BC23E784F941FAADD17157A1CB33AD" localSheetId="4" hidden="1">#REF!</definedName>
    <definedName name="BO07BC23E784F941FAADD17157A1CB33AD" hidden="1">#REF!</definedName>
    <definedName name="BO07BEF03937C14F1F82EB8B092E03BDC0" localSheetId="5" hidden="1">#REF!</definedName>
    <definedName name="BO07BEF03937C14F1F82EB8B092E03BDC0" localSheetId="4" hidden="1">#REF!</definedName>
    <definedName name="BO07BEF03937C14F1F82EB8B092E03BDC0" hidden="1">#REF!</definedName>
    <definedName name="BO07CB7ABA9AC54540B9F268B3B8AD172C" localSheetId="5" hidden="1">#REF!</definedName>
    <definedName name="BO07CB7ABA9AC54540B9F268B3B8AD172C" localSheetId="4" hidden="1">#REF!</definedName>
    <definedName name="BO07CB7ABA9AC54540B9F268B3B8AD172C" hidden="1">#REF!</definedName>
    <definedName name="BO07CF77C24A4B44DDB08669A0C267D9E2" localSheetId="5" hidden="1">#REF!</definedName>
    <definedName name="BO07CF77C24A4B44DDB08669A0C267D9E2" localSheetId="4" hidden="1">#REF!</definedName>
    <definedName name="BO07CF77C24A4B44DDB08669A0C267D9E2" hidden="1">#REF!</definedName>
    <definedName name="BO07DA355DE5DC4B13B806344DD774A4B4" localSheetId="5" hidden="1">#REF!</definedName>
    <definedName name="BO07DA355DE5DC4B13B806344DD774A4B4" localSheetId="4" hidden="1">#REF!</definedName>
    <definedName name="BO07DA355DE5DC4B13B806344DD774A4B4" hidden="1">#REF!</definedName>
    <definedName name="BO080FC624DC7D4EC58A73B6445EFE83D5" localSheetId="5" hidden="1">#REF!</definedName>
    <definedName name="BO080FC624DC7D4EC58A73B6445EFE83D5" localSheetId="4" hidden="1">#REF!</definedName>
    <definedName name="BO080FC624DC7D4EC58A73B6445EFE83D5" hidden="1">#REF!</definedName>
    <definedName name="BO08108BE3901A43B4BB727284F0DE1350" localSheetId="5" hidden="1">#REF!</definedName>
    <definedName name="BO08108BE3901A43B4BB727284F0DE1350" localSheetId="4" hidden="1">#REF!</definedName>
    <definedName name="BO08108BE3901A43B4BB727284F0DE1350" hidden="1">#REF!</definedName>
    <definedName name="BO0813779BF7A441E4B829B7EE15E1F5B1" localSheetId="5" hidden="1">#REF!</definedName>
    <definedName name="BO0813779BF7A441E4B829B7EE15E1F5B1" localSheetId="4" hidden="1">#REF!</definedName>
    <definedName name="BO0813779BF7A441E4B829B7EE15E1F5B1" hidden="1">#REF!</definedName>
    <definedName name="BO082937E7E8384EE39F50885F11A99C90" localSheetId="5" hidden="1">#REF!</definedName>
    <definedName name="BO082937E7E8384EE39F50885F11A99C90" localSheetId="4" hidden="1">#REF!</definedName>
    <definedName name="BO082937E7E8384EE39F50885F11A99C90" hidden="1">#REF!</definedName>
    <definedName name="BO08675A85626246288A2D9C5FCE88641E" localSheetId="5" hidden="1">#REF!</definedName>
    <definedName name="BO08675A85626246288A2D9C5FCE88641E" localSheetId="4" hidden="1">#REF!</definedName>
    <definedName name="BO08675A85626246288A2D9C5FCE88641E" hidden="1">#REF!</definedName>
    <definedName name="BO0880E86E8DAA4FBE98CCD8F4F1DAC7F6" localSheetId="5" hidden="1">#REF!</definedName>
    <definedName name="BO0880E86E8DAA4FBE98CCD8F4F1DAC7F6" localSheetId="4" hidden="1">#REF!</definedName>
    <definedName name="BO0880E86E8DAA4FBE98CCD8F4F1DAC7F6" hidden="1">#REF!</definedName>
    <definedName name="BO08B225E9BF8A41A8B4A0D670AAFC1E69" localSheetId="5" hidden="1">#REF!</definedName>
    <definedName name="BO08B225E9BF8A41A8B4A0D670AAFC1E69" localSheetId="4" hidden="1">#REF!</definedName>
    <definedName name="BO08B225E9BF8A41A8B4A0D670AAFC1E69" hidden="1">#REF!</definedName>
    <definedName name="BO08C0B8997F0C4C86BD4457E57CD5A310" localSheetId="5" hidden="1">#REF!</definedName>
    <definedName name="BO08C0B8997F0C4C86BD4457E57CD5A310" localSheetId="4" hidden="1">#REF!</definedName>
    <definedName name="BO08C0B8997F0C4C86BD4457E57CD5A310" hidden="1">#REF!</definedName>
    <definedName name="BO08C624A094B64DA8B640575212B5C126" localSheetId="5" hidden="1">#REF!</definedName>
    <definedName name="BO08C624A094B64DA8B640575212B5C126" localSheetId="4" hidden="1">#REF!</definedName>
    <definedName name="BO08C624A094B64DA8B640575212B5C126" hidden="1">#REF!</definedName>
    <definedName name="BO08CEA8CEF6B74CF1973592DF7B11817A" localSheetId="5" hidden="1">#REF!</definedName>
    <definedName name="BO08CEA8CEF6B74CF1973592DF7B11817A" localSheetId="4" hidden="1">#REF!</definedName>
    <definedName name="BO08CEA8CEF6B74CF1973592DF7B11817A" hidden="1">#REF!</definedName>
    <definedName name="BO08D9E70F5D7D4899B7F098067EC1CF0D" localSheetId="5" hidden="1">#REF!</definedName>
    <definedName name="BO08D9E70F5D7D4899B7F098067EC1CF0D" localSheetId="4" hidden="1">#REF!</definedName>
    <definedName name="BO08D9E70F5D7D4899B7F098067EC1CF0D" hidden="1">#REF!</definedName>
    <definedName name="BO08DB01CDE2CD4C38AEBBE72539089923" localSheetId="5" hidden="1">#REF!</definedName>
    <definedName name="BO08DB01CDE2CD4C38AEBBE72539089923" localSheetId="4" hidden="1">#REF!</definedName>
    <definedName name="BO08DB01CDE2CD4C38AEBBE72539089923" hidden="1">#REF!</definedName>
    <definedName name="BO08E8A4D0D99A45F4AB50AB8CCC759E80" localSheetId="5" hidden="1">#REF!</definedName>
    <definedName name="BO08E8A4D0D99A45F4AB50AB8CCC759E80" localSheetId="4" hidden="1">#REF!</definedName>
    <definedName name="BO08E8A4D0D99A45F4AB50AB8CCC759E80" hidden="1">#REF!</definedName>
    <definedName name="BO08EF964A3F544A6A9831BD58A1BDB761" localSheetId="5" hidden="1">#REF!</definedName>
    <definedName name="BO08EF964A3F544A6A9831BD58A1BDB761" localSheetId="4" hidden="1">#REF!</definedName>
    <definedName name="BO08EF964A3F544A6A9831BD58A1BDB761" hidden="1">#REF!</definedName>
    <definedName name="BO08F1FCFB0DC54FFDAB14A30F80F47C43" localSheetId="5" hidden="1">#REF!</definedName>
    <definedName name="BO08F1FCFB0DC54FFDAB14A30F80F47C43" localSheetId="4" hidden="1">#REF!</definedName>
    <definedName name="BO08F1FCFB0DC54FFDAB14A30F80F47C43" hidden="1">#REF!</definedName>
    <definedName name="BO0903D2D3A4AC4D208D66680ACCFC17BD" localSheetId="5" hidden="1">#REF!</definedName>
    <definedName name="BO0903D2D3A4AC4D208D66680ACCFC17BD" localSheetId="4" hidden="1">#REF!</definedName>
    <definedName name="BO0903D2D3A4AC4D208D66680ACCFC17BD" hidden="1">#REF!</definedName>
    <definedName name="BO09400289551E4CF0B83BB913BE045720" localSheetId="5" hidden="1">#REF!</definedName>
    <definedName name="BO09400289551E4CF0B83BB913BE045720" localSheetId="4" hidden="1">#REF!</definedName>
    <definedName name="BO09400289551E4CF0B83BB913BE045720" hidden="1">#REF!</definedName>
    <definedName name="BO094B22A2B81E4A909F1E33DDC80B47F0" localSheetId="5" hidden="1">#REF!</definedName>
    <definedName name="BO094B22A2B81E4A909F1E33DDC80B47F0" localSheetId="4" hidden="1">#REF!</definedName>
    <definedName name="BO094B22A2B81E4A909F1E33DDC80B47F0" hidden="1">#REF!</definedName>
    <definedName name="BO096A288CD2B241D3B6E5D99F7CC46080" localSheetId="5" hidden="1">#REF!</definedName>
    <definedName name="BO096A288CD2B241D3B6E5D99F7CC46080" localSheetId="4" hidden="1">#REF!</definedName>
    <definedName name="BO096A288CD2B241D3B6E5D99F7CC46080" hidden="1">#REF!</definedName>
    <definedName name="BO096CE2A90C4A41B5B366879C41DFCDAA" localSheetId="5" hidden="1">#REF!</definedName>
    <definedName name="BO096CE2A90C4A41B5B366879C41DFCDAA" localSheetId="4" hidden="1">#REF!</definedName>
    <definedName name="BO096CE2A90C4A41B5B366879C41DFCDAA" hidden="1">#REF!</definedName>
    <definedName name="BO0973353AECB245E5A9E7CB101539D7B9" localSheetId="5" hidden="1">#REF!</definedName>
    <definedName name="BO0973353AECB245E5A9E7CB101539D7B9" localSheetId="4" hidden="1">#REF!</definedName>
    <definedName name="BO0973353AECB245E5A9E7CB101539D7B9" hidden="1">#REF!</definedName>
    <definedName name="BO097FA591C7F24B78A7B81D10C92CD657" localSheetId="5" hidden="1">#REF!</definedName>
    <definedName name="BO097FA591C7F24B78A7B81D10C92CD657" localSheetId="4" hidden="1">#REF!</definedName>
    <definedName name="BO097FA591C7F24B78A7B81D10C92CD657" hidden="1">#REF!</definedName>
    <definedName name="BO09858E7F51104BCE9A132E93A02FD9A5" localSheetId="5" hidden="1">#REF!</definedName>
    <definedName name="BO09858E7F51104BCE9A132E93A02FD9A5" localSheetId="4" hidden="1">#REF!</definedName>
    <definedName name="BO09858E7F51104BCE9A132E93A02FD9A5" hidden="1">#REF!</definedName>
    <definedName name="BO0987A8D37A4C454297D5EE0C1416C72B" localSheetId="5" hidden="1">#REF!</definedName>
    <definedName name="BO0987A8D37A4C454297D5EE0C1416C72B" localSheetId="4" hidden="1">#REF!</definedName>
    <definedName name="BO0987A8D37A4C454297D5EE0C1416C72B" hidden="1">#REF!</definedName>
    <definedName name="BO098886531A7840E2991AED7761D2C8C3" localSheetId="5" hidden="1">#REF!</definedName>
    <definedName name="BO098886531A7840E2991AED7761D2C8C3" localSheetId="4" hidden="1">#REF!</definedName>
    <definedName name="BO098886531A7840E2991AED7761D2C8C3" hidden="1">#REF!</definedName>
    <definedName name="BO099F887F9C5F4068BA6B8F1084394257" localSheetId="5" hidden="1">[7]lailo!#REF!</definedName>
    <definedName name="BO099F887F9C5F4068BA6B8F1084394257" localSheetId="4" hidden="1">[7]lailo!#REF!</definedName>
    <definedName name="BO099F887F9C5F4068BA6B8F1084394257" hidden="1">[7]lailo!#REF!</definedName>
    <definedName name="BO09A92B216FCC406388E7D75F758060D5" localSheetId="5" hidden="1">#REF!</definedName>
    <definedName name="BO09A92B216FCC406388E7D75F758060D5" localSheetId="4" hidden="1">#REF!</definedName>
    <definedName name="BO09A92B216FCC406388E7D75F758060D5" hidden="1">#REF!</definedName>
    <definedName name="BO09B01FBE487D42169A0B01DC62FE7DDC" localSheetId="5" hidden="1">[7]lailo!#REF!</definedName>
    <definedName name="BO09B01FBE487D42169A0B01DC62FE7DDC" localSheetId="4" hidden="1">[7]lailo!#REF!</definedName>
    <definedName name="BO09B01FBE487D42169A0B01DC62FE7DDC" hidden="1">[7]lailo!#REF!</definedName>
    <definedName name="BO09B1C52A1D8443609A270B3D7E126A13" localSheetId="5" hidden="1">[8]Ketqua!#REF!</definedName>
    <definedName name="BO09B1C52A1D8443609A270B3D7E126A13" localSheetId="4" hidden="1">[8]Ketqua!#REF!</definedName>
    <definedName name="BO09B1C52A1D8443609A270B3D7E126A13" hidden="1">[8]Ketqua!#REF!</definedName>
    <definedName name="BO09C22B1D529145609DEC624CE7B07293" localSheetId="5" hidden="1">#REF!</definedName>
    <definedName name="BO09C22B1D529145609DEC624CE7B07293" localSheetId="4" hidden="1">#REF!</definedName>
    <definedName name="BO09C22B1D529145609DEC624CE7B07293" hidden="1">#REF!</definedName>
    <definedName name="BO09C3E790E8D9462BAE7754E47C08E4E9" localSheetId="5" hidden="1">[7]lailo!#REF!</definedName>
    <definedName name="BO09C3E790E8D9462BAE7754E47C08E4E9" localSheetId="4" hidden="1">[7]lailo!#REF!</definedName>
    <definedName name="BO09C3E790E8D9462BAE7754E47C08E4E9" hidden="1">[7]lailo!#REF!</definedName>
    <definedName name="BO09D2135A97CF4588B42BF527E4D09C55" localSheetId="5" hidden="1">#REF!</definedName>
    <definedName name="BO09D2135A97CF4588B42BF527E4D09C55" localSheetId="4" hidden="1">#REF!</definedName>
    <definedName name="BO09D2135A97CF4588B42BF527E4D09C55" hidden="1">#REF!</definedName>
    <definedName name="BO09D401756279444FB19C8C325604ED43" localSheetId="5" hidden="1">#REF!</definedName>
    <definedName name="BO09D401756279444FB19C8C325604ED43" localSheetId="4" hidden="1">#REF!</definedName>
    <definedName name="BO09D401756279444FB19C8C325604ED43" hidden="1">#REF!</definedName>
    <definedName name="BO09F9926728774B699D17E2EB79FE2047" localSheetId="5" hidden="1">#REF!</definedName>
    <definedName name="BO09F9926728774B699D17E2EB79FE2047" localSheetId="4" hidden="1">#REF!</definedName>
    <definedName name="BO09F9926728774B699D17E2EB79FE2047" hidden="1">#REF!</definedName>
    <definedName name="BO09FB4DFBEE664BB5A9A0F935EDAE0910" localSheetId="5" hidden="1">#REF!</definedName>
    <definedName name="BO09FB4DFBEE664BB5A9A0F935EDAE0910" localSheetId="4" hidden="1">#REF!</definedName>
    <definedName name="BO09FB4DFBEE664BB5A9A0F935EDAE0910" hidden="1">#REF!</definedName>
    <definedName name="BO0A23B7D284D446FE9C1DD53288BD27DE" localSheetId="5" hidden="1">#REF!</definedName>
    <definedName name="BO0A23B7D284D446FE9C1DD53288BD27DE" localSheetId="4" hidden="1">#REF!</definedName>
    <definedName name="BO0A23B7D284D446FE9C1DD53288BD27DE" hidden="1">#REF!</definedName>
    <definedName name="BO0A26688140CC479E85A39F5B4D96731B" localSheetId="5" hidden="1">#REF!</definedName>
    <definedName name="BO0A26688140CC479E85A39F5B4D96731B" localSheetId="4" hidden="1">#REF!</definedName>
    <definedName name="BO0A26688140CC479E85A39F5B4D96731B" hidden="1">#REF!</definedName>
    <definedName name="BO0A32B6AC654D44CDBB9B2636FFAA73B0" localSheetId="5" hidden="1">#REF!</definedName>
    <definedName name="BO0A32B6AC654D44CDBB9B2636FFAA73B0" localSheetId="4" hidden="1">#REF!</definedName>
    <definedName name="BO0A32B6AC654D44CDBB9B2636FFAA73B0" hidden="1">#REF!</definedName>
    <definedName name="BO0A60F033F2924CC68F7477FB671B2584" localSheetId="5" hidden="1">#REF!</definedName>
    <definedName name="BO0A60F033F2924CC68F7477FB671B2584" localSheetId="4" hidden="1">#REF!</definedName>
    <definedName name="BO0A60F033F2924CC68F7477FB671B2584" hidden="1">#REF!</definedName>
    <definedName name="BO0A692014A9F34BC5A0E9C318C9192144" localSheetId="5" hidden="1">#REF!</definedName>
    <definedName name="BO0A692014A9F34BC5A0E9C318C9192144" localSheetId="4" hidden="1">#REF!</definedName>
    <definedName name="BO0A692014A9F34BC5A0E9C318C9192144" hidden="1">#REF!</definedName>
    <definedName name="BO0A6D31301EBA402CA4AFD772113DF1FA" localSheetId="5" hidden="1">#REF!</definedName>
    <definedName name="BO0A6D31301EBA402CA4AFD772113DF1FA" localSheetId="4" hidden="1">#REF!</definedName>
    <definedName name="BO0A6D31301EBA402CA4AFD772113DF1FA" hidden="1">#REF!</definedName>
    <definedName name="BO0A748E0D694E4A95BE1F938C385817CA" localSheetId="5" hidden="1">#REF!</definedName>
    <definedName name="BO0A748E0D694E4A95BE1F938C385817CA" localSheetId="4" hidden="1">#REF!</definedName>
    <definedName name="BO0A748E0D694E4A95BE1F938C385817CA" hidden="1">#REF!</definedName>
    <definedName name="BO0A7575E7F6E74826988292EB5B4093AE" localSheetId="5" hidden="1">#REF!</definedName>
    <definedName name="BO0A7575E7F6E74826988292EB5B4093AE" localSheetId="4" hidden="1">#REF!</definedName>
    <definedName name="BO0A7575E7F6E74826988292EB5B4093AE" hidden="1">#REF!</definedName>
    <definedName name="BO0A920544EB81456B85FAC9B67A3FF171" localSheetId="5" hidden="1">#REF!</definedName>
    <definedName name="BO0A920544EB81456B85FAC9B67A3FF171" localSheetId="4" hidden="1">#REF!</definedName>
    <definedName name="BO0A920544EB81456B85FAC9B67A3FF171" hidden="1">#REF!</definedName>
    <definedName name="BO0A9E68CC5A7043BB960BEADB03EBE2E9" localSheetId="5" hidden="1">#REF!</definedName>
    <definedName name="BO0A9E68CC5A7043BB960BEADB03EBE2E9" localSheetId="4" hidden="1">#REF!</definedName>
    <definedName name="BO0A9E68CC5A7043BB960BEADB03EBE2E9" hidden="1">#REF!</definedName>
    <definedName name="BO0AA1A74152C84E97A93B0166215E6148" localSheetId="5" hidden="1">#REF!</definedName>
    <definedName name="BO0AA1A74152C84E97A93B0166215E6148" localSheetId="4" hidden="1">#REF!</definedName>
    <definedName name="BO0AA1A74152C84E97A93B0166215E6148" hidden="1">#REF!</definedName>
    <definedName name="BO0AA2FDCFA64447DF8256CCDAAF790D83" localSheetId="5" hidden="1">#REF!</definedName>
    <definedName name="BO0AA2FDCFA64447DF8256CCDAAF790D83" localSheetId="4" hidden="1">#REF!</definedName>
    <definedName name="BO0AA2FDCFA64447DF8256CCDAAF790D83" hidden="1">#REF!</definedName>
    <definedName name="BO0AAD29D46ECD4A74B1A519EEC09B7712" localSheetId="5" hidden="1">#REF!</definedName>
    <definedName name="BO0AAD29D46ECD4A74B1A519EEC09B7712" localSheetId="4" hidden="1">#REF!</definedName>
    <definedName name="BO0AAD29D46ECD4A74B1A519EEC09B7712" hidden="1">#REF!</definedName>
    <definedName name="BO0AAFC0DF972C4902B8D8F14ADF55A818" localSheetId="5" hidden="1">#REF!</definedName>
    <definedName name="BO0AAFC0DF972C4902B8D8F14ADF55A818" localSheetId="4" hidden="1">#REF!</definedName>
    <definedName name="BO0AAFC0DF972C4902B8D8F14ADF55A818" hidden="1">#REF!</definedName>
    <definedName name="BO0AB2BAACBF594870B22CA7819C14CABA" localSheetId="5" hidden="1">#REF!</definedName>
    <definedName name="BO0AB2BAACBF594870B22CA7819C14CABA" localSheetId="4" hidden="1">#REF!</definedName>
    <definedName name="BO0AB2BAACBF594870B22CA7819C14CABA" hidden="1">#REF!</definedName>
    <definedName name="BO0AB3771B806B45068A9904218B7C5228" localSheetId="5" hidden="1">#REF!</definedName>
    <definedName name="BO0AB3771B806B45068A9904218B7C5228" localSheetId="4" hidden="1">#REF!</definedName>
    <definedName name="BO0AB3771B806B45068A9904218B7C5228" hidden="1">#REF!</definedName>
    <definedName name="BO0ADF9A38BBB74FA484953A9E1DBDB5E6" localSheetId="5" hidden="1">#REF!</definedName>
    <definedName name="BO0ADF9A38BBB74FA484953A9E1DBDB5E6" localSheetId="4" hidden="1">#REF!</definedName>
    <definedName name="BO0ADF9A38BBB74FA484953A9E1DBDB5E6" hidden="1">#REF!</definedName>
    <definedName name="BO0AE3BB74CA744F94A22F4DF3A34121FC" localSheetId="5" hidden="1">#REF!</definedName>
    <definedName name="BO0AE3BB74CA744F94A22F4DF3A34121FC" localSheetId="4" hidden="1">#REF!</definedName>
    <definedName name="BO0AE3BB74CA744F94A22F4DF3A34121FC" hidden="1">#REF!</definedName>
    <definedName name="BO0AE560EC229F4837AAC8130E0FC6643F" localSheetId="5" hidden="1">[9]Giaitrinh!#REF!</definedName>
    <definedName name="BO0AE560EC229F4837AAC8130E0FC6643F" localSheetId="4" hidden="1">[9]Giaitrinh!#REF!</definedName>
    <definedName name="BO0AE560EC229F4837AAC8130E0FC6643F" hidden="1">[9]Giaitrinh!#REF!</definedName>
    <definedName name="BO0AED5766F290418EA468FBD50205C876" localSheetId="5" hidden="1">#REF!</definedName>
    <definedName name="BO0AED5766F290418EA468FBD50205C876" localSheetId="4" hidden="1">#REF!</definedName>
    <definedName name="BO0AED5766F290418EA468FBD50205C876" hidden="1">#REF!</definedName>
    <definedName name="BO0AF1D3719BCC455AA423A32958FD52DE" localSheetId="5" hidden="1">#REF!</definedName>
    <definedName name="BO0AF1D3719BCC455AA423A32958FD52DE" localSheetId="4" hidden="1">#REF!</definedName>
    <definedName name="BO0AF1D3719BCC455AA423A32958FD52DE" hidden="1">#REF!</definedName>
    <definedName name="BO0AF400996B154884A98D817AD5C8B0E2" localSheetId="5" hidden="1">#REF!</definedName>
    <definedName name="BO0AF400996B154884A98D817AD5C8B0E2" localSheetId="4" hidden="1">#REF!</definedName>
    <definedName name="BO0AF400996B154884A98D817AD5C8B0E2" hidden="1">#REF!</definedName>
    <definedName name="BO0AFF424C36204448B856F7E76F89ACE1" localSheetId="5" hidden="1">#REF!</definedName>
    <definedName name="BO0AFF424C36204448B856F7E76F89ACE1" localSheetId="4" hidden="1">#REF!</definedName>
    <definedName name="BO0AFF424C36204448B856F7E76F89ACE1" hidden="1">#REF!</definedName>
    <definedName name="BO0B15AAC55B6F4E83950274F89A679C15" localSheetId="5" hidden="1">#REF!</definedName>
    <definedName name="BO0B15AAC55B6F4E83950274F89A679C15" localSheetId="4" hidden="1">#REF!</definedName>
    <definedName name="BO0B15AAC55B6F4E83950274F89A679C15" hidden="1">#REF!</definedName>
    <definedName name="BO0B2915A5CD7547679E86A924C22B6E1E" localSheetId="5" hidden="1">#REF!</definedName>
    <definedName name="BO0B2915A5CD7547679E86A924C22B6E1E" localSheetId="4" hidden="1">#REF!</definedName>
    <definedName name="BO0B2915A5CD7547679E86A924C22B6E1E" hidden="1">#REF!</definedName>
    <definedName name="BO0B350E1C3CF3474682956773D7FA86BE" localSheetId="5" hidden="1">#REF!</definedName>
    <definedName name="BO0B350E1C3CF3474682956773D7FA86BE" localSheetId="4" hidden="1">#REF!</definedName>
    <definedName name="BO0B350E1C3CF3474682956773D7FA86BE" hidden="1">#REF!</definedName>
    <definedName name="BO0B4162F0BA614929BBA6B308050817A0" localSheetId="5" hidden="1">#REF!</definedName>
    <definedName name="BO0B4162F0BA614929BBA6B308050817A0" localSheetId="4" hidden="1">#REF!</definedName>
    <definedName name="BO0B4162F0BA614929BBA6B308050817A0" hidden="1">#REF!</definedName>
    <definedName name="BO0B417597CBF74CC483AEBD408A5D6361" localSheetId="5" hidden="1">#REF!</definedName>
    <definedName name="BO0B417597CBF74CC483AEBD408A5D6361" localSheetId="4" hidden="1">#REF!</definedName>
    <definedName name="BO0B417597CBF74CC483AEBD408A5D6361" hidden="1">#REF!</definedName>
    <definedName name="BO0B4C25BF3EE541BABF6D7C3DFF218BFE" localSheetId="5" hidden="1">#REF!</definedName>
    <definedName name="BO0B4C25BF3EE541BABF6D7C3DFF218BFE" localSheetId="4" hidden="1">#REF!</definedName>
    <definedName name="BO0B4C25BF3EE541BABF6D7C3DFF218BFE" hidden="1">#REF!</definedName>
    <definedName name="BO0B77B5296AD7452A84BBA0611ADF01A7" localSheetId="5" hidden="1">#REF!</definedName>
    <definedName name="BO0B77B5296AD7452A84BBA0611ADF01A7" localSheetId="4" hidden="1">#REF!</definedName>
    <definedName name="BO0B77B5296AD7452A84BBA0611ADF01A7" hidden="1">#REF!</definedName>
    <definedName name="BO0B799600F21B407FAD75621D5B997825" localSheetId="5" hidden="1">#REF!</definedName>
    <definedName name="BO0B799600F21B407FAD75621D5B997825" localSheetId="4" hidden="1">#REF!</definedName>
    <definedName name="BO0B799600F21B407FAD75621D5B997825" hidden="1">#REF!</definedName>
    <definedName name="BO0BAA9F17511F4BA28D51F58A0C77E99A" localSheetId="5" hidden="1">#REF!</definedName>
    <definedName name="BO0BAA9F17511F4BA28D51F58A0C77E99A" localSheetId="4" hidden="1">#REF!</definedName>
    <definedName name="BO0BAA9F17511F4BA28D51F58A0C77E99A" hidden="1">#REF!</definedName>
    <definedName name="BO0BB9C7D9B7924A759172EB280C1A3056" localSheetId="5" hidden="1">#REF!</definedName>
    <definedName name="BO0BB9C7D9B7924A759172EB280C1A3056" localSheetId="4" hidden="1">#REF!</definedName>
    <definedName name="BO0BB9C7D9B7924A759172EB280C1A3056" hidden="1">#REF!</definedName>
    <definedName name="BO0BBF1A7A0878418D95B9CAE48927AE44" localSheetId="5" hidden="1">#REF!</definedName>
    <definedName name="BO0BBF1A7A0878418D95B9CAE48927AE44" localSheetId="4" hidden="1">#REF!</definedName>
    <definedName name="BO0BBF1A7A0878418D95B9CAE48927AE44" hidden="1">#REF!</definedName>
    <definedName name="BO0BD0AEE8541F48F3B1E2E1BA54D1700B" localSheetId="5" hidden="1">#REF!</definedName>
    <definedName name="BO0BD0AEE8541F48F3B1E2E1BA54D1700B" localSheetId="4" hidden="1">#REF!</definedName>
    <definedName name="BO0BD0AEE8541F48F3B1E2E1BA54D1700B" hidden="1">#REF!</definedName>
    <definedName name="BO0BE3A585969F49B1B1C585B4CB0CDC8D" localSheetId="5" hidden="1">#REF!</definedName>
    <definedName name="BO0BE3A585969F49B1B1C585B4CB0CDC8D" localSheetId="4" hidden="1">#REF!</definedName>
    <definedName name="BO0BE3A585969F49B1B1C585B4CB0CDC8D" hidden="1">#REF!</definedName>
    <definedName name="BO0BE95B3C4C274F49B67AA10EF360BE54" localSheetId="5" hidden="1">#REF!</definedName>
    <definedName name="BO0BE95B3C4C274F49B67AA10EF360BE54" localSheetId="4" hidden="1">#REF!</definedName>
    <definedName name="BO0BE95B3C4C274F49B67AA10EF360BE54" hidden="1">#REF!</definedName>
    <definedName name="BO0BF454E88EF74B48803129AEC45ADD55" localSheetId="5" hidden="1">#REF!</definedName>
    <definedName name="BO0BF454E88EF74B48803129AEC45ADD55" localSheetId="4" hidden="1">#REF!</definedName>
    <definedName name="BO0BF454E88EF74B48803129AEC45ADD55" hidden="1">#REF!</definedName>
    <definedName name="BO0BF54ECC1B91414CA99737DFFBC96540" localSheetId="5" hidden="1">#REF!</definedName>
    <definedName name="BO0BF54ECC1B91414CA99737DFFBC96540" localSheetId="4" hidden="1">#REF!</definedName>
    <definedName name="BO0BF54ECC1B91414CA99737DFFBC96540" hidden="1">#REF!</definedName>
    <definedName name="BO0C00665F68114FC08E6F90C337B79243" localSheetId="5" hidden="1">#REF!</definedName>
    <definedName name="BO0C00665F68114FC08E6F90C337B79243" localSheetId="4" hidden="1">#REF!</definedName>
    <definedName name="BO0C00665F68114FC08E6F90C337B79243" hidden="1">#REF!</definedName>
    <definedName name="BO0C04366928374EDCB515F848C6813152" localSheetId="5" hidden="1">#REF!</definedName>
    <definedName name="BO0C04366928374EDCB515F848C6813152" localSheetId="4" hidden="1">#REF!</definedName>
    <definedName name="BO0C04366928374EDCB515F848C6813152" hidden="1">#REF!</definedName>
    <definedName name="BO0C0A2392D627480DAAA517D2036A1F89" localSheetId="5" hidden="1">#REF!</definedName>
    <definedName name="BO0C0A2392D627480DAAA517D2036A1F89" localSheetId="4" hidden="1">#REF!</definedName>
    <definedName name="BO0C0A2392D627480DAAA517D2036A1F89" hidden="1">#REF!</definedName>
    <definedName name="BO0C1588B296D24080A5CF6ADCD90CC710" localSheetId="5" hidden="1">#REF!</definedName>
    <definedName name="BO0C1588B296D24080A5CF6ADCD90CC710" localSheetId="4" hidden="1">#REF!</definedName>
    <definedName name="BO0C1588B296D24080A5CF6ADCD90CC710" hidden="1">#REF!</definedName>
    <definedName name="BO0C17E817C2D144F2834C6BD18FADD8FA" localSheetId="5" hidden="1">#REF!</definedName>
    <definedName name="BO0C17E817C2D144F2834C6BD18FADD8FA" localSheetId="4" hidden="1">#REF!</definedName>
    <definedName name="BO0C17E817C2D144F2834C6BD18FADD8FA" hidden="1">#REF!</definedName>
    <definedName name="BO0C38F2CF945940E5A5FE470897C4E1BF" localSheetId="5" hidden="1">#REF!</definedName>
    <definedName name="BO0C38F2CF945940E5A5FE470897C4E1BF" localSheetId="4" hidden="1">#REF!</definedName>
    <definedName name="BO0C38F2CF945940E5A5FE470897C4E1BF" hidden="1">#REF!</definedName>
    <definedName name="BO0C47F1EFD66949C894B83296C952B213" localSheetId="5" hidden="1">#REF!</definedName>
    <definedName name="BO0C47F1EFD66949C894B83296C952B213" localSheetId="4" hidden="1">#REF!</definedName>
    <definedName name="BO0C47F1EFD66949C894B83296C952B213" hidden="1">#REF!</definedName>
    <definedName name="BO0C5AC168B74E4DC5B44FC5C62A5781B6" localSheetId="5" hidden="1">#REF!</definedName>
    <definedName name="BO0C5AC168B74E4DC5B44FC5C62A5781B6" localSheetId="4" hidden="1">#REF!</definedName>
    <definedName name="BO0C5AC168B74E4DC5B44FC5C62A5781B6" hidden="1">#REF!</definedName>
    <definedName name="BO0C682FC5412C40CB8E66A95C573D3EDD" localSheetId="5" hidden="1">#REF!</definedName>
    <definedName name="BO0C682FC5412C40CB8E66A95C573D3EDD" localSheetId="4" hidden="1">#REF!</definedName>
    <definedName name="BO0C682FC5412C40CB8E66A95C573D3EDD" hidden="1">#REF!</definedName>
    <definedName name="BO0C6E3F00004541F98642D415C462327D" localSheetId="5" hidden="1">#REF!</definedName>
    <definedName name="BO0C6E3F00004541F98642D415C462327D" localSheetId="4" hidden="1">#REF!</definedName>
    <definedName name="BO0C6E3F00004541F98642D415C462327D" hidden="1">#REF!</definedName>
    <definedName name="BO0C6EB03FCF5943CFBD625011881D07ED" localSheetId="5" hidden="1">#REF!</definedName>
    <definedName name="BO0C6EB03FCF5943CFBD625011881D07ED" localSheetId="4" hidden="1">#REF!</definedName>
    <definedName name="BO0C6EB03FCF5943CFBD625011881D07ED" hidden="1">#REF!</definedName>
    <definedName name="BO0C7282636F7C4F2887993571F995D137" localSheetId="5" hidden="1">#REF!</definedName>
    <definedName name="BO0C7282636F7C4F2887993571F995D137" localSheetId="4" hidden="1">#REF!</definedName>
    <definedName name="BO0C7282636F7C4F2887993571F995D137" hidden="1">#REF!</definedName>
    <definedName name="BO0C810AA895444AD0BB032874CD9CA293" localSheetId="5" hidden="1">#REF!</definedName>
    <definedName name="BO0C810AA895444AD0BB032874CD9CA293" localSheetId="4" hidden="1">#REF!</definedName>
    <definedName name="BO0C810AA895444AD0BB032874CD9CA293" hidden="1">#REF!</definedName>
    <definedName name="BO0C8471AFC6804FFFA3591B15EACBD181" localSheetId="5" hidden="1">#REF!</definedName>
    <definedName name="BO0C8471AFC6804FFFA3591B15EACBD181" localSheetId="4" hidden="1">#REF!</definedName>
    <definedName name="BO0C8471AFC6804FFFA3591B15EACBD181" hidden="1">#REF!</definedName>
    <definedName name="BO0C8517565CE449748D03306C29DCE056" localSheetId="5" hidden="1">[8]Ketqua!#REF!</definedName>
    <definedName name="BO0C8517565CE449748D03306C29DCE056" localSheetId="4" hidden="1">[8]Ketqua!#REF!</definedName>
    <definedName name="BO0C8517565CE449748D03306C29DCE056" hidden="1">[8]Ketqua!#REF!</definedName>
    <definedName name="BO0CD122B513B74229B1D51F8E728EC17C" localSheetId="5" hidden="1">#REF!</definedName>
    <definedName name="BO0CD122B513B74229B1D51F8E728EC17C" localSheetId="4" hidden="1">#REF!</definedName>
    <definedName name="BO0CD122B513B74229B1D51F8E728EC17C" hidden="1">#REF!</definedName>
    <definedName name="BO0CE33488C0A54C0F8DD310C6DAAD5047" localSheetId="5" hidden="1">#REF!</definedName>
    <definedName name="BO0CE33488C0A54C0F8DD310C6DAAD5047" localSheetId="4" hidden="1">#REF!</definedName>
    <definedName name="BO0CE33488C0A54C0F8DD310C6DAAD5047" hidden="1">#REF!</definedName>
    <definedName name="BO0CFA6370884047D781BA7E539B6DE0F8" localSheetId="5" hidden="1">#REF!</definedName>
    <definedName name="BO0CFA6370884047D781BA7E539B6DE0F8" localSheetId="4" hidden="1">#REF!</definedName>
    <definedName name="BO0CFA6370884047D781BA7E539B6DE0F8" hidden="1">#REF!</definedName>
    <definedName name="BO0D0885D874E64D488FF822FF769A04BA" localSheetId="5" hidden="1">#REF!</definedName>
    <definedName name="BO0D0885D874E64D488FF822FF769A04BA" localSheetId="4" hidden="1">#REF!</definedName>
    <definedName name="BO0D0885D874E64D488FF822FF769A04BA" hidden="1">#REF!</definedName>
    <definedName name="BO0D1171CA4E83447CBBFB38FF514A00EB" localSheetId="5" hidden="1">#REF!</definedName>
    <definedName name="BO0D1171CA4E83447CBBFB38FF514A00EB" localSheetId="4" hidden="1">#REF!</definedName>
    <definedName name="BO0D1171CA4E83447CBBFB38FF514A00EB" hidden="1">#REF!</definedName>
    <definedName name="BO0D12A207895945AF91F604B363C11B8D" localSheetId="5" hidden="1">#REF!</definedName>
    <definedName name="BO0D12A207895945AF91F604B363C11B8D" localSheetId="4" hidden="1">#REF!</definedName>
    <definedName name="BO0D12A207895945AF91F604B363C11B8D" hidden="1">#REF!</definedName>
    <definedName name="BO0D2433943B3E48368AB07223E9910CAE" localSheetId="5" hidden="1">#REF!</definedName>
    <definedName name="BO0D2433943B3E48368AB07223E9910CAE" localSheetId="4" hidden="1">#REF!</definedName>
    <definedName name="BO0D2433943B3E48368AB07223E9910CAE" hidden="1">#REF!</definedName>
    <definedName name="BO0D2C66BD3B2A47E9A03737A81D4255AF" localSheetId="5" hidden="1">#REF!</definedName>
    <definedName name="BO0D2C66BD3B2A47E9A03737A81D4255AF" localSheetId="4" hidden="1">#REF!</definedName>
    <definedName name="BO0D2C66BD3B2A47E9A03737A81D4255AF" hidden="1">#REF!</definedName>
    <definedName name="BO0D3B883DBEC7423D8D6BB9751EAA4632" localSheetId="5" hidden="1">#REF!</definedName>
    <definedName name="BO0D3B883DBEC7423D8D6BB9751EAA4632" localSheetId="4" hidden="1">#REF!</definedName>
    <definedName name="BO0D3B883DBEC7423D8D6BB9751EAA4632" hidden="1">#REF!</definedName>
    <definedName name="BO0D433F8DB1E648C5BE62989780E9E6E7" localSheetId="5" hidden="1">#REF!</definedName>
    <definedName name="BO0D433F8DB1E648C5BE62989780E9E6E7" localSheetId="4" hidden="1">#REF!</definedName>
    <definedName name="BO0D433F8DB1E648C5BE62989780E9E6E7" hidden="1">#REF!</definedName>
    <definedName name="BO0D5DE5C5C65345BA8072D9DE42B13845" localSheetId="5" hidden="1">#REF!</definedName>
    <definedName name="BO0D5DE5C5C65345BA8072D9DE42B13845" localSheetId="4" hidden="1">#REF!</definedName>
    <definedName name="BO0D5DE5C5C65345BA8072D9DE42B13845" hidden="1">#REF!</definedName>
    <definedName name="BO0D6139AA4DE64478A9DFB6305BBA4B1F" localSheetId="5" hidden="1">#REF!</definedName>
    <definedName name="BO0D6139AA4DE64478A9DFB6305BBA4B1F" localSheetId="4" hidden="1">#REF!</definedName>
    <definedName name="BO0D6139AA4DE64478A9DFB6305BBA4B1F" hidden="1">#REF!</definedName>
    <definedName name="BO0D75094176B84C4887901A09EF434B93" localSheetId="5" hidden="1">#REF!</definedName>
    <definedName name="BO0D75094176B84C4887901A09EF434B93" localSheetId="4" hidden="1">#REF!</definedName>
    <definedName name="BO0D75094176B84C4887901A09EF434B93" hidden="1">#REF!</definedName>
    <definedName name="BO0D8012E44B8345678130C08C96324DA3" localSheetId="5" hidden="1">#REF!</definedName>
    <definedName name="BO0D8012E44B8345678130C08C96324DA3" localSheetId="4" hidden="1">#REF!</definedName>
    <definedName name="BO0D8012E44B8345678130C08C96324DA3" hidden="1">#REF!</definedName>
    <definedName name="BO0D85A3ADC8614F02A05CFEC7007DD5F0" localSheetId="5" hidden="1">#REF!</definedName>
    <definedName name="BO0D85A3ADC8614F02A05CFEC7007DD5F0" localSheetId="4" hidden="1">#REF!</definedName>
    <definedName name="BO0D85A3ADC8614F02A05CFEC7007DD5F0" hidden="1">#REF!</definedName>
    <definedName name="BO0D8BA2F600A945BF86F3792D70670A12" localSheetId="5" hidden="1">#REF!</definedName>
    <definedName name="BO0D8BA2F600A945BF86F3792D70670A12" localSheetId="4" hidden="1">#REF!</definedName>
    <definedName name="BO0D8BA2F600A945BF86F3792D70670A12" hidden="1">#REF!</definedName>
    <definedName name="BO0D95BE2323944543B198A1E5AD9E727B" localSheetId="5" hidden="1">#REF!</definedName>
    <definedName name="BO0D95BE2323944543B198A1E5AD9E727B" localSheetId="4" hidden="1">#REF!</definedName>
    <definedName name="BO0D95BE2323944543B198A1E5AD9E727B" hidden="1">#REF!</definedName>
    <definedName name="BO0DA1A11034A84E7E82B04D9C814FEE12" localSheetId="5" hidden="1">#REF!</definedName>
    <definedName name="BO0DA1A11034A84E7E82B04D9C814FEE12" localSheetId="4" hidden="1">#REF!</definedName>
    <definedName name="BO0DA1A11034A84E7E82B04D9C814FEE12" hidden="1">#REF!</definedName>
    <definedName name="BO0DBD8E3011484F65BB422F97E0DD5E0F" localSheetId="5" hidden="1">#REF!</definedName>
    <definedName name="BO0DBD8E3011484F65BB422F97E0DD5E0F" localSheetId="4" hidden="1">#REF!</definedName>
    <definedName name="BO0DBD8E3011484F65BB422F97E0DD5E0F" hidden="1">#REF!</definedName>
    <definedName name="BO0DCC56FC632247BBB9075437D1DA9F49" localSheetId="5" hidden="1">#REF!</definedName>
    <definedName name="BO0DCC56FC632247BBB9075437D1DA9F49" localSheetId="4" hidden="1">#REF!</definedName>
    <definedName name="BO0DCC56FC632247BBB9075437D1DA9F49" hidden="1">#REF!</definedName>
    <definedName name="BO0DE2162A0DD5431B976DE1FE86CABB61" localSheetId="5" hidden="1">#REF!</definedName>
    <definedName name="BO0DE2162A0DD5431B976DE1FE86CABB61" localSheetId="4" hidden="1">#REF!</definedName>
    <definedName name="BO0DE2162A0DD5431B976DE1FE86CABB61" hidden="1">#REF!</definedName>
    <definedName name="BO0DE5B032BD554D358472765883129529" localSheetId="5" hidden="1">#REF!</definedName>
    <definedName name="BO0DE5B032BD554D358472765883129529" localSheetId="4" hidden="1">#REF!</definedName>
    <definedName name="BO0DE5B032BD554D358472765883129529" hidden="1">#REF!</definedName>
    <definedName name="BO0DEE62251EE3431BA1CFEE75DE054F7D" localSheetId="5" hidden="1">#REF!</definedName>
    <definedName name="BO0DEE62251EE3431BA1CFEE75DE054F7D" localSheetId="4" hidden="1">#REF!</definedName>
    <definedName name="BO0DEE62251EE3431BA1CFEE75DE054F7D" hidden="1">#REF!</definedName>
    <definedName name="BO0DEFFF53638E47B7BD9B6541FF332A8D" localSheetId="5" hidden="1">#REF!</definedName>
    <definedName name="BO0DEFFF53638E47B7BD9B6541FF332A8D" localSheetId="4" hidden="1">#REF!</definedName>
    <definedName name="BO0DEFFF53638E47B7BD9B6541FF332A8D" hidden="1">#REF!</definedName>
    <definedName name="BO0DF53BCEFF7B4846999D4811F5D2AEFE" localSheetId="5" hidden="1">#REF!</definedName>
    <definedName name="BO0DF53BCEFF7B4846999D4811F5D2AEFE" localSheetId="4" hidden="1">#REF!</definedName>
    <definedName name="BO0DF53BCEFF7B4846999D4811F5D2AEFE" hidden="1">#REF!</definedName>
    <definedName name="BO0DFE2B2A71CA47C88A9CD3DA026363B1" localSheetId="5" hidden="1">#REF!</definedName>
    <definedName name="BO0DFE2B2A71CA47C88A9CD3DA026363B1" localSheetId="4" hidden="1">#REF!</definedName>
    <definedName name="BO0DFE2B2A71CA47C88A9CD3DA026363B1" hidden="1">#REF!</definedName>
    <definedName name="BO0E0DCCA8662A4B7D9624048C956E2349" localSheetId="5" hidden="1">#REF!</definedName>
    <definedName name="BO0E0DCCA8662A4B7D9624048C956E2349" localSheetId="4" hidden="1">#REF!</definedName>
    <definedName name="BO0E0DCCA8662A4B7D9624048C956E2349" hidden="1">#REF!</definedName>
    <definedName name="BO0E1DDD3522754DDC8A2031EAAEF606DD" localSheetId="5" hidden="1">#REF!</definedName>
    <definedName name="BO0E1DDD3522754DDC8A2031EAAEF606DD" localSheetId="4" hidden="1">#REF!</definedName>
    <definedName name="BO0E1DDD3522754DDC8A2031EAAEF606DD" hidden="1">#REF!</definedName>
    <definedName name="BO0E1E2F80FC8D4C0DB3564683D16EEFC1" localSheetId="5" hidden="1">[7]lailo!#REF!</definedName>
    <definedName name="BO0E1E2F80FC8D4C0DB3564683D16EEFC1" localSheetId="4" hidden="1">[7]lailo!#REF!</definedName>
    <definedName name="BO0E1E2F80FC8D4C0DB3564683D16EEFC1" hidden="1">[7]lailo!#REF!</definedName>
    <definedName name="BO0E27F1CD072948F29AECF05EFC4A7578" localSheetId="5" hidden="1">#REF!</definedName>
    <definedName name="BO0E27F1CD072948F29AECF05EFC4A7578" localSheetId="4" hidden="1">#REF!</definedName>
    <definedName name="BO0E27F1CD072948F29AECF05EFC4A7578" hidden="1">#REF!</definedName>
    <definedName name="BO0E3744B5B95B4593842CB858CD9C693E" localSheetId="5" hidden="1">#REF!</definedName>
    <definedName name="BO0E3744B5B95B4593842CB858CD9C693E" localSheetId="4" hidden="1">#REF!</definedName>
    <definedName name="BO0E3744B5B95B4593842CB858CD9C693E" hidden="1">#REF!</definedName>
    <definedName name="BO0E430A5E4F144A208D9D5B3C20B5D29F" localSheetId="5" hidden="1">#REF!</definedName>
    <definedName name="BO0E430A5E4F144A208D9D5B3C20B5D29F" localSheetId="4" hidden="1">#REF!</definedName>
    <definedName name="BO0E430A5E4F144A208D9D5B3C20B5D29F" hidden="1">#REF!</definedName>
    <definedName name="BO0E92C76E22454378A2ADA4C84B066AE2" localSheetId="5" hidden="1">#REF!</definedName>
    <definedName name="BO0E92C76E22454378A2ADA4C84B066AE2" localSheetId="4" hidden="1">#REF!</definedName>
    <definedName name="BO0E92C76E22454378A2ADA4C84B066AE2" hidden="1">#REF!</definedName>
    <definedName name="BO0E95F4D81CCD49788BFD31E660E08DEA" localSheetId="5" hidden="1">#REF!</definedName>
    <definedName name="BO0E95F4D81CCD49788BFD31E660E08DEA" localSheetId="4" hidden="1">#REF!</definedName>
    <definedName name="BO0E95F4D81CCD49788BFD31E660E08DEA" hidden="1">#REF!</definedName>
    <definedName name="BO0EBF7920EE1540FE9C216E0BC226AC65" localSheetId="5" hidden="1">#REF!</definedName>
    <definedName name="BO0EBF7920EE1540FE9C216E0BC226AC65" localSheetId="4" hidden="1">#REF!</definedName>
    <definedName name="BO0EBF7920EE1540FE9C216E0BC226AC65" hidden="1">#REF!</definedName>
    <definedName name="BO0ED34E55770945A08E026206F28AABA2" localSheetId="5" hidden="1">#REF!</definedName>
    <definedName name="BO0ED34E55770945A08E026206F28AABA2" localSheetId="4" hidden="1">#REF!</definedName>
    <definedName name="BO0ED34E55770945A08E026206F28AABA2" hidden="1">#REF!</definedName>
    <definedName name="BO0ED3A526643C438EAB31E6145C4E45A0" localSheetId="5" hidden="1">#REF!</definedName>
    <definedName name="BO0ED3A526643C438EAB31E6145C4E45A0" localSheetId="4" hidden="1">#REF!</definedName>
    <definedName name="BO0ED3A526643C438EAB31E6145C4E45A0" hidden="1">#REF!</definedName>
    <definedName name="BO0ED883B059E145E7AD618EAA4D4C0021" localSheetId="5" hidden="1">[9]Giaitrinh!#REF!</definedName>
    <definedName name="BO0ED883B059E145E7AD618EAA4D4C0021" localSheetId="4" hidden="1">[9]Giaitrinh!#REF!</definedName>
    <definedName name="BO0ED883B059E145E7AD618EAA4D4C0021" hidden="1">[9]Giaitrinh!#REF!</definedName>
    <definedName name="BO0EF0E1F710E14D64B0318AE457F6C85A" localSheetId="5" hidden="1">#REF!</definedName>
    <definedName name="BO0EF0E1F710E14D64B0318AE457F6C85A" localSheetId="4" hidden="1">#REF!</definedName>
    <definedName name="BO0EF0E1F710E14D64B0318AE457F6C85A" hidden="1">#REF!</definedName>
    <definedName name="BO0EFE864F0335421B9CA21E51583EA657" localSheetId="5" hidden="1">#REF!</definedName>
    <definedName name="BO0EFE864F0335421B9CA21E51583EA657" localSheetId="4" hidden="1">#REF!</definedName>
    <definedName name="BO0EFE864F0335421B9CA21E51583EA657" hidden="1">#REF!</definedName>
    <definedName name="BO0F2EC114AED841FCBA53DD2D2A185A40" localSheetId="5" hidden="1">#REF!</definedName>
    <definedName name="BO0F2EC114AED841FCBA53DD2D2A185A40" localSheetId="4" hidden="1">#REF!</definedName>
    <definedName name="BO0F2EC114AED841FCBA53DD2D2A185A40" hidden="1">#REF!</definedName>
    <definedName name="BO0F2F1527902543118B3B0891D0B4342A" localSheetId="5" hidden="1">#REF!</definedName>
    <definedName name="BO0F2F1527902543118B3B0891D0B4342A" localSheetId="4" hidden="1">#REF!</definedName>
    <definedName name="BO0F2F1527902543118B3B0891D0B4342A" hidden="1">#REF!</definedName>
    <definedName name="BO0F40139F378C4754978E7B648F5EF76C" localSheetId="5" hidden="1">#REF!</definedName>
    <definedName name="BO0F40139F378C4754978E7B648F5EF76C" localSheetId="4" hidden="1">#REF!</definedName>
    <definedName name="BO0F40139F378C4754978E7B648F5EF76C" hidden="1">#REF!</definedName>
    <definedName name="BO0F4D33F674534ACBAEA5A52A9D5B3732" localSheetId="5" hidden="1">#REF!</definedName>
    <definedName name="BO0F4D33F674534ACBAEA5A52A9D5B3732" localSheetId="4" hidden="1">#REF!</definedName>
    <definedName name="BO0F4D33F674534ACBAEA5A52A9D5B3732" hidden="1">#REF!</definedName>
    <definedName name="BO0F5F084DF9434109A1D0148673E339CE" localSheetId="5" hidden="1">#REF!</definedName>
    <definedName name="BO0F5F084DF9434109A1D0148673E339CE" localSheetId="4" hidden="1">#REF!</definedName>
    <definedName name="BO0F5F084DF9434109A1D0148673E339CE" hidden="1">#REF!</definedName>
    <definedName name="BO0F607125CD504928928E6D4416EEEFC4" localSheetId="5" hidden="1">#REF!</definedName>
    <definedName name="BO0F607125CD504928928E6D4416EEEFC4" localSheetId="4" hidden="1">#REF!</definedName>
    <definedName name="BO0F607125CD504928928E6D4416EEEFC4" hidden="1">#REF!</definedName>
    <definedName name="BO0F6173E5083F40248C720708B2C24E8F" localSheetId="5" hidden="1">#REF!</definedName>
    <definedName name="BO0F6173E5083F40248C720708B2C24E8F" localSheetId="4" hidden="1">#REF!</definedName>
    <definedName name="BO0F6173E5083F40248C720708B2C24E8F" hidden="1">#REF!</definedName>
    <definedName name="BO0F61A735D9814416BAF32AED7B332B69" localSheetId="5" hidden="1">#REF!</definedName>
    <definedName name="BO0F61A735D9814416BAF32AED7B332B69" localSheetId="4" hidden="1">#REF!</definedName>
    <definedName name="BO0F61A735D9814416BAF32AED7B332B69" hidden="1">#REF!</definedName>
    <definedName name="BO0F63C06E3E0A406D81A8D980865B4A8C" localSheetId="5" hidden="1">#REF!</definedName>
    <definedName name="BO0F63C06E3E0A406D81A8D980865B4A8C" localSheetId="4" hidden="1">#REF!</definedName>
    <definedName name="BO0F63C06E3E0A406D81A8D980865B4A8C" hidden="1">#REF!</definedName>
    <definedName name="BO0F8ED4536B0445B4946298F4B61EE3C4" localSheetId="5" hidden="1">[9]xml!#REF!</definedName>
    <definedName name="BO0F8ED4536B0445B4946298F4B61EE3C4" localSheetId="4" hidden="1">[9]xml!#REF!</definedName>
    <definedName name="BO0F8ED4536B0445B4946298F4B61EE3C4" hidden="1">[9]xml!#REF!</definedName>
    <definedName name="BO0FA8E789E3794953BF206F3E6698D7B0" localSheetId="5" hidden="1">#REF!</definedName>
    <definedName name="BO0FA8E789E3794953BF206F3E6698D7B0" localSheetId="4" hidden="1">#REF!</definedName>
    <definedName name="BO0FA8E789E3794953BF206F3E6698D7B0" hidden="1">#REF!</definedName>
    <definedName name="BO0FAA206141644A4A9CC2F711A9169654" localSheetId="5" hidden="1">#REF!</definedName>
    <definedName name="BO0FAA206141644A4A9CC2F711A9169654" localSheetId="4" hidden="1">#REF!</definedName>
    <definedName name="BO0FAA206141644A4A9CC2F711A9169654" hidden="1">#REF!</definedName>
    <definedName name="BO0FC2A6E48EF44F31A2E66CB2160C2660" localSheetId="5" hidden="1">#REF!</definedName>
    <definedName name="BO0FC2A6E48EF44F31A2E66CB2160C2660" localSheetId="4" hidden="1">#REF!</definedName>
    <definedName name="BO0FC2A6E48EF44F31A2E66CB2160C2660" hidden="1">#REF!</definedName>
    <definedName name="BO0FE7F6805CD74E4EA2B3D39BD3AF18E3" localSheetId="5" hidden="1">#REF!</definedName>
    <definedName name="BO0FE7F6805CD74E4EA2B3D39BD3AF18E3" localSheetId="4" hidden="1">#REF!</definedName>
    <definedName name="BO0FE7F6805CD74E4EA2B3D39BD3AF18E3" hidden="1">#REF!</definedName>
    <definedName name="BO0FF6A12E1DFF43F68000BB41263C6766" localSheetId="5" hidden="1">#REF!</definedName>
    <definedName name="BO0FF6A12E1DFF43F68000BB41263C6766" localSheetId="4" hidden="1">#REF!</definedName>
    <definedName name="BO0FF6A12E1DFF43F68000BB41263C6766" hidden="1">#REF!</definedName>
    <definedName name="BO0FF82BB103FB4B9A882AD5330EAE4FC6" localSheetId="5" hidden="1">[10]Giaitrinh!#REF!</definedName>
    <definedName name="BO0FF82BB103FB4B9A882AD5330EAE4FC6" localSheetId="4" hidden="1">[10]Giaitrinh!#REF!</definedName>
    <definedName name="BO0FF82BB103FB4B9A882AD5330EAE4FC6" hidden="1">[10]Giaitrinh!#REF!</definedName>
    <definedName name="BO100DAFF26E56419D9A8CFC5AE2565CB4" localSheetId="5" hidden="1">[7]lailo!#REF!</definedName>
    <definedName name="BO100DAFF26E56419D9A8CFC5AE2565CB4" localSheetId="4" hidden="1">[7]lailo!#REF!</definedName>
    <definedName name="BO100DAFF26E56419D9A8CFC5AE2565CB4" hidden="1">[7]lailo!#REF!</definedName>
    <definedName name="BO1011EFDB7313475AB25630C77E2CD7FB" localSheetId="5" hidden="1">#REF!</definedName>
    <definedName name="BO1011EFDB7313475AB25630C77E2CD7FB" localSheetId="4" hidden="1">#REF!</definedName>
    <definedName name="BO1011EFDB7313475AB25630C77E2CD7FB" hidden="1">#REF!</definedName>
    <definedName name="BO101B3CBA1D804854AA097B099DEACA06" localSheetId="5" hidden="1">#REF!</definedName>
    <definedName name="BO101B3CBA1D804854AA097B099DEACA06" localSheetId="4" hidden="1">#REF!</definedName>
    <definedName name="BO101B3CBA1D804854AA097B099DEACA06" hidden="1">#REF!</definedName>
    <definedName name="BO101EDBA5B09D4FBEA5C83431A243009A" localSheetId="5" hidden="1">#REF!</definedName>
    <definedName name="BO101EDBA5B09D4FBEA5C83431A243009A" localSheetId="4" hidden="1">#REF!</definedName>
    <definedName name="BO101EDBA5B09D4FBEA5C83431A243009A" hidden="1">#REF!</definedName>
    <definedName name="BO1026C64ECF28460A8F1662BA42D1D66F" localSheetId="5" hidden="1">#REF!</definedName>
    <definedName name="BO1026C64ECF28460A8F1662BA42D1D66F" localSheetId="4" hidden="1">#REF!</definedName>
    <definedName name="BO1026C64ECF28460A8F1662BA42D1D66F" hidden="1">#REF!</definedName>
    <definedName name="BO1037E116A07A44E8BF4CCE2C73F3599D" localSheetId="5" hidden="1">#REF!</definedName>
    <definedName name="BO1037E116A07A44E8BF4CCE2C73F3599D" localSheetId="4" hidden="1">#REF!</definedName>
    <definedName name="BO1037E116A07A44E8BF4CCE2C73F3599D" hidden="1">#REF!</definedName>
    <definedName name="BO103B44D247244130906D01A5B85452F0" localSheetId="5" hidden="1">#REF!</definedName>
    <definedName name="BO103B44D247244130906D01A5B85452F0" localSheetId="4" hidden="1">#REF!</definedName>
    <definedName name="BO103B44D247244130906D01A5B85452F0" hidden="1">#REF!</definedName>
    <definedName name="BO10494918D7FB4CDC81288D2F49DA6940" localSheetId="5" hidden="1">#REF!</definedName>
    <definedName name="BO10494918D7FB4CDC81288D2F49DA6940" localSheetId="4" hidden="1">#REF!</definedName>
    <definedName name="BO10494918D7FB4CDC81288D2F49DA6940" hidden="1">#REF!</definedName>
    <definedName name="BO104E67F80A4845CEBB2B25939F001D94" localSheetId="5" hidden="1">#REF!</definedName>
    <definedName name="BO104E67F80A4845CEBB2B25939F001D94" localSheetId="4" hidden="1">#REF!</definedName>
    <definedName name="BO104E67F80A4845CEBB2B25939F001D94" hidden="1">#REF!</definedName>
    <definedName name="BO105AC2E8F90843D8B7ADAB6EF572B8A9" localSheetId="5" hidden="1">#REF!</definedName>
    <definedName name="BO105AC2E8F90843D8B7ADAB6EF572B8A9" localSheetId="4" hidden="1">#REF!</definedName>
    <definedName name="BO105AC2E8F90843D8B7ADAB6EF572B8A9" hidden="1">#REF!</definedName>
    <definedName name="BO107867BBEC8E4659B0BADEC7ACCB8848" localSheetId="5" hidden="1">#REF!</definedName>
    <definedName name="BO107867BBEC8E4659B0BADEC7ACCB8848" localSheetId="4" hidden="1">#REF!</definedName>
    <definedName name="BO107867BBEC8E4659B0BADEC7ACCB8848" hidden="1">#REF!</definedName>
    <definedName name="BO107CF8CCC73047BAA48A0F3417125FB3" localSheetId="5" hidden="1">#REF!</definedName>
    <definedName name="BO107CF8CCC73047BAA48A0F3417125FB3" localSheetId="4" hidden="1">#REF!</definedName>
    <definedName name="BO107CF8CCC73047BAA48A0F3417125FB3" hidden="1">#REF!</definedName>
    <definedName name="BO108536F420A44B898203C55E26974DDA" localSheetId="5" hidden="1">#REF!</definedName>
    <definedName name="BO108536F420A44B898203C55E26974DDA" localSheetId="4" hidden="1">#REF!</definedName>
    <definedName name="BO108536F420A44B898203C55E26974DDA" hidden="1">#REF!</definedName>
    <definedName name="BO10AB82431FBA49A8BB620D1CF48AA554" localSheetId="5" hidden="1">#REF!</definedName>
    <definedName name="BO10AB82431FBA49A8BB620D1CF48AA554" localSheetId="4" hidden="1">#REF!</definedName>
    <definedName name="BO10AB82431FBA49A8BB620D1CF48AA554" hidden="1">#REF!</definedName>
    <definedName name="BO10CFBC7FAF1B442DBB6CD191B6E80A4F" localSheetId="5" hidden="1">#REF!</definedName>
    <definedName name="BO10CFBC7FAF1B442DBB6CD191B6E80A4F" localSheetId="4" hidden="1">#REF!</definedName>
    <definedName name="BO10CFBC7FAF1B442DBB6CD191B6E80A4F" hidden="1">#REF!</definedName>
    <definedName name="BO10F37521359A421C8066E3BC8A799CCA" localSheetId="5" hidden="1">#REF!</definedName>
    <definedName name="BO10F37521359A421C8066E3BC8A799CCA" localSheetId="4" hidden="1">#REF!</definedName>
    <definedName name="BO10F37521359A421C8066E3BC8A799CCA" hidden="1">#REF!</definedName>
    <definedName name="BO10FD9B82E935477A99C13BA68F0F0892" localSheetId="5" hidden="1">#REF!</definedName>
    <definedName name="BO10FD9B82E935477A99C13BA68F0F0892" localSheetId="4" hidden="1">#REF!</definedName>
    <definedName name="BO10FD9B82E935477A99C13BA68F0F0892" hidden="1">#REF!</definedName>
    <definedName name="BO10FE631D5B854D8485FF6A769D0051AA" localSheetId="5" hidden="1">#REF!</definedName>
    <definedName name="BO10FE631D5B854D8485FF6A769D0051AA" localSheetId="4" hidden="1">#REF!</definedName>
    <definedName name="BO10FE631D5B854D8485FF6A769D0051AA" hidden="1">#REF!</definedName>
    <definedName name="BO1101C49490DF47B5980F23740F262DF6" localSheetId="5" hidden="1">#REF!</definedName>
    <definedName name="BO1101C49490DF47B5980F23740F262DF6" localSheetId="4" hidden="1">#REF!</definedName>
    <definedName name="BO1101C49490DF47B5980F23740F262DF6" hidden="1">#REF!</definedName>
    <definedName name="BO11037C9217AC4B2F88E1DE47DA1D1C83" localSheetId="5" hidden="1">#REF!</definedName>
    <definedName name="BO11037C9217AC4B2F88E1DE47DA1D1C83" localSheetId="4" hidden="1">#REF!</definedName>
    <definedName name="BO11037C9217AC4B2F88E1DE47DA1D1C83" hidden="1">#REF!</definedName>
    <definedName name="BO110AA3EE62DF43429ADD659CD1FCDE5F" localSheetId="5" hidden="1">#REF!</definedName>
    <definedName name="BO110AA3EE62DF43429ADD659CD1FCDE5F" localSheetId="4" hidden="1">#REF!</definedName>
    <definedName name="BO110AA3EE62DF43429ADD659CD1FCDE5F" hidden="1">#REF!</definedName>
    <definedName name="BO110F6DA28A5F4A4DACE1463A9CC4D1DE" localSheetId="5" hidden="1">#REF!</definedName>
    <definedName name="BO110F6DA28A5F4A4DACE1463A9CC4D1DE" localSheetId="4" hidden="1">#REF!</definedName>
    <definedName name="BO110F6DA28A5F4A4DACE1463A9CC4D1DE" hidden="1">#REF!</definedName>
    <definedName name="BO11157839ABA24ED0B1CFAA63ED39C8AE" localSheetId="5" hidden="1">#REF!</definedName>
    <definedName name="BO11157839ABA24ED0B1CFAA63ED39C8AE" localSheetId="4" hidden="1">#REF!</definedName>
    <definedName name="BO11157839ABA24ED0B1CFAA63ED39C8AE" hidden="1">#REF!</definedName>
    <definedName name="BO11355E49788346F2A5B6A69F2D6F5DB4" localSheetId="5" hidden="1">#REF!</definedName>
    <definedName name="BO11355E49788346F2A5B6A69F2D6F5DB4" localSheetId="4" hidden="1">#REF!</definedName>
    <definedName name="BO11355E49788346F2A5B6A69F2D6F5DB4" hidden="1">#REF!</definedName>
    <definedName name="BO1139C50622C14FD3ACAD05489B0A6DDA" localSheetId="5" hidden="1">#REF!</definedName>
    <definedName name="BO1139C50622C14FD3ACAD05489B0A6DDA" localSheetId="4" hidden="1">#REF!</definedName>
    <definedName name="BO1139C50622C14FD3ACAD05489B0A6DDA" hidden="1">#REF!</definedName>
    <definedName name="BO113AADB3EE164AB287BD823572C08C85" localSheetId="5" hidden="1">#REF!</definedName>
    <definedName name="BO113AADB3EE164AB287BD823572C08C85" localSheetId="4" hidden="1">#REF!</definedName>
    <definedName name="BO113AADB3EE164AB287BD823572C08C85" hidden="1">#REF!</definedName>
    <definedName name="BO113DBA7EFF8042ED8AB3ECF88DF64EDF" localSheetId="5" hidden="1">#REF!</definedName>
    <definedName name="BO113DBA7EFF8042ED8AB3ECF88DF64EDF" localSheetId="4" hidden="1">#REF!</definedName>
    <definedName name="BO113DBA7EFF8042ED8AB3ECF88DF64EDF" hidden="1">#REF!</definedName>
    <definedName name="BO113DFCDBE1B84417AB30F58EB74C8A02" localSheetId="5" hidden="1">#REF!</definedName>
    <definedName name="BO113DFCDBE1B84417AB30F58EB74C8A02" localSheetId="4" hidden="1">#REF!</definedName>
    <definedName name="BO113DFCDBE1B84417AB30F58EB74C8A02" hidden="1">#REF!</definedName>
    <definedName name="BO113E1DCC2AFC49139CF1B61A6B72D8D0" localSheetId="5" hidden="1">#REF!</definedName>
    <definedName name="BO113E1DCC2AFC49139CF1B61A6B72D8D0" localSheetId="4" hidden="1">#REF!</definedName>
    <definedName name="BO113E1DCC2AFC49139CF1B61A6B72D8D0" hidden="1">#REF!</definedName>
    <definedName name="BO115150121C404B92B8292215FD47A676" localSheetId="5" hidden="1">#REF!</definedName>
    <definedName name="BO115150121C404B92B8292215FD47A676" localSheetId="4" hidden="1">#REF!</definedName>
    <definedName name="BO115150121C404B92B8292215FD47A676" hidden="1">#REF!</definedName>
    <definedName name="BO115FA841010345EA87622617C00ED59F" localSheetId="5" hidden="1">#REF!</definedName>
    <definedName name="BO115FA841010345EA87622617C00ED59F" localSheetId="4" hidden="1">#REF!</definedName>
    <definedName name="BO115FA841010345EA87622617C00ED59F" hidden="1">#REF!</definedName>
    <definedName name="BO115FD69D0BB94E1398EBFC921472CD65" localSheetId="5" hidden="1">[9]xml!#REF!</definedName>
    <definedName name="BO115FD69D0BB94E1398EBFC921472CD65" localSheetId="4" hidden="1">[9]xml!#REF!</definedName>
    <definedName name="BO115FD69D0BB94E1398EBFC921472CD65" hidden="1">[9]xml!#REF!</definedName>
    <definedName name="BO1177CD42210745D08166DB6025B4FF48" localSheetId="5" hidden="1">#REF!</definedName>
    <definedName name="BO1177CD42210745D08166DB6025B4FF48" localSheetId="4" hidden="1">#REF!</definedName>
    <definedName name="BO1177CD42210745D08166DB6025B4FF48" hidden="1">#REF!</definedName>
    <definedName name="BO1195F61C7239451DBF66E2469B3C5F36" localSheetId="5" hidden="1">#REF!</definedName>
    <definedName name="BO1195F61C7239451DBF66E2469B3C5F36" localSheetId="4" hidden="1">#REF!</definedName>
    <definedName name="BO1195F61C7239451DBF66E2469B3C5F36" hidden="1">#REF!</definedName>
    <definedName name="BO11973B6561A0498FA3706C023A116B05" localSheetId="5" hidden="1">#REF!</definedName>
    <definedName name="BO11973B6561A0498FA3706C023A116B05" localSheetId="4" hidden="1">#REF!</definedName>
    <definedName name="BO11973B6561A0498FA3706C023A116B05" hidden="1">#REF!</definedName>
    <definedName name="BO11D45D2A380E4753A698027552BE513C" hidden="1">[8]Ketqua!$I$11:$U$11</definedName>
    <definedName name="BO11E833F928CD449A92CD2F043A3EC300" localSheetId="5" hidden="1">#REF!</definedName>
    <definedName name="BO11E833F928CD449A92CD2F043A3EC300" localSheetId="4" hidden="1">#REF!</definedName>
    <definedName name="BO11E833F928CD449A92CD2F043A3EC300" hidden="1">#REF!</definedName>
    <definedName name="BO11EAB705D2034743837BC0B8152BBB41" localSheetId="5" hidden="1">#REF!</definedName>
    <definedName name="BO11EAB705D2034743837BC0B8152BBB41" localSheetId="4" hidden="1">#REF!</definedName>
    <definedName name="BO11EAB705D2034743837BC0B8152BBB41" hidden="1">#REF!</definedName>
    <definedName name="BO121210BE9D85473E8E940B3B7BB1F400" localSheetId="5" hidden="1">#REF!</definedName>
    <definedName name="BO121210BE9D85473E8E940B3B7BB1F400" localSheetId="4" hidden="1">#REF!</definedName>
    <definedName name="BO121210BE9D85473E8E940B3B7BB1F400" hidden="1">#REF!</definedName>
    <definedName name="BO123545DC7DE2411AADB44CC104165E5B" localSheetId="5" hidden="1">#REF!</definedName>
    <definedName name="BO123545DC7DE2411AADB44CC104165E5B" localSheetId="4" hidden="1">#REF!</definedName>
    <definedName name="BO123545DC7DE2411AADB44CC104165E5B" hidden="1">#REF!</definedName>
    <definedName name="BO1247719AFAA8494CB660516F8BCEC32F" localSheetId="5" hidden="1">[9]xml!#REF!</definedName>
    <definedName name="BO1247719AFAA8494CB660516F8BCEC32F" localSheetId="4" hidden="1">[9]xml!#REF!</definedName>
    <definedName name="BO1247719AFAA8494CB660516F8BCEC32F" hidden="1">[9]xml!#REF!</definedName>
    <definedName name="BO1270E2A70D83427D90B7976FDB8D7F6B" localSheetId="5" hidden="1">#REF!</definedName>
    <definedName name="BO1270E2A70D83427D90B7976FDB8D7F6B" localSheetId="4" hidden="1">#REF!</definedName>
    <definedName name="BO1270E2A70D83427D90B7976FDB8D7F6B" hidden="1">#REF!</definedName>
    <definedName name="BO127F6BE867F948EF815573ED75221EA1" localSheetId="5" hidden="1">#REF!</definedName>
    <definedName name="BO127F6BE867F948EF815573ED75221EA1" localSheetId="4" hidden="1">#REF!</definedName>
    <definedName name="BO127F6BE867F948EF815573ED75221EA1" hidden="1">#REF!</definedName>
    <definedName name="BO128CE600A5504ED1A4D4FBE83A131854" localSheetId="5" hidden="1">#REF!</definedName>
    <definedName name="BO128CE600A5504ED1A4D4FBE83A131854" localSheetId="4" hidden="1">#REF!</definedName>
    <definedName name="BO128CE600A5504ED1A4D4FBE83A131854" hidden="1">#REF!</definedName>
    <definedName name="BO128DA76DA2644090B145C6D45306439F" localSheetId="5" hidden="1">[9]xml!#REF!</definedName>
    <definedName name="BO128DA76DA2644090B145C6D45306439F" localSheetId="4" hidden="1">[9]xml!#REF!</definedName>
    <definedName name="BO128DA76DA2644090B145C6D45306439F" hidden="1">[9]xml!#REF!</definedName>
    <definedName name="BO12A467DD3B954167AD2B4FF98B2FCDC7" localSheetId="5" hidden="1">#REF!</definedName>
    <definedName name="BO12A467DD3B954167AD2B4FF98B2FCDC7" localSheetId="4" hidden="1">#REF!</definedName>
    <definedName name="BO12A467DD3B954167AD2B4FF98B2FCDC7" hidden="1">#REF!</definedName>
    <definedName name="BO12C40EA206EF41DEA0E055BF665F9DCC" localSheetId="5" hidden="1">#REF!</definedName>
    <definedName name="BO12C40EA206EF41DEA0E055BF665F9DCC" localSheetId="4" hidden="1">#REF!</definedName>
    <definedName name="BO12C40EA206EF41DEA0E055BF665F9DCC" hidden="1">#REF!</definedName>
    <definedName name="BO12CAFE7F98384CD4BDCF0A675CCD2E18" localSheetId="5" hidden="1">#REF!</definedName>
    <definedName name="BO12CAFE7F98384CD4BDCF0A675CCD2E18" localSheetId="4" hidden="1">#REF!</definedName>
    <definedName name="BO12CAFE7F98384CD4BDCF0A675CCD2E18" hidden="1">#REF!</definedName>
    <definedName name="BO12D65E4D89CC47F990F5C7B82F2A72E7" localSheetId="5" hidden="1">#REF!</definedName>
    <definedName name="BO12D65E4D89CC47F990F5C7B82F2A72E7" localSheetId="4" hidden="1">#REF!</definedName>
    <definedName name="BO12D65E4D89CC47F990F5C7B82F2A72E7" hidden="1">#REF!</definedName>
    <definedName name="BO12DC5938A45A4514A9A3F1A5168F3DED" localSheetId="5" hidden="1">#REF!</definedName>
    <definedName name="BO12DC5938A45A4514A9A3F1A5168F3DED" localSheetId="4" hidden="1">#REF!</definedName>
    <definedName name="BO12DC5938A45A4514A9A3F1A5168F3DED" hidden="1">#REF!</definedName>
    <definedName name="BO12EA6B9B0705428C95E35AC2181BA78D" localSheetId="5" hidden="1">#REF!</definedName>
    <definedName name="BO12EA6B9B0705428C95E35AC2181BA78D" localSheetId="4" hidden="1">#REF!</definedName>
    <definedName name="BO12EA6B9B0705428C95E35AC2181BA78D" hidden="1">#REF!</definedName>
    <definedName name="BO12F9F287D7A04850829E8211565B6932" localSheetId="5" hidden="1">#REF!</definedName>
    <definedName name="BO12F9F287D7A04850829E8211565B6932" localSheetId="4" hidden="1">#REF!</definedName>
    <definedName name="BO12F9F287D7A04850829E8211565B6932" hidden="1">#REF!</definedName>
    <definedName name="BO1325986E870C41DDAE8ED05A1B9FE297" localSheetId="5" hidden="1">#REF!</definedName>
    <definedName name="BO1325986E870C41DDAE8ED05A1B9FE297" localSheetId="4" hidden="1">#REF!</definedName>
    <definedName name="BO1325986E870C41DDAE8ED05A1B9FE297" hidden="1">#REF!</definedName>
    <definedName name="BO1327AE4521634660B2EA04CBE197447B" localSheetId="5" hidden="1">#REF!</definedName>
    <definedName name="BO1327AE4521634660B2EA04CBE197447B" localSheetId="4" hidden="1">#REF!</definedName>
    <definedName name="BO1327AE4521634660B2EA04CBE197447B" hidden="1">#REF!</definedName>
    <definedName name="BO13284B9AEB7C46979258C1EEAE6390B3" localSheetId="5" hidden="1">#REF!</definedName>
    <definedName name="BO13284B9AEB7C46979258C1EEAE6390B3" localSheetId="4" hidden="1">#REF!</definedName>
    <definedName name="BO13284B9AEB7C46979258C1EEAE6390B3" hidden="1">#REF!</definedName>
    <definedName name="BO132943BF05E04514A93936E60D34EDC6" localSheetId="5" hidden="1">[8]Ketqua!#REF!</definedName>
    <definedName name="BO132943BF05E04514A93936E60D34EDC6" localSheetId="4" hidden="1">[8]Ketqua!#REF!</definedName>
    <definedName name="BO132943BF05E04514A93936E60D34EDC6" hidden="1">[8]Ketqua!#REF!</definedName>
    <definedName name="BO133812EBE2564D9A91868085D2693F63" localSheetId="5" hidden="1">#REF!</definedName>
    <definedName name="BO133812EBE2564D9A91868085D2693F63" localSheetId="4" hidden="1">#REF!</definedName>
    <definedName name="BO133812EBE2564D9A91868085D2693F63" hidden="1">#REF!</definedName>
    <definedName name="BO133BC354B9924865B5E109C64C6F65C6" localSheetId="5" hidden="1">#REF!</definedName>
    <definedName name="BO133BC354B9924865B5E109C64C6F65C6" localSheetId="4" hidden="1">#REF!</definedName>
    <definedName name="BO133BC354B9924865B5E109C64C6F65C6" hidden="1">#REF!</definedName>
    <definedName name="BO13509C2E07C648D7ACC69CCC771BF5CF" localSheetId="5" hidden="1">#REF!</definedName>
    <definedName name="BO13509C2E07C648D7ACC69CCC771BF5CF" localSheetId="4" hidden="1">#REF!</definedName>
    <definedName name="BO13509C2E07C648D7ACC69CCC771BF5CF" hidden="1">#REF!</definedName>
    <definedName name="BO13599CB01A8D47B4B378E70E8D7C41BC" localSheetId="5" hidden="1">#REF!</definedName>
    <definedName name="BO13599CB01A8D47B4B378E70E8D7C41BC" localSheetId="4" hidden="1">#REF!</definedName>
    <definedName name="BO13599CB01A8D47B4B378E70E8D7C41BC" hidden="1">#REF!</definedName>
    <definedName name="BO13601DDCE16947E4BBE8CFA87C2969F9" localSheetId="5" hidden="1">#REF!</definedName>
    <definedName name="BO13601DDCE16947E4BBE8CFA87C2969F9" localSheetId="4" hidden="1">#REF!</definedName>
    <definedName name="BO13601DDCE16947E4BBE8CFA87C2969F9" hidden="1">#REF!</definedName>
    <definedName name="BO1378F1D0A4EC4F5C83A1A4FDFA8578E9" localSheetId="5" hidden="1">#REF!</definedName>
    <definedName name="BO1378F1D0A4EC4F5C83A1A4FDFA8578E9" localSheetId="4" hidden="1">#REF!</definedName>
    <definedName name="BO1378F1D0A4EC4F5C83A1A4FDFA8578E9" hidden="1">#REF!</definedName>
    <definedName name="BO137F3B29748F4BD5886E798FD23F54F8" localSheetId="5" hidden="1">#REF!</definedName>
    <definedName name="BO137F3B29748F4BD5886E798FD23F54F8" localSheetId="4" hidden="1">#REF!</definedName>
    <definedName name="BO137F3B29748F4BD5886E798FD23F54F8" hidden="1">#REF!</definedName>
    <definedName name="BO1385D29733C14D91B3EEF21CA0EBBD24" localSheetId="5" hidden="1">#REF!</definedName>
    <definedName name="BO1385D29733C14D91B3EEF21CA0EBBD24" localSheetId="4" hidden="1">#REF!</definedName>
    <definedName name="BO1385D29733C14D91B3EEF21CA0EBBD24" hidden="1">#REF!</definedName>
    <definedName name="BO1393899720BE4F51912354E268AF38C4" localSheetId="5" hidden="1">#REF!</definedName>
    <definedName name="BO1393899720BE4F51912354E268AF38C4" localSheetId="4" hidden="1">#REF!</definedName>
    <definedName name="BO1393899720BE4F51912354E268AF38C4" hidden="1">#REF!</definedName>
    <definedName name="BO13AA8629806448649C43B362638EC5D5" localSheetId="5" hidden="1">#REF!</definedName>
    <definedName name="BO13AA8629806448649C43B362638EC5D5" localSheetId="4" hidden="1">#REF!</definedName>
    <definedName name="BO13AA8629806448649C43B362638EC5D5" hidden="1">#REF!</definedName>
    <definedName name="BO13EDEA9D5522465593F850664C5C2BA8" localSheetId="5" hidden="1">#REF!</definedName>
    <definedName name="BO13EDEA9D5522465593F850664C5C2BA8" localSheetId="4" hidden="1">#REF!</definedName>
    <definedName name="BO13EDEA9D5522465593F850664C5C2BA8" hidden="1">#REF!</definedName>
    <definedName name="BO1429D896D9EB44B1BB7DB6A2DCCFF7AF" localSheetId="5" hidden="1">#REF!</definedName>
    <definedName name="BO1429D896D9EB44B1BB7DB6A2DCCFF7AF" localSheetId="4" hidden="1">#REF!</definedName>
    <definedName name="BO1429D896D9EB44B1BB7DB6A2DCCFF7AF" hidden="1">#REF!</definedName>
    <definedName name="BO142B466C524B45059DA17FB555951F6C" localSheetId="5" hidden="1">#REF!</definedName>
    <definedName name="BO142B466C524B45059DA17FB555951F6C" localSheetId="4" hidden="1">#REF!</definedName>
    <definedName name="BO142B466C524B45059DA17FB555951F6C" hidden="1">#REF!</definedName>
    <definedName name="BO1453CFE36C1B4BF2A5B088432FC66299" localSheetId="5" hidden="1">#REF!</definedName>
    <definedName name="BO1453CFE36C1B4BF2A5B088432FC66299" localSheetId="4" hidden="1">#REF!</definedName>
    <definedName name="BO1453CFE36C1B4BF2A5B088432FC66299" hidden="1">#REF!</definedName>
    <definedName name="BO1478593DE5BF432496448798888CD526" localSheetId="5" hidden="1">#REF!</definedName>
    <definedName name="BO1478593DE5BF432496448798888CD526" localSheetId="4" hidden="1">#REF!</definedName>
    <definedName name="BO1478593DE5BF432496448798888CD526" hidden="1">#REF!</definedName>
    <definedName name="BO147AF726DF344222A289DB3D24063E1C" localSheetId="5" hidden="1">#REF!</definedName>
    <definedName name="BO147AF726DF344222A289DB3D24063E1C" localSheetId="4" hidden="1">#REF!</definedName>
    <definedName name="BO147AF726DF344222A289DB3D24063E1C" hidden="1">#REF!</definedName>
    <definedName name="BO1488627F89A5401EA8339050A5CD2FC3" localSheetId="5" hidden="1">#REF!</definedName>
    <definedName name="BO1488627F89A5401EA8339050A5CD2FC3" localSheetId="4" hidden="1">#REF!</definedName>
    <definedName name="BO1488627F89A5401EA8339050A5CD2FC3" hidden="1">#REF!</definedName>
    <definedName name="BO1498F5E9895C4C44BECAF99E0DD344F8" localSheetId="5" hidden="1">#REF!</definedName>
    <definedName name="BO1498F5E9895C4C44BECAF99E0DD344F8" localSheetId="4" hidden="1">#REF!</definedName>
    <definedName name="BO1498F5E9895C4C44BECAF99E0DD344F8" hidden="1">#REF!</definedName>
    <definedName name="BO14A602C0C40349EBBDF7570C69069E69" localSheetId="5" hidden="1">#REF!</definedName>
    <definedName name="BO14A602C0C40349EBBDF7570C69069E69" localSheetId="4" hidden="1">#REF!</definedName>
    <definedName name="BO14A602C0C40349EBBDF7570C69069E69" hidden="1">#REF!</definedName>
    <definedName name="BO14B13E512A4A4C3184B0D232C078EF83" localSheetId="5" hidden="1">#REF!</definedName>
    <definedName name="BO14B13E512A4A4C3184B0D232C078EF83" localSheetId="4" hidden="1">#REF!</definedName>
    <definedName name="BO14B13E512A4A4C3184B0D232C078EF83" hidden="1">#REF!</definedName>
    <definedName name="BO14C3044CB93D4F5C9AED3ABC0CD1704D" localSheetId="5" hidden="1">#REF!</definedName>
    <definedName name="BO14C3044CB93D4F5C9AED3ABC0CD1704D" localSheetId="4" hidden="1">#REF!</definedName>
    <definedName name="BO14C3044CB93D4F5C9AED3ABC0CD1704D" hidden="1">#REF!</definedName>
    <definedName name="BO14DB5AB40E69462D90B5A15B8FE2BA3C" localSheetId="5" hidden="1">#REF!</definedName>
    <definedName name="BO14DB5AB40E69462D90B5A15B8FE2BA3C" localSheetId="4" hidden="1">#REF!</definedName>
    <definedName name="BO14DB5AB40E69462D90B5A15B8FE2BA3C" hidden="1">#REF!</definedName>
    <definedName name="BO14DD6ABB03004D7CACDDFD4CF6783330" localSheetId="5" hidden="1">#REF!</definedName>
    <definedName name="BO14DD6ABB03004D7CACDDFD4CF6783330" localSheetId="4" hidden="1">#REF!</definedName>
    <definedName name="BO14DD6ABB03004D7CACDDFD4CF6783330" hidden="1">#REF!</definedName>
    <definedName name="BO1507CFEE743840409D2F11233AA6FC68" localSheetId="5" hidden="1">#REF!</definedName>
    <definedName name="BO1507CFEE743840409D2F11233AA6FC68" localSheetId="4" hidden="1">#REF!</definedName>
    <definedName name="BO1507CFEE743840409D2F11233AA6FC68" hidden="1">#REF!</definedName>
    <definedName name="BO150A5E3D977F48E993F3CB56BD24DB0C" localSheetId="5" hidden="1">#REF!</definedName>
    <definedName name="BO150A5E3D977F48E993F3CB56BD24DB0C" localSheetId="4" hidden="1">#REF!</definedName>
    <definedName name="BO150A5E3D977F48E993F3CB56BD24DB0C" hidden="1">#REF!</definedName>
    <definedName name="BO150F2145D9F048989F095910F6DB863A" localSheetId="5" hidden="1">#REF!</definedName>
    <definedName name="BO150F2145D9F048989F095910F6DB863A" localSheetId="4" hidden="1">#REF!</definedName>
    <definedName name="BO150F2145D9F048989F095910F6DB863A" hidden="1">#REF!</definedName>
    <definedName name="BO151DE5F71231460FAC324E04EE97CB34" localSheetId="5" hidden="1">#REF!</definedName>
    <definedName name="BO151DE5F71231460FAC324E04EE97CB34" localSheetId="4" hidden="1">#REF!</definedName>
    <definedName name="BO151DE5F71231460FAC324E04EE97CB34" hidden="1">#REF!</definedName>
    <definedName name="BO152CDB1E4CEB4659B8841DB4159ADA15" localSheetId="5" hidden="1">#REF!</definedName>
    <definedName name="BO152CDB1E4CEB4659B8841DB4159ADA15" localSheetId="4" hidden="1">#REF!</definedName>
    <definedName name="BO152CDB1E4CEB4659B8841DB4159ADA15" hidden="1">#REF!</definedName>
    <definedName name="BO152D3E36CF9A407C85522B9E34DE1E18" localSheetId="5" hidden="1">#REF!</definedName>
    <definedName name="BO152D3E36CF9A407C85522B9E34DE1E18" localSheetId="4" hidden="1">#REF!</definedName>
    <definedName name="BO152D3E36CF9A407C85522B9E34DE1E18" hidden="1">#REF!</definedName>
    <definedName name="BO153483A588284650A7BD009046AA2A34" localSheetId="5" hidden="1">#REF!</definedName>
    <definedName name="BO153483A588284650A7BD009046AA2A34" localSheetId="4" hidden="1">#REF!</definedName>
    <definedName name="BO153483A588284650A7BD009046AA2A34" hidden="1">#REF!</definedName>
    <definedName name="BO15435AD0E2494D44AB2FC90BAA762FEF" localSheetId="5" hidden="1">#REF!</definedName>
    <definedName name="BO15435AD0E2494D44AB2FC90BAA762FEF" localSheetId="4" hidden="1">#REF!</definedName>
    <definedName name="BO15435AD0E2494D44AB2FC90BAA762FEF" hidden="1">#REF!</definedName>
    <definedName name="BO155DA562D2034A63A73AA1D1CB835492" localSheetId="5" hidden="1">#REF!</definedName>
    <definedName name="BO155DA562D2034A63A73AA1D1CB835492" localSheetId="4" hidden="1">#REF!</definedName>
    <definedName name="BO155DA562D2034A63A73AA1D1CB835492" hidden="1">#REF!</definedName>
    <definedName name="BO156F4CA0C17044BBAEA485119D8DDB0B" localSheetId="5" hidden="1">#REF!</definedName>
    <definedName name="BO156F4CA0C17044BBAEA485119D8DDB0B" localSheetId="4" hidden="1">#REF!</definedName>
    <definedName name="BO156F4CA0C17044BBAEA485119D8DDB0B" hidden="1">#REF!</definedName>
    <definedName name="BO1575C37D064348359FE3C18641571703" localSheetId="5" hidden="1">#REF!</definedName>
    <definedName name="BO1575C37D064348359FE3C18641571703" localSheetId="4" hidden="1">#REF!</definedName>
    <definedName name="BO1575C37D064348359FE3C18641571703" hidden="1">#REF!</definedName>
    <definedName name="BO158544AA7C2642BE9E99B8FEC83AE723" localSheetId="5" hidden="1">#REF!</definedName>
    <definedName name="BO158544AA7C2642BE9E99B8FEC83AE723" localSheetId="4" hidden="1">#REF!</definedName>
    <definedName name="BO158544AA7C2642BE9E99B8FEC83AE723" hidden="1">#REF!</definedName>
    <definedName name="BO1591B43BA01344D1B97CD782CDC8DF16" localSheetId="5" hidden="1">#REF!</definedName>
    <definedName name="BO1591B43BA01344D1B97CD782CDC8DF16" localSheetId="4" hidden="1">#REF!</definedName>
    <definedName name="BO1591B43BA01344D1B97CD782CDC8DF16" hidden="1">#REF!</definedName>
    <definedName name="BO159858E6E4B3459B85B3DD31CEAF0F99" localSheetId="5" hidden="1">#REF!</definedName>
    <definedName name="BO159858E6E4B3459B85B3DD31CEAF0F99" localSheetId="4" hidden="1">#REF!</definedName>
    <definedName name="BO159858E6E4B3459B85B3DD31CEAF0F99" hidden="1">#REF!</definedName>
    <definedName name="BO15A51EBB65FC4ADCA8B71334F6366727" localSheetId="5" hidden="1">#REF!</definedName>
    <definedName name="BO15A51EBB65FC4ADCA8B71334F6366727" localSheetId="4" hidden="1">#REF!</definedName>
    <definedName name="BO15A51EBB65FC4ADCA8B71334F6366727" hidden="1">#REF!</definedName>
    <definedName name="BO15A8C795BCCE4ED5B0B7C53F0BCAFBBE" localSheetId="5" hidden="1">#REF!</definedName>
    <definedName name="BO15A8C795BCCE4ED5B0B7C53F0BCAFBBE" localSheetId="4" hidden="1">#REF!</definedName>
    <definedName name="BO15A8C795BCCE4ED5B0B7C53F0BCAFBBE" hidden="1">#REF!</definedName>
    <definedName name="BO15B2232AD123452E8EB2FB306E61CCDE" localSheetId="5" hidden="1">#REF!</definedName>
    <definedName name="BO15B2232AD123452E8EB2FB306E61CCDE" localSheetId="4" hidden="1">#REF!</definedName>
    <definedName name="BO15B2232AD123452E8EB2FB306E61CCDE" hidden="1">#REF!</definedName>
    <definedName name="BO15C144F4B3E0469891DC697BD9C1532A" localSheetId="5" hidden="1">#REF!</definedName>
    <definedName name="BO15C144F4B3E0469891DC697BD9C1532A" localSheetId="4" hidden="1">#REF!</definedName>
    <definedName name="BO15C144F4B3E0469891DC697BD9C1532A" hidden="1">#REF!</definedName>
    <definedName name="BO15D04F80BAD14079AC0E057DA37BA3CD" localSheetId="5" hidden="1">#REF!</definedName>
    <definedName name="BO15D04F80BAD14079AC0E057DA37BA3CD" localSheetId="4" hidden="1">#REF!</definedName>
    <definedName name="BO15D04F80BAD14079AC0E057DA37BA3CD" hidden="1">#REF!</definedName>
    <definedName name="BO15E059F2D6684847B48D8C2905311580" localSheetId="5" hidden="1">#REF!</definedName>
    <definedName name="BO15E059F2D6684847B48D8C2905311580" localSheetId="4" hidden="1">#REF!</definedName>
    <definedName name="BO15E059F2D6684847B48D8C2905311580" hidden="1">#REF!</definedName>
    <definedName name="BO15EDE4B451AD44888135FEEE3E0298D5" localSheetId="5" hidden="1">#REF!</definedName>
    <definedName name="BO15EDE4B451AD44888135FEEE3E0298D5" localSheetId="4" hidden="1">#REF!</definedName>
    <definedName name="BO15EDE4B451AD44888135FEEE3E0298D5" hidden="1">#REF!</definedName>
    <definedName name="BO15F32B9C3C6B413C8055C2621DDF9142" localSheetId="5" hidden="1">#REF!</definedName>
    <definedName name="BO15F32B9C3C6B413C8055C2621DDF9142" localSheetId="4" hidden="1">#REF!</definedName>
    <definedName name="BO15F32B9C3C6B413C8055C2621DDF9142" hidden="1">#REF!</definedName>
    <definedName name="BO160786834721450AA9E64ED6D3688CA4" localSheetId="5" hidden="1">#REF!</definedName>
    <definedName name="BO160786834721450AA9E64ED6D3688CA4" localSheetId="4" hidden="1">#REF!</definedName>
    <definedName name="BO160786834721450AA9E64ED6D3688CA4" hidden="1">#REF!</definedName>
    <definedName name="BO161E10F17E0D466E9A9C9B20AB00C9AF" localSheetId="5" hidden="1">#REF!</definedName>
    <definedName name="BO161E10F17E0D466E9A9C9B20AB00C9AF" localSheetId="4" hidden="1">#REF!</definedName>
    <definedName name="BO161E10F17E0D466E9A9C9B20AB00C9AF" hidden="1">#REF!</definedName>
    <definedName name="BO1623BAFCAF594E84A7809584A5470354" localSheetId="5" hidden="1">#REF!</definedName>
    <definedName name="BO1623BAFCAF594E84A7809584A5470354" localSheetId="4" hidden="1">#REF!</definedName>
    <definedName name="BO1623BAFCAF594E84A7809584A5470354" hidden="1">#REF!</definedName>
    <definedName name="BO164749F1448E47DF9BFE38ADAF77EE9E" localSheetId="5" hidden="1">#REF!</definedName>
    <definedName name="BO164749F1448E47DF9BFE38ADAF77EE9E" localSheetId="4" hidden="1">#REF!</definedName>
    <definedName name="BO164749F1448E47DF9BFE38ADAF77EE9E" hidden="1">#REF!</definedName>
    <definedName name="BO16A96BA04BF447C3B965113AFD504FB1" localSheetId="5" hidden="1">#REF!</definedName>
    <definedName name="BO16A96BA04BF447C3B965113AFD504FB1" localSheetId="4" hidden="1">#REF!</definedName>
    <definedName name="BO16A96BA04BF447C3B965113AFD504FB1" hidden="1">#REF!</definedName>
    <definedName name="BO16BAEA0CA1FE4C08A4AB96BAE8EA3C4D" localSheetId="5" hidden="1">#REF!</definedName>
    <definedName name="BO16BAEA0CA1FE4C08A4AB96BAE8EA3C4D" localSheetId="4" hidden="1">#REF!</definedName>
    <definedName name="BO16BAEA0CA1FE4C08A4AB96BAE8EA3C4D" hidden="1">#REF!</definedName>
    <definedName name="BO16BEC480B13743C7B4D19D3239087E0A" localSheetId="5" hidden="1">#REF!</definedName>
    <definedName name="BO16BEC480B13743C7B4D19D3239087E0A" localSheetId="4" hidden="1">#REF!</definedName>
    <definedName name="BO16BEC480B13743C7B4D19D3239087E0A" hidden="1">#REF!</definedName>
    <definedName name="BO16E6CF1611C14A0EBDD8FD3FC37EDCA0" localSheetId="5" hidden="1">#REF!</definedName>
    <definedName name="BO16E6CF1611C14A0EBDD8FD3FC37EDCA0" localSheetId="4" hidden="1">#REF!</definedName>
    <definedName name="BO16E6CF1611C14A0EBDD8FD3FC37EDCA0" hidden="1">#REF!</definedName>
    <definedName name="BO16E719CF451040DD83A70BFD72F820E4" localSheetId="5" hidden="1">#REF!</definedName>
    <definedName name="BO16E719CF451040DD83A70BFD72F820E4" localSheetId="4" hidden="1">#REF!</definedName>
    <definedName name="BO16E719CF451040DD83A70BFD72F820E4" hidden="1">#REF!</definedName>
    <definedName name="BO171128F9C4FC4C4891D9BA50B799FCE6" localSheetId="5" hidden="1">#REF!</definedName>
    <definedName name="BO171128F9C4FC4C4891D9BA50B799FCE6" localSheetId="4" hidden="1">#REF!</definedName>
    <definedName name="BO171128F9C4FC4C4891D9BA50B799FCE6" hidden="1">#REF!</definedName>
    <definedName name="BO1714AEA5DF784205B2B908570C457908" localSheetId="5" hidden="1">#REF!</definedName>
    <definedName name="BO1714AEA5DF784205B2B908570C457908" localSheetId="4" hidden="1">#REF!</definedName>
    <definedName name="BO1714AEA5DF784205B2B908570C457908" hidden="1">#REF!</definedName>
    <definedName name="BO17253B1CDC5445F6BD6ED18530291193" localSheetId="5" hidden="1">#REF!</definedName>
    <definedName name="BO17253B1CDC5445F6BD6ED18530291193" localSheetId="4" hidden="1">#REF!</definedName>
    <definedName name="BO17253B1CDC5445F6BD6ED18530291193" hidden="1">#REF!</definedName>
    <definedName name="BO172BCEEE3A3F4D809343101B94AB01E5" localSheetId="5" hidden="1">#REF!</definedName>
    <definedName name="BO172BCEEE3A3F4D809343101B94AB01E5" localSheetId="4" hidden="1">#REF!</definedName>
    <definedName name="BO172BCEEE3A3F4D809343101B94AB01E5" hidden="1">#REF!</definedName>
    <definedName name="BO17410FA9D88B422384CB63228AB1DD7B" localSheetId="5" hidden="1">#REF!</definedName>
    <definedName name="BO17410FA9D88B422384CB63228AB1DD7B" localSheetId="4" hidden="1">#REF!</definedName>
    <definedName name="BO17410FA9D88B422384CB63228AB1DD7B" hidden="1">#REF!</definedName>
    <definedName name="BO174E8E33D1F3487195DAB1253FBC4A1A" localSheetId="5" hidden="1">#REF!</definedName>
    <definedName name="BO174E8E33D1F3487195DAB1253FBC4A1A" localSheetId="4" hidden="1">#REF!</definedName>
    <definedName name="BO174E8E33D1F3487195DAB1253FBC4A1A" hidden="1">#REF!</definedName>
    <definedName name="BO17631C5077E14E1B9FC7BB2D669F8782" localSheetId="5" hidden="1">#REF!</definedName>
    <definedName name="BO17631C5077E14E1B9FC7BB2D669F8782" localSheetId="4" hidden="1">#REF!</definedName>
    <definedName name="BO17631C5077E14E1B9FC7BB2D669F8782" hidden="1">#REF!</definedName>
    <definedName name="BO17785A0FEDA848A8B2B52956AF0EC1CF" localSheetId="5" hidden="1">#REF!</definedName>
    <definedName name="BO17785A0FEDA848A8B2B52956AF0EC1CF" localSheetId="4" hidden="1">#REF!</definedName>
    <definedName name="BO17785A0FEDA848A8B2B52956AF0EC1CF" hidden="1">#REF!</definedName>
    <definedName name="BO177B0CF65E3645D0BBE680158748C808" localSheetId="5" hidden="1">#REF!</definedName>
    <definedName name="BO177B0CF65E3645D0BBE680158748C808" localSheetId="4" hidden="1">#REF!</definedName>
    <definedName name="BO177B0CF65E3645D0BBE680158748C808" hidden="1">#REF!</definedName>
    <definedName name="BO177BA839AE674922AEA63344BBF3A7BB" localSheetId="5" hidden="1">#REF!</definedName>
    <definedName name="BO177BA839AE674922AEA63344BBF3A7BB" localSheetId="4" hidden="1">#REF!</definedName>
    <definedName name="BO177BA839AE674922AEA63344BBF3A7BB" hidden="1">#REF!</definedName>
    <definedName name="BO177BC8CBF9BB4395B5B5C8077A20D6A2" localSheetId="5" hidden="1">#REF!</definedName>
    <definedName name="BO177BC8CBF9BB4395B5B5C8077A20D6A2" localSheetId="4" hidden="1">#REF!</definedName>
    <definedName name="BO177BC8CBF9BB4395B5B5C8077A20D6A2" hidden="1">#REF!</definedName>
    <definedName name="BO177FD663E8B648A99045AF62199C01E4" localSheetId="5" hidden="1">#REF!</definedName>
    <definedName name="BO177FD663E8B648A99045AF62199C01E4" localSheetId="4" hidden="1">#REF!</definedName>
    <definedName name="BO177FD663E8B648A99045AF62199C01E4" hidden="1">#REF!</definedName>
    <definedName name="BO17A2A1D406F047C099D338A44B33078D" localSheetId="5" hidden="1">#REF!</definedName>
    <definedName name="BO17A2A1D406F047C099D338A44B33078D" localSheetId="4" hidden="1">#REF!</definedName>
    <definedName name="BO17A2A1D406F047C099D338A44B33078D" hidden="1">#REF!</definedName>
    <definedName name="BO17BF6E1ED3D74D5C891613E72B07CFBB" localSheetId="5" hidden="1">#REF!</definedName>
    <definedName name="BO17BF6E1ED3D74D5C891613E72B07CFBB" localSheetId="4" hidden="1">#REF!</definedName>
    <definedName name="BO17BF6E1ED3D74D5C891613E72B07CFBB" hidden="1">#REF!</definedName>
    <definedName name="BO17C622E24BA8475B9EEF613B3144940E" localSheetId="5" hidden="1">#REF!</definedName>
    <definedName name="BO17C622E24BA8475B9EEF613B3144940E" localSheetId="4" hidden="1">#REF!</definedName>
    <definedName name="BO17C622E24BA8475B9EEF613B3144940E" hidden="1">#REF!</definedName>
    <definedName name="BO17D8EC688EDA43DD93524C9D3736E1FF" localSheetId="5" hidden="1">#REF!</definedName>
    <definedName name="BO17D8EC688EDA43DD93524C9D3736E1FF" localSheetId="4" hidden="1">#REF!</definedName>
    <definedName name="BO17D8EC688EDA43DD93524C9D3736E1FF" hidden="1">#REF!</definedName>
    <definedName name="BO17EDADCCB1F2469B880B4636F8708393" localSheetId="5" hidden="1">#REF!</definedName>
    <definedName name="BO17EDADCCB1F2469B880B4636F8708393" localSheetId="4" hidden="1">#REF!</definedName>
    <definedName name="BO17EDADCCB1F2469B880B4636F8708393" hidden="1">#REF!</definedName>
    <definedName name="BO17EE338A98D9485985C87A805C6D247A" localSheetId="5" hidden="1">#REF!</definedName>
    <definedName name="BO17EE338A98D9485985C87A805C6D247A" localSheetId="4" hidden="1">#REF!</definedName>
    <definedName name="BO17EE338A98D9485985C87A805C6D247A" hidden="1">#REF!</definedName>
    <definedName name="BO17EE9EE03DE24CD1A252F64AB1CC9899" localSheetId="5" hidden="1">#REF!</definedName>
    <definedName name="BO17EE9EE03DE24CD1A252F64AB1CC9899" localSheetId="4" hidden="1">#REF!</definedName>
    <definedName name="BO17EE9EE03DE24CD1A252F64AB1CC9899" hidden="1">#REF!</definedName>
    <definedName name="BO17F77ADE17FD4586B5AE23DE524AA455" localSheetId="5" hidden="1">#REF!</definedName>
    <definedName name="BO17F77ADE17FD4586B5AE23DE524AA455" localSheetId="4" hidden="1">#REF!</definedName>
    <definedName name="BO17F77ADE17FD4586B5AE23DE524AA455" hidden="1">#REF!</definedName>
    <definedName name="BO180D5AC456C54B1AA485F04675F631C7" localSheetId="5" hidden="1">#REF!</definedName>
    <definedName name="BO180D5AC456C54B1AA485F04675F631C7" localSheetId="4" hidden="1">#REF!</definedName>
    <definedName name="BO180D5AC456C54B1AA485F04675F631C7" hidden="1">#REF!</definedName>
    <definedName name="BO18286B73E6C94321BA98CC7D3C230477" localSheetId="5" hidden="1">[9]xml!#REF!</definedName>
    <definedName name="BO18286B73E6C94321BA98CC7D3C230477" localSheetId="4" hidden="1">[9]xml!#REF!</definedName>
    <definedName name="BO18286B73E6C94321BA98CC7D3C230477" hidden="1">[9]xml!#REF!</definedName>
    <definedName name="BO182E18D1D972408CAAB284BA109EA4A9" localSheetId="5" hidden="1">#REF!</definedName>
    <definedName name="BO182E18D1D972408CAAB284BA109EA4A9" localSheetId="4" hidden="1">#REF!</definedName>
    <definedName name="BO182E18D1D972408CAAB284BA109EA4A9" hidden="1">#REF!</definedName>
    <definedName name="BO1841E0F7D2C548279375AB6B11931155" localSheetId="5" hidden="1">#REF!</definedName>
    <definedName name="BO1841E0F7D2C548279375AB6B11931155" localSheetId="4" hidden="1">#REF!</definedName>
    <definedName name="BO1841E0F7D2C548279375AB6B11931155" hidden="1">#REF!</definedName>
    <definedName name="BO1859BF306768463FA574AA023797F17E" localSheetId="5" hidden="1">#REF!</definedName>
    <definedName name="BO1859BF306768463FA574AA023797F17E" localSheetId="4" hidden="1">#REF!</definedName>
    <definedName name="BO1859BF306768463FA574AA023797F17E" hidden="1">#REF!</definedName>
    <definedName name="BO1860AE00FE214A399CE58B8709759EC4" localSheetId="5" hidden="1">#REF!</definedName>
    <definedName name="BO1860AE00FE214A399CE58B8709759EC4" localSheetId="4" hidden="1">#REF!</definedName>
    <definedName name="BO1860AE00FE214A399CE58B8709759EC4" hidden="1">#REF!</definedName>
    <definedName name="BO186B93828BB04A65A458AA35FB43BF82" localSheetId="5" hidden="1">#REF!</definedName>
    <definedName name="BO186B93828BB04A65A458AA35FB43BF82" localSheetId="4" hidden="1">#REF!</definedName>
    <definedName name="BO186B93828BB04A65A458AA35FB43BF82" hidden="1">#REF!</definedName>
    <definedName name="BO187EFF24D30343939F56FCB2C2527482" localSheetId="5" hidden="1">#REF!</definedName>
    <definedName name="BO187EFF24D30343939F56FCB2C2527482" localSheetId="4" hidden="1">#REF!</definedName>
    <definedName name="BO187EFF24D30343939F56FCB2C2527482" hidden="1">#REF!</definedName>
    <definedName name="BO188E34D07D9F4FC1B9B37BE561100B55" localSheetId="5" hidden="1">#REF!</definedName>
    <definedName name="BO188E34D07D9F4FC1B9B37BE561100B55" localSheetId="4" hidden="1">#REF!</definedName>
    <definedName name="BO188E34D07D9F4FC1B9B37BE561100B55" hidden="1">#REF!</definedName>
    <definedName name="BO189425889FCB441882A0ACDE25BC335F" localSheetId="5" hidden="1">#REF!</definedName>
    <definedName name="BO189425889FCB441882A0ACDE25BC335F" localSheetId="4" hidden="1">#REF!</definedName>
    <definedName name="BO189425889FCB441882A0ACDE25BC335F" hidden="1">#REF!</definedName>
    <definedName name="BO18ABC490230E43E0A9932B3D2EAEFD3C" localSheetId="5" hidden="1">#REF!</definedName>
    <definedName name="BO18ABC490230E43E0A9932B3D2EAEFD3C" localSheetId="4" hidden="1">#REF!</definedName>
    <definedName name="BO18ABC490230E43E0A9932B3D2EAEFD3C" hidden="1">#REF!</definedName>
    <definedName name="BO18B335B027494BA28F3346E6D7569434" localSheetId="5" hidden="1">#REF!</definedName>
    <definedName name="BO18B335B027494BA28F3346E6D7569434" localSheetId="4" hidden="1">#REF!</definedName>
    <definedName name="BO18B335B027494BA28F3346E6D7569434" hidden="1">#REF!</definedName>
    <definedName name="BO18B8EA73DA0243A7A08A02D2737471FB" localSheetId="5" hidden="1">#REF!</definedName>
    <definedName name="BO18B8EA73DA0243A7A08A02D2737471FB" localSheetId="4" hidden="1">#REF!</definedName>
    <definedName name="BO18B8EA73DA0243A7A08A02D2737471FB" hidden="1">#REF!</definedName>
    <definedName name="BO18D6B184C7EB4992AA27ABFE268A664B" localSheetId="5" hidden="1">#REF!</definedName>
    <definedName name="BO18D6B184C7EB4992AA27ABFE268A664B" localSheetId="4" hidden="1">#REF!</definedName>
    <definedName name="BO18D6B184C7EB4992AA27ABFE268A664B" hidden="1">#REF!</definedName>
    <definedName name="BO18FD27173E114434BAF0E07DADAC899D" localSheetId="5" hidden="1">#REF!</definedName>
    <definedName name="BO18FD27173E114434BAF0E07DADAC899D" localSheetId="4" hidden="1">#REF!</definedName>
    <definedName name="BO18FD27173E114434BAF0E07DADAC899D" hidden="1">#REF!</definedName>
    <definedName name="BO18FF1F4F75384C64A29B08F84D535D5D" localSheetId="5" hidden="1">[9]xml!#REF!</definedName>
    <definedName name="BO18FF1F4F75384C64A29B08F84D535D5D" localSheetId="4" hidden="1">[9]xml!#REF!</definedName>
    <definedName name="BO18FF1F4F75384C64A29B08F84D535D5D" hidden="1">[9]xml!#REF!</definedName>
    <definedName name="BO1901F05E215441F4B85A362B44AB1606" localSheetId="5" hidden="1">#REF!</definedName>
    <definedName name="BO1901F05E215441F4B85A362B44AB1606" localSheetId="4" hidden="1">#REF!</definedName>
    <definedName name="BO1901F05E215441F4B85A362B44AB1606" hidden="1">#REF!</definedName>
    <definedName name="BO19031D55D27F49D9A2A13E00425DECD2" localSheetId="5" hidden="1">#REF!</definedName>
    <definedName name="BO19031D55D27F49D9A2A13E00425DECD2" localSheetId="4" hidden="1">#REF!</definedName>
    <definedName name="BO19031D55D27F49D9A2A13E00425DECD2" hidden="1">#REF!</definedName>
    <definedName name="BO19032ED5DCCA4E539567A43957CF8F6D" localSheetId="5" hidden="1">#REF!</definedName>
    <definedName name="BO19032ED5DCCA4E539567A43957CF8F6D" localSheetId="4" hidden="1">#REF!</definedName>
    <definedName name="BO19032ED5DCCA4E539567A43957CF8F6D" hidden="1">#REF!</definedName>
    <definedName name="BO190E33B43B6B4814BED567F6F94D0F8A" localSheetId="5" hidden="1">#REF!</definedName>
    <definedName name="BO190E33B43B6B4814BED567F6F94D0F8A" localSheetId="4" hidden="1">#REF!</definedName>
    <definedName name="BO190E33B43B6B4814BED567F6F94D0F8A" hidden="1">#REF!</definedName>
    <definedName name="BO191EB76E52D341518882C76B1B666C25" localSheetId="5" hidden="1">#REF!</definedName>
    <definedName name="BO191EB76E52D341518882C76B1B666C25" localSheetId="4" hidden="1">#REF!</definedName>
    <definedName name="BO191EB76E52D341518882C76B1B666C25" hidden="1">#REF!</definedName>
    <definedName name="BO19271774A13B4E309F1D197D8074CC60" localSheetId="5" hidden="1">#REF!</definedName>
    <definedName name="BO19271774A13B4E309F1D197D8074CC60" localSheetId="4" hidden="1">#REF!</definedName>
    <definedName name="BO19271774A13B4E309F1D197D8074CC60" hidden="1">#REF!</definedName>
    <definedName name="BO1948DAE2ECF640E1AB72B496B8CC297B" localSheetId="5" hidden="1">#REF!</definedName>
    <definedName name="BO1948DAE2ECF640E1AB72B496B8CC297B" localSheetId="4" hidden="1">#REF!</definedName>
    <definedName name="BO1948DAE2ECF640E1AB72B496B8CC297B" hidden="1">#REF!</definedName>
    <definedName name="BO19541F74D54F4C42844BF088836BCFF7" localSheetId="5" hidden="1">#REF!</definedName>
    <definedName name="BO19541F74D54F4C42844BF088836BCFF7" localSheetId="4" hidden="1">#REF!</definedName>
    <definedName name="BO19541F74D54F4C42844BF088836BCFF7" hidden="1">#REF!</definedName>
    <definedName name="BO1955E5E2F84D47328A7B082C432275B4" localSheetId="5" hidden="1">#REF!</definedName>
    <definedName name="BO1955E5E2F84D47328A7B082C432275B4" localSheetId="4" hidden="1">#REF!</definedName>
    <definedName name="BO1955E5E2F84D47328A7B082C432275B4" hidden="1">#REF!</definedName>
    <definedName name="BO195858CCF4FE4B8BB30D59A947338D91" localSheetId="5" hidden="1">#REF!</definedName>
    <definedName name="BO195858CCF4FE4B8BB30D59A947338D91" localSheetId="4" hidden="1">#REF!</definedName>
    <definedName name="BO195858CCF4FE4B8BB30D59A947338D91" hidden="1">#REF!</definedName>
    <definedName name="BO1961457D86D84BBA95FA88A8DF50B156" localSheetId="5" hidden="1">#REF!</definedName>
    <definedName name="BO1961457D86D84BBA95FA88A8DF50B156" localSheetId="4" hidden="1">#REF!</definedName>
    <definedName name="BO1961457D86D84BBA95FA88A8DF50B156" hidden="1">#REF!</definedName>
    <definedName name="BO196837DFBFD0453B801D2D54C09D47F0" localSheetId="5" hidden="1">#REF!</definedName>
    <definedName name="BO196837DFBFD0453B801D2D54C09D47F0" localSheetId="4" hidden="1">#REF!</definedName>
    <definedName name="BO196837DFBFD0453B801D2D54C09D47F0" hidden="1">#REF!</definedName>
    <definedName name="BO196AD46038C94804B4B05CA9A5E476C0" localSheetId="5" hidden="1">[8]Ketqua!#REF!</definedName>
    <definedName name="BO196AD46038C94804B4B05CA9A5E476C0" localSheetId="4" hidden="1">[8]Ketqua!#REF!</definedName>
    <definedName name="BO196AD46038C94804B4B05CA9A5E476C0" hidden="1">[8]Ketqua!#REF!</definedName>
    <definedName name="BO197553773BDA4D21AFEC976B776A0563" localSheetId="5" hidden="1">#REF!</definedName>
    <definedName name="BO197553773BDA4D21AFEC976B776A0563" localSheetId="4" hidden="1">#REF!</definedName>
    <definedName name="BO197553773BDA4D21AFEC976B776A0563" hidden="1">#REF!</definedName>
    <definedName name="BO197AE668082B4509A27DC19CDF4FE657" localSheetId="5" hidden="1">#REF!</definedName>
    <definedName name="BO197AE668082B4509A27DC19CDF4FE657" localSheetId="4" hidden="1">#REF!</definedName>
    <definedName name="BO197AE668082B4509A27DC19CDF4FE657" hidden="1">#REF!</definedName>
    <definedName name="BO1989D73DD8E742CFAEEE8C8414B0CA99" localSheetId="5" hidden="1">#REF!</definedName>
    <definedName name="BO1989D73DD8E742CFAEEE8C8414B0CA99" localSheetId="4" hidden="1">#REF!</definedName>
    <definedName name="BO1989D73DD8E742CFAEEE8C8414B0CA99" hidden="1">#REF!</definedName>
    <definedName name="BO198A513E10804472981802D3B027DECD" localSheetId="5" hidden="1">#REF!</definedName>
    <definedName name="BO198A513E10804472981802D3B027DECD" localSheetId="4" hidden="1">#REF!</definedName>
    <definedName name="BO198A513E10804472981802D3B027DECD" hidden="1">#REF!</definedName>
    <definedName name="BO1996EE9E65EB44D2A94B65EA7FA4719A" localSheetId="5" hidden="1">#REF!</definedName>
    <definedName name="BO1996EE9E65EB44D2A94B65EA7FA4719A" localSheetId="4" hidden="1">#REF!</definedName>
    <definedName name="BO1996EE9E65EB44D2A94B65EA7FA4719A" hidden="1">#REF!</definedName>
    <definedName name="BO19AC5E7FAAA44074AAE72C6AE25E9BCD" localSheetId="5" hidden="1">#REF!</definedName>
    <definedName name="BO19AC5E7FAAA44074AAE72C6AE25E9BCD" localSheetId="4" hidden="1">#REF!</definedName>
    <definedName name="BO19AC5E7FAAA44074AAE72C6AE25E9BCD" hidden="1">#REF!</definedName>
    <definedName name="BO19B0487A4D6440129B02FCE268C19FB9" localSheetId="5" hidden="1">#REF!</definedName>
    <definedName name="BO19B0487A4D6440129B02FCE268C19FB9" localSheetId="4" hidden="1">#REF!</definedName>
    <definedName name="BO19B0487A4D6440129B02FCE268C19FB9" hidden="1">#REF!</definedName>
    <definedName name="BO19D5A475E08D4A889C32EEC9C05039D4" localSheetId="5" hidden="1">#REF!</definedName>
    <definedName name="BO19D5A475E08D4A889C32EEC9C05039D4" localSheetId="4" hidden="1">#REF!</definedName>
    <definedName name="BO19D5A475E08D4A889C32EEC9C05039D4" hidden="1">#REF!</definedName>
    <definedName name="BO19E1910C2F5A46D18CB4F5A5F99E96FE" localSheetId="5" hidden="1">#REF!</definedName>
    <definedName name="BO19E1910C2F5A46D18CB4F5A5F99E96FE" localSheetId="4" hidden="1">#REF!</definedName>
    <definedName name="BO19E1910C2F5A46D18CB4F5A5F99E96FE" hidden="1">#REF!</definedName>
    <definedName name="BO1A19F96E42C44C9788DD31CC15F3E865" localSheetId="5" hidden="1">#REF!</definedName>
    <definedName name="BO1A19F96E42C44C9788DD31CC15F3E865" localSheetId="4" hidden="1">#REF!</definedName>
    <definedName name="BO1A19F96E42C44C9788DD31CC15F3E865" hidden="1">#REF!</definedName>
    <definedName name="BO1A2406B3F537422AAD62498E0B9D9268" localSheetId="5" hidden="1">#REF!</definedName>
    <definedName name="BO1A2406B3F537422AAD62498E0B9D9268" localSheetId="4" hidden="1">#REF!</definedName>
    <definedName name="BO1A2406B3F537422AAD62498E0B9D9268" hidden="1">#REF!</definedName>
    <definedName name="BO1A6C5B1CAE1345999D9DFDEED0721750" localSheetId="5" hidden="1">#REF!</definedName>
    <definedName name="BO1A6C5B1CAE1345999D9DFDEED0721750" localSheetId="4" hidden="1">#REF!</definedName>
    <definedName name="BO1A6C5B1CAE1345999D9DFDEED0721750" hidden="1">#REF!</definedName>
    <definedName name="BO1A6D43836A6140C9A4A3DDC0F9C242C2" localSheetId="5" hidden="1">#REF!</definedName>
    <definedName name="BO1A6D43836A6140C9A4A3DDC0F9C242C2" localSheetId="4" hidden="1">#REF!</definedName>
    <definedName name="BO1A6D43836A6140C9A4A3DDC0F9C242C2" hidden="1">#REF!</definedName>
    <definedName name="BO1A7B5B24042C45D5A4DC4CEE4CD7BDC0" localSheetId="5" hidden="1">#REF!</definedName>
    <definedName name="BO1A7B5B24042C45D5A4DC4CEE4CD7BDC0" localSheetId="4" hidden="1">#REF!</definedName>
    <definedName name="BO1A7B5B24042C45D5A4DC4CEE4CD7BDC0" hidden="1">#REF!</definedName>
    <definedName name="BO1A96BAFE1D2B4F0484E9CA10AA8758FA" localSheetId="5" hidden="1">#REF!</definedName>
    <definedName name="BO1A96BAFE1D2B4F0484E9CA10AA8758FA" localSheetId="4" hidden="1">#REF!</definedName>
    <definedName name="BO1A96BAFE1D2B4F0484E9CA10AA8758FA" hidden="1">#REF!</definedName>
    <definedName name="BO1AC66FF2ECD349EF953269C92986DDB4" localSheetId="5" hidden="1">#REF!</definedName>
    <definedName name="BO1AC66FF2ECD349EF953269C92986DDB4" localSheetId="4" hidden="1">#REF!</definedName>
    <definedName name="BO1AC66FF2ECD349EF953269C92986DDB4" hidden="1">#REF!</definedName>
    <definedName name="BO1ADA73E3E9D246E7A2989225A110C045" localSheetId="5" hidden="1">#REF!</definedName>
    <definedName name="BO1ADA73E3E9D246E7A2989225A110C045" localSheetId="4" hidden="1">#REF!</definedName>
    <definedName name="BO1ADA73E3E9D246E7A2989225A110C045" hidden="1">#REF!</definedName>
    <definedName name="BO1AE9E3C4A71942E4916D9548584CBF6D" localSheetId="5" hidden="1">#REF!</definedName>
    <definedName name="BO1AE9E3C4A71942E4916D9548584CBF6D" localSheetId="4" hidden="1">#REF!</definedName>
    <definedName name="BO1AE9E3C4A71942E4916D9548584CBF6D" hidden="1">#REF!</definedName>
    <definedName name="BO1AEE622C21DF461FA38FD56BF34EB5D8" localSheetId="5" hidden="1">#REF!</definedName>
    <definedName name="BO1AEE622C21DF461FA38FD56BF34EB5D8" localSheetId="4" hidden="1">#REF!</definedName>
    <definedName name="BO1AEE622C21DF461FA38FD56BF34EB5D8" hidden="1">#REF!</definedName>
    <definedName name="BO1AEEEEBA4DB94394924EA5BB23DB97CD" localSheetId="5" hidden="1">#REF!</definedName>
    <definedName name="BO1AEEEEBA4DB94394924EA5BB23DB97CD" localSheetId="4" hidden="1">#REF!</definedName>
    <definedName name="BO1AEEEEBA4DB94394924EA5BB23DB97CD" hidden="1">#REF!</definedName>
    <definedName name="BO1AF61F63D93C4BD185FFB4575C6D3068" localSheetId="5" hidden="1">#REF!</definedName>
    <definedName name="BO1AF61F63D93C4BD185FFB4575C6D3068" localSheetId="4" hidden="1">#REF!</definedName>
    <definedName name="BO1AF61F63D93C4BD185FFB4575C6D3068" hidden="1">#REF!</definedName>
    <definedName name="BO1B0C1F3412774AAD82B1A0048F43394C" localSheetId="5" hidden="1">#REF!</definedName>
    <definedName name="BO1B0C1F3412774AAD82B1A0048F43394C" localSheetId="4" hidden="1">#REF!</definedName>
    <definedName name="BO1B0C1F3412774AAD82B1A0048F43394C" hidden="1">#REF!</definedName>
    <definedName name="BO1B10157A8E4842A4BEDBBEED9EB0EBDF" localSheetId="5" hidden="1">#REF!</definedName>
    <definedName name="BO1B10157A8E4842A4BEDBBEED9EB0EBDF" localSheetId="4" hidden="1">#REF!</definedName>
    <definedName name="BO1B10157A8E4842A4BEDBBEED9EB0EBDF" hidden="1">#REF!</definedName>
    <definedName name="BO1B17439E64F746AD90B805470BBCE780" localSheetId="5" hidden="1">#REF!</definedName>
    <definedName name="BO1B17439E64F746AD90B805470BBCE780" localSheetId="4" hidden="1">#REF!</definedName>
    <definedName name="BO1B17439E64F746AD90B805470BBCE780" hidden="1">#REF!</definedName>
    <definedName name="BO1B1B69B3E7F34247AA4214A1CAFDA616" localSheetId="5" hidden="1">#REF!</definedName>
    <definedName name="BO1B1B69B3E7F34247AA4214A1CAFDA616" localSheetId="4" hidden="1">#REF!</definedName>
    <definedName name="BO1B1B69B3E7F34247AA4214A1CAFDA616" hidden="1">#REF!</definedName>
    <definedName name="BO1B5569CB29824C4E8F5B2DAF2429F6C5" localSheetId="5" hidden="1">#REF!</definedName>
    <definedName name="BO1B5569CB29824C4E8F5B2DAF2429F6C5" localSheetId="4" hidden="1">#REF!</definedName>
    <definedName name="BO1B5569CB29824C4E8F5B2DAF2429F6C5" hidden="1">#REF!</definedName>
    <definedName name="BO1B5944B18CAE4F4EA64888896EA98CE3" localSheetId="5" hidden="1">#REF!</definedName>
    <definedName name="BO1B5944B18CAE4F4EA64888896EA98CE3" localSheetId="4" hidden="1">#REF!</definedName>
    <definedName name="BO1B5944B18CAE4F4EA64888896EA98CE3" hidden="1">#REF!</definedName>
    <definedName name="BO1B61D9263A604D6F87E6EA1BA0EF7D65" localSheetId="5" hidden="1">#REF!</definedName>
    <definedName name="BO1B61D9263A604D6F87E6EA1BA0EF7D65" localSheetId="4" hidden="1">#REF!</definedName>
    <definedName name="BO1B61D9263A604D6F87E6EA1BA0EF7D65" hidden="1">#REF!</definedName>
    <definedName name="BO1B6A254ADDFE4E2BB4495FF2B8DBC33D" localSheetId="5" hidden="1">#REF!</definedName>
    <definedName name="BO1B6A254ADDFE4E2BB4495FF2B8DBC33D" localSheetId="4" hidden="1">#REF!</definedName>
    <definedName name="BO1B6A254ADDFE4E2BB4495FF2B8DBC33D" hidden="1">#REF!</definedName>
    <definedName name="BO1B6D4533806140F4BC15106CD0280204" localSheetId="5" hidden="1">#REF!</definedName>
    <definedName name="BO1B6D4533806140F4BC15106CD0280204" localSheetId="4" hidden="1">#REF!</definedName>
    <definedName name="BO1B6D4533806140F4BC15106CD0280204" hidden="1">#REF!</definedName>
    <definedName name="BO1B85A883F95C49CEB98C6DF26555C60B" localSheetId="5" hidden="1">#REF!</definedName>
    <definedName name="BO1B85A883F95C49CEB98C6DF26555C60B" localSheetId="4" hidden="1">#REF!</definedName>
    <definedName name="BO1B85A883F95C49CEB98C6DF26555C60B" hidden="1">#REF!</definedName>
    <definedName name="BO1B88135960FA42718BA4F85F97379171" localSheetId="5" hidden="1">#REF!</definedName>
    <definedName name="BO1B88135960FA42718BA4F85F97379171" localSheetId="4" hidden="1">#REF!</definedName>
    <definedName name="BO1B88135960FA42718BA4F85F97379171" hidden="1">#REF!</definedName>
    <definedName name="BO1B90ABA7502449F9BE97B6F6D1279601" localSheetId="5" hidden="1">#REF!</definedName>
    <definedName name="BO1B90ABA7502449F9BE97B6F6D1279601" localSheetId="4" hidden="1">#REF!</definedName>
    <definedName name="BO1B90ABA7502449F9BE97B6F6D1279601" hidden="1">#REF!</definedName>
    <definedName name="BO1BA0F85FEE9946789FB634B8E9D9DBBB" localSheetId="5" hidden="1">#REF!</definedName>
    <definedName name="BO1BA0F85FEE9946789FB634B8E9D9DBBB" localSheetId="4" hidden="1">#REF!</definedName>
    <definedName name="BO1BA0F85FEE9946789FB634B8E9D9DBBB" hidden="1">#REF!</definedName>
    <definedName name="BO1BA2B97483984E6BBF9E41A420E910D6" localSheetId="5" hidden="1">#REF!</definedName>
    <definedName name="BO1BA2B97483984E6BBF9E41A420E910D6" localSheetId="4" hidden="1">#REF!</definedName>
    <definedName name="BO1BA2B97483984E6BBF9E41A420E910D6" hidden="1">#REF!</definedName>
    <definedName name="BO1BB6877A87E34858B9490BC9C17E86A9" localSheetId="5" hidden="1">#REF!</definedName>
    <definedName name="BO1BB6877A87E34858B9490BC9C17E86A9" localSheetId="4" hidden="1">#REF!</definedName>
    <definedName name="BO1BB6877A87E34858B9490BC9C17E86A9" hidden="1">#REF!</definedName>
    <definedName name="BO1BBDD457650D419E8E27930E41AFEA26" localSheetId="5" hidden="1">#REF!</definedName>
    <definedName name="BO1BBDD457650D419E8E27930E41AFEA26" localSheetId="4" hidden="1">#REF!</definedName>
    <definedName name="BO1BBDD457650D419E8E27930E41AFEA26" hidden="1">#REF!</definedName>
    <definedName name="BO1BD01FF0E4524022A25C824C6E59111D" localSheetId="5" hidden="1">#REF!</definedName>
    <definedName name="BO1BD01FF0E4524022A25C824C6E59111D" localSheetId="4" hidden="1">#REF!</definedName>
    <definedName name="BO1BD01FF0E4524022A25C824C6E59111D" hidden="1">#REF!</definedName>
    <definedName name="BO1BD3FB86C9A0455BB37599C94BB564CE" localSheetId="5" hidden="1">[7]lailo!#REF!</definedName>
    <definedName name="BO1BD3FB86C9A0455BB37599C94BB564CE" localSheetId="4" hidden="1">[7]lailo!#REF!</definedName>
    <definedName name="BO1BD3FB86C9A0455BB37599C94BB564CE" hidden="1">[7]lailo!#REF!</definedName>
    <definedName name="BO1BD5BEE3F0664E2299E441B511B97CD6" localSheetId="5" hidden="1">#REF!</definedName>
    <definedName name="BO1BD5BEE3F0664E2299E441B511B97CD6" localSheetId="4" hidden="1">#REF!</definedName>
    <definedName name="BO1BD5BEE3F0664E2299E441B511B97CD6" hidden="1">#REF!</definedName>
    <definedName name="BO1BD7F6ACD4384F4B9F3447154798A6E4" localSheetId="5" hidden="1">#REF!</definedName>
    <definedName name="BO1BD7F6ACD4384F4B9F3447154798A6E4" localSheetId="4" hidden="1">#REF!</definedName>
    <definedName name="BO1BD7F6ACD4384F4B9F3447154798A6E4" hidden="1">#REF!</definedName>
    <definedName name="BO1BF9E66E763B4EB98D25AC0291A05922" localSheetId="5" hidden="1">#REF!</definedName>
    <definedName name="BO1BF9E66E763B4EB98D25AC0291A05922" localSheetId="4" hidden="1">#REF!</definedName>
    <definedName name="BO1BF9E66E763B4EB98D25AC0291A05922" hidden="1">#REF!</definedName>
    <definedName name="BO1BFBB0B2A4FD488786350A7D065100AB" localSheetId="5" hidden="1">#REF!</definedName>
    <definedName name="BO1BFBB0B2A4FD488786350A7D065100AB" localSheetId="4" hidden="1">#REF!</definedName>
    <definedName name="BO1BFBB0B2A4FD488786350A7D065100AB" hidden="1">#REF!</definedName>
    <definedName name="BO1C1B872000E84603A42BE7E77F4FBEEA" localSheetId="5" hidden="1">#REF!</definedName>
    <definedName name="BO1C1B872000E84603A42BE7E77F4FBEEA" localSheetId="4" hidden="1">#REF!</definedName>
    <definedName name="BO1C1B872000E84603A42BE7E77F4FBEEA" hidden="1">#REF!</definedName>
    <definedName name="BO1C212F7E93FD425EB8C7E403A359ADC4" localSheetId="5" hidden="1">#REF!</definedName>
    <definedName name="BO1C212F7E93FD425EB8C7E403A359ADC4" localSheetId="4" hidden="1">#REF!</definedName>
    <definedName name="BO1C212F7E93FD425EB8C7E403A359ADC4" hidden="1">#REF!</definedName>
    <definedName name="BO1C221C7E133F46F290B6C8355CE46EEB" localSheetId="5" hidden="1">#REF!</definedName>
    <definedName name="BO1C221C7E133F46F290B6C8355CE46EEB" localSheetId="4" hidden="1">#REF!</definedName>
    <definedName name="BO1C221C7E133F46F290B6C8355CE46EEB" hidden="1">#REF!</definedName>
    <definedName name="BO1C27CE54798C47D99CE7E44A1F3E5C18" localSheetId="5" hidden="1">#REF!</definedName>
    <definedName name="BO1C27CE54798C47D99CE7E44A1F3E5C18" localSheetId="4" hidden="1">#REF!</definedName>
    <definedName name="BO1C27CE54798C47D99CE7E44A1F3E5C18" hidden="1">#REF!</definedName>
    <definedName name="BO1C36BC29610C42C4B8952DC4538EE635" localSheetId="5" hidden="1">#REF!</definedName>
    <definedName name="BO1C36BC29610C42C4B8952DC4538EE635" localSheetId="4" hidden="1">#REF!</definedName>
    <definedName name="BO1C36BC29610C42C4B8952DC4538EE635" hidden="1">#REF!</definedName>
    <definedName name="BO1C59A825313742469F5CF8BC150F5CF5" localSheetId="5" hidden="1">#REF!</definedName>
    <definedName name="BO1C59A825313742469F5CF8BC150F5CF5" localSheetId="4" hidden="1">#REF!</definedName>
    <definedName name="BO1C59A825313742469F5CF8BC150F5CF5" hidden="1">#REF!</definedName>
    <definedName name="BO1C5C8D2C30914762A13EA7F12F743B68" localSheetId="5" hidden="1">[8]Ketqua!#REF!</definedName>
    <definedName name="BO1C5C8D2C30914762A13EA7F12F743B68" localSheetId="4" hidden="1">[8]Ketqua!#REF!</definedName>
    <definedName name="BO1C5C8D2C30914762A13EA7F12F743B68" hidden="1">[8]Ketqua!#REF!</definedName>
    <definedName name="BO1C72E371E5BF4DB78F64CCD26B9AC7DB" localSheetId="5" hidden="1">#REF!</definedName>
    <definedName name="BO1C72E371E5BF4DB78F64CCD26B9AC7DB" localSheetId="4" hidden="1">#REF!</definedName>
    <definedName name="BO1C72E371E5BF4DB78F64CCD26B9AC7DB" hidden="1">#REF!</definedName>
    <definedName name="BO1C72ECD1AFB84967A04F2182D9966D7B" localSheetId="5" hidden="1">#REF!</definedName>
    <definedName name="BO1C72ECD1AFB84967A04F2182D9966D7B" localSheetId="4" hidden="1">#REF!</definedName>
    <definedName name="BO1C72ECD1AFB84967A04F2182D9966D7B" hidden="1">#REF!</definedName>
    <definedName name="BO1C952A70454146FA80004A73026D2827" localSheetId="5" hidden="1">#REF!</definedName>
    <definedName name="BO1C952A70454146FA80004A73026D2827" localSheetId="4" hidden="1">#REF!</definedName>
    <definedName name="BO1C952A70454146FA80004A73026D2827" hidden="1">#REF!</definedName>
    <definedName name="BO1C971F33474941669EB07DD6AEBF0DED" localSheetId="5" hidden="1">#REF!</definedName>
    <definedName name="BO1C971F33474941669EB07DD6AEBF0DED" localSheetId="4" hidden="1">#REF!</definedName>
    <definedName name="BO1C971F33474941669EB07DD6AEBF0DED" hidden="1">#REF!</definedName>
    <definedName name="BO1C9C013EB3684B2482400A3F3678BCBC" localSheetId="5" hidden="1">#REF!</definedName>
    <definedName name="BO1C9C013EB3684B2482400A3F3678BCBC" localSheetId="4" hidden="1">#REF!</definedName>
    <definedName name="BO1C9C013EB3684B2482400A3F3678BCBC" hidden="1">#REF!</definedName>
    <definedName name="BO1CD39B8D2EC34025B6B15A4EA88A8628" localSheetId="5" hidden="1">#REF!</definedName>
    <definedName name="BO1CD39B8D2EC34025B6B15A4EA88A8628" localSheetId="4" hidden="1">#REF!</definedName>
    <definedName name="BO1CD39B8D2EC34025B6B15A4EA88A8628" hidden="1">#REF!</definedName>
    <definedName name="BO1CDFABE9376F4369B49FB2A91466507B" localSheetId="5" hidden="1">[9]xml!#REF!</definedName>
    <definedName name="BO1CDFABE9376F4369B49FB2A91466507B" localSheetId="4" hidden="1">[9]xml!#REF!</definedName>
    <definedName name="BO1CDFABE9376F4369B49FB2A91466507B" hidden="1">[9]xml!#REF!</definedName>
    <definedName name="BO1CE38C2DEBA34856B512C24EE3ADC823" localSheetId="5" hidden="1">#REF!</definedName>
    <definedName name="BO1CE38C2DEBA34856B512C24EE3ADC823" localSheetId="4" hidden="1">#REF!</definedName>
    <definedName name="BO1CE38C2DEBA34856B512C24EE3ADC823" hidden="1">#REF!</definedName>
    <definedName name="BO1CEB62F304CB498984EEC2C249932E4A" localSheetId="5" hidden="1">#REF!</definedName>
    <definedName name="BO1CEB62F304CB498984EEC2C249932E4A" localSheetId="4" hidden="1">#REF!</definedName>
    <definedName name="BO1CEB62F304CB498984EEC2C249932E4A" hidden="1">#REF!</definedName>
    <definedName name="BO1CF14D5BC014427E91BDD21A2BB0F8BA" localSheetId="5" hidden="1">#REF!</definedName>
    <definedName name="BO1CF14D5BC014427E91BDD21A2BB0F8BA" localSheetId="4" hidden="1">#REF!</definedName>
    <definedName name="BO1CF14D5BC014427E91BDD21A2BB0F8BA" hidden="1">#REF!</definedName>
    <definedName name="BO1CF529E556D54B818D5B714782BF3FE4" localSheetId="5" hidden="1">#REF!</definedName>
    <definedName name="BO1CF529E556D54B818D5B714782BF3FE4" localSheetId="4" hidden="1">#REF!</definedName>
    <definedName name="BO1CF529E556D54B818D5B714782BF3FE4" hidden="1">#REF!</definedName>
    <definedName name="BO1CF581918036492BA441CBB8D16F1A47" localSheetId="5" hidden="1">#REF!</definedName>
    <definedName name="BO1CF581918036492BA441CBB8D16F1A47" localSheetId="4" hidden="1">#REF!</definedName>
    <definedName name="BO1CF581918036492BA441CBB8D16F1A47" hidden="1">#REF!</definedName>
    <definedName name="BO1D05B246E26B4B8C8A2B36D4400529E2" localSheetId="5" hidden="1">#REF!</definedName>
    <definedName name="BO1D05B246E26B4B8C8A2B36D4400529E2" localSheetId="4" hidden="1">#REF!</definedName>
    <definedName name="BO1D05B246E26B4B8C8A2B36D4400529E2" hidden="1">#REF!</definedName>
    <definedName name="BO1D0D73E58467401F8877953CC3097C21" localSheetId="5" hidden="1">#REF!</definedName>
    <definedName name="BO1D0D73E58467401F8877953CC3097C21" localSheetId="4" hidden="1">#REF!</definedName>
    <definedName name="BO1D0D73E58467401F8877953CC3097C21" hidden="1">#REF!</definedName>
    <definedName name="BO1D0FD343DD8B4600A3486EB3014D0D06" localSheetId="5" hidden="1">#REF!</definedName>
    <definedName name="BO1D0FD343DD8B4600A3486EB3014D0D06" localSheetId="4" hidden="1">#REF!</definedName>
    <definedName name="BO1D0FD343DD8B4600A3486EB3014D0D06" hidden="1">#REF!</definedName>
    <definedName name="BO1D23FB2FBF8C4252A7791F7F788891E5" localSheetId="5" hidden="1">#REF!</definedName>
    <definedName name="BO1D23FB2FBF8C4252A7791F7F788891E5" localSheetId="4" hidden="1">#REF!</definedName>
    <definedName name="BO1D23FB2FBF8C4252A7791F7F788891E5" hidden="1">#REF!</definedName>
    <definedName name="BO1D2ADEC55EF5420896D6F7D0C4D1DE3D" localSheetId="5" hidden="1">#REF!</definedName>
    <definedName name="BO1D2ADEC55EF5420896D6F7D0C4D1DE3D" localSheetId="4" hidden="1">#REF!</definedName>
    <definedName name="BO1D2ADEC55EF5420896D6F7D0C4D1DE3D" hidden="1">#REF!</definedName>
    <definedName name="BO1D4294C1EA4C4BAEBCA94586D74D1DC5" localSheetId="5" hidden="1">#REF!</definedName>
    <definedName name="BO1D4294C1EA4C4BAEBCA94586D74D1DC5" localSheetId="4" hidden="1">#REF!</definedName>
    <definedName name="BO1D4294C1EA4C4BAEBCA94586D74D1DC5" hidden="1">#REF!</definedName>
    <definedName name="BO1D4A365C386E4B4EA630D6FCE844C385" localSheetId="5" hidden="1">#REF!</definedName>
    <definedName name="BO1D4A365C386E4B4EA630D6FCE844C385" localSheetId="4" hidden="1">#REF!</definedName>
    <definedName name="BO1D4A365C386E4B4EA630D6FCE844C385" hidden="1">#REF!</definedName>
    <definedName name="BO1D6DD3B04A7849DEB77D645CDFFD2B77" localSheetId="5" hidden="1">#REF!</definedName>
    <definedName name="BO1D6DD3B04A7849DEB77D645CDFFD2B77" localSheetId="4" hidden="1">#REF!</definedName>
    <definedName name="BO1D6DD3B04A7849DEB77D645CDFFD2B77" hidden="1">#REF!</definedName>
    <definedName name="BO1D7F19F81E884F1C88B420EEB5B912FC" localSheetId="5" hidden="1">#REF!</definedName>
    <definedName name="BO1D7F19F81E884F1C88B420EEB5B912FC" localSheetId="4" hidden="1">#REF!</definedName>
    <definedName name="BO1D7F19F81E884F1C88B420EEB5B912FC" hidden="1">#REF!</definedName>
    <definedName name="BO1D951DB00F204B15B36EDAB20E703593" localSheetId="5" hidden="1">#REF!</definedName>
    <definedName name="BO1D951DB00F204B15B36EDAB20E703593" localSheetId="4" hidden="1">#REF!</definedName>
    <definedName name="BO1D951DB00F204B15B36EDAB20E703593" hidden="1">#REF!</definedName>
    <definedName name="BO1DB8A055D05744F090E605B1BB368519" localSheetId="5" hidden="1">#REF!</definedName>
    <definedName name="BO1DB8A055D05744F090E605B1BB368519" localSheetId="4" hidden="1">#REF!</definedName>
    <definedName name="BO1DB8A055D05744F090E605B1BB368519" hidden="1">#REF!</definedName>
    <definedName name="BO1DC1363A774A4136B6D67FACEDEFA16E" localSheetId="5" hidden="1">#REF!</definedName>
    <definedName name="BO1DC1363A774A4136B6D67FACEDEFA16E" localSheetId="4" hidden="1">#REF!</definedName>
    <definedName name="BO1DC1363A774A4136B6D67FACEDEFA16E" hidden="1">#REF!</definedName>
    <definedName name="BO1DC1739350EF409D823B9B266AB509D2" localSheetId="5" hidden="1">#REF!</definedName>
    <definedName name="BO1DC1739350EF409D823B9B266AB509D2" localSheetId="4" hidden="1">#REF!</definedName>
    <definedName name="BO1DC1739350EF409D823B9B266AB509D2" hidden="1">#REF!</definedName>
    <definedName name="BO1DD62ED34D4A4EB2A2EF53C6A29AB304" localSheetId="5" hidden="1">#REF!</definedName>
    <definedName name="BO1DD62ED34D4A4EB2A2EF53C6A29AB304" localSheetId="4" hidden="1">#REF!</definedName>
    <definedName name="BO1DD62ED34D4A4EB2A2EF53C6A29AB304" hidden="1">#REF!</definedName>
    <definedName name="BO1DD7CB6F78AA47618C6AB453D76DE9D7" localSheetId="5" hidden="1">#REF!</definedName>
    <definedName name="BO1DD7CB6F78AA47618C6AB453D76DE9D7" localSheetId="4" hidden="1">#REF!</definedName>
    <definedName name="BO1DD7CB6F78AA47618C6AB453D76DE9D7" hidden="1">#REF!</definedName>
    <definedName name="BO1DE0C534720C457AADD6950A7451EF52" localSheetId="5" hidden="1">#REF!</definedName>
    <definedName name="BO1DE0C534720C457AADD6950A7451EF52" localSheetId="4" hidden="1">#REF!</definedName>
    <definedName name="BO1DE0C534720C457AADD6950A7451EF52" hidden="1">#REF!</definedName>
    <definedName name="BO1DEBCC2789B44855B1BB23695D3A9CA2" localSheetId="5" hidden="1">#REF!</definedName>
    <definedName name="BO1DEBCC2789B44855B1BB23695D3A9CA2" localSheetId="4" hidden="1">#REF!</definedName>
    <definedName name="BO1DEBCC2789B44855B1BB23695D3A9CA2" hidden="1">#REF!</definedName>
    <definedName name="BO1DFF825EB91946929006FEA854EA4371" localSheetId="5" hidden="1">#REF!</definedName>
    <definedName name="BO1DFF825EB91946929006FEA854EA4371" localSheetId="4" hidden="1">#REF!</definedName>
    <definedName name="BO1DFF825EB91946929006FEA854EA4371" hidden="1">#REF!</definedName>
    <definedName name="BO1E06E01C8E8C40AA893C6E5B435CE4EB" localSheetId="5" hidden="1">#REF!</definedName>
    <definedName name="BO1E06E01C8E8C40AA893C6E5B435CE4EB" localSheetId="4" hidden="1">#REF!</definedName>
    <definedName name="BO1E06E01C8E8C40AA893C6E5B435CE4EB" hidden="1">#REF!</definedName>
    <definedName name="BO1E2194D8CDFB4D9BA7F5D75EC1B7BF1B" localSheetId="5" hidden="1">#REF!</definedName>
    <definedName name="BO1E2194D8CDFB4D9BA7F5D75EC1B7BF1B" localSheetId="4" hidden="1">#REF!</definedName>
    <definedName name="BO1E2194D8CDFB4D9BA7F5D75EC1B7BF1B" hidden="1">#REF!</definedName>
    <definedName name="BO1E280BFD04604DE0915A57BBF4DA734B" localSheetId="5" hidden="1">#REF!</definedName>
    <definedName name="BO1E280BFD04604DE0915A57BBF4DA734B" localSheetId="4" hidden="1">#REF!</definedName>
    <definedName name="BO1E280BFD04604DE0915A57BBF4DA734B" hidden="1">#REF!</definedName>
    <definedName name="BO1E3B0593914449F998675C1B0C3C63B4" localSheetId="5" hidden="1">#REF!</definedName>
    <definedName name="BO1E3B0593914449F998675C1B0C3C63B4" localSheetId="4" hidden="1">#REF!</definedName>
    <definedName name="BO1E3B0593914449F998675C1B0C3C63B4" hidden="1">#REF!</definedName>
    <definedName name="BO1E5BC917DFFF4EBE850AACAA83574F0D" localSheetId="5" hidden="1">#REF!</definedName>
    <definedName name="BO1E5BC917DFFF4EBE850AACAA83574F0D" localSheetId="4" hidden="1">#REF!</definedName>
    <definedName name="BO1E5BC917DFFF4EBE850AACAA83574F0D" hidden="1">#REF!</definedName>
    <definedName name="BO1E66013F35AB46B4BB7BA3843995F77B" localSheetId="5" hidden="1">#REF!</definedName>
    <definedName name="BO1E66013F35AB46B4BB7BA3843995F77B" localSheetId="4" hidden="1">#REF!</definedName>
    <definedName name="BO1E66013F35AB46B4BB7BA3843995F77B" hidden="1">#REF!</definedName>
    <definedName name="BO1E8D0549E90A410B9A6343B381B9A6B7" localSheetId="5" hidden="1">#REF!</definedName>
    <definedName name="BO1E8D0549E90A410B9A6343B381B9A6B7" localSheetId="4" hidden="1">#REF!</definedName>
    <definedName name="BO1E8D0549E90A410B9A6343B381B9A6B7" hidden="1">#REF!</definedName>
    <definedName name="BO1E9F6FB57BDC47189F17FD8561162E6D" localSheetId="5" hidden="1">#REF!</definedName>
    <definedName name="BO1E9F6FB57BDC47189F17FD8561162E6D" localSheetId="4" hidden="1">#REF!</definedName>
    <definedName name="BO1E9F6FB57BDC47189F17FD8561162E6D" hidden="1">#REF!</definedName>
    <definedName name="BO1EEB43E5768B490D93158CAC36C32735" localSheetId="5" hidden="1">[8]Ketqua!#REF!</definedName>
    <definedName name="BO1EEB43E5768B490D93158CAC36C32735" localSheetId="4" hidden="1">[8]Ketqua!#REF!</definedName>
    <definedName name="BO1EEB43E5768B490D93158CAC36C32735" hidden="1">[8]Ketqua!#REF!</definedName>
    <definedName name="BO1EFB23C23AC144D6B782AFAB5174C8C5" localSheetId="5" hidden="1">#REF!</definedName>
    <definedName name="BO1EFB23C23AC144D6B782AFAB5174C8C5" localSheetId="4" hidden="1">#REF!</definedName>
    <definedName name="BO1EFB23C23AC144D6B782AFAB5174C8C5" hidden="1">#REF!</definedName>
    <definedName name="BO1F112F21AFB243A0AF34C83DC1FE8821" localSheetId="5" hidden="1">#REF!</definedName>
    <definedName name="BO1F112F21AFB243A0AF34C83DC1FE8821" localSheetId="4" hidden="1">#REF!</definedName>
    <definedName name="BO1F112F21AFB243A0AF34C83DC1FE8821" hidden="1">#REF!</definedName>
    <definedName name="BO1F19FB8B2D90469C9331D054AD85DE56" localSheetId="5" hidden="1">#REF!</definedName>
    <definedName name="BO1F19FB8B2D90469C9331D054AD85DE56" localSheetId="4" hidden="1">#REF!</definedName>
    <definedName name="BO1F19FB8B2D90469C9331D054AD85DE56" hidden="1">#REF!</definedName>
    <definedName name="BO1F1DA32087A64A21B113D4CC5083B6F1" localSheetId="5" hidden="1">#REF!</definedName>
    <definedName name="BO1F1DA32087A64A21B113D4CC5083B6F1" localSheetId="4" hidden="1">#REF!</definedName>
    <definedName name="BO1F1DA32087A64A21B113D4CC5083B6F1" hidden="1">#REF!</definedName>
    <definedName name="BO1F1F0AC333B54AB8AA0A2B6A21DD90F9" localSheetId="5" hidden="1">#REF!</definedName>
    <definedName name="BO1F1F0AC333B54AB8AA0A2B6A21DD90F9" localSheetId="4" hidden="1">#REF!</definedName>
    <definedName name="BO1F1F0AC333B54AB8AA0A2B6A21DD90F9" hidden="1">#REF!</definedName>
    <definedName name="BO1F2247B4D19F44989217F8B7B69B91A2" localSheetId="5" hidden="1">#REF!</definedName>
    <definedName name="BO1F2247B4D19F44989217F8B7B69B91A2" localSheetId="4" hidden="1">#REF!</definedName>
    <definedName name="BO1F2247B4D19F44989217F8B7B69B91A2" hidden="1">#REF!</definedName>
    <definedName name="BO1F2388D8E5D94EDA824094FA6DB984E7" localSheetId="5" hidden="1">#REF!</definedName>
    <definedName name="BO1F2388D8E5D94EDA824094FA6DB984E7" localSheetId="4" hidden="1">#REF!</definedName>
    <definedName name="BO1F2388D8E5D94EDA824094FA6DB984E7" hidden="1">#REF!</definedName>
    <definedName name="BO1F2F2D39B9134E14BF6909B867BD7AF6" localSheetId="5" hidden="1">#REF!</definedName>
    <definedName name="BO1F2F2D39B9134E14BF6909B867BD7AF6" localSheetId="4" hidden="1">#REF!</definedName>
    <definedName name="BO1F2F2D39B9134E14BF6909B867BD7AF6" hidden="1">#REF!</definedName>
    <definedName name="BO1F40136287DB45C281852C607267BFE6" localSheetId="5" hidden="1">#REF!</definedName>
    <definedName name="BO1F40136287DB45C281852C607267BFE6" localSheetId="4" hidden="1">#REF!</definedName>
    <definedName name="BO1F40136287DB45C281852C607267BFE6" hidden="1">#REF!</definedName>
    <definedName name="BO1F45738259304D689C9B54D5215835EF" localSheetId="5" hidden="1">#REF!</definedName>
    <definedName name="BO1F45738259304D689C9B54D5215835EF" localSheetId="4" hidden="1">#REF!</definedName>
    <definedName name="BO1F45738259304D689C9B54D5215835EF" hidden="1">#REF!</definedName>
    <definedName name="BO1F671E2851F6442C9E4A4092DB82D97A" localSheetId="5" hidden="1">#REF!</definedName>
    <definedName name="BO1F671E2851F6442C9E4A4092DB82D97A" localSheetId="4" hidden="1">#REF!</definedName>
    <definedName name="BO1F671E2851F6442C9E4A4092DB82D97A" hidden="1">#REF!</definedName>
    <definedName name="BO1F7081CF9E5A4E7B96BAB76C8C9DA6D1" localSheetId="5" hidden="1">#REF!</definedName>
    <definedName name="BO1F7081CF9E5A4E7B96BAB76C8C9DA6D1" localSheetId="4" hidden="1">#REF!</definedName>
    <definedName name="BO1F7081CF9E5A4E7B96BAB76C8C9DA6D1" hidden="1">#REF!</definedName>
    <definedName name="BO1F82DEF7BC6F4ABA8238DDF74DBBDCFA" localSheetId="5" hidden="1">#REF!</definedName>
    <definedName name="BO1F82DEF7BC6F4ABA8238DDF74DBBDCFA" localSheetId="4" hidden="1">#REF!</definedName>
    <definedName name="BO1F82DEF7BC6F4ABA8238DDF74DBBDCFA" hidden="1">#REF!</definedName>
    <definedName name="BO1F89B89382C44E3E9EA1286F9B7631AA" localSheetId="5" hidden="1">#REF!</definedName>
    <definedName name="BO1F89B89382C44E3E9EA1286F9B7631AA" localSheetId="4" hidden="1">#REF!</definedName>
    <definedName name="BO1F89B89382C44E3E9EA1286F9B7631AA" hidden="1">#REF!</definedName>
    <definedName name="BO1F8F14A650D04420837B2B50639E20F4" localSheetId="5" hidden="1">#REF!</definedName>
    <definedName name="BO1F8F14A650D04420837B2B50639E20F4" localSheetId="4" hidden="1">#REF!</definedName>
    <definedName name="BO1F8F14A650D04420837B2B50639E20F4" hidden="1">#REF!</definedName>
    <definedName name="BO1F8F27E10B774F248B6619F83E4ED608" localSheetId="5" hidden="1">#REF!</definedName>
    <definedName name="BO1F8F27E10B774F248B6619F83E4ED608" localSheetId="4" hidden="1">#REF!</definedName>
    <definedName name="BO1F8F27E10B774F248B6619F83E4ED608" hidden="1">#REF!</definedName>
    <definedName name="BO1FA9FCA33FAF4441B7CFFFF6A5BBDF34" localSheetId="5" hidden="1">#REF!</definedName>
    <definedName name="BO1FA9FCA33FAF4441B7CFFFF6A5BBDF34" localSheetId="4" hidden="1">#REF!</definedName>
    <definedName name="BO1FA9FCA33FAF4441B7CFFFF6A5BBDF34" hidden="1">#REF!</definedName>
    <definedName name="BO1FB5EE69C9D54E86B909D9D4F34381B5" localSheetId="5" hidden="1">#REF!</definedName>
    <definedName name="BO1FB5EE69C9D54E86B909D9D4F34381B5" localSheetId="4" hidden="1">#REF!</definedName>
    <definedName name="BO1FB5EE69C9D54E86B909D9D4F34381B5" hidden="1">#REF!</definedName>
    <definedName name="BO1FBD4BEC64DF4340B7E401CF1287E3AA" localSheetId="5" hidden="1">#REF!</definedName>
    <definedName name="BO1FBD4BEC64DF4340B7E401CF1287E3AA" localSheetId="4" hidden="1">#REF!</definedName>
    <definedName name="BO1FBD4BEC64DF4340B7E401CF1287E3AA" hidden="1">#REF!</definedName>
    <definedName name="BO1FC573480CA240178FF48E2670B7A4A0" localSheetId="5" hidden="1">#REF!</definedName>
    <definedName name="BO1FC573480CA240178FF48E2670B7A4A0" localSheetId="4" hidden="1">#REF!</definedName>
    <definedName name="BO1FC573480CA240178FF48E2670B7A4A0" hidden="1">#REF!</definedName>
    <definedName name="BO1FCF13EA22DA4A34A96BB43C0482914C" localSheetId="5" hidden="1">#REF!</definedName>
    <definedName name="BO1FCF13EA22DA4A34A96BB43C0482914C" localSheetId="4" hidden="1">#REF!</definedName>
    <definedName name="BO1FCF13EA22DA4A34A96BB43C0482914C" hidden="1">#REF!</definedName>
    <definedName name="BO1FF27D17B8BA45C2ABE26C54D300D75C" localSheetId="5" hidden="1">#REF!</definedName>
    <definedName name="BO1FF27D17B8BA45C2ABE26C54D300D75C" localSheetId="4" hidden="1">#REF!</definedName>
    <definedName name="BO1FF27D17B8BA45C2ABE26C54D300D75C" hidden="1">#REF!</definedName>
    <definedName name="BO2000FE749D724E9FA707A10923AA63BA" localSheetId="5" hidden="1">#REF!</definedName>
    <definedName name="BO2000FE749D724E9FA707A10923AA63BA" localSheetId="4" hidden="1">#REF!</definedName>
    <definedName name="BO2000FE749D724E9FA707A10923AA63BA" hidden="1">#REF!</definedName>
    <definedName name="BO202FAD8063BB419499B0BCEC2828F51B" localSheetId="5" hidden="1">#REF!</definedName>
    <definedName name="BO202FAD8063BB419499B0BCEC2828F51B" localSheetId="4" hidden="1">#REF!</definedName>
    <definedName name="BO202FAD8063BB419499B0BCEC2828F51B" hidden="1">#REF!</definedName>
    <definedName name="BO20321A83463342B6BE9EED47341BE910" localSheetId="5" hidden="1">#REF!</definedName>
    <definedName name="BO20321A83463342B6BE9EED47341BE910" localSheetId="4" hidden="1">#REF!</definedName>
    <definedName name="BO20321A83463342B6BE9EED47341BE910" hidden="1">#REF!</definedName>
    <definedName name="BO2034D10499B544CB9B0F74995F6888FC" hidden="1">[8]Ketqua!$I$11:$U$11</definedName>
    <definedName name="BO203CE104D06B4FB38E875039B216A33F" localSheetId="5" hidden="1">#REF!</definedName>
    <definedName name="BO203CE104D06B4FB38E875039B216A33F" localSheetId="4" hidden="1">#REF!</definedName>
    <definedName name="BO203CE104D06B4FB38E875039B216A33F" hidden="1">#REF!</definedName>
    <definedName name="BO203FF1C3A1E142D1B63E1B44172413DA" localSheetId="5" hidden="1">#REF!</definedName>
    <definedName name="BO203FF1C3A1E142D1B63E1B44172413DA" localSheetId="4" hidden="1">#REF!</definedName>
    <definedName name="BO203FF1C3A1E142D1B63E1B44172413DA" hidden="1">#REF!</definedName>
    <definedName name="BO204642FE513F4864BD957482DEE68B8F" localSheetId="5" hidden="1">#REF!</definedName>
    <definedName name="BO204642FE513F4864BD957482DEE68B8F" localSheetId="4" hidden="1">#REF!</definedName>
    <definedName name="BO204642FE513F4864BD957482DEE68B8F" hidden="1">#REF!</definedName>
    <definedName name="BO204FF4941138448AB83E89CC50327F00" localSheetId="5" hidden="1">#REF!</definedName>
    <definedName name="BO204FF4941138448AB83E89CC50327F00" localSheetId="4" hidden="1">#REF!</definedName>
    <definedName name="BO204FF4941138448AB83E89CC50327F00" hidden="1">#REF!</definedName>
    <definedName name="BO2050121A0DF142E7ACBF0C2149DF60DB" localSheetId="5" hidden="1">#REF!</definedName>
    <definedName name="BO2050121A0DF142E7ACBF0C2149DF60DB" localSheetId="4" hidden="1">#REF!</definedName>
    <definedName name="BO2050121A0DF142E7ACBF0C2149DF60DB" hidden="1">#REF!</definedName>
    <definedName name="BO206329EB267149C4A8AA8B5A10CA0B23" localSheetId="5" hidden="1">#REF!</definedName>
    <definedName name="BO206329EB267149C4A8AA8B5A10CA0B23" localSheetId="4" hidden="1">#REF!</definedName>
    <definedName name="BO206329EB267149C4A8AA8B5A10CA0B23" hidden="1">#REF!</definedName>
    <definedName name="BO207B3037F6444D969B50828F275890CA" localSheetId="5" hidden="1">#REF!</definedName>
    <definedName name="BO207B3037F6444D969B50828F275890CA" localSheetId="4" hidden="1">#REF!</definedName>
    <definedName name="BO207B3037F6444D969B50828F275890CA" hidden="1">#REF!</definedName>
    <definedName name="BO20A54F086F624E93B717496A1B4132C9" localSheetId="5" hidden="1">#REF!</definedName>
    <definedName name="BO20A54F086F624E93B717496A1B4132C9" localSheetId="4" hidden="1">#REF!</definedName>
    <definedName name="BO20A54F086F624E93B717496A1B4132C9" hidden="1">#REF!</definedName>
    <definedName name="BO20B1EF585C2845948F50CE07BBB23873" localSheetId="5" hidden="1">#REF!</definedName>
    <definedName name="BO20B1EF585C2845948F50CE07BBB23873" localSheetId="4" hidden="1">#REF!</definedName>
    <definedName name="BO20B1EF585C2845948F50CE07BBB23873" hidden="1">#REF!</definedName>
    <definedName name="BO20CF201E4BD14331B50E1720C6B405A2" localSheetId="5" hidden="1">#REF!</definedName>
    <definedName name="BO20CF201E4BD14331B50E1720C6B405A2" localSheetId="4" hidden="1">#REF!</definedName>
    <definedName name="BO20CF201E4BD14331B50E1720C6B405A2" hidden="1">#REF!</definedName>
    <definedName name="BO20D1E453DC204AA7855E147F78DD6AAD" localSheetId="5" hidden="1">#REF!</definedName>
    <definedName name="BO20D1E453DC204AA7855E147F78DD6AAD" localSheetId="4" hidden="1">#REF!</definedName>
    <definedName name="BO20D1E453DC204AA7855E147F78DD6AAD" hidden="1">#REF!</definedName>
    <definedName name="BO20D7CEB906A442EDABD66FC70141FB4D" localSheetId="5" hidden="1">#REF!</definedName>
    <definedName name="BO20D7CEB906A442EDABD66FC70141FB4D" localSheetId="4" hidden="1">#REF!</definedName>
    <definedName name="BO20D7CEB906A442EDABD66FC70141FB4D" hidden="1">#REF!</definedName>
    <definedName name="BO212DD771873C47AAA57B60EB6B9F57BD" localSheetId="5" hidden="1">#REF!</definedName>
    <definedName name="BO212DD771873C47AAA57B60EB6B9F57BD" localSheetId="4" hidden="1">#REF!</definedName>
    <definedName name="BO212DD771873C47AAA57B60EB6B9F57BD" hidden="1">#REF!</definedName>
    <definedName name="BO21411822AB8F4E6E8B6896E3D3E1645B" localSheetId="5" hidden="1">#REF!</definedName>
    <definedName name="BO21411822AB8F4E6E8B6896E3D3E1645B" localSheetId="4" hidden="1">#REF!</definedName>
    <definedName name="BO21411822AB8F4E6E8B6896E3D3E1645B" hidden="1">#REF!</definedName>
    <definedName name="BO2141B7A372D84289999CB27B02DD1B1F" localSheetId="5" hidden="1">#REF!</definedName>
    <definedName name="BO2141B7A372D84289999CB27B02DD1B1F" localSheetId="4" hidden="1">#REF!</definedName>
    <definedName name="BO2141B7A372D84289999CB27B02DD1B1F" hidden="1">#REF!</definedName>
    <definedName name="BO214488B37F2C49C698D6B5AB57289540" localSheetId="5" hidden="1">#REF!</definedName>
    <definedName name="BO214488B37F2C49C698D6B5AB57289540" localSheetId="4" hidden="1">#REF!</definedName>
    <definedName name="BO214488B37F2C49C698D6B5AB57289540" hidden="1">#REF!</definedName>
    <definedName name="BO214D132833814397B2BD1FE796DC5190" localSheetId="5" hidden="1">#REF!</definedName>
    <definedName name="BO214D132833814397B2BD1FE796DC5190" localSheetId="4" hidden="1">#REF!</definedName>
    <definedName name="BO214D132833814397B2BD1FE796DC5190" hidden="1">#REF!</definedName>
    <definedName name="BO215053EE872749AEBA9B00A1BB1FFEDA" localSheetId="5" hidden="1">#REF!</definedName>
    <definedName name="BO215053EE872749AEBA9B00A1BB1FFEDA" localSheetId="4" hidden="1">#REF!</definedName>
    <definedName name="BO215053EE872749AEBA9B00A1BB1FFEDA" hidden="1">#REF!</definedName>
    <definedName name="BO21545020FCFF4D56B98295C96A8B077E" localSheetId="5" hidden="1">[9]xml!#REF!</definedName>
    <definedName name="BO21545020FCFF4D56B98295C96A8B077E" localSheetId="4" hidden="1">[9]xml!#REF!</definedName>
    <definedName name="BO21545020FCFF4D56B98295C96A8B077E" hidden="1">[9]xml!#REF!</definedName>
    <definedName name="BO2161E39FF33049389EFD95828BAD1D73" localSheetId="5" hidden="1">#REF!</definedName>
    <definedName name="BO2161E39FF33049389EFD95828BAD1D73" localSheetId="4" hidden="1">#REF!</definedName>
    <definedName name="BO2161E39FF33049389EFD95828BAD1D73" hidden="1">#REF!</definedName>
    <definedName name="BO217988AF085C4BACAAF426DE9B872531" localSheetId="5" hidden="1">#REF!</definedName>
    <definedName name="BO217988AF085C4BACAAF426DE9B872531" localSheetId="4" hidden="1">#REF!</definedName>
    <definedName name="BO217988AF085C4BACAAF426DE9B872531" hidden="1">#REF!</definedName>
    <definedName name="BO217A065BE728400285F9A68018248B4B" localSheetId="5" hidden="1">#REF!</definedName>
    <definedName name="BO217A065BE728400285F9A68018248B4B" localSheetId="4" hidden="1">#REF!</definedName>
    <definedName name="BO217A065BE728400285F9A68018248B4B" hidden="1">#REF!</definedName>
    <definedName name="BO2189DB829D7F4206905850992E33E0A4" localSheetId="5" hidden="1">#REF!</definedName>
    <definedName name="BO2189DB829D7F4206905850992E33E0A4" localSheetId="4" hidden="1">#REF!</definedName>
    <definedName name="BO2189DB829D7F4206905850992E33E0A4" hidden="1">#REF!</definedName>
    <definedName name="BO218A670230344DEF80294058CE4C9F7F" localSheetId="5" hidden="1">#REF!</definedName>
    <definedName name="BO218A670230344DEF80294058CE4C9F7F" localSheetId="4" hidden="1">#REF!</definedName>
    <definedName name="BO218A670230344DEF80294058CE4C9F7F" hidden="1">#REF!</definedName>
    <definedName name="BO218F81DAEFAD49AF9B3A72E321755754" localSheetId="5" hidden="1">#REF!</definedName>
    <definedName name="BO218F81DAEFAD49AF9B3A72E321755754" localSheetId="4" hidden="1">#REF!</definedName>
    <definedName name="BO218F81DAEFAD49AF9B3A72E321755754" hidden="1">#REF!</definedName>
    <definedName name="BO2190258695E940FAB040CCF6CA7B1588" localSheetId="5" hidden="1">#REF!</definedName>
    <definedName name="BO2190258695E940FAB040CCF6CA7B1588" localSheetId="4" hidden="1">#REF!</definedName>
    <definedName name="BO2190258695E940FAB040CCF6CA7B1588" hidden="1">#REF!</definedName>
    <definedName name="BO219D681483954E00B66D718362DF21D1" localSheetId="5" hidden="1">#REF!</definedName>
    <definedName name="BO219D681483954E00B66D718362DF21D1" localSheetId="4" hidden="1">#REF!</definedName>
    <definedName name="BO219D681483954E00B66D718362DF21D1" hidden="1">#REF!</definedName>
    <definedName name="BO21B20B02CDD146DF8497564C05C765A4" localSheetId="5" hidden="1">#REF!</definedName>
    <definedName name="BO21B20B02CDD146DF8497564C05C765A4" localSheetId="4" hidden="1">#REF!</definedName>
    <definedName name="BO21B20B02CDD146DF8497564C05C765A4" hidden="1">#REF!</definedName>
    <definedName name="BO21B7D6B787174BE2B8F6B01A9D6AA5FE" localSheetId="5" hidden="1">#REF!</definedName>
    <definedName name="BO21B7D6B787174BE2B8F6B01A9D6AA5FE" localSheetId="4" hidden="1">#REF!</definedName>
    <definedName name="BO21B7D6B787174BE2B8F6B01A9D6AA5FE" hidden="1">#REF!</definedName>
    <definedName name="BO21C4FB5FE3604329AEA394B58537129B" localSheetId="5" hidden="1">#REF!</definedName>
    <definedName name="BO21C4FB5FE3604329AEA394B58537129B" localSheetId="4" hidden="1">#REF!</definedName>
    <definedName name="BO21C4FB5FE3604329AEA394B58537129B" hidden="1">#REF!</definedName>
    <definedName name="BO21D0E81725D8466AA71608F53692D790" localSheetId="5" hidden="1">#REF!</definedName>
    <definedName name="BO21D0E81725D8466AA71608F53692D790" localSheetId="4" hidden="1">#REF!</definedName>
    <definedName name="BO21D0E81725D8466AA71608F53692D790" hidden="1">#REF!</definedName>
    <definedName name="BO21D7421808CD43AEB5C11E05C94292F9" localSheetId="5" hidden="1">#REF!</definedName>
    <definedName name="BO21D7421808CD43AEB5C11E05C94292F9" localSheetId="4" hidden="1">#REF!</definedName>
    <definedName name="BO21D7421808CD43AEB5C11E05C94292F9" hidden="1">#REF!</definedName>
    <definedName name="BO21EC1D4F18934A23B7AC52A326C7BDA2" localSheetId="5" hidden="1">#REF!</definedName>
    <definedName name="BO21EC1D4F18934A23B7AC52A326C7BDA2" localSheetId="4" hidden="1">#REF!</definedName>
    <definedName name="BO21EC1D4F18934A23B7AC52A326C7BDA2" hidden="1">#REF!</definedName>
    <definedName name="BO2205B08A30A4409FA799FD8E9BEFE75F" localSheetId="5" hidden="1">#REF!</definedName>
    <definedName name="BO2205B08A30A4409FA799FD8E9BEFE75F" localSheetId="4" hidden="1">#REF!</definedName>
    <definedName name="BO2205B08A30A4409FA799FD8E9BEFE75F" hidden="1">#REF!</definedName>
    <definedName name="BO220D7DC8FBCC46DB8AE26ED60EB83250" localSheetId="5" hidden="1">[9]Giaitrinh!#REF!</definedName>
    <definedName name="BO220D7DC8FBCC46DB8AE26ED60EB83250" localSheetId="4" hidden="1">[9]Giaitrinh!#REF!</definedName>
    <definedName name="BO220D7DC8FBCC46DB8AE26ED60EB83250" hidden="1">[9]Giaitrinh!#REF!</definedName>
    <definedName name="BO220DE1C2BF2340CEA36C2E77EC9B1C8C" localSheetId="5" hidden="1">#REF!</definedName>
    <definedName name="BO220DE1C2BF2340CEA36C2E77EC9B1C8C" localSheetId="4" hidden="1">#REF!</definedName>
    <definedName name="BO220DE1C2BF2340CEA36C2E77EC9B1C8C" hidden="1">#REF!</definedName>
    <definedName name="BO2231071A1FEB453B856DCA3CF4DBB552" localSheetId="5" hidden="1">#REF!</definedName>
    <definedName name="BO2231071A1FEB453B856DCA3CF4DBB552" localSheetId="4" hidden="1">#REF!</definedName>
    <definedName name="BO2231071A1FEB453B856DCA3CF4DBB552" hidden="1">#REF!</definedName>
    <definedName name="BO2240036397344197845A0A01D1474D23" localSheetId="5" hidden="1">#REF!</definedName>
    <definedName name="BO2240036397344197845A0A01D1474D23" localSheetId="4" hidden="1">#REF!</definedName>
    <definedName name="BO2240036397344197845A0A01D1474D23" hidden="1">#REF!</definedName>
    <definedName name="BO225263C52B3C4F878169478C66E33134" localSheetId="5" hidden="1">#REF!</definedName>
    <definedName name="BO225263C52B3C4F878169478C66E33134" localSheetId="4" hidden="1">#REF!</definedName>
    <definedName name="BO225263C52B3C4F878169478C66E33134" hidden="1">#REF!</definedName>
    <definedName name="BO225AD737FABD40FEB1BD400F18DAFD79" localSheetId="5" hidden="1">#REF!</definedName>
    <definedName name="BO225AD737FABD40FEB1BD400F18DAFD79" localSheetId="4" hidden="1">#REF!</definedName>
    <definedName name="BO225AD737FABD40FEB1BD400F18DAFD79" hidden="1">#REF!</definedName>
    <definedName name="BO22610F6E625A439A8F25394A176010A4" localSheetId="5" hidden="1">#REF!</definedName>
    <definedName name="BO22610F6E625A439A8F25394A176010A4" localSheetId="4" hidden="1">#REF!</definedName>
    <definedName name="BO22610F6E625A439A8F25394A176010A4" hidden="1">#REF!</definedName>
    <definedName name="BO226B96C1DBB34F6C8CC9B9974159275C" localSheetId="5" hidden="1">#REF!</definedName>
    <definedName name="BO226B96C1DBB34F6C8CC9B9974159275C" localSheetId="4" hidden="1">#REF!</definedName>
    <definedName name="BO226B96C1DBB34F6C8CC9B9974159275C" hidden="1">#REF!</definedName>
    <definedName name="BO227B01F824A3434990F27C39FBDF7F99" localSheetId="5" hidden="1">#REF!</definedName>
    <definedName name="BO227B01F824A3434990F27C39FBDF7F99" localSheetId="4" hidden="1">#REF!</definedName>
    <definedName name="BO227B01F824A3434990F27C39FBDF7F99" hidden="1">#REF!</definedName>
    <definedName name="BO22888E30CEE943998FCB14107ADFE414" localSheetId="5" hidden="1">[8]Ketqua!#REF!</definedName>
    <definedName name="BO22888E30CEE943998FCB14107ADFE414" localSheetId="4" hidden="1">[8]Ketqua!#REF!</definedName>
    <definedName name="BO22888E30CEE943998FCB14107ADFE414" hidden="1">[8]Ketqua!#REF!</definedName>
    <definedName name="BO228F47AF9DF4454598ED125BC46429B3" localSheetId="5" hidden="1">#REF!</definedName>
    <definedName name="BO228F47AF9DF4454598ED125BC46429B3" localSheetId="4" hidden="1">#REF!</definedName>
    <definedName name="BO228F47AF9DF4454598ED125BC46429B3" hidden="1">#REF!</definedName>
    <definedName name="BO22916AF3B18045F194E6B4C88878CC89" localSheetId="5" hidden="1">#REF!</definedName>
    <definedName name="BO22916AF3B18045F194E6B4C88878CC89" localSheetId="4" hidden="1">#REF!</definedName>
    <definedName name="BO22916AF3B18045F194E6B4C88878CC89" hidden="1">#REF!</definedName>
    <definedName name="BO2293E5DE2C1E4AF389A9F0A14D86F5AF" localSheetId="5" hidden="1">#REF!</definedName>
    <definedName name="BO2293E5DE2C1E4AF389A9F0A14D86F5AF" localSheetId="4" hidden="1">#REF!</definedName>
    <definedName name="BO2293E5DE2C1E4AF389A9F0A14D86F5AF" hidden="1">#REF!</definedName>
    <definedName name="BO22A1A8DA83ED4E61AB9D4458E8BFBF5E" localSheetId="5" hidden="1">#REF!</definedName>
    <definedName name="BO22A1A8DA83ED4E61AB9D4458E8BFBF5E" localSheetId="4" hidden="1">#REF!</definedName>
    <definedName name="BO22A1A8DA83ED4E61AB9D4458E8BFBF5E" hidden="1">#REF!</definedName>
    <definedName name="BO22C69EDF24274F8C8A799D028C666604" localSheetId="5" hidden="1">#REF!</definedName>
    <definedName name="BO22C69EDF24274F8C8A799D028C666604" localSheetId="4" hidden="1">#REF!</definedName>
    <definedName name="BO22C69EDF24274F8C8A799D028C666604" hidden="1">#REF!</definedName>
    <definedName name="BO22D3C349283B473E826A3190CEF9563F" localSheetId="5" hidden="1">#REF!</definedName>
    <definedName name="BO22D3C349283B473E826A3190CEF9563F" localSheetId="4" hidden="1">#REF!</definedName>
    <definedName name="BO22D3C349283B473E826A3190CEF9563F" hidden="1">#REF!</definedName>
    <definedName name="BO22DAEE4154BE4F90AEB9FD073AD52242" localSheetId="5" hidden="1">#REF!</definedName>
    <definedName name="BO22DAEE4154BE4F90AEB9FD073AD52242" localSheetId="4" hidden="1">#REF!</definedName>
    <definedName name="BO22DAEE4154BE4F90AEB9FD073AD52242" hidden="1">#REF!</definedName>
    <definedName name="BO22EE0BE4D85F4BD5970962FBF8CEBA68" localSheetId="5" hidden="1">#REF!</definedName>
    <definedName name="BO22EE0BE4D85F4BD5970962FBF8CEBA68" localSheetId="4" hidden="1">#REF!</definedName>
    <definedName name="BO22EE0BE4D85F4BD5970962FBF8CEBA68" hidden="1">#REF!</definedName>
    <definedName name="BO22F1E184403440EA94041E4061CD1A36" localSheetId="5" hidden="1">#REF!</definedName>
    <definedName name="BO22F1E184403440EA94041E4061CD1A36" localSheetId="4" hidden="1">#REF!</definedName>
    <definedName name="BO22F1E184403440EA94041E4061CD1A36" hidden="1">#REF!</definedName>
    <definedName name="BO23012F6BDC194152B0763334AA8DE09A" localSheetId="5" hidden="1">#REF!</definedName>
    <definedName name="BO23012F6BDC194152B0763334AA8DE09A" localSheetId="4" hidden="1">#REF!</definedName>
    <definedName name="BO23012F6BDC194152B0763334AA8DE09A" hidden="1">#REF!</definedName>
    <definedName name="BO230E6EF6C8C94B8F8C47CFF59CC50C9A" localSheetId="5" hidden="1">#REF!</definedName>
    <definedName name="BO230E6EF6C8C94B8F8C47CFF59CC50C9A" localSheetId="4" hidden="1">#REF!</definedName>
    <definedName name="BO230E6EF6C8C94B8F8C47CFF59CC50C9A" hidden="1">#REF!</definedName>
    <definedName name="BO23209D5E42F647BC859A30AF7205B1EB" localSheetId="5" hidden="1">#REF!</definedName>
    <definedName name="BO23209D5E42F647BC859A30AF7205B1EB" localSheetId="4" hidden="1">#REF!</definedName>
    <definedName name="BO23209D5E42F647BC859A30AF7205B1EB" hidden="1">#REF!</definedName>
    <definedName name="BO232A1F5D59654CA6A0C19E0D0B1835E8" localSheetId="5" hidden="1">#REF!</definedName>
    <definedName name="BO232A1F5D59654CA6A0C19E0D0B1835E8" localSheetId="4" hidden="1">#REF!</definedName>
    <definedName name="BO232A1F5D59654CA6A0C19E0D0B1835E8" hidden="1">#REF!</definedName>
    <definedName name="BO2354506FB73B40758D7271BB733EF7EA" localSheetId="5" hidden="1">#REF!</definedName>
    <definedName name="BO2354506FB73B40758D7271BB733EF7EA" localSheetId="4" hidden="1">#REF!</definedName>
    <definedName name="BO2354506FB73B40758D7271BB733EF7EA" hidden="1">#REF!</definedName>
    <definedName name="BO236C109499124F4E80ACAA9C9D0DC86E" localSheetId="5" hidden="1">#REF!</definedName>
    <definedName name="BO236C109499124F4E80ACAA9C9D0DC86E" localSheetId="4" hidden="1">#REF!</definedName>
    <definedName name="BO236C109499124F4E80ACAA9C9D0DC86E" hidden="1">#REF!</definedName>
    <definedName name="BO238D5E71A2E1462CB8F96F7465F66260" localSheetId="5" hidden="1">#REF!</definedName>
    <definedName name="BO238D5E71A2E1462CB8F96F7465F66260" localSheetId="4" hidden="1">#REF!</definedName>
    <definedName name="BO238D5E71A2E1462CB8F96F7465F66260" hidden="1">#REF!</definedName>
    <definedName name="BO239512C7B5004432BAAF1A7F1FC243C5" localSheetId="5" hidden="1">#REF!</definedName>
    <definedName name="BO239512C7B5004432BAAF1A7F1FC243C5" localSheetId="4" hidden="1">#REF!</definedName>
    <definedName name="BO239512C7B5004432BAAF1A7F1FC243C5" hidden="1">#REF!</definedName>
    <definedName name="BO23AD48D3F0FF4E00B57ABF30917F461A" localSheetId="5" hidden="1">#REF!</definedName>
    <definedName name="BO23AD48D3F0FF4E00B57ABF30917F461A" localSheetId="4" hidden="1">#REF!</definedName>
    <definedName name="BO23AD48D3F0FF4E00B57ABF30917F461A" hidden="1">#REF!</definedName>
    <definedName name="BO23C11F2418AF424A9FB7F13AE8573CB8" localSheetId="5" hidden="1">#REF!</definedName>
    <definedName name="BO23C11F2418AF424A9FB7F13AE8573CB8" localSheetId="4" hidden="1">#REF!</definedName>
    <definedName name="BO23C11F2418AF424A9FB7F13AE8573CB8" hidden="1">#REF!</definedName>
    <definedName name="BO23C6AAE56A2449618B0EB245E68264AA" localSheetId="5" hidden="1">#REF!</definedName>
    <definedName name="BO23C6AAE56A2449618B0EB245E68264AA" localSheetId="4" hidden="1">#REF!</definedName>
    <definedName name="BO23C6AAE56A2449618B0EB245E68264AA" hidden="1">#REF!</definedName>
    <definedName name="BO23C787C3A9AF4D63ADA1DC818379D5A3" localSheetId="5" hidden="1">#REF!</definedName>
    <definedName name="BO23C787C3A9AF4D63ADA1DC818379D5A3" localSheetId="4" hidden="1">#REF!</definedName>
    <definedName name="BO23C787C3A9AF4D63ADA1DC818379D5A3" hidden="1">#REF!</definedName>
    <definedName name="BO23E745F6E6F748179ECDE765648E29FF" localSheetId="5" hidden="1">#REF!</definedName>
    <definedName name="BO23E745F6E6F748179ECDE765648E29FF" localSheetId="4" hidden="1">#REF!</definedName>
    <definedName name="BO23E745F6E6F748179ECDE765648E29FF" hidden="1">#REF!</definedName>
    <definedName name="BO23F1CFE4BC1D46BEB7ED2DB6E28AB9F7" localSheetId="5" hidden="1">#REF!</definedName>
    <definedName name="BO23F1CFE4BC1D46BEB7ED2DB6E28AB9F7" localSheetId="4" hidden="1">#REF!</definedName>
    <definedName name="BO23F1CFE4BC1D46BEB7ED2DB6E28AB9F7" hidden="1">#REF!</definedName>
    <definedName name="BO23F2C6ECD3204761B1472B44EEBBA0DE" localSheetId="5" hidden="1">#REF!</definedName>
    <definedName name="BO23F2C6ECD3204761B1472B44EEBBA0DE" localSheetId="4" hidden="1">#REF!</definedName>
    <definedName name="BO23F2C6ECD3204761B1472B44EEBBA0DE" hidden="1">#REF!</definedName>
    <definedName name="BO24191E4F06BB400EB4E45CA4B52D5A66" localSheetId="5" hidden="1">#REF!</definedName>
    <definedName name="BO24191E4F06BB400EB4E45CA4B52D5A66" localSheetId="4" hidden="1">#REF!</definedName>
    <definedName name="BO24191E4F06BB400EB4E45CA4B52D5A66" hidden="1">#REF!</definedName>
    <definedName name="BO242B22001A3D463EB3087B393B5D8480" localSheetId="5" hidden="1">#REF!</definedName>
    <definedName name="BO242B22001A3D463EB3087B393B5D8480" localSheetId="4" hidden="1">#REF!</definedName>
    <definedName name="BO242B22001A3D463EB3087B393B5D8480" hidden="1">#REF!</definedName>
    <definedName name="BO244E8830D7A2432883AB77D0D44C3518" localSheetId="5" hidden="1">#REF!</definedName>
    <definedName name="BO244E8830D7A2432883AB77D0D44C3518" localSheetId="4" hidden="1">#REF!</definedName>
    <definedName name="BO244E8830D7A2432883AB77D0D44C3518" hidden="1">#REF!</definedName>
    <definedName name="BO245314F5F48D49ECB9E2294C5FD21EF4" localSheetId="5" hidden="1">[10]Giaitrinh!#REF!</definedName>
    <definedName name="BO245314F5F48D49ECB9E2294C5FD21EF4" localSheetId="4" hidden="1">[10]Giaitrinh!#REF!</definedName>
    <definedName name="BO245314F5F48D49ECB9E2294C5FD21EF4" hidden="1">[10]Giaitrinh!#REF!</definedName>
    <definedName name="BO245D8EA194704D799213C24B96126A35" localSheetId="5" hidden="1">#REF!</definedName>
    <definedName name="BO245D8EA194704D799213C24B96126A35" localSheetId="4" hidden="1">#REF!</definedName>
    <definedName name="BO245D8EA194704D799213C24B96126A35" hidden="1">#REF!</definedName>
    <definedName name="BO246E872D11F54CBDA9CAAE7F3CEE8A3B" localSheetId="5" hidden="1">#REF!</definedName>
    <definedName name="BO246E872D11F54CBDA9CAAE7F3CEE8A3B" localSheetId="4" hidden="1">#REF!</definedName>
    <definedName name="BO246E872D11F54CBDA9CAAE7F3CEE8A3B" hidden="1">#REF!</definedName>
    <definedName name="BO247C057B70AB4F658019AC17263404FD" localSheetId="5" hidden="1">#REF!</definedName>
    <definedName name="BO247C057B70AB4F658019AC17263404FD" localSheetId="4" hidden="1">#REF!</definedName>
    <definedName name="BO247C057B70AB4F658019AC17263404FD" hidden="1">#REF!</definedName>
    <definedName name="BO24808A7805734A67B9F3A052643276C5" localSheetId="5" hidden="1">#REF!</definedName>
    <definedName name="BO24808A7805734A67B9F3A052643276C5" localSheetId="4" hidden="1">#REF!</definedName>
    <definedName name="BO24808A7805734A67B9F3A052643276C5" hidden="1">#REF!</definedName>
    <definedName name="BO248CF0663C3845EA91C27C65CD94A27B" localSheetId="5" hidden="1">#REF!</definedName>
    <definedName name="BO248CF0663C3845EA91C27C65CD94A27B" localSheetId="4" hidden="1">#REF!</definedName>
    <definedName name="BO248CF0663C3845EA91C27C65CD94A27B" hidden="1">#REF!</definedName>
    <definedName name="BO248FCFD187D14607903BF0499FC1EB08" localSheetId="5" hidden="1">#REF!</definedName>
    <definedName name="BO248FCFD187D14607903BF0499FC1EB08" localSheetId="4" hidden="1">#REF!</definedName>
    <definedName name="BO248FCFD187D14607903BF0499FC1EB08" hidden="1">#REF!</definedName>
    <definedName name="BO2491BAC9A38342598DD19C9D4DB0A34F" localSheetId="5" hidden="1">#REF!</definedName>
    <definedName name="BO2491BAC9A38342598DD19C9D4DB0A34F" localSheetId="4" hidden="1">#REF!</definedName>
    <definedName name="BO2491BAC9A38342598DD19C9D4DB0A34F" hidden="1">#REF!</definedName>
    <definedName name="BO24937DC7BA1D49788C07B02DFD3C6342" localSheetId="5" hidden="1">#REF!</definedName>
    <definedName name="BO24937DC7BA1D49788C07B02DFD3C6342" localSheetId="4" hidden="1">#REF!</definedName>
    <definedName name="BO24937DC7BA1D49788C07B02DFD3C6342" hidden="1">#REF!</definedName>
    <definedName name="BO2495A54824434CB189951F5549DEB370" localSheetId="5" hidden="1">#REF!</definedName>
    <definedName name="BO2495A54824434CB189951F5549DEB370" localSheetId="4" hidden="1">#REF!</definedName>
    <definedName name="BO2495A54824434CB189951F5549DEB370" hidden="1">#REF!</definedName>
    <definedName name="BO249C67D551B148328F4AB326E8B9F4C3" localSheetId="5" hidden="1">#REF!</definedName>
    <definedName name="BO249C67D551B148328F4AB326E8B9F4C3" localSheetId="4" hidden="1">#REF!</definedName>
    <definedName name="BO249C67D551B148328F4AB326E8B9F4C3" hidden="1">#REF!</definedName>
    <definedName name="BO24A8918ECB1C4B1EAAC4F1A0663C1145" localSheetId="5" hidden="1">#REF!</definedName>
    <definedName name="BO24A8918ECB1C4B1EAAC4F1A0663C1145" localSheetId="4" hidden="1">#REF!</definedName>
    <definedName name="BO24A8918ECB1C4B1EAAC4F1A0663C1145" hidden="1">#REF!</definedName>
    <definedName name="BO24BA25EDB1A44A8E8DBB72F1D4D29577" localSheetId="5" hidden="1">#REF!</definedName>
    <definedName name="BO24BA25EDB1A44A8E8DBB72F1D4D29577" localSheetId="4" hidden="1">#REF!</definedName>
    <definedName name="BO24BA25EDB1A44A8E8DBB72F1D4D29577" hidden="1">#REF!</definedName>
    <definedName name="BO24E59B9E468244B094E12543813C34CF" localSheetId="5" hidden="1">#REF!</definedName>
    <definedName name="BO24E59B9E468244B094E12543813C34CF" localSheetId="4" hidden="1">#REF!</definedName>
    <definedName name="BO24E59B9E468244B094E12543813C34CF" hidden="1">#REF!</definedName>
    <definedName name="BO24E609E1B65A4E6D90B359EFB6863E2A" localSheetId="5" hidden="1">#REF!</definedName>
    <definedName name="BO24E609E1B65A4E6D90B359EFB6863E2A" localSheetId="4" hidden="1">#REF!</definedName>
    <definedName name="BO24E609E1B65A4E6D90B359EFB6863E2A" hidden="1">#REF!</definedName>
    <definedName name="BO24F6F06ED01C4C22AA58ACACC4605B6E" localSheetId="5" hidden="1">#REF!</definedName>
    <definedName name="BO24F6F06ED01C4C22AA58ACACC4605B6E" localSheetId="4" hidden="1">#REF!</definedName>
    <definedName name="BO24F6F06ED01C4C22AA58ACACC4605B6E" hidden="1">#REF!</definedName>
    <definedName name="BO25093A0D3FA94928B03F855003D8D3E4" localSheetId="5" hidden="1">#REF!</definedName>
    <definedName name="BO25093A0D3FA94928B03F855003D8D3E4" localSheetId="4" hidden="1">#REF!</definedName>
    <definedName name="BO25093A0D3FA94928B03F855003D8D3E4" hidden="1">#REF!</definedName>
    <definedName name="BO2519A3AFD9904F0EA701766B92D044A5" localSheetId="5" hidden="1">#REF!</definedName>
    <definedName name="BO2519A3AFD9904F0EA701766B92D044A5" localSheetId="4" hidden="1">#REF!</definedName>
    <definedName name="BO2519A3AFD9904F0EA701766B92D044A5" hidden="1">#REF!</definedName>
    <definedName name="BO251EB7BFC4E14C0681BE2DCEEAD845E7" localSheetId="5" hidden="1">#REF!</definedName>
    <definedName name="BO251EB7BFC4E14C0681BE2DCEEAD845E7" localSheetId="4" hidden="1">#REF!</definedName>
    <definedName name="BO251EB7BFC4E14C0681BE2DCEEAD845E7" hidden="1">#REF!</definedName>
    <definedName name="BO252423B9C6834C65AEB050F7CED8E2BC" localSheetId="5" hidden="1">#REF!</definedName>
    <definedName name="BO252423B9C6834C65AEB050F7CED8E2BC" localSheetId="4" hidden="1">#REF!</definedName>
    <definedName name="BO252423B9C6834C65AEB050F7CED8E2BC" hidden="1">#REF!</definedName>
    <definedName name="BO252C3CBD29A243C0AEDAC1F87AD31F53" localSheetId="5" hidden="1">#REF!</definedName>
    <definedName name="BO252C3CBD29A243C0AEDAC1F87AD31F53" localSheetId="4" hidden="1">#REF!</definedName>
    <definedName name="BO252C3CBD29A243C0AEDAC1F87AD31F53" hidden="1">#REF!</definedName>
    <definedName name="BO252E1F1B616045209E24B8B2BB08F011" localSheetId="5" hidden="1">#REF!</definedName>
    <definedName name="BO252E1F1B616045209E24B8B2BB08F011" localSheetId="4" hidden="1">#REF!</definedName>
    <definedName name="BO252E1F1B616045209E24B8B2BB08F011" hidden="1">#REF!</definedName>
    <definedName name="BO253ACAECC53145009F3843BD2D2D919F" localSheetId="5" hidden="1">[8]Ketqua!#REF!</definedName>
    <definedName name="BO253ACAECC53145009F3843BD2D2D919F" localSheetId="4" hidden="1">[8]Ketqua!#REF!</definedName>
    <definedName name="BO253ACAECC53145009F3843BD2D2D919F" hidden="1">[8]Ketqua!#REF!</definedName>
    <definedName name="BO254702AF37084A989C9C0D98E2CCCDF3" localSheetId="5" hidden="1">#REF!</definedName>
    <definedName name="BO254702AF37084A989C9C0D98E2CCCDF3" localSheetId="4" hidden="1">#REF!</definedName>
    <definedName name="BO254702AF37084A989C9C0D98E2CCCDF3" hidden="1">#REF!</definedName>
    <definedName name="BO25534CD9966549BBBEF5257F84D5DBE7" localSheetId="5" hidden="1">#REF!</definedName>
    <definedName name="BO25534CD9966549BBBEF5257F84D5DBE7" localSheetId="4" hidden="1">#REF!</definedName>
    <definedName name="BO25534CD9966549BBBEF5257F84D5DBE7" hidden="1">#REF!</definedName>
    <definedName name="BO256ABB33FDA44F459E85B26D8DD4914A" localSheetId="5" hidden="1">#REF!</definedName>
    <definedName name="BO256ABB33FDA44F459E85B26D8DD4914A" localSheetId="4" hidden="1">#REF!</definedName>
    <definedName name="BO256ABB33FDA44F459E85B26D8DD4914A" hidden="1">#REF!</definedName>
    <definedName name="BO256CEA9DBE3C4AD0A1636278271A9EB8" localSheetId="5" hidden="1">#REF!</definedName>
    <definedName name="BO256CEA9DBE3C4AD0A1636278271A9EB8" localSheetId="4" hidden="1">#REF!</definedName>
    <definedName name="BO256CEA9DBE3C4AD0A1636278271A9EB8" hidden="1">#REF!</definedName>
    <definedName name="BO256F638AB26747CBA5D7602B20D8AD7C" localSheetId="5" hidden="1">#REF!</definedName>
    <definedName name="BO256F638AB26747CBA5D7602B20D8AD7C" localSheetId="4" hidden="1">#REF!</definedName>
    <definedName name="BO256F638AB26747CBA5D7602B20D8AD7C" hidden="1">#REF!</definedName>
    <definedName name="BO2581D827D67C492AB6F1E29B12DE33F1" localSheetId="5" hidden="1">#REF!</definedName>
    <definedName name="BO2581D827D67C492AB6F1E29B12DE33F1" localSheetId="4" hidden="1">#REF!</definedName>
    <definedName name="BO2581D827D67C492AB6F1E29B12DE33F1" hidden="1">#REF!</definedName>
    <definedName name="BO258A9ECB60464A8388B0908E365683DA" localSheetId="5" hidden="1">#REF!</definedName>
    <definedName name="BO258A9ECB60464A8388B0908E365683DA" localSheetId="4" hidden="1">#REF!</definedName>
    <definedName name="BO258A9ECB60464A8388B0908E365683DA" hidden="1">#REF!</definedName>
    <definedName name="BO258F936A6F324905A7D2D954B13649D9" localSheetId="5" hidden="1">#REF!</definedName>
    <definedName name="BO258F936A6F324905A7D2D954B13649D9" localSheetId="4" hidden="1">#REF!</definedName>
    <definedName name="BO258F936A6F324905A7D2D954B13649D9" hidden="1">#REF!</definedName>
    <definedName name="BO25972B76844C4D6090FBC7E7F45106D6" localSheetId="5" hidden="1">#REF!</definedName>
    <definedName name="BO25972B76844C4D6090FBC7E7F45106D6" localSheetId="4" hidden="1">#REF!</definedName>
    <definedName name="BO25972B76844C4D6090FBC7E7F45106D6" hidden="1">#REF!</definedName>
    <definedName name="BO25AF9ADA308342C187BFCECCC794CF43" localSheetId="5" hidden="1">#REF!</definedName>
    <definedName name="BO25AF9ADA308342C187BFCECCC794CF43" localSheetId="4" hidden="1">#REF!</definedName>
    <definedName name="BO25AF9ADA308342C187BFCECCC794CF43" hidden="1">#REF!</definedName>
    <definedName name="BO25CC43297124428EB72F08A9A2E14CDC" localSheetId="5" hidden="1">#REF!</definedName>
    <definedName name="BO25CC43297124428EB72F08A9A2E14CDC" localSheetId="4" hidden="1">#REF!</definedName>
    <definedName name="BO25CC43297124428EB72F08A9A2E14CDC" hidden="1">#REF!</definedName>
    <definedName name="BO25CC6BFE92064DBF8830573B2D9FD4B4" localSheetId="5" hidden="1">#REF!</definedName>
    <definedName name="BO25CC6BFE92064DBF8830573B2D9FD4B4" localSheetId="4" hidden="1">#REF!</definedName>
    <definedName name="BO25CC6BFE92064DBF8830573B2D9FD4B4" hidden="1">#REF!</definedName>
    <definedName name="BO25CE6931E52947EC9FF070514959E42A" localSheetId="5" hidden="1">[8]Ketqua!#REF!</definedName>
    <definedName name="BO25CE6931E52947EC9FF070514959E42A" localSheetId="4" hidden="1">[8]Ketqua!#REF!</definedName>
    <definedName name="BO25CE6931E52947EC9FF070514959E42A" hidden="1">[8]Ketqua!#REF!</definedName>
    <definedName name="BO25DE2F7FA990464E9F8072C85E51FC96" localSheetId="5" hidden="1">#REF!</definedName>
    <definedName name="BO25DE2F7FA990464E9F8072C85E51FC96" localSheetId="4" hidden="1">#REF!</definedName>
    <definedName name="BO25DE2F7FA990464E9F8072C85E51FC96" hidden="1">#REF!</definedName>
    <definedName name="BO25E9553CF8974A33892EB1745060FD61" localSheetId="5" hidden="1">#REF!</definedName>
    <definedName name="BO25E9553CF8974A33892EB1745060FD61" localSheetId="4" hidden="1">#REF!</definedName>
    <definedName name="BO25E9553CF8974A33892EB1745060FD61" hidden="1">#REF!</definedName>
    <definedName name="BO2605237EAE654A23B72B55DAF523B6A6" localSheetId="5" hidden="1">#REF!</definedName>
    <definedName name="BO2605237EAE654A23B72B55DAF523B6A6" localSheetId="4" hidden="1">#REF!</definedName>
    <definedName name="BO2605237EAE654A23B72B55DAF523B6A6" hidden="1">#REF!</definedName>
    <definedName name="BO260C75EB0FE34E039A2639B39BA79B3D" localSheetId="5" hidden="1">#REF!</definedName>
    <definedName name="BO260C75EB0FE34E039A2639B39BA79B3D" localSheetId="4" hidden="1">#REF!</definedName>
    <definedName name="BO260C75EB0FE34E039A2639B39BA79B3D" hidden="1">#REF!</definedName>
    <definedName name="BO260CD5A6C36945F0889CD82152A4F67D" localSheetId="5" hidden="1">#REF!</definedName>
    <definedName name="BO260CD5A6C36945F0889CD82152A4F67D" localSheetId="4" hidden="1">#REF!</definedName>
    <definedName name="BO260CD5A6C36945F0889CD82152A4F67D" hidden="1">#REF!</definedName>
    <definedName name="BO260E4C1AD61241F5B2B6159395B2919A" localSheetId="5" hidden="1">#REF!</definedName>
    <definedName name="BO260E4C1AD61241F5B2B6159395B2919A" localSheetId="4" hidden="1">#REF!</definedName>
    <definedName name="BO260E4C1AD61241F5B2B6159395B2919A" hidden="1">#REF!</definedName>
    <definedName name="BO261B8E29B9B540D5B595913F2F3E772C" localSheetId="5" hidden="1">#REF!</definedName>
    <definedName name="BO261B8E29B9B540D5B595913F2F3E772C" localSheetId="4" hidden="1">#REF!</definedName>
    <definedName name="BO261B8E29B9B540D5B595913F2F3E772C" hidden="1">#REF!</definedName>
    <definedName name="BO2621C14BA85E4F63813A3AA292ECE0ED" localSheetId="5" hidden="1">#REF!</definedName>
    <definedName name="BO2621C14BA85E4F63813A3AA292ECE0ED" localSheetId="4" hidden="1">#REF!</definedName>
    <definedName name="BO2621C14BA85E4F63813A3AA292ECE0ED" hidden="1">#REF!</definedName>
    <definedName name="BO263B4B971A0F41C788C42BA2F9A5D53C" localSheetId="5" hidden="1">#REF!</definedName>
    <definedName name="BO263B4B971A0F41C788C42BA2F9A5D53C" localSheetId="4" hidden="1">#REF!</definedName>
    <definedName name="BO263B4B971A0F41C788C42BA2F9A5D53C" hidden="1">#REF!</definedName>
    <definedName name="BO263E075F494444DD84B1B7BE398676C9" localSheetId="5" hidden="1">#REF!</definedName>
    <definedName name="BO263E075F494444DD84B1B7BE398676C9" localSheetId="4" hidden="1">#REF!</definedName>
    <definedName name="BO263E075F494444DD84B1B7BE398676C9" hidden="1">#REF!</definedName>
    <definedName name="BO263FD10022B946D7941BB791BCB0FFAF" localSheetId="5" hidden="1">#REF!</definedName>
    <definedName name="BO263FD10022B946D7941BB791BCB0FFAF" localSheetId="4" hidden="1">#REF!</definedName>
    <definedName name="BO263FD10022B946D7941BB791BCB0FFAF" hidden="1">#REF!</definedName>
    <definedName name="BO26560F3BC6064631902DC58D0D8AEFAF" localSheetId="5" hidden="1">#REF!</definedName>
    <definedName name="BO26560F3BC6064631902DC58D0D8AEFAF" localSheetId="4" hidden="1">#REF!</definedName>
    <definedName name="BO26560F3BC6064631902DC58D0D8AEFAF" hidden="1">#REF!</definedName>
    <definedName name="BO2672883EFAC5493481EFB4B31BDD63E6" localSheetId="5" hidden="1">[7]lailo!#REF!</definedName>
    <definedName name="BO2672883EFAC5493481EFB4B31BDD63E6" localSheetId="4" hidden="1">[7]lailo!#REF!</definedName>
    <definedName name="BO2672883EFAC5493481EFB4B31BDD63E6" hidden="1">[7]lailo!#REF!</definedName>
    <definedName name="BO2684A03C65AE4FAC9C61F096104EFFBA" localSheetId="5" hidden="1">#REF!</definedName>
    <definedName name="BO2684A03C65AE4FAC9C61F096104EFFBA" localSheetId="4" hidden="1">#REF!</definedName>
    <definedName name="BO2684A03C65AE4FAC9C61F096104EFFBA" hidden="1">#REF!</definedName>
    <definedName name="BO26B4CA84091B46B0AA4A7DC046DB89D9" localSheetId="5" hidden="1">#REF!</definedName>
    <definedName name="BO26B4CA84091B46B0AA4A7DC046DB89D9" localSheetId="4" hidden="1">#REF!</definedName>
    <definedName name="BO26B4CA84091B46B0AA4A7DC046DB89D9" hidden="1">#REF!</definedName>
    <definedName name="BO26C7B304F6FA4B03AB8CF8A8BA949F2F" localSheetId="5" hidden="1">#REF!</definedName>
    <definedName name="BO26C7B304F6FA4B03AB8CF8A8BA949F2F" localSheetId="4" hidden="1">#REF!</definedName>
    <definedName name="BO26C7B304F6FA4B03AB8CF8A8BA949F2F" hidden="1">#REF!</definedName>
    <definedName name="BO26DA3E3B12F143B6A03B8DB89DEB0945" localSheetId="5" hidden="1">#REF!</definedName>
    <definedName name="BO26DA3E3B12F143B6A03B8DB89DEB0945" localSheetId="4" hidden="1">#REF!</definedName>
    <definedName name="BO26DA3E3B12F143B6A03B8DB89DEB0945" hidden="1">#REF!</definedName>
    <definedName name="BO26E084514C0D49058DBC96E0B99F9586" localSheetId="5" hidden="1">#REF!</definedName>
    <definedName name="BO26E084514C0D49058DBC96E0B99F9586" localSheetId="4" hidden="1">#REF!</definedName>
    <definedName name="BO26E084514C0D49058DBC96E0B99F9586" hidden="1">#REF!</definedName>
    <definedName name="BO270A5D31B3524AE3B86DF95ACF263DA5" localSheetId="5" hidden="1">#REF!</definedName>
    <definedName name="BO270A5D31B3524AE3B86DF95ACF263DA5" localSheetId="4" hidden="1">#REF!</definedName>
    <definedName name="BO270A5D31B3524AE3B86DF95ACF263DA5" hidden="1">#REF!</definedName>
    <definedName name="BO2712061D2CEE4515A14E98D80E1B0F54" localSheetId="5" hidden="1">#REF!</definedName>
    <definedName name="BO2712061D2CEE4515A14E98D80E1B0F54" localSheetId="4" hidden="1">#REF!</definedName>
    <definedName name="BO2712061D2CEE4515A14E98D80E1B0F54" hidden="1">#REF!</definedName>
    <definedName name="BO2713576DE8C640EB8F34FBFBC18DC2CF" localSheetId="5" hidden="1">[8]Ketqua!#REF!</definedName>
    <definedName name="BO2713576DE8C640EB8F34FBFBC18DC2CF" localSheetId="4" hidden="1">[8]Ketqua!#REF!</definedName>
    <definedName name="BO2713576DE8C640EB8F34FBFBC18DC2CF" hidden="1">[8]Ketqua!#REF!</definedName>
    <definedName name="BO2736BE2C649942CAAD9C76A4AF14A7B5" localSheetId="5" hidden="1">#REF!</definedName>
    <definedName name="BO2736BE2C649942CAAD9C76A4AF14A7B5" localSheetId="4" hidden="1">#REF!</definedName>
    <definedName name="BO2736BE2C649942CAAD9C76A4AF14A7B5" hidden="1">#REF!</definedName>
    <definedName name="BO273AC48D586C4EE0AF06727CEFD221DF" localSheetId="5" hidden="1">#REF!</definedName>
    <definedName name="BO273AC48D586C4EE0AF06727CEFD221DF" localSheetId="4" hidden="1">#REF!</definedName>
    <definedName name="BO273AC48D586C4EE0AF06727CEFD221DF" hidden="1">#REF!</definedName>
    <definedName name="BO2746CE4B614C491EB43F40E15D1840DF" localSheetId="5" hidden="1">#REF!</definedName>
    <definedName name="BO2746CE4B614C491EB43F40E15D1840DF" localSheetId="4" hidden="1">#REF!</definedName>
    <definedName name="BO2746CE4B614C491EB43F40E15D1840DF" hidden="1">#REF!</definedName>
    <definedName name="BO275E25DD631F40F8B24EDCD86DD7FEC2" localSheetId="5" hidden="1">#REF!</definedName>
    <definedName name="BO275E25DD631F40F8B24EDCD86DD7FEC2" localSheetId="4" hidden="1">#REF!</definedName>
    <definedName name="BO275E25DD631F40F8B24EDCD86DD7FEC2" hidden="1">#REF!</definedName>
    <definedName name="BO275E4ECEE6494ABA8F39B3E706DB36F1" localSheetId="5" hidden="1">#REF!</definedName>
    <definedName name="BO275E4ECEE6494ABA8F39B3E706DB36F1" localSheetId="4" hidden="1">#REF!</definedName>
    <definedName name="BO275E4ECEE6494ABA8F39B3E706DB36F1" hidden="1">#REF!</definedName>
    <definedName name="BO2764088E77EF4BB4BF11B9FB77B9F21C" localSheetId="5" hidden="1">#REF!</definedName>
    <definedName name="BO2764088E77EF4BB4BF11B9FB77B9F21C" localSheetId="4" hidden="1">#REF!</definedName>
    <definedName name="BO2764088E77EF4BB4BF11B9FB77B9F21C" hidden="1">#REF!</definedName>
    <definedName name="BO276A19D8C2B04DC29C9152E8680B3A3A" localSheetId="5" hidden="1">[7]lailo!#REF!</definedName>
    <definedName name="BO276A19D8C2B04DC29C9152E8680B3A3A" localSheetId="4" hidden="1">[7]lailo!#REF!</definedName>
    <definedName name="BO276A19D8C2B04DC29C9152E8680B3A3A" hidden="1">[7]lailo!#REF!</definedName>
    <definedName name="BO276E5B75752E42ABA7FFE433FA7483DB" localSheetId="5" hidden="1">#REF!</definedName>
    <definedName name="BO276E5B75752E42ABA7FFE433FA7483DB" localSheetId="4" hidden="1">#REF!</definedName>
    <definedName name="BO276E5B75752E42ABA7FFE433FA7483DB" hidden="1">#REF!</definedName>
    <definedName name="BO27717F5DF82846BD86BDA741114D21B0" localSheetId="5" hidden="1">#REF!</definedName>
    <definedName name="BO27717F5DF82846BD86BDA741114D21B0" localSheetId="4" hidden="1">#REF!</definedName>
    <definedName name="BO27717F5DF82846BD86BDA741114D21B0" hidden="1">#REF!</definedName>
    <definedName name="BO27816D7F127044918D1598D188090C9A" localSheetId="5" hidden="1">[8]Ketqua!#REF!</definedName>
    <definedName name="BO27816D7F127044918D1598D188090C9A" localSheetId="4" hidden="1">[8]Ketqua!#REF!</definedName>
    <definedName name="BO27816D7F127044918D1598D188090C9A" hidden="1">[8]Ketqua!#REF!</definedName>
    <definedName name="BO2799BFF607054122BDC70E3D886E6FF4" localSheetId="5" hidden="1">#REF!</definedName>
    <definedName name="BO2799BFF607054122BDC70E3D886E6FF4" localSheetId="4" hidden="1">#REF!</definedName>
    <definedName name="BO2799BFF607054122BDC70E3D886E6FF4" hidden="1">#REF!</definedName>
    <definedName name="BO27AFB7AC1D91473EA7307E41C74A7165" localSheetId="5" hidden="1">#REF!</definedName>
    <definedName name="BO27AFB7AC1D91473EA7307E41C74A7165" localSheetId="4" hidden="1">#REF!</definedName>
    <definedName name="BO27AFB7AC1D91473EA7307E41C74A7165" hidden="1">#REF!</definedName>
    <definedName name="BO27BA4C88B9F94146BEB079537EB2F2D0" localSheetId="5" hidden="1">#REF!</definedName>
    <definedName name="BO27BA4C88B9F94146BEB079537EB2F2D0" localSheetId="4" hidden="1">#REF!</definedName>
    <definedName name="BO27BA4C88B9F94146BEB079537EB2F2D0" hidden="1">#REF!</definedName>
    <definedName name="BO27C322ECB31949E18971F08D0502AFDC" localSheetId="5" hidden="1">#REF!</definedName>
    <definedName name="BO27C322ECB31949E18971F08D0502AFDC" localSheetId="4" hidden="1">#REF!</definedName>
    <definedName name="BO27C322ECB31949E18971F08D0502AFDC" hidden="1">#REF!</definedName>
    <definedName name="BO27D814C769454C58B42460776C0DC153" hidden="1">[8]Ketqua!$I$11:$U$11</definedName>
    <definedName name="BO27F80846804E4B759237B12FDF2310EB" localSheetId="5" hidden="1">#REF!</definedName>
    <definedName name="BO27F80846804E4B759237B12FDF2310EB" localSheetId="4" hidden="1">#REF!</definedName>
    <definedName name="BO27F80846804E4B759237B12FDF2310EB" hidden="1">#REF!</definedName>
    <definedName name="BO27F84F5B264D41BEB1375882ABF59F20" localSheetId="5" hidden="1">#REF!</definedName>
    <definedName name="BO27F84F5B264D41BEB1375882ABF59F20" localSheetId="4" hidden="1">#REF!</definedName>
    <definedName name="BO27F84F5B264D41BEB1375882ABF59F20" hidden="1">#REF!</definedName>
    <definedName name="BO27FD3284091B4111A920005D69671CC4" localSheetId="5" hidden="1">#REF!</definedName>
    <definedName name="BO27FD3284091B4111A920005D69671CC4" localSheetId="4" hidden="1">#REF!</definedName>
    <definedName name="BO27FD3284091B4111A920005D69671CC4" hidden="1">#REF!</definedName>
    <definedName name="BO27FD91C334984D72A39703E8C8776582" localSheetId="5" hidden="1">#REF!</definedName>
    <definedName name="BO27FD91C334984D72A39703E8C8776582" localSheetId="4" hidden="1">#REF!</definedName>
    <definedName name="BO27FD91C334984D72A39703E8C8776582" hidden="1">#REF!</definedName>
    <definedName name="BO28058A6D0D9E43548DE48D1A42EF83A4" localSheetId="5" hidden="1">#REF!</definedName>
    <definedName name="BO28058A6D0D9E43548DE48D1A42EF83A4" localSheetId="4" hidden="1">#REF!</definedName>
    <definedName name="BO28058A6D0D9E43548DE48D1A42EF83A4" hidden="1">#REF!</definedName>
    <definedName name="BO281DC2682F094143838494BE94ACF0D3" localSheetId="5" hidden="1">#REF!</definedName>
    <definedName name="BO281DC2682F094143838494BE94ACF0D3" localSheetId="4" hidden="1">#REF!</definedName>
    <definedName name="BO281DC2682F094143838494BE94ACF0D3" hidden="1">#REF!</definedName>
    <definedName name="BO2820D853115942E2941DF3C43B838765" localSheetId="5" hidden="1">#REF!</definedName>
    <definedName name="BO2820D853115942E2941DF3C43B838765" localSheetId="4" hidden="1">#REF!</definedName>
    <definedName name="BO2820D853115942E2941DF3C43B838765" hidden="1">#REF!</definedName>
    <definedName name="BO2822CE5A46F546959CCC53503C2BEEA3" localSheetId="5" hidden="1">#REF!</definedName>
    <definedName name="BO2822CE5A46F546959CCC53503C2BEEA3" localSheetId="4" hidden="1">#REF!</definedName>
    <definedName name="BO2822CE5A46F546959CCC53503C2BEEA3" hidden="1">#REF!</definedName>
    <definedName name="BO285080CA7C46493D8FE264D0E8577415" localSheetId="5" hidden="1">#REF!</definedName>
    <definedName name="BO285080CA7C46493D8FE264D0E8577415" localSheetId="4" hidden="1">#REF!</definedName>
    <definedName name="BO285080CA7C46493D8FE264D0E8577415" hidden="1">#REF!</definedName>
    <definedName name="BO287AFF6B4DE34974973655CA955E3AEC" localSheetId="5" hidden="1">#REF!</definedName>
    <definedName name="BO287AFF6B4DE34974973655CA955E3AEC" localSheetId="4" hidden="1">#REF!</definedName>
    <definedName name="BO287AFF6B4DE34974973655CA955E3AEC" hidden="1">#REF!</definedName>
    <definedName name="BO287E7F9F8DFC4F1B9069C51543542F7E" localSheetId="5" hidden="1">#REF!</definedName>
    <definedName name="BO287E7F9F8DFC4F1B9069C51543542F7E" localSheetId="4" hidden="1">#REF!</definedName>
    <definedName name="BO287E7F9F8DFC4F1B9069C51543542F7E" hidden="1">#REF!</definedName>
    <definedName name="BO28806E61810544FAB47AD484DFC52AF6" localSheetId="5" hidden="1">#REF!</definedName>
    <definedName name="BO28806E61810544FAB47AD484DFC52AF6" localSheetId="4" hidden="1">#REF!</definedName>
    <definedName name="BO28806E61810544FAB47AD484DFC52AF6" hidden="1">#REF!</definedName>
    <definedName name="BO2882E657EAED48D8B17C07929490FB16" localSheetId="5" hidden="1">#REF!</definedName>
    <definedName name="BO2882E657EAED48D8B17C07929490FB16" localSheetId="4" hidden="1">#REF!</definedName>
    <definedName name="BO2882E657EAED48D8B17C07929490FB16" hidden="1">#REF!</definedName>
    <definedName name="BO289041DB794344C0BEE419C711E28AD3" localSheetId="5" hidden="1">#REF!</definedName>
    <definedName name="BO289041DB794344C0BEE419C711E28AD3" localSheetId="4" hidden="1">#REF!</definedName>
    <definedName name="BO289041DB794344C0BEE419C711E28AD3" hidden="1">#REF!</definedName>
    <definedName name="BO28A81A1FC39E4E82A093D754724CA956" localSheetId="5" hidden="1">#REF!</definedName>
    <definedName name="BO28A81A1FC39E4E82A093D754724CA956" localSheetId="4" hidden="1">#REF!</definedName>
    <definedName name="BO28A81A1FC39E4E82A093D754724CA956" hidden="1">#REF!</definedName>
    <definedName name="BO28ADD8D60FE240D793C9FCF23B3D9EE7" localSheetId="5" hidden="1">#REF!</definedName>
    <definedName name="BO28ADD8D60FE240D793C9FCF23B3D9EE7" localSheetId="4" hidden="1">#REF!</definedName>
    <definedName name="BO28ADD8D60FE240D793C9FCF23B3D9EE7" hidden="1">#REF!</definedName>
    <definedName name="BO28E41B589A2C42DAAACA1F4AC4D0BB29" localSheetId="5" hidden="1">#REF!</definedName>
    <definedName name="BO28E41B589A2C42DAAACA1F4AC4D0BB29" localSheetId="4" hidden="1">#REF!</definedName>
    <definedName name="BO28E41B589A2C42DAAACA1F4AC4D0BB29" hidden="1">#REF!</definedName>
    <definedName name="BO28EADA40EE6742078E028BF90E477956" localSheetId="5" hidden="1">#REF!</definedName>
    <definedName name="BO28EADA40EE6742078E028BF90E477956" localSheetId="4" hidden="1">#REF!</definedName>
    <definedName name="BO28EADA40EE6742078E028BF90E477956" hidden="1">#REF!</definedName>
    <definedName name="BO28F284D5E1154013B0BD0FEA710FFC22" localSheetId="5" hidden="1">#REF!</definedName>
    <definedName name="BO28F284D5E1154013B0BD0FEA710FFC22" localSheetId="4" hidden="1">#REF!</definedName>
    <definedName name="BO28F284D5E1154013B0BD0FEA710FFC22" hidden="1">#REF!</definedName>
    <definedName name="BO2901DA2CDDB049CD918B3CA425F08564" localSheetId="5" hidden="1">#REF!</definedName>
    <definedName name="BO2901DA2CDDB049CD918B3CA425F08564" localSheetId="4" hidden="1">#REF!</definedName>
    <definedName name="BO2901DA2CDDB049CD918B3CA425F08564" hidden="1">#REF!</definedName>
    <definedName name="BO29059DBAFB024C1B8E44428FD7EDBCF7" localSheetId="5" hidden="1">#REF!</definedName>
    <definedName name="BO29059DBAFB024C1B8E44428FD7EDBCF7" localSheetId="4" hidden="1">#REF!</definedName>
    <definedName name="BO29059DBAFB024C1B8E44428FD7EDBCF7" hidden="1">#REF!</definedName>
    <definedName name="BO290A6FD38F404C51BC3B4B7F0B1BDE96" localSheetId="5" hidden="1">#REF!</definedName>
    <definedName name="BO290A6FD38F404C51BC3B4B7F0B1BDE96" localSheetId="4" hidden="1">#REF!</definedName>
    <definedName name="BO290A6FD38F404C51BC3B4B7F0B1BDE96" hidden="1">#REF!</definedName>
    <definedName name="BO292558CF2526419C8B5C330E0685DA10" localSheetId="5" hidden="1">#REF!</definedName>
    <definedName name="BO292558CF2526419C8B5C330E0685DA10" localSheetId="4" hidden="1">#REF!</definedName>
    <definedName name="BO292558CF2526419C8B5C330E0685DA10" hidden="1">#REF!</definedName>
    <definedName name="BO2925793A7C194A11BECC1104CFF5C022" localSheetId="5" hidden="1">#REF!</definedName>
    <definedName name="BO2925793A7C194A11BECC1104CFF5C022" localSheetId="4" hidden="1">#REF!</definedName>
    <definedName name="BO2925793A7C194A11BECC1104CFF5C022" hidden="1">#REF!</definedName>
    <definedName name="BO294002F89D534F1D8DDF694873C95021" localSheetId="5" hidden="1">#REF!</definedName>
    <definedName name="BO294002F89D534F1D8DDF694873C95021" localSheetId="4" hidden="1">#REF!</definedName>
    <definedName name="BO294002F89D534F1D8DDF694873C95021" hidden="1">#REF!</definedName>
    <definedName name="BO2950441D89D4497BB606AF9DBCCFB690" localSheetId="5" hidden="1">#REF!</definedName>
    <definedName name="BO2950441D89D4497BB606AF9DBCCFB690" localSheetId="4" hidden="1">#REF!</definedName>
    <definedName name="BO2950441D89D4497BB606AF9DBCCFB690" hidden="1">#REF!</definedName>
    <definedName name="BO29559B6771214E08BBE8E294498D2BAE" localSheetId="5" hidden="1">#REF!</definedName>
    <definedName name="BO29559B6771214E08BBE8E294498D2BAE" localSheetId="4" hidden="1">#REF!</definedName>
    <definedName name="BO29559B6771214E08BBE8E294498D2BAE" hidden="1">#REF!</definedName>
    <definedName name="BO295EFD04D22C4A1E87AF56BE5A809813" localSheetId="5" hidden="1">#REF!</definedName>
    <definedName name="BO295EFD04D22C4A1E87AF56BE5A809813" localSheetId="4" hidden="1">#REF!</definedName>
    <definedName name="BO295EFD04D22C4A1E87AF56BE5A809813" hidden="1">#REF!</definedName>
    <definedName name="BO296FA9CC25174A31A87655830BCB999A" localSheetId="5" hidden="1">#REF!</definedName>
    <definedName name="BO296FA9CC25174A31A87655830BCB999A" localSheetId="4" hidden="1">#REF!</definedName>
    <definedName name="BO296FA9CC25174A31A87655830BCB999A" hidden="1">#REF!</definedName>
    <definedName name="BO297EB9602E6F4DA79ACB542C5EBAFE90" localSheetId="5" hidden="1">#REF!</definedName>
    <definedName name="BO297EB9602E6F4DA79ACB542C5EBAFE90" localSheetId="4" hidden="1">#REF!</definedName>
    <definedName name="BO297EB9602E6F4DA79ACB542C5EBAFE90" hidden="1">#REF!</definedName>
    <definedName name="BO2995AB99558F44B4816D44C804BC8267" localSheetId="5" hidden="1">#REF!</definedName>
    <definedName name="BO2995AB99558F44B4816D44C804BC8267" localSheetId="4" hidden="1">#REF!</definedName>
    <definedName name="BO2995AB99558F44B4816D44C804BC8267" hidden="1">#REF!</definedName>
    <definedName name="BO29999A213FBF4583A9F7E72E99075BD1" localSheetId="5" hidden="1">#REF!</definedName>
    <definedName name="BO29999A213FBF4583A9F7E72E99075BD1" localSheetId="4" hidden="1">#REF!</definedName>
    <definedName name="BO29999A213FBF4583A9F7E72E99075BD1" hidden="1">#REF!</definedName>
    <definedName name="BO29A9074E43644BCEA73805D4C27C8D57" localSheetId="5" hidden="1">#REF!</definedName>
    <definedName name="BO29A9074E43644BCEA73805D4C27C8D57" localSheetId="4" hidden="1">#REF!</definedName>
    <definedName name="BO29A9074E43644BCEA73805D4C27C8D57" hidden="1">#REF!</definedName>
    <definedName name="BO29AEF4B23C8C4922BB345307749DFED9" localSheetId="5" hidden="1">#REF!</definedName>
    <definedName name="BO29AEF4B23C8C4922BB345307749DFED9" localSheetId="4" hidden="1">#REF!</definedName>
    <definedName name="BO29AEF4B23C8C4922BB345307749DFED9" hidden="1">#REF!</definedName>
    <definedName name="BO29B8A7989C614484827322D582CB22D3" localSheetId="5" hidden="1">#REF!</definedName>
    <definedName name="BO29B8A7989C614484827322D582CB22D3" localSheetId="4" hidden="1">#REF!</definedName>
    <definedName name="BO29B8A7989C614484827322D582CB22D3" hidden="1">#REF!</definedName>
    <definedName name="BO29C38DA236A540BE9064CCFDB1A6DA95" localSheetId="5" hidden="1">#REF!</definedName>
    <definedName name="BO29C38DA236A540BE9064CCFDB1A6DA95" localSheetId="4" hidden="1">#REF!</definedName>
    <definedName name="BO29C38DA236A540BE9064CCFDB1A6DA95" hidden="1">#REF!</definedName>
    <definedName name="BO29C9620213C749BEBC28E1FECC545490" localSheetId="5" hidden="1">#REF!</definedName>
    <definedName name="BO29C9620213C749BEBC28E1FECC545490" localSheetId="4" hidden="1">#REF!</definedName>
    <definedName name="BO29C9620213C749BEBC28E1FECC545490" hidden="1">#REF!</definedName>
    <definedName name="BO29CFEBF42BA04B0F9EF2B73368DD7D36" localSheetId="5" hidden="1">#REF!</definedName>
    <definedName name="BO29CFEBF42BA04B0F9EF2B73368DD7D36" localSheetId="4" hidden="1">#REF!</definedName>
    <definedName name="BO29CFEBF42BA04B0F9EF2B73368DD7D36" hidden="1">#REF!</definedName>
    <definedName name="BO29D9B6BABE6F40EDA1A64BAFBAAD0029" localSheetId="5" hidden="1">#REF!</definedName>
    <definedName name="BO29D9B6BABE6F40EDA1A64BAFBAAD0029" localSheetId="4" hidden="1">#REF!</definedName>
    <definedName name="BO29D9B6BABE6F40EDA1A64BAFBAAD0029" hidden="1">#REF!</definedName>
    <definedName name="BO29DF8390BF4D4D4C9C109B7FB0800587" localSheetId="5" hidden="1">#REF!</definedName>
    <definedName name="BO29DF8390BF4D4D4C9C109B7FB0800587" localSheetId="4" hidden="1">#REF!</definedName>
    <definedName name="BO29DF8390BF4D4D4C9C109B7FB0800587" hidden="1">#REF!</definedName>
    <definedName name="BO29EA5B2BE6EF4D02A0D124032B2C74A3" localSheetId="5" hidden="1">#REF!</definedName>
    <definedName name="BO29EA5B2BE6EF4D02A0D124032B2C74A3" localSheetId="4" hidden="1">#REF!</definedName>
    <definedName name="BO29EA5B2BE6EF4D02A0D124032B2C74A3" hidden="1">#REF!</definedName>
    <definedName name="BO29F37DD04DF84D13A76F83F278993FF5" localSheetId="5" hidden="1">#REF!</definedName>
    <definedName name="BO29F37DD04DF84D13A76F83F278993FF5" localSheetId="4" hidden="1">#REF!</definedName>
    <definedName name="BO29F37DD04DF84D13A76F83F278993FF5" hidden="1">#REF!</definedName>
    <definedName name="BO2A00A50A17854DB4993CD4DA31111B21" localSheetId="5" hidden="1">#REF!</definedName>
    <definedName name="BO2A00A50A17854DB4993CD4DA31111B21" localSheetId="4" hidden="1">#REF!</definedName>
    <definedName name="BO2A00A50A17854DB4993CD4DA31111B21" hidden="1">#REF!</definedName>
    <definedName name="BO2A3663D01ABA40F1964CB61CBC037AFA" localSheetId="5" hidden="1">#REF!</definedName>
    <definedName name="BO2A3663D01ABA40F1964CB61CBC037AFA" localSheetId="4" hidden="1">#REF!</definedName>
    <definedName name="BO2A3663D01ABA40F1964CB61CBC037AFA" hidden="1">#REF!</definedName>
    <definedName name="BO2A3E54D24A3B47668D71E1C7274E7F28" localSheetId="5" hidden="1">#REF!</definedName>
    <definedName name="BO2A3E54D24A3B47668D71E1C7274E7F28" localSheetId="4" hidden="1">#REF!</definedName>
    <definedName name="BO2A3E54D24A3B47668D71E1C7274E7F28" hidden="1">#REF!</definedName>
    <definedName name="BO2A5AB8BFF7D74F2AB4A5439111B8A085" localSheetId="5" hidden="1">#REF!</definedName>
    <definedName name="BO2A5AB8BFF7D74F2AB4A5439111B8A085" localSheetId="4" hidden="1">#REF!</definedName>
    <definedName name="BO2A5AB8BFF7D74F2AB4A5439111B8A085" hidden="1">#REF!</definedName>
    <definedName name="BO2A68C8385C834137AB6A597C4C15F834" localSheetId="5" hidden="1">#REF!</definedName>
    <definedName name="BO2A68C8385C834137AB6A597C4C15F834" localSheetId="4" hidden="1">#REF!</definedName>
    <definedName name="BO2A68C8385C834137AB6A597C4C15F834" hidden="1">#REF!</definedName>
    <definedName name="BO2ACBDBD170934826BFE6D567BD2B0828" localSheetId="5" hidden="1">#REF!</definedName>
    <definedName name="BO2ACBDBD170934826BFE6D567BD2B0828" localSheetId="4" hidden="1">#REF!</definedName>
    <definedName name="BO2ACBDBD170934826BFE6D567BD2B0828" hidden="1">#REF!</definedName>
    <definedName name="BO2ACEC73771DA4CA29214F27324CDF669" localSheetId="5" hidden="1">#REF!</definedName>
    <definedName name="BO2ACEC73771DA4CA29214F27324CDF669" localSheetId="4" hidden="1">#REF!</definedName>
    <definedName name="BO2ACEC73771DA4CA29214F27324CDF669" hidden="1">#REF!</definedName>
    <definedName name="BO2B0A73BCB20041ED801C025EAB93632D" localSheetId="5" hidden="1">#REF!</definedName>
    <definedName name="BO2B0A73BCB20041ED801C025EAB93632D" localSheetId="4" hidden="1">#REF!</definedName>
    <definedName name="BO2B0A73BCB20041ED801C025EAB93632D" hidden="1">#REF!</definedName>
    <definedName name="BO2B0E8BE977F44AA2916D9902C43A3328" localSheetId="5" hidden="1">#REF!</definedName>
    <definedName name="BO2B0E8BE977F44AA2916D9902C43A3328" localSheetId="4" hidden="1">#REF!</definedName>
    <definedName name="BO2B0E8BE977F44AA2916D9902C43A3328" hidden="1">#REF!</definedName>
    <definedName name="BO2B2448DD4C9644248EC5E9D25F4F48D6" localSheetId="5" hidden="1">#REF!</definedName>
    <definedName name="BO2B2448DD4C9644248EC5E9D25F4F48D6" localSheetId="4" hidden="1">#REF!</definedName>
    <definedName name="BO2B2448DD4C9644248EC5E9D25F4F48D6" hidden="1">#REF!</definedName>
    <definedName name="BO2B3121A9F6A5434F8155A58F553EAB1C" localSheetId="5" hidden="1">#REF!</definedName>
    <definedName name="BO2B3121A9F6A5434F8155A58F553EAB1C" localSheetId="4" hidden="1">#REF!</definedName>
    <definedName name="BO2B3121A9F6A5434F8155A58F553EAB1C" hidden="1">#REF!</definedName>
    <definedName name="BO2B35EC858E5E4498AB5E85A1F36C0B55" localSheetId="5" hidden="1">#REF!</definedName>
    <definedName name="BO2B35EC858E5E4498AB5E85A1F36C0B55" localSheetId="4" hidden="1">#REF!</definedName>
    <definedName name="BO2B35EC858E5E4498AB5E85A1F36C0B55" hidden="1">#REF!</definedName>
    <definedName name="BO2B380880C86546499F8834AC12F6DED7" localSheetId="5" hidden="1">#REF!</definedName>
    <definedName name="BO2B380880C86546499F8834AC12F6DED7" localSheetId="4" hidden="1">#REF!</definedName>
    <definedName name="BO2B380880C86546499F8834AC12F6DED7" hidden="1">#REF!</definedName>
    <definedName name="BO2B3C5F919A5A4B3E98665B4E17AFD301" localSheetId="5" hidden="1">#REF!</definedName>
    <definedName name="BO2B3C5F919A5A4B3E98665B4E17AFD301" localSheetId="4" hidden="1">#REF!</definedName>
    <definedName name="BO2B3C5F919A5A4B3E98665B4E17AFD301" hidden="1">#REF!</definedName>
    <definedName name="BO2B4252BB76D04F66A45B9EE60EBB29B5" localSheetId="5" hidden="1">#REF!</definedName>
    <definedName name="BO2B4252BB76D04F66A45B9EE60EBB29B5" localSheetId="4" hidden="1">#REF!</definedName>
    <definedName name="BO2B4252BB76D04F66A45B9EE60EBB29B5" hidden="1">#REF!</definedName>
    <definedName name="BO2B6AAA2881A84B7C9BDD628A5D6EEC2D" localSheetId="5" hidden="1">#REF!</definedName>
    <definedName name="BO2B6AAA2881A84B7C9BDD628A5D6EEC2D" localSheetId="4" hidden="1">#REF!</definedName>
    <definedName name="BO2B6AAA2881A84B7C9BDD628A5D6EEC2D" hidden="1">#REF!</definedName>
    <definedName name="BO2B82B2EDBA004E4583F58BC9C0478BC6" localSheetId="5" hidden="1">#REF!</definedName>
    <definedName name="BO2B82B2EDBA004E4583F58BC9C0478BC6" localSheetId="4" hidden="1">#REF!</definedName>
    <definedName name="BO2B82B2EDBA004E4583F58BC9C0478BC6" hidden="1">#REF!</definedName>
    <definedName name="BO2B91C0FF7A1E481CAFD2A997AED66625" localSheetId="5" hidden="1">[8]Ketqua!#REF!</definedName>
    <definedName name="BO2B91C0FF7A1E481CAFD2A997AED66625" localSheetId="4" hidden="1">[8]Ketqua!#REF!</definedName>
    <definedName name="BO2B91C0FF7A1E481CAFD2A997AED66625" hidden="1">[8]Ketqua!#REF!</definedName>
    <definedName name="BO2B9FFCE021A0461C872DCA59C3D3166F" localSheetId="5" hidden="1">#REF!</definedName>
    <definedName name="BO2B9FFCE021A0461C872DCA59C3D3166F" localSheetId="4" hidden="1">#REF!</definedName>
    <definedName name="BO2B9FFCE021A0461C872DCA59C3D3166F" hidden="1">#REF!</definedName>
    <definedName name="BO2BA0327C074A41968868F4F926999ECF" localSheetId="5" hidden="1">#REF!</definedName>
    <definedName name="BO2BA0327C074A41968868F4F926999ECF" localSheetId="4" hidden="1">#REF!</definedName>
    <definedName name="BO2BA0327C074A41968868F4F926999ECF" hidden="1">#REF!</definedName>
    <definedName name="BO2BA86B254A414DDB8F10CD94B5839C2C" localSheetId="5" hidden="1">#REF!</definedName>
    <definedName name="BO2BA86B254A414DDB8F10CD94B5839C2C" localSheetId="4" hidden="1">#REF!</definedName>
    <definedName name="BO2BA86B254A414DDB8F10CD94B5839C2C" hidden="1">#REF!</definedName>
    <definedName name="BO2BD4C66A4E4A45A7AE3E7F29889ECD99" localSheetId="5" hidden="1">#REF!</definedName>
    <definedName name="BO2BD4C66A4E4A45A7AE3E7F29889ECD99" localSheetId="4" hidden="1">#REF!</definedName>
    <definedName name="BO2BD4C66A4E4A45A7AE3E7F29889ECD99" hidden="1">#REF!</definedName>
    <definedName name="BO2BEDCDF495A14574A976ABA84DC1AA9D" localSheetId="5" hidden="1">#REF!</definedName>
    <definedName name="BO2BEDCDF495A14574A976ABA84DC1AA9D" localSheetId="4" hidden="1">#REF!</definedName>
    <definedName name="BO2BEDCDF495A14574A976ABA84DC1AA9D" hidden="1">#REF!</definedName>
    <definedName name="BO2BFF76DEECCD4DF484E8CCDE5D6B2362" localSheetId="5" hidden="1">#REF!</definedName>
    <definedName name="BO2BFF76DEECCD4DF484E8CCDE5D6B2362" localSheetId="4" hidden="1">#REF!</definedName>
    <definedName name="BO2BFF76DEECCD4DF484E8CCDE5D6B2362" hidden="1">#REF!</definedName>
    <definedName name="BO2BFF9769E4C94BB790EEE557FF7DDB56" localSheetId="5" hidden="1">#REF!</definedName>
    <definedName name="BO2BFF9769E4C94BB790EEE557FF7DDB56" localSheetId="4" hidden="1">#REF!</definedName>
    <definedName name="BO2BFF9769E4C94BB790EEE557FF7DDB56" hidden="1">#REF!</definedName>
    <definedName name="BO2BFFFF55E91E412EAA08B005F0A65541" localSheetId="5" hidden="1">#REF!</definedName>
    <definedName name="BO2BFFFF55E91E412EAA08B005F0A65541" localSheetId="4" hidden="1">#REF!</definedName>
    <definedName name="BO2BFFFF55E91E412EAA08B005F0A65541" hidden="1">#REF!</definedName>
    <definedName name="BO2C00DA879D9C45FF879BA5A20E5BC9E9" localSheetId="5" hidden="1">#REF!</definedName>
    <definedName name="BO2C00DA879D9C45FF879BA5A20E5BC9E9" localSheetId="4" hidden="1">#REF!</definedName>
    <definedName name="BO2C00DA879D9C45FF879BA5A20E5BC9E9" hidden="1">#REF!</definedName>
    <definedName name="BO2C017A82654F43CF943A7D066ECB72BB" localSheetId="5" hidden="1">#REF!</definedName>
    <definedName name="BO2C017A82654F43CF943A7D066ECB72BB" localSheetId="4" hidden="1">#REF!</definedName>
    <definedName name="BO2C017A82654F43CF943A7D066ECB72BB" hidden="1">#REF!</definedName>
    <definedName name="BO2C0ACD3804CE4D4D9D67ADE61B2EE690" localSheetId="5" hidden="1">#REF!</definedName>
    <definedName name="BO2C0ACD3804CE4D4D9D67ADE61B2EE690" localSheetId="4" hidden="1">#REF!</definedName>
    <definedName name="BO2C0ACD3804CE4D4D9D67ADE61B2EE690" hidden="1">#REF!</definedName>
    <definedName name="BO2C178AE72FBD4E4B980E039EB05BB49F" localSheetId="5" hidden="1">#REF!</definedName>
    <definedName name="BO2C178AE72FBD4E4B980E039EB05BB49F" localSheetId="4" hidden="1">#REF!</definedName>
    <definedName name="BO2C178AE72FBD4E4B980E039EB05BB49F" hidden="1">#REF!</definedName>
    <definedName name="BO2C1806E0404042B78822AEF94A769B46" localSheetId="5" hidden="1">#REF!</definedName>
    <definedName name="BO2C1806E0404042B78822AEF94A769B46" localSheetId="4" hidden="1">#REF!</definedName>
    <definedName name="BO2C1806E0404042B78822AEF94A769B46" hidden="1">#REF!</definedName>
    <definedName name="BO2C367D597C6245EBA841FD9D9C4237E2" localSheetId="5" hidden="1">#REF!</definedName>
    <definedName name="BO2C367D597C6245EBA841FD9D9C4237E2" localSheetId="4" hidden="1">#REF!</definedName>
    <definedName name="BO2C367D597C6245EBA841FD9D9C4237E2" hidden="1">#REF!</definedName>
    <definedName name="BO2C5CAB4265E84DD5856C73EB10FF96C8" localSheetId="5" hidden="1">#REF!</definedName>
    <definedName name="BO2C5CAB4265E84DD5856C73EB10FF96C8" localSheetId="4" hidden="1">#REF!</definedName>
    <definedName name="BO2C5CAB4265E84DD5856C73EB10FF96C8" hidden="1">#REF!</definedName>
    <definedName name="BO2C783B4F85E24FB88F7951E6B8A86AB0" localSheetId="5" hidden="1">#REF!</definedName>
    <definedName name="BO2C783B4F85E24FB88F7951E6B8A86AB0" localSheetId="4" hidden="1">#REF!</definedName>
    <definedName name="BO2C783B4F85E24FB88F7951E6B8A86AB0" hidden="1">#REF!</definedName>
    <definedName name="BO2C889DD7D9D4453389EF2CC7C7400910" localSheetId="5" hidden="1">#REF!</definedName>
    <definedName name="BO2C889DD7D9D4453389EF2CC7C7400910" localSheetId="4" hidden="1">#REF!</definedName>
    <definedName name="BO2C889DD7D9D4453389EF2CC7C7400910" hidden="1">#REF!</definedName>
    <definedName name="BO2C893EF3E06045B8AAE30677A78003B4" localSheetId="5" hidden="1">#REF!</definedName>
    <definedName name="BO2C893EF3E06045B8AAE30677A78003B4" localSheetId="4" hidden="1">#REF!</definedName>
    <definedName name="BO2C893EF3E06045B8AAE30677A78003B4" hidden="1">#REF!</definedName>
    <definedName name="BO2C8C60696A424B1EACBBFDDE272D0A50" localSheetId="5" hidden="1">#REF!</definedName>
    <definedName name="BO2C8C60696A424B1EACBBFDDE272D0A50" localSheetId="4" hidden="1">#REF!</definedName>
    <definedName name="BO2C8C60696A424B1EACBBFDDE272D0A50" hidden="1">#REF!</definedName>
    <definedName name="BO2C8F21327DD74BE885434F409F574BEC" localSheetId="5" hidden="1">#REF!</definedName>
    <definedName name="BO2C8F21327DD74BE885434F409F574BEC" localSheetId="4" hidden="1">#REF!</definedName>
    <definedName name="BO2C8F21327DD74BE885434F409F574BEC" hidden="1">#REF!</definedName>
    <definedName name="BO2C9B63E184774916BE8749B98B8AE796" localSheetId="5" hidden="1">[7]lailo!#REF!</definedName>
    <definedName name="BO2C9B63E184774916BE8749B98B8AE796" localSheetId="4" hidden="1">[7]lailo!#REF!</definedName>
    <definedName name="BO2C9B63E184774916BE8749B98B8AE796" hidden="1">[7]lailo!#REF!</definedName>
    <definedName name="BO2CAD8F94E59F41D18ADFAF1D7F6F2436" localSheetId="5" hidden="1">#REF!</definedName>
    <definedName name="BO2CAD8F94E59F41D18ADFAF1D7F6F2436" localSheetId="4" hidden="1">#REF!</definedName>
    <definedName name="BO2CAD8F94E59F41D18ADFAF1D7F6F2436" hidden="1">#REF!</definedName>
    <definedName name="BO2CAEB9A05E524B25B5984BDCD9C073D6" localSheetId="5" hidden="1">#REF!</definedName>
    <definedName name="BO2CAEB9A05E524B25B5984BDCD9C073D6" localSheetId="4" hidden="1">#REF!</definedName>
    <definedName name="BO2CAEB9A05E524B25B5984BDCD9C073D6" hidden="1">#REF!</definedName>
    <definedName name="BO2CB7639AD20549F3B40E039515EFF2EA" hidden="1">[8]Ketqua!$X$16:$AJ$16</definedName>
    <definedName name="BO2CD21433E9524DD5B5827FD905224972" localSheetId="5" hidden="1">#REF!</definedName>
    <definedName name="BO2CD21433E9524DD5B5827FD905224972" localSheetId="4" hidden="1">#REF!</definedName>
    <definedName name="BO2CD21433E9524DD5B5827FD905224972" hidden="1">#REF!</definedName>
    <definedName name="BO2CFDBA12D8E94FF6AF9B5EA62A3C061E" localSheetId="5" hidden="1">#REF!</definedName>
    <definedName name="BO2CFDBA12D8E94FF6AF9B5EA62A3C061E" localSheetId="4" hidden="1">#REF!</definedName>
    <definedName name="BO2CFDBA12D8E94FF6AF9B5EA62A3C061E" hidden="1">#REF!</definedName>
    <definedName name="BO2D06A4A023464C6A8482AF000275C1A3" localSheetId="5" hidden="1">#REF!</definedName>
    <definedName name="BO2D06A4A023464C6A8482AF000275C1A3" localSheetId="4" hidden="1">#REF!</definedName>
    <definedName name="BO2D06A4A023464C6A8482AF000275C1A3" hidden="1">#REF!</definedName>
    <definedName name="BO2D1F21BF2A004FDF8CA1E7654CA055CF" localSheetId="5" hidden="1">#REF!</definedName>
    <definedName name="BO2D1F21BF2A004FDF8CA1E7654CA055CF" localSheetId="4" hidden="1">#REF!</definedName>
    <definedName name="BO2D1F21BF2A004FDF8CA1E7654CA055CF" hidden="1">#REF!</definedName>
    <definedName name="BO2D26B3DF58A8486183A106C7BF1FA67E" localSheetId="5" hidden="1">#REF!</definedName>
    <definedName name="BO2D26B3DF58A8486183A106C7BF1FA67E" localSheetId="4" hidden="1">#REF!</definedName>
    <definedName name="BO2D26B3DF58A8486183A106C7BF1FA67E" hidden="1">#REF!</definedName>
    <definedName name="BO2D2D530CDDF14D92997712EB4C8C7BF9" localSheetId="5" hidden="1">#REF!</definedName>
    <definedName name="BO2D2D530CDDF14D92997712EB4C8C7BF9" localSheetId="4" hidden="1">#REF!</definedName>
    <definedName name="BO2D2D530CDDF14D92997712EB4C8C7BF9" hidden="1">#REF!</definedName>
    <definedName name="BO2D31A6FA7EB244579F44D35B99A4A8E4" localSheetId="5" hidden="1">#REF!</definedName>
    <definedName name="BO2D31A6FA7EB244579F44D35B99A4A8E4" localSheetId="4" hidden="1">#REF!</definedName>
    <definedName name="BO2D31A6FA7EB244579F44D35B99A4A8E4" hidden="1">#REF!</definedName>
    <definedName name="BO2D4C4FD75CCF41B9B9D387274FF128C4" localSheetId="5" hidden="1">#REF!</definedName>
    <definedName name="BO2D4C4FD75CCF41B9B9D387274FF128C4" localSheetId="4" hidden="1">#REF!</definedName>
    <definedName name="BO2D4C4FD75CCF41B9B9D387274FF128C4" hidden="1">#REF!</definedName>
    <definedName name="BO2D54BAB3A82B44928B563DE60EC0FD7D" localSheetId="5" hidden="1">[8]Ketqua!#REF!</definedName>
    <definedName name="BO2D54BAB3A82B44928B563DE60EC0FD7D" localSheetId="4" hidden="1">[8]Ketqua!#REF!</definedName>
    <definedName name="BO2D54BAB3A82B44928B563DE60EC0FD7D" hidden="1">[8]Ketqua!#REF!</definedName>
    <definedName name="BO2D56E23DE46E41278B653EC68C177F70" localSheetId="5" hidden="1">#REF!</definedName>
    <definedName name="BO2D56E23DE46E41278B653EC68C177F70" localSheetId="4" hidden="1">#REF!</definedName>
    <definedName name="BO2D56E23DE46E41278B653EC68C177F70" hidden="1">#REF!</definedName>
    <definedName name="BO2D5D96F8B7FD47F0AF757643F2DFB67D" localSheetId="5" hidden="1">#REF!</definedName>
    <definedName name="BO2D5D96F8B7FD47F0AF757643F2DFB67D" localSheetId="4" hidden="1">#REF!</definedName>
    <definedName name="BO2D5D96F8B7FD47F0AF757643F2DFB67D" hidden="1">#REF!</definedName>
    <definedName name="BO2D5ED7DAF43E440CBA2EDD04007603F7" localSheetId="5" hidden="1">#REF!</definedName>
    <definedName name="BO2D5ED7DAF43E440CBA2EDD04007603F7" localSheetId="4" hidden="1">#REF!</definedName>
    <definedName name="BO2D5ED7DAF43E440CBA2EDD04007603F7" hidden="1">#REF!</definedName>
    <definedName name="BO2D6952FC28424398BBE67A8663C3CAAA" localSheetId="5" hidden="1">#REF!</definedName>
    <definedName name="BO2D6952FC28424398BBE67A8663C3CAAA" localSheetId="4" hidden="1">#REF!</definedName>
    <definedName name="BO2D6952FC28424398BBE67A8663C3CAAA" hidden="1">#REF!</definedName>
    <definedName name="BO2D87AEA7FFE24D6298B56D6AC2B80C69" localSheetId="5" hidden="1">#REF!</definedName>
    <definedName name="BO2D87AEA7FFE24D6298B56D6AC2B80C69" localSheetId="4" hidden="1">#REF!</definedName>
    <definedName name="BO2D87AEA7FFE24D6298B56D6AC2B80C69" hidden="1">#REF!</definedName>
    <definedName name="BO2D8A0ACBD3AA4BDA919337ECA4360112" localSheetId="5" hidden="1">#REF!</definedName>
    <definedName name="BO2D8A0ACBD3AA4BDA919337ECA4360112" localSheetId="4" hidden="1">#REF!</definedName>
    <definedName name="BO2D8A0ACBD3AA4BDA919337ECA4360112" hidden="1">#REF!</definedName>
    <definedName name="BO2D8BC348CDD041779ECE70F98BC3F557" localSheetId="5" hidden="1">#REF!</definedName>
    <definedName name="BO2D8BC348CDD041779ECE70F98BC3F557" localSheetId="4" hidden="1">#REF!</definedName>
    <definedName name="BO2D8BC348CDD041779ECE70F98BC3F557" hidden="1">#REF!</definedName>
    <definedName name="BO2D8E3A6420914965BF19B696C6FDDB98" localSheetId="5" hidden="1">[9]Giaitrinh!#REF!</definedName>
    <definedName name="BO2D8E3A6420914965BF19B696C6FDDB98" localSheetId="4" hidden="1">[9]Giaitrinh!#REF!</definedName>
    <definedName name="BO2D8E3A6420914965BF19B696C6FDDB98" hidden="1">[9]Giaitrinh!#REF!</definedName>
    <definedName name="BO2D9AC84D96AF42AA92BCDA8C34005373" localSheetId="5" hidden="1">#REF!</definedName>
    <definedName name="BO2D9AC84D96AF42AA92BCDA8C34005373" localSheetId="4" hidden="1">#REF!</definedName>
    <definedName name="BO2D9AC84D96AF42AA92BCDA8C34005373" hidden="1">#REF!</definedName>
    <definedName name="BO2D9C9221DB91418EABFC641573A61A0E" localSheetId="5" hidden="1">#REF!</definedName>
    <definedName name="BO2D9C9221DB91418EABFC641573A61A0E" localSheetId="4" hidden="1">#REF!</definedName>
    <definedName name="BO2D9C9221DB91418EABFC641573A61A0E" hidden="1">#REF!</definedName>
    <definedName name="BO2DA17E8925E843DF9AD707E98574AD6E" localSheetId="5" hidden="1">#REF!</definedName>
    <definedName name="BO2DA17E8925E843DF9AD707E98574AD6E" localSheetId="4" hidden="1">#REF!</definedName>
    <definedName name="BO2DA17E8925E843DF9AD707E98574AD6E" hidden="1">#REF!</definedName>
    <definedName name="BO2DA4307D91F7429B9D5B5DDF2085790C" localSheetId="5" hidden="1">#REF!</definedName>
    <definedName name="BO2DA4307D91F7429B9D5B5DDF2085790C" localSheetId="4" hidden="1">#REF!</definedName>
    <definedName name="BO2DA4307D91F7429B9D5B5DDF2085790C" hidden="1">#REF!</definedName>
    <definedName name="BO2DBD82CD6B5747D7A5D8C6F9F7CDAD2F" localSheetId="5" hidden="1">#REF!</definedName>
    <definedName name="BO2DBD82CD6B5747D7A5D8C6F9F7CDAD2F" localSheetId="4" hidden="1">#REF!</definedName>
    <definedName name="BO2DBD82CD6B5747D7A5D8C6F9F7CDAD2F" hidden="1">#REF!</definedName>
    <definedName name="BO2DCD5B6ED5004362994797D85763A69B" localSheetId="5" hidden="1">#REF!</definedName>
    <definedName name="BO2DCD5B6ED5004362994797D85763A69B" localSheetId="4" hidden="1">#REF!</definedName>
    <definedName name="BO2DCD5B6ED5004362994797D85763A69B" hidden="1">#REF!</definedName>
    <definedName name="BO2DCDE4D261A04AAC852472517C848C64" localSheetId="5" hidden="1">#REF!</definedName>
    <definedName name="BO2DCDE4D261A04AAC852472517C848C64" localSheetId="4" hidden="1">#REF!</definedName>
    <definedName name="BO2DCDE4D261A04AAC852472517C848C64" hidden="1">#REF!</definedName>
    <definedName name="BO2DCF80E250E645A29463073D5E33DF72" localSheetId="5" hidden="1">#REF!</definedName>
    <definedName name="BO2DCF80E250E645A29463073D5E33DF72" localSheetId="4" hidden="1">#REF!</definedName>
    <definedName name="BO2DCF80E250E645A29463073D5E33DF72" hidden="1">#REF!</definedName>
    <definedName name="BO2DD4678FCE224E6994B756524707755F" localSheetId="5" hidden="1">#REF!</definedName>
    <definedName name="BO2DD4678FCE224E6994B756524707755F" localSheetId="4" hidden="1">#REF!</definedName>
    <definedName name="BO2DD4678FCE224E6994B756524707755F" hidden="1">#REF!</definedName>
    <definedName name="BO2DD4E3C6BF6E4DA983890148DF40506D" localSheetId="5" hidden="1">#REF!</definedName>
    <definedName name="BO2DD4E3C6BF6E4DA983890148DF40506D" localSheetId="4" hidden="1">#REF!</definedName>
    <definedName name="BO2DD4E3C6BF6E4DA983890148DF40506D" hidden="1">#REF!</definedName>
    <definedName name="BO2DDB0BD841F340A8880296264AC1AD09" localSheetId="5" hidden="1">#REF!</definedName>
    <definedName name="BO2DDB0BD841F340A8880296264AC1AD09" localSheetId="4" hidden="1">#REF!</definedName>
    <definedName name="BO2DDB0BD841F340A8880296264AC1AD09" hidden="1">#REF!</definedName>
    <definedName name="BO2DE9E90DC8284B20BB40C194A2FBA813" localSheetId="5" hidden="1">#REF!</definedName>
    <definedName name="BO2DE9E90DC8284B20BB40C194A2FBA813" localSheetId="4" hidden="1">#REF!</definedName>
    <definedName name="BO2DE9E90DC8284B20BB40C194A2FBA813" hidden="1">#REF!</definedName>
    <definedName name="BO2DED502E1D1E4D9C9CCEC23CEB3F40DD" hidden="1">[8]Ketqua!$I$17:$U$17</definedName>
    <definedName name="BO2DED886FB72E452D80B8CDB76E9B61DE" localSheetId="5" hidden="1">#REF!</definedName>
    <definedName name="BO2DED886FB72E452D80B8CDB76E9B61DE" localSheetId="4" hidden="1">#REF!</definedName>
    <definedName name="BO2DED886FB72E452D80B8CDB76E9B61DE" hidden="1">#REF!</definedName>
    <definedName name="BO2DF6685EBC6440CEBADE1F180B3EC72A" localSheetId="5" hidden="1">#REF!</definedName>
    <definedName name="BO2DF6685EBC6440CEBADE1F180B3EC72A" localSheetId="4" hidden="1">#REF!</definedName>
    <definedName name="BO2DF6685EBC6440CEBADE1F180B3EC72A" hidden="1">#REF!</definedName>
    <definedName name="BO2DFBC5D95CCE4CFEBFF900CE3D346556" localSheetId="5" hidden="1">#REF!</definedName>
    <definedName name="BO2DFBC5D95CCE4CFEBFF900CE3D346556" localSheetId="4" hidden="1">#REF!</definedName>
    <definedName name="BO2DFBC5D95CCE4CFEBFF900CE3D346556" hidden="1">#REF!</definedName>
    <definedName name="BO2E070348823940B5AC91D46880537C79" localSheetId="5" hidden="1">#REF!</definedName>
    <definedName name="BO2E070348823940B5AC91D46880537C79" localSheetId="4" hidden="1">#REF!</definedName>
    <definedName name="BO2E070348823940B5AC91D46880537C79" hidden="1">#REF!</definedName>
    <definedName name="BO2E0ADDF3EDA5412893AD4ACADC83B2FE" localSheetId="5" hidden="1">#REF!</definedName>
    <definedName name="BO2E0ADDF3EDA5412893AD4ACADC83B2FE" localSheetId="4" hidden="1">#REF!</definedName>
    <definedName name="BO2E0ADDF3EDA5412893AD4ACADC83B2FE" hidden="1">#REF!</definedName>
    <definedName name="BO2E0CEBF6C3334D0486E22BAF923C84FB" localSheetId="5" hidden="1">[9]xml!#REF!</definedName>
    <definedName name="BO2E0CEBF6C3334D0486E22BAF923C84FB" localSheetId="4" hidden="1">[9]xml!#REF!</definedName>
    <definedName name="BO2E0CEBF6C3334D0486E22BAF923C84FB" hidden="1">[9]xml!#REF!</definedName>
    <definedName name="BO2E13EDA225FE494DB0E60E9756B990AC" localSheetId="5" hidden="1">#REF!</definedName>
    <definedName name="BO2E13EDA225FE494DB0E60E9756B990AC" localSheetId="4" hidden="1">#REF!</definedName>
    <definedName name="BO2E13EDA225FE494DB0E60E9756B990AC" hidden="1">#REF!</definedName>
    <definedName name="BO2E2390FFDE3D4330BB420875EF44FAD1" localSheetId="5" hidden="1">#REF!</definedName>
    <definedName name="BO2E2390FFDE3D4330BB420875EF44FAD1" localSheetId="4" hidden="1">#REF!</definedName>
    <definedName name="BO2E2390FFDE3D4330BB420875EF44FAD1" hidden="1">#REF!</definedName>
    <definedName name="BO2E73369191B74B4C886F1DDBD22EA363" localSheetId="5" hidden="1">#REF!</definedName>
    <definedName name="BO2E73369191B74B4C886F1DDBD22EA363" localSheetId="4" hidden="1">#REF!</definedName>
    <definedName name="BO2E73369191B74B4C886F1DDBD22EA363" hidden="1">#REF!</definedName>
    <definedName name="BO2E79F7D1C81542F6BDF2A3F7C689762E" localSheetId="5" hidden="1">#REF!</definedName>
    <definedName name="BO2E79F7D1C81542F6BDF2A3F7C689762E" localSheetId="4" hidden="1">#REF!</definedName>
    <definedName name="BO2E79F7D1C81542F6BDF2A3F7C689762E" hidden="1">#REF!</definedName>
    <definedName name="BO2E827E447FD14CADBF765D781BC193C2" localSheetId="5" hidden="1">#REF!</definedName>
    <definedName name="BO2E827E447FD14CADBF765D781BC193C2" localSheetId="4" hidden="1">#REF!</definedName>
    <definedName name="BO2E827E447FD14CADBF765D781BC193C2" hidden="1">#REF!</definedName>
    <definedName name="BO2E9E3090B08D47EBBC36CF959D2176D1" localSheetId="5" hidden="1">#REF!</definedName>
    <definedName name="BO2E9E3090B08D47EBBC36CF959D2176D1" localSheetId="4" hidden="1">#REF!</definedName>
    <definedName name="BO2E9E3090B08D47EBBC36CF959D2176D1" hidden="1">#REF!</definedName>
    <definedName name="BO2EA6321A40EE44FE881B78984B02B217" localSheetId="5" hidden="1">#REF!</definedName>
    <definedName name="BO2EA6321A40EE44FE881B78984B02B217" localSheetId="4" hidden="1">#REF!</definedName>
    <definedName name="BO2EA6321A40EE44FE881B78984B02B217" hidden="1">#REF!</definedName>
    <definedName name="BO2EAD9B0C059247AC8F367208CFDD4EB3" localSheetId="5" hidden="1">#REF!</definedName>
    <definedName name="BO2EAD9B0C059247AC8F367208CFDD4EB3" localSheetId="4" hidden="1">#REF!</definedName>
    <definedName name="BO2EAD9B0C059247AC8F367208CFDD4EB3" hidden="1">#REF!</definedName>
    <definedName name="BO2EC14E88B62947F3AFFA21166BB0AA7A" localSheetId="5" hidden="1">#REF!</definedName>
    <definedName name="BO2EC14E88B62947F3AFFA21166BB0AA7A" localSheetId="4" hidden="1">#REF!</definedName>
    <definedName name="BO2EC14E88B62947F3AFFA21166BB0AA7A" hidden="1">#REF!</definedName>
    <definedName name="BO2EC57A3E2D884825BA0BD928EF4AE1AD" localSheetId="5" hidden="1">#REF!</definedName>
    <definedName name="BO2EC57A3E2D884825BA0BD928EF4AE1AD" localSheetId="4" hidden="1">#REF!</definedName>
    <definedName name="BO2EC57A3E2D884825BA0BD928EF4AE1AD" hidden="1">#REF!</definedName>
    <definedName name="BO2EC6D26CDEB347D78EAE0F11E5C52867" localSheetId="5" hidden="1">#REF!</definedName>
    <definedName name="BO2EC6D26CDEB347D78EAE0F11E5C52867" localSheetId="4" hidden="1">#REF!</definedName>
    <definedName name="BO2EC6D26CDEB347D78EAE0F11E5C52867" hidden="1">#REF!</definedName>
    <definedName name="BO2EDBF44490984D53A344E7B9CA6A35D0" hidden="1">[8]Ketqua!$I$11:$U$11</definedName>
    <definedName name="BO2EF97F81DD964566ABA785620A36892C" localSheetId="5" hidden="1">#REF!</definedName>
    <definedName name="BO2EF97F81DD964566ABA785620A36892C" localSheetId="4" hidden="1">#REF!</definedName>
    <definedName name="BO2EF97F81DD964566ABA785620A36892C" hidden="1">#REF!</definedName>
    <definedName name="BO2F048AD87674415EBAF572BA92AF1215" localSheetId="5" hidden="1">#REF!</definedName>
    <definedName name="BO2F048AD87674415EBAF572BA92AF1215" localSheetId="4" hidden="1">#REF!</definedName>
    <definedName name="BO2F048AD87674415EBAF572BA92AF1215" hidden="1">#REF!</definedName>
    <definedName name="BO2F166ED9BE3F4F8AB2267F7697917DD0" localSheetId="5" hidden="1">#REF!</definedName>
    <definedName name="BO2F166ED9BE3F4F8AB2267F7697917DD0" localSheetId="4" hidden="1">#REF!</definedName>
    <definedName name="BO2F166ED9BE3F4F8AB2267F7697917DD0" hidden="1">#REF!</definedName>
    <definedName name="BO2F204193D00C4D88A012296B8E77A759" localSheetId="5" hidden="1">#REF!</definedName>
    <definedName name="BO2F204193D00C4D88A012296B8E77A759" localSheetId="4" hidden="1">#REF!</definedName>
    <definedName name="BO2F204193D00C4D88A012296B8E77A759" hidden="1">#REF!</definedName>
    <definedName name="BO2F358C635E6F441BBFA6F1602189C967" localSheetId="5" hidden="1">#REF!</definedName>
    <definedName name="BO2F358C635E6F441BBFA6F1602189C967" localSheetId="4" hidden="1">#REF!</definedName>
    <definedName name="BO2F358C635E6F441BBFA6F1602189C967" hidden="1">#REF!</definedName>
    <definedName name="BO2F42D219D08048A58C2AC9A1FE6D0FB2" localSheetId="5" hidden="1">#REF!</definedName>
    <definedName name="BO2F42D219D08048A58C2AC9A1FE6D0FB2" localSheetId="4" hidden="1">#REF!</definedName>
    <definedName name="BO2F42D219D08048A58C2AC9A1FE6D0FB2" hidden="1">#REF!</definedName>
    <definedName name="BO2F4539B649B74DA99365C8555DF35795" localSheetId="5" hidden="1">#REF!</definedName>
    <definedName name="BO2F4539B649B74DA99365C8555DF35795" localSheetId="4" hidden="1">#REF!</definedName>
    <definedName name="BO2F4539B649B74DA99365C8555DF35795" hidden="1">#REF!</definedName>
    <definedName name="BO2F4A80B58C7249F39C3A1B337E9D6D68" localSheetId="5" hidden="1">#REF!</definedName>
    <definedName name="BO2F4A80B58C7249F39C3A1B337E9D6D68" localSheetId="4" hidden="1">#REF!</definedName>
    <definedName name="BO2F4A80B58C7249F39C3A1B337E9D6D68" hidden="1">#REF!</definedName>
    <definedName name="BO2F62BC4AE8D5460C8C4622B39652869D" localSheetId="5" hidden="1">#REF!</definedName>
    <definedName name="BO2F62BC4AE8D5460C8C4622B39652869D" localSheetId="4" hidden="1">#REF!</definedName>
    <definedName name="BO2F62BC4AE8D5460C8C4622B39652869D" hidden="1">#REF!</definedName>
    <definedName name="BO2F6D4FCC2ECE4F8E86291FE9436839CB" localSheetId="5" hidden="1">#REF!</definedName>
    <definedName name="BO2F6D4FCC2ECE4F8E86291FE9436839CB" localSheetId="4" hidden="1">#REF!</definedName>
    <definedName name="BO2F6D4FCC2ECE4F8E86291FE9436839CB" hidden="1">#REF!</definedName>
    <definedName name="BO2F6D718B7E994EE6A3AB38E7D4068FAD" localSheetId="5" hidden="1">#REF!</definedName>
    <definedName name="BO2F6D718B7E994EE6A3AB38E7D4068FAD" localSheetId="4" hidden="1">#REF!</definedName>
    <definedName name="BO2F6D718B7E994EE6A3AB38E7D4068FAD" hidden="1">#REF!</definedName>
    <definedName name="BO2F88AEEFB75E4DDBA8A5EBA600E78302" localSheetId="5" hidden="1">#REF!</definedName>
    <definedName name="BO2F88AEEFB75E4DDBA8A5EBA600E78302" localSheetId="4" hidden="1">#REF!</definedName>
    <definedName name="BO2F88AEEFB75E4DDBA8A5EBA600E78302" hidden="1">#REF!</definedName>
    <definedName name="BO2F8E3968D439492A86A864A71D39F8D2" localSheetId="5" hidden="1">#REF!</definedName>
    <definedName name="BO2F8E3968D439492A86A864A71D39F8D2" localSheetId="4" hidden="1">#REF!</definedName>
    <definedName name="BO2F8E3968D439492A86A864A71D39F8D2" hidden="1">#REF!</definedName>
    <definedName name="BO2FB7BBF1D6104358A3FD7E2E098C7429" localSheetId="5" hidden="1">#REF!</definedName>
    <definedName name="BO2FB7BBF1D6104358A3FD7E2E098C7429" localSheetId="4" hidden="1">#REF!</definedName>
    <definedName name="BO2FB7BBF1D6104358A3FD7E2E098C7429" hidden="1">#REF!</definedName>
    <definedName name="BO2FB9B240E0EA492F83769264D9892D15" localSheetId="5" hidden="1">#REF!</definedName>
    <definedName name="BO2FB9B240E0EA492F83769264D9892D15" localSheetId="4" hidden="1">#REF!</definedName>
    <definedName name="BO2FB9B240E0EA492F83769264D9892D15" hidden="1">#REF!</definedName>
    <definedName name="BO2FC0DF53050A4C7B94AD703F384F6DBC" localSheetId="5" hidden="1">#REF!</definedName>
    <definedName name="BO2FC0DF53050A4C7B94AD703F384F6DBC" localSheetId="4" hidden="1">#REF!</definedName>
    <definedName name="BO2FC0DF53050A4C7B94AD703F384F6DBC" hidden="1">#REF!</definedName>
    <definedName name="BO2FC349B9327645118BC37D9143F7FAD5" localSheetId="5" hidden="1">#REF!</definedName>
    <definedName name="BO2FC349B9327645118BC37D9143F7FAD5" localSheetId="4" hidden="1">#REF!</definedName>
    <definedName name="BO2FC349B9327645118BC37D9143F7FAD5" hidden="1">#REF!</definedName>
    <definedName name="BO2FC45C16A3F54D729E26F3464A622F47" localSheetId="5" hidden="1">#REF!</definedName>
    <definedName name="BO2FC45C16A3F54D729E26F3464A622F47" localSheetId="4" hidden="1">#REF!</definedName>
    <definedName name="BO2FC45C16A3F54D729E26F3464A622F47" hidden="1">#REF!</definedName>
    <definedName name="BO2FD0E480BF914730B1552E6648072D26" localSheetId="5" hidden="1">#REF!</definedName>
    <definedName name="BO2FD0E480BF914730B1552E6648072D26" localSheetId="4" hidden="1">#REF!</definedName>
    <definedName name="BO2FD0E480BF914730B1552E6648072D26" hidden="1">#REF!</definedName>
    <definedName name="BO2FD62BE74CC149888B880AC01EF87DF2" localSheetId="5" hidden="1">#REF!</definedName>
    <definedName name="BO2FD62BE74CC149888B880AC01EF87DF2" localSheetId="4" hidden="1">#REF!</definedName>
    <definedName name="BO2FD62BE74CC149888B880AC01EF87DF2" hidden="1">#REF!</definedName>
    <definedName name="BO2FF79A8750344AFB9FAEF3F2584B6878" localSheetId="5" hidden="1">#REF!</definedName>
    <definedName name="BO2FF79A8750344AFB9FAEF3F2584B6878" localSheetId="4" hidden="1">#REF!</definedName>
    <definedName name="BO2FF79A8750344AFB9FAEF3F2584B6878" hidden="1">#REF!</definedName>
    <definedName name="BO3003ED9EC2F1488EB4D2C53225440780" localSheetId="5" hidden="1">#REF!</definedName>
    <definedName name="BO3003ED9EC2F1488EB4D2C53225440780" localSheetId="4" hidden="1">#REF!</definedName>
    <definedName name="BO3003ED9EC2F1488EB4D2C53225440780" hidden="1">#REF!</definedName>
    <definedName name="BO300927459DDB41E399246A651525A949" localSheetId="5" hidden="1">#REF!</definedName>
    <definedName name="BO300927459DDB41E399246A651525A949" localSheetId="4" hidden="1">#REF!</definedName>
    <definedName name="BO300927459DDB41E399246A651525A949" hidden="1">#REF!</definedName>
    <definedName name="BO3035AC54ACEE4A0690E155DADE14BF37" localSheetId="5" hidden="1">#REF!</definedName>
    <definedName name="BO3035AC54ACEE4A0690E155DADE14BF37" localSheetId="4" hidden="1">#REF!</definedName>
    <definedName name="BO3035AC54ACEE4A0690E155DADE14BF37" hidden="1">#REF!</definedName>
    <definedName name="BO303817AB93D240FFA8A9F7B0CB8DBC70" localSheetId="5" hidden="1">#REF!</definedName>
    <definedName name="BO303817AB93D240FFA8A9F7B0CB8DBC70" localSheetId="4" hidden="1">#REF!</definedName>
    <definedName name="BO303817AB93D240FFA8A9F7B0CB8DBC70" hidden="1">#REF!</definedName>
    <definedName name="BO3048B1FEEEB9407289145FE7A15203C5" localSheetId="5" hidden="1">#REF!</definedName>
    <definedName name="BO3048B1FEEEB9407289145FE7A15203C5" localSheetId="4" hidden="1">#REF!</definedName>
    <definedName name="BO3048B1FEEEB9407289145FE7A15203C5" hidden="1">#REF!</definedName>
    <definedName name="BO305A4EE83CF84699A049D21A38BA74BC" localSheetId="5" hidden="1">#REF!</definedName>
    <definedName name="BO305A4EE83CF84699A049D21A38BA74BC" localSheetId="4" hidden="1">#REF!</definedName>
    <definedName name="BO305A4EE83CF84699A049D21A38BA74BC" hidden="1">#REF!</definedName>
    <definedName name="BO305FCC173BF54F10B9CFB9C7D81F1623" localSheetId="5" hidden="1">#REF!</definedName>
    <definedName name="BO305FCC173BF54F10B9CFB9C7D81F1623" localSheetId="4" hidden="1">#REF!</definedName>
    <definedName name="BO305FCC173BF54F10B9CFB9C7D81F1623" hidden="1">#REF!</definedName>
    <definedName name="BO307C20FB9DBD4FB39B6363829CD0B876" localSheetId="5" hidden="1">#REF!</definedName>
    <definedName name="BO307C20FB9DBD4FB39B6363829CD0B876" localSheetId="4" hidden="1">#REF!</definedName>
    <definedName name="BO307C20FB9DBD4FB39B6363829CD0B876" hidden="1">#REF!</definedName>
    <definedName name="BO30AEB6F35CD1422794B692A2CB4D39DD" localSheetId="5" hidden="1">#REF!</definedName>
    <definedName name="BO30AEB6F35CD1422794B692A2CB4D39DD" localSheetId="4" hidden="1">#REF!</definedName>
    <definedName name="BO30AEB6F35CD1422794B692A2CB4D39DD" hidden="1">#REF!</definedName>
    <definedName name="BO30BB2A290A4B4A7A86CF91ABD473B52C" localSheetId="5" hidden="1">#REF!</definedName>
    <definedName name="BO30BB2A290A4B4A7A86CF91ABD473B52C" localSheetId="4" hidden="1">#REF!</definedName>
    <definedName name="BO30BB2A290A4B4A7A86CF91ABD473B52C" hidden="1">#REF!</definedName>
    <definedName name="BO30F82A0F45F0488B9BF672A0DD5384B3" localSheetId="5" hidden="1">#REF!</definedName>
    <definedName name="BO30F82A0F45F0488B9BF672A0DD5384B3" localSheetId="4" hidden="1">#REF!</definedName>
    <definedName name="BO30F82A0F45F0488B9BF672A0DD5384B3" hidden="1">#REF!</definedName>
    <definedName name="BO3109EDD8560A4446A3446598A733F1C5" localSheetId="5" hidden="1">#REF!</definedName>
    <definedName name="BO3109EDD8560A4446A3446598A733F1C5" localSheetId="4" hidden="1">#REF!</definedName>
    <definedName name="BO3109EDD8560A4446A3446598A733F1C5" hidden="1">#REF!</definedName>
    <definedName name="BO3122C041F6CB43D3A06CF77A073228C3" localSheetId="5" hidden="1">#REF!</definedName>
    <definedName name="BO3122C041F6CB43D3A06CF77A073228C3" localSheetId="4" hidden="1">#REF!</definedName>
    <definedName name="BO3122C041F6CB43D3A06CF77A073228C3" hidden="1">#REF!</definedName>
    <definedName name="BO312587118F00438F8D4DDD5EC86D6441" localSheetId="5" hidden="1">#REF!</definedName>
    <definedName name="BO312587118F00438F8D4DDD5EC86D6441" localSheetId="4" hidden="1">#REF!</definedName>
    <definedName name="BO312587118F00438F8D4DDD5EC86D6441" hidden="1">#REF!</definedName>
    <definedName name="BO3185C5AFD18F419BAA9951E27A665BEC" localSheetId="5" hidden="1">#REF!</definedName>
    <definedName name="BO3185C5AFD18F419BAA9951E27A665BEC" localSheetId="4" hidden="1">#REF!</definedName>
    <definedName name="BO3185C5AFD18F419BAA9951E27A665BEC" hidden="1">#REF!</definedName>
    <definedName name="BO319702CB1B184F81AAFD2A7C9B29902F" localSheetId="5" hidden="1">#REF!</definedName>
    <definedName name="BO319702CB1B184F81AAFD2A7C9B29902F" localSheetId="4" hidden="1">#REF!</definedName>
    <definedName name="BO319702CB1B184F81AAFD2A7C9B29902F" hidden="1">#REF!</definedName>
    <definedName name="BO31977218B9E2476B845FBBC8E5D5D3F1" localSheetId="5" hidden="1">#REF!</definedName>
    <definedName name="BO31977218B9E2476B845FBBC8E5D5D3F1" localSheetId="4" hidden="1">#REF!</definedName>
    <definedName name="BO31977218B9E2476B845FBBC8E5D5D3F1" hidden="1">#REF!</definedName>
    <definedName name="BO31AE2847EEBD4163AFD0D5ACEBEE6896" localSheetId="5" hidden="1">#REF!</definedName>
    <definedName name="BO31AE2847EEBD4163AFD0D5ACEBEE6896" localSheetId="4" hidden="1">#REF!</definedName>
    <definedName name="BO31AE2847EEBD4163AFD0D5ACEBEE6896" hidden="1">#REF!</definedName>
    <definedName name="BO31B1C27CA2784591B3BD7B8F97CEC20D" localSheetId="5" hidden="1">[8]Ketqua!#REF!</definedName>
    <definedName name="BO31B1C27CA2784591B3BD7B8F97CEC20D" localSheetId="4" hidden="1">[8]Ketqua!#REF!</definedName>
    <definedName name="BO31B1C27CA2784591B3BD7B8F97CEC20D" hidden="1">[8]Ketqua!#REF!</definedName>
    <definedName name="BO31B3626C280842DDB0F0576C3AB66A35" localSheetId="5" hidden="1">#REF!</definedName>
    <definedName name="BO31B3626C280842DDB0F0576C3AB66A35" localSheetId="4" hidden="1">#REF!</definedName>
    <definedName name="BO31B3626C280842DDB0F0576C3AB66A35" hidden="1">#REF!</definedName>
    <definedName name="BO31CD43A4563F48E3ADEF3B086F77F412" localSheetId="5" hidden="1">#REF!</definedName>
    <definedName name="BO31CD43A4563F48E3ADEF3B086F77F412" localSheetId="4" hidden="1">#REF!</definedName>
    <definedName name="BO31CD43A4563F48E3ADEF3B086F77F412" hidden="1">#REF!</definedName>
    <definedName name="BO31D8C066076E4283A10C0EDC7E92C950" localSheetId="5" hidden="1">#REF!</definedName>
    <definedName name="BO31D8C066076E4283A10C0EDC7E92C950" localSheetId="4" hidden="1">#REF!</definedName>
    <definedName name="BO31D8C066076E4283A10C0EDC7E92C950" hidden="1">#REF!</definedName>
    <definedName name="BO31DA1E9AC58D4BD2AA9F8600C99DE660" localSheetId="5" hidden="1">#REF!</definedName>
    <definedName name="BO31DA1E9AC58D4BD2AA9F8600C99DE660" localSheetId="4" hidden="1">#REF!</definedName>
    <definedName name="BO31DA1E9AC58D4BD2AA9F8600C99DE660" hidden="1">#REF!</definedName>
    <definedName name="BO31F8670C7F834ADE839FE3FDD7AF81CC" localSheetId="5" hidden="1">#REF!</definedName>
    <definedName name="BO31F8670C7F834ADE839FE3FDD7AF81CC" localSheetId="4" hidden="1">#REF!</definedName>
    <definedName name="BO31F8670C7F834ADE839FE3FDD7AF81CC" hidden="1">#REF!</definedName>
    <definedName name="BO31FF4845F0134E159EDFA068B8DF1456" localSheetId="5" hidden="1">[8]Ketqua!#REF!</definedName>
    <definedName name="BO31FF4845F0134E159EDFA068B8DF1456" localSheetId="4" hidden="1">[8]Ketqua!#REF!</definedName>
    <definedName name="BO31FF4845F0134E159EDFA068B8DF1456" hidden="1">[8]Ketqua!#REF!</definedName>
    <definedName name="BO320065802A964F15869394242DAC3970" localSheetId="5" hidden="1">#REF!</definedName>
    <definedName name="BO320065802A964F15869394242DAC3970" localSheetId="4" hidden="1">#REF!</definedName>
    <definedName name="BO320065802A964F15869394242DAC3970" hidden="1">#REF!</definedName>
    <definedName name="BO320E319854F24796AD6DD070BBD74A29" localSheetId="5" hidden="1">#REF!</definedName>
    <definedName name="BO320E319854F24796AD6DD070BBD74A29" localSheetId="4" hidden="1">#REF!</definedName>
    <definedName name="BO320E319854F24796AD6DD070BBD74A29" hidden="1">#REF!</definedName>
    <definedName name="BO32106E86308346B79ACBCBA8F0EEF58B" localSheetId="5" hidden="1">#REF!</definedName>
    <definedName name="BO32106E86308346B79ACBCBA8F0EEF58B" localSheetId="4" hidden="1">#REF!</definedName>
    <definedName name="BO32106E86308346B79ACBCBA8F0EEF58B" hidden="1">#REF!</definedName>
    <definedName name="BO3222B69EF72A4FDCB62A2B1B7EA476CD" localSheetId="5" hidden="1">#REF!</definedName>
    <definedName name="BO3222B69EF72A4FDCB62A2B1B7EA476CD" localSheetId="4" hidden="1">#REF!</definedName>
    <definedName name="BO3222B69EF72A4FDCB62A2B1B7EA476CD" hidden="1">#REF!</definedName>
    <definedName name="BO322E7FA478294784B9114B9FB7640AE4" localSheetId="5" hidden="1">#REF!</definedName>
    <definedName name="BO322E7FA478294784B9114B9FB7640AE4" localSheetId="4" hidden="1">#REF!</definedName>
    <definedName name="BO322E7FA478294784B9114B9FB7640AE4" hidden="1">#REF!</definedName>
    <definedName name="BO325BFB84D0B6488F9FC002710A98FC55" localSheetId="5" hidden="1">#REF!</definedName>
    <definedName name="BO325BFB84D0B6488F9FC002710A98FC55" localSheetId="4" hidden="1">#REF!</definedName>
    <definedName name="BO325BFB84D0B6488F9FC002710A98FC55" hidden="1">#REF!</definedName>
    <definedName name="BO327C7F9E4E9D4477B4611F339FE9E318" localSheetId="5" hidden="1">#REF!</definedName>
    <definedName name="BO327C7F9E4E9D4477B4611F339FE9E318" localSheetId="4" hidden="1">#REF!</definedName>
    <definedName name="BO327C7F9E4E9D4477B4611F339FE9E318" hidden="1">#REF!</definedName>
    <definedName name="BO3289F49EFC034457B8AB42EB6E44BB67" localSheetId="5" hidden="1">#REF!</definedName>
    <definedName name="BO3289F49EFC034457B8AB42EB6E44BB67" localSheetId="4" hidden="1">#REF!</definedName>
    <definedName name="BO3289F49EFC034457B8AB42EB6E44BB67" hidden="1">#REF!</definedName>
    <definedName name="BO328D22DDDB2F4A2280EF41B7DC2EF946" localSheetId="5" hidden="1">#REF!</definedName>
    <definedName name="BO328D22DDDB2F4A2280EF41B7DC2EF946" localSheetId="4" hidden="1">#REF!</definedName>
    <definedName name="BO328D22DDDB2F4A2280EF41B7DC2EF946" hidden="1">#REF!</definedName>
    <definedName name="BO329031B61E9B4E1CB748E2BF18453CBA" localSheetId="5" hidden="1">#REF!</definedName>
    <definedName name="BO329031B61E9B4E1CB748E2BF18453CBA" localSheetId="4" hidden="1">#REF!</definedName>
    <definedName name="BO329031B61E9B4E1CB748E2BF18453CBA" hidden="1">#REF!</definedName>
    <definedName name="BO329794FEEEA848A3A8CD1316B34A9B9B" localSheetId="5" hidden="1">[10]Giaitrinh!#REF!</definedName>
    <definedName name="BO329794FEEEA848A3A8CD1316B34A9B9B" localSheetId="4" hidden="1">[10]Giaitrinh!#REF!</definedName>
    <definedName name="BO329794FEEEA848A3A8CD1316B34A9B9B" hidden="1">[10]Giaitrinh!#REF!</definedName>
    <definedName name="BO32CC748630CD44A78FE35D7DD55C5CB1" localSheetId="5" hidden="1">[8]Ketqua!#REF!</definedName>
    <definedName name="BO32CC748630CD44A78FE35D7DD55C5CB1" localSheetId="4" hidden="1">[8]Ketqua!#REF!</definedName>
    <definedName name="BO32CC748630CD44A78FE35D7DD55C5CB1" hidden="1">[8]Ketqua!#REF!</definedName>
    <definedName name="BO32D7FC19F8CD43D5BD353992747AA1E4" localSheetId="5" hidden="1">#REF!</definedName>
    <definedName name="BO32D7FC19F8CD43D5BD353992747AA1E4" localSheetId="4" hidden="1">#REF!</definedName>
    <definedName name="BO32D7FC19F8CD43D5BD353992747AA1E4" hidden="1">#REF!</definedName>
    <definedName name="BO32D8C11D52E246B8B1167589D681611B" localSheetId="5" hidden="1">#REF!</definedName>
    <definedName name="BO32D8C11D52E246B8B1167589D681611B" localSheetId="4" hidden="1">#REF!</definedName>
    <definedName name="BO32D8C11D52E246B8B1167589D681611B" hidden="1">#REF!</definedName>
    <definedName name="BO32E5AAF47BE844E89F8DAB3CAEDFA7E3" localSheetId="5" hidden="1">#REF!</definedName>
    <definedName name="BO32E5AAF47BE844E89F8DAB3CAEDFA7E3" localSheetId="4" hidden="1">#REF!</definedName>
    <definedName name="BO32E5AAF47BE844E89F8DAB3CAEDFA7E3" hidden="1">#REF!</definedName>
    <definedName name="BO32FCC3651E0F431EB99F7A93F30F5188" localSheetId="5" hidden="1">[9]Giaitrinh!#REF!</definedName>
    <definedName name="BO32FCC3651E0F431EB99F7A93F30F5188" localSheetId="4" hidden="1">[9]Giaitrinh!#REF!</definedName>
    <definedName name="BO32FCC3651E0F431EB99F7A93F30F5188" hidden="1">[9]Giaitrinh!#REF!</definedName>
    <definedName name="BO332B1AA5D6A74B38966890E057DD824F" localSheetId="5" hidden="1">#REF!</definedName>
    <definedName name="BO332B1AA5D6A74B38966890E057DD824F" localSheetId="4" hidden="1">#REF!</definedName>
    <definedName name="BO332B1AA5D6A74B38966890E057DD824F" hidden="1">#REF!</definedName>
    <definedName name="BO333C6704208C4D37A85C8AEE75D910E8" localSheetId="5" hidden="1">#REF!</definedName>
    <definedName name="BO333C6704208C4D37A85C8AEE75D910E8" localSheetId="4" hidden="1">#REF!</definedName>
    <definedName name="BO333C6704208C4D37A85C8AEE75D910E8" hidden="1">#REF!</definedName>
    <definedName name="BO333D57822999400485D339F3D480F37D" localSheetId="5" hidden="1">#REF!</definedName>
    <definedName name="BO333D57822999400485D339F3D480F37D" localSheetId="4" hidden="1">#REF!</definedName>
    <definedName name="BO333D57822999400485D339F3D480F37D" hidden="1">#REF!</definedName>
    <definedName name="BO3341BFB16B4E4BE2BED80336E52ECDD0" localSheetId="5" hidden="1">#REF!</definedName>
    <definedName name="BO3341BFB16B4E4BE2BED80336E52ECDD0" localSheetId="4" hidden="1">#REF!</definedName>
    <definedName name="BO3341BFB16B4E4BE2BED80336E52ECDD0" hidden="1">#REF!</definedName>
    <definedName name="BO335C45EE2A284BF89E6240DCA1DE7061" localSheetId="5" hidden="1">#REF!</definedName>
    <definedName name="BO335C45EE2A284BF89E6240DCA1DE7061" localSheetId="4" hidden="1">#REF!</definedName>
    <definedName name="BO335C45EE2A284BF89E6240DCA1DE7061" hidden="1">#REF!</definedName>
    <definedName name="BO3361CC5D96CC46409F71EB663340E25A" localSheetId="5" hidden="1">#REF!</definedName>
    <definedName name="BO3361CC5D96CC46409F71EB663340E25A" localSheetId="4" hidden="1">#REF!</definedName>
    <definedName name="BO3361CC5D96CC46409F71EB663340E25A" hidden="1">#REF!</definedName>
    <definedName name="BO336A46CA04594F34A8DAD1681E609B21" localSheetId="5" hidden="1">#REF!</definedName>
    <definedName name="BO336A46CA04594F34A8DAD1681E609B21" localSheetId="4" hidden="1">#REF!</definedName>
    <definedName name="BO336A46CA04594F34A8DAD1681E609B21" hidden="1">#REF!</definedName>
    <definedName name="BO338ED8E6AEF84AA7BEB7D4A6F5B2FAFD" localSheetId="5" hidden="1">#REF!</definedName>
    <definedName name="BO338ED8E6AEF84AA7BEB7D4A6F5B2FAFD" localSheetId="4" hidden="1">#REF!</definedName>
    <definedName name="BO338ED8E6AEF84AA7BEB7D4A6F5B2FAFD" hidden="1">#REF!</definedName>
    <definedName name="BO33A986EB05E14342B05CFAE40A8B8CB3" localSheetId="5" hidden="1">#REF!</definedName>
    <definedName name="BO33A986EB05E14342B05CFAE40A8B8CB3" localSheetId="4" hidden="1">#REF!</definedName>
    <definedName name="BO33A986EB05E14342B05CFAE40A8B8CB3" hidden="1">#REF!</definedName>
    <definedName name="BO33D34A04E794407EB7D70351E3E2CD74" localSheetId="5" hidden="1">#REF!</definedName>
    <definedName name="BO33D34A04E794407EB7D70351E3E2CD74" localSheetId="4" hidden="1">#REF!</definedName>
    <definedName name="BO33D34A04E794407EB7D70351E3E2CD74" hidden="1">#REF!</definedName>
    <definedName name="BO33D5D2E635444CE09A98AAF2ADA7433D" localSheetId="5" hidden="1">#REF!</definedName>
    <definedName name="BO33D5D2E635444CE09A98AAF2ADA7433D" localSheetId="4" hidden="1">#REF!</definedName>
    <definedName name="BO33D5D2E635444CE09A98AAF2ADA7433D" hidden="1">#REF!</definedName>
    <definedName name="BO33D763AF3FAC4952A10B927B908EADC3" localSheetId="5" hidden="1">#REF!</definedName>
    <definedName name="BO33D763AF3FAC4952A10B927B908EADC3" localSheetId="4" hidden="1">#REF!</definedName>
    <definedName name="BO33D763AF3FAC4952A10B927B908EADC3" hidden="1">#REF!</definedName>
    <definedName name="BO33E5D2DECC00492E98BB2AE9970273F4" localSheetId="5" hidden="1">#REF!</definedName>
    <definedName name="BO33E5D2DECC00492E98BB2AE9970273F4" localSheetId="4" hidden="1">#REF!</definedName>
    <definedName name="BO33E5D2DECC00492E98BB2AE9970273F4" hidden="1">#REF!</definedName>
    <definedName name="BO33FD8712A61E414D87225F072C193D93" localSheetId="5" hidden="1">#REF!</definedName>
    <definedName name="BO33FD8712A61E414D87225F072C193D93" localSheetId="4" hidden="1">#REF!</definedName>
    <definedName name="BO33FD8712A61E414D87225F072C193D93" hidden="1">#REF!</definedName>
    <definedName name="BO3401980CAE564BF1889B707647DEED49" localSheetId="5" hidden="1">#REF!</definedName>
    <definedName name="BO3401980CAE564BF1889B707647DEED49" localSheetId="4" hidden="1">#REF!</definedName>
    <definedName name="BO3401980CAE564BF1889B707647DEED49" hidden="1">#REF!</definedName>
    <definedName name="BO341DA2EF6C0D4599939FE134BD02B7EF" localSheetId="5" hidden="1">#REF!</definedName>
    <definedName name="BO341DA2EF6C0D4599939FE134BD02B7EF" localSheetId="4" hidden="1">#REF!</definedName>
    <definedName name="BO341DA2EF6C0D4599939FE134BD02B7EF" hidden="1">#REF!</definedName>
    <definedName name="BO341EE39D379B4F1692B5673AD1B32900" localSheetId="5" hidden="1">#REF!</definedName>
    <definedName name="BO341EE39D379B4F1692B5673AD1B32900" localSheetId="4" hidden="1">#REF!</definedName>
    <definedName name="BO341EE39D379B4F1692B5673AD1B32900" hidden="1">#REF!</definedName>
    <definedName name="BO342168E36A904096BD6580C7ACB8B99C" localSheetId="5" hidden="1">#REF!</definedName>
    <definedName name="BO342168E36A904096BD6580C7ACB8B99C" localSheetId="4" hidden="1">#REF!</definedName>
    <definedName name="BO342168E36A904096BD6580C7ACB8B99C" hidden="1">#REF!</definedName>
    <definedName name="BO3428847CCB69407782357E437CAF7103" localSheetId="5" hidden="1">#REF!</definedName>
    <definedName name="BO3428847CCB69407782357E437CAF7103" localSheetId="4" hidden="1">#REF!</definedName>
    <definedName name="BO3428847CCB69407782357E437CAF7103" hidden="1">#REF!</definedName>
    <definedName name="BO342EF0430196463A93A5EFECDFE96085" localSheetId="5" hidden="1">#REF!</definedName>
    <definedName name="BO342EF0430196463A93A5EFECDFE96085" localSheetId="4" hidden="1">#REF!</definedName>
    <definedName name="BO342EF0430196463A93A5EFECDFE96085" hidden="1">#REF!</definedName>
    <definedName name="BO34546B46330B469FB089735939C3C993" localSheetId="5" hidden="1">#REF!</definedName>
    <definedName name="BO34546B46330B469FB089735939C3C993" localSheetId="4" hidden="1">#REF!</definedName>
    <definedName name="BO34546B46330B469FB089735939C3C993" hidden="1">#REF!</definedName>
    <definedName name="BO346624D04D19471187E08B54F19FA456" localSheetId="5" hidden="1">#REF!</definedName>
    <definedName name="BO346624D04D19471187E08B54F19FA456" localSheetId="4" hidden="1">#REF!</definedName>
    <definedName name="BO346624D04D19471187E08B54F19FA456" hidden="1">#REF!</definedName>
    <definedName name="BO3476F33D9F5F41FAAEA1A8A30DF6E387" localSheetId="5" hidden="1">#REF!</definedName>
    <definedName name="BO3476F33D9F5F41FAAEA1A8A30DF6E387" localSheetId="4" hidden="1">#REF!</definedName>
    <definedName name="BO3476F33D9F5F41FAAEA1A8A30DF6E387" hidden="1">#REF!</definedName>
    <definedName name="BO3480F6D05C1B4D25A9F4BB124CD688E0" localSheetId="5" hidden="1">#REF!</definedName>
    <definedName name="BO3480F6D05C1B4D25A9F4BB124CD688E0" localSheetId="4" hidden="1">#REF!</definedName>
    <definedName name="BO3480F6D05C1B4D25A9F4BB124CD688E0" hidden="1">#REF!</definedName>
    <definedName name="BO34844047730546EFADB54B4453557BA8" localSheetId="5" hidden="1">#REF!</definedName>
    <definedName name="BO34844047730546EFADB54B4453557BA8" localSheetId="4" hidden="1">#REF!</definedName>
    <definedName name="BO34844047730546EFADB54B4453557BA8" hidden="1">#REF!</definedName>
    <definedName name="BO348D5DD8702F4F70A5106B888B0D1864" localSheetId="5" hidden="1">[8]Ketqua!#REF!</definedName>
    <definedName name="BO348D5DD8702F4F70A5106B888B0D1864" localSheetId="4" hidden="1">[8]Ketqua!#REF!</definedName>
    <definedName name="BO348D5DD8702F4F70A5106B888B0D1864" hidden="1">[8]Ketqua!#REF!</definedName>
    <definedName name="BO348D72898BA34A23AB865FC6A40AC6D1" localSheetId="5" hidden="1">#REF!</definedName>
    <definedName name="BO348D72898BA34A23AB865FC6A40AC6D1" localSheetId="4" hidden="1">#REF!</definedName>
    <definedName name="BO348D72898BA34A23AB865FC6A40AC6D1" hidden="1">#REF!</definedName>
    <definedName name="BO349A315A66EA42FABF123E6021FEDE75" localSheetId="5" hidden="1">#REF!</definedName>
    <definedName name="BO349A315A66EA42FABF123E6021FEDE75" localSheetId="4" hidden="1">#REF!</definedName>
    <definedName name="BO349A315A66EA42FABF123E6021FEDE75" hidden="1">#REF!</definedName>
    <definedName name="BO34A51ACF7F2348C2B8A2A67B919197DB" localSheetId="5" hidden="1">#REF!</definedName>
    <definedName name="BO34A51ACF7F2348C2B8A2A67B919197DB" localSheetId="4" hidden="1">#REF!</definedName>
    <definedName name="BO34A51ACF7F2348C2B8A2A67B919197DB" hidden="1">#REF!</definedName>
    <definedName name="BO34B0D1C3C2DF41599DDC64764EE93927" localSheetId="5" hidden="1">#REF!</definedName>
    <definedName name="BO34B0D1C3C2DF41599DDC64764EE93927" localSheetId="4" hidden="1">#REF!</definedName>
    <definedName name="BO34B0D1C3C2DF41599DDC64764EE93927" hidden="1">#REF!</definedName>
    <definedName name="BO34B7BDFF82DF4756A8B9115EECD3DD5D" localSheetId="5" hidden="1">#REF!</definedName>
    <definedName name="BO34B7BDFF82DF4756A8B9115EECD3DD5D" localSheetId="4" hidden="1">#REF!</definedName>
    <definedName name="BO34B7BDFF82DF4756A8B9115EECD3DD5D" hidden="1">#REF!</definedName>
    <definedName name="BO34B9AB942C344D85A1622FACF048EBB6" localSheetId="5" hidden="1">#REF!</definedName>
    <definedName name="BO34B9AB942C344D85A1622FACF048EBB6" localSheetId="4" hidden="1">#REF!</definedName>
    <definedName name="BO34B9AB942C344D85A1622FACF048EBB6" hidden="1">#REF!</definedName>
    <definedName name="BO34D62F43660440BF9F470BD093905410" localSheetId="5" hidden="1">#REF!</definedName>
    <definedName name="BO34D62F43660440BF9F470BD093905410" localSheetId="4" hidden="1">#REF!</definedName>
    <definedName name="BO34D62F43660440BF9F470BD093905410" hidden="1">#REF!</definedName>
    <definedName name="BO34E1086C2CB448A4B4786D3476C021AD" localSheetId="5" hidden="1">#REF!</definedName>
    <definedName name="BO34E1086C2CB448A4B4786D3476C021AD" localSheetId="4" hidden="1">#REF!</definedName>
    <definedName name="BO34E1086C2CB448A4B4786D3476C021AD" hidden="1">#REF!</definedName>
    <definedName name="BO34ECD4B14C4A4E6C9DA339E125472BD3" localSheetId="5" hidden="1">#REF!</definedName>
    <definedName name="BO34ECD4B14C4A4E6C9DA339E125472BD3" localSheetId="4" hidden="1">#REF!</definedName>
    <definedName name="BO34ECD4B14C4A4E6C9DA339E125472BD3" hidden="1">#REF!</definedName>
    <definedName name="BO34EE21784DAD4CCA918D3C16B4469249" localSheetId="5" hidden="1">#REF!</definedName>
    <definedName name="BO34EE21784DAD4CCA918D3C16B4469249" localSheetId="4" hidden="1">#REF!</definedName>
    <definedName name="BO34EE21784DAD4CCA918D3C16B4469249" hidden="1">#REF!</definedName>
    <definedName name="BO34F8285B186C43BB897559D9234C4F7C" localSheetId="5" hidden="1">#REF!</definedName>
    <definedName name="BO34F8285B186C43BB897559D9234C4F7C" localSheetId="4" hidden="1">#REF!</definedName>
    <definedName name="BO34F8285B186C43BB897559D9234C4F7C" hidden="1">#REF!</definedName>
    <definedName name="BO35264F09D5384B21A7EBC93B5F190AEB" localSheetId="5" hidden="1">#REF!</definedName>
    <definedName name="BO35264F09D5384B21A7EBC93B5F190AEB" localSheetId="4" hidden="1">#REF!</definedName>
    <definedName name="BO35264F09D5384B21A7EBC93B5F190AEB" hidden="1">#REF!</definedName>
    <definedName name="BO35580ED606624538AE7550123952CBEA" localSheetId="5" hidden="1">#REF!</definedName>
    <definedName name="BO35580ED606624538AE7550123952CBEA" localSheetId="4" hidden="1">#REF!</definedName>
    <definedName name="BO35580ED606624538AE7550123952CBEA" hidden="1">#REF!</definedName>
    <definedName name="BO35622FA1F1354C5196130C748559B8D8" localSheetId="5" hidden="1">#REF!</definedName>
    <definedName name="BO35622FA1F1354C5196130C748559B8D8" localSheetId="4" hidden="1">#REF!</definedName>
    <definedName name="BO35622FA1F1354C5196130C748559B8D8" hidden="1">#REF!</definedName>
    <definedName name="BO3563D84EA33A4C5BBB3D0FCAA7200346" localSheetId="5" hidden="1">#REF!</definedName>
    <definedName name="BO3563D84EA33A4C5BBB3D0FCAA7200346" localSheetId="4" hidden="1">#REF!</definedName>
    <definedName name="BO3563D84EA33A4C5BBB3D0FCAA7200346" hidden="1">#REF!</definedName>
    <definedName name="BO358B49D1F8814D74835F2822C0388256" localSheetId="5" hidden="1">#REF!</definedName>
    <definedName name="BO358B49D1F8814D74835F2822C0388256" localSheetId="4" hidden="1">#REF!</definedName>
    <definedName name="BO358B49D1F8814D74835F2822C0388256" hidden="1">#REF!</definedName>
    <definedName name="BO35A8670D0A25417799946F87A89846C7" localSheetId="5" hidden="1">#REF!</definedName>
    <definedName name="BO35A8670D0A25417799946F87A89846C7" localSheetId="4" hidden="1">#REF!</definedName>
    <definedName name="BO35A8670D0A25417799946F87A89846C7" hidden="1">#REF!</definedName>
    <definedName name="BO35C8047FFF54448D8A6763D6C5459131" localSheetId="5" hidden="1">#REF!</definedName>
    <definedName name="BO35C8047FFF54448D8A6763D6C5459131" localSheetId="4" hidden="1">#REF!</definedName>
    <definedName name="BO35C8047FFF54448D8A6763D6C5459131" hidden="1">#REF!</definedName>
    <definedName name="BO35CA3E17081642D39D09C6DF175E5552" localSheetId="5" hidden="1">#REF!</definedName>
    <definedName name="BO35CA3E17081642D39D09C6DF175E5552" localSheetId="4" hidden="1">#REF!</definedName>
    <definedName name="BO35CA3E17081642D39D09C6DF175E5552" hidden="1">#REF!</definedName>
    <definedName name="BO35D589D7C3EF4F3FAEA7A06BFCA51C0D" localSheetId="5" hidden="1">#REF!</definedName>
    <definedName name="BO35D589D7C3EF4F3FAEA7A06BFCA51C0D" localSheetId="4" hidden="1">#REF!</definedName>
    <definedName name="BO35D589D7C3EF4F3FAEA7A06BFCA51C0D" hidden="1">#REF!</definedName>
    <definedName name="BO35FDB2AB3FBE44869B1B8C3CB0C955E2" localSheetId="5" hidden="1">[8]Ketqua!#REF!</definedName>
    <definedName name="BO35FDB2AB3FBE44869B1B8C3CB0C955E2" localSheetId="4" hidden="1">[8]Ketqua!#REF!</definedName>
    <definedName name="BO35FDB2AB3FBE44869B1B8C3CB0C955E2" hidden="1">[8]Ketqua!#REF!</definedName>
    <definedName name="BO361CD271CDE149DDACAFE0A75902BEA7" localSheetId="5" hidden="1">#REF!</definedName>
    <definedName name="BO361CD271CDE149DDACAFE0A75902BEA7" localSheetId="4" hidden="1">#REF!</definedName>
    <definedName name="BO361CD271CDE149DDACAFE0A75902BEA7" hidden="1">#REF!</definedName>
    <definedName name="BO36229FA1503B490B9C120D6B8009CFE6" localSheetId="5" hidden="1">#REF!</definedName>
    <definedName name="BO36229FA1503B490B9C120D6B8009CFE6" localSheetId="4" hidden="1">#REF!</definedName>
    <definedName name="BO36229FA1503B490B9C120D6B8009CFE6" hidden="1">#REF!</definedName>
    <definedName name="BO36400FF89C9A46C3BBF786F7A6F287FA" localSheetId="5" hidden="1">#REF!</definedName>
    <definedName name="BO36400FF89C9A46C3BBF786F7A6F287FA" localSheetId="4" hidden="1">#REF!</definedName>
    <definedName name="BO36400FF89C9A46C3BBF786F7A6F287FA" hidden="1">#REF!</definedName>
    <definedName name="BO36664B1477D445069A19156D22ACED78" localSheetId="5" hidden="1">#REF!</definedName>
    <definedName name="BO36664B1477D445069A19156D22ACED78" localSheetId="4" hidden="1">#REF!</definedName>
    <definedName name="BO36664B1477D445069A19156D22ACED78" hidden="1">#REF!</definedName>
    <definedName name="BO366D6676AFEE4484ABCE347F2E4F7AE4" localSheetId="5" hidden="1">#REF!</definedName>
    <definedName name="BO366D6676AFEE4484ABCE347F2E4F7AE4" localSheetId="4" hidden="1">#REF!</definedName>
    <definedName name="BO366D6676AFEE4484ABCE347F2E4F7AE4" hidden="1">#REF!</definedName>
    <definedName name="BO36850B0C5FF24A3B907803044F256C2A" localSheetId="5" hidden="1">#REF!</definedName>
    <definedName name="BO36850B0C5FF24A3B907803044F256C2A" localSheetId="4" hidden="1">#REF!</definedName>
    <definedName name="BO36850B0C5FF24A3B907803044F256C2A" hidden="1">#REF!</definedName>
    <definedName name="BO368F4AD371F04BB38CB57807C1D01438" localSheetId="5" hidden="1">#REF!</definedName>
    <definedName name="BO368F4AD371F04BB38CB57807C1D01438" localSheetId="4" hidden="1">#REF!</definedName>
    <definedName name="BO368F4AD371F04BB38CB57807C1D01438" hidden="1">#REF!</definedName>
    <definedName name="BO36B9487F3641418B8ACA31CB944BB8AC" localSheetId="5" hidden="1">#REF!</definedName>
    <definedName name="BO36B9487F3641418B8ACA31CB944BB8AC" localSheetId="4" hidden="1">#REF!</definedName>
    <definedName name="BO36B9487F3641418B8ACA31CB944BB8AC" hidden="1">#REF!</definedName>
    <definedName name="BO36C4508DEA7F40C0A94189CB472FEECD" localSheetId="5" hidden="1">#REF!</definedName>
    <definedName name="BO36C4508DEA7F40C0A94189CB472FEECD" localSheetId="4" hidden="1">#REF!</definedName>
    <definedName name="BO36C4508DEA7F40C0A94189CB472FEECD" hidden="1">#REF!</definedName>
    <definedName name="BO36CC36EEBD19426B8489215F05CAE479" localSheetId="5" hidden="1">#REF!</definedName>
    <definedName name="BO36CC36EEBD19426B8489215F05CAE479" localSheetId="4" hidden="1">#REF!</definedName>
    <definedName name="BO36CC36EEBD19426B8489215F05CAE479" hidden="1">#REF!</definedName>
    <definedName name="BO36F15484A3C04DFF9F3A02F2965E078A" localSheetId="5" hidden="1">#REF!</definedName>
    <definedName name="BO36F15484A3C04DFF9F3A02F2965E078A" localSheetId="4" hidden="1">#REF!</definedName>
    <definedName name="BO36F15484A3C04DFF9F3A02F2965E078A" hidden="1">#REF!</definedName>
    <definedName name="BO36F8F4F092E74C3FADA3603009439CA3" localSheetId="5" hidden="1">#REF!</definedName>
    <definedName name="BO36F8F4F092E74C3FADA3603009439CA3" localSheetId="4" hidden="1">#REF!</definedName>
    <definedName name="BO36F8F4F092E74C3FADA3603009439CA3" hidden="1">#REF!</definedName>
    <definedName name="BO36FCC1C5E1AF49029E2528DB50E43E11" localSheetId="5" hidden="1">[8]Ketqua!#REF!</definedName>
    <definedName name="BO36FCC1C5E1AF49029E2528DB50E43E11" localSheetId="4" hidden="1">[8]Ketqua!#REF!</definedName>
    <definedName name="BO36FCC1C5E1AF49029E2528DB50E43E11" hidden="1">[8]Ketqua!#REF!</definedName>
    <definedName name="BO372580F35EB94DCB9B281AD98E2EDC25" localSheetId="5" hidden="1">#REF!</definedName>
    <definedName name="BO372580F35EB94DCB9B281AD98E2EDC25" localSheetId="4" hidden="1">#REF!</definedName>
    <definedName name="BO372580F35EB94DCB9B281AD98E2EDC25" hidden="1">#REF!</definedName>
    <definedName name="BO3728122716B1408E8B7F370B9BBFDADD" localSheetId="5" hidden="1">[7]lailo!#REF!</definedName>
    <definedName name="BO3728122716B1408E8B7F370B9BBFDADD" localSheetId="4" hidden="1">[7]lailo!#REF!</definedName>
    <definedName name="BO3728122716B1408E8B7F370B9BBFDADD" hidden="1">[7]lailo!#REF!</definedName>
    <definedName name="BO372B76582FE64CDDB640E1C4CC66816E" localSheetId="5" hidden="1">#REF!</definedName>
    <definedName name="BO372B76582FE64CDDB640E1C4CC66816E" localSheetId="4" hidden="1">#REF!</definedName>
    <definedName name="BO372B76582FE64CDDB640E1C4CC66816E" hidden="1">#REF!</definedName>
    <definedName name="BO37340AA5A61D4C2BACAB348564C36793" localSheetId="5" hidden="1">#REF!</definedName>
    <definedName name="BO37340AA5A61D4C2BACAB348564C36793" localSheetId="4" hidden="1">#REF!</definedName>
    <definedName name="BO37340AA5A61D4C2BACAB348564C36793" hidden="1">#REF!</definedName>
    <definedName name="BO37357DFCCF2E4C95A13F5E9BDBE13910" localSheetId="5" hidden="1">#REF!</definedName>
    <definedName name="BO37357DFCCF2E4C95A13F5E9BDBE13910" localSheetId="4" hidden="1">#REF!</definedName>
    <definedName name="BO37357DFCCF2E4C95A13F5E9BDBE13910" hidden="1">#REF!</definedName>
    <definedName name="BO374DA8768B8840DD89E1BD17E3812962" localSheetId="5" hidden="1">#REF!</definedName>
    <definedName name="BO374DA8768B8840DD89E1BD17E3812962" localSheetId="4" hidden="1">#REF!</definedName>
    <definedName name="BO374DA8768B8840DD89E1BD17E3812962" hidden="1">#REF!</definedName>
    <definedName name="BO375D335D9054414FAE3AF4C765CD8FED" localSheetId="5" hidden="1">#REF!</definedName>
    <definedName name="BO375D335D9054414FAE3AF4C765CD8FED" localSheetId="4" hidden="1">#REF!</definedName>
    <definedName name="BO375D335D9054414FAE3AF4C765CD8FED" hidden="1">#REF!</definedName>
    <definedName name="BO376DE4D003544ECDA74174738FE1B747" localSheetId="5" hidden="1">#REF!</definedName>
    <definedName name="BO376DE4D003544ECDA74174738FE1B747" localSheetId="4" hidden="1">#REF!</definedName>
    <definedName name="BO376DE4D003544ECDA74174738FE1B747" hidden="1">#REF!</definedName>
    <definedName name="BO377B7DA4F59240ABAFF4CD152B5A32BD" localSheetId="5" hidden="1">#REF!</definedName>
    <definedName name="BO377B7DA4F59240ABAFF4CD152B5A32BD" localSheetId="4" hidden="1">#REF!</definedName>
    <definedName name="BO377B7DA4F59240ABAFF4CD152B5A32BD" hidden="1">#REF!</definedName>
    <definedName name="BO3792264F2CE543AEB8B229F81459D3B0" localSheetId="5" hidden="1">#REF!</definedName>
    <definedName name="BO3792264F2CE543AEB8B229F81459D3B0" localSheetId="4" hidden="1">#REF!</definedName>
    <definedName name="BO3792264F2CE543AEB8B229F81459D3B0" hidden="1">#REF!</definedName>
    <definedName name="BO37987DC4E7E64BA0A01C92162B351132" localSheetId="5" hidden="1">#REF!</definedName>
    <definedName name="BO37987DC4E7E64BA0A01C92162B351132" localSheetId="4" hidden="1">#REF!</definedName>
    <definedName name="BO37987DC4E7E64BA0A01C92162B351132" hidden="1">#REF!</definedName>
    <definedName name="BO37A8522087C146439B47E95567DA2B00" localSheetId="5" hidden="1">[7]lailo!#REF!</definedName>
    <definedName name="BO37A8522087C146439B47E95567DA2B00" localSheetId="4" hidden="1">[7]lailo!#REF!</definedName>
    <definedName name="BO37A8522087C146439B47E95567DA2B00" hidden="1">[7]lailo!#REF!</definedName>
    <definedName name="BO37B380A5EF9E4B5785D42AEFE11DD44F" localSheetId="5" hidden="1">#REF!</definedName>
    <definedName name="BO37B380A5EF9E4B5785D42AEFE11DD44F" localSheetId="4" hidden="1">#REF!</definedName>
    <definedName name="BO37B380A5EF9E4B5785D42AEFE11DD44F" hidden="1">#REF!</definedName>
    <definedName name="BO37B5B0565C814B4A8335B6363188FD11" localSheetId="5" hidden="1">#REF!</definedName>
    <definedName name="BO37B5B0565C814B4A8335B6363188FD11" localSheetId="4" hidden="1">#REF!</definedName>
    <definedName name="BO37B5B0565C814B4A8335B6363188FD11" hidden="1">#REF!</definedName>
    <definedName name="BO37B7674CC9D940CE88895911F98A3658" localSheetId="5" hidden="1">#REF!</definedName>
    <definedName name="BO37B7674CC9D940CE88895911F98A3658" localSheetId="4" hidden="1">#REF!</definedName>
    <definedName name="BO37B7674CC9D940CE88895911F98A3658" hidden="1">#REF!</definedName>
    <definedName name="BO37DE2C87F23F492A883E07ACF3059AEC" localSheetId="5" hidden="1">#REF!</definedName>
    <definedName name="BO37DE2C87F23F492A883E07ACF3059AEC" localSheetId="4" hidden="1">#REF!</definedName>
    <definedName name="BO37DE2C87F23F492A883E07ACF3059AEC" hidden="1">#REF!</definedName>
    <definedName name="BO37E5C32029EF417DBAE749FA4EA393F1" localSheetId="5" hidden="1">#REF!</definedName>
    <definedName name="BO37E5C32029EF417DBAE749FA4EA393F1" localSheetId="4" hidden="1">#REF!</definedName>
    <definedName name="BO37E5C32029EF417DBAE749FA4EA393F1" hidden="1">#REF!</definedName>
    <definedName name="BO37E9B4F24D7044948C8E1450B6B2939F" localSheetId="5" hidden="1">#REF!</definedName>
    <definedName name="BO37E9B4F24D7044948C8E1450B6B2939F" localSheetId="4" hidden="1">#REF!</definedName>
    <definedName name="BO37E9B4F24D7044948C8E1450B6B2939F" hidden="1">#REF!</definedName>
    <definedName name="BO3805FF74986D4E4E954446E3B0CA6F78" localSheetId="5" hidden="1">#REF!</definedName>
    <definedName name="BO3805FF74986D4E4E954446E3B0CA6F78" localSheetId="4" hidden="1">#REF!</definedName>
    <definedName name="BO3805FF74986D4E4E954446E3B0CA6F78" hidden="1">#REF!</definedName>
    <definedName name="BO380BDFB5B2F341DE821942CE260EF734" localSheetId="5" hidden="1">#REF!</definedName>
    <definedName name="BO380BDFB5B2F341DE821942CE260EF734" localSheetId="4" hidden="1">#REF!</definedName>
    <definedName name="BO380BDFB5B2F341DE821942CE260EF734" hidden="1">#REF!</definedName>
    <definedName name="BO380C1362F5C049059095DD3D5CD093B6" localSheetId="5" hidden="1">#REF!</definedName>
    <definedName name="BO380C1362F5C049059095DD3D5CD093B6" localSheetId="4" hidden="1">#REF!</definedName>
    <definedName name="BO380C1362F5C049059095DD3D5CD093B6" hidden="1">#REF!</definedName>
    <definedName name="BO381BA5D3D1904961827A5C2547F80342" localSheetId="5" hidden="1">#REF!</definedName>
    <definedName name="BO381BA5D3D1904961827A5C2547F80342" localSheetId="4" hidden="1">#REF!</definedName>
    <definedName name="BO381BA5D3D1904961827A5C2547F80342" hidden="1">#REF!</definedName>
    <definedName name="BO382A1E6396504E4297DEF4C35772D619" localSheetId="5" hidden="1">#REF!</definedName>
    <definedName name="BO382A1E6396504E4297DEF4C35772D619" localSheetId="4" hidden="1">#REF!</definedName>
    <definedName name="BO382A1E6396504E4297DEF4C35772D619" hidden="1">#REF!</definedName>
    <definedName name="BO382AB72B5084486E8979DEAE18FAB05E" localSheetId="5" hidden="1">#REF!</definedName>
    <definedName name="BO382AB72B5084486E8979DEAE18FAB05E" localSheetId="4" hidden="1">#REF!</definedName>
    <definedName name="BO382AB72B5084486E8979DEAE18FAB05E" hidden="1">#REF!</definedName>
    <definedName name="BO3833AF0366A74FD49AF696A151BE080B" localSheetId="5" hidden="1">#REF!</definedName>
    <definedName name="BO3833AF0366A74FD49AF696A151BE080B" localSheetId="4" hidden="1">#REF!</definedName>
    <definedName name="BO3833AF0366A74FD49AF696A151BE080B" hidden="1">#REF!</definedName>
    <definedName name="BO38358F4EB3074DEA9456C0100889315C" localSheetId="5" hidden="1">#REF!</definedName>
    <definedName name="BO38358F4EB3074DEA9456C0100889315C" localSheetId="4" hidden="1">#REF!</definedName>
    <definedName name="BO38358F4EB3074DEA9456C0100889315C" hidden="1">#REF!</definedName>
    <definedName name="BO3845D84FBF0F408F8AD81ECA1975371A" localSheetId="5" hidden="1">#REF!</definedName>
    <definedName name="BO3845D84FBF0F408F8AD81ECA1975371A" localSheetId="4" hidden="1">#REF!</definedName>
    <definedName name="BO3845D84FBF0F408F8AD81ECA1975371A" hidden="1">#REF!</definedName>
    <definedName name="BO384B1C23A2F047BB88E36A83ACA8E726" localSheetId="5" hidden="1">#REF!</definedName>
    <definedName name="BO384B1C23A2F047BB88E36A83ACA8E726" localSheetId="4" hidden="1">#REF!</definedName>
    <definedName name="BO384B1C23A2F047BB88E36A83ACA8E726" hidden="1">#REF!</definedName>
    <definedName name="BO3858F02FBCD24FCDAD01F2C896446155" localSheetId="5" hidden="1">#REF!</definedName>
    <definedName name="BO3858F02FBCD24FCDAD01F2C896446155" localSheetId="4" hidden="1">#REF!</definedName>
    <definedName name="BO3858F02FBCD24FCDAD01F2C896446155" hidden="1">#REF!</definedName>
    <definedName name="BO3860910B7F314B8E93C1E2BDB2BC603C" localSheetId="5" hidden="1">#REF!</definedName>
    <definedName name="BO3860910B7F314B8E93C1E2BDB2BC603C" localSheetId="4" hidden="1">#REF!</definedName>
    <definedName name="BO3860910B7F314B8E93C1E2BDB2BC603C" hidden="1">#REF!</definedName>
    <definedName name="BO38880C9BAD5B4C55BB1BE90ADC595507" localSheetId="5" hidden="1">#REF!</definedName>
    <definedName name="BO38880C9BAD5B4C55BB1BE90ADC595507" localSheetId="4" hidden="1">#REF!</definedName>
    <definedName name="BO38880C9BAD5B4C55BB1BE90ADC595507" hidden="1">#REF!</definedName>
    <definedName name="BO38A41CF779E143F79CB56048E8EE831A" localSheetId="5" hidden="1">#REF!</definedName>
    <definedName name="BO38A41CF779E143F79CB56048E8EE831A" localSheetId="4" hidden="1">#REF!</definedName>
    <definedName name="BO38A41CF779E143F79CB56048E8EE831A" hidden="1">#REF!</definedName>
    <definedName name="BO38A9FA4A3B584052AB9E990F00374890" localSheetId="5" hidden="1">#REF!</definedName>
    <definedName name="BO38A9FA4A3B584052AB9E990F00374890" localSheetId="4" hidden="1">#REF!</definedName>
    <definedName name="BO38A9FA4A3B584052AB9E990F00374890" hidden="1">#REF!</definedName>
    <definedName name="BO38ACFF41E1054C7884A26494448FE045" localSheetId="5" hidden="1">#REF!</definedName>
    <definedName name="BO38ACFF41E1054C7884A26494448FE045" localSheetId="4" hidden="1">#REF!</definedName>
    <definedName name="BO38ACFF41E1054C7884A26494448FE045" hidden="1">#REF!</definedName>
    <definedName name="BO38AEB7FA35AE4703BA65534B072B7455" localSheetId="5" hidden="1">#REF!</definedName>
    <definedName name="BO38AEB7FA35AE4703BA65534B072B7455" localSheetId="4" hidden="1">#REF!</definedName>
    <definedName name="BO38AEB7FA35AE4703BA65534B072B7455" hidden="1">#REF!</definedName>
    <definedName name="BO38C6A5E04E454711AB215A544C43EF9A" localSheetId="5" hidden="1">#REF!</definedName>
    <definedName name="BO38C6A5E04E454711AB215A544C43EF9A" localSheetId="4" hidden="1">#REF!</definedName>
    <definedName name="BO38C6A5E04E454711AB215A544C43EF9A" hidden="1">#REF!</definedName>
    <definedName name="BO38C7A245BD944E6DAF71D4CC689E700E" localSheetId="5" hidden="1">#REF!</definedName>
    <definedName name="BO38C7A245BD944E6DAF71D4CC689E700E" localSheetId="4" hidden="1">#REF!</definedName>
    <definedName name="BO38C7A245BD944E6DAF71D4CC689E700E" hidden="1">#REF!</definedName>
    <definedName name="BO38C852A3BEFD4E049C63EBDB6D47D298" localSheetId="5" hidden="1">#REF!</definedName>
    <definedName name="BO38C852A3BEFD4E049C63EBDB6D47D298" localSheetId="4" hidden="1">#REF!</definedName>
    <definedName name="BO38C852A3BEFD4E049C63EBDB6D47D298" hidden="1">#REF!</definedName>
    <definedName name="BO38D898D4B14F4460A586C53095BA18F1" localSheetId="5" hidden="1">#REF!</definedName>
    <definedName name="BO38D898D4B14F4460A586C53095BA18F1" localSheetId="4" hidden="1">#REF!</definedName>
    <definedName name="BO38D898D4B14F4460A586C53095BA18F1" hidden="1">#REF!</definedName>
    <definedName name="BO38DB88D5EA76448681C9344402936062" localSheetId="5" hidden="1">#REF!</definedName>
    <definedName name="BO38DB88D5EA76448681C9344402936062" localSheetId="4" hidden="1">#REF!</definedName>
    <definedName name="BO38DB88D5EA76448681C9344402936062" hidden="1">#REF!</definedName>
    <definedName name="BO38E08F936A624D69BF859377C8C692BA" localSheetId="5" hidden="1">#REF!</definedName>
    <definedName name="BO38E08F936A624D69BF859377C8C692BA" localSheetId="4" hidden="1">#REF!</definedName>
    <definedName name="BO38E08F936A624D69BF859377C8C692BA" hidden="1">#REF!</definedName>
    <definedName name="BO38E2291784D446E59218071F4DBDB8E0" localSheetId="5" hidden="1">#REF!</definedName>
    <definedName name="BO38E2291784D446E59218071F4DBDB8E0" localSheetId="4" hidden="1">#REF!</definedName>
    <definedName name="BO38E2291784D446E59218071F4DBDB8E0" hidden="1">#REF!</definedName>
    <definedName name="BO38EA9067C1B14EAFA815E47B0EDFB2C0" localSheetId="5" hidden="1">#REF!</definedName>
    <definedName name="BO38EA9067C1B14EAFA815E47B0EDFB2C0" localSheetId="4" hidden="1">#REF!</definedName>
    <definedName name="BO38EA9067C1B14EAFA815E47B0EDFB2C0" hidden="1">#REF!</definedName>
    <definedName name="BO3905A32D80CC4E4ABF239EBD20D3FB27" localSheetId="5" hidden="1">#REF!</definedName>
    <definedName name="BO3905A32D80CC4E4ABF239EBD20D3FB27" localSheetId="4" hidden="1">#REF!</definedName>
    <definedName name="BO3905A32D80CC4E4ABF239EBD20D3FB27" hidden="1">#REF!</definedName>
    <definedName name="BO3909BFA3143A4B58B6B8CEB581E9528C" localSheetId="5" hidden="1">[7]lailo!#REF!</definedName>
    <definedName name="BO3909BFA3143A4B58B6B8CEB581E9528C" localSheetId="4" hidden="1">[7]lailo!#REF!</definedName>
    <definedName name="BO3909BFA3143A4B58B6B8CEB581E9528C" hidden="1">[7]lailo!#REF!</definedName>
    <definedName name="BO391485D7A3744249AFEF297F87D28D9C" localSheetId="5" hidden="1">#REF!</definedName>
    <definedName name="BO391485D7A3744249AFEF297F87D28D9C" localSheetId="4" hidden="1">#REF!</definedName>
    <definedName name="BO391485D7A3744249AFEF297F87D28D9C" hidden="1">#REF!</definedName>
    <definedName name="BO39253DB67439440A8208AFD7A588CDDB" localSheetId="5" hidden="1">#REF!</definedName>
    <definedName name="BO39253DB67439440A8208AFD7A588CDDB" localSheetId="4" hidden="1">#REF!</definedName>
    <definedName name="BO39253DB67439440A8208AFD7A588CDDB" hidden="1">#REF!</definedName>
    <definedName name="BO392A098005984AFF8D735A33037308AD" hidden="1">[8]Ketqua!$I$4:$U$4</definedName>
    <definedName name="BO392F5AFEC2BE4937BD3679C489E57222" localSheetId="5" hidden="1">#REF!</definedName>
    <definedName name="BO392F5AFEC2BE4937BD3679C489E57222" localSheetId="4" hidden="1">#REF!</definedName>
    <definedName name="BO392F5AFEC2BE4937BD3679C489E57222" hidden="1">#REF!</definedName>
    <definedName name="BO3949FD8C43E84F93B3A81C3E9948A54A" localSheetId="5" hidden="1">#REF!</definedName>
    <definedName name="BO3949FD8C43E84F93B3A81C3E9948A54A" localSheetId="4" hidden="1">#REF!</definedName>
    <definedName name="BO3949FD8C43E84F93B3A81C3E9948A54A" hidden="1">#REF!</definedName>
    <definedName name="BO394F50F2B1F041FC8CEEF06DA709E3C0" localSheetId="5" hidden="1">#REF!</definedName>
    <definedName name="BO394F50F2B1F041FC8CEEF06DA709E3C0" localSheetId="4" hidden="1">#REF!</definedName>
    <definedName name="BO394F50F2B1F041FC8CEEF06DA709E3C0" hidden="1">#REF!</definedName>
    <definedName name="BO39756B922D9C432DBFA61969CBCA9537" localSheetId="5" hidden="1">#REF!</definedName>
    <definedName name="BO39756B922D9C432DBFA61969CBCA9537" localSheetId="4" hidden="1">#REF!</definedName>
    <definedName name="BO39756B922D9C432DBFA61969CBCA9537" hidden="1">#REF!</definedName>
    <definedName name="BO3985A4598A9D481AAE5ECB1A0809010B" localSheetId="5" hidden="1">#REF!</definedName>
    <definedName name="BO3985A4598A9D481AAE5ECB1A0809010B" localSheetId="4" hidden="1">#REF!</definedName>
    <definedName name="BO3985A4598A9D481AAE5ECB1A0809010B" hidden="1">#REF!</definedName>
    <definedName name="BO39885748B68841FCB380E071FCAACD45" localSheetId="5" hidden="1">#REF!</definedName>
    <definedName name="BO39885748B68841FCB380E071FCAACD45" localSheetId="4" hidden="1">#REF!</definedName>
    <definedName name="BO39885748B68841FCB380E071FCAACD45" hidden="1">#REF!</definedName>
    <definedName name="BO39988816C53E418DBF7E44AA1E4EA016" localSheetId="5" hidden="1">#REF!</definedName>
    <definedName name="BO39988816C53E418DBF7E44AA1E4EA016" localSheetId="4" hidden="1">#REF!</definedName>
    <definedName name="BO39988816C53E418DBF7E44AA1E4EA016" hidden="1">#REF!</definedName>
    <definedName name="BO399E5D7E445147B68FD2A13DF7A45368" localSheetId="5" hidden="1">[9]Giaitrinh!#REF!</definedName>
    <definedName name="BO399E5D7E445147B68FD2A13DF7A45368" localSheetId="4" hidden="1">[9]Giaitrinh!#REF!</definedName>
    <definedName name="BO399E5D7E445147B68FD2A13DF7A45368" hidden="1">[9]Giaitrinh!#REF!</definedName>
    <definedName name="BO399E898D81B24AB29973E46703961D2A" localSheetId="5" hidden="1">#REF!</definedName>
    <definedName name="BO399E898D81B24AB29973E46703961D2A" localSheetId="4" hidden="1">#REF!</definedName>
    <definedName name="BO399E898D81B24AB29973E46703961D2A" hidden="1">#REF!</definedName>
    <definedName name="BO39A1D382DADD49169680C4D2158FB11D" localSheetId="5" hidden="1">#REF!</definedName>
    <definedName name="BO39A1D382DADD49169680C4D2158FB11D" localSheetId="4" hidden="1">#REF!</definedName>
    <definedName name="BO39A1D382DADD49169680C4D2158FB11D" hidden="1">#REF!</definedName>
    <definedName name="BO39A392411DC44588A12AD338FD5B7171" localSheetId="5" hidden="1">#REF!</definedName>
    <definedName name="BO39A392411DC44588A12AD338FD5B7171" localSheetId="4" hidden="1">#REF!</definedName>
    <definedName name="BO39A392411DC44588A12AD338FD5B7171" hidden="1">#REF!</definedName>
    <definedName name="BO39A42AF3D9DD42E98E5C5FFF35775A0D" localSheetId="5" hidden="1">#REF!</definedName>
    <definedName name="BO39A42AF3D9DD42E98E5C5FFF35775A0D" localSheetId="4" hidden="1">#REF!</definedName>
    <definedName name="BO39A42AF3D9DD42E98E5C5FFF35775A0D" hidden="1">#REF!</definedName>
    <definedName name="BO39B50DA3D1EA4BEDBB225AD6845FE6FF" localSheetId="5" hidden="1">#REF!</definedName>
    <definedName name="BO39B50DA3D1EA4BEDBB225AD6845FE6FF" localSheetId="4" hidden="1">#REF!</definedName>
    <definedName name="BO39B50DA3D1EA4BEDBB225AD6845FE6FF" hidden="1">#REF!</definedName>
    <definedName name="BO39B7451E2AAF47BE960AD17DF0F782DE" localSheetId="5" hidden="1">#REF!</definedName>
    <definedName name="BO39B7451E2AAF47BE960AD17DF0F782DE" localSheetId="4" hidden="1">#REF!</definedName>
    <definedName name="BO39B7451E2AAF47BE960AD17DF0F782DE" hidden="1">#REF!</definedName>
    <definedName name="BO39C193184E7C4F8F84819185AAE66C7B" localSheetId="5" hidden="1">#REF!</definedName>
    <definedName name="BO39C193184E7C4F8F84819185AAE66C7B" localSheetId="4" hidden="1">#REF!</definedName>
    <definedName name="BO39C193184E7C4F8F84819185AAE66C7B" hidden="1">#REF!</definedName>
    <definedName name="BO39CB891DF0E94491AB4A94D8C58BB0A1" localSheetId="5" hidden="1">#REF!</definedName>
    <definedName name="BO39CB891DF0E94491AB4A94D8C58BB0A1" localSheetId="4" hidden="1">#REF!</definedName>
    <definedName name="BO39CB891DF0E94491AB4A94D8C58BB0A1" hidden="1">#REF!</definedName>
    <definedName name="BO39D7F0EB4B3148E7B7BE8DAB5CFD140F" localSheetId="5" hidden="1">#REF!</definedName>
    <definedName name="BO39D7F0EB4B3148E7B7BE8DAB5CFD140F" localSheetId="4" hidden="1">#REF!</definedName>
    <definedName name="BO39D7F0EB4B3148E7B7BE8DAB5CFD140F" hidden="1">#REF!</definedName>
    <definedName name="BO39E93846D34F4481997BAB1C14AA417D" localSheetId="5" hidden="1">#REF!</definedName>
    <definedName name="BO39E93846D34F4481997BAB1C14AA417D" localSheetId="4" hidden="1">#REF!</definedName>
    <definedName name="BO39E93846D34F4481997BAB1C14AA417D" hidden="1">#REF!</definedName>
    <definedName name="BO39ECCBD90BAE46D5897252E4AD51E92A" localSheetId="5" hidden="1">#REF!</definedName>
    <definedName name="BO39ECCBD90BAE46D5897252E4AD51E92A" localSheetId="4" hidden="1">#REF!</definedName>
    <definedName name="BO39ECCBD90BAE46D5897252E4AD51E92A" hidden="1">#REF!</definedName>
    <definedName name="BO39F1C0CF94004E2AAC6539D1393D3197" localSheetId="5" hidden="1">#REF!</definedName>
    <definedName name="BO39F1C0CF94004E2AAC6539D1393D3197" localSheetId="4" hidden="1">#REF!</definedName>
    <definedName name="BO39F1C0CF94004E2AAC6539D1393D3197" hidden="1">#REF!</definedName>
    <definedName name="BO39F8056FEEF141EAAC3CB8637657E823" localSheetId="5" hidden="1">#REF!</definedName>
    <definedName name="BO39F8056FEEF141EAAC3CB8637657E823" localSheetId="4" hidden="1">#REF!</definedName>
    <definedName name="BO39F8056FEEF141EAAC3CB8637657E823" hidden="1">#REF!</definedName>
    <definedName name="BO3A082BF9E2544F1B8E70C6A31AC774D0" localSheetId="5" hidden="1">#REF!</definedName>
    <definedName name="BO3A082BF9E2544F1B8E70C6A31AC774D0" localSheetId="4" hidden="1">#REF!</definedName>
    <definedName name="BO3A082BF9E2544F1B8E70C6A31AC774D0" hidden="1">#REF!</definedName>
    <definedName name="BO3A0BA0E91DAE4579BBD495FE36F95B7E" localSheetId="5" hidden="1">#REF!</definedName>
    <definedName name="BO3A0BA0E91DAE4579BBD495FE36F95B7E" localSheetId="4" hidden="1">#REF!</definedName>
    <definedName name="BO3A0BA0E91DAE4579BBD495FE36F95B7E" hidden="1">#REF!</definedName>
    <definedName name="BO3A231BD9A23C4FDCBF6F696E1A5ECAD0" localSheetId="5" hidden="1">#REF!</definedName>
    <definedName name="BO3A231BD9A23C4FDCBF6F696E1A5ECAD0" localSheetId="4" hidden="1">#REF!</definedName>
    <definedName name="BO3A231BD9A23C4FDCBF6F696E1A5ECAD0" hidden="1">#REF!</definedName>
    <definedName name="BO3A302AAAA99A45A4B52693FD8F28331A" localSheetId="5" hidden="1">#REF!</definedName>
    <definedName name="BO3A302AAAA99A45A4B52693FD8F28331A" localSheetId="4" hidden="1">#REF!</definedName>
    <definedName name="BO3A302AAAA99A45A4B52693FD8F28331A" hidden="1">#REF!</definedName>
    <definedName name="BO3A309A78D58A4D8DA0112124B97664D2" localSheetId="5" hidden="1">#REF!</definedName>
    <definedName name="BO3A309A78D58A4D8DA0112124B97664D2" localSheetId="4" hidden="1">#REF!</definedName>
    <definedName name="BO3A309A78D58A4D8DA0112124B97664D2" hidden="1">#REF!</definedName>
    <definedName name="BO3A3BDD3BEC6C4C3997F49262585037D2" localSheetId="5" hidden="1">#REF!</definedName>
    <definedName name="BO3A3BDD3BEC6C4C3997F49262585037D2" localSheetId="4" hidden="1">#REF!</definedName>
    <definedName name="BO3A3BDD3BEC6C4C3997F49262585037D2" hidden="1">#REF!</definedName>
    <definedName name="BO3A498BF898CC42EB8475ADF78D5F459D" localSheetId="5" hidden="1">#REF!</definedName>
    <definedName name="BO3A498BF898CC42EB8475ADF78D5F459D" localSheetId="4" hidden="1">#REF!</definedName>
    <definedName name="BO3A498BF898CC42EB8475ADF78D5F459D" hidden="1">#REF!</definedName>
    <definedName name="BO3A6A9E2B4DE641478A77ABFA2941AA4C" localSheetId="5" hidden="1">#REF!</definedName>
    <definedName name="BO3A6A9E2B4DE641478A77ABFA2941AA4C" localSheetId="4" hidden="1">#REF!</definedName>
    <definedName name="BO3A6A9E2B4DE641478A77ABFA2941AA4C" hidden="1">#REF!</definedName>
    <definedName name="BO3A7BEE7E3EFD480AA772048E5372CDAB" localSheetId="5" hidden="1">#REF!</definedName>
    <definedName name="BO3A7BEE7E3EFD480AA772048E5372CDAB" localSheetId="4" hidden="1">#REF!</definedName>
    <definedName name="BO3A7BEE7E3EFD480AA772048E5372CDAB" hidden="1">#REF!</definedName>
    <definedName name="BO3A8D374CA8A6407D9DDE8967BC719965" localSheetId="5" hidden="1">#REF!</definedName>
    <definedName name="BO3A8D374CA8A6407D9DDE8967BC719965" localSheetId="4" hidden="1">#REF!</definedName>
    <definedName name="BO3A8D374CA8A6407D9DDE8967BC719965" hidden="1">#REF!</definedName>
    <definedName name="BO3A9B34DFE8A742B487EF3D486DAB6796" localSheetId="5" hidden="1">#REF!</definedName>
    <definedName name="BO3A9B34DFE8A742B487EF3D486DAB6796" localSheetId="4" hidden="1">#REF!</definedName>
    <definedName name="BO3A9B34DFE8A742B487EF3D486DAB6796" hidden="1">#REF!</definedName>
    <definedName name="BO3ABD65BAE2F140A4A16C912B5EE21F8F" localSheetId="5" hidden="1">#REF!</definedName>
    <definedName name="BO3ABD65BAE2F140A4A16C912B5EE21F8F" localSheetId="4" hidden="1">#REF!</definedName>
    <definedName name="BO3ABD65BAE2F140A4A16C912B5EE21F8F" hidden="1">#REF!</definedName>
    <definedName name="BO3AC2A9FDD45D446BBDC4DA26B0A39772" localSheetId="5" hidden="1">#REF!</definedName>
    <definedName name="BO3AC2A9FDD45D446BBDC4DA26B0A39772" localSheetId="4" hidden="1">#REF!</definedName>
    <definedName name="BO3AC2A9FDD45D446BBDC4DA26B0A39772" hidden="1">#REF!</definedName>
    <definedName name="BO3ACB7C4849DE463297CDF3DAC73C5285" localSheetId="5" hidden="1">#REF!</definedName>
    <definedName name="BO3ACB7C4849DE463297CDF3DAC73C5285" localSheetId="4" hidden="1">#REF!</definedName>
    <definedName name="BO3ACB7C4849DE463297CDF3DAC73C5285" hidden="1">#REF!</definedName>
    <definedName name="BO3ADDEB4313F740D0B5D5C9F254C3976C" localSheetId="5" hidden="1">#REF!</definedName>
    <definedName name="BO3ADDEB4313F740D0B5D5C9F254C3976C" localSheetId="4" hidden="1">#REF!</definedName>
    <definedName name="BO3ADDEB4313F740D0B5D5C9F254C3976C" hidden="1">#REF!</definedName>
    <definedName name="BO3AE0DE712186448FAFA5C4A7BF05A200" localSheetId="5" hidden="1">#REF!</definedName>
    <definedName name="BO3AE0DE712186448FAFA5C4A7BF05A200" localSheetId="4" hidden="1">#REF!</definedName>
    <definedName name="BO3AE0DE712186448FAFA5C4A7BF05A200" hidden="1">#REF!</definedName>
    <definedName name="BO3AE41EA4A3164A209AB34C8C50631526" localSheetId="5" hidden="1">#REF!</definedName>
    <definedName name="BO3AE41EA4A3164A209AB34C8C50631526" localSheetId="4" hidden="1">#REF!</definedName>
    <definedName name="BO3AE41EA4A3164A209AB34C8C50631526" hidden="1">#REF!</definedName>
    <definedName name="BO3B02E8F8E6B94C10B3E37C67BA50F8F7" localSheetId="5" hidden="1">#REF!</definedName>
    <definedName name="BO3B02E8F8E6B94C10B3E37C67BA50F8F7" localSheetId="4" hidden="1">#REF!</definedName>
    <definedName name="BO3B02E8F8E6B94C10B3E37C67BA50F8F7" hidden="1">#REF!</definedName>
    <definedName name="BO3B1B3DA9259A455C9ACEBCBBE041D12D" localSheetId="5" hidden="1">#REF!</definedName>
    <definedName name="BO3B1B3DA9259A455C9ACEBCBBE041D12D" localSheetId="4" hidden="1">#REF!</definedName>
    <definedName name="BO3B1B3DA9259A455C9ACEBCBBE041D12D" hidden="1">#REF!</definedName>
    <definedName name="BO3B2CDB5333A74563A69EF8EE0FB8BAEA" localSheetId="5" hidden="1">#REF!</definedName>
    <definedName name="BO3B2CDB5333A74563A69EF8EE0FB8BAEA" localSheetId="4" hidden="1">#REF!</definedName>
    <definedName name="BO3B2CDB5333A74563A69EF8EE0FB8BAEA" hidden="1">#REF!</definedName>
    <definedName name="BO3B303A9A732542CEB07F8235F68B611B" localSheetId="5" hidden="1">#REF!</definedName>
    <definedName name="BO3B303A9A732542CEB07F8235F68B611B" localSheetId="4" hidden="1">#REF!</definedName>
    <definedName name="BO3B303A9A732542CEB07F8235F68B611B" hidden="1">#REF!</definedName>
    <definedName name="BO3B46AD7B22E9452EA7B74971395C2D28" localSheetId="5" hidden="1">#REF!</definedName>
    <definedName name="BO3B46AD7B22E9452EA7B74971395C2D28" localSheetId="4" hidden="1">#REF!</definedName>
    <definedName name="BO3B46AD7B22E9452EA7B74971395C2D28" hidden="1">#REF!</definedName>
    <definedName name="BO3B4B4359ACB74AA28F48054B266015F7" localSheetId="5" hidden="1">#REF!</definedName>
    <definedName name="BO3B4B4359ACB74AA28F48054B266015F7" localSheetId="4" hidden="1">#REF!</definedName>
    <definedName name="BO3B4B4359ACB74AA28F48054B266015F7" hidden="1">#REF!</definedName>
    <definedName name="BO3B6144B377CE45D39F7399D88759882F" localSheetId="5" hidden="1">#REF!</definedName>
    <definedName name="BO3B6144B377CE45D39F7399D88759882F" localSheetId="4" hidden="1">#REF!</definedName>
    <definedName name="BO3B6144B377CE45D39F7399D88759882F" hidden="1">#REF!</definedName>
    <definedName name="BO3B69F70D80D24E68B90597EA312D2252" localSheetId="5" hidden="1">#REF!</definedName>
    <definedName name="BO3B69F70D80D24E68B90597EA312D2252" localSheetId="4" hidden="1">#REF!</definedName>
    <definedName name="BO3B69F70D80D24E68B90597EA312D2252" hidden="1">#REF!</definedName>
    <definedName name="BO3B704C8087B542E29B354FC73C2EB35C" localSheetId="5" hidden="1">#REF!</definedName>
    <definedName name="BO3B704C8087B542E29B354FC73C2EB35C" localSheetId="4" hidden="1">#REF!</definedName>
    <definedName name="BO3B704C8087B542E29B354FC73C2EB35C" hidden="1">#REF!</definedName>
    <definedName name="BO3B8EDFAE9CEF4668895EF6B04607C798" hidden="1">[8]Ketqua!$I$11:$U$11</definedName>
    <definedName name="BO3BB1FCE0D8D34D60B9C97911F55F888B" localSheetId="5" hidden="1">#REF!</definedName>
    <definedName name="BO3BB1FCE0D8D34D60B9C97911F55F888B" localSheetId="4" hidden="1">#REF!</definedName>
    <definedName name="BO3BB1FCE0D8D34D60B9C97911F55F888B" hidden="1">#REF!</definedName>
    <definedName name="BO3BB47AFD6C3C4971AFD5084619AE3BC2" localSheetId="5" hidden="1">#REF!</definedName>
    <definedName name="BO3BB47AFD6C3C4971AFD5084619AE3BC2" localSheetId="4" hidden="1">#REF!</definedName>
    <definedName name="BO3BB47AFD6C3C4971AFD5084619AE3BC2" hidden="1">#REF!</definedName>
    <definedName name="BO3BBB82BB706843BC90A32933333AC14B" localSheetId="5" hidden="1">#REF!</definedName>
    <definedName name="BO3BBB82BB706843BC90A32933333AC14B" localSheetId="4" hidden="1">#REF!</definedName>
    <definedName name="BO3BBB82BB706843BC90A32933333AC14B" hidden="1">#REF!</definedName>
    <definedName name="BO3BDEAE21F10241608264370D63F42C81" localSheetId="5" hidden="1">#REF!</definedName>
    <definedName name="BO3BDEAE21F10241608264370D63F42C81" localSheetId="4" hidden="1">#REF!</definedName>
    <definedName name="BO3BDEAE21F10241608264370D63F42C81" hidden="1">#REF!</definedName>
    <definedName name="BO3BFFC976FA9B48C4A3837B2DF792D717" localSheetId="5" hidden="1">#REF!</definedName>
    <definedName name="BO3BFFC976FA9B48C4A3837B2DF792D717" localSheetId="4" hidden="1">#REF!</definedName>
    <definedName name="BO3BFFC976FA9B48C4A3837B2DF792D717" hidden="1">#REF!</definedName>
    <definedName name="BO3C009D6162E945079F62871652230BC5" localSheetId="5" hidden="1">#REF!</definedName>
    <definedName name="BO3C009D6162E945079F62871652230BC5" localSheetId="4" hidden="1">#REF!</definedName>
    <definedName name="BO3C009D6162E945079F62871652230BC5" hidden="1">#REF!</definedName>
    <definedName name="BO3C06EB17E87B4F95AA9705D0810CA23A" localSheetId="5" hidden="1">#REF!</definedName>
    <definedName name="BO3C06EB17E87B4F95AA9705D0810CA23A" localSheetId="4" hidden="1">#REF!</definedName>
    <definedName name="BO3C06EB17E87B4F95AA9705D0810CA23A" hidden="1">#REF!</definedName>
    <definedName name="BO3C2040FAEA0E4F0F9AE59BA082DF29C0" localSheetId="5" hidden="1">#REF!</definedName>
    <definedName name="BO3C2040FAEA0E4F0F9AE59BA082DF29C0" localSheetId="4" hidden="1">#REF!</definedName>
    <definedName name="BO3C2040FAEA0E4F0F9AE59BA082DF29C0" hidden="1">#REF!</definedName>
    <definedName name="BO3C20AA00B8524A36A69E57CC252BA225" localSheetId="5" hidden="1">#REF!</definedName>
    <definedName name="BO3C20AA00B8524A36A69E57CC252BA225" localSheetId="4" hidden="1">#REF!</definedName>
    <definedName name="BO3C20AA00B8524A36A69E57CC252BA225" hidden="1">#REF!</definedName>
    <definedName name="BO3C2452A4E0E9497692527DA970710D00" localSheetId="5" hidden="1">#REF!</definedName>
    <definedName name="BO3C2452A4E0E9497692527DA970710D00" localSheetId="4" hidden="1">#REF!</definedName>
    <definedName name="BO3C2452A4E0E9497692527DA970710D00" hidden="1">#REF!</definedName>
    <definedName name="BO3C27A8CCF46440DFA286B770A5F55B3C" localSheetId="5" hidden="1">#REF!</definedName>
    <definedName name="BO3C27A8CCF46440DFA286B770A5F55B3C" localSheetId="4" hidden="1">#REF!</definedName>
    <definedName name="BO3C27A8CCF46440DFA286B770A5F55B3C" hidden="1">#REF!</definedName>
    <definedName name="BO3C419CB004854AE2935F1E064428A32F" localSheetId="5" hidden="1">#REF!</definedName>
    <definedName name="BO3C419CB004854AE2935F1E064428A32F" localSheetId="4" hidden="1">#REF!</definedName>
    <definedName name="BO3C419CB004854AE2935F1E064428A32F" hidden="1">#REF!</definedName>
    <definedName name="BO3C422DC098C34CF1AA80F4C76DA45CFD" localSheetId="5" hidden="1">#REF!</definedName>
    <definedName name="BO3C422DC098C34CF1AA80F4C76DA45CFD" localSheetId="4" hidden="1">#REF!</definedName>
    <definedName name="BO3C422DC098C34CF1AA80F4C76DA45CFD" hidden="1">#REF!</definedName>
    <definedName name="BO3C690EE4FC0A4846BF2BD994CD0FEA6B" localSheetId="5" hidden="1">#REF!</definedName>
    <definedName name="BO3C690EE4FC0A4846BF2BD994CD0FEA6B" localSheetId="4" hidden="1">#REF!</definedName>
    <definedName name="BO3C690EE4FC0A4846BF2BD994CD0FEA6B" hidden="1">#REF!</definedName>
    <definedName name="BO3C82848169FA4D11A8672F7A9FE72C51" localSheetId="5" hidden="1">#REF!</definedName>
    <definedName name="BO3C82848169FA4D11A8672F7A9FE72C51" localSheetId="4" hidden="1">#REF!</definedName>
    <definedName name="BO3C82848169FA4D11A8672F7A9FE72C51" hidden="1">#REF!</definedName>
    <definedName name="BO3C98730A70FB4EF395F688F4CD7413F7" localSheetId="5" hidden="1">#REF!</definedName>
    <definedName name="BO3C98730A70FB4EF395F688F4CD7413F7" localSheetId="4" hidden="1">#REF!</definedName>
    <definedName name="BO3C98730A70FB4EF395F688F4CD7413F7" hidden="1">#REF!</definedName>
    <definedName name="BO3C99E538887C4467A365E8624D9B808D" localSheetId="5" hidden="1">#REF!</definedName>
    <definedName name="BO3C99E538887C4467A365E8624D9B808D" localSheetId="4" hidden="1">#REF!</definedName>
    <definedName name="BO3C99E538887C4467A365E8624D9B808D" hidden="1">#REF!</definedName>
    <definedName name="BO3CB504CE67F84322A30047C7F65DA37A" localSheetId="5" hidden="1">#REF!</definedName>
    <definedName name="BO3CB504CE67F84322A30047C7F65DA37A" localSheetId="4" hidden="1">#REF!</definedName>
    <definedName name="BO3CB504CE67F84322A30047C7F65DA37A" hidden="1">#REF!</definedName>
    <definedName name="BO3CCC9B2BC38C4D488D8B1493A73B781B" localSheetId="5" hidden="1">#REF!</definedName>
    <definedName name="BO3CCC9B2BC38C4D488D8B1493A73B781B" localSheetId="4" hidden="1">#REF!</definedName>
    <definedName name="BO3CCC9B2BC38C4D488D8B1493A73B781B" hidden="1">#REF!</definedName>
    <definedName name="BO3CF460B8A5E946E8BDFBA44D273CAC49" localSheetId="5" hidden="1">#REF!</definedName>
    <definedName name="BO3CF460B8A5E946E8BDFBA44D273CAC49" localSheetId="4" hidden="1">#REF!</definedName>
    <definedName name="BO3CF460B8A5E946E8BDFBA44D273CAC49" hidden="1">#REF!</definedName>
    <definedName name="BO3D04697C553443CE81E5698A9A11D376" localSheetId="5" hidden="1">#REF!</definedName>
    <definedName name="BO3D04697C553443CE81E5698A9A11D376" localSheetId="4" hidden="1">#REF!</definedName>
    <definedName name="BO3D04697C553443CE81E5698A9A11D376" hidden="1">#REF!</definedName>
    <definedName name="BO3D1106863D374B788E66E383A493EFFD" localSheetId="5" hidden="1">#REF!</definedName>
    <definedName name="BO3D1106863D374B788E66E383A493EFFD" localSheetId="4" hidden="1">#REF!</definedName>
    <definedName name="BO3D1106863D374B788E66E383A493EFFD" hidden="1">#REF!</definedName>
    <definedName name="BO3D1A10996843471B9599D1F9A98B8BE9" localSheetId="5" hidden="1">#REF!</definedName>
    <definedName name="BO3D1A10996843471B9599D1F9A98B8BE9" localSheetId="4" hidden="1">#REF!</definedName>
    <definedName name="BO3D1A10996843471B9599D1F9A98B8BE9" hidden="1">#REF!</definedName>
    <definedName name="BO3D2A93D0CEE640F2A7237D66055200CB" localSheetId="5" hidden="1">#REF!</definedName>
    <definedName name="BO3D2A93D0CEE640F2A7237D66055200CB" localSheetId="4" hidden="1">#REF!</definedName>
    <definedName name="BO3D2A93D0CEE640F2A7237D66055200CB" hidden="1">#REF!</definedName>
    <definedName name="BO3D2F486FFEA84E548438ED9ED135ADB5" localSheetId="5" hidden="1">#REF!</definedName>
    <definedName name="BO3D2F486FFEA84E548438ED9ED135ADB5" localSheetId="4" hidden="1">#REF!</definedName>
    <definedName name="BO3D2F486FFEA84E548438ED9ED135ADB5" hidden="1">#REF!</definedName>
    <definedName name="BO3D344CA86F824CC58E2074DCE334FF25" localSheetId="5" hidden="1">#REF!</definedName>
    <definedName name="BO3D344CA86F824CC58E2074DCE334FF25" localSheetId="4" hidden="1">#REF!</definedName>
    <definedName name="BO3D344CA86F824CC58E2074DCE334FF25" hidden="1">#REF!</definedName>
    <definedName name="BO3D4564B23F3B4C9895009145888A42D0" localSheetId="5" hidden="1">#REF!</definedName>
    <definedName name="BO3D4564B23F3B4C9895009145888A42D0" localSheetId="4" hidden="1">#REF!</definedName>
    <definedName name="BO3D4564B23F3B4C9895009145888A42D0" hidden="1">#REF!</definedName>
    <definedName name="BO3D49C3ACBF084CF2854C8BDB4F4D4739" localSheetId="5" hidden="1">#REF!</definedName>
    <definedName name="BO3D49C3ACBF084CF2854C8BDB4F4D4739" localSheetId="4" hidden="1">#REF!</definedName>
    <definedName name="BO3D49C3ACBF084CF2854C8BDB4F4D4739" hidden="1">#REF!</definedName>
    <definedName name="BO3D4DADB8C3B3486BB54ED2DD9C4828A9" localSheetId="5" hidden="1">#REF!</definedName>
    <definedName name="BO3D4DADB8C3B3486BB54ED2DD9C4828A9" localSheetId="4" hidden="1">#REF!</definedName>
    <definedName name="BO3D4DADB8C3B3486BB54ED2DD9C4828A9" hidden="1">#REF!</definedName>
    <definedName name="BO3D58F6B200714A04B8FB8517E9A5ABBD" localSheetId="5" hidden="1">#REF!</definedName>
    <definedName name="BO3D58F6B200714A04B8FB8517E9A5ABBD" localSheetId="4" hidden="1">#REF!</definedName>
    <definedName name="BO3D58F6B200714A04B8FB8517E9A5ABBD" hidden="1">#REF!</definedName>
    <definedName name="BO3D5A94F872944439AEFDA585DD8D96C0" localSheetId="5" hidden="1">#REF!</definedName>
    <definedName name="BO3D5A94F872944439AEFDA585DD8D96C0" localSheetId="4" hidden="1">#REF!</definedName>
    <definedName name="BO3D5A94F872944439AEFDA585DD8D96C0" hidden="1">#REF!</definedName>
    <definedName name="BO3D63A776BB8B413697ACFD0792A79F25" localSheetId="5" hidden="1">#REF!</definedName>
    <definedName name="BO3D63A776BB8B413697ACFD0792A79F25" localSheetId="4" hidden="1">#REF!</definedName>
    <definedName name="BO3D63A776BB8B413697ACFD0792A79F25" hidden="1">#REF!</definedName>
    <definedName name="BO3D8149A4C7DD46C098821ABD82FCCBFC" localSheetId="5" hidden="1">#REF!</definedName>
    <definedName name="BO3D8149A4C7DD46C098821ABD82FCCBFC" localSheetId="4" hidden="1">#REF!</definedName>
    <definedName name="BO3D8149A4C7DD46C098821ABD82FCCBFC" hidden="1">#REF!</definedName>
    <definedName name="BO3DC117E13B3C42B9907D611763187DDF" localSheetId="5" hidden="1">#REF!</definedName>
    <definedName name="BO3DC117E13B3C42B9907D611763187DDF" localSheetId="4" hidden="1">#REF!</definedName>
    <definedName name="BO3DC117E13B3C42B9907D611763187DDF" hidden="1">#REF!</definedName>
    <definedName name="BO3DD455DA9C3F4985830B274EB82D6985" localSheetId="5" hidden="1">#REF!</definedName>
    <definedName name="BO3DD455DA9C3F4985830B274EB82D6985" localSheetId="4" hidden="1">#REF!</definedName>
    <definedName name="BO3DD455DA9C3F4985830B274EB82D6985" hidden="1">#REF!</definedName>
    <definedName name="BO3DD8925F4ED1403BA08078768C0A4C45" localSheetId="5" hidden="1">#REF!</definedName>
    <definedName name="BO3DD8925F4ED1403BA08078768C0A4C45" localSheetId="4" hidden="1">#REF!</definedName>
    <definedName name="BO3DD8925F4ED1403BA08078768C0A4C45" hidden="1">#REF!</definedName>
    <definedName name="BO3DF299FE9B5B44C7963D1B09FF3DB4A1" localSheetId="5" hidden="1">#REF!</definedName>
    <definedName name="BO3DF299FE9B5B44C7963D1B09FF3DB4A1" localSheetId="4" hidden="1">#REF!</definedName>
    <definedName name="BO3DF299FE9B5B44C7963D1B09FF3DB4A1" hidden="1">#REF!</definedName>
    <definedName name="BO3DFD3150EBD24A179876FCA23FC32956" localSheetId="5" hidden="1">#REF!</definedName>
    <definedName name="BO3DFD3150EBD24A179876FCA23FC32956" localSheetId="4" hidden="1">#REF!</definedName>
    <definedName name="BO3DFD3150EBD24A179876FCA23FC32956" hidden="1">#REF!</definedName>
    <definedName name="BO3DFEB735DF724D6A8195AAA7B2170B35" localSheetId="5" hidden="1">#REF!</definedName>
    <definedName name="BO3DFEB735DF724D6A8195AAA7B2170B35" localSheetId="4" hidden="1">#REF!</definedName>
    <definedName name="BO3DFEB735DF724D6A8195AAA7B2170B35" hidden="1">#REF!</definedName>
    <definedName name="BO3E07E937F13046F48C23FB837C43BEC3" localSheetId="5" hidden="1">#REF!</definedName>
    <definedName name="BO3E07E937F13046F48C23FB837C43BEC3" localSheetId="4" hidden="1">#REF!</definedName>
    <definedName name="BO3E07E937F13046F48C23FB837C43BEC3" hidden="1">#REF!</definedName>
    <definedName name="BO3E0B648F64D242B6B9E0CABA98A66A26" localSheetId="5" hidden="1">#REF!</definedName>
    <definedName name="BO3E0B648F64D242B6B9E0CABA98A66A26" localSheetId="4" hidden="1">#REF!</definedName>
    <definedName name="BO3E0B648F64D242B6B9E0CABA98A66A26" hidden="1">#REF!</definedName>
    <definedName name="BO3E2ABB9A8F2D4DB7A7A51D906D984800" localSheetId="5" hidden="1">#REF!</definedName>
    <definedName name="BO3E2ABB9A8F2D4DB7A7A51D906D984800" localSheetId="4" hidden="1">#REF!</definedName>
    <definedName name="BO3E2ABB9A8F2D4DB7A7A51D906D984800" hidden="1">#REF!</definedName>
    <definedName name="BO3E3B69E4A48549E397F924DAB3FD5677" localSheetId="5" hidden="1">#REF!</definedName>
    <definedName name="BO3E3B69E4A48549E397F924DAB3FD5677" localSheetId="4" hidden="1">#REF!</definedName>
    <definedName name="BO3E3B69E4A48549E397F924DAB3FD5677" hidden="1">#REF!</definedName>
    <definedName name="BO3E44B34E81934F858FED8ABE3415A299" localSheetId="5" hidden="1">#REF!</definedName>
    <definedName name="BO3E44B34E81934F858FED8ABE3415A299" localSheetId="4" hidden="1">#REF!</definedName>
    <definedName name="BO3E44B34E81934F858FED8ABE3415A299" hidden="1">#REF!</definedName>
    <definedName name="BO3E459BCD5325438A8CB8D2C92AFA1CCA" localSheetId="5" hidden="1">#REF!</definedName>
    <definedName name="BO3E459BCD5325438A8CB8D2C92AFA1CCA" localSheetId="4" hidden="1">#REF!</definedName>
    <definedName name="BO3E459BCD5325438A8CB8D2C92AFA1CCA" hidden="1">#REF!</definedName>
    <definedName name="BO3E4674A939C24DFAA1C88B525C373305" localSheetId="5" hidden="1">[9]Giaitrinh!#REF!</definedName>
    <definedName name="BO3E4674A939C24DFAA1C88B525C373305" localSheetId="4" hidden="1">[9]Giaitrinh!#REF!</definedName>
    <definedName name="BO3E4674A939C24DFAA1C88B525C373305" hidden="1">[9]Giaitrinh!#REF!</definedName>
    <definedName name="BO3E47F0D838F3454DA566A603391E2CA9" localSheetId="5" hidden="1">#REF!</definedName>
    <definedName name="BO3E47F0D838F3454DA566A603391E2CA9" localSheetId="4" hidden="1">#REF!</definedName>
    <definedName name="BO3E47F0D838F3454DA566A603391E2CA9" hidden="1">#REF!</definedName>
    <definedName name="BO3E58EA1F6C6B4B1EA49307682BA84A0D" localSheetId="5" hidden="1">#REF!</definedName>
    <definedName name="BO3E58EA1F6C6B4B1EA49307682BA84A0D" localSheetId="4" hidden="1">#REF!</definedName>
    <definedName name="BO3E58EA1F6C6B4B1EA49307682BA84A0D" hidden="1">#REF!</definedName>
    <definedName name="BO3E7FBEBF3E3B4877BA4A6DFA9A116BD1" localSheetId="5" hidden="1">#REF!</definedName>
    <definedName name="BO3E7FBEBF3E3B4877BA4A6DFA9A116BD1" localSheetId="4" hidden="1">#REF!</definedName>
    <definedName name="BO3E7FBEBF3E3B4877BA4A6DFA9A116BD1" hidden="1">#REF!</definedName>
    <definedName name="BO3EA4D71C982148B2BA47407118E2D06A" localSheetId="5" hidden="1">#REF!</definedName>
    <definedName name="BO3EA4D71C982148B2BA47407118E2D06A" localSheetId="4" hidden="1">#REF!</definedName>
    <definedName name="BO3EA4D71C982148B2BA47407118E2D06A" hidden="1">#REF!</definedName>
    <definedName name="BO3EB98F7D879348158884714BB62D2C9B" localSheetId="5" hidden="1">[9]xml!#REF!</definedName>
    <definedName name="BO3EB98F7D879348158884714BB62D2C9B" localSheetId="4" hidden="1">[9]xml!#REF!</definedName>
    <definedName name="BO3EB98F7D879348158884714BB62D2C9B" hidden="1">[9]xml!#REF!</definedName>
    <definedName name="BO3EDDDE35F2BC4BF9A8EAD3D01D0AFA69" localSheetId="5" hidden="1">#REF!</definedName>
    <definedName name="BO3EDDDE35F2BC4BF9A8EAD3D01D0AFA69" localSheetId="4" hidden="1">#REF!</definedName>
    <definedName name="BO3EDDDE35F2BC4BF9A8EAD3D01D0AFA69" hidden="1">#REF!</definedName>
    <definedName name="BO3EEDD1275B594EE6931BB2B423647F40" localSheetId="5" hidden="1">#REF!</definedName>
    <definedName name="BO3EEDD1275B594EE6931BB2B423647F40" localSheetId="4" hidden="1">#REF!</definedName>
    <definedName name="BO3EEDD1275B594EE6931BB2B423647F40" hidden="1">#REF!</definedName>
    <definedName name="BO3F00F2E605A84C248AEFDEF964BF8003" localSheetId="5" hidden="1">#REF!</definedName>
    <definedName name="BO3F00F2E605A84C248AEFDEF964BF8003" localSheetId="4" hidden="1">#REF!</definedName>
    <definedName name="BO3F00F2E605A84C248AEFDEF964BF8003" hidden="1">#REF!</definedName>
    <definedName name="BO3F0398545889487D954D70C6205F57CF" localSheetId="5" hidden="1">[8]Ketqua!#REF!</definedName>
    <definedName name="BO3F0398545889487D954D70C6205F57CF" localSheetId="4" hidden="1">[8]Ketqua!#REF!</definedName>
    <definedName name="BO3F0398545889487D954D70C6205F57CF" hidden="1">[8]Ketqua!#REF!</definedName>
    <definedName name="BO3F1562F088B64257BDECA4996A9FB66B" localSheetId="5" hidden="1">#REF!</definedName>
    <definedName name="BO3F1562F088B64257BDECA4996A9FB66B" localSheetId="4" hidden="1">#REF!</definedName>
    <definedName name="BO3F1562F088B64257BDECA4996A9FB66B" hidden="1">#REF!</definedName>
    <definedName name="BO3F3294E57B9647968D10CFA39A0D80ED" localSheetId="5" hidden="1">#REF!</definedName>
    <definedName name="BO3F3294E57B9647968D10CFA39A0D80ED" localSheetId="4" hidden="1">#REF!</definedName>
    <definedName name="BO3F3294E57B9647968D10CFA39A0D80ED" hidden="1">#REF!</definedName>
    <definedName name="BO3F4B598DFBCE4609B65057CE90121278" localSheetId="5" hidden="1">#REF!</definedName>
    <definedName name="BO3F4B598DFBCE4609B65057CE90121278" localSheetId="4" hidden="1">#REF!</definedName>
    <definedName name="BO3F4B598DFBCE4609B65057CE90121278" hidden="1">#REF!</definedName>
    <definedName name="BO3F698B30FA064BED80373131F8DA772C" localSheetId="5" hidden="1">#REF!</definedName>
    <definedName name="BO3F698B30FA064BED80373131F8DA772C" localSheetId="4" hidden="1">#REF!</definedName>
    <definedName name="BO3F698B30FA064BED80373131F8DA772C" hidden="1">#REF!</definedName>
    <definedName name="BO3F8A8F5552A148359E8D094469D72F7B" localSheetId="5" hidden="1">#REF!</definedName>
    <definedName name="BO3F8A8F5552A148359E8D094469D72F7B" localSheetId="4" hidden="1">#REF!</definedName>
    <definedName name="BO3F8A8F5552A148359E8D094469D72F7B" hidden="1">#REF!</definedName>
    <definedName name="BO3F9E4F72F7344C8797FE289DFD0BB660" localSheetId="5" hidden="1">#REF!</definedName>
    <definedName name="BO3F9E4F72F7344C8797FE289DFD0BB660" localSheetId="4" hidden="1">#REF!</definedName>
    <definedName name="BO3F9E4F72F7344C8797FE289DFD0BB660" hidden="1">#REF!</definedName>
    <definedName name="BO3FA34D64D5DD4492A3C440A2EB0A2226" localSheetId="5" hidden="1">#REF!</definedName>
    <definedName name="BO3FA34D64D5DD4492A3C440A2EB0A2226" localSheetId="4" hidden="1">#REF!</definedName>
    <definedName name="BO3FA34D64D5DD4492A3C440A2EB0A2226" hidden="1">#REF!</definedName>
    <definedName name="BO3FA6B2DD0EBE48EBAE25B1625634C636" localSheetId="5" hidden="1">#REF!</definedName>
    <definedName name="BO3FA6B2DD0EBE48EBAE25B1625634C636" localSheetId="4" hidden="1">#REF!</definedName>
    <definedName name="BO3FA6B2DD0EBE48EBAE25B1625634C636" hidden="1">#REF!</definedName>
    <definedName name="BO3FA804A2DEEC44DF99E6D77CD74316FA" localSheetId="5" hidden="1">#REF!</definedName>
    <definedName name="BO3FA804A2DEEC44DF99E6D77CD74316FA" localSheetId="4" hidden="1">#REF!</definedName>
    <definedName name="BO3FA804A2DEEC44DF99E6D77CD74316FA" hidden="1">#REF!</definedName>
    <definedName name="BO3FE2E13F4E574FA6AD7AABFC17EF909A" localSheetId="5" hidden="1">#REF!</definedName>
    <definedName name="BO3FE2E13F4E574FA6AD7AABFC17EF909A" localSheetId="4" hidden="1">#REF!</definedName>
    <definedName name="BO3FE2E13F4E574FA6AD7AABFC17EF909A" hidden="1">#REF!</definedName>
    <definedName name="BO3FE97BDF42F4430989912E426BBA6502" localSheetId="5" hidden="1">#REF!</definedName>
    <definedName name="BO3FE97BDF42F4430989912E426BBA6502" localSheetId="4" hidden="1">#REF!</definedName>
    <definedName name="BO3FE97BDF42F4430989912E426BBA6502" hidden="1">#REF!</definedName>
    <definedName name="BO3FF06A3D405D4AFEBD23C74161F7F412" localSheetId="5" hidden="1">#REF!</definedName>
    <definedName name="BO3FF06A3D405D4AFEBD23C74161F7F412" localSheetId="4" hidden="1">#REF!</definedName>
    <definedName name="BO3FF06A3D405D4AFEBD23C74161F7F412" hidden="1">#REF!</definedName>
    <definedName name="BO3FFE516B40344851A14862AFC49D6E66" localSheetId="5" hidden="1">#REF!</definedName>
    <definedName name="BO3FFE516B40344851A14862AFC49D6E66" localSheetId="4" hidden="1">#REF!</definedName>
    <definedName name="BO3FFE516B40344851A14862AFC49D6E66" hidden="1">#REF!</definedName>
    <definedName name="BO401E6D3F698C4F018BDA573568ADC4E6" localSheetId="5" hidden="1">#REF!</definedName>
    <definedName name="BO401E6D3F698C4F018BDA573568ADC4E6" localSheetId="4" hidden="1">#REF!</definedName>
    <definedName name="BO401E6D3F698C4F018BDA573568ADC4E6" hidden="1">#REF!</definedName>
    <definedName name="BO40245ECD8B79440BBC14C8DF1C0BF8B2" localSheetId="5" hidden="1">#REF!</definedName>
    <definedName name="BO40245ECD8B79440BBC14C8DF1C0BF8B2" localSheetId="4" hidden="1">#REF!</definedName>
    <definedName name="BO40245ECD8B79440BBC14C8DF1C0BF8B2" hidden="1">#REF!</definedName>
    <definedName name="BO403079319B0C43EEB6940DB9EBC384AB" localSheetId="5" hidden="1">#REF!</definedName>
    <definedName name="BO403079319B0C43EEB6940DB9EBC384AB" localSheetId="4" hidden="1">#REF!</definedName>
    <definedName name="BO403079319B0C43EEB6940DB9EBC384AB" hidden="1">#REF!</definedName>
    <definedName name="BO40355E13A4AF4311A062DC0DC188997A" localSheetId="5" hidden="1">#REF!</definedName>
    <definedName name="BO40355E13A4AF4311A062DC0DC188997A" localSheetId="4" hidden="1">#REF!</definedName>
    <definedName name="BO40355E13A4AF4311A062DC0DC188997A" hidden="1">#REF!</definedName>
    <definedName name="BO4057EC314CEC47798B0627DC202DE337" localSheetId="5" hidden="1">[7]lailo!#REF!</definedName>
    <definedName name="BO4057EC314CEC47798B0627DC202DE337" localSheetId="4" hidden="1">[7]lailo!#REF!</definedName>
    <definedName name="BO4057EC314CEC47798B0627DC202DE337" hidden="1">[7]lailo!#REF!</definedName>
    <definedName name="BO406956B8DA1449F7A85FCAF9D714DC11" localSheetId="5" hidden="1">#REF!</definedName>
    <definedName name="BO406956B8DA1449F7A85FCAF9D714DC11" localSheetId="4" hidden="1">#REF!</definedName>
    <definedName name="BO406956B8DA1449F7A85FCAF9D714DC11" hidden="1">#REF!</definedName>
    <definedName name="BO406B5E0DD44D489B88870815BE1210AE" localSheetId="5" hidden="1">#REF!</definedName>
    <definedName name="BO406B5E0DD44D489B88870815BE1210AE" localSheetId="4" hidden="1">#REF!</definedName>
    <definedName name="BO406B5E0DD44D489B88870815BE1210AE" hidden="1">#REF!</definedName>
    <definedName name="BO40A83F555A3A46FC8D7622D2461C15B6" localSheetId="5" hidden="1">#REF!</definedName>
    <definedName name="BO40A83F555A3A46FC8D7622D2461C15B6" localSheetId="4" hidden="1">#REF!</definedName>
    <definedName name="BO40A83F555A3A46FC8D7622D2461C15B6" hidden="1">#REF!</definedName>
    <definedName name="BO40B0DAC65A66497B994FCA747A9D2A39" localSheetId="5" hidden="1">#REF!</definedName>
    <definedName name="BO40B0DAC65A66497B994FCA747A9D2A39" localSheetId="4" hidden="1">#REF!</definedName>
    <definedName name="BO40B0DAC65A66497B994FCA747A9D2A39" hidden="1">#REF!</definedName>
    <definedName name="BO40C63385871F435599B49F3844E13CC2" localSheetId="5" hidden="1">#REF!</definedName>
    <definedName name="BO40C63385871F435599B49F3844E13CC2" localSheetId="4" hidden="1">#REF!</definedName>
    <definedName name="BO40C63385871F435599B49F3844E13CC2" hidden="1">#REF!</definedName>
    <definedName name="BO40C86DE5C5854E9FA416FC598691D107" localSheetId="5" hidden="1">#REF!</definedName>
    <definedName name="BO40C86DE5C5854E9FA416FC598691D107" localSheetId="4" hidden="1">#REF!</definedName>
    <definedName name="BO40C86DE5C5854E9FA416FC598691D107" hidden="1">#REF!</definedName>
    <definedName name="BO40DBB652AFEC435CBECB93AC0C44ADAB" localSheetId="5" hidden="1">#REF!</definedName>
    <definedName name="BO40DBB652AFEC435CBECB93AC0C44ADAB" localSheetId="4" hidden="1">#REF!</definedName>
    <definedName name="BO40DBB652AFEC435CBECB93AC0C44ADAB" hidden="1">#REF!</definedName>
    <definedName name="BO40E48E25225B4A02828BB2163C89438D" localSheetId="5" hidden="1">#REF!</definedName>
    <definedName name="BO40E48E25225B4A02828BB2163C89438D" localSheetId="4" hidden="1">#REF!</definedName>
    <definedName name="BO40E48E25225B4A02828BB2163C89438D" hidden="1">#REF!</definedName>
    <definedName name="BO410312A8086944CA8381547B55028E0E" localSheetId="5" hidden="1">#REF!</definedName>
    <definedName name="BO410312A8086944CA8381547B55028E0E" localSheetId="4" hidden="1">#REF!</definedName>
    <definedName name="BO410312A8086944CA8381547B55028E0E" hidden="1">#REF!</definedName>
    <definedName name="BO41031EE5E6A248E8BA41187F37ABEDC4" localSheetId="5" hidden="1">#REF!</definedName>
    <definedName name="BO41031EE5E6A248E8BA41187F37ABEDC4" localSheetId="4" hidden="1">#REF!</definedName>
    <definedName name="BO41031EE5E6A248E8BA41187F37ABEDC4" hidden="1">#REF!</definedName>
    <definedName name="BO411C13859B9846DD940DC0A353B24BE7" localSheetId="5" hidden="1">#REF!</definedName>
    <definedName name="BO411C13859B9846DD940DC0A353B24BE7" localSheetId="4" hidden="1">#REF!</definedName>
    <definedName name="BO411C13859B9846DD940DC0A353B24BE7" hidden="1">#REF!</definedName>
    <definedName name="BO41243F0247BF4C158DDAA73055D584C2" localSheetId="5" hidden="1">#REF!</definedName>
    <definedName name="BO41243F0247BF4C158DDAA73055D584C2" localSheetId="4" hidden="1">#REF!</definedName>
    <definedName name="BO41243F0247BF4C158DDAA73055D584C2" hidden="1">#REF!</definedName>
    <definedName name="BO41260E467C6A4B66B7BFDF929CD17EED" localSheetId="5" hidden="1">#REF!</definedName>
    <definedName name="BO41260E467C6A4B66B7BFDF929CD17EED" localSheetId="4" hidden="1">#REF!</definedName>
    <definedName name="BO41260E467C6A4B66B7BFDF929CD17EED" hidden="1">#REF!</definedName>
    <definedName name="BO4135D03543BD40A08EB3B933328A7109" localSheetId="5" hidden="1">#REF!</definedName>
    <definedName name="BO4135D03543BD40A08EB3B933328A7109" localSheetId="4" hidden="1">#REF!</definedName>
    <definedName name="BO4135D03543BD40A08EB3B933328A7109" hidden="1">#REF!</definedName>
    <definedName name="BO415E58E2EDC64710A19A5560EF454110" localSheetId="5" hidden="1">#REF!</definedName>
    <definedName name="BO415E58E2EDC64710A19A5560EF454110" localSheetId="4" hidden="1">#REF!</definedName>
    <definedName name="BO415E58E2EDC64710A19A5560EF454110" hidden="1">#REF!</definedName>
    <definedName name="BO41616448539148F68A11325B0B832164" localSheetId="5" hidden="1">#REF!</definedName>
    <definedName name="BO41616448539148F68A11325B0B832164" localSheetId="4" hidden="1">#REF!</definedName>
    <definedName name="BO41616448539148F68A11325B0B832164" hidden="1">#REF!</definedName>
    <definedName name="BO41676043571047D0A758DC87F4D8C2A4" localSheetId="5" hidden="1">#REF!</definedName>
    <definedName name="BO41676043571047D0A758DC87F4D8C2A4" localSheetId="4" hidden="1">#REF!</definedName>
    <definedName name="BO41676043571047D0A758DC87F4D8C2A4" hidden="1">#REF!</definedName>
    <definedName name="BO4169C83E21A04810A6025B377B6CE576" localSheetId="5" hidden="1">#REF!</definedName>
    <definedName name="BO4169C83E21A04810A6025B377B6CE576" localSheetId="4" hidden="1">#REF!</definedName>
    <definedName name="BO4169C83E21A04810A6025B377B6CE576" hidden="1">#REF!</definedName>
    <definedName name="BO41736F10648940F7980E8A794564F6D4" localSheetId="5" hidden="1">#REF!</definedName>
    <definedName name="BO41736F10648940F7980E8A794564F6D4" localSheetId="4" hidden="1">#REF!</definedName>
    <definedName name="BO41736F10648940F7980E8A794564F6D4" hidden="1">#REF!</definedName>
    <definedName name="BO417ED596DE2C416FBDA6BD1547497DF5" localSheetId="5" hidden="1">#REF!</definedName>
    <definedName name="BO417ED596DE2C416FBDA6BD1547497DF5" localSheetId="4" hidden="1">#REF!</definedName>
    <definedName name="BO417ED596DE2C416FBDA6BD1547497DF5" hidden="1">#REF!</definedName>
    <definedName name="BO418270B3A37648588D932CCCDECD1D57" localSheetId="5" hidden="1">#REF!</definedName>
    <definedName name="BO418270B3A37648588D932CCCDECD1D57" localSheetId="4" hidden="1">#REF!</definedName>
    <definedName name="BO418270B3A37648588D932CCCDECD1D57" hidden="1">#REF!</definedName>
    <definedName name="BO41BB107A914849ABAE3078D2C7A0D711" localSheetId="5" hidden="1">#REF!</definedName>
    <definedName name="BO41BB107A914849ABAE3078D2C7A0D711" localSheetId="4" hidden="1">#REF!</definedName>
    <definedName name="BO41BB107A914849ABAE3078D2C7A0D711" hidden="1">#REF!</definedName>
    <definedName name="BO41C9F9AFBDC248DF84A970BBB0C13F07" localSheetId="5" hidden="1">#REF!</definedName>
    <definedName name="BO41C9F9AFBDC248DF84A970BBB0C13F07" localSheetId="4" hidden="1">#REF!</definedName>
    <definedName name="BO41C9F9AFBDC248DF84A970BBB0C13F07" hidden="1">#REF!</definedName>
    <definedName name="BO41D812429BE0472984006118F1FD8940" localSheetId="5" hidden="1">#REF!</definedName>
    <definedName name="BO41D812429BE0472984006118F1FD8940" localSheetId="4" hidden="1">#REF!</definedName>
    <definedName name="BO41D812429BE0472984006118F1FD8940" hidden="1">#REF!</definedName>
    <definedName name="BO41DD20B575EE48A98BE33181A6371F62" localSheetId="5" hidden="1">#REF!</definedName>
    <definedName name="BO41DD20B575EE48A98BE33181A6371F62" localSheetId="4" hidden="1">#REF!</definedName>
    <definedName name="BO41DD20B575EE48A98BE33181A6371F62" hidden="1">#REF!</definedName>
    <definedName name="BO41FF1036DC0E4DA69C38C814641389B3" localSheetId="5" hidden="1">#REF!</definedName>
    <definedName name="BO41FF1036DC0E4DA69C38C814641389B3" localSheetId="4" hidden="1">#REF!</definedName>
    <definedName name="BO41FF1036DC0E4DA69C38C814641389B3" hidden="1">#REF!</definedName>
    <definedName name="BO41FF61B766784424AEC7FF81791873A4" localSheetId="5" hidden="1">#REF!</definedName>
    <definedName name="BO41FF61B766784424AEC7FF81791873A4" localSheetId="4" hidden="1">#REF!</definedName>
    <definedName name="BO41FF61B766784424AEC7FF81791873A4" hidden="1">#REF!</definedName>
    <definedName name="BO420EE246BD9A4484A3CEE9E910F48F96" localSheetId="5" hidden="1">#REF!</definedName>
    <definedName name="BO420EE246BD9A4484A3CEE9E910F48F96" localSheetId="4" hidden="1">#REF!</definedName>
    <definedName name="BO420EE246BD9A4484A3CEE9E910F48F96" hidden="1">#REF!</definedName>
    <definedName name="BO4217883C6C8A412D9F87DEAB2DD56119" localSheetId="5" hidden="1">#REF!</definedName>
    <definedName name="BO4217883C6C8A412D9F87DEAB2DD56119" localSheetId="4" hidden="1">#REF!</definedName>
    <definedName name="BO4217883C6C8A412D9F87DEAB2DD56119" hidden="1">#REF!</definedName>
    <definedName name="BO421FECEE45954080B884507B26A35D8B" localSheetId="5" hidden="1">#REF!</definedName>
    <definedName name="BO421FECEE45954080B884507B26A35D8B" localSheetId="4" hidden="1">#REF!</definedName>
    <definedName name="BO421FECEE45954080B884507B26A35D8B" hidden="1">#REF!</definedName>
    <definedName name="BO4221A85BBAE74BFE98901247F57B8632" localSheetId="5" hidden="1">#REF!</definedName>
    <definedName name="BO4221A85BBAE74BFE98901247F57B8632" localSheetId="4" hidden="1">#REF!</definedName>
    <definedName name="BO4221A85BBAE74BFE98901247F57B8632" hidden="1">#REF!</definedName>
    <definedName name="BO42410C79967D49DA9246424E9F8E187C" localSheetId="5" hidden="1">#REF!</definedName>
    <definedName name="BO42410C79967D49DA9246424E9F8E187C" localSheetId="4" hidden="1">#REF!</definedName>
    <definedName name="BO42410C79967D49DA9246424E9F8E187C" hidden="1">#REF!</definedName>
    <definedName name="BO4273FC1195AE428CB0D860732542EB6B" localSheetId="5" hidden="1">#REF!</definedName>
    <definedName name="BO4273FC1195AE428CB0D860732542EB6B" localSheetId="4" hidden="1">#REF!</definedName>
    <definedName name="BO4273FC1195AE428CB0D860732542EB6B" hidden="1">#REF!</definedName>
    <definedName name="BO429FEAEDBFA547BF85025B1F1844D466" localSheetId="5" hidden="1">#REF!</definedName>
    <definedName name="BO429FEAEDBFA547BF85025B1F1844D466" localSheetId="4" hidden="1">#REF!</definedName>
    <definedName name="BO429FEAEDBFA547BF85025B1F1844D466" hidden="1">#REF!</definedName>
    <definedName name="BO42A0B3431CAC44BA97E83B69B05F5E78" localSheetId="5" hidden="1">[8]Ketqua!#REF!</definedName>
    <definedName name="BO42A0B3431CAC44BA97E83B69B05F5E78" localSheetId="4" hidden="1">[8]Ketqua!#REF!</definedName>
    <definedName name="BO42A0B3431CAC44BA97E83B69B05F5E78" hidden="1">[8]Ketqua!#REF!</definedName>
    <definedName name="BO42A5BD996C7D408782243AC130FD2D1D" localSheetId="5" hidden="1">#REF!</definedName>
    <definedName name="BO42A5BD996C7D408782243AC130FD2D1D" localSheetId="4" hidden="1">#REF!</definedName>
    <definedName name="BO42A5BD996C7D408782243AC130FD2D1D" hidden="1">#REF!</definedName>
    <definedName name="BO42AB2BC2CCE848C8AC443E2B750DB14A" localSheetId="5" hidden="1">#REF!</definedName>
    <definedName name="BO42AB2BC2CCE848C8AC443E2B750DB14A" localSheetId="4" hidden="1">#REF!</definedName>
    <definedName name="BO42AB2BC2CCE848C8AC443E2B750DB14A" hidden="1">#REF!</definedName>
    <definedName name="BO42C24C62919C4F06911501D27330F51B" localSheetId="5" hidden="1">#REF!</definedName>
    <definedName name="BO42C24C62919C4F06911501D27330F51B" localSheetId="4" hidden="1">#REF!</definedName>
    <definedName name="BO42C24C62919C4F06911501D27330F51B" hidden="1">#REF!</definedName>
    <definedName name="BO42C7102A3C9549A7A1E004531E8189D3" localSheetId="5" hidden="1">#REF!</definedName>
    <definedName name="BO42C7102A3C9549A7A1E004531E8189D3" localSheetId="4" hidden="1">#REF!</definedName>
    <definedName name="BO42C7102A3C9549A7A1E004531E8189D3" hidden="1">#REF!</definedName>
    <definedName name="BO42D81867CEB44392820AB3E06D5C5875" localSheetId="5" hidden="1">#REF!</definedName>
    <definedName name="BO42D81867CEB44392820AB3E06D5C5875" localSheetId="4" hidden="1">#REF!</definedName>
    <definedName name="BO42D81867CEB44392820AB3E06D5C5875" hidden="1">#REF!</definedName>
    <definedName name="BO42DB59B560DD480797F4E5A255CE0336" localSheetId="5" hidden="1">#REF!</definedName>
    <definedName name="BO42DB59B560DD480797F4E5A255CE0336" localSheetId="4" hidden="1">#REF!</definedName>
    <definedName name="BO42DB59B560DD480797F4E5A255CE0336" hidden="1">#REF!</definedName>
    <definedName name="BO42DE0767E9894AD0ADEB4EE728EC3A14" localSheetId="5" hidden="1">#REF!</definedName>
    <definedName name="BO42DE0767E9894AD0ADEB4EE728EC3A14" localSheetId="4" hidden="1">#REF!</definedName>
    <definedName name="BO42DE0767E9894AD0ADEB4EE728EC3A14" hidden="1">#REF!</definedName>
    <definedName name="BO42E106C3D4A4413983C2F6ABB79F5A3C" localSheetId="5" hidden="1">#REF!</definedName>
    <definedName name="BO42E106C3D4A4413983C2F6ABB79F5A3C" localSheetId="4" hidden="1">#REF!</definedName>
    <definedName name="BO42E106C3D4A4413983C2F6ABB79F5A3C" hidden="1">#REF!</definedName>
    <definedName name="BO42F344B5F6214CA8BB1AE642166F8254" localSheetId="5" hidden="1">#REF!</definedName>
    <definedName name="BO42F344B5F6214CA8BB1AE642166F8254" localSheetId="4" hidden="1">#REF!</definedName>
    <definedName name="BO42F344B5F6214CA8BB1AE642166F8254" hidden="1">#REF!</definedName>
    <definedName name="BO431F7CF865994F508B75F0C14E72E755" localSheetId="5" hidden="1">#REF!</definedName>
    <definedName name="BO431F7CF865994F508B75F0C14E72E755" localSheetId="4" hidden="1">#REF!</definedName>
    <definedName name="BO431F7CF865994F508B75F0C14E72E755" hidden="1">#REF!</definedName>
    <definedName name="BO4320DAEC9A57472595ADE0FCF8777C35" localSheetId="5" hidden="1">#REF!</definedName>
    <definedName name="BO4320DAEC9A57472595ADE0FCF8777C35" localSheetId="4" hidden="1">#REF!</definedName>
    <definedName name="BO4320DAEC9A57472595ADE0FCF8777C35" hidden="1">#REF!</definedName>
    <definedName name="BO4325C4CE5A6A40EDB239CE3FEA93D616" localSheetId="5" hidden="1">[7]lailo!#REF!</definedName>
    <definedName name="BO4325C4CE5A6A40EDB239CE3FEA93D616" localSheetId="4" hidden="1">[7]lailo!#REF!</definedName>
    <definedName name="BO4325C4CE5A6A40EDB239CE3FEA93D616" hidden="1">[7]lailo!#REF!</definedName>
    <definedName name="BO433499B555AB4935A23F3FB59353D2EE" localSheetId="5" hidden="1">#REF!</definedName>
    <definedName name="BO433499B555AB4935A23F3FB59353D2EE" localSheetId="4" hidden="1">#REF!</definedName>
    <definedName name="BO433499B555AB4935A23F3FB59353D2EE" hidden="1">#REF!</definedName>
    <definedName name="BO4335FDB3189549F5BF6D0B206D64D24B" localSheetId="5" hidden="1">#REF!</definedName>
    <definedName name="BO4335FDB3189549F5BF6D0B206D64D24B" localSheetId="4" hidden="1">#REF!</definedName>
    <definedName name="BO4335FDB3189549F5BF6D0B206D64D24B" hidden="1">#REF!</definedName>
    <definedName name="BO434317F8DA9741658242E88E107EFF2F" localSheetId="5" hidden="1">#REF!</definedName>
    <definedName name="BO434317F8DA9741658242E88E107EFF2F" localSheetId="4" hidden="1">#REF!</definedName>
    <definedName name="BO434317F8DA9741658242E88E107EFF2F" hidden="1">#REF!</definedName>
    <definedName name="BO435DD626F933429CBF3601013675993A" localSheetId="5" hidden="1">[9]Kehoachchitiet!#REF!</definedName>
    <definedName name="BO435DD626F933429CBF3601013675993A" localSheetId="4" hidden="1">[9]Kehoachchitiet!#REF!</definedName>
    <definedName name="BO435DD626F933429CBF3601013675993A" hidden="1">[9]Kehoachchitiet!#REF!</definedName>
    <definedName name="BO43641DD769414698AF63B91F89C2CE66" localSheetId="5" hidden="1">#REF!</definedName>
    <definedName name="BO43641DD769414698AF63B91F89C2CE66" localSheetId="4" hidden="1">#REF!</definedName>
    <definedName name="BO43641DD769414698AF63B91F89C2CE66" hidden="1">#REF!</definedName>
    <definedName name="BO437340D478E246C384AB3FC8B836891C" localSheetId="5" hidden="1">#REF!</definedName>
    <definedName name="BO437340D478E246C384AB3FC8B836891C" localSheetId="4" hidden="1">#REF!</definedName>
    <definedName name="BO437340D478E246C384AB3FC8B836891C" hidden="1">#REF!</definedName>
    <definedName name="BO437B6247218446FC90C69DA42EF2740F" localSheetId="5" hidden="1">#REF!</definedName>
    <definedName name="BO437B6247218446FC90C69DA42EF2740F" localSheetId="4" hidden="1">#REF!</definedName>
    <definedName name="BO437B6247218446FC90C69DA42EF2740F" hidden="1">#REF!</definedName>
    <definedName name="BO43B5E94059604478947C29F18B21D8D7" localSheetId="5" hidden="1">#REF!</definedName>
    <definedName name="BO43B5E94059604478947C29F18B21D8D7" localSheetId="4" hidden="1">#REF!</definedName>
    <definedName name="BO43B5E94059604478947C29F18B21D8D7" hidden="1">#REF!</definedName>
    <definedName name="BO43BB16D693FD4B14A412C62D211E4945" localSheetId="5" hidden="1">#REF!</definedName>
    <definedName name="BO43BB16D693FD4B14A412C62D211E4945" localSheetId="4" hidden="1">#REF!</definedName>
    <definedName name="BO43BB16D693FD4B14A412C62D211E4945" hidden="1">#REF!</definedName>
    <definedName name="BO43C6ED75220C443CB4A3CB0484EC60D0" localSheetId="5" hidden="1">#REF!</definedName>
    <definedName name="BO43C6ED75220C443CB4A3CB0484EC60D0" localSheetId="4" hidden="1">#REF!</definedName>
    <definedName name="BO43C6ED75220C443CB4A3CB0484EC60D0" hidden="1">#REF!</definedName>
    <definedName name="BO43DD2C399C0A4D70AB69F950604099C5" localSheetId="5" hidden="1">#REF!</definedName>
    <definedName name="BO43DD2C399C0A4D70AB69F950604099C5" localSheetId="4" hidden="1">#REF!</definedName>
    <definedName name="BO43DD2C399C0A4D70AB69F950604099C5" hidden="1">#REF!</definedName>
    <definedName name="BO43EB85519579432D96861AA14F27E482" localSheetId="5" hidden="1">#REF!</definedName>
    <definedName name="BO43EB85519579432D96861AA14F27E482" localSheetId="4" hidden="1">#REF!</definedName>
    <definedName name="BO43EB85519579432D96861AA14F27E482" hidden="1">#REF!</definedName>
    <definedName name="BO43FF37EA3FEC470BAD34B6B7B9FF9C29" localSheetId="5" hidden="1">#REF!</definedName>
    <definedName name="BO43FF37EA3FEC470BAD34B6B7B9FF9C29" localSheetId="4" hidden="1">#REF!</definedName>
    <definedName name="BO43FF37EA3FEC470BAD34B6B7B9FF9C29" hidden="1">#REF!</definedName>
    <definedName name="BO4405FE650B77473191B594E32962A972" localSheetId="5" hidden="1">#REF!</definedName>
    <definedName name="BO4405FE650B77473191B594E32962A972" localSheetId="4" hidden="1">#REF!</definedName>
    <definedName name="BO4405FE650B77473191B594E32962A972" hidden="1">#REF!</definedName>
    <definedName name="BO440EEAD675174955BD846EE77A000DA5" localSheetId="5" hidden="1">#REF!</definedName>
    <definedName name="BO440EEAD675174955BD846EE77A000DA5" localSheetId="4" hidden="1">#REF!</definedName>
    <definedName name="BO440EEAD675174955BD846EE77A000DA5" hidden="1">#REF!</definedName>
    <definedName name="BO442358FA8333417E864723C79749E79D" localSheetId="5" hidden="1">#REF!</definedName>
    <definedName name="BO442358FA8333417E864723C79749E79D" localSheetId="4" hidden="1">#REF!</definedName>
    <definedName name="BO442358FA8333417E864723C79749E79D" hidden="1">#REF!</definedName>
    <definedName name="BO442BBCA5D45646AD90365043AA617937" localSheetId="5" hidden="1">#REF!</definedName>
    <definedName name="BO442BBCA5D45646AD90365043AA617937" localSheetId="4" hidden="1">#REF!</definedName>
    <definedName name="BO442BBCA5D45646AD90365043AA617937" hidden="1">#REF!</definedName>
    <definedName name="BO44305DEC1291483A9BF50984E7D8088F" localSheetId="5" hidden="1">#REF!</definedName>
    <definedName name="BO44305DEC1291483A9BF50984E7D8088F" localSheetId="4" hidden="1">#REF!</definedName>
    <definedName name="BO44305DEC1291483A9BF50984E7D8088F" hidden="1">#REF!</definedName>
    <definedName name="BO4448F3777E804A28B9FE5DE6398EF8E9" localSheetId="5" hidden="1">#REF!</definedName>
    <definedName name="BO4448F3777E804A28B9FE5DE6398EF8E9" localSheetId="4" hidden="1">#REF!</definedName>
    <definedName name="BO4448F3777E804A28B9FE5DE6398EF8E9" hidden="1">#REF!</definedName>
    <definedName name="BO44650C66E1F2450F8F6D26CFA87EFD2F" localSheetId="5" hidden="1">#REF!</definedName>
    <definedName name="BO44650C66E1F2450F8F6D26CFA87EFD2F" localSheetId="4" hidden="1">#REF!</definedName>
    <definedName name="BO44650C66E1F2450F8F6D26CFA87EFD2F" hidden="1">#REF!</definedName>
    <definedName name="BO447862D0784D4CB6A29406F28A1DF6DF" localSheetId="5" hidden="1">#REF!</definedName>
    <definedName name="BO447862D0784D4CB6A29406F28A1DF6DF" localSheetId="4" hidden="1">#REF!</definedName>
    <definedName name="BO447862D0784D4CB6A29406F28A1DF6DF" hidden="1">#REF!</definedName>
    <definedName name="BO44794421BDF649C2A479F6EC511746E4" localSheetId="5" hidden="1">#REF!</definedName>
    <definedName name="BO44794421BDF649C2A479F6EC511746E4" localSheetId="4" hidden="1">#REF!</definedName>
    <definedName name="BO44794421BDF649C2A479F6EC511746E4" hidden="1">#REF!</definedName>
    <definedName name="BO4483061E9B2A4171B99EC0E776EDF54F" localSheetId="5" hidden="1">#REF!</definedName>
    <definedName name="BO4483061E9B2A4171B99EC0E776EDF54F" localSheetId="4" hidden="1">#REF!</definedName>
    <definedName name="BO4483061E9B2A4171B99EC0E776EDF54F" hidden="1">#REF!</definedName>
    <definedName name="BO44856DBA988C4E0E879D3156A5E9A508" localSheetId="5" hidden="1">#REF!</definedName>
    <definedName name="BO44856DBA988C4E0E879D3156A5E9A508" localSheetId="4" hidden="1">#REF!</definedName>
    <definedName name="BO44856DBA988C4E0E879D3156A5E9A508" hidden="1">#REF!</definedName>
    <definedName name="BO448A7EE0DCBB4BDF9A056D395A4E5D46" localSheetId="5" hidden="1">#REF!</definedName>
    <definedName name="BO448A7EE0DCBB4BDF9A056D395A4E5D46" localSheetId="4" hidden="1">#REF!</definedName>
    <definedName name="BO448A7EE0DCBB4BDF9A056D395A4E5D46" hidden="1">#REF!</definedName>
    <definedName name="BO44966D833E7B447CB1EEF7669223CAB0" localSheetId="5" hidden="1">#REF!</definedName>
    <definedName name="BO44966D833E7B447CB1EEF7669223CAB0" localSheetId="4" hidden="1">#REF!</definedName>
    <definedName name="BO44966D833E7B447CB1EEF7669223CAB0" hidden="1">#REF!</definedName>
    <definedName name="BO44AE8484FFA742C4B46C37615EE6FD7A" localSheetId="5" hidden="1">#REF!</definedName>
    <definedName name="BO44AE8484FFA742C4B46C37615EE6FD7A" localSheetId="4" hidden="1">#REF!</definedName>
    <definedName name="BO44AE8484FFA742C4B46C37615EE6FD7A" hidden="1">#REF!</definedName>
    <definedName name="BO44C317D2FCB94123ACD72C772F41D43B" localSheetId="5" hidden="1">#REF!</definedName>
    <definedName name="BO44C317D2FCB94123ACD72C772F41D43B" localSheetId="4" hidden="1">#REF!</definedName>
    <definedName name="BO44C317D2FCB94123ACD72C772F41D43B" hidden="1">#REF!</definedName>
    <definedName name="BO44C5C84E7EC247B397DE1BAB4E58E2D5" localSheetId="5" hidden="1">#REF!</definedName>
    <definedName name="BO44C5C84E7EC247B397DE1BAB4E58E2D5" localSheetId="4" hidden="1">#REF!</definedName>
    <definedName name="BO44C5C84E7EC247B397DE1BAB4E58E2D5" hidden="1">#REF!</definedName>
    <definedName name="BO44CD97FFE3F348C4964C90E9ACD6D609" localSheetId="5" hidden="1">#REF!</definedName>
    <definedName name="BO44CD97FFE3F348C4964C90E9ACD6D609" localSheetId="4" hidden="1">#REF!</definedName>
    <definedName name="BO44CD97FFE3F348C4964C90E9ACD6D609" hidden="1">#REF!</definedName>
    <definedName name="BO44D1CF2949C64A60A739B2A441AD051B" localSheetId="5" hidden="1">#REF!</definedName>
    <definedName name="BO44D1CF2949C64A60A739B2A441AD051B" localSheetId="4" hidden="1">#REF!</definedName>
    <definedName name="BO44D1CF2949C64A60A739B2A441AD051B" hidden="1">#REF!</definedName>
    <definedName name="BO44D4229713E3428698EACDF7F9B51DFC" localSheetId="5" hidden="1">[9]Giaitrinh!#REF!</definedName>
    <definedName name="BO44D4229713E3428698EACDF7F9B51DFC" localSheetId="4" hidden="1">[9]Giaitrinh!#REF!</definedName>
    <definedName name="BO44D4229713E3428698EACDF7F9B51DFC" hidden="1">[9]Giaitrinh!#REF!</definedName>
    <definedName name="BO44DA8E66CD4940489F111E91BC74453C" localSheetId="5" hidden="1">[10]Giaitrinh!#REF!</definedName>
    <definedName name="BO44DA8E66CD4940489F111E91BC74453C" localSheetId="4" hidden="1">[10]Giaitrinh!#REF!</definedName>
    <definedName name="BO44DA8E66CD4940489F111E91BC74453C" hidden="1">[10]Giaitrinh!#REF!</definedName>
    <definedName name="BO450BF2E58EA947E1859F4E314D70B8FD" localSheetId="5" hidden="1">#REF!</definedName>
    <definedName name="BO450BF2E58EA947E1859F4E314D70B8FD" localSheetId="4" hidden="1">#REF!</definedName>
    <definedName name="BO450BF2E58EA947E1859F4E314D70B8FD" hidden="1">#REF!</definedName>
    <definedName name="BO4517FCA32061410786FEDB1D7C97D930" localSheetId="5" hidden="1">#REF!</definedName>
    <definedName name="BO4517FCA32061410786FEDB1D7C97D930" localSheetId="4" hidden="1">#REF!</definedName>
    <definedName name="BO4517FCA32061410786FEDB1D7C97D930" hidden="1">#REF!</definedName>
    <definedName name="BO453E695211A44670A7D5BD823FFE8B9F" localSheetId="5" hidden="1">#REF!</definedName>
    <definedName name="BO453E695211A44670A7D5BD823FFE8B9F" localSheetId="4" hidden="1">#REF!</definedName>
    <definedName name="BO453E695211A44670A7D5BD823FFE8B9F" hidden="1">#REF!</definedName>
    <definedName name="BO454B0919734547149C52E9C479EA789E" localSheetId="5" hidden="1">#REF!</definedName>
    <definedName name="BO454B0919734547149C52E9C479EA789E" localSheetId="4" hidden="1">#REF!</definedName>
    <definedName name="BO454B0919734547149C52E9C479EA789E" hidden="1">#REF!</definedName>
    <definedName name="BO454BFF91FD534BF88883176101908687" localSheetId="5" hidden="1">[9]Kehoachchitiet!#REF!</definedName>
    <definedName name="BO454BFF91FD534BF88883176101908687" localSheetId="4" hidden="1">[9]Kehoachchitiet!#REF!</definedName>
    <definedName name="BO454BFF91FD534BF88883176101908687" hidden="1">[9]Kehoachchitiet!#REF!</definedName>
    <definedName name="BO454FCE682D15476BA296B3D94BCB2BFB" localSheetId="5" hidden="1">#REF!</definedName>
    <definedName name="BO454FCE682D15476BA296B3D94BCB2BFB" localSheetId="4" hidden="1">#REF!</definedName>
    <definedName name="BO454FCE682D15476BA296B3D94BCB2BFB" hidden="1">#REF!</definedName>
    <definedName name="BO4559A96E8A974B1DAC918F8F2EB94EF9" localSheetId="5" hidden="1">#REF!</definedName>
    <definedName name="BO4559A96E8A974B1DAC918F8F2EB94EF9" localSheetId="4" hidden="1">#REF!</definedName>
    <definedName name="BO4559A96E8A974B1DAC918F8F2EB94EF9" hidden="1">#REF!</definedName>
    <definedName name="BO45804B962C68497694DCF5D3FE1DA2A4" localSheetId="5" hidden="1">#REF!</definedName>
    <definedName name="BO45804B962C68497694DCF5D3FE1DA2A4" localSheetId="4" hidden="1">#REF!</definedName>
    <definedName name="BO45804B962C68497694DCF5D3FE1DA2A4" hidden="1">#REF!</definedName>
    <definedName name="BO45878D15BC764FF3AB65C7517F4B4468" localSheetId="5" hidden="1">#REF!</definedName>
    <definedName name="BO45878D15BC764FF3AB65C7517F4B4468" localSheetId="4" hidden="1">#REF!</definedName>
    <definedName name="BO45878D15BC764FF3AB65C7517F4B4468" hidden="1">#REF!</definedName>
    <definedName name="BO4589A3998667433AB12346FFCE80C594" localSheetId="5" hidden="1">#REF!</definedName>
    <definedName name="BO4589A3998667433AB12346FFCE80C594" localSheetId="4" hidden="1">#REF!</definedName>
    <definedName name="BO4589A3998667433AB12346FFCE80C594" hidden="1">#REF!</definedName>
    <definedName name="BO45904099936743BABF24BA42E132C38D" localSheetId="5" hidden="1">#REF!</definedName>
    <definedName name="BO45904099936743BABF24BA42E132C38D" localSheetId="4" hidden="1">#REF!</definedName>
    <definedName name="BO45904099936743BABF24BA42E132C38D" hidden="1">#REF!</definedName>
    <definedName name="BO45928791D89146CFA303388DFBD1C736" localSheetId="5" hidden="1">#REF!</definedName>
    <definedName name="BO45928791D89146CFA303388DFBD1C736" localSheetId="4" hidden="1">#REF!</definedName>
    <definedName name="BO45928791D89146CFA303388DFBD1C736" hidden="1">#REF!</definedName>
    <definedName name="BO45B21A31A07443E493B4B0CE970B67BE" localSheetId="5" hidden="1">#REF!</definedName>
    <definedName name="BO45B21A31A07443E493B4B0CE970B67BE" localSheetId="4" hidden="1">#REF!</definedName>
    <definedName name="BO45B21A31A07443E493B4B0CE970B67BE" hidden="1">#REF!</definedName>
    <definedName name="BO45D0085A87D04401B4F9F611A1910640" localSheetId="5" hidden="1">#REF!</definedName>
    <definedName name="BO45D0085A87D04401B4F9F611A1910640" localSheetId="4" hidden="1">#REF!</definedName>
    <definedName name="BO45D0085A87D04401B4F9F611A1910640" hidden="1">#REF!</definedName>
    <definedName name="BO45F6FE83A2134871849A67ECDF7C40C3" localSheetId="5" hidden="1">#REF!</definedName>
    <definedName name="BO45F6FE83A2134871849A67ECDF7C40C3" localSheetId="4" hidden="1">#REF!</definedName>
    <definedName name="BO45F6FE83A2134871849A67ECDF7C40C3" hidden="1">#REF!</definedName>
    <definedName name="BO461ADB48F2164CC09A68460175FC630C" localSheetId="5" hidden="1">#REF!</definedName>
    <definedName name="BO461ADB48F2164CC09A68460175FC630C" localSheetId="4" hidden="1">#REF!</definedName>
    <definedName name="BO461ADB48F2164CC09A68460175FC630C" hidden="1">#REF!</definedName>
    <definedName name="BO463661CF73734FB0A40B7FB6F9FB14E9" localSheetId="5" hidden="1">#REF!</definedName>
    <definedName name="BO463661CF73734FB0A40B7FB6F9FB14E9" localSheetId="4" hidden="1">#REF!</definedName>
    <definedName name="BO463661CF73734FB0A40B7FB6F9FB14E9" hidden="1">#REF!</definedName>
    <definedName name="BO4640BA9D61FA4EFF91C323AFF3CDD0AF" localSheetId="5" hidden="1">#REF!</definedName>
    <definedName name="BO4640BA9D61FA4EFF91C323AFF3CDD0AF" localSheetId="4" hidden="1">#REF!</definedName>
    <definedName name="BO4640BA9D61FA4EFF91C323AFF3CDD0AF" hidden="1">#REF!</definedName>
    <definedName name="BO4654F35AE4A94B88914D5564F493E506" localSheetId="5" hidden="1">#REF!</definedName>
    <definedName name="BO4654F35AE4A94B88914D5564F493E506" localSheetId="4" hidden="1">#REF!</definedName>
    <definedName name="BO4654F35AE4A94B88914D5564F493E506" hidden="1">#REF!</definedName>
    <definedName name="BO469232BE89F143549B8E870E500AC925" localSheetId="5" hidden="1">#REF!</definedName>
    <definedName name="BO469232BE89F143549B8E870E500AC925" localSheetId="4" hidden="1">#REF!</definedName>
    <definedName name="BO469232BE89F143549B8E870E500AC925" hidden="1">#REF!</definedName>
    <definedName name="BO46CE713E74794E9F8F0DAAA6B64AA6A0" localSheetId="5" hidden="1">#REF!</definedName>
    <definedName name="BO46CE713E74794E9F8F0DAAA6B64AA6A0" localSheetId="4" hidden="1">#REF!</definedName>
    <definedName name="BO46CE713E74794E9F8F0DAAA6B64AA6A0" hidden="1">#REF!</definedName>
    <definedName name="BO46DBEA407B254EC3A7F2F74C140332A7" localSheetId="5" hidden="1">#REF!</definedName>
    <definedName name="BO46DBEA407B254EC3A7F2F74C140332A7" localSheetId="4" hidden="1">#REF!</definedName>
    <definedName name="BO46DBEA407B254EC3A7F2F74C140332A7" hidden="1">#REF!</definedName>
    <definedName name="BO46E4971BDD314D19AFF57EF1186E0498" localSheetId="5" hidden="1">#REF!</definedName>
    <definedName name="BO46E4971BDD314D19AFF57EF1186E0498" localSheetId="4" hidden="1">#REF!</definedName>
    <definedName name="BO46E4971BDD314D19AFF57EF1186E0498" hidden="1">#REF!</definedName>
    <definedName name="BO46EA610EBFC643F5B313EF854D068321" localSheetId="5" hidden="1">#REF!</definedName>
    <definedName name="BO46EA610EBFC643F5B313EF854D068321" localSheetId="4" hidden="1">#REF!</definedName>
    <definedName name="BO46EA610EBFC643F5B313EF854D068321" hidden="1">#REF!</definedName>
    <definedName name="BO470BEB276B644DD69D23B9E0261E2A43" localSheetId="5" hidden="1">#REF!</definedName>
    <definedName name="BO470BEB276B644DD69D23B9E0261E2A43" localSheetId="4" hidden="1">#REF!</definedName>
    <definedName name="BO470BEB276B644DD69D23B9E0261E2A43" hidden="1">#REF!</definedName>
    <definedName name="BO4711256397AA4016B645A39EED010AEC" localSheetId="5" hidden="1">#REF!</definedName>
    <definedName name="BO4711256397AA4016B645A39EED010AEC" localSheetId="4" hidden="1">#REF!</definedName>
    <definedName name="BO4711256397AA4016B645A39EED010AEC" hidden="1">#REF!</definedName>
    <definedName name="BO472FDF9D1E3B4E9991920C454290CCB8" localSheetId="5" hidden="1">#REF!</definedName>
    <definedName name="BO472FDF9D1E3B4E9991920C454290CCB8" localSheetId="4" hidden="1">#REF!</definedName>
    <definedName name="BO472FDF9D1E3B4E9991920C454290CCB8" hidden="1">#REF!</definedName>
    <definedName name="BO47305FE1425C42EE8297FD2C4DE5D7DC" localSheetId="5" hidden="1">#REF!</definedName>
    <definedName name="BO47305FE1425C42EE8297FD2C4DE5D7DC" localSheetId="4" hidden="1">#REF!</definedName>
    <definedName name="BO47305FE1425C42EE8297FD2C4DE5D7DC" hidden="1">#REF!</definedName>
    <definedName name="BO474B274A10974507BC20B22971C89927" localSheetId="5" hidden="1">#REF!</definedName>
    <definedName name="BO474B274A10974507BC20B22971C89927" localSheetId="4" hidden="1">#REF!</definedName>
    <definedName name="BO474B274A10974507BC20B22971C89927" hidden="1">#REF!</definedName>
    <definedName name="BO47503073D5464DFA9E49AAF712123CB8" localSheetId="5" hidden="1">#REF!</definedName>
    <definedName name="BO47503073D5464DFA9E49AAF712123CB8" localSheetId="4" hidden="1">#REF!</definedName>
    <definedName name="BO47503073D5464DFA9E49AAF712123CB8" hidden="1">#REF!</definedName>
    <definedName name="BO4765F1B9752F4104B13E2D2D8439107F" localSheetId="5" hidden="1">#REF!</definedName>
    <definedName name="BO4765F1B9752F4104B13E2D2D8439107F" localSheetId="4" hidden="1">#REF!</definedName>
    <definedName name="BO4765F1B9752F4104B13E2D2D8439107F" hidden="1">#REF!</definedName>
    <definedName name="BO47738B1418294B9889FC0348BEC8078D" localSheetId="5" hidden="1">#REF!</definedName>
    <definedName name="BO47738B1418294B9889FC0348BEC8078D" localSheetId="4" hidden="1">#REF!</definedName>
    <definedName name="BO47738B1418294B9889FC0348BEC8078D" hidden="1">#REF!</definedName>
    <definedName name="BO477AF323BBAF4D949363F8CF4B007300" localSheetId="5" hidden="1">#REF!</definedName>
    <definedName name="BO477AF323BBAF4D949363F8CF4B007300" localSheetId="4" hidden="1">#REF!</definedName>
    <definedName name="BO477AF323BBAF4D949363F8CF4B007300" hidden="1">#REF!</definedName>
    <definedName name="BO4792AAFA02C24ED6AA0BB01C79C4D53D" localSheetId="5" hidden="1">#REF!</definedName>
    <definedName name="BO4792AAFA02C24ED6AA0BB01C79C4D53D" localSheetId="4" hidden="1">#REF!</definedName>
    <definedName name="BO4792AAFA02C24ED6AA0BB01C79C4D53D" hidden="1">#REF!</definedName>
    <definedName name="BO47B81A3C714044DBAE4F550DA61320B4" localSheetId="5" hidden="1">#REF!</definedName>
    <definedName name="BO47B81A3C714044DBAE4F550DA61320B4" localSheetId="4" hidden="1">#REF!</definedName>
    <definedName name="BO47B81A3C714044DBAE4F550DA61320B4" hidden="1">#REF!</definedName>
    <definedName name="BO47CB1926C4224D5191C8B45468721815" localSheetId="5" hidden="1">#REF!</definedName>
    <definedName name="BO47CB1926C4224D5191C8B45468721815" localSheetId="4" hidden="1">#REF!</definedName>
    <definedName name="BO47CB1926C4224D5191C8B45468721815" hidden="1">#REF!</definedName>
    <definedName name="BO47CF2416E1E4433CB14DF1CD9BB47325" localSheetId="5" hidden="1">#REF!</definedName>
    <definedName name="BO47CF2416E1E4433CB14DF1CD9BB47325" localSheetId="4" hidden="1">#REF!</definedName>
    <definedName name="BO47CF2416E1E4433CB14DF1CD9BB47325" hidden="1">#REF!</definedName>
    <definedName name="BO47D208B24F444CEC9765F7A1992B8C86" localSheetId="5" hidden="1">#REF!</definedName>
    <definedName name="BO47D208B24F444CEC9765F7A1992B8C86" localSheetId="4" hidden="1">#REF!</definedName>
    <definedName name="BO47D208B24F444CEC9765F7A1992B8C86" hidden="1">#REF!</definedName>
    <definedName name="BO47F43F7C60F64E7C8F5511C18A7D9150" localSheetId="5" hidden="1">#REF!</definedName>
    <definedName name="BO47F43F7C60F64E7C8F5511C18A7D9150" localSheetId="4" hidden="1">#REF!</definedName>
    <definedName name="BO47F43F7C60F64E7C8F5511C18A7D9150" hidden="1">#REF!</definedName>
    <definedName name="BO47FE1908C88F4900971BC7AD61476814" localSheetId="5" hidden="1">[8]Ketqua!#REF!</definedName>
    <definedName name="BO47FE1908C88F4900971BC7AD61476814" localSheetId="4" hidden="1">[8]Ketqua!#REF!</definedName>
    <definedName name="BO47FE1908C88F4900971BC7AD61476814" hidden="1">[8]Ketqua!#REF!</definedName>
    <definedName name="BO4804DD0A23C449CB93E1E1206BC6D76E" localSheetId="5" hidden="1">#REF!</definedName>
    <definedName name="BO4804DD0A23C449CB93E1E1206BC6D76E" localSheetId="4" hidden="1">#REF!</definedName>
    <definedName name="BO4804DD0A23C449CB93E1E1206BC6D76E" hidden="1">#REF!</definedName>
    <definedName name="BO4811BB6D363246B4B8C029A31B50EC37" localSheetId="5" hidden="1">#REF!</definedName>
    <definedName name="BO4811BB6D363246B4B8C029A31B50EC37" localSheetId="4" hidden="1">#REF!</definedName>
    <definedName name="BO4811BB6D363246B4B8C029A31B50EC37" hidden="1">#REF!</definedName>
    <definedName name="BO48158C876A054053A8BF1B1066B5769F" localSheetId="5" hidden="1">#REF!</definedName>
    <definedName name="BO48158C876A054053A8BF1B1066B5769F" localSheetId="4" hidden="1">#REF!</definedName>
    <definedName name="BO48158C876A054053A8BF1B1066B5769F" hidden="1">#REF!</definedName>
    <definedName name="BO481EEF2746434CA3955011739E810936" localSheetId="5" hidden="1">#REF!</definedName>
    <definedName name="BO481EEF2746434CA3955011739E810936" localSheetId="4" hidden="1">#REF!</definedName>
    <definedName name="BO481EEF2746434CA3955011739E810936" hidden="1">#REF!</definedName>
    <definedName name="BO4831E7C9F1E24C75885AEE45966CF51F" localSheetId="5" hidden="1">#REF!</definedName>
    <definedName name="BO4831E7C9F1E24C75885AEE45966CF51F" localSheetId="4" hidden="1">#REF!</definedName>
    <definedName name="BO4831E7C9F1E24C75885AEE45966CF51F" hidden="1">#REF!</definedName>
    <definedName name="BO4848436D292F4BCEA9EC60F4FC29E337" localSheetId="5" hidden="1">#REF!</definedName>
    <definedName name="BO4848436D292F4BCEA9EC60F4FC29E337" localSheetId="4" hidden="1">#REF!</definedName>
    <definedName name="BO4848436D292F4BCEA9EC60F4FC29E337" hidden="1">#REF!</definedName>
    <definedName name="BO484DA2D43C574948877D69CEA2096392" localSheetId="5" hidden="1">#REF!</definedName>
    <definedName name="BO484DA2D43C574948877D69CEA2096392" localSheetId="4" hidden="1">#REF!</definedName>
    <definedName name="BO484DA2D43C574948877D69CEA2096392" hidden="1">#REF!</definedName>
    <definedName name="BO4854E1474B1D46A19A781B3BFD329D0A" localSheetId="5" hidden="1">#REF!</definedName>
    <definedName name="BO4854E1474B1D46A19A781B3BFD329D0A" localSheetId="4" hidden="1">#REF!</definedName>
    <definedName name="BO4854E1474B1D46A19A781B3BFD329D0A" hidden="1">#REF!</definedName>
    <definedName name="BO48625DD0CD294A78BC0FD2353D172185" localSheetId="5" hidden="1">#REF!</definedName>
    <definedName name="BO48625DD0CD294A78BC0FD2353D172185" localSheetId="4" hidden="1">#REF!</definedName>
    <definedName name="BO48625DD0CD294A78BC0FD2353D172185" hidden="1">#REF!</definedName>
    <definedName name="BO4864DAE644064F4C863015857F2EB9B0" localSheetId="5" hidden="1">#REF!</definedName>
    <definedName name="BO4864DAE644064F4C863015857F2EB9B0" localSheetId="4" hidden="1">#REF!</definedName>
    <definedName name="BO4864DAE644064F4C863015857F2EB9B0" hidden="1">#REF!</definedName>
    <definedName name="BO4874FCDB87824222B8F51298606DB3AA" localSheetId="5" hidden="1">#REF!</definedName>
    <definedName name="BO4874FCDB87824222B8F51298606DB3AA" localSheetId="4" hidden="1">#REF!</definedName>
    <definedName name="BO4874FCDB87824222B8F51298606DB3AA" hidden="1">#REF!</definedName>
    <definedName name="BO487D47B103CC4E238C8EFE10B92F2135" localSheetId="5" hidden="1">#REF!</definedName>
    <definedName name="BO487D47B103CC4E238C8EFE10B92F2135" localSheetId="4" hidden="1">#REF!</definedName>
    <definedName name="BO487D47B103CC4E238C8EFE10B92F2135" hidden="1">#REF!</definedName>
    <definedName name="BO48835453620245AEB7B610E2C50EAB3D" localSheetId="5" hidden="1">#REF!</definedName>
    <definedName name="BO48835453620245AEB7B610E2C50EAB3D" localSheetId="4" hidden="1">#REF!</definedName>
    <definedName name="BO48835453620245AEB7B610E2C50EAB3D" hidden="1">#REF!</definedName>
    <definedName name="BO4887C41B3A3D4467937C836F4CF3AEDD" localSheetId="5" hidden="1">#REF!</definedName>
    <definedName name="BO4887C41B3A3D4467937C836F4CF3AEDD" localSheetId="4" hidden="1">#REF!</definedName>
    <definedName name="BO4887C41B3A3D4467937C836F4CF3AEDD" hidden="1">#REF!</definedName>
    <definedName name="BO488FBC168F184AF8846C0D796230044B" localSheetId="5" hidden="1">#REF!</definedName>
    <definedName name="BO488FBC168F184AF8846C0D796230044B" localSheetId="4" hidden="1">#REF!</definedName>
    <definedName name="BO488FBC168F184AF8846C0D796230044B" hidden="1">#REF!</definedName>
    <definedName name="BO48B69C9C3A4A4DA2AFD812AE32ED98F2" localSheetId="5" hidden="1">#REF!</definedName>
    <definedName name="BO48B69C9C3A4A4DA2AFD812AE32ED98F2" localSheetId="4" hidden="1">#REF!</definedName>
    <definedName name="BO48B69C9C3A4A4DA2AFD812AE32ED98F2" hidden="1">#REF!</definedName>
    <definedName name="BO48BFEE7784694DD1BD00F205B77FB95D" localSheetId="5" hidden="1">#REF!</definedName>
    <definedName name="BO48BFEE7784694DD1BD00F205B77FB95D" localSheetId="4" hidden="1">#REF!</definedName>
    <definedName name="BO48BFEE7784694DD1BD00F205B77FB95D" hidden="1">#REF!</definedName>
    <definedName name="BO48D151814232468CBC2887DCAC36C30D" localSheetId="5" hidden="1">#REF!</definedName>
    <definedName name="BO48D151814232468CBC2887DCAC36C30D" localSheetId="4" hidden="1">#REF!</definedName>
    <definedName name="BO48D151814232468CBC2887DCAC36C30D" hidden="1">#REF!</definedName>
    <definedName name="BO48D7E34863BE4993AB520DB7520B5A44" localSheetId="5" hidden="1">#REF!</definedName>
    <definedName name="BO48D7E34863BE4993AB520DB7520B5A44" localSheetId="4" hidden="1">#REF!</definedName>
    <definedName name="BO48D7E34863BE4993AB520DB7520B5A44" hidden="1">#REF!</definedName>
    <definedName name="BO48EBA3B837A6434EA0A818AEF37DBEF6" localSheetId="5" hidden="1">#REF!</definedName>
    <definedName name="BO48EBA3B837A6434EA0A818AEF37DBEF6" localSheetId="4" hidden="1">#REF!</definedName>
    <definedName name="BO48EBA3B837A6434EA0A818AEF37DBEF6" hidden="1">#REF!</definedName>
    <definedName name="BO48EE5418E8DD4622BB78F4DF1C2A142A" hidden="1">[8]Ketqua!$I$10:$U$10</definedName>
    <definedName name="BO4916C9E82339496E9E8B2313A3C7B604" localSheetId="5" hidden="1">#REF!</definedName>
    <definedName name="BO4916C9E82339496E9E8B2313A3C7B604" localSheetId="4" hidden="1">#REF!</definedName>
    <definedName name="BO4916C9E82339496E9E8B2313A3C7B604" hidden="1">#REF!</definedName>
    <definedName name="BO4917F57A689A4DAB833B3984737BB84B" localSheetId="5" hidden="1">#REF!</definedName>
    <definedName name="BO4917F57A689A4DAB833B3984737BB84B" localSheetId="4" hidden="1">#REF!</definedName>
    <definedName name="BO4917F57A689A4DAB833B3984737BB84B" hidden="1">#REF!</definedName>
    <definedName name="BO491DF1B87A35419FB7FA4840BFC287E4" localSheetId="5" hidden="1">#REF!</definedName>
    <definedName name="BO491DF1B87A35419FB7FA4840BFC287E4" localSheetId="4" hidden="1">#REF!</definedName>
    <definedName name="BO491DF1B87A35419FB7FA4840BFC287E4" hidden="1">#REF!</definedName>
    <definedName name="BO492FF71352564A0B906D969350494321" localSheetId="5" hidden="1">#REF!</definedName>
    <definedName name="BO492FF71352564A0B906D969350494321" localSheetId="4" hidden="1">#REF!</definedName>
    <definedName name="BO492FF71352564A0B906D969350494321" hidden="1">#REF!</definedName>
    <definedName name="BO49562CCAA6134CE4BD6EA3F56225B806" localSheetId="5" hidden="1">#REF!</definedName>
    <definedName name="BO49562CCAA6134CE4BD6EA3F56225B806" localSheetId="4" hidden="1">#REF!</definedName>
    <definedName name="BO49562CCAA6134CE4BD6EA3F56225B806" hidden="1">#REF!</definedName>
    <definedName name="BO495F8EDE280E496EA6BFC9579129817E" localSheetId="5" hidden="1">#REF!</definedName>
    <definedName name="BO495F8EDE280E496EA6BFC9579129817E" localSheetId="4" hidden="1">#REF!</definedName>
    <definedName name="BO495F8EDE280E496EA6BFC9579129817E" hidden="1">#REF!</definedName>
    <definedName name="BO496A271603F746FD8768E3BE7C35AC8B" localSheetId="5" hidden="1">#REF!</definedName>
    <definedName name="BO496A271603F746FD8768E3BE7C35AC8B" localSheetId="4" hidden="1">#REF!</definedName>
    <definedName name="BO496A271603F746FD8768E3BE7C35AC8B" hidden="1">#REF!</definedName>
    <definedName name="BO4989BD6C49D9472F9577212E5508BA42" localSheetId="5" hidden="1">#REF!</definedName>
    <definedName name="BO4989BD6C49D9472F9577212E5508BA42" localSheetId="4" hidden="1">#REF!</definedName>
    <definedName name="BO4989BD6C49D9472F9577212E5508BA42" hidden="1">#REF!</definedName>
    <definedName name="BO49A6D95CCEA64D59993EA0E2F6D1B481" localSheetId="5" hidden="1">#REF!</definedName>
    <definedName name="BO49A6D95CCEA64D59993EA0E2F6D1B481" localSheetId="4" hidden="1">#REF!</definedName>
    <definedName name="BO49A6D95CCEA64D59993EA0E2F6D1B481" hidden="1">#REF!</definedName>
    <definedName name="BO49BE17222F1C4BB58D35D46E4E2F888A" localSheetId="5" hidden="1">#REF!</definedName>
    <definedName name="BO49BE17222F1C4BB58D35D46E4E2F888A" localSheetId="4" hidden="1">#REF!</definedName>
    <definedName name="BO49BE17222F1C4BB58D35D46E4E2F888A" hidden="1">#REF!</definedName>
    <definedName name="BO49BE7643709D4E51B4CE6E9827246CC0" localSheetId="5" hidden="1">#REF!</definedName>
    <definedName name="BO49BE7643709D4E51B4CE6E9827246CC0" localSheetId="4" hidden="1">#REF!</definedName>
    <definedName name="BO49BE7643709D4E51B4CE6E9827246CC0" hidden="1">#REF!</definedName>
    <definedName name="BO49C03189CFB64DD2ABF19BD409F593CB" localSheetId="5" hidden="1">#REF!</definedName>
    <definedName name="BO49C03189CFB64DD2ABF19BD409F593CB" localSheetId="4" hidden="1">#REF!</definedName>
    <definedName name="BO49C03189CFB64DD2ABF19BD409F593CB" hidden="1">#REF!</definedName>
    <definedName name="BO49DCD65C43EB4DFCA8847B0CC8D9697F" localSheetId="5" hidden="1">#REF!</definedName>
    <definedName name="BO49DCD65C43EB4DFCA8847B0CC8D9697F" localSheetId="4" hidden="1">#REF!</definedName>
    <definedName name="BO49DCD65C43EB4DFCA8847B0CC8D9697F" hidden="1">#REF!</definedName>
    <definedName name="BO4A28F013D07F4826B45917F0DAC8318B" localSheetId="5" hidden="1">#REF!</definedName>
    <definedName name="BO4A28F013D07F4826B45917F0DAC8318B" localSheetId="4" hidden="1">#REF!</definedName>
    <definedName name="BO4A28F013D07F4826B45917F0DAC8318B" hidden="1">#REF!</definedName>
    <definedName name="BO4A305139E4E54B8A90896F56C75B8915" localSheetId="5" hidden="1">#REF!</definedName>
    <definedName name="BO4A305139E4E54B8A90896F56C75B8915" localSheetId="4" hidden="1">#REF!</definedName>
    <definedName name="BO4A305139E4E54B8A90896F56C75B8915" hidden="1">#REF!</definedName>
    <definedName name="BO4A3DBBE544E8425CA26337B568D90565" localSheetId="5" hidden="1">#REF!</definedName>
    <definedName name="BO4A3DBBE544E8425CA26337B568D90565" localSheetId="4" hidden="1">#REF!</definedName>
    <definedName name="BO4A3DBBE544E8425CA26337B568D90565" hidden="1">#REF!</definedName>
    <definedName name="BO4A3EA82712D4443FBE70BEF91D9E21B5" localSheetId="5" hidden="1">#REF!</definedName>
    <definedName name="BO4A3EA82712D4443FBE70BEF91D9E21B5" localSheetId="4" hidden="1">#REF!</definedName>
    <definedName name="BO4A3EA82712D4443FBE70BEF91D9E21B5" hidden="1">#REF!</definedName>
    <definedName name="BO4A47E059A2E64E29805369062AC0FA3B" localSheetId="5" hidden="1">#REF!</definedName>
    <definedName name="BO4A47E059A2E64E29805369062AC0FA3B" localSheetId="4" hidden="1">#REF!</definedName>
    <definedName name="BO4A47E059A2E64E29805369062AC0FA3B" hidden="1">#REF!</definedName>
    <definedName name="BO4A648412D7AD41F39C281FF6AACFFB1C" hidden="1">[8]Ketqua!$I$10:$U$10</definedName>
    <definedName name="BO4A6CA9DE3CAC47E5838DF623704141E8" localSheetId="5" hidden="1">#REF!</definedName>
    <definedName name="BO4A6CA9DE3CAC47E5838DF623704141E8" localSheetId="4" hidden="1">#REF!</definedName>
    <definedName name="BO4A6CA9DE3CAC47E5838DF623704141E8" hidden="1">#REF!</definedName>
    <definedName name="BO4A70980CD8584D6A87A415B79DB75135" localSheetId="5" hidden="1">#REF!</definedName>
    <definedName name="BO4A70980CD8584D6A87A415B79DB75135" localSheetId="4" hidden="1">#REF!</definedName>
    <definedName name="BO4A70980CD8584D6A87A415B79DB75135" hidden="1">#REF!</definedName>
    <definedName name="BO4A7EDF1F721E44818AAF14D4EE421965" localSheetId="5" hidden="1">#REF!</definedName>
    <definedName name="BO4A7EDF1F721E44818AAF14D4EE421965" localSheetId="4" hidden="1">#REF!</definedName>
    <definedName name="BO4A7EDF1F721E44818AAF14D4EE421965" hidden="1">#REF!</definedName>
    <definedName name="BO4A7F68E8A67444FEAA4814D4E59CF9B5" localSheetId="5" hidden="1">#REF!</definedName>
    <definedName name="BO4A7F68E8A67444FEAA4814D4E59CF9B5" localSheetId="4" hidden="1">#REF!</definedName>
    <definedName name="BO4A7F68E8A67444FEAA4814D4E59CF9B5" hidden="1">#REF!</definedName>
    <definedName name="BO4A97231BDEE843AD9E673C72C89CD017" localSheetId="5" hidden="1">#REF!</definedName>
    <definedName name="BO4A97231BDEE843AD9E673C72C89CD017" localSheetId="4" hidden="1">#REF!</definedName>
    <definedName name="BO4A97231BDEE843AD9E673C72C89CD017" hidden="1">#REF!</definedName>
    <definedName name="BO4AAE3B29CE214B3288C1C3E46EDEE779" localSheetId="5" hidden="1">#REF!</definedName>
    <definedName name="BO4AAE3B29CE214B3288C1C3E46EDEE779" localSheetId="4" hidden="1">#REF!</definedName>
    <definedName name="BO4AAE3B29CE214B3288C1C3E46EDEE779" hidden="1">#REF!</definedName>
    <definedName name="BO4AAF3ED43D1F4BA0A617F05B5FA98022" localSheetId="5" hidden="1">[7]lailo!#REF!</definedName>
    <definedName name="BO4AAF3ED43D1F4BA0A617F05B5FA98022" localSheetId="4" hidden="1">[7]lailo!#REF!</definedName>
    <definedName name="BO4AAF3ED43D1F4BA0A617F05B5FA98022" hidden="1">[7]lailo!#REF!</definedName>
    <definedName name="BO4ABD4D97307B4665ADA92858FAEF49D4" localSheetId="5" hidden="1">#REF!</definedName>
    <definedName name="BO4ABD4D97307B4665ADA92858FAEF49D4" localSheetId="4" hidden="1">#REF!</definedName>
    <definedName name="BO4ABD4D97307B4665ADA92858FAEF49D4" hidden="1">#REF!</definedName>
    <definedName name="BO4AD6EA5278B146B49BB6298E4865E4B4" localSheetId="5" hidden="1">#REF!</definedName>
    <definedName name="BO4AD6EA5278B146B49BB6298E4865E4B4" localSheetId="4" hidden="1">#REF!</definedName>
    <definedName name="BO4AD6EA5278B146B49BB6298E4865E4B4" hidden="1">#REF!</definedName>
    <definedName name="BO4B55FBE7704D4E8ABFBBA6B9FCFCCE0B" localSheetId="5" hidden="1">#REF!</definedName>
    <definedName name="BO4B55FBE7704D4E8ABFBBA6B9FCFCCE0B" localSheetId="4" hidden="1">#REF!</definedName>
    <definedName name="BO4B55FBE7704D4E8ABFBBA6B9FCFCCE0B" hidden="1">#REF!</definedName>
    <definedName name="BO4B600A1E72F94C77B9817B555BEAFCFC" localSheetId="5" hidden="1">#REF!</definedName>
    <definedName name="BO4B600A1E72F94C77B9817B555BEAFCFC" localSheetId="4" hidden="1">#REF!</definedName>
    <definedName name="BO4B600A1E72F94C77B9817B555BEAFCFC" hidden="1">#REF!</definedName>
    <definedName name="BO4B85FA2CA3EB4164B387DE75A013145C" localSheetId="5" hidden="1">#REF!</definedName>
    <definedName name="BO4B85FA2CA3EB4164B387DE75A013145C" localSheetId="4" hidden="1">#REF!</definedName>
    <definedName name="BO4B85FA2CA3EB4164B387DE75A013145C" hidden="1">#REF!</definedName>
    <definedName name="BO4B9082ADEF134F52A343B2776FB647AC" localSheetId="5" hidden="1">#REF!</definedName>
    <definedName name="BO4B9082ADEF134F52A343B2776FB647AC" localSheetId="4" hidden="1">#REF!</definedName>
    <definedName name="BO4B9082ADEF134F52A343B2776FB647AC" hidden="1">#REF!</definedName>
    <definedName name="BO4B9541F852604A37ABEF98A3DF88713F" localSheetId="5" hidden="1">#REF!</definedName>
    <definedName name="BO4B9541F852604A37ABEF98A3DF88713F" localSheetId="4" hidden="1">#REF!</definedName>
    <definedName name="BO4B9541F852604A37ABEF98A3DF88713F" hidden="1">#REF!</definedName>
    <definedName name="BO4B9820C141B1499BB7BD6CD1C5A977AA" localSheetId="5" hidden="1">#REF!</definedName>
    <definedName name="BO4B9820C141B1499BB7BD6CD1C5A977AA" localSheetId="4" hidden="1">#REF!</definedName>
    <definedName name="BO4B9820C141B1499BB7BD6CD1C5A977AA" hidden="1">#REF!</definedName>
    <definedName name="BO4BB9A2BC1129469286DE1F8ABA253435" localSheetId="5" hidden="1">#REF!</definedName>
    <definedName name="BO4BB9A2BC1129469286DE1F8ABA253435" localSheetId="4" hidden="1">#REF!</definedName>
    <definedName name="BO4BB9A2BC1129469286DE1F8ABA253435" hidden="1">#REF!</definedName>
    <definedName name="BO4BBF67B692A048F4AD993CFF0F18B8CF" localSheetId="5" hidden="1">#REF!</definedName>
    <definedName name="BO4BBF67B692A048F4AD993CFF0F18B8CF" localSheetId="4" hidden="1">#REF!</definedName>
    <definedName name="BO4BBF67B692A048F4AD993CFF0F18B8CF" hidden="1">#REF!</definedName>
    <definedName name="BO4BC8086F4AEF4C3C9334AF9706BACA0B" localSheetId="5" hidden="1">#REF!</definedName>
    <definedName name="BO4BC8086F4AEF4C3C9334AF9706BACA0B" localSheetId="4" hidden="1">#REF!</definedName>
    <definedName name="BO4BC8086F4AEF4C3C9334AF9706BACA0B" hidden="1">#REF!</definedName>
    <definedName name="BO4BD17015B7194A9D87BC14DAC5F8D21B" localSheetId="5" hidden="1">#REF!</definedName>
    <definedName name="BO4BD17015B7194A9D87BC14DAC5F8D21B" localSheetId="4" hidden="1">#REF!</definedName>
    <definedName name="BO4BD17015B7194A9D87BC14DAC5F8D21B" hidden="1">#REF!</definedName>
    <definedName name="BO4BD38689778A48EBBEEC8F6135335B1E" localSheetId="5" hidden="1">#REF!</definedName>
    <definedName name="BO4BD38689778A48EBBEEC8F6135335B1E" localSheetId="4" hidden="1">#REF!</definedName>
    <definedName name="BO4BD38689778A48EBBEEC8F6135335B1E" hidden="1">#REF!</definedName>
    <definedName name="BO4BE4F8B0149843BEA0DE682311914928" localSheetId="5" hidden="1">#REF!</definedName>
    <definedName name="BO4BE4F8B0149843BEA0DE682311914928" localSheetId="4" hidden="1">#REF!</definedName>
    <definedName name="BO4BE4F8B0149843BEA0DE682311914928" hidden="1">#REF!</definedName>
    <definedName name="BO4BFE0CC99A3944368A42CB17D02A49DD" localSheetId="5" hidden="1">#REF!</definedName>
    <definedName name="BO4BFE0CC99A3944368A42CB17D02A49DD" localSheetId="4" hidden="1">#REF!</definedName>
    <definedName name="BO4BFE0CC99A3944368A42CB17D02A49DD" hidden="1">#REF!</definedName>
    <definedName name="BO4C0243B70A9541D291A1FBB0DE639578" localSheetId="5" hidden="1">#REF!</definedName>
    <definedName name="BO4C0243B70A9541D291A1FBB0DE639578" localSheetId="4" hidden="1">#REF!</definedName>
    <definedName name="BO4C0243B70A9541D291A1FBB0DE639578" hidden="1">#REF!</definedName>
    <definedName name="BO4C18F56268464DE2B1FD9FFC8DC75C4A" localSheetId="5" hidden="1">#REF!</definedName>
    <definedName name="BO4C18F56268464DE2B1FD9FFC8DC75C4A" localSheetId="4" hidden="1">#REF!</definedName>
    <definedName name="BO4C18F56268464DE2B1FD9FFC8DC75C4A" hidden="1">#REF!</definedName>
    <definedName name="BO4C1CD1D203F04562A4E31D080D642AB1" localSheetId="5" hidden="1">#REF!</definedName>
    <definedName name="BO4C1CD1D203F04562A4E31D080D642AB1" localSheetId="4" hidden="1">#REF!</definedName>
    <definedName name="BO4C1CD1D203F04562A4E31D080D642AB1" hidden="1">#REF!</definedName>
    <definedName name="BO4C270054B24B409CBCB5EFD94CEFD51A" localSheetId="5" hidden="1">#REF!</definedName>
    <definedName name="BO4C270054B24B409CBCB5EFD94CEFD51A" localSheetId="4" hidden="1">#REF!</definedName>
    <definedName name="BO4C270054B24B409CBCB5EFD94CEFD51A" hidden="1">#REF!</definedName>
    <definedName name="BO4C2931E343344998B228A10FB6A6255F" localSheetId="5" hidden="1">#REF!</definedName>
    <definedName name="BO4C2931E343344998B228A10FB6A6255F" localSheetId="4" hidden="1">#REF!</definedName>
    <definedName name="BO4C2931E343344998B228A10FB6A6255F" hidden="1">#REF!</definedName>
    <definedName name="BO4C322C3F08A04888A840CDEC0E0EEECC" localSheetId="5" hidden="1">#REF!</definedName>
    <definedName name="BO4C322C3F08A04888A840CDEC0E0EEECC" localSheetId="4" hidden="1">#REF!</definedName>
    <definedName name="BO4C322C3F08A04888A840CDEC0E0EEECC" hidden="1">#REF!</definedName>
    <definedName name="BO4C3F2B01E1944D59BEB55C5175EBAEA9" localSheetId="5" hidden="1">#REF!</definedName>
    <definedName name="BO4C3F2B01E1944D59BEB55C5175EBAEA9" localSheetId="4" hidden="1">#REF!</definedName>
    <definedName name="BO4C3F2B01E1944D59BEB55C5175EBAEA9" hidden="1">#REF!</definedName>
    <definedName name="BO4C43050B90E04C87B55DD5F46779E3E5" localSheetId="5" hidden="1">#REF!</definedName>
    <definedName name="BO4C43050B90E04C87B55DD5F46779E3E5" localSheetId="4" hidden="1">#REF!</definedName>
    <definedName name="BO4C43050B90E04C87B55DD5F46779E3E5" hidden="1">#REF!</definedName>
    <definedName name="BO4C49BA149189441D82286AD70F0DBFBA" localSheetId="5" hidden="1">#REF!</definedName>
    <definedName name="BO4C49BA149189441D82286AD70F0DBFBA" localSheetId="4" hidden="1">#REF!</definedName>
    <definedName name="BO4C49BA149189441D82286AD70F0DBFBA" hidden="1">#REF!</definedName>
    <definedName name="BO4C59317BCB434D4AAB8264AC52E949F2" localSheetId="5" hidden="1">#REF!</definedName>
    <definedName name="BO4C59317BCB434D4AAB8264AC52E949F2" localSheetId="4" hidden="1">#REF!</definedName>
    <definedName name="BO4C59317BCB434D4AAB8264AC52E949F2" hidden="1">#REF!</definedName>
    <definedName name="BO4C748FEDC50D4D05BF6C3AE45DF27C96" localSheetId="5" hidden="1">#REF!</definedName>
    <definedName name="BO4C748FEDC50D4D05BF6C3AE45DF27C96" localSheetId="4" hidden="1">#REF!</definedName>
    <definedName name="BO4C748FEDC50D4D05BF6C3AE45DF27C96" hidden="1">#REF!</definedName>
    <definedName name="BO4C74A53862CA458B84FB13899C4C27A0" localSheetId="5" hidden="1">#REF!</definedName>
    <definedName name="BO4C74A53862CA458B84FB13899C4C27A0" localSheetId="4" hidden="1">#REF!</definedName>
    <definedName name="BO4C74A53862CA458B84FB13899C4C27A0" hidden="1">#REF!</definedName>
    <definedName name="BO4C764C5A90244445872E36779DE6C2AB" localSheetId="5" hidden="1">#REF!</definedName>
    <definedName name="BO4C764C5A90244445872E36779DE6C2AB" localSheetId="4" hidden="1">#REF!</definedName>
    <definedName name="BO4C764C5A90244445872E36779DE6C2AB" hidden="1">#REF!</definedName>
    <definedName name="BO4C7FCC50D77946A2BCAB6BEAEF47F94E" localSheetId="5" hidden="1">#REF!</definedName>
    <definedName name="BO4C7FCC50D77946A2BCAB6BEAEF47F94E" localSheetId="4" hidden="1">#REF!</definedName>
    <definedName name="BO4C7FCC50D77946A2BCAB6BEAEF47F94E" hidden="1">#REF!</definedName>
    <definedName name="BO4C83A188953648E1A45C60CAD52D495C" localSheetId="5" hidden="1">#REF!</definedName>
    <definedName name="BO4C83A188953648E1A45C60CAD52D495C" localSheetId="4" hidden="1">#REF!</definedName>
    <definedName name="BO4C83A188953648E1A45C60CAD52D495C" hidden="1">#REF!</definedName>
    <definedName name="BO4CA027B4B11C4E88BEA7D5AB0FBFE55C" localSheetId="5" hidden="1">[9]xml!#REF!</definedName>
    <definedName name="BO4CA027B4B11C4E88BEA7D5AB0FBFE55C" localSheetId="4" hidden="1">[9]xml!#REF!</definedName>
    <definedName name="BO4CA027B4B11C4E88BEA7D5AB0FBFE55C" hidden="1">[9]xml!#REF!</definedName>
    <definedName name="BO4CABAE3124EC4EA3BBD9ACA318D3884A" localSheetId="5" hidden="1">#REF!</definedName>
    <definedName name="BO4CABAE3124EC4EA3BBD9ACA318D3884A" localSheetId="4" hidden="1">#REF!</definedName>
    <definedName name="BO4CABAE3124EC4EA3BBD9ACA318D3884A" hidden="1">#REF!</definedName>
    <definedName name="BO4CBA748CA1904ABEAC4916C51F3632CD" localSheetId="5" hidden="1">#REF!</definedName>
    <definedName name="BO4CBA748CA1904ABEAC4916C51F3632CD" localSheetId="4" hidden="1">#REF!</definedName>
    <definedName name="BO4CBA748CA1904ABEAC4916C51F3632CD" hidden="1">#REF!</definedName>
    <definedName name="BO4CC413BA91B24160B10C346B184D4378" localSheetId="5" hidden="1">#REF!</definedName>
    <definedName name="BO4CC413BA91B24160B10C346B184D4378" localSheetId="4" hidden="1">#REF!</definedName>
    <definedName name="BO4CC413BA91B24160B10C346B184D4378" hidden="1">#REF!</definedName>
    <definedName name="BO4CD39991FB7D4B3EA474B7C8CAB5921A" localSheetId="5" hidden="1">#REF!</definedName>
    <definedName name="BO4CD39991FB7D4B3EA474B7C8CAB5921A" localSheetId="4" hidden="1">#REF!</definedName>
    <definedName name="BO4CD39991FB7D4B3EA474B7C8CAB5921A" hidden="1">#REF!</definedName>
    <definedName name="BO4CD80EE9E82D4A789B5EA3447CD850B6" localSheetId="5" hidden="1">#REF!</definedName>
    <definedName name="BO4CD80EE9E82D4A789B5EA3447CD850B6" localSheetId="4" hidden="1">#REF!</definedName>
    <definedName name="BO4CD80EE9E82D4A789B5EA3447CD850B6" hidden="1">#REF!</definedName>
    <definedName name="BO4CF4185D197F40448CE36FEDF9D760A5" localSheetId="5" hidden="1">#REF!</definedName>
    <definedName name="BO4CF4185D197F40448CE36FEDF9D760A5" localSheetId="4" hidden="1">#REF!</definedName>
    <definedName name="BO4CF4185D197F40448CE36FEDF9D760A5" hidden="1">#REF!</definedName>
    <definedName name="BO4CF7712420B0467CA6C396B58471C17C" localSheetId="5" hidden="1">#REF!</definedName>
    <definedName name="BO4CF7712420B0467CA6C396B58471C17C" localSheetId="4" hidden="1">#REF!</definedName>
    <definedName name="BO4CF7712420B0467CA6C396B58471C17C" hidden="1">#REF!</definedName>
    <definedName name="BO4CFE4749AA3E4E43BC1AC4E546D31AFE" hidden="1">[8]Ketqua!$I$9:$U$9</definedName>
    <definedName name="BO4D111DFC879A4267A8F215A9F3EE7545" localSheetId="5" hidden="1">#REF!</definedName>
    <definedName name="BO4D111DFC879A4267A8F215A9F3EE7545" localSheetId="4" hidden="1">#REF!</definedName>
    <definedName name="BO4D111DFC879A4267A8F215A9F3EE7545" hidden="1">#REF!</definedName>
    <definedName name="BO4D176891D0D447959B2CE9E30A490257" localSheetId="5" hidden="1">#REF!</definedName>
    <definedName name="BO4D176891D0D447959B2CE9E30A490257" localSheetId="4" hidden="1">#REF!</definedName>
    <definedName name="BO4D176891D0D447959B2CE9E30A490257" hidden="1">#REF!</definedName>
    <definedName name="BO4D217C14FE744B10921607668507E5E5" localSheetId="5" hidden="1">#REF!</definedName>
    <definedName name="BO4D217C14FE744B10921607668507E5E5" localSheetId="4" hidden="1">#REF!</definedName>
    <definedName name="BO4D217C14FE744B10921607668507E5E5" hidden="1">#REF!</definedName>
    <definedName name="BO4D312C5249F84A419336714CC3247A5D" localSheetId="5" hidden="1">#REF!</definedName>
    <definedName name="BO4D312C5249F84A419336714CC3247A5D" localSheetId="4" hidden="1">#REF!</definedName>
    <definedName name="BO4D312C5249F84A419336714CC3247A5D" hidden="1">#REF!</definedName>
    <definedName name="BO4D3DB98A61DE49538E9508F8DA930509" localSheetId="5" hidden="1">#REF!</definedName>
    <definedName name="BO4D3DB98A61DE49538E9508F8DA930509" localSheetId="4" hidden="1">#REF!</definedName>
    <definedName name="BO4D3DB98A61DE49538E9508F8DA930509" hidden="1">#REF!</definedName>
    <definedName name="BO4D4B68E0EB674E5A8741358C839FECA5" localSheetId="5" hidden="1">#REF!</definedName>
    <definedName name="BO4D4B68E0EB674E5A8741358C839FECA5" localSheetId="4" hidden="1">#REF!</definedName>
    <definedName name="BO4D4B68E0EB674E5A8741358C839FECA5" hidden="1">#REF!</definedName>
    <definedName name="BO4D4DDFF07BD043B78E96FC9DF7827C31" localSheetId="5" hidden="1">#REF!</definedName>
    <definedName name="BO4D4DDFF07BD043B78E96FC9DF7827C31" localSheetId="4" hidden="1">#REF!</definedName>
    <definedName name="BO4D4DDFF07BD043B78E96FC9DF7827C31" hidden="1">#REF!</definedName>
    <definedName name="BO4D5CBBC8C3334B4889FEFA7DB9C0B2B3" localSheetId="5" hidden="1">#REF!</definedName>
    <definedName name="BO4D5CBBC8C3334B4889FEFA7DB9C0B2B3" localSheetId="4" hidden="1">#REF!</definedName>
    <definedName name="BO4D5CBBC8C3334B4889FEFA7DB9C0B2B3" hidden="1">#REF!</definedName>
    <definedName name="BO4D622B63467C42F99F1CF3912C0F4402" localSheetId="5" hidden="1">#REF!</definedName>
    <definedName name="BO4D622B63467C42F99F1CF3912C0F4402" localSheetId="4" hidden="1">#REF!</definedName>
    <definedName name="BO4D622B63467C42F99F1CF3912C0F4402" hidden="1">#REF!</definedName>
    <definedName name="BO4D7EF8973A5442E4BB251E072767DEA7" localSheetId="5" hidden="1">#REF!</definedName>
    <definedName name="BO4D7EF8973A5442E4BB251E072767DEA7" localSheetId="4" hidden="1">#REF!</definedName>
    <definedName name="BO4D7EF8973A5442E4BB251E072767DEA7" hidden="1">#REF!</definedName>
    <definedName name="BO4D80DEACB63F40C8B074073E6B1CCF17" localSheetId="5" hidden="1">#REF!</definedName>
    <definedName name="BO4D80DEACB63F40C8B074073E6B1CCF17" localSheetId="4" hidden="1">#REF!</definedName>
    <definedName name="BO4D80DEACB63F40C8B074073E6B1CCF17" hidden="1">#REF!</definedName>
    <definedName name="BO4D95CA0E2A4B43CA8A504EE9704A811B" localSheetId="5" hidden="1">#REF!</definedName>
    <definedName name="BO4D95CA0E2A4B43CA8A504EE9704A811B" localSheetId="4" hidden="1">#REF!</definedName>
    <definedName name="BO4D95CA0E2A4B43CA8A504EE9704A811B" hidden="1">#REF!</definedName>
    <definedName name="BO4DA1003C33144689ACDCC88DCAD76CEC" localSheetId="5" hidden="1">#REF!</definedName>
    <definedName name="BO4DA1003C33144689ACDCC88DCAD76CEC" localSheetId="4" hidden="1">#REF!</definedName>
    <definedName name="BO4DA1003C33144689ACDCC88DCAD76CEC" hidden="1">#REF!</definedName>
    <definedName name="BO4DA2550066EC4DC9A10AB9D177E0377D" localSheetId="5" hidden="1">#REF!</definedName>
    <definedName name="BO4DA2550066EC4DC9A10AB9D177E0377D" localSheetId="4" hidden="1">#REF!</definedName>
    <definedName name="BO4DA2550066EC4DC9A10AB9D177E0377D" hidden="1">#REF!</definedName>
    <definedName name="BO4DB231ECD89749BBB61C8672C325C9B6" localSheetId="5" hidden="1">#REF!</definedName>
    <definedName name="BO4DB231ECD89749BBB61C8672C325C9B6" localSheetId="4" hidden="1">#REF!</definedName>
    <definedName name="BO4DB231ECD89749BBB61C8672C325C9B6" hidden="1">#REF!</definedName>
    <definedName name="BO4DB260A6004845549622728FD5CF77DF" localSheetId="5" hidden="1">#REF!</definedName>
    <definedName name="BO4DB260A6004845549622728FD5CF77DF" localSheetId="4" hidden="1">#REF!</definedName>
    <definedName name="BO4DB260A6004845549622728FD5CF77DF" hidden="1">#REF!</definedName>
    <definedName name="BO4DD314D665044619A83BDBBF98520D3E" localSheetId="5" hidden="1">#REF!</definedName>
    <definedName name="BO4DD314D665044619A83BDBBF98520D3E" localSheetId="4" hidden="1">#REF!</definedName>
    <definedName name="BO4DD314D665044619A83BDBBF98520D3E" hidden="1">#REF!</definedName>
    <definedName name="BO4DD3E06B30D0453591537146FB44B655" localSheetId="5" hidden="1">#REF!</definedName>
    <definedName name="BO4DD3E06B30D0453591537146FB44B655" localSheetId="4" hidden="1">#REF!</definedName>
    <definedName name="BO4DD3E06B30D0453591537146FB44B655" hidden="1">#REF!</definedName>
    <definedName name="BO4DD73151A5FB4ADD9BDF74C7632D38D9" localSheetId="5" hidden="1">#REF!</definedName>
    <definedName name="BO4DD73151A5FB4ADD9BDF74C7632D38D9" localSheetId="4" hidden="1">#REF!</definedName>
    <definedName name="BO4DD73151A5FB4ADD9BDF74C7632D38D9" hidden="1">#REF!</definedName>
    <definedName name="BO4DDB1BA95BC64F86A40A7B2E257A35E3" localSheetId="5" hidden="1">#REF!</definedName>
    <definedName name="BO4DDB1BA95BC64F86A40A7B2E257A35E3" localSheetId="4" hidden="1">#REF!</definedName>
    <definedName name="BO4DDB1BA95BC64F86A40A7B2E257A35E3" hidden="1">#REF!</definedName>
    <definedName name="BO4DF0AF32BA4041D98D60CE58B013B4E7" localSheetId="5" hidden="1">#REF!</definedName>
    <definedName name="BO4DF0AF32BA4041D98D60CE58B013B4E7" localSheetId="4" hidden="1">#REF!</definedName>
    <definedName name="BO4DF0AF32BA4041D98D60CE58B013B4E7" hidden="1">#REF!</definedName>
    <definedName name="BO4DF2AB7750BF42EB9D57BA4D725243B3" localSheetId="5" hidden="1">[9]xml!#REF!</definedName>
    <definedName name="BO4DF2AB7750BF42EB9D57BA4D725243B3" localSheetId="4" hidden="1">[9]xml!#REF!</definedName>
    <definedName name="BO4DF2AB7750BF42EB9D57BA4D725243B3" hidden="1">[9]xml!#REF!</definedName>
    <definedName name="BO4DFB7B7FA8F84E68883B0A3A73557F62" localSheetId="5" hidden="1">#REF!</definedName>
    <definedName name="BO4DFB7B7FA8F84E68883B0A3A73557F62" localSheetId="4" hidden="1">#REF!</definedName>
    <definedName name="BO4DFB7B7FA8F84E68883B0A3A73557F62" hidden="1">#REF!</definedName>
    <definedName name="BO4E01D32940D4421789A79F65FBE5B853" localSheetId="5" hidden="1">#REF!</definedName>
    <definedName name="BO4E01D32940D4421789A79F65FBE5B853" localSheetId="4" hidden="1">#REF!</definedName>
    <definedName name="BO4E01D32940D4421789A79F65FBE5B853" hidden="1">#REF!</definedName>
    <definedName name="BO4E224232AAA9422ABBADA09C17231477" localSheetId="5" hidden="1">#REF!</definedName>
    <definedName name="BO4E224232AAA9422ABBADA09C17231477" localSheetId="4" hidden="1">#REF!</definedName>
    <definedName name="BO4E224232AAA9422ABBADA09C17231477" hidden="1">#REF!</definedName>
    <definedName name="BO4E5A5B2226B446818FD3052673DBE06E" localSheetId="5" hidden="1">#REF!</definedName>
    <definedName name="BO4E5A5B2226B446818FD3052673DBE06E" localSheetId="4" hidden="1">#REF!</definedName>
    <definedName name="BO4E5A5B2226B446818FD3052673DBE06E" hidden="1">#REF!</definedName>
    <definedName name="BO4EABBA73A2DA454BA953C9AE702A13FB" localSheetId="5" hidden="1">[9]xml!#REF!</definedName>
    <definedName name="BO4EABBA73A2DA454BA953C9AE702A13FB" localSheetId="4" hidden="1">[9]xml!#REF!</definedName>
    <definedName name="BO4EABBA73A2DA454BA953C9AE702A13FB" hidden="1">[9]xml!#REF!</definedName>
    <definedName name="BO4EB58024FECD4AAD9C54E6C0EC901032" localSheetId="5" hidden="1">#REF!</definedName>
    <definedName name="BO4EB58024FECD4AAD9C54E6C0EC901032" localSheetId="4" hidden="1">#REF!</definedName>
    <definedName name="BO4EB58024FECD4AAD9C54E6C0EC901032" hidden="1">#REF!</definedName>
    <definedName name="BO4EB5FF97F4A542CFA5FBAACB4196BD8F" localSheetId="5" hidden="1">#REF!</definedName>
    <definedName name="BO4EB5FF97F4A542CFA5FBAACB4196BD8F" localSheetId="4" hidden="1">#REF!</definedName>
    <definedName name="BO4EB5FF97F4A542CFA5FBAACB4196BD8F" hidden="1">#REF!</definedName>
    <definedName name="BO4EB62A5D99B44412981CC2DBA16B65A3" localSheetId="5" hidden="1">#REF!</definedName>
    <definedName name="BO4EB62A5D99B44412981CC2DBA16B65A3" localSheetId="4" hidden="1">#REF!</definedName>
    <definedName name="BO4EB62A5D99B44412981CC2DBA16B65A3" hidden="1">#REF!</definedName>
    <definedName name="BO4EC7C41902974BF0A985E634282CB07E" localSheetId="5" hidden="1">[9]xml!#REF!</definedName>
    <definedName name="BO4EC7C41902974BF0A985E634282CB07E" localSheetId="4" hidden="1">[9]xml!#REF!</definedName>
    <definedName name="BO4EC7C41902974BF0A985E634282CB07E" hidden="1">[9]xml!#REF!</definedName>
    <definedName name="BO4ED0CF4E0A724C8EA740079DC90628C3" localSheetId="5" hidden="1">#REF!</definedName>
    <definedName name="BO4ED0CF4E0A724C8EA740079DC90628C3" localSheetId="4" hidden="1">#REF!</definedName>
    <definedName name="BO4ED0CF4E0A724C8EA740079DC90628C3" hidden="1">#REF!</definedName>
    <definedName name="BO4ED6C94AEE84498698E997DC83194ED4" localSheetId="5" hidden="1">#REF!</definedName>
    <definedName name="BO4ED6C94AEE84498698E997DC83194ED4" localSheetId="4" hidden="1">#REF!</definedName>
    <definedName name="BO4ED6C94AEE84498698E997DC83194ED4" hidden="1">#REF!</definedName>
    <definedName name="BO4EDAA2EA53034F5195BF4F4E9E1246E3" localSheetId="5" hidden="1">#REF!</definedName>
    <definedName name="BO4EDAA2EA53034F5195BF4F4E9E1246E3" localSheetId="4" hidden="1">#REF!</definedName>
    <definedName name="BO4EDAA2EA53034F5195BF4F4E9E1246E3" hidden="1">#REF!</definedName>
    <definedName name="BO4EE02845C0FE46798F58F735CDA933D5" localSheetId="5" hidden="1">#REF!</definedName>
    <definedName name="BO4EE02845C0FE46798F58F735CDA933D5" localSheetId="4" hidden="1">#REF!</definedName>
    <definedName name="BO4EE02845C0FE46798F58F735CDA933D5" hidden="1">#REF!</definedName>
    <definedName name="BO4F082A8E044C49F8BC480A70B601A36E" localSheetId="5" hidden="1">#REF!</definedName>
    <definedName name="BO4F082A8E044C49F8BC480A70B601A36E" localSheetId="4" hidden="1">#REF!</definedName>
    <definedName name="BO4F082A8E044C49F8BC480A70B601A36E" hidden="1">#REF!</definedName>
    <definedName name="BO4F0FF9C21C6E41768DF300AE990AF1DC" localSheetId="5" hidden="1">[9]Giaitrinh!#REF!</definedName>
    <definedName name="BO4F0FF9C21C6E41768DF300AE990AF1DC" localSheetId="4" hidden="1">[9]Giaitrinh!#REF!</definedName>
    <definedName name="BO4F0FF9C21C6E41768DF300AE990AF1DC" hidden="1">[9]Giaitrinh!#REF!</definedName>
    <definedName name="BO4F174CF711D441F9848DE1A3F0E09B80" localSheetId="5" hidden="1">#REF!</definedName>
    <definedName name="BO4F174CF711D441F9848DE1A3F0E09B80" localSheetId="4" hidden="1">#REF!</definedName>
    <definedName name="BO4F174CF711D441F9848DE1A3F0E09B80" hidden="1">#REF!</definedName>
    <definedName name="BO4F1DDF5EB2F44AFAA8C5516DEF485905" localSheetId="5" hidden="1">#REF!</definedName>
    <definedName name="BO4F1DDF5EB2F44AFAA8C5516DEF485905" localSheetId="4" hidden="1">#REF!</definedName>
    <definedName name="BO4F1DDF5EB2F44AFAA8C5516DEF485905" hidden="1">#REF!</definedName>
    <definedName name="BO4F28111B51394391ABC9CC6B0B64372F" localSheetId="5" hidden="1">#REF!</definedName>
    <definedName name="BO4F28111B51394391ABC9CC6B0B64372F" localSheetId="4" hidden="1">#REF!</definedName>
    <definedName name="BO4F28111B51394391ABC9CC6B0B64372F" hidden="1">#REF!</definedName>
    <definedName name="BO4F382251407541D4B94F5AF416857C88" localSheetId="5" hidden="1">#REF!</definedName>
    <definedName name="BO4F382251407541D4B94F5AF416857C88" localSheetId="4" hidden="1">#REF!</definedName>
    <definedName name="BO4F382251407541D4B94F5AF416857C88" hidden="1">#REF!</definedName>
    <definedName name="BO4F59D60EB52644AC9849F75E566DAD76" localSheetId="5" hidden="1">#REF!</definedName>
    <definedName name="BO4F59D60EB52644AC9849F75E566DAD76" localSheetId="4" hidden="1">#REF!</definedName>
    <definedName name="BO4F59D60EB52644AC9849F75E566DAD76" hidden="1">#REF!</definedName>
    <definedName name="BO4F600CC4FC104082B27C8384C45C1689" localSheetId="5" hidden="1">#REF!</definedName>
    <definedName name="BO4F600CC4FC104082B27C8384C45C1689" localSheetId="4" hidden="1">#REF!</definedName>
    <definedName name="BO4F600CC4FC104082B27C8384C45C1689" hidden="1">#REF!</definedName>
    <definedName name="BO4F77A214CAB642EB9221536F5E451DF6" localSheetId="5" hidden="1">#REF!</definedName>
    <definedName name="BO4F77A214CAB642EB9221536F5E451DF6" localSheetId="4" hidden="1">#REF!</definedName>
    <definedName name="BO4F77A214CAB642EB9221536F5E451DF6" hidden="1">#REF!</definedName>
    <definedName name="BO4FA1B3AC851D45A28FA6115A499D0A10" localSheetId="5" hidden="1">#REF!</definedName>
    <definedName name="BO4FA1B3AC851D45A28FA6115A499D0A10" localSheetId="4" hidden="1">#REF!</definedName>
    <definedName name="BO4FA1B3AC851D45A28FA6115A499D0A10" hidden="1">#REF!</definedName>
    <definedName name="BO4FB15011AD8F454A8CD511C1B415323F" localSheetId="5" hidden="1">#REF!</definedName>
    <definedName name="BO4FB15011AD8F454A8CD511C1B415323F" localSheetId="4" hidden="1">#REF!</definedName>
    <definedName name="BO4FB15011AD8F454A8CD511C1B415323F" hidden="1">#REF!</definedName>
    <definedName name="BO4FB289186CC049ACAF17B8C85DFF71C8" localSheetId="5" hidden="1">#REF!</definedName>
    <definedName name="BO4FB289186CC049ACAF17B8C85DFF71C8" localSheetId="4" hidden="1">#REF!</definedName>
    <definedName name="BO4FB289186CC049ACAF17B8C85DFF71C8" hidden="1">#REF!</definedName>
    <definedName name="BO4FBDF91826A240BB846445744835ECAA" localSheetId="5" hidden="1">#REF!</definedName>
    <definedName name="BO4FBDF91826A240BB846445744835ECAA" localSheetId="4" hidden="1">#REF!</definedName>
    <definedName name="BO4FBDF91826A240BB846445744835ECAA" hidden="1">#REF!</definedName>
    <definedName name="BO4FE75D3F23F444EA8A91B3C77C9F2398" localSheetId="5" hidden="1">#REF!</definedName>
    <definedName name="BO4FE75D3F23F444EA8A91B3C77C9F2398" localSheetId="4" hidden="1">#REF!</definedName>
    <definedName name="BO4FE75D3F23F444EA8A91B3C77C9F2398" hidden="1">#REF!</definedName>
    <definedName name="BO500F607281384E709BC81BB8D0E05040" localSheetId="5" hidden="1">#REF!</definedName>
    <definedName name="BO500F607281384E709BC81BB8D0E05040" localSheetId="4" hidden="1">#REF!</definedName>
    <definedName name="BO500F607281384E709BC81BB8D0E05040" hidden="1">#REF!</definedName>
    <definedName name="BO5041B9A4B8C146FA8D61B1D6914A3DEC" localSheetId="5" hidden="1">#REF!</definedName>
    <definedName name="BO5041B9A4B8C146FA8D61B1D6914A3DEC" localSheetId="4" hidden="1">#REF!</definedName>
    <definedName name="BO5041B9A4B8C146FA8D61B1D6914A3DEC" hidden="1">#REF!</definedName>
    <definedName name="BO5044CF74C1B14DFE9C7967E1F8C74201" localSheetId="5" hidden="1">#REF!</definedName>
    <definedName name="BO5044CF74C1B14DFE9C7967E1F8C74201" localSheetId="4" hidden="1">#REF!</definedName>
    <definedName name="BO5044CF74C1B14DFE9C7967E1F8C74201" hidden="1">#REF!</definedName>
    <definedName name="BO504980E9F631410CBE413DD6676DD743" localSheetId="5" hidden="1">#REF!</definedName>
    <definedName name="BO504980E9F631410CBE413DD6676DD743" localSheetId="4" hidden="1">#REF!</definedName>
    <definedName name="BO504980E9F631410CBE413DD6676DD743" hidden="1">#REF!</definedName>
    <definedName name="BO504C15136FB74A77A4F09278BD552098" localSheetId="5" hidden="1">#REF!</definedName>
    <definedName name="BO504C15136FB74A77A4F09278BD552098" localSheetId="4" hidden="1">#REF!</definedName>
    <definedName name="BO504C15136FB74A77A4F09278BD552098" hidden="1">#REF!</definedName>
    <definedName name="BO5060B8055B22479FB2B032CFBC156B9A" localSheetId="5" hidden="1">#REF!</definedName>
    <definedName name="BO5060B8055B22479FB2B032CFBC156B9A" localSheetId="4" hidden="1">#REF!</definedName>
    <definedName name="BO5060B8055B22479FB2B032CFBC156B9A" hidden="1">#REF!</definedName>
    <definedName name="BO5066FECA22CC4BFE848A07A9D41D21D5" localSheetId="5" hidden="1">#REF!</definedName>
    <definedName name="BO5066FECA22CC4BFE848A07A9D41D21D5" localSheetId="4" hidden="1">#REF!</definedName>
    <definedName name="BO5066FECA22CC4BFE848A07A9D41D21D5" hidden="1">#REF!</definedName>
    <definedName name="BO5080FCBB1AFE4582AB0AEF756E02AB2A" localSheetId="5" hidden="1">#REF!</definedName>
    <definedName name="BO5080FCBB1AFE4582AB0AEF756E02AB2A" localSheetId="4" hidden="1">#REF!</definedName>
    <definedName name="BO5080FCBB1AFE4582AB0AEF756E02AB2A" hidden="1">#REF!</definedName>
    <definedName name="BO5080FCC582E643189FFE295E935AE5DE" localSheetId="5" hidden="1">#REF!</definedName>
    <definedName name="BO5080FCC582E643189FFE295E935AE5DE" localSheetId="4" hidden="1">#REF!</definedName>
    <definedName name="BO5080FCC582E643189FFE295E935AE5DE" hidden="1">#REF!</definedName>
    <definedName name="BO50827176D61E43EE93F18B39EFF6DF13" localSheetId="5" hidden="1">#REF!</definedName>
    <definedName name="BO50827176D61E43EE93F18B39EFF6DF13" localSheetId="4" hidden="1">#REF!</definedName>
    <definedName name="BO50827176D61E43EE93F18B39EFF6DF13" hidden="1">#REF!</definedName>
    <definedName name="BO50859751527B4027B87A739BAF1FB8E0" localSheetId="5" hidden="1">#REF!</definedName>
    <definedName name="BO50859751527B4027B87A739BAF1FB8E0" localSheetId="4" hidden="1">#REF!</definedName>
    <definedName name="BO50859751527B4027B87A739BAF1FB8E0" hidden="1">#REF!</definedName>
    <definedName name="BO509669C9ED7840288304BF14BF625147" localSheetId="5" hidden="1">#REF!</definedName>
    <definedName name="BO509669C9ED7840288304BF14BF625147" localSheetId="4" hidden="1">#REF!</definedName>
    <definedName name="BO509669C9ED7840288304BF14BF625147" hidden="1">#REF!</definedName>
    <definedName name="BO50A6D000423F4E1B9339E4FC009963E8" localSheetId="5" hidden="1">#REF!</definedName>
    <definedName name="BO50A6D000423F4E1B9339E4FC009963E8" localSheetId="4" hidden="1">#REF!</definedName>
    <definedName name="BO50A6D000423F4E1B9339E4FC009963E8" hidden="1">#REF!</definedName>
    <definedName name="BO50A9A9E6831241658F508DEAFE2A7553" localSheetId="5" hidden="1">#REF!</definedName>
    <definedName name="BO50A9A9E6831241658F508DEAFE2A7553" localSheetId="4" hidden="1">#REF!</definedName>
    <definedName name="BO50A9A9E6831241658F508DEAFE2A7553" hidden="1">#REF!</definedName>
    <definedName name="BO50BE6952315E4252BE4C2834487F1211" localSheetId="5" hidden="1">#REF!</definedName>
    <definedName name="BO50BE6952315E4252BE4C2834487F1211" localSheetId="4" hidden="1">#REF!</definedName>
    <definedName name="BO50BE6952315E4252BE4C2834487F1211" hidden="1">#REF!</definedName>
    <definedName name="BO50C2EEC4061B4787A85B1D811F966E44" localSheetId="5" hidden="1">#REF!</definedName>
    <definedName name="BO50C2EEC4061B4787A85B1D811F966E44" localSheetId="4" hidden="1">#REF!</definedName>
    <definedName name="BO50C2EEC4061B4787A85B1D811F966E44" hidden="1">#REF!</definedName>
    <definedName name="BO50C6DA095ECB4B7CA4AC4CD835A96561" localSheetId="5" hidden="1">#REF!</definedName>
    <definedName name="BO50C6DA095ECB4B7CA4AC4CD835A96561" localSheetId="4" hidden="1">#REF!</definedName>
    <definedName name="BO50C6DA095ECB4B7CA4AC4CD835A96561" hidden="1">#REF!</definedName>
    <definedName name="BO510065BD015D4F95A15752285E2AE65E" localSheetId="5" hidden="1">#REF!</definedName>
    <definedName name="BO510065BD015D4F95A15752285E2AE65E" localSheetId="4" hidden="1">#REF!</definedName>
    <definedName name="BO510065BD015D4F95A15752285E2AE65E" hidden="1">#REF!</definedName>
    <definedName name="BO5124F12717414DAC96ABA4A8269ECB84" localSheetId="5" hidden="1">#REF!</definedName>
    <definedName name="BO5124F12717414DAC96ABA4A8269ECB84" localSheetId="4" hidden="1">#REF!</definedName>
    <definedName name="BO5124F12717414DAC96ABA4A8269ECB84" hidden="1">#REF!</definedName>
    <definedName name="BO513861991D7C4A5FBB93C7EA0C759CFD" localSheetId="5" hidden="1">#REF!</definedName>
    <definedName name="BO513861991D7C4A5FBB93C7EA0C759CFD" localSheetId="4" hidden="1">#REF!</definedName>
    <definedName name="BO513861991D7C4A5FBB93C7EA0C759CFD" hidden="1">#REF!</definedName>
    <definedName name="BO5149FE314DC944E8A970EC95B668DE7C" localSheetId="5" hidden="1">#REF!</definedName>
    <definedName name="BO5149FE314DC944E8A970EC95B668DE7C" localSheetId="4" hidden="1">#REF!</definedName>
    <definedName name="BO5149FE314DC944E8A970EC95B668DE7C" hidden="1">#REF!</definedName>
    <definedName name="BO514D95FAE90F482C849C11DE38AE8DA0" localSheetId="5" hidden="1">#REF!</definedName>
    <definedName name="BO514D95FAE90F482C849C11DE38AE8DA0" localSheetId="4" hidden="1">#REF!</definedName>
    <definedName name="BO514D95FAE90F482C849C11DE38AE8DA0" hidden="1">#REF!</definedName>
    <definedName name="BO51549E3DAD0C401EA0B7175099C6B370" localSheetId="5" hidden="1">#REF!</definedName>
    <definedName name="BO51549E3DAD0C401EA0B7175099C6B370" localSheetId="4" hidden="1">#REF!</definedName>
    <definedName name="BO51549E3DAD0C401EA0B7175099C6B370" hidden="1">#REF!</definedName>
    <definedName name="BO517046412D50492290187FB9607D7C18" localSheetId="5" hidden="1">#REF!</definedName>
    <definedName name="BO517046412D50492290187FB9607D7C18" localSheetId="4" hidden="1">#REF!</definedName>
    <definedName name="BO517046412D50492290187FB9607D7C18" hidden="1">#REF!</definedName>
    <definedName name="BO5188834242E0421FB7501E32878E3A34" localSheetId="5" hidden="1">#REF!</definedName>
    <definedName name="BO5188834242E0421FB7501E32878E3A34" localSheetId="4" hidden="1">#REF!</definedName>
    <definedName name="BO5188834242E0421FB7501E32878E3A34" hidden="1">#REF!</definedName>
    <definedName name="BO51A8FA915C9A4F9D89273CF63EE46FE8" localSheetId="5" hidden="1">#REF!</definedName>
    <definedName name="BO51A8FA915C9A4F9D89273CF63EE46FE8" localSheetId="4" hidden="1">#REF!</definedName>
    <definedName name="BO51A8FA915C9A4F9D89273CF63EE46FE8" hidden="1">#REF!</definedName>
    <definedName name="BO51C8FC979EAE441F9F289915887365C5" localSheetId="5" hidden="1">#REF!</definedName>
    <definedName name="BO51C8FC979EAE441F9F289915887365C5" localSheetId="4" hidden="1">#REF!</definedName>
    <definedName name="BO51C8FC979EAE441F9F289915887365C5" hidden="1">#REF!</definedName>
    <definedName name="BO51CAB7BED6F34AAC81D276031A77B343" localSheetId="5" hidden="1">#REF!</definedName>
    <definedName name="BO51CAB7BED6F34AAC81D276031A77B343" localSheetId="4" hidden="1">#REF!</definedName>
    <definedName name="BO51CAB7BED6F34AAC81D276031A77B343" hidden="1">#REF!</definedName>
    <definedName name="BO51D7545D5BBF431988C5A808A9A78425" localSheetId="5" hidden="1">#REF!</definedName>
    <definedName name="BO51D7545D5BBF431988C5A808A9A78425" localSheetId="4" hidden="1">#REF!</definedName>
    <definedName name="BO51D7545D5BBF431988C5A808A9A78425" hidden="1">#REF!</definedName>
    <definedName name="BO51E8E80C42284454A7DFE690E58BDCE8" localSheetId="5" hidden="1">#REF!</definedName>
    <definedName name="BO51E8E80C42284454A7DFE690E58BDCE8" localSheetId="4" hidden="1">#REF!</definedName>
    <definedName name="BO51E8E80C42284454A7DFE690E58BDCE8" hidden="1">#REF!</definedName>
    <definedName name="BO51F5A3B3AA5A46A5A5EFF180F8EF46B5" localSheetId="5" hidden="1">#REF!</definedName>
    <definedName name="BO51F5A3B3AA5A46A5A5EFF180F8EF46B5" localSheetId="4" hidden="1">#REF!</definedName>
    <definedName name="BO51F5A3B3AA5A46A5A5EFF180F8EF46B5" hidden="1">#REF!</definedName>
    <definedName name="BO51F608F52D8F4C42869432170B976399" localSheetId="5" hidden="1">#REF!</definedName>
    <definedName name="BO51F608F52D8F4C42869432170B976399" localSheetId="4" hidden="1">#REF!</definedName>
    <definedName name="BO51F608F52D8F4C42869432170B976399" hidden="1">#REF!</definedName>
    <definedName name="BO520559A6ACD745EB89E7383B1F3D3B13" localSheetId="5" hidden="1">#REF!</definedName>
    <definedName name="BO520559A6ACD745EB89E7383B1F3D3B13" localSheetId="4" hidden="1">#REF!</definedName>
    <definedName name="BO520559A6ACD745EB89E7383B1F3D3B13" hidden="1">#REF!</definedName>
    <definedName name="BO521515863B2B48D0A1DA81523D22A0E9" localSheetId="5" hidden="1">#REF!</definedName>
    <definedName name="BO521515863B2B48D0A1DA81523D22A0E9" localSheetId="4" hidden="1">#REF!</definedName>
    <definedName name="BO521515863B2B48D0A1DA81523D22A0E9" hidden="1">#REF!</definedName>
    <definedName name="BO5225587466CB4E64950F3A977CD53BB5" localSheetId="5" hidden="1">#REF!</definedName>
    <definedName name="BO5225587466CB4E64950F3A977CD53BB5" localSheetId="4" hidden="1">#REF!</definedName>
    <definedName name="BO5225587466CB4E64950F3A977CD53BB5" hidden="1">#REF!</definedName>
    <definedName name="BO522BE2FBF700464AAFC7A88746B3102A" localSheetId="5" hidden="1">[8]Ketqua!#REF!</definedName>
    <definedName name="BO522BE2FBF700464AAFC7A88746B3102A" localSheetId="4" hidden="1">[8]Ketqua!#REF!</definedName>
    <definedName name="BO522BE2FBF700464AAFC7A88746B3102A" hidden="1">[8]Ketqua!#REF!</definedName>
    <definedName name="BO523DE52BFFDA4227A8E78C3E253F130B" localSheetId="5" hidden="1">#REF!</definedName>
    <definedName name="BO523DE52BFFDA4227A8E78C3E253F130B" localSheetId="4" hidden="1">#REF!</definedName>
    <definedName name="BO523DE52BFFDA4227A8E78C3E253F130B" hidden="1">#REF!</definedName>
    <definedName name="BO523E151E1B1A4DEDAD3390FF9E08BB41" localSheetId="5" hidden="1">#REF!</definedName>
    <definedName name="BO523E151E1B1A4DEDAD3390FF9E08BB41" localSheetId="4" hidden="1">#REF!</definedName>
    <definedName name="BO523E151E1B1A4DEDAD3390FF9E08BB41" hidden="1">#REF!</definedName>
    <definedName name="BO5260A82048CC4FADAD92DC55975D9422" localSheetId="5" hidden="1">#REF!</definedName>
    <definedName name="BO5260A82048CC4FADAD92DC55975D9422" localSheetId="4" hidden="1">#REF!</definedName>
    <definedName name="BO5260A82048CC4FADAD92DC55975D9422" hidden="1">#REF!</definedName>
    <definedName name="BO5262A0DCF2324A41BAF8DB1D4CA84E56" localSheetId="5" hidden="1">#REF!</definedName>
    <definedName name="BO5262A0DCF2324A41BAF8DB1D4CA84E56" localSheetId="4" hidden="1">#REF!</definedName>
    <definedName name="BO5262A0DCF2324A41BAF8DB1D4CA84E56" hidden="1">#REF!</definedName>
    <definedName name="BO526E08859F644BE480E6EA86F7851C8C" localSheetId="5" hidden="1">#REF!</definedName>
    <definedName name="BO526E08859F644BE480E6EA86F7851C8C" localSheetId="4" hidden="1">#REF!</definedName>
    <definedName name="BO526E08859F644BE480E6EA86F7851C8C" hidden="1">#REF!</definedName>
    <definedName name="BO5272CD73798D4534BCDE414B46752168" localSheetId="5" hidden="1">#REF!</definedName>
    <definedName name="BO5272CD73798D4534BCDE414B46752168" localSheetId="4" hidden="1">#REF!</definedName>
    <definedName name="BO5272CD73798D4534BCDE414B46752168" hidden="1">#REF!</definedName>
    <definedName name="BO52860BC000B441A293866777E87E949C" localSheetId="5" hidden="1">#REF!</definedName>
    <definedName name="BO52860BC000B441A293866777E87E949C" localSheetId="4" hidden="1">#REF!</definedName>
    <definedName name="BO52860BC000B441A293866777E87E949C" hidden="1">#REF!</definedName>
    <definedName name="BO528E13D4C0DB4D2F959E2E0AE4BF6A43" localSheetId="5" hidden="1">#REF!</definedName>
    <definedName name="BO528E13D4C0DB4D2F959E2E0AE4BF6A43" localSheetId="4" hidden="1">#REF!</definedName>
    <definedName name="BO528E13D4C0DB4D2F959E2E0AE4BF6A43" hidden="1">#REF!</definedName>
    <definedName name="BO529918D9CBAF4FEAA843CC9784C1B958" localSheetId="5" hidden="1">#REF!</definedName>
    <definedName name="BO529918D9CBAF4FEAA843CC9784C1B958" localSheetId="4" hidden="1">#REF!</definedName>
    <definedName name="BO529918D9CBAF4FEAA843CC9784C1B958" hidden="1">#REF!</definedName>
    <definedName name="BO52BE609CECE24F668D2E97E40E865353" localSheetId="5" hidden="1">#REF!</definedName>
    <definedName name="BO52BE609CECE24F668D2E97E40E865353" localSheetId="4" hidden="1">#REF!</definedName>
    <definedName name="BO52BE609CECE24F668D2E97E40E865353" hidden="1">#REF!</definedName>
    <definedName name="BO52CE692751DA48EBB514C5E4839C6C35" localSheetId="5" hidden="1">#REF!</definedName>
    <definedName name="BO52CE692751DA48EBB514C5E4839C6C35" localSheetId="4" hidden="1">#REF!</definedName>
    <definedName name="BO52CE692751DA48EBB514C5E4839C6C35" hidden="1">#REF!</definedName>
    <definedName name="BO52D5C0A0C34646D0A9DBF31C7B4681BE" localSheetId="5" hidden="1">[8]Ketqua!#REF!</definedName>
    <definedName name="BO52D5C0A0C34646D0A9DBF31C7B4681BE" localSheetId="4" hidden="1">[8]Ketqua!#REF!</definedName>
    <definedName name="BO52D5C0A0C34646D0A9DBF31C7B4681BE" hidden="1">[8]Ketqua!#REF!</definedName>
    <definedName name="BO52DF8A78A51242BE926EF8EC5F6971A7" localSheetId="5" hidden="1">#REF!</definedName>
    <definedName name="BO52DF8A78A51242BE926EF8EC5F6971A7" localSheetId="4" hidden="1">#REF!</definedName>
    <definedName name="BO52DF8A78A51242BE926EF8EC5F6971A7" hidden="1">#REF!</definedName>
    <definedName name="BO53012BAC33CB4AAE9E4A844D26642E0F" localSheetId="5" hidden="1">#REF!</definedName>
    <definedName name="BO53012BAC33CB4AAE9E4A844D26642E0F" localSheetId="4" hidden="1">#REF!</definedName>
    <definedName name="BO53012BAC33CB4AAE9E4A844D26642E0F" hidden="1">#REF!</definedName>
    <definedName name="BO53076DABED03457BA1A6CC7DE8E548B8" localSheetId="5" hidden="1">#REF!</definedName>
    <definedName name="BO53076DABED03457BA1A6CC7DE8E548B8" localSheetId="4" hidden="1">#REF!</definedName>
    <definedName name="BO53076DABED03457BA1A6CC7DE8E548B8" hidden="1">#REF!</definedName>
    <definedName name="BO531951EF37274BB4BA6B253AABF3B259" localSheetId="5" hidden="1">#REF!</definedName>
    <definedName name="BO531951EF37274BB4BA6B253AABF3B259" localSheetId="4" hidden="1">#REF!</definedName>
    <definedName name="BO531951EF37274BB4BA6B253AABF3B259" hidden="1">#REF!</definedName>
    <definedName name="BO531D49320A344064B41A5223C7F109B1" localSheetId="5" hidden="1">#REF!</definedName>
    <definedName name="BO531D49320A344064B41A5223C7F109B1" localSheetId="4" hidden="1">#REF!</definedName>
    <definedName name="BO531D49320A344064B41A5223C7F109B1" hidden="1">#REF!</definedName>
    <definedName name="BO531F40EBDFD2499781D4ACD8FBBC913E" localSheetId="5" hidden="1">#REF!</definedName>
    <definedName name="BO531F40EBDFD2499781D4ACD8FBBC913E" localSheetId="4" hidden="1">#REF!</definedName>
    <definedName name="BO531F40EBDFD2499781D4ACD8FBBC913E" hidden="1">#REF!</definedName>
    <definedName name="BO5325677A58DD4E678732C8AB1BFC801A" localSheetId="5" hidden="1">#REF!</definedName>
    <definedName name="BO5325677A58DD4E678732C8AB1BFC801A" localSheetId="4" hidden="1">#REF!</definedName>
    <definedName name="BO5325677A58DD4E678732C8AB1BFC801A" hidden="1">#REF!</definedName>
    <definedName name="BO5335F0546ACD4A6887C3CE85EDBFD24E" localSheetId="5" hidden="1">#REF!</definedName>
    <definedName name="BO5335F0546ACD4A6887C3CE85EDBFD24E" localSheetId="4" hidden="1">#REF!</definedName>
    <definedName name="BO5335F0546ACD4A6887C3CE85EDBFD24E" hidden="1">#REF!</definedName>
    <definedName name="BO533748EE339C4F6A862B18FDD81C9AA0" localSheetId="5" hidden="1">#REF!</definedName>
    <definedName name="BO533748EE339C4F6A862B18FDD81C9AA0" localSheetId="4" hidden="1">#REF!</definedName>
    <definedName name="BO533748EE339C4F6A862B18FDD81C9AA0" hidden="1">#REF!</definedName>
    <definedName name="BO53388E846AC947EB99E66A4CCDCEDD27" localSheetId="5" hidden="1">#REF!</definedName>
    <definedName name="BO53388E846AC947EB99E66A4CCDCEDD27" localSheetId="4" hidden="1">#REF!</definedName>
    <definedName name="BO53388E846AC947EB99E66A4CCDCEDD27" hidden="1">#REF!</definedName>
    <definedName name="BO534DCBC592E14F5BBA67C8914AE77CA8" localSheetId="5" hidden="1">#REF!</definedName>
    <definedName name="BO534DCBC592E14F5BBA67C8914AE77CA8" localSheetId="4" hidden="1">#REF!</definedName>
    <definedName name="BO534DCBC592E14F5BBA67C8914AE77CA8" hidden="1">#REF!</definedName>
    <definedName name="BO535460E4AB39414AB1F623062720C048" localSheetId="5" hidden="1">#REF!</definedName>
    <definedName name="BO535460E4AB39414AB1F623062720C048" localSheetId="4" hidden="1">#REF!</definedName>
    <definedName name="BO535460E4AB39414AB1F623062720C048" hidden="1">#REF!</definedName>
    <definedName name="BO537518734AB84AB49EB5AAA63CCE1585" localSheetId="5" hidden="1">#REF!</definedName>
    <definedName name="BO537518734AB84AB49EB5AAA63CCE1585" localSheetId="4" hidden="1">#REF!</definedName>
    <definedName name="BO537518734AB84AB49EB5AAA63CCE1585" hidden="1">#REF!</definedName>
    <definedName name="BO53795B0958F44E0282061BA77BFBA6DD" localSheetId="5" hidden="1">#REF!</definedName>
    <definedName name="BO53795B0958F44E0282061BA77BFBA6DD" localSheetId="4" hidden="1">#REF!</definedName>
    <definedName name="BO53795B0958F44E0282061BA77BFBA6DD" hidden="1">#REF!</definedName>
    <definedName name="BO539D9F144F84435A876FC596334AF9E3" localSheetId="5" hidden="1">#REF!</definedName>
    <definedName name="BO539D9F144F84435A876FC596334AF9E3" localSheetId="4" hidden="1">#REF!</definedName>
    <definedName name="BO539D9F144F84435A876FC596334AF9E3" hidden="1">#REF!</definedName>
    <definedName name="BO53A13D7951334900A0A1A872901E57A2" localSheetId="5" hidden="1">#REF!</definedName>
    <definedName name="BO53A13D7951334900A0A1A872901E57A2" localSheetId="4" hidden="1">#REF!</definedName>
    <definedName name="BO53A13D7951334900A0A1A872901E57A2" hidden="1">#REF!</definedName>
    <definedName name="BO53AB5D3CCB4A413EA144664C99503047" localSheetId="5" hidden="1">#REF!</definedName>
    <definedName name="BO53AB5D3CCB4A413EA144664C99503047" localSheetId="4" hidden="1">#REF!</definedName>
    <definedName name="BO53AB5D3CCB4A413EA144664C99503047" hidden="1">#REF!</definedName>
    <definedName name="BO53C1AD7020A246D19C492B988C284605" localSheetId="5" hidden="1">#REF!</definedName>
    <definedName name="BO53C1AD7020A246D19C492B988C284605" localSheetId="4" hidden="1">#REF!</definedName>
    <definedName name="BO53C1AD7020A246D19C492B988C284605" hidden="1">#REF!</definedName>
    <definedName name="BO53EB7E26F34145258939F9D27853A768" localSheetId="5" hidden="1">#REF!</definedName>
    <definedName name="BO53EB7E26F34145258939F9D27853A768" localSheetId="4" hidden="1">#REF!</definedName>
    <definedName name="BO53EB7E26F34145258939F9D27853A768" hidden="1">#REF!</definedName>
    <definedName name="BO53FC468444E242A794DB77EB7D6A0B1D" localSheetId="5" hidden="1">#REF!</definedName>
    <definedName name="BO53FC468444E242A794DB77EB7D6A0B1D" localSheetId="4" hidden="1">#REF!</definedName>
    <definedName name="BO53FC468444E242A794DB77EB7D6A0B1D" hidden="1">#REF!</definedName>
    <definedName name="BO53FD180040484DF9AD12C0F43F525431" localSheetId="5" hidden="1">#REF!</definedName>
    <definedName name="BO53FD180040484DF9AD12C0F43F525431" localSheetId="4" hidden="1">#REF!</definedName>
    <definedName name="BO53FD180040484DF9AD12C0F43F525431" hidden="1">#REF!</definedName>
    <definedName name="BO54170C69A5B443B9A46A563B24D7A02A" localSheetId="5" hidden="1">#REF!</definedName>
    <definedName name="BO54170C69A5B443B9A46A563B24D7A02A" localSheetId="4" hidden="1">#REF!</definedName>
    <definedName name="BO54170C69A5B443B9A46A563B24D7A02A" hidden="1">#REF!</definedName>
    <definedName name="BO541B429733D9464BAA0F472DC5A390A6" localSheetId="5" hidden="1">#REF!</definedName>
    <definedName name="BO541B429733D9464BAA0F472DC5A390A6" localSheetId="4" hidden="1">#REF!</definedName>
    <definedName name="BO541B429733D9464BAA0F472DC5A390A6" hidden="1">#REF!</definedName>
    <definedName name="BO5428BC2AC15245C392FAD48AC0E1D1D3" localSheetId="5" hidden="1">[9]xml!#REF!</definedName>
    <definedName name="BO5428BC2AC15245C392FAD48AC0E1D1D3" localSheetId="4" hidden="1">[9]xml!#REF!</definedName>
    <definedName name="BO5428BC2AC15245C392FAD48AC0E1D1D3" hidden="1">[9]xml!#REF!</definedName>
    <definedName name="BO54379D2A778B4EDC8D666466E7F51442" localSheetId="5" hidden="1">#REF!</definedName>
    <definedName name="BO54379D2A778B4EDC8D666466E7F51442" localSheetId="4" hidden="1">#REF!</definedName>
    <definedName name="BO54379D2A778B4EDC8D666466E7F51442" hidden="1">#REF!</definedName>
    <definedName name="BO544626CD308F402D801521FB8B2AD34C" localSheetId="5" hidden="1">#REF!</definedName>
    <definedName name="BO544626CD308F402D801521FB8B2AD34C" localSheetId="4" hidden="1">#REF!</definedName>
    <definedName name="BO544626CD308F402D801521FB8B2AD34C" hidden="1">#REF!</definedName>
    <definedName name="BO54519C0009494E2A9D2496EF776FBDEF" localSheetId="5" hidden="1">#REF!</definedName>
    <definedName name="BO54519C0009494E2A9D2496EF776FBDEF" localSheetId="4" hidden="1">#REF!</definedName>
    <definedName name="BO54519C0009494E2A9D2496EF776FBDEF" hidden="1">#REF!</definedName>
    <definedName name="BO547D617DA19944FD9F05968F08E6D309" localSheetId="5" hidden="1">#REF!</definedName>
    <definedName name="BO547D617DA19944FD9F05968F08E6D309" localSheetId="4" hidden="1">#REF!</definedName>
    <definedName name="BO547D617DA19944FD9F05968F08E6D309" hidden="1">#REF!</definedName>
    <definedName name="BO5480837E22434DED90AE7C00C082A9A1" localSheetId="5" hidden="1">#REF!</definedName>
    <definedName name="BO5480837E22434DED90AE7C00C082A9A1" localSheetId="4" hidden="1">#REF!</definedName>
    <definedName name="BO5480837E22434DED90AE7C00C082A9A1" hidden="1">#REF!</definedName>
    <definedName name="BO5484F71A0B8B45979B9D569008231679" localSheetId="5" hidden="1">#REF!</definedName>
    <definedName name="BO5484F71A0B8B45979B9D569008231679" localSheetId="4" hidden="1">#REF!</definedName>
    <definedName name="BO5484F71A0B8B45979B9D569008231679" hidden="1">#REF!</definedName>
    <definedName name="BO548C3CB6EEE64DC991F72FB7E54B3F0E" localSheetId="5" hidden="1">#REF!</definedName>
    <definedName name="BO548C3CB6EEE64DC991F72FB7E54B3F0E" localSheetId="4" hidden="1">#REF!</definedName>
    <definedName name="BO548C3CB6EEE64DC991F72FB7E54B3F0E" hidden="1">#REF!</definedName>
    <definedName name="BO54966A0B410A4295A1BBC4E266509877" localSheetId="5" hidden="1">#REF!</definedName>
    <definedName name="BO54966A0B410A4295A1BBC4E266509877" localSheetId="4" hidden="1">#REF!</definedName>
    <definedName name="BO54966A0B410A4295A1BBC4E266509877" hidden="1">#REF!</definedName>
    <definedName name="BO5499CDCA6C7E4DB980595814BFE113E8" localSheetId="5" hidden="1">#REF!</definedName>
    <definedName name="BO5499CDCA6C7E4DB980595814BFE113E8" localSheetId="4" hidden="1">#REF!</definedName>
    <definedName name="BO5499CDCA6C7E4DB980595814BFE113E8" hidden="1">#REF!</definedName>
    <definedName name="BO549D4B4A3783426FA7D5E53A4728900E" localSheetId="5" hidden="1">#REF!</definedName>
    <definedName name="BO549D4B4A3783426FA7D5E53A4728900E" localSheetId="4" hidden="1">#REF!</definedName>
    <definedName name="BO549D4B4A3783426FA7D5E53A4728900E" hidden="1">#REF!</definedName>
    <definedName name="BO549F4A437480450A867B69EE35C77253" localSheetId="5" hidden="1">#REF!</definedName>
    <definedName name="BO549F4A437480450A867B69EE35C77253" localSheetId="4" hidden="1">#REF!</definedName>
    <definedName name="BO549F4A437480450A867B69EE35C77253" hidden="1">#REF!</definedName>
    <definedName name="BO54BC5EA573944120A2762F060194BA1E" localSheetId="5" hidden="1">#REF!</definedName>
    <definedName name="BO54BC5EA573944120A2762F060194BA1E" localSheetId="4" hidden="1">#REF!</definedName>
    <definedName name="BO54BC5EA573944120A2762F060194BA1E" hidden="1">#REF!</definedName>
    <definedName name="BO54CE381202A648A6936EA80CBA642C0F" localSheetId="5" hidden="1">#REF!</definedName>
    <definedName name="BO54CE381202A648A6936EA80CBA642C0F" localSheetId="4" hidden="1">#REF!</definedName>
    <definedName name="BO54CE381202A648A6936EA80CBA642C0F" hidden="1">#REF!</definedName>
    <definedName name="BO54DB55663F334C03B8ADD851DEA5C745" localSheetId="5" hidden="1">#REF!</definedName>
    <definedName name="BO54DB55663F334C03B8ADD851DEA5C745" localSheetId="4" hidden="1">#REF!</definedName>
    <definedName name="BO54DB55663F334C03B8ADD851DEA5C745" hidden="1">#REF!</definedName>
    <definedName name="BO54E8BAC9CCCE44BC963133C9AE4B630A" localSheetId="5" hidden="1">#REF!</definedName>
    <definedName name="BO54E8BAC9CCCE44BC963133C9AE4B630A" localSheetId="4" hidden="1">#REF!</definedName>
    <definedName name="BO54E8BAC9CCCE44BC963133C9AE4B630A" hidden="1">#REF!</definedName>
    <definedName name="BO54F7BDCBE69647888EF1706EEA8759AF" localSheetId="5" hidden="1">#REF!</definedName>
    <definedName name="BO54F7BDCBE69647888EF1706EEA8759AF" localSheetId="4" hidden="1">#REF!</definedName>
    <definedName name="BO54F7BDCBE69647888EF1706EEA8759AF" hidden="1">#REF!</definedName>
    <definedName name="BO5507E6215F3F4FC097A3E11986F2AC10" localSheetId="5" hidden="1">#REF!</definedName>
    <definedName name="BO5507E6215F3F4FC097A3E11986F2AC10" localSheetId="4" hidden="1">#REF!</definedName>
    <definedName name="BO5507E6215F3F4FC097A3E11986F2AC10" hidden="1">#REF!</definedName>
    <definedName name="BO550B27D935D4459DBAD38DC3153E9204" localSheetId="5" hidden="1">#REF!</definedName>
    <definedName name="BO550B27D935D4459DBAD38DC3153E9204" localSheetId="4" hidden="1">#REF!</definedName>
    <definedName name="BO550B27D935D4459DBAD38DC3153E9204" hidden="1">#REF!</definedName>
    <definedName name="BO55240D5E45B04FAE87A19DEA34A4CC05" localSheetId="5" hidden="1">#REF!</definedName>
    <definedName name="BO55240D5E45B04FAE87A19DEA34A4CC05" localSheetId="4" hidden="1">#REF!</definedName>
    <definedName name="BO55240D5E45B04FAE87A19DEA34A4CC05" hidden="1">#REF!</definedName>
    <definedName name="BO55268CF52D0E4B16BECF562C3B319068" localSheetId="5" hidden="1">#REF!</definedName>
    <definedName name="BO55268CF52D0E4B16BECF562C3B319068" localSheetId="4" hidden="1">#REF!</definedName>
    <definedName name="BO55268CF52D0E4B16BECF562C3B319068" hidden="1">#REF!</definedName>
    <definedName name="BO552A4C6B034E44139D762597E2BD29E8" localSheetId="5" hidden="1">#REF!</definedName>
    <definedName name="BO552A4C6B034E44139D762597E2BD29E8" localSheetId="4" hidden="1">#REF!</definedName>
    <definedName name="BO552A4C6B034E44139D762597E2BD29E8" hidden="1">#REF!</definedName>
    <definedName name="BO552C873EA045489C95CBBB77F440FE29" localSheetId="5" hidden="1">#REF!</definedName>
    <definedName name="BO552C873EA045489C95CBBB77F440FE29" localSheetId="4" hidden="1">#REF!</definedName>
    <definedName name="BO552C873EA045489C95CBBB77F440FE29" hidden="1">#REF!</definedName>
    <definedName name="BO553055AF53024915ABC604AF1B889E5B" localSheetId="5" hidden="1">#REF!</definedName>
    <definedName name="BO553055AF53024915ABC604AF1B889E5B" localSheetId="4" hidden="1">#REF!</definedName>
    <definedName name="BO553055AF53024915ABC604AF1B889E5B" hidden="1">#REF!</definedName>
    <definedName name="BO553136AC6422422C818B96B66C2C3990" localSheetId="5" hidden="1">[9]Giaitrinh!#REF!</definedName>
    <definedName name="BO553136AC6422422C818B96B66C2C3990" localSheetId="4" hidden="1">[9]Giaitrinh!#REF!</definedName>
    <definedName name="BO553136AC6422422C818B96B66C2C3990" hidden="1">[9]Giaitrinh!#REF!</definedName>
    <definedName name="BO553F838E21284938B9776FB50EF6D503" localSheetId="5" hidden="1">#REF!</definedName>
    <definedName name="BO553F838E21284938B9776FB50EF6D503" localSheetId="4" hidden="1">#REF!</definedName>
    <definedName name="BO553F838E21284938B9776FB50EF6D503" hidden="1">#REF!</definedName>
    <definedName name="BO55500317978C42FF8C3FC694FF2C212D" localSheetId="5" hidden="1">#REF!</definedName>
    <definedName name="BO55500317978C42FF8C3FC694FF2C212D" localSheetId="4" hidden="1">#REF!</definedName>
    <definedName name="BO55500317978C42FF8C3FC694FF2C212D" hidden="1">#REF!</definedName>
    <definedName name="BO555B1633F11C47E89A1801F074518A32" localSheetId="5" hidden="1">#REF!</definedName>
    <definedName name="BO555B1633F11C47E89A1801F074518A32" localSheetId="4" hidden="1">#REF!</definedName>
    <definedName name="BO555B1633F11C47E89A1801F074518A32" hidden="1">#REF!</definedName>
    <definedName name="BO5567A7BED87F42A9B8315385DA7E9968" localSheetId="5" hidden="1">#REF!</definedName>
    <definedName name="BO5567A7BED87F42A9B8315385DA7E9968" localSheetId="4" hidden="1">#REF!</definedName>
    <definedName name="BO5567A7BED87F42A9B8315385DA7E9968" hidden="1">#REF!</definedName>
    <definedName name="BO5567B2C97D0E4BE8B839F13F009C2AAB" localSheetId="5" hidden="1">#REF!</definedName>
    <definedName name="BO5567B2C97D0E4BE8B839F13F009C2AAB" localSheetId="4" hidden="1">#REF!</definedName>
    <definedName name="BO5567B2C97D0E4BE8B839F13F009C2AAB" hidden="1">#REF!</definedName>
    <definedName name="BO556B076474824AD88F5741175DEED0D3" localSheetId="5" hidden="1">#REF!</definedName>
    <definedName name="BO556B076474824AD88F5741175DEED0D3" localSheetId="4" hidden="1">#REF!</definedName>
    <definedName name="BO556B076474824AD88F5741175DEED0D3" hidden="1">#REF!</definedName>
    <definedName name="BO556F9D67D63B485490BE4A5B2DAA0424" localSheetId="5" hidden="1">#REF!</definedName>
    <definedName name="BO556F9D67D63B485490BE4A5B2DAA0424" localSheetId="4" hidden="1">#REF!</definedName>
    <definedName name="BO556F9D67D63B485490BE4A5B2DAA0424" hidden="1">#REF!</definedName>
    <definedName name="BO5573662C4A00410AA097D755481BE91F" localSheetId="5" hidden="1">#REF!</definedName>
    <definedName name="BO5573662C4A00410AA097D755481BE91F" localSheetId="4" hidden="1">#REF!</definedName>
    <definedName name="BO5573662C4A00410AA097D755481BE91F" hidden="1">#REF!</definedName>
    <definedName name="BO5595574A40CB43FBBB0381249CAE5A01" localSheetId="5" hidden="1">#REF!</definedName>
    <definedName name="BO5595574A40CB43FBBB0381249CAE5A01" localSheetId="4" hidden="1">#REF!</definedName>
    <definedName name="BO5595574A40CB43FBBB0381249CAE5A01" hidden="1">#REF!</definedName>
    <definedName name="BO55ABAFAD7C574B2D9E3DBF3E48F61137" localSheetId="5" hidden="1">#REF!</definedName>
    <definedName name="BO55ABAFAD7C574B2D9E3DBF3E48F61137" localSheetId="4" hidden="1">#REF!</definedName>
    <definedName name="BO55ABAFAD7C574B2D9E3DBF3E48F61137" hidden="1">#REF!</definedName>
    <definedName name="BO55CF211F16644D80AFDC0678AEFA8592" localSheetId="5" hidden="1">#REF!</definedName>
    <definedName name="BO55CF211F16644D80AFDC0678AEFA8592" localSheetId="4" hidden="1">#REF!</definedName>
    <definedName name="BO55CF211F16644D80AFDC0678AEFA8592" hidden="1">#REF!</definedName>
    <definedName name="BO56000E80CBD9491E83BFDEA83A1EE6AD" localSheetId="5" hidden="1">#REF!</definedName>
    <definedName name="BO56000E80CBD9491E83BFDEA83A1EE6AD" localSheetId="4" hidden="1">#REF!</definedName>
    <definedName name="BO56000E80CBD9491E83BFDEA83A1EE6AD" hidden="1">#REF!</definedName>
    <definedName name="BO560251BCD11740889928CA8EA1D6C8BB" localSheetId="5" hidden="1">#REF!</definedName>
    <definedName name="BO560251BCD11740889928CA8EA1D6C8BB" localSheetId="4" hidden="1">#REF!</definedName>
    <definedName name="BO560251BCD11740889928CA8EA1D6C8BB" hidden="1">#REF!</definedName>
    <definedName name="BO561D5317C414499886A7446B060E5292" localSheetId="5" hidden="1">#REF!</definedName>
    <definedName name="BO561D5317C414499886A7446B060E5292" localSheetId="4" hidden="1">#REF!</definedName>
    <definedName name="BO561D5317C414499886A7446B060E5292" hidden="1">#REF!</definedName>
    <definedName name="BO5625EF84032E4129A4F1C26C707CB6A3" localSheetId="5" hidden="1">#REF!</definedName>
    <definedName name="BO5625EF84032E4129A4F1C26C707CB6A3" localSheetId="4" hidden="1">#REF!</definedName>
    <definedName name="BO5625EF84032E4129A4F1C26C707CB6A3" hidden="1">#REF!</definedName>
    <definedName name="BO562715D02FD545A995527CAABB6D801A" localSheetId="5" hidden="1">#REF!</definedName>
    <definedName name="BO562715D02FD545A995527CAABB6D801A" localSheetId="4" hidden="1">#REF!</definedName>
    <definedName name="BO562715D02FD545A995527CAABB6D801A" hidden="1">#REF!</definedName>
    <definedName name="BO563FCE97DF97426EB7D91F44C76515D6" localSheetId="5" hidden="1">#REF!</definedName>
    <definedName name="BO563FCE97DF97426EB7D91F44C76515D6" localSheetId="4" hidden="1">#REF!</definedName>
    <definedName name="BO563FCE97DF97426EB7D91F44C76515D6" hidden="1">#REF!</definedName>
    <definedName name="BO56511C056B644925BB9E09A5CE15BBF3" localSheetId="5" hidden="1">#REF!</definedName>
    <definedName name="BO56511C056B644925BB9E09A5CE15BBF3" localSheetId="4" hidden="1">#REF!</definedName>
    <definedName name="BO56511C056B644925BB9E09A5CE15BBF3" hidden="1">#REF!</definedName>
    <definedName name="BO565771992FE84D6C9DDDD43E6049AEA8" localSheetId="5" hidden="1">#REF!</definedName>
    <definedName name="BO565771992FE84D6C9DDDD43E6049AEA8" localSheetId="4" hidden="1">#REF!</definedName>
    <definedName name="BO565771992FE84D6C9DDDD43E6049AEA8" hidden="1">#REF!</definedName>
    <definedName name="BO565AC04ECFB24EB78486E4E53E96AD45" localSheetId="5" hidden="1">#REF!</definedName>
    <definedName name="BO565AC04ECFB24EB78486E4E53E96AD45" localSheetId="4" hidden="1">#REF!</definedName>
    <definedName name="BO565AC04ECFB24EB78486E4E53E96AD45" hidden="1">#REF!</definedName>
    <definedName name="BO569A5FBFD6F24C0C8A17193DE8B0987E" localSheetId="5" hidden="1">#REF!</definedName>
    <definedName name="BO569A5FBFD6F24C0C8A17193DE8B0987E" localSheetId="4" hidden="1">#REF!</definedName>
    <definedName name="BO569A5FBFD6F24C0C8A17193DE8B0987E" hidden="1">#REF!</definedName>
    <definedName name="BO56BBB0E7E8B7442983625866E175D9D1" localSheetId="5" hidden="1">#REF!</definedName>
    <definedName name="BO56BBB0E7E8B7442983625866E175D9D1" localSheetId="4" hidden="1">#REF!</definedName>
    <definedName name="BO56BBB0E7E8B7442983625866E175D9D1" hidden="1">#REF!</definedName>
    <definedName name="BO56C770FA42EA4B9A99A1030E1F99D589" localSheetId="5" hidden="1">#REF!</definedName>
    <definedName name="BO56C770FA42EA4B9A99A1030E1F99D589" localSheetId="4" hidden="1">#REF!</definedName>
    <definedName name="BO56C770FA42EA4B9A99A1030E1F99D589" hidden="1">#REF!</definedName>
    <definedName name="BO56C93C031ADA4A8CB9AA79E06B808B71" localSheetId="5" hidden="1">[9]Kehoachchitiet!#REF!</definedName>
    <definedName name="BO56C93C031ADA4A8CB9AA79E06B808B71" localSheetId="4" hidden="1">[9]Kehoachchitiet!#REF!</definedName>
    <definedName name="BO56C93C031ADA4A8CB9AA79E06B808B71" hidden="1">[9]Kehoachchitiet!#REF!</definedName>
    <definedName name="BO56D93BE1E882447E8198CDDBD810A34A" localSheetId="5" hidden="1">#REF!</definedName>
    <definedName name="BO56D93BE1E882447E8198CDDBD810A34A" localSheetId="4" hidden="1">#REF!</definedName>
    <definedName name="BO56D93BE1E882447E8198CDDBD810A34A" hidden="1">#REF!</definedName>
    <definedName name="BO56DC94197E294360B6A59153FF03457A" localSheetId="5" hidden="1">#REF!</definedName>
    <definedName name="BO56DC94197E294360B6A59153FF03457A" localSheetId="4" hidden="1">#REF!</definedName>
    <definedName name="BO56DC94197E294360B6A59153FF03457A" hidden="1">#REF!</definedName>
    <definedName name="BO56E22477476841508EDA127C8CFBE0CB" localSheetId="5" hidden="1">#REF!</definedName>
    <definedName name="BO56E22477476841508EDA127C8CFBE0CB" localSheetId="4" hidden="1">#REF!</definedName>
    <definedName name="BO56E22477476841508EDA127C8CFBE0CB" hidden="1">#REF!</definedName>
    <definedName name="BO5728800FC3614D5FA9339DD541345C90" localSheetId="5" hidden="1">#REF!</definedName>
    <definedName name="BO5728800FC3614D5FA9339DD541345C90" localSheetId="4" hidden="1">#REF!</definedName>
    <definedName name="BO5728800FC3614D5FA9339DD541345C90" hidden="1">#REF!</definedName>
    <definedName name="BO572CFABAF41940FF91E1FCB300267B32" localSheetId="5" hidden="1">#REF!</definedName>
    <definedName name="BO572CFABAF41940FF91E1FCB300267B32" localSheetId="4" hidden="1">#REF!</definedName>
    <definedName name="BO572CFABAF41940FF91E1FCB300267B32" hidden="1">#REF!</definedName>
    <definedName name="BO5738990410A546D3B22F638D3052C681" localSheetId="5" hidden="1">#REF!</definedName>
    <definedName name="BO5738990410A546D3B22F638D3052C681" localSheetId="4" hidden="1">#REF!</definedName>
    <definedName name="BO5738990410A546D3B22F638D3052C681" hidden="1">#REF!</definedName>
    <definedName name="BO573908E795394C08BE080A14100FFFBF" localSheetId="5" hidden="1">#REF!</definedName>
    <definedName name="BO573908E795394C08BE080A14100FFFBF" localSheetId="4" hidden="1">#REF!</definedName>
    <definedName name="BO573908E795394C08BE080A14100FFFBF" hidden="1">#REF!</definedName>
    <definedName name="BO5739551D4F9D4472AAE2ECDB22E3C2C7" localSheetId="5" hidden="1">#REF!</definedName>
    <definedName name="BO5739551D4F9D4472AAE2ECDB22E3C2C7" localSheetId="4" hidden="1">#REF!</definedName>
    <definedName name="BO5739551D4F9D4472AAE2ECDB22E3C2C7" hidden="1">#REF!</definedName>
    <definedName name="BO57492025E3734968B443F2156F6E5611" localSheetId="5" hidden="1">#REF!</definedName>
    <definedName name="BO57492025E3734968B443F2156F6E5611" localSheetId="4" hidden="1">#REF!</definedName>
    <definedName name="BO57492025E3734968B443F2156F6E5611" hidden="1">#REF!</definedName>
    <definedName name="BO575061F004714FB7A0E1B314F3625225" localSheetId="5" hidden="1">#REF!</definedName>
    <definedName name="BO575061F004714FB7A0E1B314F3625225" localSheetId="4" hidden="1">#REF!</definedName>
    <definedName name="BO575061F004714FB7A0E1B314F3625225" hidden="1">#REF!</definedName>
    <definedName name="BO57544A4DD8D040EE8060E1C9E846EC7F" localSheetId="5" hidden="1">#REF!</definedName>
    <definedName name="BO57544A4DD8D040EE8060E1C9E846EC7F" localSheetId="4" hidden="1">#REF!</definedName>
    <definedName name="BO57544A4DD8D040EE8060E1C9E846EC7F" hidden="1">#REF!</definedName>
    <definedName name="BO575F08F36F1744AB9596B19069D05C38" localSheetId="5" hidden="1">#REF!</definedName>
    <definedName name="BO575F08F36F1744AB9596B19069D05C38" localSheetId="4" hidden="1">#REF!</definedName>
    <definedName name="BO575F08F36F1744AB9596B19069D05C38" hidden="1">#REF!</definedName>
    <definedName name="BO576B79A6DA164E21974CFF5F7C3EA285" localSheetId="5" hidden="1">#REF!</definedName>
    <definedName name="BO576B79A6DA164E21974CFF5F7C3EA285" localSheetId="4" hidden="1">#REF!</definedName>
    <definedName name="BO576B79A6DA164E21974CFF5F7C3EA285" hidden="1">#REF!</definedName>
    <definedName name="BO578F669344B943B2ACBCC36BC4A76D24" localSheetId="5" hidden="1">#REF!</definedName>
    <definedName name="BO578F669344B943B2ACBCC36BC4A76D24" localSheetId="4" hidden="1">#REF!</definedName>
    <definedName name="BO578F669344B943B2ACBCC36BC4A76D24" hidden="1">#REF!</definedName>
    <definedName name="BO5799DF1DC6FF4B2DB3252E6FB0A0F139" localSheetId="5" hidden="1">#REF!</definedName>
    <definedName name="BO5799DF1DC6FF4B2DB3252E6FB0A0F139" localSheetId="4" hidden="1">#REF!</definedName>
    <definedName name="BO5799DF1DC6FF4B2DB3252E6FB0A0F139" hidden="1">#REF!</definedName>
    <definedName name="BO57A6BD4AE8E243E494577EAD1CBE5386" localSheetId="5" hidden="1">[9]Giaitrinh!#REF!</definedName>
    <definedName name="BO57A6BD4AE8E243E494577EAD1CBE5386" localSheetId="4" hidden="1">[9]Giaitrinh!#REF!</definedName>
    <definedName name="BO57A6BD4AE8E243E494577EAD1CBE5386" hidden="1">[9]Giaitrinh!#REF!</definedName>
    <definedName name="BO57B95B501F9743B1975E90BCF4891783" localSheetId="5" hidden="1">#REF!</definedName>
    <definedName name="BO57B95B501F9743B1975E90BCF4891783" localSheetId="4" hidden="1">#REF!</definedName>
    <definedName name="BO57B95B501F9743B1975E90BCF4891783" hidden="1">#REF!</definedName>
    <definedName name="BO57D32E0CD41A495289CBDB65D3B5BAA9" localSheetId="5" hidden="1">#REF!</definedName>
    <definedName name="BO57D32E0CD41A495289CBDB65D3B5BAA9" localSheetId="4" hidden="1">#REF!</definedName>
    <definedName name="BO57D32E0CD41A495289CBDB65D3B5BAA9" hidden="1">#REF!</definedName>
    <definedName name="BO57D550A977154BF89DC103F830F3D467" localSheetId="5" hidden="1">#REF!</definedName>
    <definedName name="BO57D550A977154BF89DC103F830F3D467" localSheetId="4" hidden="1">#REF!</definedName>
    <definedName name="BO57D550A977154BF89DC103F830F3D467" hidden="1">#REF!</definedName>
    <definedName name="BO57E3E16B3039468C918A2851F2906987" localSheetId="5" hidden="1">#REF!</definedName>
    <definedName name="BO57E3E16B3039468C918A2851F2906987" localSheetId="4" hidden="1">#REF!</definedName>
    <definedName name="BO57E3E16B3039468C918A2851F2906987" hidden="1">#REF!</definedName>
    <definedName name="BO57FDDF1F6FFB4E55A7F2E13CB281DAF1" localSheetId="5" hidden="1">#REF!</definedName>
    <definedName name="BO57FDDF1F6FFB4E55A7F2E13CB281DAF1" localSheetId="4" hidden="1">#REF!</definedName>
    <definedName name="BO57FDDF1F6FFB4E55A7F2E13CB281DAF1" hidden="1">#REF!</definedName>
    <definedName name="BO58121DDA319942C2A9FE4D51FCAA6436" localSheetId="5" hidden="1">#REF!</definedName>
    <definedName name="BO58121DDA319942C2A9FE4D51FCAA6436" localSheetId="4" hidden="1">#REF!</definedName>
    <definedName name="BO58121DDA319942C2A9FE4D51FCAA6436" hidden="1">#REF!</definedName>
    <definedName name="BO581F7C20F3F0407099EF769043553AFA" localSheetId="5" hidden="1">#REF!</definedName>
    <definedName name="BO581F7C20F3F0407099EF769043553AFA" localSheetId="4" hidden="1">#REF!</definedName>
    <definedName name="BO581F7C20F3F0407099EF769043553AFA" hidden="1">#REF!</definedName>
    <definedName name="BO5826FBEBA0D7470F894B86E852A5FE0F" localSheetId="5" hidden="1">#REF!</definedName>
    <definedName name="BO5826FBEBA0D7470F894B86E852A5FE0F" localSheetId="4" hidden="1">#REF!</definedName>
    <definedName name="BO5826FBEBA0D7470F894B86E852A5FE0F" hidden="1">#REF!</definedName>
    <definedName name="BO583B69D2114749F5A55CE9DF13098368" localSheetId="5" hidden="1">#REF!</definedName>
    <definedName name="BO583B69D2114749F5A55CE9DF13098368" localSheetId="4" hidden="1">#REF!</definedName>
    <definedName name="BO583B69D2114749F5A55CE9DF13098368" hidden="1">#REF!</definedName>
    <definedName name="BO583C6F5C29CF4F41A54EA713AA1355F6" localSheetId="5" hidden="1">[8]Ketqua!#REF!</definedName>
    <definedName name="BO583C6F5C29CF4F41A54EA713AA1355F6" localSheetId="4" hidden="1">[8]Ketqua!#REF!</definedName>
    <definedName name="BO583C6F5C29CF4F41A54EA713AA1355F6" hidden="1">[8]Ketqua!#REF!</definedName>
    <definedName name="BO583D606991DB4709938F0F2AB616CA8C" localSheetId="5" hidden="1">#REF!</definedName>
    <definedName name="BO583D606991DB4709938F0F2AB616CA8C" localSheetId="4" hidden="1">#REF!</definedName>
    <definedName name="BO583D606991DB4709938F0F2AB616CA8C" hidden="1">#REF!</definedName>
    <definedName name="BO5847B8E7D8464C7589B526A59971A5F1" localSheetId="5" hidden="1">#REF!</definedName>
    <definedName name="BO5847B8E7D8464C7589B526A59971A5F1" localSheetId="4" hidden="1">#REF!</definedName>
    <definedName name="BO5847B8E7D8464C7589B526A59971A5F1" hidden="1">#REF!</definedName>
    <definedName name="BO5859F625EF8F43838446B41A5B13BE9B" localSheetId="5" hidden="1">#REF!</definedName>
    <definedName name="BO5859F625EF8F43838446B41A5B13BE9B" localSheetId="4" hidden="1">#REF!</definedName>
    <definedName name="BO5859F625EF8F43838446B41A5B13BE9B" hidden="1">#REF!</definedName>
    <definedName name="BO58B0760CD8F245CEA3CCE06D7CF1481E" localSheetId="5" hidden="1">#REF!</definedName>
    <definedName name="BO58B0760CD8F245CEA3CCE06D7CF1481E" localSheetId="4" hidden="1">#REF!</definedName>
    <definedName name="BO58B0760CD8F245CEA3CCE06D7CF1481E" hidden="1">#REF!</definedName>
    <definedName name="BO58B56024014C4E80B3014C3EBF2F4731" hidden="1">[8]Ketqua!$I$16:$U$16</definedName>
    <definedName name="BO58C0409804204ACC886A26B469A98FCA" localSheetId="5" hidden="1">[8]Ketqua!#REF!</definedName>
    <definedName name="BO58C0409804204ACC886A26B469A98FCA" localSheetId="4" hidden="1">[8]Ketqua!#REF!</definedName>
    <definedName name="BO58C0409804204ACC886A26B469A98FCA" hidden="1">[8]Ketqua!#REF!</definedName>
    <definedName name="BO58C4AC72229D4A05A6B102FC5BA2C9B0" localSheetId="5" hidden="1">#REF!</definedName>
    <definedName name="BO58C4AC72229D4A05A6B102FC5BA2C9B0" localSheetId="4" hidden="1">#REF!</definedName>
    <definedName name="BO58C4AC72229D4A05A6B102FC5BA2C9B0" hidden="1">#REF!</definedName>
    <definedName name="BO58CB515C808C48BEBC52F4E8A8B10863" localSheetId="5" hidden="1">#REF!</definedName>
    <definedName name="BO58CB515C808C48BEBC52F4E8A8B10863" localSheetId="4" hidden="1">#REF!</definedName>
    <definedName name="BO58CB515C808C48BEBC52F4E8A8B10863" hidden="1">#REF!</definedName>
    <definedName name="BO58D440EFC4EE4DE98ED236F1697C5D62" localSheetId="5" hidden="1">#REF!</definedName>
    <definedName name="BO58D440EFC4EE4DE98ED236F1697C5D62" localSheetId="4" hidden="1">#REF!</definedName>
    <definedName name="BO58D440EFC4EE4DE98ED236F1697C5D62" hidden="1">#REF!</definedName>
    <definedName name="BO58F664DD369B413BBE0AA6C680221346" localSheetId="5" hidden="1">#REF!</definedName>
    <definedName name="BO58F664DD369B413BBE0AA6C680221346" localSheetId="4" hidden="1">#REF!</definedName>
    <definedName name="BO58F664DD369B413BBE0AA6C680221346" hidden="1">#REF!</definedName>
    <definedName name="BO59022A7082424F6F9E45409E01156BA1" localSheetId="5" hidden="1">#REF!</definedName>
    <definedName name="BO59022A7082424F6F9E45409E01156BA1" localSheetId="4" hidden="1">#REF!</definedName>
    <definedName name="BO59022A7082424F6F9E45409E01156BA1" hidden="1">#REF!</definedName>
    <definedName name="BO590D5A3FBEC64BFBB064D49E5F4A3AA5" localSheetId="5" hidden="1">#REF!</definedName>
    <definedName name="BO590D5A3FBEC64BFBB064D49E5F4A3AA5" localSheetId="4" hidden="1">#REF!</definedName>
    <definedName name="BO590D5A3FBEC64BFBB064D49E5F4A3AA5" hidden="1">#REF!</definedName>
    <definedName name="BO590E714A7D0E4DA3948D6F1D551BECF2" localSheetId="5" hidden="1">#REF!</definedName>
    <definedName name="BO590E714A7D0E4DA3948D6F1D551BECF2" localSheetId="4" hidden="1">#REF!</definedName>
    <definedName name="BO590E714A7D0E4DA3948D6F1D551BECF2" hidden="1">#REF!</definedName>
    <definedName name="BO590F0D7F6F8D46C29B2EED8932DD87BD" localSheetId="5" hidden="1">#REF!</definedName>
    <definedName name="BO590F0D7F6F8D46C29B2EED8932DD87BD" localSheetId="4" hidden="1">#REF!</definedName>
    <definedName name="BO590F0D7F6F8D46C29B2EED8932DD87BD" hidden="1">#REF!</definedName>
    <definedName name="BO5913EAA7CCA04185881C1E92EBBAE733" localSheetId="5" hidden="1">#REF!</definedName>
    <definedName name="BO5913EAA7CCA04185881C1E92EBBAE733" localSheetId="4" hidden="1">#REF!</definedName>
    <definedName name="BO5913EAA7CCA04185881C1E92EBBAE733" hidden="1">#REF!</definedName>
    <definedName name="BO592E3D457DC3430DB54EBC54823DCBC4" localSheetId="5" hidden="1">#REF!</definedName>
    <definedName name="BO592E3D457DC3430DB54EBC54823DCBC4" localSheetId="4" hidden="1">#REF!</definedName>
    <definedName name="BO592E3D457DC3430DB54EBC54823DCBC4" hidden="1">#REF!</definedName>
    <definedName name="BO59384E7DCDEE4351A4263865DC557B5A" localSheetId="5" hidden="1">#REF!</definedName>
    <definedName name="BO59384E7DCDEE4351A4263865DC557B5A" localSheetId="4" hidden="1">#REF!</definedName>
    <definedName name="BO59384E7DCDEE4351A4263865DC557B5A" hidden="1">#REF!</definedName>
    <definedName name="BO593C02F3586C400B9C127B9BEFF5A3A3" localSheetId="5" hidden="1">#REF!</definedName>
    <definedName name="BO593C02F3586C400B9C127B9BEFF5A3A3" localSheetId="4" hidden="1">#REF!</definedName>
    <definedName name="BO593C02F3586C400B9C127B9BEFF5A3A3" hidden="1">#REF!</definedName>
    <definedName name="BO594059A6BB774C32931101FDBA9AA2A6" localSheetId="5" hidden="1">#REF!</definedName>
    <definedName name="BO594059A6BB774C32931101FDBA9AA2A6" localSheetId="4" hidden="1">#REF!</definedName>
    <definedName name="BO594059A6BB774C32931101FDBA9AA2A6" hidden="1">#REF!</definedName>
    <definedName name="BO594A5066E3D64A9B96E87EEE60E35000" localSheetId="5" hidden="1">#REF!</definedName>
    <definedName name="BO594A5066E3D64A9B96E87EEE60E35000" localSheetId="4" hidden="1">#REF!</definedName>
    <definedName name="BO594A5066E3D64A9B96E87EEE60E35000" hidden="1">#REF!</definedName>
    <definedName name="BO594BD2AAE0EE4E13924FA8AD8CA67DF1" localSheetId="5" hidden="1">#REF!</definedName>
    <definedName name="BO594BD2AAE0EE4E13924FA8AD8CA67DF1" localSheetId="4" hidden="1">#REF!</definedName>
    <definedName name="BO594BD2AAE0EE4E13924FA8AD8CA67DF1" hidden="1">#REF!</definedName>
    <definedName name="BO5956D9BCE4364C56A9714DB73C6D3E8D" localSheetId="5" hidden="1">#REF!</definedName>
    <definedName name="BO5956D9BCE4364C56A9714DB73C6D3E8D" localSheetId="4" hidden="1">#REF!</definedName>
    <definedName name="BO5956D9BCE4364C56A9714DB73C6D3E8D" hidden="1">#REF!</definedName>
    <definedName name="BO596B387D06DE485CB1426B95E64D527C" localSheetId="5" hidden="1">#REF!</definedName>
    <definedName name="BO596B387D06DE485CB1426B95E64D527C" localSheetId="4" hidden="1">#REF!</definedName>
    <definedName name="BO596B387D06DE485CB1426B95E64D527C" hidden="1">#REF!</definedName>
    <definedName name="BO597DDE6E95004F7F9C963613977B9F66" localSheetId="5" hidden="1">#REF!</definedName>
    <definedName name="BO597DDE6E95004F7F9C963613977B9F66" localSheetId="4" hidden="1">#REF!</definedName>
    <definedName name="BO597DDE6E95004F7F9C963613977B9F66" hidden="1">#REF!</definedName>
    <definedName name="BO598E92CF380C4F02A1EC553289B7A624" localSheetId="5" hidden="1">#REF!</definedName>
    <definedName name="BO598E92CF380C4F02A1EC553289B7A624" localSheetId="4" hidden="1">#REF!</definedName>
    <definedName name="BO598E92CF380C4F02A1EC553289B7A624" hidden="1">#REF!</definedName>
    <definedName name="BO5997EDDB9A3E43A48E697B46A2584551" localSheetId="5" hidden="1">#REF!</definedName>
    <definedName name="BO5997EDDB9A3E43A48E697B46A2584551" localSheetId="4" hidden="1">#REF!</definedName>
    <definedName name="BO5997EDDB9A3E43A48E697B46A2584551" hidden="1">#REF!</definedName>
    <definedName name="BO599B6CBC43504E33AD45ECD15A182A0F" localSheetId="5" hidden="1">#REF!</definedName>
    <definedName name="BO599B6CBC43504E33AD45ECD15A182A0F" localSheetId="4" hidden="1">#REF!</definedName>
    <definedName name="BO599B6CBC43504E33AD45ECD15A182A0F" hidden="1">#REF!</definedName>
    <definedName name="BO59AC885CA8D145A48A78E7E87EA008B0" localSheetId="5" hidden="1">#REF!</definedName>
    <definedName name="BO59AC885CA8D145A48A78E7E87EA008B0" localSheetId="4" hidden="1">#REF!</definedName>
    <definedName name="BO59AC885CA8D145A48A78E7E87EA008B0" hidden="1">#REF!</definedName>
    <definedName name="BO59C567DB691F4B6DB56F5A3F1EBC5DED" localSheetId="5" hidden="1">#REF!</definedName>
    <definedName name="BO59C567DB691F4B6DB56F5A3F1EBC5DED" localSheetId="4" hidden="1">#REF!</definedName>
    <definedName name="BO59C567DB691F4B6DB56F5A3F1EBC5DED" hidden="1">#REF!</definedName>
    <definedName name="BO59D768DCFA394415A9FA22D804593B67" localSheetId="5" hidden="1">#REF!</definedName>
    <definedName name="BO59D768DCFA394415A9FA22D804593B67" localSheetId="4" hidden="1">#REF!</definedName>
    <definedName name="BO59D768DCFA394415A9FA22D804593B67" hidden="1">#REF!</definedName>
    <definedName name="BO59EA90BB35B144EEAD1E7140AFED97FD" localSheetId="5" hidden="1">#REF!</definedName>
    <definedName name="BO59EA90BB35B144EEAD1E7140AFED97FD" localSheetId="4" hidden="1">#REF!</definedName>
    <definedName name="BO59EA90BB35B144EEAD1E7140AFED97FD" hidden="1">#REF!</definedName>
    <definedName name="BO59EABF3D307B40AA89D51822A5BF1DDB" localSheetId="5" hidden="1">#REF!</definedName>
    <definedName name="BO59EABF3D307B40AA89D51822A5BF1DDB" localSheetId="4" hidden="1">#REF!</definedName>
    <definedName name="BO59EABF3D307B40AA89D51822A5BF1DDB" hidden="1">#REF!</definedName>
    <definedName name="BO59EB251B1EF049F5939B63C7C6224FEB" localSheetId="5" hidden="1">#REF!</definedName>
    <definedName name="BO59EB251B1EF049F5939B63C7C6224FEB" localSheetId="4" hidden="1">#REF!</definedName>
    <definedName name="BO59EB251B1EF049F5939B63C7C6224FEB" hidden="1">#REF!</definedName>
    <definedName name="BO59EB7E7CCC0E46CA8F1085CF5441DED8" localSheetId="5" hidden="1">#REF!</definedName>
    <definedName name="BO59EB7E7CCC0E46CA8F1085CF5441DED8" localSheetId="4" hidden="1">#REF!</definedName>
    <definedName name="BO59EB7E7CCC0E46CA8F1085CF5441DED8" hidden="1">#REF!</definedName>
    <definedName name="BO59FCCD41CD2D4A809251677722F31B4F" localSheetId="5" hidden="1">#REF!</definedName>
    <definedName name="BO59FCCD41CD2D4A809251677722F31B4F" localSheetId="4" hidden="1">#REF!</definedName>
    <definedName name="BO59FCCD41CD2D4A809251677722F31B4F" hidden="1">#REF!</definedName>
    <definedName name="BO5A0DCF8D6B61431A864637A2BCEE82C9" localSheetId="5" hidden="1">#REF!</definedName>
    <definedName name="BO5A0DCF8D6B61431A864637A2BCEE82C9" localSheetId="4" hidden="1">#REF!</definedName>
    <definedName name="BO5A0DCF8D6B61431A864637A2BCEE82C9" hidden="1">#REF!</definedName>
    <definedName name="BO5A267AB6DD8A4A2AB76DBE8AFC86BBD2" localSheetId="5" hidden="1">#REF!</definedName>
    <definedName name="BO5A267AB6DD8A4A2AB76DBE8AFC86BBD2" localSheetId="4" hidden="1">#REF!</definedName>
    <definedName name="BO5A267AB6DD8A4A2AB76DBE8AFC86BBD2" hidden="1">#REF!</definedName>
    <definedName name="BO5A32EE71A0ED4A16AA699D92CEC98B47" localSheetId="5" hidden="1">#REF!</definedName>
    <definedName name="BO5A32EE71A0ED4A16AA699D92CEC98B47" localSheetId="4" hidden="1">#REF!</definedName>
    <definedName name="BO5A32EE71A0ED4A16AA699D92CEC98B47" hidden="1">#REF!</definedName>
    <definedName name="BO5A3ED020BCED4A83ABA0A0B88F8487AC" localSheetId="5" hidden="1">#REF!</definedName>
    <definedName name="BO5A3ED020BCED4A83ABA0A0B88F8487AC" localSheetId="4" hidden="1">#REF!</definedName>
    <definedName name="BO5A3ED020BCED4A83ABA0A0B88F8487AC" hidden="1">#REF!</definedName>
    <definedName name="BO5A45EF78C2844B2C86F0440381E23580" localSheetId="5" hidden="1">#REF!</definedName>
    <definedName name="BO5A45EF78C2844B2C86F0440381E23580" localSheetId="4" hidden="1">#REF!</definedName>
    <definedName name="BO5A45EF78C2844B2C86F0440381E23580" hidden="1">#REF!</definedName>
    <definedName name="BO5A49E0BA3B6948218E99F3817B959221" localSheetId="5" hidden="1">#REF!</definedName>
    <definedName name="BO5A49E0BA3B6948218E99F3817B959221" localSheetId="4" hidden="1">#REF!</definedName>
    <definedName name="BO5A49E0BA3B6948218E99F3817B959221" hidden="1">#REF!</definedName>
    <definedName name="BO5A66AEE217574EB0820B61084A6E64CF" localSheetId="5" hidden="1">#REF!</definedName>
    <definedName name="BO5A66AEE217574EB0820B61084A6E64CF" localSheetId="4" hidden="1">#REF!</definedName>
    <definedName name="BO5A66AEE217574EB0820B61084A6E64CF" hidden="1">#REF!</definedName>
    <definedName name="BO5A6A224EDF754A9C8DAE2269DFAFB953" localSheetId="5" hidden="1">#REF!</definedName>
    <definedName name="BO5A6A224EDF754A9C8DAE2269DFAFB953" localSheetId="4" hidden="1">#REF!</definedName>
    <definedName name="BO5A6A224EDF754A9C8DAE2269DFAFB953" hidden="1">#REF!</definedName>
    <definedName name="BO5A6ACB3BF5214FB89E5482871875990D" localSheetId="5" hidden="1">#REF!</definedName>
    <definedName name="BO5A6ACB3BF5214FB89E5482871875990D" localSheetId="4" hidden="1">#REF!</definedName>
    <definedName name="BO5A6ACB3BF5214FB89E5482871875990D" hidden="1">#REF!</definedName>
    <definedName name="BO5A6AD76D3EAB4ACFA29294696A1C575C" localSheetId="5" hidden="1">#REF!</definedName>
    <definedName name="BO5A6AD76D3EAB4ACFA29294696A1C575C" localSheetId="4" hidden="1">#REF!</definedName>
    <definedName name="BO5A6AD76D3EAB4ACFA29294696A1C575C" hidden="1">#REF!</definedName>
    <definedName name="BO5A6B60F0E8034ECCBE9A1A4C0EFC6987" localSheetId="5" hidden="1">#REF!</definedName>
    <definedName name="BO5A6B60F0E8034ECCBE9A1A4C0EFC6987" localSheetId="4" hidden="1">#REF!</definedName>
    <definedName name="BO5A6B60F0E8034ECCBE9A1A4C0EFC6987" hidden="1">#REF!</definedName>
    <definedName name="BO5A81CA1FE8AD4707A0412775188A8DEC" localSheetId="5" hidden="1">#REF!</definedName>
    <definedName name="BO5A81CA1FE8AD4707A0412775188A8DEC" localSheetId="4" hidden="1">#REF!</definedName>
    <definedName name="BO5A81CA1FE8AD4707A0412775188A8DEC" hidden="1">#REF!</definedName>
    <definedName name="BO5A827E28BB4A49E68F61C5E84805D769" localSheetId="5" hidden="1">#REF!</definedName>
    <definedName name="BO5A827E28BB4A49E68F61C5E84805D769" localSheetId="4" hidden="1">#REF!</definedName>
    <definedName name="BO5A827E28BB4A49E68F61C5E84805D769" hidden="1">#REF!</definedName>
    <definedName name="BO5ADD7A0B4F8643948793596858585348" localSheetId="5" hidden="1">#REF!</definedName>
    <definedName name="BO5ADD7A0B4F8643948793596858585348" localSheetId="4" hidden="1">#REF!</definedName>
    <definedName name="BO5ADD7A0B4F8643948793596858585348" hidden="1">#REF!</definedName>
    <definedName name="BO5AE1DA02840541BDB53CAA98160D1E97" localSheetId="5" hidden="1">#REF!</definedName>
    <definedName name="BO5AE1DA02840541BDB53CAA98160D1E97" localSheetId="4" hidden="1">#REF!</definedName>
    <definedName name="BO5AE1DA02840541BDB53CAA98160D1E97" hidden="1">#REF!</definedName>
    <definedName name="BO5AF15FD77702431BBFEC3BE53FAFC51F" localSheetId="5" hidden="1">#REF!</definedName>
    <definedName name="BO5AF15FD77702431BBFEC3BE53FAFC51F" localSheetId="4" hidden="1">#REF!</definedName>
    <definedName name="BO5AF15FD77702431BBFEC3BE53FAFC51F" hidden="1">#REF!</definedName>
    <definedName name="BO5B17EB1DC2314204AAAB4C10CD014779" localSheetId="5" hidden="1">#REF!</definedName>
    <definedName name="BO5B17EB1DC2314204AAAB4C10CD014779" localSheetId="4" hidden="1">#REF!</definedName>
    <definedName name="BO5B17EB1DC2314204AAAB4C10CD014779" hidden="1">#REF!</definedName>
    <definedName name="BO5B20057ECFD04152B0F8766338210D8E" localSheetId="5" hidden="1">#REF!</definedName>
    <definedName name="BO5B20057ECFD04152B0F8766338210D8E" localSheetId="4" hidden="1">#REF!</definedName>
    <definedName name="BO5B20057ECFD04152B0F8766338210D8E" hidden="1">#REF!</definedName>
    <definedName name="BO5B27E855FA5040EB86FED41A3DE59A24" localSheetId="5" hidden="1">#REF!</definedName>
    <definedName name="BO5B27E855FA5040EB86FED41A3DE59A24" localSheetId="4" hidden="1">#REF!</definedName>
    <definedName name="BO5B27E855FA5040EB86FED41A3DE59A24" hidden="1">#REF!</definedName>
    <definedName name="BO5B2C521B9D9A42D49C89CDF8F4742308" localSheetId="5" hidden="1">#REF!</definedName>
    <definedName name="BO5B2C521B9D9A42D49C89CDF8F4742308" localSheetId="4" hidden="1">#REF!</definedName>
    <definedName name="BO5B2C521B9D9A42D49C89CDF8F4742308" hidden="1">#REF!</definedName>
    <definedName name="BO5B3F6E178E114DF088F00C8568A47DBA" localSheetId="5" hidden="1">#REF!,#REF!,#REF!</definedName>
    <definedName name="BO5B3F6E178E114DF088F00C8568A47DBA" localSheetId="4" hidden="1">#REF!,#REF!,#REF!</definedName>
    <definedName name="BO5B3F6E178E114DF088F00C8568A47DBA" hidden="1">#REF!,#REF!,#REF!</definedName>
    <definedName name="BO5B4F0CF744DC4B488CF71D96F8AA06B0" localSheetId="5" hidden="1">#REF!</definedName>
    <definedName name="BO5B4F0CF744DC4B488CF71D96F8AA06B0" localSheetId="4" hidden="1">#REF!</definedName>
    <definedName name="BO5B4F0CF744DC4B488CF71D96F8AA06B0" hidden="1">#REF!</definedName>
    <definedName name="BO5B52615A450A4CC1B8803DBA2D89031C" localSheetId="5" hidden="1">#REF!</definedName>
    <definedName name="BO5B52615A450A4CC1B8803DBA2D89031C" localSheetId="4" hidden="1">#REF!</definedName>
    <definedName name="BO5B52615A450A4CC1B8803DBA2D89031C" hidden="1">#REF!</definedName>
    <definedName name="BO5B55604609A24CB3BC03E06DDE68A82D" localSheetId="5" hidden="1">#REF!</definedName>
    <definedName name="BO5B55604609A24CB3BC03E06DDE68A82D" localSheetId="4" hidden="1">#REF!</definedName>
    <definedName name="BO5B55604609A24CB3BC03E06DDE68A82D" hidden="1">#REF!</definedName>
    <definedName name="BO5B5DBF9A9EF44018BFA2A181AD7141DD" localSheetId="5" hidden="1">#REF!</definedName>
    <definedName name="BO5B5DBF9A9EF44018BFA2A181AD7141DD" localSheetId="4" hidden="1">#REF!</definedName>
    <definedName name="BO5B5DBF9A9EF44018BFA2A181AD7141DD" hidden="1">#REF!</definedName>
    <definedName name="BO5B6647E500B64C49A067CFE98195A323" localSheetId="5" hidden="1">[9]Giaitrinh!#REF!</definedName>
    <definedName name="BO5B6647E500B64C49A067CFE98195A323" localSheetId="4" hidden="1">[9]Giaitrinh!#REF!</definedName>
    <definedName name="BO5B6647E500B64C49A067CFE98195A323" hidden="1">[9]Giaitrinh!#REF!</definedName>
    <definedName name="BO5B6D18ACF15C4612A1495972701D8AE5" localSheetId="5" hidden="1">#REF!</definedName>
    <definedName name="BO5B6D18ACF15C4612A1495972701D8AE5" localSheetId="4" hidden="1">#REF!</definedName>
    <definedName name="BO5B6D18ACF15C4612A1495972701D8AE5" hidden="1">#REF!</definedName>
    <definedName name="BO5B70F57BA7724AE09F3CBFD04F4D0C8C" localSheetId="5" hidden="1">#REF!</definedName>
    <definedName name="BO5B70F57BA7724AE09F3CBFD04F4D0C8C" localSheetId="4" hidden="1">#REF!</definedName>
    <definedName name="BO5B70F57BA7724AE09F3CBFD04F4D0C8C" hidden="1">#REF!</definedName>
    <definedName name="BO5B72659E6EF848908B910D06901253C2" localSheetId="5" hidden="1">#REF!</definedName>
    <definedName name="BO5B72659E6EF848908B910D06901253C2" localSheetId="4" hidden="1">#REF!</definedName>
    <definedName name="BO5B72659E6EF848908B910D06901253C2" hidden="1">#REF!</definedName>
    <definedName name="BO5B82CC81807D42DBBAA1146914966A56" localSheetId="5" hidden="1">#REF!</definedName>
    <definedName name="BO5B82CC81807D42DBBAA1146914966A56" localSheetId="4" hidden="1">#REF!</definedName>
    <definedName name="BO5B82CC81807D42DBBAA1146914966A56" hidden="1">#REF!</definedName>
    <definedName name="BO5B9CA8ABC9A346AEA3B9F7CB5CF6A740" localSheetId="5" hidden="1">#REF!</definedName>
    <definedName name="BO5B9CA8ABC9A346AEA3B9F7CB5CF6A740" localSheetId="4" hidden="1">#REF!</definedName>
    <definedName name="BO5B9CA8ABC9A346AEA3B9F7CB5CF6A740" hidden="1">#REF!</definedName>
    <definedName name="BO5BB0B277A3394326AFBAAAF6450E4E42" localSheetId="5" hidden="1">#REF!</definedName>
    <definedName name="BO5BB0B277A3394326AFBAAAF6450E4E42" localSheetId="4" hidden="1">#REF!</definedName>
    <definedName name="BO5BB0B277A3394326AFBAAAF6450E4E42" hidden="1">#REF!</definedName>
    <definedName name="BO5BB13408EB904A3BAC559B9AC215AB1A" localSheetId="5" hidden="1">#REF!</definedName>
    <definedName name="BO5BB13408EB904A3BAC559B9AC215AB1A" localSheetId="4" hidden="1">#REF!</definedName>
    <definedName name="BO5BB13408EB904A3BAC559B9AC215AB1A" hidden="1">#REF!</definedName>
    <definedName name="BO5BB33AC2DC2D4FD6AB71938AF1DA173D" localSheetId="5" hidden="1">#REF!</definedName>
    <definedName name="BO5BB33AC2DC2D4FD6AB71938AF1DA173D" localSheetId="4" hidden="1">#REF!</definedName>
    <definedName name="BO5BB33AC2DC2D4FD6AB71938AF1DA173D" hidden="1">#REF!</definedName>
    <definedName name="BO5BB90F35827F4C8CB35EB5880E3DFBF5" localSheetId="5" hidden="1">#REF!</definedName>
    <definedName name="BO5BB90F35827F4C8CB35EB5880E3DFBF5" localSheetId="4" hidden="1">#REF!</definedName>
    <definedName name="BO5BB90F35827F4C8CB35EB5880E3DFBF5" hidden="1">#REF!</definedName>
    <definedName name="BO5BBAD0D8246443EE9D8084F5B590596E" localSheetId="5" hidden="1">#REF!</definedName>
    <definedName name="BO5BBAD0D8246443EE9D8084F5B590596E" localSheetId="4" hidden="1">#REF!</definedName>
    <definedName name="BO5BBAD0D8246443EE9D8084F5B590596E" hidden="1">#REF!</definedName>
    <definedName name="BO5BC31258B8F8431DBC9B1836B8016102" localSheetId="5" hidden="1">#REF!</definedName>
    <definedName name="BO5BC31258B8F8431DBC9B1836B8016102" localSheetId="4" hidden="1">#REF!</definedName>
    <definedName name="BO5BC31258B8F8431DBC9B1836B8016102" hidden="1">#REF!</definedName>
    <definedName name="BO5BD8EB8E62ED48D6BA69F65CED12804D" localSheetId="5" hidden="1">#REF!</definedName>
    <definedName name="BO5BD8EB8E62ED48D6BA69F65CED12804D" localSheetId="4" hidden="1">#REF!</definedName>
    <definedName name="BO5BD8EB8E62ED48D6BA69F65CED12804D" hidden="1">#REF!</definedName>
    <definedName name="BO5BE732993B4846D58B3911D46AD6038D" localSheetId="5" hidden="1">#REF!</definedName>
    <definedName name="BO5BE732993B4846D58B3911D46AD6038D" localSheetId="4" hidden="1">#REF!</definedName>
    <definedName name="BO5BE732993B4846D58B3911D46AD6038D" hidden="1">#REF!</definedName>
    <definedName name="BO5C12622CAD9743559EF012A1914D88CA" localSheetId="5" hidden="1">#REF!</definedName>
    <definedName name="BO5C12622CAD9743559EF012A1914D88CA" localSheetId="4" hidden="1">#REF!</definedName>
    <definedName name="BO5C12622CAD9743559EF012A1914D88CA" hidden="1">#REF!</definedName>
    <definedName name="BO5C39A7588D8A4EB3A28D61CACE05FB93" localSheetId="5" hidden="1">#REF!</definedName>
    <definedName name="BO5C39A7588D8A4EB3A28D61CACE05FB93" localSheetId="4" hidden="1">#REF!</definedName>
    <definedName name="BO5C39A7588D8A4EB3A28D61CACE05FB93" hidden="1">#REF!</definedName>
    <definedName name="BO5C434CDBC29B4D8A8B8862AEC720DBCD" localSheetId="5" hidden="1">#REF!</definedName>
    <definedName name="BO5C434CDBC29B4D8A8B8862AEC720DBCD" localSheetId="4" hidden="1">#REF!</definedName>
    <definedName name="BO5C434CDBC29B4D8A8B8862AEC720DBCD" hidden="1">#REF!</definedName>
    <definedName name="BO5C43685B69DC4275893F095AB017D6CE" localSheetId="5" hidden="1">#REF!</definedName>
    <definedName name="BO5C43685B69DC4275893F095AB017D6CE" localSheetId="4" hidden="1">#REF!</definedName>
    <definedName name="BO5C43685B69DC4275893F095AB017D6CE" hidden="1">#REF!</definedName>
    <definedName name="BO5C56946051DC47BC8EAAAD7534E42CF3" localSheetId="5" hidden="1">#REF!</definedName>
    <definedName name="BO5C56946051DC47BC8EAAAD7534E42CF3" localSheetId="4" hidden="1">#REF!</definedName>
    <definedName name="BO5C56946051DC47BC8EAAAD7534E42CF3" hidden="1">#REF!</definedName>
    <definedName name="BO5C6AE5D18D554D7E8159E2BAE8FA382F" localSheetId="5" hidden="1">#REF!</definedName>
    <definedName name="BO5C6AE5D18D554D7E8159E2BAE8FA382F" localSheetId="4" hidden="1">#REF!</definedName>
    <definedName name="BO5C6AE5D18D554D7E8159E2BAE8FA382F" hidden="1">#REF!</definedName>
    <definedName name="BO5C73CAE6A2834A4B94D14E18B48EAF16" localSheetId="5" hidden="1">[9]Kehoachchitiet!#REF!</definedName>
    <definedName name="BO5C73CAE6A2834A4B94D14E18B48EAF16" localSheetId="4" hidden="1">[9]Kehoachchitiet!#REF!</definedName>
    <definedName name="BO5C73CAE6A2834A4B94D14E18B48EAF16" hidden="1">[9]Kehoachchitiet!#REF!</definedName>
    <definedName name="BO5C73D9FEF2674C1BBDE971AE169419EC" localSheetId="5" hidden="1">#REF!</definedName>
    <definedName name="BO5C73D9FEF2674C1BBDE971AE169419EC" localSheetId="4" hidden="1">#REF!</definedName>
    <definedName name="BO5C73D9FEF2674C1BBDE971AE169419EC" hidden="1">#REF!</definedName>
    <definedName name="BO5C8124D2D9FB4EAAB76560D5A15737B8" localSheetId="5" hidden="1">#REF!</definedName>
    <definedName name="BO5C8124D2D9FB4EAAB76560D5A15737B8" localSheetId="4" hidden="1">#REF!</definedName>
    <definedName name="BO5C8124D2D9FB4EAAB76560D5A15737B8" hidden="1">#REF!</definedName>
    <definedName name="BO5C88962D8A4E4316A42DE38FBCE2303D" localSheetId="5" hidden="1">#REF!</definedName>
    <definedName name="BO5C88962D8A4E4316A42DE38FBCE2303D" localSheetId="4" hidden="1">#REF!</definedName>
    <definedName name="BO5C88962D8A4E4316A42DE38FBCE2303D" hidden="1">#REF!</definedName>
    <definedName name="BO5C902D60CF47456FA169B1087280482B" localSheetId="5" hidden="1">[7]lailo!#REF!</definedName>
    <definedName name="BO5C902D60CF47456FA169B1087280482B" localSheetId="4" hidden="1">[7]lailo!#REF!</definedName>
    <definedName name="BO5C902D60CF47456FA169B1087280482B" hidden="1">[7]lailo!#REF!</definedName>
    <definedName name="BO5C920D0B5B1345BABC2366B7DA1C5E25" localSheetId="5" hidden="1">#REF!</definedName>
    <definedName name="BO5C920D0B5B1345BABC2366B7DA1C5E25" localSheetId="4" hidden="1">#REF!</definedName>
    <definedName name="BO5C920D0B5B1345BABC2366B7DA1C5E25" hidden="1">#REF!</definedName>
    <definedName name="BO5C93DD374DC2423B967014357CA2D571" localSheetId="5" hidden="1">#REF!</definedName>
    <definedName name="BO5C93DD374DC2423B967014357CA2D571" localSheetId="4" hidden="1">#REF!</definedName>
    <definedName name="BO5C93DD374DC2423B967014357CA2D571" hidden="1">#REF!</definedName>
    <definedName name="BO5CDE450990984959AE300DAC644A2FF4" localSheetId="5" hidden="1">#REF!</definedName>
    <definedName name="BO5CDE450990984959AE300DAC644A2FF4" localSheetId="4" hidden="1">#REF!</definedName>
    <definedName name="BO5CDE450990984959AE300DAC644A2FF4" hidden="1">#REF!</definedName>
    <definedName name="BO5CF7FE1385DD4292AE9F612853C6FE33" localSheetId="5" hidden="1">#REF!</definedName>
    <definedName name="BO5CF7FE1385DD4292AE9F612853C6FE33" localSheetId="4" hidden="1">#REF!</definedName>
    <definedName name="BO5CF7FE1385DD4292AE9F612853C6FE33" hidden="1">#REF!</definedName>
    <definedName name="BO5D05E09EECF5457DA33727FC8D15191F" localSheetId="5" hidden="1">#REF!</definedName>
    <definedName name="BO5D05E09EECF5457DA33727FC8D15191F" localSheetId="4" hidden="1">#REF!</definedName>
    <definedName name="BO5D05E09EECF5457DA33727FC8D15191F" hidden="1">#REF!</definedName>
    <definedName name="BO5D1E63DBC558443384A529936C012D26" localSheetId="5" hidden="1">#REF!</definedName>
    <definedName name="BO5D1E63DBC558443384A529936C012D26" localSheetId="4" hidden="1">#REF!</definedName>
    <definedName name="BO5D1E63DBC558443384A529936C012D26" hidden="1">#REF!</definedName>
    <definedName name="BO5D3A29F492374C6C925AC1A20ED66BEB" localSheetId="5" hidden="1">#REF!</definedName>
    <definedName name="BO5D3A29F492374C6C925AC1A20ED66BEB" localSheetId="4" hidden="1">#REF!</definedName>
    <definedName name="BO5D3A29F492374C6C925AC1A20ED66BEB" hidden="1">#REF!</definedName>
    <definedName name="BO5D45774D31BA47B8AE1E174DE6B88DC5" localSheetId="5" hidden="1">[7]lailo!#REF!</definedName>
    <definedName name="BO5D45774D31BA47B8AE1E174DE6B88DC5" localSheetId="4" hidden="1">[7]lailo!#REF!</definedName>
    <definedName name="BO5D45774D31BA47B8AE1E174DE6B88DC5" hidden="1">[7]lailo!#REF!</definedName>
    <definedName name="BO5D46C9AD71BC4FDD877EA97718D4BBE9" localSheetId="5" hidden="1">#REF!</definedName>
    <definedName name="BO5D46C9AD71BC4FDD877EA97718D4BBE9" localSheetId="4" hidden="1">#REF!</definedName>
    <definedName name="BO5D46C9AD71BC4FDD877EA97718D4BBE9" hidden="1">#REF!</definedName>
    <definedName name="BO5D53DC92829E4BB3B851B388A11032F7" localSheetId="5" hidden="1">#REF!</definedName>
    <definedName name="BO5D53DC92829E4BB3B851B388A11032F7" localSheetId="4" hidden="1">#REF!</definedName>
    <definedName name="BO5D53DC92829E4BB3B851B388A11032F7" hidden="1">#REF!</definedName>
    <definedName name="BO5D5F2491E93B4AA3B9D27F259616BD98" localSheetId="5" hidden="1">#REF!</definedName>
    <definedName name="BO5D5F2491E93B4AA3B9D27F259616BD98" localSheetId="4" hidden="1">#REF!</definedName>
    <definedName name="BO5D5F2491E93B4AA3B9D27F259616BD98" hidden="1">#REF!</definedName>
    <definedName name="BO5D8CD6A969174366A721D16A14A45C76" localSheetId="5" hidden="1">#REF!</definedName>
    <definedName name="BO5D8CD6A969174366A721D16A14A45C76" localSheetId="4" hidden="1">#REF!</definedName>
    <definedName name="BO5D8CD6A969174366A721D16A14A45C76" hidden="1">#REF!</definedName>
    <definedName name="BO5D8DDEA539B94BF8ADF2FE3FCCF8C381" localSheetId="5" hidden="1">#REF!</definedName>
    <definedName name="BO5D8DDEA539B94BF8ADF2FE3FCCF8C381" localSheetId="4" hidden="1">#REF!</definedName>
    <definedName name="BO5D8DDEA539B94BF8ADF2FE3FCCF8C381" hidden="1">#REF!</definedName>
    <definedName name="BO5D8F589A53DA42018080ED77A6B492DE" localSheetId="5" hidden="1">#REF!</definedName>
    <definedName name="BO5D8F589A53DA42018080ED77A6B492DE" localSheetId="4" hidden="1">#REF!</definedName>
    <definedName name="BO5D8F589A53DA42018080ED77A6B492DE" hidden="1">#REF!</definedName>
    <definedName name="BO5D9DFDE61A224480A6661F17796BBA5F" localSheetId="5" hidden="1">#REF!</definedName>
    <definedName name="BO5D9DFDE61A224480A6661F17796BBA5F" localSheetId="4" hidden="1">#REF!</definedName>
    <definedName name="BO5D9DFDE61A224480A6661F17796BBA5F" hidden="1">#REF!</definedName>
    <definedName name="BO5DA46E589A6F4C6C8DB03D492C1C2878" localSheetId="5" hidden="1">#REF!</definedName>
    <definedName name="BO5DA46E589A6F4C6C8DB03D492C1C2878" localSheetId="4" hidden="1">#REF!</definedName>
    <definedName name="BO5DA46E589A6F4C6C8DB03D492C1C2878" hidden="1">#REF!</definedName>
    <definedName name="BO5DAA29757857417FB43F3DD813DE0653" localSheetId="5" hidden="1">#REF!</definedName>
    <definedName name="BO5DAA29757857417FB43F3DD813DE0653" localSheetId="4" hidden="1">#REF!</definedName>
    <definedName name="BO5DAA29757857417FB43F3DD813DE0653" hidden="1">#REF!</definedName>
    <definedName name="BO5DBC1413A4EF4004B35971E058515E30" localSheetId="5" hidden="1">#REF!</definedName>
    <definedName name="BO5DBC1413A4EF4004B35971E058515E30" localSheetId="4" hidden="1">#REF!</definedName>
    <definedName name="BO5DBC1413A4EF4004B35971E058515E30" hidden="1">#REF!</definedName>
    <definedName name="BO5DCAB14EFA5C4FE3BFD9A86392942047" localSheetId="5" hidden="1">#REF!</definedName>
    <definedName name="BO5DCAB14EFA5C4FE3BFD9A86392942047" localSheetId="4" hidden="1">#REF!</definedName>
    <definedName name="BO5DCAB14EFA5C4FE3BFD9A86392942047" hidden="1">#REF!</definedName>
    <definedName name="BO5DE7BFB8DA2247CA88F53F0852D0D978" localSheetId="5" hidden="1">#REF!</definedName>
    <definedName name="BO5DE7BFB8DA2247CA88F53F0852D0D978" localSheetId="4" hidden="1">#REF!</definedName>
    <definedName name="BO5DE7BFB8DA2247CA88F53F0852D0D978" hidden="1">#REF!</definedName>
    <definedName name="BO5DFCB56992D44322ADC1421A3B901C42" localSheetId="5" hidden="1">#REF!</definedName>
    <definedName name="BO5DFCB56992D44322ADC1421A3B901C42" localSheetId="4" hidden="1">#REF!</definedName>
    <definedName name="BO5DFCB56992D44322ADC1421A3B901C42" hidden="1">#REF!</definedName>
    <definedName name="BO5DFF17F65E144CB0837C415C67612916" localSheetId="5" hidden="1">#REF!</definedName>
    <definedName name="BO5DFF17F65E144CB0837C415C67612916" localSheetId="4" hidden="1">#REF!</definedName>
    <definedName name="BO5DFF17F65E144CB0837C415C67612916" hidden="1">#REF!</definedName>
    <definedName name="BO5E15162F9C004ABAA5599FEAD7B0B618" localSheetId="5" hidden="1">[7]lailo!#REF!</definedName>
    <definedName name="BO5E15162F9C004ABAA5599FEAD7B0B618" localSheetId="4" hidden="1">[7]lailo!#REF!</definedName>
    <definedName name="BO5E15162F9C004ABAA5599FEAD7B0B618" hidden="1">[7]lailo!#REF!</definedName>
    <definedName name="BO5E3521EC573C4D1095E01CA58AD9FF10" localSheetId="5" hidden="1">#REF!</definedName>
    <definedName name="BO5E3521EC573C4D1095E01CA58AD9FF10" localSheetId="4" hidden="1">#REF!</definedName>
    <definedName name="BO5E3521EC573C4D1095E01CA58AD9FF10" hidden="1">#REF!</definedName>
    <definedName name="BO5E3AEC809E10421B846FB0743CBC6A3D" localSheetId="5" hidden="1">#REF!</definedName>
    <definedName name="BO5E3AEC809E10421B846FB0743CBC6A3D" localSheetId="4" hidden="1">#REF!</definedName>
    <definedName name="BO5E3AEC809E10421B846FB0743CBC6A3D" hidden="1">#REF!</definedName>
    <definedName name="BO5E3D11B36BB24ABE9E39A8B7C3313197" localSheetId="5" hidden="1">#REF!</definedName>
    <definedName name="BO5E3D11B36BB24ABE9E39A8B7C3313197" localSheetId="4" hidden="1">#REF!</definedName>
    <definedName name="BO5E3D11B36BB24ABE9E39A8B7C3313197" hidden="1">#REF!</definedName>
    <definedName name="BO5E4EFB78D6D043F8BD8B4785CD5E7216" localSheetId="5" hidden="1">#REF!</definedName>
    <definedName name="BO5E4EFB78D6D043F8BD8B4785CD5E7216" localSheetId="4" hidden="1">#REF!</definedName>
    <definedName name="BO5E4EFB78D6D043F8BD8B4785CD5E7216" hidden="1">#REF!</definedName>
    <definedName name="BO5E543CAB34A54B94A48D330415EE4DD1" localSheetId="5" hidden="1">#REF!</definedName>
    <definedName name="BO5E543CAB34A54B94A48D330415EE4DD1" localSheetId="4" hidden="1">#REF!</definedName>
    <definedName name="BO5E543CAB34A54B94A48D330415EE4DD1" hidden="1">#REF!</definedName>
    <definedName name="BO5E6433AEBB09449AAB690755E35CE034" localSheetId="5" hidden="1">[8]Ketqua!#REF!</definedName>
    <definedName name="BO5E6433AEBB09449AAB690755E35CE034" localSheetId="4" hidden="1">[8]Ketqua!#REF!</definedName>
    <definedName name="BO5E6433AEBB09449AAB690755E35CE034" hidden="1">[8]Ketqua!#REF!</definedName>
    <definedName name="BO5E6F18A1750D4760B7498A21B6D88CA2" localSheetId="5" hidden="1">#REF!</definedName>
    <definedName name="BO5E6F18A1750D4760B7498A21B6D88CA2" localSheetId="4" hidden="1">#REF!</definedName>
    <definedName name="BO5E6F18A1750D4760B7498A21B6D88CA2" hidden="1">#REF!</definedName>
    <definedName name="BO5E987388D63B47DD9549162B619084F7" localSheetId="5" hidden="1">#REF!</definedName>
    <definedName name="BO5E987388D63B47DD9549162B619084F7" localSheetId="4" hidden="1">#REF!</definedName>
    <definedName name="BO5E987388D63B47DD9549162B619084F7" hidden="1">#REF!</definedName>
    <definedName name="BO5E9EAF32C3934102B559632956743BBB" localSheetId="5" hidden="1">#REF!</definedName>
    <definedName name="BO5E9EAF32C3934102B559632956743BBB" localSheetId="4" hidden="1">#REF!</definedName>
    <definedName name="BO5E9EAF32C3934102B559632956743BBB" hidden="1">#REF!</definedName>
    <definedName name="BO5EABBF3BF19F4A4A85944C3DAEA4DB28" localSheetId="5" hidden="1">#REF!</definedName>
    <definedName name="BO5EABBF3BF19F4A4A85944C3DAEA4DB28" localSheetId="4" hidden="1">#REF!</definedName>
    <definedName name="BO5EABBF3BF19F4A4A85944C3DAEA4DB28" hidden="1">#REF!</definedName>
    <definedName name="BO5EB0027199674D819EBA32CE0557D9DA" localSheetId="5" hidden="1">#REF!</definedName>
    <definedName name="BO5EB0027199674D819EBA32CE0557D9DA" localSheetId="4" hidden="1">#REF!</definedName>
    <definedName name="BO5EB0027199674D819EBA32CE0557D9DA" hidden="1">#REF!</definedName>
    <definedName name="BO5EB3A4D52BE74C6EAB70B27B3AF53D6A" localSheetId="5" hidden="1">#REF!</definedName>
    <definedName name="BO5EB3A4D52BE74C6EAB70B27B3AF53D6A" localSheetId="4" hidden="1">#REF!</definedName>
    <definedName name="BO5EB3A4D52BE74C6EAB70B27B3AF53D6A" hidden="1">#REF!</definedName>
    <definedName name="BO5EB64E23C1AF448B84C2883AC71C22E3" localSheetId="5" hidden="1">#REF!</definedName>
    <definedName name="BO5EB64E23C1AF448B84C2883AC71C22E3" localSheetId="4" hidden="1">#REF!</definedName>
    <definedName name="BO5EB64E23C1AF448B84C2883AC71C22E3" hidden="1">#REF!</definedName>
    <definedName name="BO5EBBE63C669F462BAFB60AE49A5A162A" localSheetId="5" hidden="1">#REF!</definedName>
    <definedName name="BO5EBBE63C669F462BAFB60AE49A5A162A" localSheetId="4" hidden="1">#REF!</definedName>
    <definedName name="BO5EBBE63C669F462BAFB60AE49A5A162A" hidden="1">#REF!</definedName>
    <definedName name="BO5ECC2535998F4014B54D2B6BC3C72E48" localSheetId="5" hidden="1">#REF!</definedName>
    <definedName name="BO5ECC2535998F4014B54D2B6BC3C72E48" localSheetId="4" hidden="1">#REF!</definedName>
    <definedName name="BO5ECC2535998F4014B54D2B6BC3C72E48" hidden="1">#REF!</definedName>
    <definedName name="BO5ED9A67CB86A47D68BB8537766EF330A" localSheetId="5" hidden="1">#REF!</definedName>
    <definedName name="BO5ED9A67CB86A47D68BB8537766EF330A" localSheetId="4" hidden="1">#REF!</definedName>
    <definedName name="BO5ED9A67CB86A47D68BB8537766EF330A" hidden="1">#REF!</definedName>
    <definedName name="BO5EE24DD3075F4792AE64061541B4A691" localSheetId="5" hidden="1">#REF!</definedName>
    <definedName name="BO5EE24DD3075F4792AE64061541B4A691" localSheetId="4" hidden="1">#REF!</definedName>
    <definedName name="BO5EE24DD3075F4792AE64061541B4A691" hidden="1">#REF!</definedName>
    <definedName name="BO5EFD84FDD9014E5C905F42675B5FBB6D" localSheetId="5" hidden="1">#REF!</definedName>
    <definedName name="BO5EFD84FDD9014E5C905F42675B5FBB6D" localSheetId="4" hidden="1">#REF!</definedName>
    <definedName name="BO5EFD84FDD9014E5C905F42675B5FBB6D" hidden="1">#REF!</definedName>
    <definedName name="BO5EFF581C31E94D0B9DC78606248B24D7" localSheetId="5" hidden="1">#REF!</definedName>
    <definedName name="BO5EFF581C31E94D0B9DC78606248B24D7" localSheetId="4" hidden="1">#REF!</definedName>
    <definedName name="BO5EFF581C31E94D0B9DC78606248B24D7" hidden="1">#REF!</definedName>
    <definedName name="BO5F0E4A5C4627496F99950E09FB952717" localSheetId="5" hidden="1">#REF!</definedName>
    <definedName name="BO5F0E4A5C4627496F99950E09FB952717" localSheetId="4" hidden="1">#REF!</definedName>
    <definedName name="BO5F0E4A5C4627496F99950E09FB952717" hidden="1">#REF!</definedName>
    <definedName name="BO5F169185BC3A43F783223A4E39E97CA7" localSheetId="5" hidden="1">#REF!</definedName>
    <definedName name="BO5F169185BC3A43F783223A4E39E97CA7" localSheetId="4" hidden="1">#REF!</definedName>
    <definedName name="BO5F169185BC3A43F783223A4E39E97CA7" hidden="1">#REF!</definedName>
    <definedName name="BO5F183ECE0B6F4CD582CE8D75DE8E61A1" localSheetId="5" hidden="1">#REF!</definedName>
    <definedName name="BO5F183ECE0B6F4CD582CE8D75DE8E61A1" localSheetId="4" hidden="1">#REF!</definedName>
    <definedName name="BO5F183ECE0B6F4CD582CE8D75DE8E61A1" hidden="1">#REF!</definedName>
    <definedName name="BO5F3A3B097B6E405593E1AEEA4240D978" localSheetId="5" hidden="1">#REF!</definedName>
    <definedName name="BO5F3A3B097B6E405593E1AEEA4240D978" localSheetId="4" hidden="1">#REF!</definedName>
    <definedName name="BO5F3A3B097B6E405593E1AEEA4240D978" hidden="1">#REF!</definedName>
    <definedName name="BO5F459209386748FDB50D8C98E6A67013" localSheetId="5" hidden="1">#REF!</definedName>
    <definedName name="BO5F459209386748FDB50D8C98E6A67013" localSheetId="4" hidden="1">#REF!</definedName>
    <definedName name="BO5F459209386748FDB50D8C98E6A67013" hidden="1">#REF!</definedName>
    <definedName name="BO5F4CD9BE29494CD380952D53C530DBA2" localSheetId="5" hidden="1">#REF!</definedName>
    <definedName name="BO5F4CD9BE29494CD380952D53C530DBA2" localSheetId="4" hidden="1">#REF!</definedName>
    <definedName name="BO5F4CD9BE29494CD380952D53C530DBA2" hidden="1">#REF!</definedName>
    <definedName name="BO5F4D61EC1AC0466F99DDD0262E888D3D" localSheetId="5" hidden="1">#REF!</definedName>
    <definedName name="BO5F4D61EC1AC0466F99DDD0262E888D3D" localSheetId="4" hidden="1">#REF!</definedName>
    <definedName name="BO5F4D61EC1AC0466F99DDD0262E888D3D" hidden="1">#REF!</definedName>
    <definedName name="BO5F6BA2DEE1744AF1A2DC4DBE6AB563FB" localSheetId="5" hidden="1">#REF!</definedName>
    <definedName name="BO5F6BA2DEE1744AF1A2DC4DBE6AB563FB" localSheetId="4" hidden="1">#REF!</definedName>
    <definedName name="BO5F6BA2DEE1744AF1A2DC4DBE6AB563FB" hidden="1">#REF!</definedName>
    <definedName name="BO5F7BA0B96A7C4F7A90ACFCB804B8F5F2" localSheetId="5" hidden="1">[8]Ketqua!#REF!</definedName>
    <definedName name="BO5F7BA0B96A7C4F7A90ACFCB804B8F5F2" localSheetId="4" hidden="1">[8]Ketqua!#REF!</definedName>
    <definedName name="BO5F7BA0B96A7C4F7A90ACFCB804B8F5F2" hidden="1">[8]Ketqua!#REF!</definedName>
    <definedName name="BO5F905E63F3BB424BB231F0911BD9D24C" localSheetId="5" hidden="1">#REF!</definedName>
    <definedName name="BO5F905E63F3BB424BB231F0911BD9D24C" localSheetId="4" hidden="1">#REF!</definedName>
    <definedName name="BO5F905E63F3BB424BB231F0911BD9D24C" hidden="1">#REF!</definedName>
    <definedName name="BO5F92419A2B2042A88CF6F07560803C22" localSheetId="5" hidden="1">[8]Ketqua!#REF!</definedName>
    <definedName name="BO5F92419A2B2042A88CF6F07560803C22" localSheetId="4" hidden="1">[8]Ketqua!#REF!</definedName>
    <definedName name="BO5F92419A2B2042A88CF6F07560803C22" hidden="1">[8]Ketqua!#REF!</definedName>
    <definedName name="BO5F999F7554654FB78B1725F023976533" localSheetId="5" hidden="1">#REF!</definedName>
    <definedName name="BO5F999F7554654FB78B1725F023976533" localSheetId="4" hidden="1">#REF!</definedName>
    <definedName name="BO5F999F7554654FB78B1725F023976533" hidden="1">#REF!</definedName>
    <definedName name="BO5FA9FE156258454F97E163543A3F3899" localSheetId="5" hidden="1">#REF!</definedName>
    <definedName name="BO5FA9FE156258454F97E163543A3F3899" localSheetId="4" hidden="1">#REF!</definedName>
    <definedName name="BO5FA9FE156258454F97E163543A3F3899" hidden="1">#REF!</definedName>
    <definedName name="BO5FB0F31CE83C4F349F5236A7AD7A1C53" localSheetId="5" hidden="1">#REF!</definedName>
    <definedName name="BO5FB0F31CE83C4F349F5236A7AD7A1C53" localSheetId="4" hidden="1">#REF!</definedName>
    <definedName name="BO5FB0F31CE83C4F349F5236A7AD7A1C53" hidden="1">#REF!</definedName>
    <definedName name="BO5FBA6BD6E8024E6389A93B0AA2ACCA5B" localSheetId="5" hidden="1">#REF!</definedName>
    <definedName name="BO5FBA6BD6E8024E6389A93B0AA2ACCA5B" localSheetId="4" hidden="1">#REF!</definedName>
    <definedName name="BO5FBA6BD6E8024E6389A93B0AA2ACCA5B" hidden="1">#REF!</definedName>
    <definedName name="BO5FC59423E6644D09A05577F2F26A0D55" localSheetId="5" hidden="1">#REF!</definedName>
    <definedName name="BO5FC59423E6644D09A05577F2F26A0D55" localSheetId="4" hidden="1">#REF!</definedName>
    <definedName name="BO5FC59423E6644D09A05577F2F26A0D55" hidden="1">#REF!</definedName>
    <definedName name="BO5FC82D2B3FCB499BAA5955760CB32BD2" localSheetId="5" hidden="1">[8]Ketqua!#REF!</definedName>
    <definedName name="BO5FC82D2B3FCB499BAA5955760CB32BD2" localSheetId="4" hidden="1">[8]Ketqua!#REF!</definedName>
    <definedName name="BO5FC82D2B3FCB499BAA5955760CB32BD2" hidden="1">[8]Ketqua!#REF!</definedName>
    <definedName name="BO5FC8C193100E40F8BC9B627DDDA066DF" localSheetId="5" hidden="1">#REF!</definedName>
    <definedName name="BO5FC8C193100E40F8BC9B627DDDA066DF" localSheetId="4" hidden="1">#REF!</definedName>
    <definedName name="BO5FC8C193100E40F8BC9B627DDDA066DF" hidden="1">#REF!</definedName>
    <definedName name="BO5FD18E77AE8647D2B1214CC539C6DD9C" localSheetId="5" hidden="1">#REF!</definedName>
    <definedName name="BO5FD18E77AE8647D2B1214CC539C6DD9C" localSheetId="4" hidden="1">#REF!</definedName>
    <definedName name="BO5FD18E77AE8647D2B1214CC539C6DD9C" hidden="1">#REF!</definedName>
    <definedName name="BO5FDF2F8A77E547E79687E3F84EAA65E9" localSheetId="5" hidden="1">#REF!</definedName>
    <definedName name="BO5FDF2F8A77E547E79687E3F84EAA65E9" localSheetId="4" hidden="1">#REF!</definedName>
    <definedName name="BO5FDF2F8A77E547E79687E3F84EAA65E9" hidden="1">#REF!</definedName>
    <definedName name="BO5FDF8E481C454A13ACB9B762A5157BFA" localSheetId="5" hidden="1">#REF!</definedName>
    <definedName name="BO5FDF8E481C454A13ACB9B762A5157BFA" localSheetId="4" hidden="1">#REF!</definedName>
    <definedName name="BO5FDF8E481C454A13ACB9B762A5157BFA" hidden="1">#REF!</definedName>
    <definedName name="BO5FE351D30E804EB8A5BBFD3F645D8143" localSheetId="5" hidden="1">#REF!</definedName>
    <definedName name="BO5FE351D30E804EB8A5BBFD3F645D8143" localSheetId="4" hidden="1">#REF!</definedName>
    <definedName name="BO5FE351D30E804EB8A5BBFD3F645D8143" hidden="1">#REF!</definedName>
    <definedName name="BO5FF99CFB143E400A866224CA1BBC6242" localSheetId="5" hidden="1">#REF!</definedName>
    <definedName name="BO5FF99CFB143E400A866224CA1BBC6242" localSheetId="4" hidden="1">#REF!</definedName>
    <definedName name="BO5FF99CFB143E400A866224CA1BBC6242" hidden="1">#REF!</definedName>
    <definedName name="BO600F54E397614713BEE3F62A5C4E08B2" localSheetId="5" hidden="1">#REF!</definedName>
    <definedName name="BO600F54E397614713BEE3F62A5C4E08B2" localSheetId="4" hidden="1">#REF!</definedName>
    <definedName name="BO600F54E397614713BEE3F62A5C4E08B2" hidden="1">#REF!</definedName>
    <definedName name="BO603BD3EE00A0424498DAF2F7E091225B" localSheetId="5" hidden="1">#REF!</definedName>
    <definedName name="BO603BD3EE00A0424498DAF2F7E091225B" localSheetId="4" hidden="1">#REF!</definedName>
    <definedName name="BO603BD3EE00A0424498DAF2F7E091225B" hidden="1">#REF!</definedName>
    <definedName name="BO604736B173DB48DA8E4B59C73C561390" localSheetId="5" hidden="1">#REF!</definedName>
    <definedName name="BO604736B173DB48DA8E4B59C73C561390" localSheetId="4" hidden="1">#REF!</definedName>
    <definedName name="BO604736B173DB48DA8E4B59C73C561390" hidden="1">#REF!</definedName>
    <definedName name="BO60496C515CE8453080E955E01CE46F24" localSheetId="5" hidden="1">#REF!</definedName>
    <definedName name="BO60496C515CE8453080E955E01CE46F24" localSheetId="4" hidden="1">#REF!</definedName>
    <definedName name="BO60496C515CE8453080E955E01CE46F24" hidden="1">#REF!</definedName>
    <definedName name="BO604C0B294184428DB9B66E0FCEDFD21D" localSheetId="5" hidden="1">#REF!</definedName>
    <definedName name="BO604C0B294184428DB9B66E0FCEDFD21D" localSheetId="4" hidden="1">#REF!</definedName>
    <definedName name="BO604C0B294184428DB9B66E0FCEDFD21D" hidden="1">#REF!</definedName>
    <definedName name="BO60690B06BA2D4FC3B273607D5109FA73" localSheetId="5" hidden="1">#REF!</definedName>
    <definedName name="BO60690B06BA2D4FC3B273607D5109FA73" localSheetId="4" hidden="1">#REF!</definedName>
    <definedName name="BO60690B06BA2D4FC3B273607D5109FA73" hidden="1">#REF!</definedName>
    <definedName name="BO606A959C28714F2DAEC588E014AEAB7E" localSheetId="5" hidden="1">#REF!</definedName>
    <definedName name="BO606A959C28714F2DAEC588E014AEAB7E" localSheetId="4" hidden="1">#REF!</definedName>
    <definedName name="BO606A959C28714F2DAEC588E014AEAB7E" hidden="1">#REF!</definedName>
    <definedName name="BO6070DE28BB4644D28CE73DFC17FD800D" localSheetId="5" hidden="1">#REF!</definedName>
    <definedName name="BO6070DE28BB4644D28CE73DFC17FD800D" localSheetId="4" hidden="1">#REF!</definedName>
    <definedName name="BO6070DE28BB4644D28CE73DFC17FD800D" hidden="1">#REF!</definedName>
    <definedName name="BO607D9A60550B4FA7A677D228FC06A7CB" localSheetId="5" hidden="1">#REF!</definedName>
    <definedName name="BO607D9A60550B4FA7A677D228FC06A7CB" localSheetId="4" hidden="1">#REF!</definedName>
    <definedName name="BO607D9A60550B4FA7A677D228FC06A7CB" hidden="1">#REF!</definedName>
    <definedName name="BO6084E8173B2D4E35A087C3F78A650D59" localSheetId="5" hidden="1">#REF!</definedName>
    <definedName name="BO6084E8173B2D4E35A087C3F78A650D59" localSheetId="4" hidden="1">#REF!</definedName>
    <definedName name="BO6084E8173B2D4E35A087C3F78A650D59" hidden="1">#REF!</definedName>
    <definedName name="BO60ACD47DE3334CBEB0CF8D48699D41E9" localSheetId="5" hidden="1">#REF!</definedName>
    <definedName name="BO60ACD47DE3334CBEB0CF8D48699D41E9" localSheetId="4" hidden="1">#REF!</definedName>
    <definedName name="BO60ACD47DE3334CBEB0CF8D48699D41E9" hidden="1">#REF!</definedName>
    <definedName name="BO60BD75B8DBEA4387803CB4AFC1DE479F" localSheetId="5" hidden="1">[8]Ketqua!#REF!</definedName>
    <definedName name="BO60BD75B8DBEA4387803CB4AFC1DE479F" localSheetId="4" hidden="1">[8]Ketqua!#REF!</definedName>
    <definedName name="BO60BD75B8DBEA4387803CB4AFC1DE479F" hidden="1">[8]Ketqua!#REF!</definedName>
    <definedName name="BO60E65E92B8684B449A67B00A499AB712" localSheetId="5" hidden="1">#REF!</definedName>
    <definedName name="BO60E65E92B8684B449A67B00A499AB712" localSheetId="4" hidden="1">#REF!</definedName>
    <definedName name="BO60E65E92B8684B449A67B00A499AB712" hidden="1">#REF!</definedName>
    <definedName name="BO611D13C989224B55A0AF3A1DA5167095" localSheetId="5" hidden="1">#REF!</definedName>
    <definedName name="BO611D13C989224B55A0AF3A1DA5167095" localSheetId="4" hidden="1">#REF!</definedName>
    <definedName name="BO611D13C989224B55A0AF3A1DA5167095" hidden="1">#REF!</definedName>
    <definedName name="BO613F759C26A74335BB3EF9023610D70E" localSheetId="5" hidden="1">#REF!</definedName>
    <definedName name="BO613F759C26A74335BB3EF9023610D70E" localSheetId="4" hidden="1">#REF!</definedName>
    <definedName name="BO613F759C26A74335BB3EF9023610D70E" hidden="1">#REF!</definedName>
    <definedName name="BO615909B743C44F0A96BD891389726A2E" localSheetId="5" hidden="1">[8]Ketqua!#REF!</definedName>
    <definedName name="BO615909B743C44F0A96BD891389726A2E" localSheetId="4" hidden="1">[8]Ketqua!#REF!</definedName>
    <definedName name="BO615909B743C44F0A96BD891389726A2E" hidden="1">[8]Ketqua!#REF!</definedName>
    <definedName name="BO615D15D8CAE34558B13E3F0CC5844365" localSheetId="5" hidden="1">#REF!</definedName>
    <definedName name="BO615D15D8CAE34558B13E3F0CC5844365" localSheetId="4" hidden="1">#REF!</definedName>
    <definedName name="BO615D15D8CAE34558B13E3F0CC5844365" hidden="1">#REF!</definedName>
    <definedName name="BO615E4CFF6FF24456B6A15408BA0D9B76" localSheetId="5" hidden="1">#REF!</definedName>
    <definedName name="BO615E4CFF6FF24456B6A15408BA0D9B76" localSheetId="4" hidden="1">#REF!</definedName>
    <definedName name="BO615E4CFF6FF24456B6A15408BA0D9B76" hidden="1">#REF!</definedName>
    <definedName name="BO616BD729B62B4825946A716B2C525B15" localSheetId="5" hidden="1">#REF!</definedName>
    <definedName name="BO616BD729B62B4825946A716B2C525B15" localSheetId="4" hidden="1">#REF!</definedName>
    <definedName name="BO616BD729B62B4825946A716B2C525B15" hidden="1">#REF!</definedName>
    <definedName name="BO616DE8E79C5040E298F97684B931231A" localSheetId="5" hidden="1">#REF!</definedName>
    <definedName name="BO616DE8E79C5040E298F97684B931231A" localSheetId="4" hidden="1">#REF!</definedName>
    <definedName name="BO616DE8E79C5040E298F97684B931231A" hidden="1">#REF!</definedName>
    <definedName name="BO61724CCC0F794E86A985D3AADDC1FA83" localSheetId="5" hidden="1">#REF!</definedName>
    <definedName name="BO61724CCC0F794E86A985D3AADDC1FA83" localSheetId="4" hidden="1">#REF!</definedName>
    <definedName name="BO61724CCC0F794E86A985D3AADDC1FA83" hidden="1">#REF!</definedName>
    <definedName name="BO617494DDEDE24BE9B3FA2D5E1CC6872A" localSheetId="5" hidden="1">#REF!</definedName>
    <definedName name="BO617494DDEDE24BE9B3FA2D5E1CC6872A" localSheetId="4" hidden="1">#REF!</definedName>
    <definedName name="BO617494DDEDE24BE9B3FA2D5E1CC6872A" hidden="1">#REF!</definedName>
    <definedName name="BO6176C8ADB7DA45CAB2379E250E1F35F3" localSheetId="5" hidden="1">[8]Ketqua!#REF!</definedName>
    <definedName name="BO6176C8ADB7DA45CAB2379E250E1F35F3" localSheetId="4" hidden="1">[8]Ketqua!#REF!</definedName>
    <definedName name="BO6176C8ADB7DA45CAB2379E250E1F35F3" hidden="1">[8]Ketqua!#REF!</definedName>
    <definedName name="BO618C10BE0BB3499B8FDADB407ACB1D57" localSheetId="5" hidden="1">#REF!</definedName>
    <definedName name="BO618C10BE0BB3499B8FDADB407ACB1D57" localSheetId="4" hidden="1">#REF!</definedName>
    <definedName name="BO618C10BE0BB3499B8FDADB407ACB1D57" hidden="1">#REF!</definedName>
    <definedName name="BO61939F664A7B4148A014D08C0F83009E" localSheetId="5" hidden="1">#REF!</definedName>
    <definedName name="BO61939F664A7B4148A014D08C0F83009E" localSheetId="4" hidden="1">#REF!</definedName>
    <definedName name="BO61939F664A7B4148A014D08C0F83009E" hidden="1">#REF!</definedName>
    <definedName name="BO619CB18B8DA24CC9AA61D02FC231E39C" localSheetId="5" hidden="1">#REF!</definedName>
    <definedName name="BO619CB18B8DA24CC9AA61D02FC231E39C" localSheetId="4" hidden="1">#REF!</definedName>
    <definedName name="BO619CB18B8DA24CC9AA61D02FC231E39C" hidden="1">#REF!</definedName>
    <definedName name="BO61B828EEB9754A03997662A14AC12055" localSheetId="5" hidden="1">#REF!</definedName>
    <definedName name="BO61B828EEB9754A03997662A14AC12055" localSheetId="4" hidden="1">#REF!</definedName>
    <definedName name="BO61B828EEB9754A03997662A14AC12055" hidden="1">#REF!</definedName>
    <definedName name="BO61BF0D9724194D4B90626961658132AD" localSheetId="5" hidden="1">#REF!</definedName>
    <definedName name="BO61BF0D9724194D4B90626961658132AD" localSheetId="4" hidden="1">#REF!</definedName>
    <definedName name="BO61BF0D9724194D4B90626961658132AD" hidden="1">#REF!</definedName>
    <definedName name="BO61C4C9B3A4784662A302783044378B55" localSheetId="5" hidden="1">#REF!</definedName>
    <definedName name="BO61C4C9B3A4784662A302783044378B55" localSheetId="4" hidden="1">#REF!</definedName>
    <definedName name="BO61C4C9B3A4784662A302783044378B55" hidden="1">#REF!</definedName>
    <definedName name="BO621C36DB681340B7BD878FA247E58938" localSheetId="5" hidden="1">#REF!</definedName>
    <definedName name="BO621C36DB681340B7BD878FA247E58938" localSheetId="4" hidden="1">#REF!</definedName>
    <definedName name="BO621C36DB681340B7BD878FA247E58938" hidden="1">#REF!</definedName>
    <definedName name="BO6236A60D4B464EC6987D2DC453EEDD17" localSheetId="5" hidden="1">#REF!</definedName>
    <definedName name="BO6236A60D4B464EC6987D2DC453EEDD17" localSheetId="4" hidden="1">#REF!</definedName>
    <definedName name="BO6236A60D4B464EC6987D2DC453EEDD17" hidden="1">#REF!</definedName>
    <definedName name="BO6255D22CCF4A48E2927E16A99513F380" localSheetId="5" hidden="1">#REF!</definedName>
    <definedName name="BO6255D22CCF4A48E2927E16A99513F380" localSheetId="4" hidden="1">#REF!</definedName>
    <definedName name="BO6255D22CCF4A48E2927E16A99513F380" hidden="1">#REF!</definedName>
    <definedName name="BO6259BB8601F74518B211D5FED555AD9C" localSheetId="5" hidden="1">#REF!</definedName>
    <definedName name="BO6259BB8601F74518B211D5FED555AD9C" localSheetId="4" hidden="1">#REF!</definedName>
    <definedName name="BO6259BB8601F74518B211D5FED555AD9C" hidden="1">#REF!</definedName>
    <definedName name="BO625E9C7377164C3EB7B70D9236FBD8A0" localSheetId="5" hidden="1">#REF!</definedName>
    <definedName name="BO625E9C7377164C3EB7B70D9236FBD8A0" localSheetId="4" hidden="1">#REF!</definedName>
    <definedName name="BO625E9C7377164C3EB7B70D9236FBD8A0" hidden="1">#REF!</definedName>
    <definedName name="BO62709EA163854F29A7B9CCE8A1EFA75D" localSheetId="5" hidden="1">#REF!</definedName>
    <definedName name="BO62709EA163854F29A7B9CCE8A1EFA75D" localSheetId="4" hidden="1">#REF!</definedName>
    <definedName name="BO62709EA163854F29A7B9CCE8A1EFA75D" hidden="1">#REF!</definedName>
    <definedName name="BO627607EF9B44464A878AD3A742DE38FE" localSheetId="5" hidden="1">#REF!</definedName>
    <definedName name="BO627607EF9B44464A878AD3A742DE38FE" localSheetId="4" hidden="1">#REF!</definedName>
    <definedName name="BO627607EF9B44464A878AD3A742DE38FE" hidden="1">#REF!</definedName>
    <definedName name="BO6279D5DC0FE34C5EBAB97B5AA7532D48" localSheetId="5" hidden="1">#REF!</definedName>
    <definedName name="BO6279D5DC0FE34C5EBAB97B5AA7532D48" localSheetId="4" hidden="1">#REF!</definedName>
    <definedName name="BO6279D5DC0FE34C5EBAB97B5AA7532D48" hidden="1">#REF!</definedName>
    <definedName name="BO627C340A60A343CFA3D66ED18F22CDAB" localSheetId="5" hidden="1">#REF!</definedName>
    <definedName name="BO627C340A60A343CFA3D66ED18F22CDAB" localSheetId="4" hidden="1">#REF!</definedName>
    <definedName name="BO627C340A60A343CFA3D66ED18F22CDAB" hidden="1">#REF!</definedName>
    <definedName name="BO6281174E8A3C4BAABC1FDD976EFB8A21" localSheetId="5" hidden="1">#REF!</definedName>
    <definedName name="BO6281174E8A3C4BAABC1FDD976EFB8A21" localSheetId="4" hidden="1">#REF!</definedName>
    <definedName name="BO6281174E8A3C4BAABC1FDD976EFB8A21" hidden="1">#REF!</definedName>
    <definedName name="BO62A1E4942FED470D874ED59DCC2A4AA5" localSheetId="5" hidden="1">#REF!</definedName>
    <definedName name="BO62A1E4942FED470D874ED59DCC2A4AA5" localSheetId="4" hidden="1">#REF!</definedName>
    <definedName name="BO62A1E4942FED470D874ED59DCC2A4AA5" hidden="1">#REF!</definedName>
    <definedName name="BO62A400A078E0451CB6563EF81DF7EB35" localSheetId="5" hidden="1">#REF!</definedName>
    <definedName name="BO62A400A078E0451CB6563EF81DF7EB35" localSheetId="4" hidden="1">#REF!</definedName>
    <definedName name="BO62A400A078E0451CB6563EF81DF7EB35" hidden="1">#REF!</definedName>
    <definedName name="BO62C3A62D73D544798477143C570BB94C" localSheetId="5" hidden="1">#REF!</definedName>
    <definedName name="BO62C3A62D73D544798477143C570BB94C" localSheetId="4" hidden="1">#REF!</definedName>
    <definedName name="BO62C3A62D73D544798477143C570BB94C" hidden="1">#REF!</definedName>
    <definedName name="BO62C87419694C44B78FBEA351EB0AA358" localSheetId="5" hidden="1">#REF!</definedName>
    <definedName name="BO62C87419694C44B78FBEA351EB0AA358" localSheetId="4" hidden="1">#REF!</definedName>
    <definedName name="BO62C87419694C44B78FBEA351EB0AA358" hidden="1">#REF!</definedName>
    <definedName name="BO62D36540D0034AA48DE063297A413BDD" localSheetId="5" hidden="1">#REF!</definedName>
    <definedName name="BO62D36540D0034AA48DE063297A413BDD" localSheetId="4" hidden="1">#REF!</definedName>
    <definedName name="BO62D36540D0034AA48DE063297A413BDD" hidden="1">#REF!</definedName>
    <definedName name="BO62E9E5A3CFEE4537B18132A4636405C6" localSheetId="5" hidden="1">#REF!</definedName>
    <definedName name="BO62E9E5A3CFEE4537B18132A4636405C6" localSheetId="4" hidden="1">#REF!</definedName>
    <definedName name="BO62E9E5A3CFEE4537B18132A4636405C6" hidden="1">#REF!</definedName>
    <definedName name="BO62EA898CF22D44DF8EF3BDDF92CB0D5D" localSheetId="5" hidden="1">#REF!</definedName>
    <definedName name="BO62EA898CF22D44DF8EF3BDDF92CB0D5D" localSheetId="4" hidden="1">#REF!</definedName>
    <definedName name="BO62EA898CF22D44DF8EF3BDDF92CB0D5D" hidden="1">#REF!</definedName>
    <definedName name="BO62F1D3C327D74D10BB4CBC700956417D" localSheetId="5" hidden="1">#REF!</definedName>
    <definedName name="BO62F1D3C327D74D10BB4CBC700956417D" localSheetId="4" hidden="1">#REF!</definedName>
    <definedName name="BO62F1D3C327D74D10BB4CBC700956417D" hidden="1">#REF!</definedName>
    <definedName name="BO62FB596520A9413EB3511352F520B1BE" localSheetId="5" hidden="1">#REF!</definedName>
    <definedName name="BO62FB596520A9413EB3511352F520B1BE" localSheetId="4" hidden="1">#REF!</definedName>
    <definedName name="BO62FB596520A9413EB3511352F520B1BE" hidden="1">#REF!</definedName>
    <definedName name="BO632DFF1320444CAC9F1D15C603120C89" localSheetId="5" hidden="1">#REF!</definedName>
    <definedName name="BO632DFF1320444CAC9F1D15C603120C89" localSheetId="4" hidden="1">#REF!</definedName>
    <definedName name="BO632DFF1320444CAC9F1D15C603120C89" hidden="1">#REF!</definedName>
    <definedName name="BO632F30B76259416E8B4AABED4E04E9C1" localSheetId="5" hidden="1">#REF!</definedName>
    <definedName name="BO632F30B76259416E8B4AABED4E04E9C1" localSheetId="4" hidden="1">#REF!</definedName>
    <definedName name="BO632F30B76259416E8B4AABED4E04E9C1" hidden="1">#REF!</definedName>
    <definedName name="BO63342495192B4BB3926FE91DBC7CDF80" localSheetId="5" hidden="1">#REF!</definedName>
    <definedName name="BO63342495192B4BB3926FE91DBC7CDF80" localSheetId="4" hidden="1">#REF!</definedName>
    <definedName name="BO63342495192B4BB3926FE91DBC7CDF80" hidden="1">#REF!</definedName>
    <definedName name="BO6343DE6C7B704817A0546885E051A1D6" localSheetId="5" hidden="1">#REF!</definedName>
    <definedName name="BO6343DE6C7B704817A0546885E051A1D6" localSheetId="4" hidden="1">#REF!</definedName>
    <definedName name="BO6343DE6C7B704817A0546885E051A1D6" hidden="1">#REF!</definedName>
    <definedName name="BO634873F74EAC469682BBECE9867D6B58" localSheetId="5" hidden="1">#REF!</definedName>
    <definedName name="BO634873F74EAC469682BBECE9867D6B58" localSheetId="4" hidden="1">#REF!</definedName>
    <definedName name="BO634873F74EAC469682BBECE9867D6B58" hidden="1">#REF!</definedName>
    <definedName name="BO63594AD2F89C441C93AEE7BA06352B19" localSheetId="5" hidden="1">#REF!</definedName>
    <definedName name="BO63594AD2F89C441C93AEE7BA06352B19" localSheetId="4" hidden="1">#REF!</definedName>
    <definedName name="BO63594AD2F89C441C93AEE7BA06352B19" hidden="1">#REF!</definedName>
    <definedName name="BO636255F5B39145ACA1FE181B679FF5F4" localSheetId="5" hidden="1">#REF!</definedName>
    <definedName name="BO636255F5B39145ACA1FE181B679FF5F4" localSheetId="4" hidden="1">#REF!</definedName>
    <definedName name="BO636255F5B39145ACA1FE181B679FF5F4" hidden="1">#REF!</definedName>
    <definedName name="BO6381051203C045D0AEB800BAFA8A135F" localSheetId="5" hidden="1">#REF!</definedName>
    <definedName name="BO6381051203C045D0AEB800BAFA8A135F" localSheetId="4" hidden="1">#REF!</definedName>
    <definedName name="BO6381051203C045D0AEB800BAFA8A135F" hidden="1">#REF!</definedName>
    <definedName name="BO63A5C79CE7C34139B49BE467539FA87F" localSheetId="5" hidden="1">#REF!</definedName>
    <definedName name="BO63A5C79CE7C34139B49BE467539FA87F" localSheetId="4" hidden="1">#REF!</definedName>
    <definedName name="BO63A5C79CE7C34139B49BE467539FA87F" hidden="1">#REF!</definedName>
    <definedName name="BO63D552482BAF4546BC5CB730EBE6FD91" localSheetId="5" hidden="1">#REF!</definedName>
    <definedName name="BO63D552482BAF4546BC5CB730EBE6FD91" localSheetId="4" hidden="1">#REF!</definedName>
    <definedName name="BO63D552482BAF4546BC5CB730EBE6FD91" hidden="1">#REF!</definedName>
    <definedName name="BO63E38032E3F644E4BB42E4B51865F168" localSheetId="5" hidden="1">#REF!</definedName>
    <definedName name="BO63E38032E3F644E4BB42E4B51865F168" localSheetId="4" hidden="1">#REF!</definedName>
    <definedName name="BO63E38032E3F644E4BB42E4B51865F168" hidden="1">#REF!</definedName>
    <definedName name="BO63EA90CDEA784E94B8AFC4EC8E6D4E1D" localSheetId="5" hidden="1">#REF!</definedName>
    <definedName name="BO63EA90CDEA784E94B8AFC4EC8E6D4E1D" localSheetId="4" hidden="1">#REF!</definedName>
    <definedName name="BO63EA90CDEA784E94B8AFC4EC8E6D4E1D" hidden="1">#REF!</definedName>
    <definedName name="BO63EB694AE718408AAD85F588618E2E06" localSheetId="5" hidden="1">#REF!</definedName>
    <definedName name="BO63EB694AE718408AAD85F588618E2E06" localSheetId="4" hidden="1">#REF!</definedName>
    <definedName name="BO63EB694AE718408AAD85F588618E2E06" hidden="1">#REF!</definedName>
    <definedName name="BO63ED429219D8463DABEF3E421AFA5D2E" localSheetId="5" hidden="1">#REF!</definedName>
    <definedName name="BO63ED429219D8463DABEF3E421AFA5D2E" localSheetId="4" hidden="1">#REF!</definedName>
    <definedName name="BO63ED429219D8463DABEF3E421AFA5D2E" hidden="1">#REF!</definedName>
    <definedName name="BO6411FC75981E4DC0B09655907D7CA477" localSheetId="5" hidden="1">#REF!</definedName>
    <definedName name="BO6411FC75981E4DC0B09655907D7CA477" localSheetId="4" hidden="1">#REF!</definedName>
    <definedName name="BO6411FC75981E4DC0B09655907D7CA477" hidden="1">#REF!</definedName>
    <definedName name="BO64159BC2B6EB41A7AEDE3EC6A5A731B5" localSheetId="5" hidden="1">#REF!</definedName>
    <definedName name="BO64159BC2B6EB41A7AEDE3EC6A5A731B5" localSheetId="4" hidden="1">#REF!</definedName>
    <definedName name="BO64159BC2B6EB41A7AEDE3EC6A5A731B5" hidden="1">#REF!</definedName>
    <definedName name="BO6423233F3D194C0D8979ED4AE7B7CDB9" localSheetId="5" hidden="1">#REF!</definedName>
    <definedName name="BO6423233F3D194C0D8979ED4AE7B7CDB9" localSheetId="4" hidden="1">#REF!</definedName>
    <definedName name="BO6423233F3D194C0D8979ED4AE7B7CDB9" hidden="1">#REF!</definedName>
    <definedName name="BO6423CEBDDD0A412CBBFAAB3898A9206F" localSheetId="5" hidden="1">#REF!</definedName>
    <definedName name="BO6423CEBDDD0A412CBBFAAB3898A9206F" localSheetId="4" hidden="1">#REF!</definedName>
    <definedName name="BO6423CEBDDD0A412CBBFAAB3898A9206F" hidden="1">#REF!</definedName>
    <definedName name="BO6432D82A7F18425BBB54846393D2B2B6" localSheetId="5" hidden="1">#REF!</definedName>
    <definedName name="BO6432D82A7F18425BBB54846393D2B2B6" localSheetId="4" hidden="1">#REF!</definedName>
    <definedName name="BO6432D82A7F18425BBB54846393D2B2B6" hidden="1">#REF!</definedName>
    <definedName name="BO6433583BE03A4C8795312841BAC5EF1E" localSheetId="5" hidden="1">#REF!</definedName>
    <definedName name="BO6433583BE03A4C8795312841BAC5EF1E" localSheetId="4" hidden="1">#REF!</definedName>
    <definedName name="BO6433583BE03A4C8795312841BAC5EF1E" hidden="1">#REF!</definedName>
    <definedName name="BO643487FBABFD47D1B9671E6FF468E5ED" localSheetId="5" hidden="1">#REF!</definedName>
    <definedName name="BO643487FBABFD47D1B9671E6FF468E5ED" localSheetId="4" hidden="1">#REF!</definedName>
    <definedName name="BO643487FBABFD47D1B9671E6FF468E5ED" hidden="1">#REF!</definedName>
    <definedName name="BO6439C973EC234BA5ACB68AB3BE50D62B" localSheetId="5" hidden="1">#REF!</definedName>
    <definedName name="BO6439C973EC234BA5ACB68AB3BE50D62B" localSheetId="4" hidden="1">#REF!</definedName>
    <definedName name="BO6439C973EC234BA5ACB68AB3BE50D62B" hidden="1">#REF!</definedName>
    <definedName name="BO645E3A0AD04E4BA2BD89519BB941D318" localSheetId="5" hidden="1">#REF!</definedName>
    <definedName name="BO645E3A0AD04E4BA2BD89519BB941D318" localSheetId="4" hidden="1">#REF!</definedName>
    <definedName name="BO645E3A0AD04E4BA2BD89519BB941D318" hidden="1">#REF!</definedName>
    <definedName name="BO645EE44B4E7D4700B1DFD7503111F62B" localSheetId="5" hidden="1">#REF!</definedName>
    <definedName name="BO645EE44B4E7D4700B1DFD7503111F62B" localSheetId="4" hidden="1">#REF!</definedName>
    <definedName name="BO645EE44B4E7D4700B1DFD7503111F62B" hidden="1">#REF!</definedName>
    <definedName name="BO64606B68BF2F487AB9378AADB3D97375" localSheetId="5" hidden="1">#REF!</definedName>
    <definedName name="BO64606B68BF2F487AB9378AADB3D97375" localSheetId="4" hidden="1">#REF!</definedName>
    <definedName name="BO64606B68BF2F487AB9378AADB3D97375" hidden="1">#REF!</definedName>
    <definedName name="BO6462179A1619417A83A9792363E455E4" localSheetId="5" hidden="1">#REF!</definedName>
    <definedName name="BO6462179A1619417A83A9792363E455E4" localSheetId="4" hidden="1">#REF!</definedName>
    <definedName name="BO6462179A1619417A83A9792363E455E4" hidden="1">#REF!</definedName>
    <definedName name="BO6463DB2388284AA895DD7500B09B93C0" localSheetId="5" hidden="1">#REF!</definedName>
    <definedName name="BO6463DB2388284AA895DD7500B09B93C0" localSheetId="4" hidden="1">#REF!</definedName>
    <definedName name="BO6463DB2388284AA895DD7500B09B93C0" hidden="1">#REF!</definedName>
    <definedName name="BO6469F20DC373405B993702B81D5913A5" localSheetId="5" hidden="1">#REF!</definedName>
    <definedName name="BO6469F20DC373405B993702B81D5913A5" localSheetId="4" hidden="1">#REF!</definedName>
    <definedName name="BO6469F20DC373405B993702B81D5913A5" hidden="1">#REF!</definedName>
    <definedName name="BO6483DEE8FC8B40C7B8F594FC1921C0AB" localSheetId="5" hidden="1">#REF!</definedName>
    <definedName name="BO6483DEE8FC8B40C7B8F594FC1921C0AB" localSheetId="4" hidden="1">#REF!</definedName>
    <definedName name="BO6483DEE8FC8B40C7B8F594FC1921C0AB" hidden="1">#REF!</definedName>
    <definedName name="BO64850A1AB52248958D764563AF3B88F1" localSheetId="5" hidden="1">#REF!</definedName>
    <definedName name="BO64850A1AB52248958D764563AF3B88F1" localSheetId="4" hidden="1">#REF!</definedName>
    <definedName name="BO64850A1AB52248958D764563AF3B88F1" hidden="1">#REF!</definedName>
    <definedName name="BO64859DECF7D341928F046D284A3663C8" localSheetId="5" hidden="1">#REF!</definedName>
    <definedName name="BO64859DECF7D341928F046D284A3663C8" localSheetId="4" hidden="1">#REF!</definedName>
    <definedName name="BO64859DECF7D341928F046D284A3663C8" hidden="1">#REF!</definedName>
    <definedName name="BO64891934A661472996AF48149F2FA3CB" localSheetId="5" hidden="1">#REF!</definedName>
    <definedName name="BO64891934A661472996AF48149F2FA3CB" localSheetId="4" hidden="1">#REF!</definedName>
    <definedName name="BO64891934A661472996AF48149F2FA3CB" hidden="1">#REF!</definedName>
    <definedName name="BO6497356C7659467F83DE769F74DB2C5F" localSheetId="5" hidden="1">#REF!</definedName>
    <definedName name="BO6497356C7659467F83DE769F74DB2C5F" localSheetId="4" hidden="1">#REF!</definedName>
    <definedName name="BO6497356C7659467F83DE769F74DB2C5F" hidden="1">#REF!</definedName>
    <definedName name="BO649FFE5066254E14859C79638F81E31A" localSheetId="5" hidden="1">#REF!</definedName>
    <definedName name="BO649FFE5066254E14859C79638F81E31A" localSheetId="4" hidden="1">#REF!</definedName>
    <definedName name="BO649FFE5066254E14859C79638F81E31A" hidden="1">#REF!</definedName>
    <definedName name="BO64B9D18A339B4E82BEB117EFBA715E4B" localSheetId="5" hidden="1">#REF!</definedName>
    <definedName name="BO64B9D18A339B4E82BEB117EFBA715E4B" localSheetId="4" hidden="1">#REF!</definedName>
    <definedName name="BO64B9D18A339B4E82BEB117EFBA715E4B" hidden="1">#REF!</definedName>
    <definedName name="BO64BA9EB027D44053B51402E27D984D43" localSheetId="5" hidden="1">#REF!</definedName>
    <definedName name="BO64BA9EB027D44053B51402E27D984D43" localSheetId="4" hidden="1">#REF!</definedName>
    <definedName name="BO64BA9EB027D44053B51402E27D984D43" hidden="1">#REF!</definedName>
    <definedName name="BO64CC6257C5BB4544B1EF1D944471BF05" localSheetId="5" hidden="1">#REF!</definedName>
    <definedName name="BO64CC6257C5BB4544B1EF1D944471BF05" localSheetId="4" hidden="1">#REF!</definedName>
    <definedName name="BO64CC6257C5BB4544B1EF1D944471BF05" hidden="1">#REF!</definedName>
    <definedName name="BO64DD43D1C5F943F18128ECE58B8A02BC" localSheetId="5" hidden="1">#REF!</definedName>
    <definedName name="BO64DD43D1C5F943F18128ECE58B8A02BC" localSheetId="4" hidden="1">#REF!</definedName>
    <definedName name="BO64DD43D1C5F943F18128ECE58B8A02BC" hidden="1">#REF!</definedName>
    <definedName name="BO64EE1B3E2E524BC1931408F07E22E440" localSheetId="5" hidden="1">#REF!</definedName>
    <definedName name="BO64EE1B3E2E524BC1931408F07E22E440" localSheetId="4" hidden="1">#REF!</definedName>
    <definedName name="BO64EE1B3E2E524BC1931408F07E22E440" hidden="1">#REF!</definedName>
    <definedName name="BO64F2C7DDE0A34E8BB903ADDBBF23AFA9" localSheetId="5" hidden="1">#REF!</definedName>
    <definedName name="BO64F2C7DDE0A34E8BB903ADDBBF23AFA9" localSheetId="4" hidden="1">#REF!</definedName>
    <definedName name="BO64F2C7DDE0A34E8BB903ADDBBF23AFA9" hidden="1">#REF!</definedName>
    <definedName name="BO6508BB2AD8E641B69C5D9B319D75ADB7" localSheetId="5" hidden="1">#REF!</definedName>
    <definedName name="BO6508BB2AD8E641B69C5D9B319D75ADB7" localSheetId="4" hidden="1">#REF!</definedName>
    <definedName name="BO6508BB2AD8E641B69C5D9B319D75ADB7" hidden="1">#REF!</definedName>
    <definedName name="BO650C13AE83C343EBACC8BB1D5111021D" localSheetId="5" hidden="1">#REF!</definedName>
    <definedName name="BO650C13AE83C343EBACC8BB1D5111021D" localSheetId="4" hidden="1">#REF!</definedName>
    <definedName name="BO650C13AE83C343EBACC8BB1D5111021D" hidden="1">#REF!</definedName>
    <definedName name="BO6532AD466881482590E03ADF20DC051D" localSheetId="5" hidden="1">#REF!</definedName>
    <definedName name="BO6532AD466881482590E03ADF20DC051D" localSheetId="4" hidden="1">#REF!</definedName>
    <definedName name="BO6532AD466881482590E03ADF20DC051D" hidden="1">#REF!</definedName>
    <definedName name="BO6539F88810B44600B3CC44F202A3E9A1" localSheetId="5" hidden="1">#REF!</definedName>
    <definedName name="BO6539F88810B44600B3CC44F202A3E9A1" localSheetId="4" hidden="1">#REF!</definedName>
    <definedName name="BO6539F88810B44600B3CC44F202A3E9A1" hidden="1">#REF!</definedName>
    <definedName name="BO653AC79F78084F98BF30F3686F64DB4D" localSheetId="5" hidden="1">#REF!</definedName>
    <definedName name="BO653AC79F78084F98BF30F3686F64DB4D" localSheetId="4" hidden="1">#REF!</definedName>
    <definedName name="BO653AC79F78084F98BF30F3686F64DB4D" hidden="1">#REF!</definedName>
    <definedName name="BO6544D5D30FE94C7893711F5903A3B5D9" localSheetId="5" hidden="1">#REF!</definedName>
    <definedName name="BO6544D5D30FE94C7893711F5903A3B5D9" localSheetId="4" hidden="1">#REF!</definedName>
    <definedName name="BO6544D5D30FE94C7893711F5903A3B5D9" hidden="1">#REF!</definedName>
    <definedName name="BO6575576B73CA4712BEFB29A3A9A228F9" localSheetId="5" hidden="1">#REF!</definedName>
    <definedName name="BO6575576B73CA4712BEFB29A3A9A228F9" localSheetId="4" hidden="1">#REF!</definedName>
    <definedName name="BO6575576B73CA4712BEFB29A3A9A228F9" hidden="1">#REF!</definedName>
    <definedName name="BO65A8281E60C44053BCA2C62905C7294C" localSheetId="5" hidden="1">[7]lailo!#REF!</definedName>
    <definedName name="BO65A8281E60C44053BCA2C62905C7294C" localSheetId="4" hidden="1">[7]lailo!#REF!</definedName>
    <definedName name="BO65A8281E60C44053BCA2C62905C7294C" hidden="1">[7]lailo!#REF!</definedName>
    <definedName name="BO65AF0ADBEA604FABB6F823015E2A0312" localSheetId="5" hidden="1">#REF!</definedName>
    <definedName name="BO65AF0ADBEA604FABB6F823015E2A0312" localSheetId="4" hidden="1">#REF!</definedName>
    <definedName name="BO65AF0ADBEA604FABB6F823015E2A0312" hidden="1">#REF!</definedName>
    <definedName name="BO65B1FC7930AC4569A87D782EFEA863CD" localSheetId="5" hidden="1">#REF!</definedName>
    <definedName name="BO65B1FC7930AC4569A87D782EFEA863CD" localSheetId="4" hidden="1">#REF!</definedName>
    <definedName name="BO65B1FC7930AC4569A87D782EFEA863CD" hidden="1">#REF!</definedName>
    <definedName name="BO65BA49055D564A788303C1D5B6B70FAE" localSheetId="5" hidden="1">#REF!</definedName>
    <definedName name="BO65BA49055D564A788303C1D5B6B70FAE" localSheetId="4" hidden="1">#REF!</definedName>
    <definedName name="BO65BA49055D564A788303C1D5B6B70FAE" hidden="1">#REF!</definedName>
    <definedName name="BO65C848D545844E74AEAC85B6656A7F71" localSheetId="5" hidden="1">#REF!</definedName>
    <definedName name="BO65C848D545844E74AEAC85B6656A7F71" localSheetId="4" hidden="1">#REF!</definedName>
    <definedName name="BO65C848D545844E74AEAC85B6656A7F71" hidden="1">#REF!</definedName>
    <definedName name="BO65D4C34990C749D99149EFB3442902EC" localSheetId="5" hidden="1">#REF!</definedName>
    <definedName name="BO65D4C34990C749D99149EFB3442902EC" localSheetId="4" hidden="1">#REF!</definedName>
    <definedName name="BO65D4C34990C749D99149EFB3442902EC" hidden="1">#REF!</definedName>
    <definedName name="BO65D9F3B0FD514C85A62029A7AF689E83" localSheetId="5" hidden="1">#REF!</definedName>
    <definedName name="BO65D9F3B0FD514C85A62029A7AF689E83" localSheetId="4" hidden="1">#REF!</definedName>
    <definedName name="BO65D9F3B0FD514C85A62029A7AF689E83" hidden="1">#REF!</definedName>
    <definedName name="BO66029D8B1A41481A90060C3EA1F21888" localSheetId="5" hidden="1">#REF!</definedName>
    <definedName name="BO66029D8B1A41481A90060C3EA1F21888" localSheetId="4" hidden="1">#REF!</definedName>
    <definedName name="BO66029D8B1A41481A90060C3EA1F21888" hidden="1">#REF!</definedName>
    <definedName name="BO660F27E76F2743E0A9CA43DB71AE88AD" localSheetId="5" hidden="1">#REF!</definedName>
    <definedName name="BO660F27E76F2743E0A9CA43DB71AE88AD" localSheetId="4" hidden="1">#REF!</definedName>
    <definedName name="BO660F27E76F2743E0A9CA43DB71AE88AD" hidden="1">#REF!</definedName>
    <definedName name="BO662440E41F1741A2A2721ECCCA48BE17" localSheetId="5" hidden="1">[9]Kehoachchitiet!#REF!</definedName>
    <definedName name="BO662440E41F1741A2A2721ECCCA48BE17" localSheetId="4" hidden="1">[9]Kehoachchitiet!#REF!</definedName>
    <definedName name="BO662440E41F1741A2A2721ECCCA48BE17" hidden="1">[9]Kehoachchitiet!#REF!</definedName>
    <definedName name="BO6627790CD7274958AD09391A717C7A39" localSheetId="5" hidden="1">#REF!</definedName>
    <definedName name="BO6627790CD7274958AD09391A717C7A39" localSheetId="4" hidden="1">#REF!</definedName>
    <definedName name="BO6627790CD7274958AD09391A717C7A39" hidden="1">#REF!</definedName>
    <definedName name="BO662B6CEAD0AF4B30B7CBEFE678A5085C" localSheetId="5" hidden="1">#REF!</definedName>
    <definedName name="BO662B6CEAD0AF4B30B7CBEFE678A5085C" localSheetId="4" hidden="1">#REF!</definedName>
    <definedName name="BO662B6CEAD0AF4B30B7CBEFE678A5085C" hidden="1">#REF!</definedName>
    <definedName name="BO663F42AAAB2E4481BC57610860CD06FF" localSheetId="5" hidden="1">#REF!</definedName>
    <definedName name="BO663F42AAAB2E4481BC57610860CD06FF" localSheetId="4" hidden="1">#REF!</definedName>
    <definedName name="BO663F42AAAB2E4481BC57610860CD06FF" hidden="1">#REF!</definedName>
    <definedName name="BO664A2099EDCA4D7DBF42D984D09C77F0" localSheetId="5" hidden="1">#REF!</definedName>
    <definedName name="BO664A2099EDCA4D7DBF42D984D09C77F0" localSheetId="4" hidden="1">#REF!</definedName>
    <definedName name="BO664A2099EDCA4D7DBF42D984D09C77F0" hidden="1">#REF!</definedName>
    <definedName name="BO664B4581B48F4D89A18D2147666EF6D7" localSheetId="5" hidden="1">#REF!</definedName>
    <definedName name="BO664B4581B48F4D89A18D2147666EF6D7" localSheetId="4" hidden="1">#REF!</definedName>
    <definedName name="BO664B4581B48F4D89A18D2147666EF6D7" hidden="1">#REF!</definedName>
    <definedName name="BO666B53C5597A48199D7B652E49ACE44D" localSheetId="5" hidden="1">#REF!</definedName>
    <definedName name="BO666B53C5597A48199D7B652E49ACE44D" localSheetId="4" hidden="1">#REF!</definedName>
    <definedName name="BO666B53C5597A48199D7B652E49ACE44D" hidden="1">#REF!</definedName>
    <definedName name="BO667A065EC72B4C18B71122F74A6AA78A" localSheetId="5" hidden="1">#REF!</definedName>
    <definedName name="BO667A065EC72B4C18B71122F74A6AA78A" localSheetId="4" hidden="1">#REF!</definedName>
    <definedName name="BO667A065EC72B4C18B71122F74A6AA78A" hidden="1">#REF!</definedName>
    <definedName name="BO667B660A002E46F59446A55E83F3DD2A" localSheetId="5" hidden="1">#REF!</definedName>
    <definedName name="BO667B660A002E46F59446A55E83F3DD2A" localSheetId="4" hidden="1">#REF!</definedName>
    <definedName name="BO667B660A002E46F59446A55E83F3DD2A" hidden="1">#REF!</definedName>
    <definedName name="BO66986FCDE027458FA62A037F00F43F61" localSheetId="5" hidden="1">#REF!</definedName>
    <definedName name="BO66986FCDE027458FA62A037F00F43F61" localSheetId="4" hidden="1">#REF!</definedName>
    <definedName name="BO66986FCDE027458FA62A037F00F43F61" hidden="1">#REF!</definedName>
    <definedName name="BO66A2EFF7776948BA9AA7A175301560AA" localSheetId="5" hidden="1">#REF!</definedName>
    <definedName name="BO66A2EFF7776948BA9AA7A175301560AA" localSheetId="4" hidden="1">#REF!</definedName>
    <definedName name="BO66A2EFF7776948BA9AA7A175301560AA" hidden="1">#REF!</definedName>
    <definedName name="BO66BA8761FCBD409AA9CB741F5346428E" localSheetId="5" hidden="1">#REF!</definedName>
    <definedName name="BO66BA8761FCBD409AA9CB741F5346428E" localSheetId="4" hidden="1">#REF!</definedName>
    <definedName name="BO66BA8761FCBD409AA9CB741F5346428E" hidden="1">#REF!</definedName>
    <definedName name="BO66BB94EBB1DA4F5B9588AE37EECDD337" localSheetId="5" hidden="1">#REF!</definedName>
    <definedName name="BO66BB94EBB1DA4F5B9588AE37EECDD337" localSheetId="4" hidden="1">#REF!</definedName>
    <definedName name="BO66BB94EBB1DA4F5B9588AE37EECDD337" hidden="1">#REF!</definedName>
    <definedName name="BO66CAA06315CE4A0D83632A168E695E98" localSheetId="5" hidden="1">#REF!</definedName>
    <definedName name="BO66CAA06315CE4A0D83632A168E695E98" localSheetId="4" hidden="1">#REF!</definedName>
    <definedName name="BO66CAA06315CE4A0D83632A168E695E98" hidden="1">#REF!</definedName>
    <definedName name="BO66D2B05D857142ADB41334DF2CA1C491" localSheetId="5" hidden="1">#REF!</definedName>
    <definedName name="BO66D2B05D857142ADB41334DF2CA1C491" localSheetId="4" hidden="1">#REF!</definedName>
    <definedName name="BO66D2B05D857142ADB41334DF2CA1C491" hidden="1">#REF!</definedName>
    <definedName name="BO66E03743A4EE438F9AB7257C6CB4C2E7" localSheetId="5" hidden="1">#REF!</definedName>
    <definedName name="BO66E03743A4EE438F9AB7257C6CB4C2E7" localSheetId="4" hidden="1">#REF!</definedName>
    <definedName name="BO66E03743A4EE438F9AB7257C6CB4C2E7" hidden="1">#REF!</definedName>
    <definedName name="BO66E25294A0CA42FE928999169BC25F11" localSheetId="5" hidden="1">#REF!</definedName>
    <definedName name="BO66E25294A0CA42FE928999169BC25F11" localSheetId="4" hidden="1">#REF!</definedName>
    <definedName name="BO66E25294A0CA42FE928999169BC25F11" hidden="1">#REF!</definedName>
    <definedName name="BO66ED4AA2CC034116BDB91C024F555558" localSheetId="5" hidden="1">#REF!</definedName>
    <definedName name="BO66ED4AA2CC034116BDB91C024F555558" localSheetId="4" hidden="1">#REF!</definedName>
    <definedName name="BO66ED4AA2CC034116BDB91C024F555558" hidden="1">#REF!</definedName>
    <definedName name="BO66F41CB22A0E4A64B013AF3850EBED07" localSheetId="5" hidden="1">#REF!</definedName>
    <definedName name="BO66F41CB22A0E4A64B013AF3850EBED07" localSheetId="4" hidden="1">#REF!</definedName>
    <definedName name="BO66F41CB22A0E4A64B013AF3850EBED07" hidden="1">#REF!</definedName>
    <definedName name="BO670E0CA6E03A4A80B1636E22CFB5D3A8" localSheetId="5" hidden="1">#REF!</definedName>
    <definedName name="BO670E0CA6E03A4A80B1636E22CFB5D3A8" localSheetId="4" hidden="1">#REF!</definedName>
    <definedName name="BO670E0CA6E03A4A80B1636E22CFB5D3A8" hidden="1">#REF!</definedName>
    <definedName name="BO67127D65C8B244B5BB412DE17003715D" localSheetId="5" hidden="1">#REF!</definedName>
    <definedName name="BO67127D65C8B244B5BB412DE17003715D" localSheetId="4" hidden="1">#REF!</definedName>
    <definedName name="BO67127D65C8B244B5BB412DE17003715D" hidden="1">#REF!</definedName>
    <definedName name="BO671688DCDB4B483A894E29F6D231299E" localSheetId="5" hidden="1">[9]xml!#REF!</definedName>
    <definedName name="BO671688DCDB4B483A894E29F6D231299E" localSheetId="4" hidden="1">[9]xml!#REF!</definedName>
    <definedName name="BO671688DCDB4B483A894E29F6D231299E" hidden="1">[9]xml!#REF!</definedName>
    <definedName name="BO671FC621F5464305BB220A1036FBD91D" localSheetId="5" hidden="1">#REF!</definedName>
    <definedName name="BO671FC621F5464305BB220A1036FBD91D" localSheetId="4" hidden="1">#REF!</definedName>
    <definedName name="BO671FC621F5464305BB220A1036FBD91D" hidden="1">#REF!</definedName>
    <definedName name="BO67235AAEA53943DA8E3A17FEA2A9CDE9" localSheetId="5" hidden="1">#REF!</definedName>
    <definedName name="BO67235AAEA53943DA8E3A17FEA2A9CDE9" localSheetId="4" hidden="1">#REF!</definedName>
    <definedName name="BO67235AAEA53943DA8E3A17FEA2A9CDE9" hidden="1">#REF!</definedName>
    <definedName name="BO6727EE8A602E47A0A5F4DC7B9C146B6A" localSheetId="5" hidden="1">#REF!</definedName>
    <definedName name="BO6727EE8A602E47A0A5F4DC7B9C146B6A" localSheetId="4" hidden="1">#REF!</definedName>
    <definedName name="BO6727EE8A602E47A0A5F4DC7B9C146B6A" hidden="1">#REF!</definedName>
    <definedName name="BO672A7578B531443F973979F5A0969D97" localSheetId="5" hidden="1">#REF!</definedName>
    <definedName name="BO672A7578B531443F973979F5A0969D97" localSheetId="4" hidden="1">#REF!</definedName>
    <definedName name="BO672A7578B531443F973979F5A0969D97" hidden="1">#REF!</definedName>
    <definedName name="BO672E8FDFBD36414597A72D4B7E94182B" localSheetId="5" hidden="1">#REF!</definedName>
    <definedName name="BO672E8FDFBD36414597A72D4B7E94182B" localSheetId="4" hidden="1">#REF!</definedName>
    <definedName name="BO672E8FDFBD36414597A72D4B7E94182B" hidden="1">#REF!</definedName>
    <definedName name="BO673063B8FF87430BB9EDBF3A4E143F53" localSheetId="5" hidden="1">#REF!</definedName>
    <definedName name="BO673063B8FF87430BB9EDBF3A4E143F53" localSheetId="4" hidden="1">#REF!</definedName>
    <definedName name="BO673063B8FF87430BB9EDBF3A4E143F53" hidden="1">#REF!</definedName>
    <definedName name="BO6739F45E8554427FB54A8E466A8E249A" localSheetId="5" hidden="1">#REF!</definedName>
    <definedName name="BO6739F45E8554427FB54A8E466A8E249A" localSheetId="4" hidden="1">#REF!</definedName>
    <definedName name="BO6739F45E8554427FB54A8E466A8E249A" hidden="1">#REF!</definedName>
    <definedName name="BO673BB21E54314F00973589AC368E30B2" localSheetId="5" hidden="1">#REF!</definedName>
    <definedName name="BO673BB21E54314F00973589AC368E30B2" localSheetId="4" hidden="1">#REF!</definedName>
    <definedName name="BO673BB21E54314F00973589AC368E30B2" hidden="1">#REF!</definedName>
    <definedName name="BO673E6BEB2EE142289E3C30746E488B75" localSheetId="5" hidden="1">#REF!</definedName>
    <definedName name="BO673E6BEB2EE142289E3C30746E488B75" localSheetId="4" hidden="1">#REF!</definedName>
    <definedName name="BO673E6BEB2EE142289E3C30746E488B75" hidden="1">#REF!</definedName>
    <definedName name="BO6741355C0F014A508192A4CD03692F11" localSheetId="5" hidden="1">#REF!</definedName>
    <definedName name="BO6741355C0F014A508192A4CD03692F11" localSheetId="4" hidden="1">#REF!</definedName>
    <definedName name="BO6741355C0F014A508192A4CD03692F11" hidden="1">#REF!</definedName>
    <definedName name="BO6749F6A4197B4D6E9187ADBD4C6D3E9A" localSheetId="5" hidden="1">#REF!</definedName>
    <definedName name="BO6749F6A4197B4D6E9187ADBD4C6D3E9A" localSheetId="4" hidden="1">#REF!</definedName>
    <definedName name="BO6749F6A4197B4D6E9187ADBD4C6D3E9A" hidden="1">#REF!</definedName>
    <definedName name="BO67533EA6D04240D48B3A9395CDECDB8D" localSheetId="5" hidden="1">[7]lailo!#REF!</definedName>
    <definedName name="BO67533EA6D04240D48B3A9395CDECDB8D" localSheetId="4" hidden="1">[7]lailo!#REF!</definedName>
    <definedName name="BO67533EA6D04240D48B3A9395CDECDB8D" hidden="1">[7]lailo!#REF!</definedName>
    <definedName name="BO675C8934274A466E92901183185078EA" localSheetId="5" hidden="1">#REF!</definedName>
    <definedName name="BO675C8934274A466E92901183185078EA" localSheetId="4" hidden="1">#REF!</definedName>
    <definedName name="BO675C8934274A466E92901183185078EA" hidden="1">#REF!</definedName>
    <definedName name="BO676E843689F14388A99B0E52C08F2CA0" localSheetId="5" hidden="1">#REF!</definedName>
    <definedName name="BO676E843689F14388A99B0E52C08F2CA0" localSheetId="4" hidden="1">#REF!</definedName>
    <definedName name="BO676E843689F14388A99B0E52C08F2CA0" hidden="1">#REF!</definedName>
    <definedName name="BO677D79CB5B4E450EB369C28034B70BE1" localSheetId="5" hidden="1">#REF!</definedName>
    <definedName name="BO677D79CB5B4E450EB369C28034B70BE1" localSheetId="4" hidden="1">#REF!</definedName>
    <definedName name="BO677D79CB5B4E450EB369C28034B70BE1" hidden="1">#REF!</definedName>
    <definedName name="BO679AB8A3716F4B5EBA114C65534C764C" localSheetId="5" hidden="1">#REF!</definedName>
    <definedName name="BO679AB8A3716F4B5EBA114C65534C764C" localSheetId="4" hidden="1">#REF!</definedName>
    <definedName name="BO679AB8A3716F4B5EBA114C65534C764C" hidden="1">#REF!</definedName>
    <definedName name="BO67B46DF4647042ADAA12A8F572440497" localSheetId="5" hidden="1">#REF!</definedName>
    <definedName name="BO67B46DF4647042ADAA12A8F572440497" localSheetId="4" hidden="1">#REF!</definedName>
    <definedName name="BO67B46DF4647042ADAA12A8F572440497" hidden="1">#REF!</definedName>
    <definedName name="BO67C9522D8D07468EBB50A8437EC99CF6" localSheetId="5" hidden="1">#REF!</definedName>
    <definedName name="BO67C9522D8D07468EBB50A8437EC99CF6" localSheetId="4" hidden="1">#REF!</definedName>
    <definedName name="BO67C9522D8D07468EBB50A8437EC99CF6" hidden="1">#REF!</definedName>
    <definedName name="BO67CEA359E9CE4C999392E4F16D5B712B" localSheetId="5" hidden="1">#REF!</definedName>
    <definedName name="BO67CEA359E9CE4C999392E4F16D5B712B" localSheetId="4" hidden="1">#REF!</definedName>
    <definedName name="BO67CEA359E9CE4C999392E4F16D5B712B" hidden="1">#REF!</definedName>
    <definedName name="BO67D49399466648019AA41AA9784A31C6" localSheetId="5" hidden="1">#REF!</definedName>
    <definedName name="BO67D49399466648019AA41AA9784A31C6" localSheetId="4" hidden="1">#REF!</definedName>
    <definedName name="BO67D49399466648019AA41AA9784A31C6" hidden="1">#REF!</definedName>
    <definedName name="BO67E874D176F9487AB65D8ED364F1979D" localSheetId="5" hidden="1">#REF!</definedName>
    <definedName name="BO67E874D176F9487AB65D8ED364F1979D" localSheetId="4" hidden="1">#REF!</definedName>
    <definedName name="BO67E874D176F9487AB65D8ED364F1979D" hidden="1">#REF!</definedName>
    <definedName name="BO680A36C2E43E4245934EE681ECC82FC1" localSheetId="5" hidden="1">[8]Ketqua!#REF!</definedName>
    <definedName name="BO680A36C2E43E4245934EE681ECC82FC1" localSheetId="4" hidden="1">[8]Ketqua!#REF!</definedName>
    <definedName name="BO680A36C2E43E4245934EE681ECC82FC1" hidden="1">[8]Ketqua!#REF!</definedName>
    <definedName name="BO68175D75669744F7AF9A63EEA9BB3D66" localSheetId="5" hidden="1">#REF!</definedName>
    <definedName name="BO68175D75669744F7AF9A63EEA9BB3D66" localSheetId="4" hidden="1">#REF!</definedName>
    <definedName name="BO68175D75669744F7AF9A63EEA9BB3D66" hidden="1">#REF!</definedName>
    <definedName name="BO682A4AEBA1664BAAADB94A3FAC074D26" localSheetId="5" hidden="1">#REF!</definedName>
    <definedName name="BO682A4AEBA1664BAAADB94A3FAC074D26" localSheetId="4" hidden="1">#REF!</definedName>
    <definedName name="BO682A4AEBA1664BAAADB94A3FAC074D26" hidden="1">#REF!</definedName>
    <definedName name="BO684ADD0D089040709774B5CFD2C3443B" localSheetId="5" hidden="1">#REF!</definedName>
    <definedName name="BO684ADD0D089040709774B5CFD2C3443B" localSheetId="4" hidden="1">#REF!</definedName>
    <definedName name="BO684ADD0D089040709774B5CFD2C3443B" hidden="1">#REF!</definedName>
    <definedName name="BO686267FE2EE84D7281054756EF140D91" localSheetId="5" hidden="1">#REF!</definedName>
    <definedName name="BO686267FE2EE84D7281054756EF140D91" localSheetId="4" hidden="1">#REF!</definedName>
    <definedName name="BO686267FE2EE84D7281054756EF140D91" hidden="1">#REF!</definedName>
    <definedName name="BO6875B76CC8C447C0B62021C394829A61" localSheetId="5" hidden="1">#REF!</definedName>
    <definedName name="BO6875B76CC8C447C0B62021C394829A61" localSheetId="4" hidden="1">#REF!</definedName>
    <definedName name="BO6875B76CC8C447C0B62021C394829A61" hidden="1">#REF!</definedName>
    <definedName name="BO6877ECFB96CD4021B816A19E43C7EA90" localSheetId="5" hidden="1">#REF!</definedName>
    <definedName name="BO6877ECFB96CD4021B816A19E43C7EA90" localSheetId="4" hidden="1">#REF!</definedName>
    <definedName name="BO6877ECFB96CD4021B816A19E43C7EA90" hidden="1">#REF!</definedName>
    <definedName name="BO6885C2074E0345E486028EA8690C5A58" localSheetId="5" hidden="1">#REF!</definedName>
    <definedName name="BO6885C2074E0345E486028EA8690C5A58" localSheetId="4" hidden="1">#REF!</definedName>
    <definedName name="BO6885C2074E0345E486028EA8690C5A58" hidden="1">#REF!</definedName>
    <definedName name="BO688913F3AD24462DB5D92F928851154E" localSheetId="5" hidden="1">#REF!</definedName>
    <definedName name="BO688913F3AD24462DB5D92F928851154E" localSheetId="4" hidden="1">#REF!</definedName>
    <definedName name="BO688913F3AD24462DB5D92F928851154E" hidden="1">#REF!</definedName>
    <definedName name="BO68983402BEF841C6A14B8790F2BB14F3" localSheetId="5" hidden="1">#REF!</definedName>
    <definedName name="BO68983402BEF841C6A14B8790F2BB14F3" localSheetId="4" hidden="1">#REF!</definedName>
    <definedName name="BO68983402BEF841C6A14B8790F2BB14F3" hidden="1">#REF!</definedName>
    <definedName name="BO68A52EDB58B047EBAB692AD4AD9092B4" localSheetId="5" hidden="1">#REF!</definedName>
    <definedName name="BO68A52EDB58B047EBAB692AD4AD9092B4" localSheetId="4" hidden="1">#REF!</definedName>
    <definedName name="BO68A52EDB58B047EBAB692AD4AD9092B4" hidden="1">#REF!</definedName>
    <definedName name="BO68B5D0347A3B4C45B93128A49F2C24BC" localSheetId="5" hidden="1">[9]xml!#REF!</definedName>
    <definedName name="BO68B5D0347A3B4C45B93128A49F2C24BC" localSheetId="4" hidden="1">[9]xml!#REF!</definedName>
    <definedName name="BO68B5D0347A3B4C45B93128A49F2C24BC" hidden="1">[9]xml!#REF!</definedName>
    <definedName name="BO68C53041BF4B4D679CDA7400750A51EB" localSheetId="5" hidden="1">#REF!</definedName>
    <definedName name="BO68C53041BF4B4D679CDA7400750A51EB" localSheetId="4" hidden="1">#REF!</definedName>
    <definedName name="BO68C53041BF4B4D679CDA7400750A51EB" hidden="1">#REF!</definedName>
    <definedName name="BO68CBB64A056C4E64BB288A7CB4A517C5" localSheetId="5" hidden="1">#REF!</definedName>
    <definedName name="BO68CBB64A056C4E64BB288A7CB4A517C5" localSheetId="4" hidden="1">#REF!</definedName>
    <definedName name="BO68CBB64A056C4E64BB288A7CB4A517C5" hidden="1">#REF!</definedName>
    <definedName name="BO68D12A85E19F4B13A5B938E85DFDE2C3" localSheetId="5" hidden="1">#REF!</definedName>
    <definedName name="BO68D12A85E19F4B13A5B938E85DFDE2C3" localSheetId="4" hidden="1">#REF!</definedName>
    <definedName name="BO68D12A85E19F4B13A5B938E85DFDE2C3" hidden="1">#REF!</definedName>
    <definedName name="BO68D494F3DC4249C7A3C6B5F72B708493" localSheetId="5" hidden="1">#REF!</definedName>
    <definedName name="BO68D494F3DC4249C7A3C6B5F72B708493" localSheetId="4" hidden="1">#REF!</definedName>
    <definedName name="BO68D494F3DC4249C7A3C6B5F72B708493" hidden="1">#REF!</definedName>
    <definedName name="BO68DA9BD1E2964BE2A3F04AF59C32DBE5" localSheetId="5" hidden="1">#REF!</definedName>
    <definedName name="BO68DA9BD1E2964BE2A3F04AF59C32DBE5" localSheetId="4" hidden="1">#REF!</definedName>
    <definedName name="BO68DA9BD1E2964BE2A3F04AF59C32DBE5" hidden="1">#REF!</definedName>
    <definedName name="BO68E69B5C80AA460C8EB65FD70C065684" localSheetId="5" hidden="1">#REF!</definedName>
    <definedName name="BO68E69B5C80AA460C8EB65FD70C065684" localSheetId="4" hidden="1">#REF!</definedName>
    <definedName name="BO68E69B5C80AA460C8EB65FD70C065684" hidden="1">#REF!</definedName>
    <definedName name="BO68F34104A81B4001B16F25117594BF83" localSheetId="5" hidden="1">#REF!</definedName>
    <definedName name="BO68F34104A81B4001B16F25117594BF83" localSheetId="4" hidden="1">#REF!</definedName>
    <definedName name="BO68F34104A81B4001B16F25117594BF83" hidden="1">#REF!</definedName>
    <definedName name="BO690095ECCDDA47759583E0F63E46CB8D" localSheetId="5" hidden="1">#REF!</definedName>
    <definedName name="BO690095ECCDDA47759583E0F63E46CB8D" localSheetId="4" hidden="1">#REF!</definedName>
    <definedName name="BO690095ECCDDA47759583E0F63E46CB8D" hidden="1">#REF!</definedName>
    <definedName name="BO690333D99E21475BA1F1C889808EFC50" localSheetId="5" hidden="1">#REF!</definedName>
    <definedName name="BO690333D99E21475BA1F1C889808EFC50" localSheetId="4" hidden="1">#REF!</definedName>
    <definedName name="BO690333D99E21475BA1F1C889808EFC50" hidden="1">#REF!</definedName>
    <definedName name="BO6918ADAA8D3B4DDAB0A5DA0166130D2D" localSheetId="5" hidden="1">#REF!</definedName>
    <definedName name="BO6918ADAA8D3B4DDAB0A5DA0166130D2D" localSheetId="4" hidden="1">#REF!</definedName>
    <definedName name="BO6918ADAA8D3B4DDAB0A5DA0166130D2D" hidden="1">#REF!</definedName>
    <definedName name="BO693117EFAD7746E0A2E0AED86126C5BC" localSheetId="5" hidden="1">#REF!</definedName>
    <definedName name="BO693117EFAD7746E0A2E0AED86126C5BC" localSheetId="4" hidden="1">#REF!</definedName>
    <definedName name="BO693117EFAD7746E0A2E0AED86126C5BC" hidden="1">#REF!</definedName>
    <definedName name="BO6932CE89466A4A42B78148CFA7240123" localSheetId="5" hidden="1">#REF!</definedName>
    <definedName name="BO6932CE89466A4A42B78148CFA7240123" localSheetId="4" hidden="1">#REF!</definedName>
    <definedName name="BO6932CE89466A4A42B78148CFA7240123" hidden="1">#REF!</definedName>
    <definedName name="BO693FC971D6ED4A55A86888919A9DB0CF" localSheetId="5" hidden="1">#REF!</definedName>
    <definedName name="BO693FC971D6ED4A55A86888919A9DB0CF" localSheetId="4" hidden="1">#REF!</definedName>
    <definedName name="BO693FC971D6ED4A55A86888919A9DB0CF" hidden="1">#REF!</definedName>
    <definedName name="BO696156486CFD4840B0BCEC1EFF93B48D" localSheetId="5" hidden="1">#REF!</definedName>
    <definedName name="BO696156486CFD4840B0BCEC1EFF93B48D" localSheetId="4" hidden="1">#REF!</definedName>
    <definedName name="BO696156486CFD4840B0BCEC1EFF93B48D" hidden="1">#REF!</definedName>
    <definedName name="BO698D432785E141D3900FB94F366D3A63" localSheetId="5" hidden="1">#REF!</definedName>
    <definedName name="BO698D432785E141D3900FB94F366D3A63" localSheetId="4" hidden="1">#REF!</definedName>
    <definedName name="BO698D432785E141D3900FB94F366D3A63" hidden="1">#REF!</definedName>
    <definedName name="BO69AA4ECF12B044EEAFD9A73AA05E9DD3" localSheetId="5" hidden="1">#REF!</definedName>
    <definedName name="BO69AA4ECF12B044EEAFD9A73AA05E9DD3" localSheetId="4" hidden="1">#REF!</definedName>
    <definedName name="BO69AA4ECF12B044EEAFD9A73AA05E9DD3" hidden="1">#REF!</definedName>
    <definedName name="BO69B6C97168F643EBAEAF15C4252B386D" localSheetId="5" hidden="1">#REF!</definedName>
    <definedName name="BO69B6C97168F643EBAEAF15C4252B386D" localSheetId="4" hidden="1">#REF!</definedName>
    <definedName name="BO69B6C97168F643EBAEAF15C4252B386D" hidden="1">#REF!</definedName>
    <definedName name="BO69BB0513E70142D1A0A910E1E9902F95" localSheetId="5" hidden="1">#REF!</definedName>
    <definedName name="BO69BB0513E70142D1A0A910E1E9902F95" localSheetId="4" hidden="1">#REF!</definedName>
    <definedName name="BO69BB0513E70142D1A0A910E1E9902F95" hidden="1">#REF!</definedName>
    <definedName name="BO69BDD9E0EAF141A0AE757EC95ED2148A" localSheetId="5" hidden="1">#REF!</definedName>
    <definedName name="BO69BDD9E0EAF141A0AE757EC95ED2148A" localSheetId="4" hidden="1">#REF!</definedName>
    <definedName name="BO69BDD9E0EAF141A0AE757EC95ED2148A" hidden="1">#REF!</definedName>
    <definedName name="BO69C5B13FC2FF4218B0BC1C23456D8181" localSheetId="5" hidden="1">#REF!</definedName>
    <definedName name="BO69C5B13FC2FF4218B0BC1C23456D8181" localSheetId="4" hidden="1">#REF!</definedName>
    <definedName name="BO69C5B13FC2FF4218B0BC1C23456D8181" hidden="1">#REF!</definedName>
    <definedName name="BO69C80D35123349E5BF90B92945C649EC" localSheetId="5" hidden="1">#REF!</definedName>
    <definedName name="BO69C80D35123349E5BF90B92945C649EC" localSheetId="4" hidden="1">#REF!</definedName>
    <definedName name="BO69C80D35123349E5BF90B92945C649EC" hidden="1">#REF!</definedName>
    <definedName name="BO69CD81248F9B4AA3802DF8219F9F278E" localSheetId="5" hidden="1">#REF!</definedName>
    <definedName name="BO69CD81248F9B4AA3802DF8219F9F278E" localSheetId="4" hidden="1">#REF!</definedName>
    <definedName name="BO69CD81248F9B4AA3802DF8219F9F278E" hidden="1">#REF!</definedName>
    <definedName name="BO69D2D572C628441A9870809362A4640F" localSheetId="5" hidden="1">#REF!</definedName>
    <definedName name="BO69D2D572C628441A9870809362A4640F" localSheetId="4" hidden="1">#REF!</definedName>
    <definedName name="BO69D2D572C628441A9870809362A4640F" hidden="1">#REF!</definedName>
    <definedName name="BO69D9A3CA1E984FD0BE77F559C481649E" localSheetId="5" hidden="1">#REF!</definedName>
    <definedName name="BO69D9A3CA1E984FD0BE77F559C481649E" localSheetId="4" hidden="1">#REF!</definedName>
    <definedName name="BO69D9A3CA1E984FD0BE77F559C481649E" hidden="1">#REF!</definedName>
    <definedName name="BO69E3955CB2274252BFEEB4D5CEFF48BD" localSheetId="5" hidden="1">#REF!</definedName>
    <definedName name="BO69E3955CB2274252BFEEB4D5CEFF48BD" localSheetId="4" hidden="1">#REF!</definedName>
    <definedName name="BO69E3955CB2274252BFEEB4D5CEFF48BD" hidden="1">#REF!</definedName>
    <definedName name="BO69EFFF11C1D64A69977193D988175ABD" localSheetId="5" hidden="1">#REF!</definedName>
    <definedName name="BO69EFFF11C1D64A69977193D988175ABD" localSheetId="4" hidden="1">#REF!</definedName>
    <definedName name="BO69EFFF11C1D64A69977193D988175ABD" hidden="1">#REF!</definedName>
    <definedName name="BO69F6A0B841EB4905AA96A37B690FED7C" localSheetId="5" hidden="1">#REF!</definedName>
    <definedName name="BO69F6A0B841EB4905AA96A37B690FED7C" localSheetId="4" hidden="1">#REF!</definedName>
    <definedName name="BO69F6A0B841EB4905AA96A37B690FED7C" hidden="1">#REF!</definedName>
    <definedName name="BO69FC4A14559D4FC7A82396779DCCF87F" localSheetId="5" hidden="1">#REF!</definedName>
    <definedName name="BO69FC4A14559D4FC7A82396779DCCF87F" localSheetId="4" hidden="1">#REF!</definedName>
    <definedName name="BO69FC4A14559D4FC7A82396779DCCF87F" hidden="1">#REF!</definedName>
    <definedName name="BO6A0F97D1C1E44CB5AF6CF13D3CFF16C9" localSheetId="5" hidden="1">#REF!</definedName>
    <definedName name="BO6A0F97D1C1E44CB5AF6CF13D3CFF16C9" localSheetId="4" hidden="1">#REF!</definedName>
    <definedName name="BO6A0F97D1C1E44CB5AF6CF13D3CFF16C9" hidden="1">#REF!</definedName>
    <definedName name="BO6A1828A3B89B4F16A5CD51EC593037F8" localSheetId="5" hidden="1">#REF!</definedName>
    <definedName name="BO6A1828A3B89B4F16A5CD51EC593037F8" localSheetId="4" hidden="1">#REF!</definedName>
    <definedName name="BO6A1828A3B89B4F16A5CD51EC593037F8" hidden="1">#REF!</definedName>
    <definedName name="BO6A37866A83634F9E95613C4072888AD6" localSheetId="5" hidden="1">#REF!</definedName>
    <definedName name="BO6A37866A83634F9E95613C4072888AD6" localSheetId="4" hidden="1">#REF!</definedName>
    <definedName name="BO6A37866A83634F9E95613C4072888AD6" hidden="1">#REF!</definedName>
    <definedName name="BO6A3DDA6506544E82B855C0D104B49B31" localSheetId="5" hidden="1">#REF!</definedName>
    <definedName name="BO6A3DDA6506544E82B855C0D104B49B31" localSheetId="4" hidden="1">#REF!</definedName>
    <definedName name="BO6A3DDA6506544E82B855C0D104B49B31" hidden="1">#REF!</definedName>
    <definedName name="BO6A5FD84F6F2D4ACA986DAF8954370CFC" localSheetId="5" hidden="1">#REF!</definedName>
    <definedName name="BO6A5FD84F6F2D4ACA986DAF8954370CFC" localSheetId="4" hidden="1">#REF!</definedName>
    <definedName name="BO6A5FD84F6F2D4ACA986DAF8954370CFC" hidden="1">#REF!</definedName>
    <definedName name="BO6A6A105B80F247498AEB7B7C2424902B" localSheetId="5" hidden="1">#REF!</definedName>
    <definedName name="BO6A6A105B80F247498AEB7B7C2424902B" localSheetId="4" hidden="1">#REF!</definedName>
    <definedName name="BO6A6A105B80F247498AEB7B7C2424902B" hidden="1">#REF!</definedName>
    <definedName name="BO6A75FD17C5F84A5B895D0872AAC774EA" localSheetId="5" hidden="1">#REF!</definedName>
    <definedName name="BO6A75FD17C5F84A5B895D0872AAC774EA" localSheetId="4" hidden="1">#REF!</definedName>
    <definedName name="BO6A75FD17C5F84A5B895D0872AAC774EA" hidden="1">#REF!</definedName>
    <definedName name="BO6A8D4384F4F04AB68C360BC19A8E888B" localSheetId="5" hidden="1">#REF!</definedName>
    <definedName name="BO6A8D4384F4F04AB68C360BC19A8E888B" localSheetId="4" hidden="1">#REF!</definedName>
    <definedName name="BO6A8D4384F4F04AB68C360BC19A8E888B" hidden="1">#REF!</definedName>
    <definedName name="BO6A8F74DF85B74789BF09E157CAC29EA7" localSheetId="5" hidden="1">#REF!</definedName>
    <definedName name="BO6A8F74DF85B74789BF09E157CAC29EA7" localSheetId="4" hidden="1">#REF!</definedName>
    <definedName name="BO6A8F74DF85B74789BF09E157CAC29EA7" hidden="1">#REF!</definedName>
    <definedName name="BO6A98F138473F4322B0D217EE73407139" localSheetId="5" hidden="1">#REF!</definedName>
    <definedName name="BO6A98F138473F4322B0D217EE73407139" localSheetId="4" hidden="1">#REF!</definedName>
    <definedName name="BO6A98F138473F4322B0D217EE73407139" hidden="1">#REF!</definedName>
    <definedName name="BO6AB88B5E27914A5A809CAE5034823875" localSheetId="5" hidden="1">#REF!</definedName>
    <definedName name="BO6AB88B5E27914A5A809CAE5034823875" localSheetId="4" hidden="1">#REF!</definedName>
    <definedName name="BO6AB88B5E27914A5A809CAE5034823875" hidden="1">#REF!</definedName>
    <definedName name="BO6ABD9CCC4D25488E99F8208B897C4684" localSheetId="5" hidden="1">#REF!</definedName>
    <definedName name="BO6ABD9CCC4D25488E99F8208B897C4684" localSheetId="4" hidden="1">#REF!</definedName>
    <definedName name="BO6ABD9CCC4D25488E99F8208B897C4684" hidden="1">#REF!</definedName>
    <definedName name="BO6AD23BDF244147F8AF7DA4DDD31EE46C" localSheetId="5" hidden="1">#REF!</definedName>
    <definedName name="BO6AD23BDF244147F8AF7DA4DDD31EE46C" localSheetId="4" hidden="1">#REF!</definedName>
    <definedName name="BO6AD23BDF244147F8AF7DA4DDD31EE46C" hidden="1">#REF!</definedName>
    <definedName name="BO6AD5CB46C52F45AD89FE0A78E993415F" localSheetId="5" hidden="1">#REF!</definedName>
    <definedName name="BO6AD5CB46C52F45AD89FE0A78E993415F" localSheetId="4" hidden="1">#REF!</definedName>
    <definedName name="BO6AD5CB46C52F45AD89FE0A78E993415F" hidden="1">#REF!</definedName>
    <definedName name="BO6ADA4A7B015A47E48CE18453C09A9A28" localSheetId="5" hidden="1">#REF!</definedName>
    <definedName name="BO6ADA4A7B015A47E48CE18453C09A9A28" localSheetId="4" hidden="1">#REF!</definedName>
    <definedName name="BO6ADA4A7B015A47E48CE18453C09A9A28" hidden="1">#REF!</definedName>
    <definedName name="BO6ADEE4E9D1B24ABE9AB27B51E75371AD" localSheetId="5" hidden="1">#REF!</definedName>
    <definedName name="BO6ADEE4E9D1B24ABE9AB27B51E75371AD" localSheetId="4" hidden="1">#REF!</definedName>
    <definedName name="BO6ADEE4E9D1B24ABE9AB27B51E75371AD" hidden="1">#REF!</definedName>
    <definedName name="BO6AF18A10CDCF440DB1E02F7DBB82CAD7" localSheetId="5" hidden="1">#REF!</definedName>
    <definedName name="BO6AF18A10CDCF440DB1E02F7DBB82CAD7" localSheetId="4" hidden="1">#REF!</definedName>
    <definedName name="BO6AF18A10CDCF440DB1E02F7DBB82CAD7" hidden="1">#REF!</definedName>
    <definedName name="BO6AF477B638E44E20A0BD692E64AEB6F0" localSheetId="5" hidden="1">#REF!</definedName>
    <definedName name="BO6AF477B638E44E20A0BD692E64AEB6F0" localSheetId="4" hidden="1">#REF!</definedName>
    <definedName name="BO6AF477B638E44E20A0BD692E64AEB6F0" hidden="1">#REF!</definedName>
    <definedName name="BO6B1945964BE143908741B3F2E29A94C6" localSheetId="5" hidden="1">#REF!</definedName>
    <definedName name="BO6B1945964BE143908741B3F2E29A94C6" localSheetId="4" hidden="1">#REF!</definedName>
    <definedName name="BO6B1945964BE143908741B3F2E29A94C6" hidden="1">#REF!</definedName>
    <definedName name="BO6B1B62AE30874F499FA666BE2F327947" localSheetId="5" hidden="1">#REF!</definedName>
    <definedName name="BO6B1B62AE30874F499FA666BE2F327947" localSheetId="4" hidden="1">#REF!</definedName>
    <definedName name="BO6B1B62AE30874F499FA666BE2F327947" hidden="1">#REF!</definedName>
    <definedName name="BO6B2CF716FD1A4BC3928BCB0EC72E3B0D" localSheetId="5" hidden="1">#REF!</definedName>
    <definedName name="BO6B2CF716FD1A4BC3928BCB0EC72E3B0D" localSheetId="4" hidden="1">#REF!</definedName>
    <definedName name="BO6B2CF716FD1A4BC3928BCB0EC72E3B0D" hidden="1">#REF!</definedName>
    <definedName name="BO6B633C7623204F9094615B141A8633A2" localSheetId="5" hidden="1">#REF!</definedName>
    <definedName name="BO6B633C7623204F9094615B141A8633A2" localSheetId="4" hidden="1">#REF!</definedName>
    <definedName name="BO6B633C7623204F9094615B141A8633A2" hidden="1">#REF!</definedName>
    <definedName name="BO6B65AA80B7B94E3EBB44EA3773D6040B" localSheetId="5" hidden="1">#REF!</definedName>
    <definedName name="BO6B65AA80B7B94E3EBB44EA3773D6040B" localSheetId="4" hidden="1">#REF!</definedName>
    <definedName name="BO6B65AA80B7B94E3EBB44EA3773D6040B" hidden="1">#REF!</definedName>
    <definedName name="BO6B71F895F44643F6AAD789C645D0E8E0" localSheetId="5" hidden="1">[9]xml!#REF!</definedName>
    <definedName name="BO6B71F895F44643F6AAD789C645D0E8E0" localSheetId="4" hidden="1">[9]xml!#REF!</definedName>
    <definedName name="BO6B71F895F44643F6AAD789C645D0E8E0" hidden="1">[9]xml!#REF!</definedName>
    <definedName name="BO6B73A17D64BA4782926E463DAFDD5DE6" localSheetId="5" hidden="1">#REF!</definedName>
    <definedName name="BO6B73A17D64BA4782926E463DAFDD5DE6" localSheetId="4" hidden="1">#REF!</definedName>
    <definedName name="BO6B73A17D64BA4782926E463DAFDD5DE6" hidden="1">#REF!</definedName>
    <definedName name="BO6B812A897E8A4C32A95A884582F071DE" localSheetId="5" hidden="1">#REF!</definedName>
    <definedName name="BO6B812A897E8A4C32A95A884582F071DE" localSheetId="4" hidden="1">#REF!</definedName>
    <definedName name="BO6B812A897E8A4C32A95A884582F071DE" hidden="1">#REF!</definedName>
    <definedName name="BO6B9278E652164F859465D5128E6C2661" localSheetId="5" hidden="1">#REF!</definedName>
    <definedName name="BO6B9278E652164F859465D5128E6C2661" localSheetId="4" hidden="1">#REF!</definedName>
    <definedName name="BO6B9278E652164F859465D5128E6C2661" hidden="1">#REF!</definedName>
    <definedName name="BO6B9770CD5DD64888A71AF866E1317654" localSheetId="5" hidden="1">#REF!</definedName>
    <definedName name="BO6B9770CD5DD64888A71AF866E1317654" localSheetId="4" hidden="1">#REF!</definedName>
    <definedName name="BO6B9770CD5DD64888A71AF866E1317654" hidden="1">#REF!</definedName>
    <definedName name="BO6B97BB91ACFB4324BA4CFC955A81ADAA" localSheetId="5" hidden="1">#REF!</definedName>
    <definedName name="BO6B97BB91ACFB4324BA4CFC955A81ADAA" localSheetId="4" hidden="1">#REF!</definedName>
    <definedName name="BO6B97BB91ACFB4324BA4CFC955A81ADAA" hidden="1">#REF!</definedName>
    <definedName name="BO6BB6CEC9030845D6AFE276314C069DEC" localSheetId="5" hidden="1">#REF!</definedName>
    <definedName name="BO6BB6CEC9030845D6AFE276314C069DEC" localSheetId="4" hidden="1">#REF!</definedName>
    <definedName name="BO6BB6CEC9030845D6AFE276314C069DEC" hidden="1">#REF!</definedName>
    <definedName name="BO6BC86BAA41A547468F6E9AD7931F5287" localSheetId="5" hidden="1">#REF!</definedName>
    <definedName name="BO6BC86BAA41A547468F6E9AD7931F5287" localSheetId="4" hidden="1">#REF!</definedName>
    <definedName name="BO6BC86BAA41A547468F6E9AD7931F5287" hidden="1">#REF!</definedName>
    <definedName name="BO6BCCBE0EB9B748A89BDEE5D538ACCDED" localSheetId="5" hidden="1">#REF!</definedName>
    <definedName name="BO6BCCBE0EB9B748A89BDEE5D538ACCDED" localSheetId="4" hidden="1">#REF!</definedName>
    <definedName name="BO6BCCBE0EB9B748A89BDEE5D538ACCDED" hidden="1">#REF!</definedName>
    <definedName name="BO6BCFA7C129A2467E97E597A5147106E1" localSheetId="5" hidden="1">#REF!</definedName>
    <definedName name="BO6BCFA7C129A2467E97E597A5147106E1" localSheetId="4" hidden="1">#REF!</definedName>
    <definedName name="BO6BCFA7C129A2467E97E597A5147106E1" hidden="1">#REF!</definedName>
    <definedName name="BO6BD7D8156ED44891A5AF1DABF35D4404" hidden="1">[8]Ketqua!$I$4:$U$4</definedName>
    <definedName name="BO6C05F334454F41C8B0B3678171CEC732" localSheetId="5" hidden="1">#REF!</definedName>
    <definedName name="BO6C05F334454F41C8B0B3678171CEC732" localSheetId="4" hidden="1">#REF!</definedName>
    <definedName name="BO6C05F334454F41C8B0B3678171CEC732" hidden="1">#REF!</definedName>
    <definedName name="BO6C082E03050E482090B01D3CEE896CE6" localSheetId="5" hidden="1">#REF!</definedName>
    <definedName name="BO6C082E03050E482090B01D3CEE896CE6" localSheetId="4" hidden="1">#REF!</definedName>
    <definedName name="BO6C082E03050E482090B01D3CEE896CE6" hidden="1">#REF!</definedName>
    <definedName name="BO6C14BF4B04934E5CBE6EE431E789557C" localSheetId="5" hidden="1">#REF!</definedName>
    <definedName name="BO6C14BF4B04934E5CBE6EE431E789557C" localSheetId="4" hidden="1">#REF!</definedName>
    <definedName name="BO6C14BF4B04934E5CBE6EE431E789557C" hidden="1">#REF!</definedName>
    <definedName name="BO6C32A595014942B9A3831CB8C8F5E2EA" localSheetId="5" hidden="1">#REF!</definedName>
    <definedName name="BO6C32A595014942B9A3831CB8C8F5E2EA" localSheetId="4" hidden="1">#REF!</definedName>
    <definedName name="BO6C32A595014942B9A3831CB8C8F5E2EA" hidden="1">#REF!</definedName>
    <definedName name="BO6C53FE4A9545404182096D5994AC6984" localSheetId="5" hidden="1">#REF!</definedName>
    <definedName name="BO6C53FE4A9545404182096D5994AC6984" localSheetId="4" hidden="1">#REF!</definedName>
    <definedName name="BO6C53FE4A9545404182096D5994AC6984" hidden="1">#REF!</definedName>
    <definedName name="BO6C68BCC504F8443F856209C9C3C616C1" localSheetId="5" hidden="1">#REF!</definedName>
    <definedName name="BO6C68BCC504F8443F856209C9C3C616C1" localSheetId="4" hidden="1">#REF!</definedName>
    <definedName name="BO6C68BCC504F8443F856209C9C3C616C1" hidden="1">#REF!</definedName>
    <definedName name="BO6C7B68AFFBF542AB92C74DA9AC564B9F" localSheetId="5" hidden="1">#REF!</definedName>
    <definedName name="BO6C7B68AFFBF542AB92C74DA9AC564B9F" localSheetId="4" hidden="1">#REF!</definedName>
    <definedName name="BO6C7B68AFFBF542AB92C74DA9AC564B9F" hidden="1">#REF!</definedName>
    <definedName name="BO6C8F4C54FA22481EA25C9A6E14DB3EE0" localSheetId="5" hidden="1">#REF!</definedName>
    <definedName name="BO6C8F4C54FA22481EA25C9A6E14DB3EE0" localSheetId="4" hidden="1">#REF!</definedName>
    <definedName name="BO6C8F4C54FA22481EA25C9A6E14DB3EE0" hidden="1">#REF!</definedName>
    <definedName name="BO6C9B49F98CDA4EA0BEE9A12B41DE321B" localSheetId="5" hidden="1">#REF!</definedName>
    <definedName name="BO6C9B49F98CDA4EA0BEE9A12B41DE321B" localSheetId="4" hidden="1">#REF!</definedName>
    <definedName name="BO6C9B49F98CDA4EA0BEE9A12B41DE321B" hidden="1">#REF!</definedName>
    <definedName name="BO6CA34BCFD336480891D464857FAA1BFF" localSheetId="5" hidden="1">#REF!</definedName>
    <definedName name="BO6CA34BCFD336480891D464857FAA1BFF" localSheetId="4" hidden="1">#REF!</definedName>
    <definedName name="BO6CA34BCFD336480891D464857FAA1BFF" hidden="1">#REF!</definedName>
    <definedName name="BO6CAC87F339424FCBA71C90521188D9F3" localSheetId="5" hidden="1">#REF!</definedName>
    <definedName name="BO6CAC87F339424FCBA71C90521188D9F3" localSheetId="4" hidden="1">#REF!</definedName>
    <definedName name="BO6CAC87F339424FCBA71C90521188D9F3" hidden="1">#REF!</definedName>
    <definedName name="BO6CB7E9FA015D4601B74A9160B4320DF4" localSheetId="5" hidden="1">#REF!</definedName>
    <definedName name="BO6CB7E9FA015D4601B74A9160B4320DF4" localSheetId="4" hidden="1">#REF!</definedName>
    <definedName name="BO6CB7E9FA015D4601B74A9160B4320DF4" hidden="1">#REF!</definedName>
    <definedName name="BO6CDAACDB80C44EE08FD1B48B64874B5D" localSheetId="5" hidden="1">#REF!</definedName>
    <definedName name="BO6CDAACDB80C44EE08FD1B48B64874B5D" localSheetId="4" hidden="1">#REF!</definedName>
    <definedName name="BO6CDAACDB80C44EE08FD1B48B64874B5D" hidden="1">#REF!</definedName>
    <definedName name="BO6D0F59F7AB17425391677B66BABB84D6" localSheetId="5" hidden="1">#REF!</definedName>
    <definedName name="BO6D0F59F7AB17425391677B66BABB84D6" localSheetId="4" hidden="1">#REF!</definedName>
    <definedName name="BO6D0F59F7AB17425391677B66BABB84D6" hidden="1">#REF!</definedName>
    <definedName name="BO6D170E9FBADE4FC38A06EEAB1545E1EA" localSheetId="5" hidden="1">#REF!</definedName>
    <definedName name="BO6D170E9FBADE4FC38A06EEAB1545E1EA" localSheetId="4" hidden="1">#REF!</definedName>
    <definedName name="BO6D170E9FBADE4FC38A06EEAB1545E1EA" hidden="1">#REF!</definedName>
    <definedName name="BO6D216F35BD0F4066AC051FA2D670BD8D" localSheetId="5" hidden="1">#REF!</definedName>
    <definedName name="BO6D216F35BD0F4066AC051FA2D670BD8D" localSheetId="4" hidden="1">#REF!</definedName>
    <definedName name="BO6D216F35BD0F4066AC051FA2D670BD8D" hidden="1">#REF!</definedName>
    <definedName name="BO6D36F5B3B1B24C41BA7F9A26F47F6E6F" localSheetId="5" hidden="1">#REF!</definedName>
    <definedName name="BO6D36F5B3B1B24C41BA7F9A26F47F6E6F" localSheetId="4" hidden="1">#REF!</definedName>
    <definedName name="BO6D36F5B3B1B24C41BA7F9A26F47F6E6F" hidden="1">#REF!</definedName>
    <definedName name="BO6D446ED435C340BBB7D6E1DABF2612F9" localSheetId="5" hidden="1">#REF!</definedName>
    <definedName name="BO6D446ED435C340BBB7D6E1DABF2612F9" localSheetId="4" hidden="1">#REF!</definedName>
    <definedName name="BO6D446ED435C340BBB7D6E1DABF2612F9" hidden="1">#REF!</definedName>
    <definedName name="BO6D48B3A216EA475B9802212D00F2F43D" localSheetId="5" hidden="1">#REF!</definedName>
    <definedName name="BO6D48B3A216EA475B9802212D00F2F43D" localSheetId="4" hidden="1">#REF!</definedName>
    <definedName name="BO6D48B3A216EA475B9802212D00F2F43D" hidden="1">#REF!</definedName>
    <definedName name="BO6D535671CDBC4974AB1282A1B1D89024" localSheetId="5" hidden="1">#REF!</definedName>
    <definedName name="BO6D535671CDBC4974AB1282A1B1D89024" localSheetId="4" hidden="1">#REF!</definedName>
    <definedName name="BO6D535671CDBC4974AB1282A1B1D89024" hidden="1">#REF!</definedName>
    <definedName name="BO6D66D61AD1F44BC591494E58F4633655" localSheetId="5" hidden="1">#REF!</definedName>
    <definedName name="BO6D66D61AD1F44BC591494E58F4633655" localSheetId="4" hidden="1">#REF!</definedName>
    <definedName name="BO6D66D61AD1F44BC591494E58F4633655" hidden="1">#REF!</definedName>
    <definedName name="BO6D68ACA13E9945B3B4DF4A816D7D68D5" localSheetId="5" hidden="1">#REF!</definedName>
    <definedName name="BO6D68ACA13E9945B3B4DF4A816D7D68D5" localSheetId="4" hidden="1">#REF!</definedName>
    <definedName name="BO6D68ACA13E9945B3B4DF4A816D7D68D5" hidden="1">#REF!</definedName>
    <definedName name="BO6D89CBAC72F246149DB7693180F006CD" localSheetId="5" hidden="1">#REF!</definedName>
    <definedName name="BO6D89CBAC72F246149DB7693180F006CD" localSheetId="4" hidden="1">#REF!</definedName>
    <definedName name="BO6D89CBAC72F246149DB7693180F006CD" hidden="1">#REF!</definedName>
    <definedName name="BO6DA4F1D73BA6411E9FBD0CE47971B2CD" localSheetId="5" hidden="1">#REF!</definedName>
    <definedName name="BO6DA4F1D73BA6411E9FBD0CE47971B2CD" localSheetId="4" hidden="1">#REF!</definedName>
    <definedName name="BO6DA4F1D73BA6411E9FBD0CE47971B2CD" hidden="1">#REF!</definedName>
    <definedName name="BO6DA6B561581B4C5A827566AE19789900" localSheetId="5" hidden="1">#REF!</definedName>
    <definedName name="BO6DA6B561581B4C5A827566AE19789900" localSheetId="4" hidden="1">#REF!</definedName>
    <definedName name="BO6DA6B561581B4C5A827566AE19789900" hidden="1">#REF!</definedName>
    <definedName name="BO6DC11329AD0740E799763A031043BBD3" localSheetId="5" hidden="1">#REF!</definedName>
    <definedName name="BO6DC11329AD0740E799763A031043BBD3" localSheetId="4" hidden="1">#REF!</definedName>
    <definedName name="BO6DC11329AD0740E799763A031043BBD3" hidden="1">#REF!</definedName>
    <definedName name="BO6DC931580F3C4359A5BC7F266049ACC9" localSheetId="5" hidden="1">#REF!</definedName>
    <definedName name="BO6DC931580F3C4359A5BC7F266049ACC9" localSheetId="4" hidden="1">#REF!</definedName>
    <definedName name="BO6DC931580F3C4359A5BC7F266049ACC9" hidden="1">#REF!</definedName>
    <definedName name="BO6E14624575F84422ACE75B64EBEB0BB3" localSheetId="5" hidden="1">#REF!</definedName>
    <definedName name="BO6E14624575F84422ACE75B64EBEB0BB3" localSheetId="4" hidden="1">#REF!</definedName>
    <definedName name="BO6E14624575F84422ACE75B64EBEB0BB3" hidden="1">#REF!</definedName>
    <definedName name="BO6E1A2CC213FE4F4C939E930D9EB83860" localSheetId="5" hidden="1">#REF!</definedName>
    <definedName name="BO6E1A2CC213FE4F4C939E930D9EB83860" localSheetId="4" hidden="1">#REF!</definedName>
    <definedName name="BO6E1A2CC213FE4F4C939E930D9EB83860" hidden="1">#REF!</definedName>
    <definedName name="BO6E20ACC79B454036B34808A961B58196" localSheetId="5" hidden="1">#REF!</definedName>
    <definedName name="BO6E20ACC79B454036B34808A961B58196" localSheetId="4" hidden="1">#REF!</definedName>
    <definedName name="BO6E20ACC79B454036B34808A961B58196" hidden="1">#REF!</definedName>
    <definedName name="BO6E21344F47774A6EB1FA9F73B7BD2423" localSheetId="5" hidden="1">#REF!</definedName>
    <definedName name="BO6E21344F47774A6EB1FA9F73B7BD2423" localSheetId="4" hidden="1">#REF!</definedName>
    <definedName name="BO6E21344F47774A6EB1FA9F73B7BD2423" hidden="1">#REF!</definedName>
    <definedName name="BO6E22843EA19844B0B55F5C791BB96366" localSheetId="5" hidden="1">#REF!</definedName>
    <definedName name="BO6E22843EA19844B0B55F5C791BB96366" localSheetId="4" hidden="1">#REF!</definedName>
    <definedName name="BO6E22843EA19844B0B55F5C791BB96366" hidden="1">#REF!</definedName>
    <definedName name="BO6E23B8A0EB9046A88185C392A061ABB5" localSheetId="5" hidden="1">#REF!</definedName>
    <definedName name="BO6E23B8A0EB9046A88185C392A061ABB5" localSheetId="4" hidden="1">#REF!</definedName>
    <definedName name="BO6E23B8A0EB9046A88185C392A061ABB5" hidden="1">#REF!</definedName>
    <definedName name="BO6E2C21D508264F6B8B5C46A44C349884" localSheetId="5" hidden="1">#REF!</definedName>
    <definedName name="BO6E2C21D508264F6B8B5C46A44C349884" localSheetId="4" hidden="1">#REF!</definedName>
    <definedName name="BO6E2C21D508264F6B8B5C46A44C349884" hidden="1">#REF!</definedName>
    <definedName name="BO6E3332008FDA467AA9504CA65176743A" localSheetId="5" hidden="1">#REF!</definedName>
    <definedName name="BO6E3332008FDA467AA9504CA65176743A" localSheetId="4" hidden="1">#REF!</definedName>
    <definedName name="BO6E3332008FDA467AA9504CA65176743A" hidden="1">#REF!</definedName>
    <definedName name="BO6E3B087FC35F4CEF8A675BF257C8954A" localSheetId="5" hidden="1">#REF!</definedName>
    <definedName name="BO6E3B087FC35F4CEF8A675BF257C8954A" localSheetId="4" hidden="1">#REF!</definedName>
    <definedName name="BO6E3B087FC35F4CEF8A675BF257C8954A" hidden="1">#REF!</definedName>
    <definedName name="BO6E3F7562572A4DBB9CCB8552A974008A" localSheetId="5" hidden="1">#REF!</definedName>
    <definedName name="BO6E3F7562572A4DBB9CCB8552A974008A" localSheetId="4" hidden="1">#REF!</definedName>
    <definedName name="BO6E3F7562572A4DBB9CCB8552A974008A" hidden="1">#REF!</definedName>
    <definedName name="BO6E4A146D0BBC4F9E809CD4A7ADDFE62E" localSheetId="5" hidden="1">#REF!</definedName>
    <definedName name="BO6E4A146D0BBC4F9E809CD4A7ADDFE62E" localSheetId="4" hidden="1">#REF!</definedName>
    <definedName name="BO6E4A146D0BBC4F9E809CD4A7ADDFE62E" hidden="1">#REF!</definedName>
    <definedName name="BO6E525CCAF5C14CE58AA18850F7DD1E07" localSheetId="5" hidden="1">#REF!</definedName>
    <definedName name="BO6E525CCAF5C14CE58AA18850F7DD1E07" localSheetId="4" hidden="1">#REF!</definedName>
    <definedName name="BO6E525CCAF5C14CE58AA18850F7DD1E07" hidden="1">#REF!</definedName>
    <definedName name="BO6E6B27F605174A62AFD4C10620DE81C5" localSheetId="5" hidden="1">#REF!</definedName>
    <definedName name="BO6E6B27F605174A62AFD4C10620DE81C5" localSheetId="4" hidden="1">#REF!</definedName>
    <definedName name="BO6E6B27F605174A62AFD4C10620DE81C5" hidden="1">#REF!</definedName>
    <definedName name="BO6E6E118DE50042B0B09AD0A25D65F394" localSheetId="5" hidden="1">#REF!</definedName>
    <definedName name="BO6E6E118DE50042B0B09AD0A25D65F394" localSheetId="4" hidden="1">#REF!</definedName>
    <definedName name="BO6E6E118DE50042B0B09AD0A25D65F394" hidden="1">#REF!</definedName>
    <definedName name="BO6E70B28951014364A451420F03B782CE" localSheetId="5" hidden="1">#REF!</definedName>
    <definedName name="BO6E70B28951014364A451420F03B782CE" localSheetId="4" hidden="1">#REF!</definedName>
    <definedName name="BO6E70B28951014364A451420F03B782CE" hidden="1">#REF!</definedName>
    <definedName name="BO6EAC14737525425DB3D048A74D3C2555" localSheetId="5" hidden="1">#REF!</definedName>
    <definedName name="BO6EAC14737525425DB3D048A74D3C2555" localSheetId="4" hidden="1">#REF!</definedName>
    <definedName name="BO6EAC14737525425DB3D048A74D3C2555" hidden="1">#REF!</definedName>
    <definedName name="BO6EB9FF4451774C2DB2F4D3926A2E04F6" localSheetId="5" hidden="1">#REF!</definedName>
    <definedName name="BO6EB9FF4451774C2DB2F4D3926A2E04F6" localSheetId="4" hidden="1">#REF!</definedName>
    <definedName name="BO6EB9FF4451774C2DB2F4D3926A2E04F6" hidden="1">#REF!</definedName>
    <definedName name="BO6EDC325F257E4ED6ACC7EAE5B7ACFF4E" localSheetId="5" hidden="1">#REF!</definedName>
    <definedName name="BO6EDC325F257E4ED6ACC7EAE5B7ACFF4E" localSheetId="4" hidden="1">#REF!</definedName>
    <definedName name="BO6EDC325F257E4ED6ACC7EAE5B7ACFF4E" hidden="1">#REF!</definedName>
    <definedName name="BO6EFECEF948934EE8B681373562125C2A" localSheetId="5" hidden="1">#REF!</definedName>
    <definedName name="BO6EFECEF948934EE8B681373562125C2A" localSheetId="4" hidden="1">#REF!</definedName>
    <definedName name="BO6EFECEF948934EE8B681373562125C2A" hidden="1">#REF!</definedName>
    <definedName name="BO6F1385820D1146F59BF8E33FCC8B729C" localSheetId="5" hidden="1">#REF!</definedName>
    <definedName name="BO6F1385820D1146F59BF8E33FCC8B729C" localSheetId="4" hidden="1">#REF!</definedName>
    <definedName name="BO6F1385820D1146F59BF8E33FCC8B729C" hidden="1">#REF!</definedName>
    <definedName name="BO6F1609D75ECD4FF6BC0FF6228940675C" localSheetId="5" hidden="1">#REF!</definedName>
    <definedName name="BO6F1609D75ECD4FF6BC0FF6228940675C" localSheetId="4" hidden="1">#REF!</definedName>
    <definedName name="BO6F1609D75ECD4FF6BC0FF6228940675C" hidden="1">#REF!</definedName>
    <definedName name="BO6F1E1F5F203B44BC9BB6CFF0E412E2D8" hidden="1">[8]Ketqua!$I$10:$U$10</definedName>
    <definedName name="BO6F28430159734749B88F699C86A3550B" localSheetId="5" hidden="1">#REF!</definedName>
    <definedName name="BO6F28430159734749B88F699C86A3550B" localSheetId="4" hidden="1">#REF!</definedName>
    <definedName name="BO6F28430159734749B88F699C86A3550B" hidden="1">#REF!</definedName>
    <definedName name="BO6F2B543083E5431B81CF7A901F753BB3" localSheetId="5" hidden="1">#REF!</definedName>
    <definedName name="BO6F2B543083E5431B81CF7A901F753BB3" localSheetId="4" hidden="1">#REF!</definedName>
    <definedName name="BO6F2B543083E5431B81CF7A901F753BB3" hidden="1">#REF!</definedName>
    <definedName name="BO6F3A5D1BC4944DBFBC8CE1F552DF33DA" localSheetId="5" hidden="1">#REF!</definedName>
    <definedName name="BO6F3A5D1BC4944DBFBC8CE1F552DF33DA" localSheetId="4" hidden="1">#REF!</definedName>
    <definedName name="BO6F3A5D1BC4944DBFBC8CE1F552DF33DA" hidden="1">#REF!</definedName>
    <definedName name="BO6F5267EB45D64C5F926243284B69BCA6" localSheetId="5" hidden="1">#REF!</definedName>
    <definedName name="BO6F5267EB45D64C5F926243284B69BCA6" localSheetId="4" hidden="1">#REF!</definedName>
    <definedName name="BO6F5267EB45D64C5F926243284B69BCA6" hidden="1">#REF!</definedName>
    <definedName name="BO6F536741FBB948678BFEC393C691E5D5" localSheetId="5" hidden="1">#REF!</definedName>
    <definedName name="BO6F536741FBB948678BFEC393C691E5D5" localSheetId="4" hidden="1">#REF!</definedName>
    <definedName name="BO6F536741FBB948678BFEC393C691E5D5" hidden="1">#REF!</definedName>
    <definedName name="BO6F70F171E044490BBAE91DB164C68637" localSheetId="5" hidden="1">#REF!</definedName>
    <definedName name="BO6F70F171E044490BBAE91DB164C68637" localSheetId="4" hidden="1">#REF!</definedName>
    <definedName name="BO6F70F171E044490BBAE91DB164C68637" hidden="1">#REF!</definedName>
    <definedName name="BO6F7397E62F854ABC9A4B8569B35A4877" localSheetId="5" hidden="1">#REF!</definedName>
    <definedName name="BO6F7397E62F854ABC9A4B8569B35A4877" localSheetId="4" hidden="1">#REF!</definedName>
    <definedName name="BO6F7397E62F854ABC9A4B8569B35A4877" hidden="1">#REF!</definedName>
    <definedName name="BO6F876995575C4527A03B04DA744B73FB" localSheetId="5" hidden="1">#REF!</definedName>
    <definedName name="BO6F876995575C4527A03B04DA744B73FB" localSheetId="4" hidden="1">#REF!</definedName>
    <definedName name="BO6F876995575C4527A03B04DA744B73FB" hidden="1">#REF!</definedName>
    <definedName name="BO6F8B2C78A55547ABB0C48FC6934DCF63" localSheetId="5" hidden="1">#REF!</definedName>
    <definedName name="BO6F8B2C78A55547ABB0C48FC6934DCF63" localSheetId="4" hidden="1">#REF!</definedName>
    <definedName name="BO6F8B2C78A55547ABB0C48FC6934DCF63" hidden="1">#REF!</definedName>
    <definedName name="BO6F8BE8BFA7B14E74A66FAD1B14B2A888" localSheetId="5" hidden="1">#REF!</definedName>
    <definedName name="BO6F8BE8BFA7B14E74A66FAD1B14B2A888" localSheetId="4" hidden="1">#REF!</definedName>
    <definedName name="BO6F8BE8BFA7B14E74A66FAD1B14B2A888" hidden="1">#REF!</definedName>
    <definedName name="BO6F92FC3693EE4EEBB198A7240B443EAC" localSheetId="5" hidden="1">#REF!</definedName>
    <definedName name="BO6F92FC3693EE4EEBB198A7240B443EAC" localSheetId="4" hidden="1">#REF!</definedName>
    <definedName name="BO6F92FC3693EE4EEBB198A7240B443EAC" hidden="1">#REF!</definedName>
    <definedName name="BO6FA06320574E4113A9F484A352C77D5F" localSheetId="5" hidden="1">#REF!</definedName>
    <definedName name="BO6FA06320574E4113A9F484A352C77D5F" localSheetId="4" hidden="1">#REF!</definedName>
    <definedName name="BO6FA06320574E4113A9F484A352C77D5F" hidden="1">#REF!</definedName>
    <definedName name="BO6FA2D2E1C86D45A9AAD071B3BB6FAF17" localSheetId="5" hidden="1">#REF!</definedName>
    <definedName name="BO6FA2D2E1C86D45A9AAD071B3BB6FAF17" localSheetId="4" hidden="1">#REF!</definedName>
    <definedName name="BO6FA2D2E1C86D45A9AAD071B3BB6FAF17" hidden="1">#REF!</definedName>
    <definedName name="BO6FA69CEBBC6742018331746C19B43A60" localSheetId="5" hidden="1">#REF!</definedName>
    <definedName name="BO6FA69CEBBC6742018331746C19B43A60" localSheetId="4" hidden="1">#REF!</definedName>
    <definedName name="BO6FA69CEBBC6742018331746C19B43A60" hidden="1">#REF!</definedName>
    <definedName name="BO6FC7AAE6DE0245BF93272BB56E0A78F5" localSheetId="5" hidden="1">#REF!</definedName>
    <definedName name="BO6FC7AAE6DE0245BF93272BB56E0A78F5" localSheetId="4" hidden="1">#REF!</definedName>
    <definedName name="BO6FC7AAE6DE0245BF93272BB56E0A78F5" hidden="1">#REF!</definedName>
    <definedName name="BO6FC857D8CD534A2BBA93AA618401DDF0" localSheetId="5" hidden="1">#REF!</definedName>
    <definedName name="BO6FC857D8CD534A2BBA93AA618401DDF0" localSheetId="4" hidden="1">#REF!</definedName>
    <definedName name="BO6FC857D8CD534A2BBA93AA618401DDF0" hidden="1">#REF!</definedName>
    <definedName name="BO6FDA6E7D206B4B7B81E7695256A17B10" localSheetId="5" hidden="1">#REF!</definedName>
    <definedName name="BO6FDA6E7D206B4B7B81E7695256A17B10" localSheetId="4" hidden="1">#REF!</definedName>
    <definedName name="BO6FDA6E7D206B4B7B81E7695256A17B10" hidden="1">#REF!</definedName>
    <definedName name="BO6FED0E09E17C44269179A5BC3F6CC318" localSheetId="5" hidden="1">[10]Giaitrinh!#REF!</definedName>
    <definedName name="BO6FED0E09E17C44269179A5BC3F6CC318" localSheetId="4" hidden="1">[10]Giaitrinh!#REF!</definedName>
    <definedName name="BO6FED0E09E17C44269179A5BC3F6CC318" hidden="1">[10]Giaitrinh!#REF!</definedName>
    <definedName name="BO700D962BEB2C4A76B4DB1654681DB4D5" localSheetId="5" hidden="1">#REF!</definedName>
    <definedName name="BO700D962BEB2C4A76B4DB1654681DB4D5" localSheetId="4" hidden="1">#REF!</definedName>
    <definedName name="BO700D962BEB2C4A76B4DB1654681DB4D5" hidden="1">#REF!</definedName>
    <definedName name="BO7015443836B74EC2A91F23CB32C3480B" localSheetId="5" hidden="1">#REF!</definedName>
    <definedName name="BO7015443836B74EC2A91F23CB32C3480B" localSheetId="4" hidden="1">#REF!</definedName>
    <definedName name="BO7015443836B74EC2A91F23CB32C3480B" hidden="1">#REF!</definedName>
    <definedName name="BO703AED9A8E984D3DB066D87D9CC0AAF8" localSheetId="5" hidden="1">[8]Ketqua!#REF!</definedName>
    <definedName name="BO703AED9A8E984D3DB066D87D9CC0AAF8" localSheetId="4" hidden="1">[8]Ketqua!#REF!</definedName>
    <definedName name="BO703AED9A8E984D3DB066D87D9CC0AAF8" hidden="1">[8]Ketqua!#REF!</definedName>
    <definedName name="BO704C6C247BF34D5D872EAA7A4550FBEE" localSheetId="5" hidden="1">#REF!</definedName>
    <definedName name="BO704C6C247BF34D5D872EAA7A4550FBEE" localSheetId="4" hidden="1">#REF!</definedName>
    <definedName name="BO704C6C247BF34D5D872EAA7A4550FBEE" hidden="1">#REF!</definedName>
    <definedName name="BO7051D964B75444359686A6D8EA8EE8AB" localSheetId="5" hidden="1">#REF!</definedName>
    <definedName name="BO7051D964B75444359686A6D8EA8EE8AB" localSheetId="4" hidden="1">#REF!</definedName>
    <definedName name="BO7051D964B75444359686A6D8EA8EE8AB" hidden="1">#REF!</definedName>
    <definedName name="BO705AA68EEE5045D5ABD49408A5B998C9" localSheetId="5" hidden="1">#REF!</definedName>
    <definedName name="BO705AA68EEE5045D5ABD49408A5B998C9" localSheetId="4" hidden="1">#REF!</definedName>
    <definedName name="BO705AA68EEE5045D5ABD49408A5B998C9" hidden="1">#REF!</definedName>
    <definedName name="BO705CF1DFE0DE4D389EF730530C15C154" localSheetId="5" hidden="1">#REF!</definedName>
    <definedName name="BO705CF1DFE0DE4D389EF730530C15C154" localSheetId="4" hidden="1">#REF!</definedName>
    <definedName name="BO705CF1DFE0DE4D389EF730530C15C154" hidden="1">#REF!</definedName>
    <definedName name="BO7061C029DB7E4C3CB5AA4DDE2460392C" localSheetId="5" hidden="1">#REF!</definedName>
    <definedName name="BO7061C029DB7E4C3CB5AA4DDE2460392C" localSheetId="4" hidden="1">#REF!</definedName>
    <definedName name="BO7061C029DB7E4C3CB5AA4DDE2460392C" hidden="1">#REF!</definedName>
    <definedName name="BO70721C3B367B422481FFAAD104DCCCA2" localSheetId="5" hidden="1">#REF!</definedName>
    <definedName name="BO70721C3B367B422481FFAAD104DCCCA2" localSheetId="4" hidden="1">#REF!</definedName>
    <definedName name="BO70721C3B367B422481FFAAD104DCCCA2" hidden="1">#REF!</definedName>
    <definedName name="BO7094E562A1184812844CD42EA41E280A" localSheetId="5" hidden="1">#REF!</definedName>
    <definedName name="BO7094E562A1184812844CD42EA41E280A" localSheetId="4" hidden="1">#REF!</definedName>
    <definedName name="BO7094E562A1184812844CD42EA41E280A" hidden="1">#REF!</definedName>
    <definedName name="BO709D805274E54AF3AA32CF1B6AD15A1C" localSheetId="5" hidden="1">#REF!</definedName>
    <definedName name="BO709D805274E54AF3AA32CF1B6AD15A1C" localSheetId="4" hidden="1">#REF!</definedName>
    <definedName name="BO709D805274E54AF3AA32CF1B6AD15A1C" hidden="1">#REF!</definedName>
    <definedName name="BO70B2AA6445EA47EDB7786D6CD3A62236" localSheetId="5" hidden="1">#REF!</definedName>
    <definedName name="BO70B2AA6445EA47EDB7786D6CD3A62236" localSheetId="4" hidden="1">#REF!</definedName>
    <definedName name="BO70B2AA6445EA47EDB7786D6CD3A62236" hidden="1">#REF!</definedName>
    <definedName name="BO70BDCDFEA7D14BD68ED91DF4F317EEA2" localSheetId="5" hidden="1">#REF!</definedName>
    <definedName name="BO70BDCDFEA7D14BD68ED91DF4F317EEA2" localSheetId="4" hidden="1">#REF!</definedName>
    <definedName name="BO70BDCDFEA7D14BD68ED91DF4F317EEA2" hidden="1">#REF!</definedName>
    <definedName name="BO70D0854C22B14EAE9D1F54762135E8FE" localSheetId="5" hidden="1">#REF!</definedName>
    <definedName name="BO70D0854C22B14EAE9D1F54762135E8FE" localSheetId="4" hidden="1">#REF!</definedName>
    <definedName name="BO70D0854C22B14EAE9D1F54762135E8FE" hidden="1">#REF!</definedName>
    <definedName name="BO70E92A1D6FF74D27867C0F32BAB90DD4" localSheetId="5" hidden="1">#REF!</definedName>
    <definedName name="BO70E92A1D6FF74D27867C0F32BAB90DD4" localSheetId="4" hidden="1">#REF!</definedName>
    <definedName name="BO70E92A1D6FF74D27867C0F32BAB90DD4" hidden="1">#REF!</definedName>
    <definedName name="BO70ECA966E29F418D9D52FC442E1E8353" localSheetId="5" hidden="1">#REF!</definedName>
    <definedName name="BO70ECA966E29F418D9D52FC442E1E8353" localSheetId="4" hidden="1">#REF!</definedName>
    <definedName name="BO70ECA966E29F418D9D52FC442E1E8353" hidden="1">#REF!</definedName>
    <definedName name="BO7106DC84060C4E658091D86955D71B96" localSheetId="5" hidden="1">[9]Giaitrinh!#REF!</definedName>
    <definedName name="BO7106DC84060C4E658091D86955D71B96" localSheetId="4" hidden="1">[9]Giaitrinh!#REF!</definedName>
    <definedName name="BO7106DC84060C4E658091D86955D71B96" hidden="1">[9]Giaitrinh!#REF!</definedName>
    <definedName name="BO7115A024589A458DBCF979CC6D4B6CB8" localSheetId="5" hidden="1">#REF!</definedName>
    <definedName name="BO7115A024589A458DBCF979CC6D4B6CB8" localSheetId="4" hidden="1">#REF!</definedName>
    <definedName name="BO7115A024589A458DBCF979CC6D4B6CB8" hidden="1">#REF!</definedName>
    <definedName name="BO71164FEDC0414AD99851253B5348D961" localSheetId="5" hidden="1">#REF!</definedName>
    <definedName name="BO71164FEDC0414AD99851253B5348D961" localSheetId="4" hidden="1">#REF!</definedName>
    <definedName name="BO71164FEDC0414AD99851253B5348D961" hidden="1">#REF!</definedName>
    <definedName name="BO711B66F082F44A9088D212AFA6F0C640" localSheetId="5" hidden="1">#REF!</definedName>
    <definedName name="BO711B66F082F44A9088D212AFA6F0C640" localSheetId="4" hidden="1">#REF!</definedName>
    <definedName name="BO711B66F082F44A9088D212AFA6F0C640" hidden="1">#REF!</definedName>
    <definedName name="BO71325101CDD14BD4847E605FB812E00E" localSheetId="5" hidden="1">#REF!</definedName>
    <definedName name="BO71325101CDD14BD4847E605FB812E00E" localSheetId="4" hidden="1">#REF!</definedName>
    <definedName name="BO71325101CDD14BD4847E605FB812E00E" hidden="1">#REF!</definedName>
    <definedName name="BO71392F77D91448CF871C0C981693FA2E" localSheetId="5" hidden="1">#REF!</definedName>
    <definedName name="BO71392F77D91448CF871C0C981693FA2E" localSheetId="4" hidden="1">#REF!</definedName>
    <definedName name="BO71392F77D91448CF871C0C981693FA2E" hidden="1">#REF!</definedName>
    <definedName name="BO713ED7417A1C4961A087E5B2B6BF355D" localSheetId="5" hidden="1">#REF!</definedName>
    <definedName name="BO713ED7417A1C4961A087E5B2B6BF355D" localSheetId="4" hidden="1">#REF!</definedName>
    <definedName name="BO713ED7417A1C4961A087E5B2B6BF355D" hidden="1">#REF!</definedName>
    <definedName name="BO714401B393DD4212943A782A10935BE5" localSheetId="5" hidden="1">#REF!</definedName>
    <definedName name="BO714401B393DD4212943A782A10935BE5" localSheetId="4" hidden="1">#REF!</definedName>
    <definedName name="BO714401B393DD4212943A782A10935BE5" hidden="1">#REF!</definedName>
    <definedName name="BO71501A619EC940FFBE5BCA0DEF8E66DF" localSheetId="5" hidden="1">#REF!</definedName>
    <definedName name="BO71501A619EC940FFBE5BCA0DEF8E66DF" localSheetId="4" hidden="1">#REF!</definedName>
    <definedName name="BO71501A619EC940FFBE5BCA0DEF8E66DF" hidden="1">#REF!</definedName>
    <definedName name="BO71647D71CEE34A698C626CC0B63F81FC" localSheetId="5" hidden="1">#REF!</definedName>
    <definedName name="BO71647D71CEE34A698C626CC0B63F81FC" localSheetId="4" hidden="1">#REF!</definedName>
    <definedName name="BO71647D71CEE34A698C626CC0B63F81FC" hidden="1">#REF!</definedName>
    <definedName name="BO7175CAAF3192416F81818DEE2F4223B0" localSheetId="5" hidden="1">#REF!</definedName>
    <definedName name="BO7175CAAF3192416F81818DEE2F4223B0" localSheetId="4" hidden="1">#REF!</definedName>
    <definedName name="BO7175CAAF3192416F81818DEE2F4223B0" hidden="1">#REF!</definedName>
    <definedName name="BO7193371CFD16425AA21553D11A0FB8E3" localSheetId="5" hidden="1">#REF!</definedName>
    <definedName name="BO7193371CFD16425AA21553D11A0FB8E3" localSheetId="4" hidden="1">#REF!</definedName>
    <definedName name="BO7193371CFD16425AA21553D11A0FB8E3" hidden="1">#REF!</definedName>
    <definedName name="BO71A1222E47594EE5868DB4CC220999C8" localSheetId="5" hidden="1">#REF!</definedName>
    <definedName name="BO71A1222E47594EE5868DB4CC220999C8" localSheetId="4" hidden="1">#REF!</definedName>
    <definedName name="BO71A1222E47594EE5868DB4CC220999C8" hidden="1">#REF!</definedName>
    <definedName name="BO71B3C99DBD0646128A15EEAB772F5CED" localSheetId="5" hidden="1">#REF!</definedName>
    <definedName name="BO71B3C99DBD0646128A15EEAB772F5CED" localSheetId="4" hidden="1">#REF!</definedName>
    <definedName name="BO71B3C99DBD0646128A15EEAB772F5CED" hidden="1">#REF!</definedName>
    <definedName name="BO71B52B4755A04EEEBA1DD42664113096" localSheetId="5" hidden="1">#REF!</definedName>
    <definedName name="BO71B52B4755A04EEEBA1DD42664113096" localSheetId="4" hidden="1">#REF!</definedName>
    <definedName name="BO71B52B4755A04EEEBA1DD42664113096" hidden="1">#REF!</definedName>
    <definedName name="BO71B62A503F0F4126B139358A87402C5F" localSheetId="5" hidden="1">#REF!</definedName>
    <definedName name="BO71B62A503F0F4126B139358A87402C5F" localSheetId="4" hidden="1">#REF!</definedName>
    <definedName name="BO71B62A503F0F4126B139358A87402C5F" hidden="1">#REF!</definedName>
    <definedName name="BO71B7589B9856461080585E9960F4C5F2" localSheetId="5" hidden="1">#REF!</definedName>
    <definedName name="BO71B7589B9856461080585E9960F4C5F2" localSheetId="4" hidden="1">#REF!</definedName>
    <definedName name="BO71B7589B9856461080585E9960F4C5F2" hidden="1">#REF!</definedName>
    <definedName name="BO71CBB851E18B4919B08BECFF7D168564" localSheetId="5" hidden="1">#REF!</definedName>
    <definedName name="BO71CBB851E18B4919B08BECFF7D168564" localSheetId="4" hidden="1">#REF!</definedName>
    <definedName name="BO71CBB851E18B4919B08BECFF7D168564" hidden="1">#REF!</definedName>
    <definedName name="BO71D22361E628411D99E583D71033DC8A" localSheetId="5" hidden="1">#REF!</definedName>
    <definedName name="BO71D22361E628411D99E583D71033DC8A" localSheetId="4" hidden="1">#REF!</definedName>
    <definedName name="BO71D22361E628411D99E583D71033DC8A" hidden="1">#REF!</definedName>
    <definedName name="BO71E3CA1F3102488E93395246AD1ED12F" localSheetId="5" hidden="1">#REF!</definedName>
    <definedName name="BO71E3CA1F3102488E93395246AD1ED12F" localSheetId="4" hidden="1">#REF!</definedName>
    <definedName name="BO71E3CA1F3102488E93395246AD1ED12F" hidden="1">#REF!</definedName>
    <definedName name="BO71E95B7CDEEB417C88423FBD234F13B1" localSheetId="5" hidden="1">#REF!</definedName>
    <definedName name="BO71E95B7CDEEB417C88423FBD234F13B1" localSheetId="4" hidden="1">#REF!</definedName>
    <definedName name="BO71E95B7CDEEB417C88423FBD234F13B1" hidden="1">#REF!</definedName>
    <definedName name="BO71F0E3143CF5473C86FFF303BA8CD219" localSheetId="5" hidden="1">#REF!</definedName>
    <definedName name="BO71F0E3143CF5473C86FFF303BA8CD219" localSheetId="4" hidden="1">#REF!</definedName>
    <definedName name="BO71F0E3143CF5473C86FFF303BA8CD219" hidden="1">#REF!</definedName>
    <definedName name="BO71F834AEB5174A799F92A83D02A96630" localSheetId="5" hidden="1">#REF!</definedName>
    <definedName name="BO71F834AEB5174A799F92A83D02A96630" localSheetId="4" hidden="1">#REF!</definedName>
    <definedName name="BO71F834AEB5174A799F92A83D02A96630" hidden="1">#REF!</definedName>
    <definedName name="BO720382D08E8E4C7CA64CA1B2D5DF0FB5" localSheetId="5" hidden="1">#REF!</definedName>
    <definedName name="BO720382D08E8E4C7CA64CA1B2D5DF0FB5" localSheetId="4" hidden="1">#REF!</definedName>
    <definedName name="BO720382D08E8E4C7CA64CA1B2D5DF0FB5" hidden="1">#REF!</definedName>
    <definedName name="BO720E17A1FC904AEA9771020EAD10F005" localSheetId="5" hidden="1">#REF!</definedName>
    <definedName name="BO720E17A1FC904AEA9771020EAD10F005" localSheetId="4" hidden="1">#REF!</definedName>
    <definedName name="BO720E17A1FC904AEA9771020EAD10F005" hidden="1">#REF!</definedName>
    <definedName name="BO72215A72BC8D474AA13A45CAD99CBE96" localSheetId="5" hidden="1">#REF!</definedName>
    <definedName name="BO72215A72BC8D474AA13A45CAD99CBE96" localSheetId="4" hidden="1">#REF!</definedName>
    <definedName name="BO72215A72BC8D474AA13A45CAD99CBE96" hidden="1">#REF!</definedName>
    <definedName name="BO723F3F9D1C9D4E4984DAF709942090DC" localSheetId="5" hidden="1">#REF!</definedName>
    <definedName name="BO723F3F9D1C9D4E4984DAF709942090DC" localSheetId="4" hidden="1">#REF!</definedName>
    <definedName name="BO723F3F9D1C9D4E4984DAF709942090DC" hidden="1">#REF!</definedName>
    <definedName name="BO72594168DF2A494A91D06EC22DAB422F" localSheetId="5" hidden="1">#REF!</definedName>
    <definedName name="BO72594168DF2A494A91D06EC22DAB422F" localSheetId="4" hidden="1">#REF!</definedName>
    <definedName name="BO72594168DF2A494A91D06EC22DAB422F" hidden="1">#REF!</definedName>
    <definedName name="BO72696F3AD0DC4BB4A8849A9C62103D38" localSheetId="5" hidden="1">#REF!</definedName>
    <definedName name="BO72696F3AD0DC4BB4A8849A9C62103D38" localSheetId="4" hidden="1">#REF!</definedName>
    <definedName name="BO72696F3AD0DC4BB4A8849A9C62103D38" hidden="1">#REF!</definedName>
    <definedName name="BO7279B40C726743AEA1D10F4FDA82E066" localSheetId="5" hidden="1">#REF!</definedName>
    <definedName name="BO7279B40C726743AEA1D10F4FDA82E066" localSheetId="4" hidden="1">#REF!</definedName>
    <definedName name="BO7279B40C726743AEA1D10F4FDA82E066" hidden="1">#REF!</definedName>
    <definedName name="BO728B0017AA77456B8E2C6F6B30752208" localSheetId="5" hidden="1">#REF!</definedName>
    <definedName name="BO728B0017AA77456B8E2C6F6B30752208" localSheetId="4" hidden="1">#REF!</definedName>
    <definedName name="BO728B0017AA77456B8E2C6F6B30752208" hidden="1">#REF!</definedName>
    <definedName name="BO729C7144BF3B410F86A028559201D1BC" localSheetId="5" hidden="1">#REF!</definedName>
    <definedName name="BO729C7144BF3B410F86A028559201D1BC" localSheetId="4" hidden="1">#REF!</definedName>
    <definedName name="BO729C7144BF3B410F86A028559201D1BC" hidden="1">#REF!</definedName>
    <definedName name="BO72DF2669029F43D4A7EE2D39EBA2DB8E" localSheetId="5" hidden="1">#REF!</definedName>
    <definedName name="BO72DF2669029F43D4A7EE2D39EBA2DB8E" localSheetId="4" hidden="1">#REF!</definedName>
    <definedName name="BO72DF2669029F43D4A7EE2D39EBA2DB8E" hidden="1">#REF!</definedName>
    <definedName name="BO72E529392E8C430F8DEA197B49A0A5F6" localSheetId="5" hidden="1">#REF!</definedName>
    <definedName name="BO72E529392E8C430F8DEA197B49A0A5F6" localSheetId="4" hidden="1">#REF!</definedName>
    <definedName name="BO72E529392E8C430F8DEA197B49A0A5F6" hidden="1">#REF!</definedName>
    <definedName name="BO72E60F5DCCF74F1B93CFA3ADB443A3E4" localSheetId="5" hidden="1">#REF!</definedName>
    <definedName name="BO72E60F5DCCF74F1B93CFA3ADB443A3E4" localSheetId="4" hidden="1">#REF!</definedName>
    <definedName name="BO72E60F5DCCF74F1B93CFA3ADB443A3E4" hidden="1">#REF!</definedName>
    <definedName name="BO7307D59A4B214EAE86562607C85423E4" localSheetId="5" hidden="1">#REF!</definedName>
    <definedName name="BO7307D59A4B214EAE86562607C85423E4" localSheetId="4" hidden="1">#REF!</definedName>
    <definedName name="BO7307D59A4B214EAE86562607C85423E4" hidden="1">#REF!</definedName>
    <definedName name="BO732A8554BE6E48928EC9FA8C27CBB115" localSheetId="5" hidden="1">#REF!</definedName>
    <definedName name="BO732A8554BE6E48928EC9FA8C27CBB115" localSheetId="4" hidden="1">#REF!</definedName>
    <definedName name="BO732A8554BE6E48928EC9FA8C27CBB115" hidden="1">#REF!</definedName>
    <definedName name="BO733A76867FB140DD84019718911041D5" localSheetId="5" hidden="1">#REF!</definedName>
    <definedName name="BO733A76867FB140DD84019718911041D5" localSheetId="4" hidden="1">#REF!</definedName>
    <definedName name="BO733A76867FB140DD84019718911041D5" hidden="1">#REF!</definedName>
    <definedName name="BO733E15FC2902430994339FF32CD32B87" localSheetId="5" hidden="1">[7]lailo!#REF!</definedName>
    <definedName name="BO733E15FC2902430994339FF32CD32B87" localSheetId="4" hidden="1">[7]lailo!#REF!</definedName>
    <definedName name="BO733E15FC2902430994339FF32CD32B87" hidden="1">[7]lailo!#REF!</definedName>
    <definedName name="BO739D4ED563DB42BFA16CE320226F8C0E" localSheetId="5" hidden="1">#REF!</definedName>
    <definedName name="BO739D4ED563DB42BFA16CE320226F8C0E" localSheetId="4" hidden="1">#REF!</definedName>
    <definedName name="BO739D4ED563DB42BFA16CE320226F8C0E" hidden="1">#REF!</definedName>
    <definedName name="BO73C8D12805554866BDCFE518BBA0B179" localSheetId="5" hidden="1">#REF!</definedName>
    <definedName name="BO73C8D12805554866BDCFE518BBA0B179" localSheetId="4" hidden="1">#REF!</definedName>
    <definedName name="BO73C8D12805554866BDCFE518BBA0B179" hidden="1">#REF!</definedName>
    <definedName name="BO73D5E3CE0DB6414399F7EE6D4D82A5D9" localSheetId="5" hidden="1">[9]xml!#REF!</definedName>
    <definedName name="BO73D5E3CE0DB6414399F7EE6D4D82A5D9" localSheetId="4" hidden="1">[9]xml!#REF!</definedName>
    <definedName name="BO73D5E3CE0DB6414399F7EE6D4D82A5D9" hidden="1">[9]xml!#REF!</definedName>
    <definedName name="BO73DBB5DE1D1C4A9AA93FF45D7FECB44A" localSheetId="5" hidden="1">#REF!</definedName>
    <definedName name="BO73DBB5DE1D1C4A9AA93FF45D7FECB44A" localSheetId="4" hidden="1">#REF!</definedName>
    <definedName name="BO73DBB5DE1D1C4A9AA93FF45D7FECB44A" hidden="1">#REF!</definedName>
    <definedName name="BO740BD9ACD53D4068A50D01FBE388B184" localSheetId="5" hidden="1">#REF!</definedName>
    <definedName name="BO740BD9ACD53D4068A50D01FBE388B184" localSheetId="4" hidden="1">#REF!</definedName>
    <definedName name="BO740BD9ACD53D4068A50D01FBE388B184" hidden="1">#REF!</definedName>
    <definedName name="BO742F8B43AB074371B4AD08D54D922616" localSheetId="5" hidden="1">#REF!</definedName>
    <definedName name="BO742F8B43AB074371B4AD08D54D922616" localSheetId="4" hidden="1">#REF!</definedName>
    <definedName name="BO742F8B43AB074371B4AD08D54D922616" hidden="1">#REF!</definedName>
    <definedName name="BO7433D289F3EE4AD5B3DDD614BA44F5B7" localSheetId="5" hidden="1">#REF!</definedName>
    <definedName name="BO7433D289F3EE4AD5B3DDD614BA44F5B7" localSheetId="4" hidden="1">#REF!</definedName>
    <definedName name="BO7433D289F3EE4AD5B3DDD614BA44F5B7" hidden="1">#REF!</definedName>
    <definedName name="BO744C6FF338404A72B908880C1000DC85" localSheetId="5" hidden="1">#REF!</definedName>
    <definedName name="BO744C6FF338404A72B908880C1000DC85" localSheetId="4" hidden="1">#REF!</definedName>
    <definedName name="BO744C6FF338404A72B908880C1000DC85" hidden="1">#REF!</definedName>
    <definedName name="BO745C72726784433CA2465633D103E307" localSheetId="5" hidden="1">#REF!</definedName>
    <definedName name="BO745C72726784433CA2465633D103E307" localSheetId="4" hidden="1">#REF!</definedName>
    <definedName name="BO745C72726784433CA2465633D103E307" hidden="1">#REF!</definedName>
    <definedName name="BO747581AAE69340A3AA55D7E0E33F3BD2" localSheetId="5" hidden="1">#REF!</definedName>
    <definedName name="BO747581AAE69340A3AA55D7E0E33F3BD2" localSheetId="4" hidden="1">#REF!</definedName>
    <definedName name="BO747581AAE69340A3AA55D7E0E33F3BD2" hidden="1">#REF!</definedName>
    <definedName name="BO747777D08E1846DC8991CCBC7164B956" localSheetId="5" hidden="1">#REF!</definedName>
    <definedName name="BO747777D08E1846DC8991CCBC7164B956" localSheetId="4" hidden="1">#REF!</definedName>
    <definedName name="BO747777D08E1846DC8991CCBC7164B956" hidden="1">#REF!</definedName>
    <definedName name="BO74850815E6B1496FB74F7BD6E50A4B3F" localSheetId="5" hidden="1">#REF!</definedName>
    <definedName name="BO74850815E6B1496FB74F7BD6E50A4B3F" localSheetId="4" hidden="1">#REF!</definedName>
    <definedName name="BO74850815E6B1496FB74F7BD6E50A4B3F" hidden="1">#REF!</definedName>
    <definedName name="BO7489D89D257D4CE6801233C07C739082" localSheetId="5" hidden="1">#REF!</definedName>
    <definedName name="BO7489D89D257D4CE6801233C07C739082" localSheetId="4" hidden="1">#REF!</definedName>
    <definedName name="BO7489D89D257D4CE6801233C07C739082" hidden="1">#REF!</definedName>
    <definedName name="BO748A034528AC408E83941B792E8FA572" localSheetId="5" hidden="1">#REF!</definedName>
    <definedName name="BO748A034528AC408E83941B792E8FA572" localSheetId="4" hidden="1">#REF!</definedName>
    <definedName name="BO748A034528AC408E83941B792E8FA572" hidden="1">#REF!</definedName>
    <definedName name="BO749E262EE3F74E87B01233AA40976477" localSheetId="5" hidden="1">#REF!</definedName>
    <definedName name="BO749E262EE3F74E87B01233AA40976477" localSheetId="4" hidden="1">#REF!</definedName>
    <definedName name="BO749E262EE3F74E87B01233AA40976477" hidden="1">#REF!</definedName>
    <definedName name="BO749F772B071B40049D72BA25C5D2063A" localSheetId="5" hidden="1">#REF!</definedName>
    <definedName name="BO749F772B071B40049D72BA25C5D2063A" localSheetId="4" hidden="1">#REF!</definedName>
    <definedName name="BO749F772B071B40049D72BA25C5D2063A" hidden="1">#REF!</definedName>
    <definedName name="BO74A1A29B69E9443FA4638F301D0015DC" localSheetId="5" hidden="1">#REF!</definedName>
    <definedName name="BO74A1A29B69E9443FA4638F301D0015DC" localSheetId="4" hidden="1">#REF!</definedName>
    <definedName name="BO74A1A29B69E9443FA4638F301D0015DC" hidden="1">#REF!</definedName>
    <definedName name="BO74AA6B1CC6D84BBFA988B6B4C90AD17D" localSheetId="5" hidden="1">#REF!</definedName>
    <definedName name="BO74AA6B1CC6D84BBFA988B6B4C90AD17D" localSheetId="4" hidden="1">#REF!</definedName>
    <definedName name="BO74AA6B1CC6D84BBFA988B6B4C90AD17D" hidden="1">#REF!</definedName>
    <definedName name="BO74AD698488404B1CB4177B8361C2BBAC" localSheetId="5" hidden="1">#REF!</definedName>
    <definedName name="BO74AD698488404B1CB4177B8361C2BBAC" localSheetId="4" hidden="1">#REF!</definedName>
    <definedName name="BO74AD698488404B1CB4177B8361C2BBAC" hidden="1">#REF!</definedName>
    <definedName name="BO74E54C7D3DB246FD92CE6991D9B2A618" localSheetId="5" hidden="1">#REF!</definedName>
    <definedName name="BO74E54C7D3DB246FD92CE6991D9B2A618" localSheetId="4" hidden="1">#REF!</definedName>
    <definedName name="BO74E54C7D3DB246FD92CE6991D9B2A618" hidden="1">#REF!</definedName>
    <definedName name="BO74EBB284B6E44D8F991552BD3F66BCEE" localSheetId="5" hidden="1">#REF!</definedName>
    <definedName name="BO74EBB284B6E44D8F991552BD3F66BCEE" localSheetId="4" hidden="1">#REF!</definedName>
    <definedName name="BO74EBB284B6E44D8F991552BD3F66BCEE" hidden="1">#REF!</definedName>
    <definedName name="BO74F61FD7579A48E9B280208A620C9635" localSheetId="5" hidden="1">#REF!</definedName>
    <definedName name="BO74F61FD7579A48E9B280208A620C9635" localSheetId="4" hidden="1">#REF!</definedName>
    <definedName name="BO74F61FD7579A48E9B280208A620C9635" hidden="1">#REF!</definedName>
    <definedName name="BO74FA7C7274734F50A2C7ABA669DD3A3A" localSheetId="5" hidden="1">#REF!</definedName>
    <definedName name="BO74FA7C7274734F50A2C7ABA669DD3A3A" localSheetId="4" hidden="1">#REF!</definedName>
    <definedName name="BO74FA7C7274734F50A2C7ABA669DD3A3A" hidden="1">#REF!</definedName>
    <definedName name="BO74FB646248E345A29000CB6D66A465DD" localSheetId="5" hidden="1">#REF!</definedName>
    <definedName name="BO74FB646248E345A29000CB6D66A465DD" localSheetId="4" hidden="1">#REF!</definedName>
    <definedName name="BO74FB646248E345A29000CB6D66A465DD" hidden="1">#REF!</definedName>
    <definedName name="BO751BB62B928C4F22B20A477A18A85A03" localSheetId="5" hidden="1">#REF!</definedName>
    <definedName name="BO751BB62B928C4F22B20A477A18A85A03" localSheetId="4" hidden="1">#REF!</definedName>
    <definedName name="BO751BB62B928C4F22B20A477A18A85A03" hidden="1">#REF!</definedName>
    <definedName name="BO751EFE8409AB404FA29414B918942BC8" localSheetId="5" hidden="1">#REF!</definedName>
    <definedName name="BO751EFE8409AB404FA29414B918942BC8" localSheetId="4" hidden="1">#REF!</definedName>
    <definedName name="BO751EFE8409AB404FA29414B918942BC8" hidden="1">#REF!</definedName>
    <definedName name="BO75258E2858A9487EB7D94A55D3F6F8F6" localSheetId="5" hidden="1">#REF!</definedName>
    <definedName name="BO75258E2858A9487EB7D94A55D3F6F8F6" localSheetId="4" hidden="1">#REF!</definedName>
    <definedName name="BO75258E2858A9487EB7D94A55D3F6F8F6" hidden="1">#REF!</definedName>
    <definedName name="BO7552B7430960451983BCA0E9C2DDE054" localSheetId="5" hidden="1">#REF!</definedName>
    <definedName name="BO7552B7430960451983BCA0E9C2DDE054" localSheetId="4" hidden="1">#REF!</definedName>
    <definedName name="BO7552B7430960451983BCA0E9C2DDE054" hidden="1">#REF!</definedName>
    <definedName name="BO755BFAF8F1BE47CE93D2E222DC51550B" localSheetId="5" hidden="1">#REF!</definedName>
    <definedName name="BO755BFAF8F1BE47CE93D2E222DC51550B" localSheetId="4" hidden="1">#REF!</definedName>
    <definedName name="BO755BFAF8F1BE47CE93D2E222DC51550B" hidden="1">#REF!</definedName>
    <definedName name="BO7562C53675A4442291F4941566F0657B" localSheetId="5" hidden="1">#REF!</definedName>
    <definedName name="BO7562C53675A4442291F4941566F0657B" localSheetId="4" hidden="1">#REF!</definedName>
    <definedName name="BO7562C53675A4442291F4941566F0657B" hidden="1">#REF!</definedName>
    <definedName name="BO75691212455E4A329A200FEED489F25F" localSheetId="5" hidden="1">#REF!</definedName>
    <definedName name="BO75691212455E4A329A200FEED489F25F" localSheetId="4" hidden="1">#REF!</definedName>
    <definedName name="BO75691212455E4A329A200FEED489F25F" hidden="1">#REF!</definedName>
    <definedName name="BO756E3C1445D247469896FA894EC4F005" localSheetId="5" hidden="1">#REF!</definedName>
    <definedName name="BO756E3C1445D247469896FA894EC4F005" localSheetId="4" hidden="1">#REF!</definedName>
    <definedName name="BO756E3C1445D247469896FA894EC4F005" hidden="1">#REF!</definedName>
    <definedName name="BO7580E6D7B3D94206932D02E17C652894" localSheetId="5" hidden="1">#REF!</definedName>
    <definedName name="BO7580E6D7B3D94206932D02E17C652894" localSheetId="4" hidden="1">#REF!</definedName>
    <definedName name="BO7580E6D7B3D94206932D02E17C652894" hidden="1">#REF!</definedName>
    <definedName name="BO759F8AE7EA794C918C72E12E9DCF68A2" localSheetId="5" hidden="1">#REF!</definedName>
    <definedName name="BO759F8AE7EA794C918C72E12E9DCF68A2" localSheetId="4" hidden="1">#REF!</definedName>
    <definedName name="BO759F8AE7EA794C918C72E12E9DCF68A2" hidden="1">#REF!</definedName>
    <definedName name="BO75A2E743AECE46AFA74D486D82926E01" localSheetId="5" hidden="1">#REF!</definedName>
    <definedName name="BO75A2E743AECE46AFA74D486D82926E01" localSheetId="4" hidden="1">#REF!</definedName>
    <definedName name="BO75A2E743AECE46AFA74D486D82926E01" hidden="1">#REF!</definedName>
    <definedName name="BO75ADB4F32A9B4C6B9B23A6F06C77B2FA" localSheetId="5" hidden="1">[8]Ketqua!#REF!</definedName>
    <definedName name="BO75ADB4F32A9B4C6B9B23A6F06C77B2FA" localSheetId="4" hidden="1">[8]Ketqua!#REF!</definedName>
    <definedName name="BO75ADB4F32A9B4C6B9B23A6F06C77B2FA" hidden="1">[8]Ketqua!#REF!</definedName>
    <definedName name="BO75B1AFE3E773475FB97325EBA97E15D4" localSheetId="5" hidden="1">#REF!</definedName>
    <definedName name="BO75B1AFE3E773475FB97325EBA97E15D4" localSheetId="4" hidden="1">#REF!</definedName>
    <definedName name="BO75B1AFE3E773475FB97325EBA97E15D4" hidden="1">#REF!</definedName>
    <definedName name="BO75B2A50A512A4FA7836B1E29BCA91A33" localSheetId="5" hidden="1">#REF!</definedName>
    <definedName name="BO75B2A50A512A4FA7836B1E29BCA91A33" localSheetId="4" hidden="1">#REF!</definedName>
    <definedName name="BO75B2A50A512A4FA7836B1E29BCA91A33" hidden="1">#REF!</definedName>
    <definedName name="BO75C4101A9A9A47BE958056E317701004" localSheetId="5" hidden="1">#REF!</definedName>
    <definedName name="BO75C4101A9A9A47BE958056E317701004" localSheetId="4" hidden="1">#REF!</definedName>
    <definedName name="BO75C4101A9A9A47BE958056E317701004" hidden="1">#REF!</definedName>
    <definedName name="BO75EC821199834E478B5ABFB12B4E254B" localSheetId="5" hidden="1">#REF!</definedName>
    <definedName name="BO75EC821199834E478B5ABFB12B4E254B" localSheetId="4" hidden="1">#REF!</definedName>
    <definedName name="BO75EC821199834E478B5ABFB12B4E254B" hidden="1">#REF!</definedName>
    <definedName name="BO75FF3FD4DDA84CB39C4F91511EB9CE55" localSheetId="5" hidden="1">#REF!</definedName>
    <definedName name="BO75FF3FD4DDA84CB39C4F91511EB9CE55" localSheetId="4" hidden="1">#REF!</definedName>
    <definedName name="BO75FF3FD4DDA84CB39C4F91511EB9CE55" hidden="1">#REF!</definedName>
    <definedName name="BO76000B08B14A42FA8E260991624932B5" localSheetId="5" hidden="1">#REF!</definedName>
    <definedName name="BO76000B08B14A42FA8E260991624932B5" localSheetId="4" hidden="1">#REF!</definedName>
    <definedName name="BO76000B08B14A42FA8E260991624932B5" hidden="1">#REF!</definedName>
    <definedName name="BO760478BC3AC541D48B8B653180858CA8" localSheetId="5" hidden="1">#REF!</definedName>
    <definedName name="BO760478BC3AC541D48B8B653180858CA8" localSheetId="4" hidden="1">#REF!</definedName>
    <definedName name="BO760478BC3AC541D48B8B653180858CA8" hidden="1">#REF!</definedName>
    <definedName name="BO7616C585F3CB41AAB5664406530DF865" localSheetId="5" hidden="1">#REF!</definedName>
    <definedName name="BO7616C585F3CB41AAB5664406530DF865" localSheetId="4" hidden="1">#REF!</definedName>
    <definedName name="BO7616C585F3CB41AAB5664406530DF865" hidden="1">#REF!</definedName>
    <definedName name="BO7635DBD7D9EA4A9EB2FDC8887484CB03" localSheetId="5" hidden="1">#REF!</definedName>
    <definedName name="BO7635DBD7D9EA4A9EB2FDC8887484CB03" localSheetId="4" hidden="1">#REF!</definedName>
    <definedName name="BO7635DBD7D9EA4A9EB2FDC8887484CB03" hidden="1">#REF!</definedName>
    <definedName name="BO764BF2A83F7648B194FC408EF8CFF943" localSheetId="5" hidden="1">#REF!</definedName>
    <definedName name="BO764BF2A83F7648B194FC408EF8CFF943" localSheetId="4" hidden="1">#REF!</definedName>
    <definedName name="BO764BF2A83F7648B194FC408EF8CFF943" hidden="1">#REF!</definedName>
    <definedName name="BO765AA2EEEF294B398E999B00181EB5D2" localSheetId="5" hidden="1">#REF!</definedName>
    <definedName name="BO765AA2EEEF294B398E999B00181EB5D2" localSheetId="4" hidden="1">#REF!</definedName>
    <definedName name="BO765AA2EEEF294B398E999B00181EB5D2" hidden="1">#REF!</definedName>
    <definedName name="BO7663B46CDF5746FEA8D1B90DAA9D7343" localSheetId="5" hidden="1">#REF!</definedName>
    <definedName name="BO7663B46CDF5746FEA8D1B90DAA9D7343" localSheetId="4" hidden="1">#REF!</definedName>
    <definedName name="BO7663B46CDF5746FEA8D1B90DAA9D7343" hidden="1">#REF!</definedName>
    <definedName name="BO769763BAB5954C2CB9C8F0FB4E51FD3C" localSheetId="5" hidden="1">#REF!</definedName>
    <definedName name="BO769763BAB5954C2CB9C8F0FB4E51FD3C" localSheetId="4" hidden="1">#REF!</definedName>
    <definedName name="BO769763BAB5954C2CB9C8F0FB4E51FD3C" hidden="1">#REF!</definedName>
    <definedName name="BO76AB248C19CA4AC8A89A4E53C9FA6D85" localSheetId="5" hidden="1">#REF!</definedName>
    <definedName name="BO76AB248C19CA4AC8A89A4E53C9FA6D85" localSheetId="4" hidden="1">#REF!</definedName>
    <definedName name="BO76AB248C19CA4AC8A89A4E53C9FA6D85" hidden="1">#REF!</definedName>
    <definedName name="BO76BFF644480C4F3281F232780DF5A3C3" localSheetId="5" hidden="1">#REF!</definedName>
    <definedName name="BO76BFF644480C4F3281F232780DF5A3C3" localSheetId="4" hidden="1">#REF!</definedName>
    <definedName name="BO76BFF644480C4F3281F232780DF5A3C3" hidden="1">#REF!</definedName>
    <definedName name="BO76C044F1E3A04423B809A94C35FD6957" localSheetId="5" hidden="1">#REF!</definedName>
    <definedName name="BO76C044F1E3A04423B809A94C35FD6957" localSheetId="4" hidden="1">#REF!</definedName>
    <definedName name="BO76C044F1E3A04423B809A94C35FD6957" hidden="1">#REF!</definedName>
    <definedName name="BO76CA88E084EC4A54AEC7CA1F00F2CFC4" localSheetId="5" hidden="1">#REF!</definedName>
    <definedName name="BO76CA88E084EC4A54AEC7CA1F00F2CFC4" localSheetId="4" hidden="1">#REF!</definedName>
    <definedName name="BO76CA88E084EC4A54AEC7CA1F00F2CFC4" hidden="1">#REF!</definedName>
    <definedName name="BO76DA8C49D5AC48959D01ACC0A51323E6" localSheetId="5" hidden="1">#REF!</definedName>
    <definedName name="BO76DA8C49D5AC48959D01ACC0A51323E6" localSheetId="4" hidden="1">#REF!</definedName>
    <definedName name="BO76DA8C49D5AC48959D01ACC0A51323E6" hidden="1">#REF!</definedName>
    <definedName name="BO76DE8D9A64C642A29533096617FC630B" localSheetId="5" hidden="1">#REF!</definedName>
    <definedName name="BO76DE8D9A64C642A29533096617FC630B" localSheetId="4" hidden="1">#REF!</definedName>
    <definedName name="BO76DE8D9A64C642A29533096617FC630B" hidden="1">#REF!</definedName>
    <definedName name="BO76E22452186B46008F3660DC31EBD910" localSheetId="5" hidden="1">#REF!</definedName>
    <definedName name="BO76E22452186B46008F3660DC31EBD910" localSheetId="4" hidden="1">#REF!</definedName>
    <definedName name="BO76E22452186B46008F3660DC31EBD910" hidden="1">#REF!</definedName>
    <definedName name="BO76E9430E1E124C8E90FE35356FFD4346" localSheetId="5" hidden="1">#REF!</definedName>
    <definedName name="BO76E9430E1E124C8E90FE35356FFD4346" localSheetId="4" hidden="1">#REF!</definedName>
    <definedName name="BO76E9430E1E124C8E90FE35356FFD4346" hidden="1">#REF!</definedName>
    <definedName name="BO76F1277B777341A8B7E848FB8850450E" localSheetId="5" hidden="1">#REF!</definedName>
    <definedName name="BO76F1277B777341A8B7E848FB8850450E" localSheetId="4" hidden="1">#REF!</definedName>
    <definedName name="BO76F1277B777341A8B7E848FB8850450E" hidden="1">#REF!</definedName>
    <definedName name="BO7700E20E746149E291ACCD677C9D0766" localSheetId="5" hidden="1">#REF!</definedName>
    <definedName name="BO7700E20E746149E291ACCD677C9D0766" localSheetId="4" hidden="1">#REF!</definedName>
    <definedName name="BO7700E20E746149E291ACCD677C9D0766" hidden="1">#REF!</definedName>
    <definedName name="BO77161466E3A248C6B42360A44488D5EB" localSheetId="5" hidden="1">#REF!</definedName>
    <definedName name="BO77161466E3A248C6B42360A44488D5EB" localSheetId="4" hidden="1">#REF!</definedName>
    <definedName name="BO77161466E3A248C6B42360A44488D5EB" hidden="1">#REF!</definedName>
    <definedName name="BO772857C878F74C8EBAC2132A89BCE5D2" localSheetId="5" hidden="1">#REF!</definedName>
    <definedName name="BO772857C878F74C8EBAC2132A89BCE5D2" localSheetId="4" hidden="1">#REF!</definedName>
    <definedName name="BO772857C878F74C8EBAC2132A89BCE5D2" hidden="1">#REF!</definedName>
    <definedName name="BO773483D3E1804CA69CB9EBAB8EDF44E2" localSheetId="5" hidden="1">#REF!</definedName>
    <definedName name="BO773483D3E1804CA69CB9EBAB8EDF44E2" localSheetId="4" hidden="1">#REF!</definedName>
    <definedName name="BO773483D3E1804CA69CB9EBAB8EDF44E2" hidden="1">#REF!</definedName>
    <definedName name="BO7735543194A245FBAB0BB9E8F74851DA" localSheetId="5" hidden="1">#REF!</definedName>
    <definedName name="BO7735543194A245FBAB0BB9E8F74851DA" localSheetId="4" hidden="1">#REF!</definedName>
    <definedName name="BO7735543194A245FBAB0BB9E8F74851DA" hidden="1">#REF!</definedName>
    <definedName name="BO7753547F56F8431DB45F419C143E91D7" localSheetId="5" hidden="1">#REF!</definedName>
    <definedName name="BO7753547F56F8431DB45F419C143E91D7" localSheetId="4" hidden="1">#REF!</definedName>
    <definedName name="BO7753547F56F8431DB45F419C143E91D7" hidden="1">#REF!</definedName>
    <definedName name="BO7764E7B14F1F4E928E4376007F22ABAF" localSheetId="5" hidden="1">#REF!</definedName>
    <definedName name="BO7764E7B14F1F4E928E4376007F22ABAF" localSheetId="4" hidden="1">#REF!</definedName>
    <definedName name="BO7764E7B14F1F4E928E4376007F22ABAF" hidden="1">#REF!</definedName>
    <definedName name="BO77695282BC6543E78901B61E174FC4C5" localSheetId="5" hidden="1">#REF!</definedName>
    <definedName name="BO77695282BC6543E78901B61E174FC4C5" localSheetId="4" hidden="1">#REF!</definedName>
    <definedName name="BO77695282BC6543E78901B61E174FC4C5" hidden="1">#REF!</definedName>
    <definedName name="BO776D31E7DE54463996D9740301E09A69" localSheetId="5" hidden="1">#REF!</definedName>
    <definedName name="BO776D31E7DE54463996D9740301E09A69" localSheetId="4" hidden="1">#REF!</definedName>
    <definedName name="BO776D31E7DE54463996D9740301E09A69" hidden="1">#REF!</definedName>
    <definedName name="BO77723F0E62C44BD3A26ABA5DD53B4F2A" localSheetId="5" hidden="1">#REF!</definedName>
    <definedName name="BO77723F0E62C44BD3A26ABA5DD53B4F2A" localSheetId="4" hidden="1">#REF!</definedName>
    <definedName name="BO77723F0E62C44BD3A26ABA5DD53B4F2A" hidden="1">#REF!</definedName>
    <definedName name="BO779B8AFDFA224D6E80183E1B1730EF55" localSheetId="5" hidden="1">#REF!</definedName>
    <definedName name="BO779B8AFDFA224D6E80183E1B1730EF55" localSheetId="4" hidden="1">#REF!</definedName>
    <definedName name="BO779B8AFDFA224D6E80183E1B1730EF55" hidden="1">#REF!</definedName>
    <definedName name="BO77A82294730E49ADA1F07FC8F00AA69D" localSheetId="5" hidden="1">[8]Ketqua!#REF!</definedName>
    <definedName name="BO77A82294730E49ADA1F07FC8F00AA69D" localSheetId="4" hidden="1">[8]Ketqua!#REF!</definedName>
    <definedName name="BO77A82294730E49ADA1F07FC8F00AA69D" hidden="1">[8]Ketqua!#REF!</definedName>
    <definedName name="BO77B7B8FE7C7C407188A917BF9894F7B3" localSheetId="5" hidden="1">#REF!</definedName>
    <definedName name="BO77B7B8FE7C7C407188A917BF9894F7B3" localSheetId="4" hidden="1">#REF!</definedName>
    <definedName name="BO77B7B8FE7C7C407188A917BF9894F7B3" hidden="1">#REF!</definedName>
    <definedName name="BO77C82593E41A45ECB6AACAD24353B3C8" localSheetId="5" hidden="1">#REF!</definedName>
    <definedName name="BO77C82593E41A45ECB6AACAD24353B3C8" localSheetId="4" hidden="1">#REF!</definedName>
    <definedName name="BO77C82593E41A45ECB6AACAD24353B3C8" hidden="1">#REF!</definedName>
    <definedName name="BO77CC4968C6FB4AE891D9203BB882D196" localSheetId="5" hidden="1">#REF!</definedName>
    <definedName name="BO77CC4968C6FB4AE891D9203BB882D196" localSheetId="4" hidden="1">#REF!</definedName>
    <definedName name="BO77CC4968C6FB4AE891D9203BB882D196" hidden="1">#REF!</definedName>
    <definedName name="BO77D9D9C12007469C8117D346871D21B6" localSheetId="5" hidden="1">#REF!</definedName>
    <definedName name="BO77D9D9C12007469C8117D346871D21B6" localSheetId="4" hidden="1">#REF!</definedName>
    <definedName name="BO77D9D9C12007469C8117D346871D21B6" hidden="1">#REF!</definedName>
    <definedName name="BO77DD96FC41644A179BBE4D77953EA545" localSheetId="5" hidden="1">#REF!</definedName>
    <definedName name="BO77DD96FC41644A179BBE4D77953EA545" localSheetId="4" hidden="1">#REF!</definedName>
    <definedName name="BO77DD96FC41644A179BBE4D77953EA545" hidden="1">#REF!</definedName>
    <definedName name="BO77DDF20EB7E747B18FDB62A0C4C1FFAD" localSheetId="5" hidden="1">#REF!</definedName>
    <definedName name="BO77DDF20EB7E747B18FDB62A0C4C1FFAD" localSheetId="4" hidden="1">#REF!</definedName>
    <definedName name="BO77DDF20EB7E747B18FDB62A0C4C1FFAD" hidden="1">#REF!</definedName>
    <definedName name="BO77E21B89C8AB4C31920492CF930D9D60" localSheetId="5" hidden="1">#REF!</definedName>
    <definedName name="BO77E21B89C8AB4C31920492CF930D9D60" localSheetId="4" hidden="1">#REF!</definedName>
    <definedName name="BO77E21B89C8AB4C31920492CF930D9D60" hidden="1">#REF!</definedName>
    <definedName name="BO77E3BD8340C8474DA7D45CEC71ECC2E7" localSheetId="5" hidden="1">[9]Giaitrinh!#REF!</definedName>
    <definedName name="BO77E3BD8340C8474DA7D45CEC71ECC2E7" localSheetId="4" hidden="1">[9]Giaitrinh!#REF!</definedName>
    <definedName name="BO77E3BD8340C8474DA7D45CEC71ECC2E7" hidden="1">[9]Giaitrinh!#REF!</definedName>
    <definedName name="BO77E8C8B472FB4B819A91453E470878FD" localSheetId="5" hidden="1">#REF!</definedName>
    <definedName name="BO77E8C8B472FB4B819A91453E470878FD" localSheetId="4" hidden="1">#REF!</definedName>
    <definedName name="BO77E8C8B472FB4B819A91453E470878FD" hidden="1">#REF!</definedName>
    <definedName name="BO77F95E176C874197841F89E81E80D23A" localSheetId="5" hidden="1">#REF!</definedName>
    <definedName name="BO77F95E176C874197841F89E81E80D23A" localSheetId="4" hidden="1">#REF!</definedName>
    <definedName name="BO77F95E176C874197841F89E81E80D23A" hidden="1">#REF!</definedName>
    <definedName name="BO780FE6F4A17D423CAAAE5E547813AF83" localSheetId="5" hidden="1">#REF!</definedName>
    <definedName name="BO780FE6F4A17D423CAAAE5E547813AF83" localSheetId="4" hidden="1">#REF!</definedName>
    <definedName name="BO780FE6F4A17D423CAAAE5E547813AF83" hidden="1">#REF!</definedName>
    <definedName name="BO7825A254A3284232B88DD51D44537CE6" localSheetId="5" hidden="1">#REF!</definedName>
    <definedName name="BO7825A254A3284232B88DD51D44537CE6" localSheetId="4" hidden="1">#REF!</definedName>
    <definedName name="BO7825A254A3284232B88DD51D44537CE6" hidden="1">#REF!</definedName>
    <definedName name="BO78293AB6CE91423691629BC52DBE67C5" localSheetId="5" hidden="1">#REF!</definedName>
    <definedName name="BO78293AB6CE91423691629BC52DBE67C5" localSheetId="4" hidden="1">#REF!</definedName>
    <definedName name="BO78293AB6CE91423691629BC52DBE67C5" hidden="1">#REF!</definedName>
    <definedName name="BO782BF3A2FE74493EA32AE98343C4B741" localSheetId="5" hidden="1">#REF!</definedName>
    <definedName name="BO782BF3A2FE74493EA32AE98343C4B741" localSheetId="4" hidden="1">#REF!</definedName>
    <definedName name="BO782BF3A2FE74493EA32AE98343C4B741" hidden="1">#REF!</definedName>
    <definedName name="BO78415DE1130A4BCAA846B21E0EC5D667" localSheetId="5" hidden="1">#REF!</definedName>
    <definedName name="BO78415DE1130A4BCAA846B21E0EC5D667" localSheetId="4" hidden="1">#REF!</definedName>
    <definedName name="BO78415DE1130A4BCAA846B21E0EC5D667" hidden="1">#REF!</definedName>
    <definedName name="BO786482A3A5514950BBE4162F7C12A46A" localSheetId="5" hidden="1">[9]xml!#REF!</definedName>
    <definedName name="BO786482A3A5514950BBE4162F7C12A46A" localSheetId="4" hidden="1">[9]xml!#REF!</definedName>
    <definedName name="BO786482A3A5514950BBE4162F7C12A46A" hidden="1">[9]xml!#REF!</definedName>
    <definedName name="BO786697ABC0C84CF1B19EE4CA49BA3E7D" localSheetId="5" hidden="1">#REF!</definedName>
    <definedName name="BO786697ABC0C84CF1B19EE4CA49BA3E7D" localSheetId="4" hidden="1">#REF!</definedName>
    <definedName name="BO786697ABC0C84CF1B19EE4CA49BA3E7D" hidden="1">#REF!</definedName>
    <definedName name="BO788202490D204F1EBB6ABB5D2CC3CA1D" localSheetId="5" hidden="1">#REF!</definedName>
    <definedName name="BO788202490D204F1EBB6ABB5D2CC3CA1D" localSheetId="4" hidden="1">#REF!</definedName>
    <definedName name="BO788202490D204F1EBB6ABB5D2CC3CA1D" hidden="1">#REF!</definedName>
    <definedName name="BO788E5D3E853547BEB61F3C3B672B183E" localSheetId="5" hidden="1">#REF!</definedName>
    <definedName name="BO788E5D3E853547BEB61F3C3B672B183E" localSheetId="4" hidden="1">#REF!</definedName>
    <definedName name="BO788E5D3E853547BEB61F3C3B672B183E" hidden="1">#REF!</definedName>
    <definedName name="BO788ED74ED939412CB753298F77C36E43" localSheetId="5" hidden="1">#REF!</definedName>
    <definedName name="BO788ED74ED939412CB753298F77C36E43" localSheetId="4" hidden="1">#REF!</definedName>
    <definedName name="BO788ED74ED939412CB753298F77C36E43" hidden="1">#REF!</definedName>
    <definedName name="BO7893E4A0FDDA4DEFB6C87748B1C0D7E5" localSheetId="5" hidden="1">#REF!</definedName>
    <definedName name="BO7893E4A0FDDA4DEFB6C87748B1C0D7E5" localSheetId="4" hidden="1">#REF!</definedName>
    <definedName name="BO7893E4A0FDDA4DEFB6C87748B1C0D7E5" hidden="1">#REF!</definedName>
    <definedName name="BO789DA51DABB64E6DAEBD39A29FB548FA" localSheetId="5" hidden="1">#REF!</definedName>
    <definedName name="BO789DA51DABB64E6DAEBD39A29FB548FA" localSheetId="4" hidden="1">#REF!</definedName>
    <definedName name="BO789DA51DABB64E6DAEBD39A29FB548FA" hidden="1">#REF!</definedName>
    <definedName name="BO78A26449E14A4E0898706C634FB8920A" localSheetId="5" hidden="1">#REF!</definedName>
    <definedName name="BO78A26449E14A4E0898706C634FB8920A" localSheetId="4" hidden="1">#REF!</definedName>
    <definedName name="BO78A26449E14A4E0898706C634FB8920A" hidden="1">#REF!</definedName>
    <definedName name="BO78B26688225A431E92C72662FBF21F94" localSheetId="5" hidden="1">#REF!</definedName>
    <definedName name="BO78B26688225A431E92C72662FBF21F94" localSheetId="4" hidden="1">#REF!</definedName>
    <definedName name="BO78B26688225A431E92C72662FBF21F94" hidden="1">#REF!</definedName>
    <definedName name="BO78C24C51799B48EC9BAD7647746A6F2F" localSheetId="5" hidden="1">#REF!</definedName>
    <definedName name="BO78C24C51799B48EC9BAD7647746A6F2F" localSheetId="4" hidden="1">#REF!</definedName>
    <definedName name="BO78C24C51799B48EC9BAD7647746A6F2F" hidden="1">#REF!</definedName>
    <definedName name="BO78CEEB703E4C4D78A579EE8F6D76D929" localSheetId="5" hidden="1">#REF!</definedName>
    <definedName name="BO78CEEB703E4C4D78A579EE8F6D76D929" localSheetId="4" hidden="1">#REF!</definedName>
    <definedName name="BO78CEEB703E4C4D78A579EE8F6D76D929" hidden="1">#REF!</definedName>
    <definedName name="BO78F8A1A2414E4CD5960CB76850A8B04C" localSheetId="5" hidden="1">#REF!</definedName>
    <definedName name="BO78F8A1A2414E4CD5960CB76850A8B04C" localSheetId="4" hidden="1">#REF!</definedName>
    <definedName name="BO78F8A1A2414E4CD5960CB76850A8B04C" hidden="1">#REF!</definedName>
    <definedName name="BO7900DBEF3E8C481CB1DBCA63E0704C8E" localSheetId="5" hidden="1">#REF!</definedName>
    <definedName name="BO7900DBEF3E8C481CB1DBCA63E0704C8E" localSheetId="4" hidden="1">#REF!</definedName>
    <definedName name="BO7900DBEF3E8C481CB1DBCA63E0704C8E" hidden="1">#REF!</definedName>
    <definedName name="BO7907856B095644F1BD520AE5B6D99E5F" localSheetId="5" hidden="1">#REF!</definedName>
    <definedName name="BO7907856B095644F1BD520AE5B6D99E5F" localSheetId="4" hidden="1">#REF!</definedName>
    <definedName name="BO7907856B095644F1BD520AE5B6D99E5F" hidden="1">#REF!</definedName>
    <definedName name="BO795DAC5776584A17BFAB7AF1C9225AC0" localSheetId="5" hidden="1">#REF!</definedName>
    <definedName name="BO795DAC5776584A17BFAB7AF1C9225AC0" localSheetId="4" hidden="1">#REF!</definedName>
    <definedName name="BO795DAC5776584A17BFAB7AF1C9225AC0" hidden="1">#REF!</definedName>
    <definedName name="BO796520ECF0BA480DBCDDCB64C9832C4C" localSheetId="5" hidden="1">#REF!</definedName>
    <definedName name="BO796520ECF0BA480DBCDDCB64C9832C4C" localSheetId="4" hidden="1">#REF!</definedName>
    <definedName name="BO796520ECF0BA480DBCDDCB64C9832C4C" hidden="1">#REF!</definedName>
    <definedName name="BO797DA6191F9E43AB8625A5F6351A1609" localSheetId="5" hidden="1">[10]Giaitrinh!#REF!</definedName>
    <definedName name="BO797DA6191F9E43AB8625A5F6351A1609" localSheetId="4" hidden="1">[10]Giaitrinh!#REF!</definedName>
    <definedName name="BO797DA6191F9E43AB8625A5F6351A1609" hidden="1">[10]Giaitrinh!#REF!</definedName>
    <definedName name="BO798FD8E248DE4C92A7F81EAC0A8F29A7" localSheetId="5" hidden="1">#REF!</definedName>
    <definedName name="BO798FD8E248DE4C92A7F81EAC0A8F29A7" localSheetId="4" hidden="1">#REF!</definedName>
    <definedName name="BO798FD8E248DE4C92A7F81EAC0A8F29A7" hidden="1">#REF!</definedName>
    <definedName name="BO79948B60261640309A720BF242FA8F54" localSheetId="5" hidden="1">#REF!</definedName>
    <definedName name="BO79948B60261640309A720BF242FA8F54" localSheetId="4" hidden="1">#REF!</definedName>
    <definedName name="BO79948B60261640309A720BF242FA8F54" hidden="1">#REF!</definedName>
    <definedName name="BO7998588D8B2D4D6AAEC4719E0F0A55A4" localSheetId="5" hidden="1">#REF!</definedName>
    <definedName name="BO7998588D8B2D4D6AAEC4719E0F0A55A4" localSheetId="4" hidden="1">#REF!</definedName>
    <definedName name="BO7998588D8B2D4D6AAEC4719E0F0A55A4" hidden="1">#REF!</definedName>
    <definedName name="BO79D15267513B4CBA9180350F07F3A98C" localSheetId="5" hidden="1">#REF!</definedName>
    <definedName name="BO79D15267513B4CBA9180350F07F3A98C" localSheetId="4" hidden="1">#REF!</definedName>
    <definedName name="BO79D15267513B4CBA9180350F07F3A98C" hidden="1">#REF!</definedName>
    <definedName name="BO79E32D484B7043B8941F1061F02622FB" localSheetId="5" hidden="1">#REF!</definedName>
    <definedName name="BO79E32D484B7043B8941F1061F02622FB" localSheetId="4" hidden="1">#REF!</definedName>
    <definedName name="BO79E32D484B7043B8941F1061F02622FB" hidden="1">#REF!</definedName>
    <definedName name="BO79F79C58C8A641CF81752FDEA72C10D9" localSheetId="5" hidden="1">#REF!</definedName>
    <definedName name="BO79F79C58C8A641CF81752FDEA72C10D9" localSheetId="4" hidden="1">#REF!</definedName>
    <definedName name="BO79F79C58C8A641CF81752FDEA72C10D9" hidden="1">#REF!</definedName>
    <definedName name="BO7A14BDFD5B2841A8BDFFCCE11C18BE90" localSheetId="5" hidden="1">#REF!</definedName>
    <definedName name="BO7A14BDFD5B2841A8BDFFCCE11C18BE90" localSheetId="4" hidden="1">#REF!</definedName>
    <definedName name="BO7A14BDFD5B2841A8BDFFCCE11C18BE90" hidden="1">#REF!</definedName>
    <definedName name="BO7A202200EAB14FDA887086A174E5A6C1" localSheetId="5" hidden="1">#REF!</definedName>
    <definedName name="BO7A202200EAB14FDA887086A174E5A6C1" localSheetId="4" hidden="1">#REF!</definedName>
    <definedName name="BO7A202200EAB14FDA887086A174E5A6C1" hidden="1">#REF!</definedName>
    <definedName name="BO7A24046088BC4828885DC2A18F24CE23" localSheetId="5" hidden="1">#REF!</definedName>
    <definedName name="BO7A24046088BC4828885DC2A18F24CE23" localSheetId="4" hidden="1">#REF!</definedName>
    <definedName name="BO7A24046088BC4828885DC2A18F24CE23" hidden="1">#REF!</definedName>
    <definedName name="BO7A3E4B6B1E6246EAA461969DE7AEB47B" localSheetId="5" hidden="1">#REF!</definedName>
    <definedName name="BO7A3E4B6B1E6246EAA461969DE7AEB47B" localSheetId="4" hidden="1">#REF!</definedName>
    <definedName name="BO7A3E4B6B1E6246EAA461969DE7AEB47B" hidden="1">#REF!</definedName>
    <definedName name="BO7A4C279B99F74092AC42F095C92BBBB6" localSheetId="5" hidden="1">#REF!</definedName>
    <definedName name="BO7A4C279B99F74092AC42F095C92BBBB6" localSheetId="4" hidden="1">#REF!</definedName>
    <definedName name="BO7A4C279B99F74092AC42F095C92BBBB6" hidden="1">#REF!</definedName>
    <definedName name="BO7A4C7D16C870427DAE3F6995AA7A83C6" localSheetId="5" hidden="1">#REF!</definedName>
    <definedName name="BO7A4C7D16C870427DAE3F6995AA7A83C6" localSheetId="4" hidden="1">#REF!</definedName>
    <definedName name="BO7A4C7D16C870427DAE3F6995AA7A83C6" hidden="1">#REF!</definedName>
    <definedName name="BO7A56D81323D346BCB253ED202182F14C" localSheetId="5" hidden="1">#REF!</definedName>
    <definedName name="BO7A56D81323D346BCB253ED202182F14C" localSheetId="4" hidden="1">#REF!</definedName>
    <definedName name="BO7A56D81323D346BCB253ED202182F14C" hidden="1">#REF!</definedName>
    <definedName name="BO7A67D1A3C2D1457494C925FBF571D683" localSheetId="5" hidden="1">#REF!</definedName>
    <definedName name="BO7A67D1A3C2D1457494C925FBF571D683" localSheetId="4" hidden="1">#REF!</definedName>
    <definedName name="BO7A67D1A3C2D1457494C925FBF571D683" hidden="1">#REF!</definedName>
    <definedName name="BO7A73F44C59344433A028EE2772B5F68A" localSheetId="5" hidden="1">#REF!</definedName>
    <definedName name="BO7A73F44C59344433A028EE2772B5F68A" localSheetId="4" hidden="1">#REF!</definedName>
    <definedName name="BO7A73F44C59344433A028EE2772B5F68A" hidden="1">#REF!</definedName>
    <definedName name="BO7A77E7DD81CB4CC68FEEABE2F3743C94" localSheetId="5" hidden="1">#REF!</definedName>
    <definedName name="BO7A77E7DD81CB4CC68FEEABE2F3743C94" localSheetId="4" hidden="1">#REF!</definedName>
    <definedName name="BO7A77E7DD81CB4CC68FEEABE2F3743C94" hidden="1">#REF!</definedName>
    <definedName name="BO7A84B87F8EDA4FDBAFF63724D92A7D16" localSheetId="5" hidden="1">#REF!</definedName>
    <definedName name="BO7A84B87F8EDA4FDBAFF63724D92A7D16" localSheetId="4" hidden="1">#REF!</definedName>
    <definedName name="BO7A84B87F8EDA4FDBAFF63724D92A7D16" hidden="1">#REF!</definedName>
    <definedName name="BO7A9B727FA00D457E953FD66C4384A791" localSheetId="5" hidden="1">#REF!</definedName>
    <definedName name="BO7A9B727FA00D457E953FD66C4384A791" localSheetId="4" hidden="1">#REF!</definedName>
    <definedName name="BO7A9B727FA00D457E953FD66C4384A791" hidden="1">#REF!</definedName>
    <definedName name="BO7ACA129047DD45B99142AD4BF2FE6CE9" localSheetId="5" hidden="1">#REF!</definedName>
    <definedName name="BO7ACA129047DD45B99142AD4BF2FE6CE9" localSheetId="4" hidden="1">#REF!</definedName>
    <definedName name="BO7ACA129047DD45B99142AD4BF2FE6CE9" hidden="1">#REF!</definedName>
    <definedName name="BO7ADAAAF76D5D4F11A1D6DCE52EDC3F0E" localSheetId="5" hidden="1">#REF!</definedName>
    <definedName name="BO7ADAAAF76D5D4F11A1D6DCE52EDC3F0E" localSheetId="4" hidden="1">#REF!</definedName>
    <definedName name="BO7ADAAAF76D5D4F11A1D6DCE52EDC3F0E" hidden="1">#REF!</definedName>
    <definedName name="BO7AE3A7858A9F4CE792E7BB1F7DE939D9" localSheetId="5" hidden="1">#REF!</definedName>
    <definedName name="BO7AE3A7858A9F4CE792E7BB1F7DE939D9" localSheetId="4" hidden="1">#REF!</definedName>
    <definedName name="BO7AE3A7858A9F4CE792E7BB1F7DE939D9" hidden="1">#REF!</definedName>
    <definedName name="BO7AECE17A45E947888D280C0A3669697F" hidden="1">[8]Ketqua!$I$11:$U$11</definedName>
    <definedName name="BO7AF2782FB7104FC28CFE46F4B181C0A8" localSheetId="5" hidden="1">#REF!</definedName>
    <definedName name="BO7AF2782FB7104FC28CFE46F4B181C0A8" localSheetId="4" hidden="1">#REF!</definedName>
    <definedName name="BO7AF2782FB7104FC28CFE46F4B181C0A8" hidden="1">#REF!</definedName>
    <definedName name="BO7AFBC0003ACC41D3BA1FD46C5FD36617" localSheetId="5" hidden="1">#REF!</definedName>
    <definedName name="BO7AFBC0003ACC41D3BA1FD46C5FD36617" localSheetId="4" hidden="1">#REF!</definedName>
    <definedName name="BO7AFBC0003ACC41D3BA1FD46C5FD36617" hidden="1">#REF!</definedName>
    <definedName name="BO7B0621E09728458A94F2FFFD9FFF1CCB" localSheetId="5" hidden="1">#REF!</definedName>
    <definedName name="BO7B0621E09728458A94F2FFFD9FFF1CCB" localSheetId="4" hidden="1">#REF!</definedName>
    <definedName name="BO7B0621E09728458A94F2FFFD9FFF1CCB" hidden="1">#REF!</definedName>
    <definedName name="BO7B29F6DCD4094D928F64FE4B08254D88" localSheetId="5" hidden="1">#REF!</definedName>
    <definedName name="BO7B29F6DCD4094D928F64FE4B08254D88" localSheetId="4" hidden="1">#REF!</definedName>
    <definedName name="BO7B29F6DCD4094D928F64FE4B08254D88" hidden="1">#REF!</definedName>
    <definedName name="BO7B3C9D6DC3A74194A444220E230F90D1" localSheetId="5" hidden="1">#REF!</definedName>
    <definedName name="BO7B3C9D6DC3A74194A444220E230F90D1" localSheetId="4" hidden="1">#REF!</definedName>
    <definedName name="BO7B3C9D6DC3A74194A444220E230F90D1" hidden="1">#REF!</definedName>
    <definedName name="BO7B3F57C7D37A4D9F932F412B50E3A9C5" localSheetId="5" hidden="1">#REF!</definedName>
    <definedName name="BO7B3F57C7D37A4D9F932F412B50E3A9C5" localSheetId="4" hidden="1">#REF!</definedName>
    <definedName name="BO7B3F57C7D37A4D9F932F412B50E3A9C5" hidden="1">#REF!</definedName>
    <definedName name="BO7B4C1F4DCA5C4F91BE3808330ED991B4" localSheetId="5" hidden="1">#REF!</definedName>
    <definedName name="BO7B4C1F4DCA5C4F91BE3808330ED991B4" localSheetId="4" hidden="1">#REF!</definedName>
    <definedName name="BO7B4C1F4DCA5C4F91BE3808330ED991B4" hidden="1">#REF!</definedName>
    <definedName name="BO7B5705FA795B4415A95726BFE7507495" localSheetId="5" hidden="1">[9]xml!#REF!</definedName>
    <definedName name="BO7B5705FA795B4415A95726BFE7507495" localSheetId="4" hidden="1">[9]xml!#REF!</definedName>
    <definedName name="BO7B5705FA795B4415A95726BFE7507495" hidden="1">[9]xml!#REF!</definedName>
    <definedName name="BO7B6ECD01275743B881052FD39FD5FD32" localSheetId="5" hidden="1">#REF!</definedName>
    <definedName name="BO7B6ECD01275743B881052FD39FD5FD32" localSheetId="4" hidden="1">#REF!</definedName>
    <definedName name="BO7B6ECD01275743B881052FD39FD5FD32" hidden="1">#REF!</definedName>
    <definedName name="BO7BB71DF7CC7F4BF49D180F690BD5DBBE" localSheetId="5" hidden="1">#REF!</definedName>
    <definedName name="BO7BB71DF7CC7F4BF49D180F690BD5DBBE" localSheetId="4" hidden="1">#REF!</definedName>
    <definedName name="BO7BB71DF7CC7F4BF49D180F690BD5DBBE" hidden="1">#REF!</definedName>
    <definedName name="BO7BB7CC54118D40FAA4097E91803D491F" localSheetId="5" hidden="1">#REF!</definedName>
    <definedName name="BO7BB7CC54118D40FAA4097E91803D491F" localSheetId="4" hidden="1">#REF!</definedName>
    <definedName name="BO7BB7CC54118D40FAA4097E91803D491F" hidden="1">#REF!</definedName>
    <definedName name="BO7BBECD97126749A5BD63E736BE94A255" localSheetId="5" hidden="1">#REF!</definedName>
    <definedName name="BO7BBECD97126749A5BD63E736BE94A255" localSheetId="4" hidden="1">#REF!</definedName>
    <definedName name="BO7BBECD97126749A5BD63E736BE94A255" hidden="1">#REF!</definedName>
    <definedName name="BO7BBF0D3FE4F24ABEA7EB00545E696EF3" localSheetId="5" hidden="1">#REF!</definedName>
    <definedName name="BO7BBF0D3FE4F24ABEA7EB00545E696EF3" localSheetId="4" hidden="1">#REF!</definedName>
    <definedName name="BO7BBF0D3FE4F24ABEA7EB00545E696EF3" hidden="1">#REF!</definedName>
    <definedName name="BO7BC170CD198B41C692619BD0B2829984" localSheetId="5" hidden="1">#REF!</definedName>
    <definedName name="BO7BC170CD198B41C692619BD0B2829984" localSheetId="4" hidden="1">#REF!</definedName>
    <definedName name="BO7BC170CD198B41C692619BD0B2829984" hidden="1">#REF!</definedName>
    <definedName name="BO7BCFAE042E0C491C8680E5ABCBBF7957" localSheetId="5" hidden="1">#REF!</definedName>
    <definedName name="BO7BCFAE042E0C491C8680E5ABCBBF7957" localSheetId="4" hidden="1">#REF!</definedName>
    <definedName name="BO7BCFAE042E0C491C8680E5ABCBBF7957" hidden="1">#REF!</definedName>
    <definedName name="BO7BD1D386F31048E1AA08A85FDF52F5D4" localSheetId="5" hidden="1">#REF!</definedName>
    <definedName name="BO7BD1D386F31048E1AA08A85FDF52F5D4" localSheetId="4" hidden="1">#REF!</definedName>
    <definedName name="BO7BD1D386F31048E1AA08A85FDF52F5D4" hidden="1">#REF!</definedName>
    <definedName name="BO7BFEA2FCFFCB48E5B36F4809D85D5E7B" localSheetId="5" hidden="1">#REF!</definedName>
    <definedName name="BO7BFEA2FCFFCB48E5B36F4809D85D5E7B" localSheetId="4" hidden="1">#REF!</definedName>
    <definedName name="BO7BFEA2FCFFCB48E5B36F4809D85D5E7B" hidden="1">#REF!</definedName>
    <definedName name="BO7BFF594E1FEE4946BBAF27C54ADD6291" localSheetId="5" hidden="1">#REF!</definedName>
    <definedName name="BO7BFF594E1FEE4946BBAF27C54ADD6291" localSheetId="4" hidden="1">#REF!</definedName>
    <definedName name="BO7BFF594E1FEE4946BBAF27C54ADD6291" hidden="1">#REF!</definedName>
    <definedName name="BO7C16913B80E24B5DBA9EBB5E5FE3FBBC" localSheetId="5" hidden="1">#REF!</definedName>
    <definedName name="BO7C16913B80E24B5DBA9EBB5E5FE3FBBC" localSheetId="4" hidden="1">#REF!</definedName>
    <definedName name="BO7C16913B80E24B5DBA9EBB5E5FE3FBBC" hidden="1">#REF!</definedName>
    <definedName name="BO7C19B3987BE64CFDB6C34F6F1FBFB432" localSheetId="5" hidden="1">#REF!</definedName>
    <definedName name="BO7C19B3987BE64CFDB6C34F6F1FBFB432" localSheetId="4" hidden="1">#REF!</definedName>
    <definedName name="BO7C19B3987BE64CFDB6C34F6F1FBFB432" hidden="1">#REF!</definedName>
    <definedName name="BO7C47A86CF33C4FCDAA0C54AA65B095A3" localSheetId="5" hidden="1">#REF!</definedName>
    <definedName name="BO7C47A86CF33C4FCDAA0C54AA65B095A3" localSheetId="4" hidden="1">#REF!</definedName>
    <definedName name="BO7C47A86CF33C4FCDAA0C54AA65B095A3" hidden="1">#REF!</definedName>
    <definedName name="BO7C4CD6B9E9C044EB9EC6C389774E6C65" localSheetId="5" hidden="1">#REF!</definedName>
    <definedName name="BO7C4CD6B9E9C044EB9EC6C389774E6C65" localSheetId="4" hidden="1">#REF!</definedName>
    <definedName name="BO7C4CD6B9E9C044EB9EC6C389774E6C65" hidden="1">#REF!</definedName>
    <definedName name="BO7C4E1B7E876445188B34969A634BA9DA" localSheetId="5" hidden="1">#REF!</definedName>
    <definedName name="BO7C4E1B7E876445188B34969A634BA9DA" localSheetId="4" hidden="1">#REF!</definedName>
    <definedName name="BO7C4E1B7E876445188B34969A634BA9DA" hidden="1">#REF!</definedName>
    <definedName name="BO7C57E414F8F944E194E4986AEC4E1CC6" localSheetId="5" hidden="1">#REF!</definedName>
    <definedName name="BO7C57E414F8F944E194E4986AEC4E1CC6" localSheetId="4" hidden="1">#REF!</definedName>
    <definedName name="BO7C57E414F8F944E194E4986AEC4E1CC6" hidden="1">#REF!</definedName>
    <definedName name="BO7C6282EF7FAA49768A71688A643EEC31" localSheetId="5" hidden="1">#REF!</definedName>
    <definedName name="BO7C6282EF7FAA49768A71688A643EEC31" localSheetId="4" hidden="1">#REF!</definedName>
    <definedName name="BO7C6282EF7FAA49768A71688A643EEC31" hidden="1">#REF!</definedName>
    <definedName name="BO7C63A409D70E4E928BFEFC2C74E6728A" localSheetId="5" hidden="1">#REF!</definedName>
    <definedName name="BO7C63A409D70E4E928BFEFC2C74E6728A" localSheetId="4" hidden="1">#REF!</definedName>
    <definedName name="BO7C63A409D70E4E928BFEFC2C74E6728A" hidden="1">#REF!</definedName>
    <definedName name="BO7C7DABCD75A7494CA0243D508880E90D" localSheetId="5" hidden="1">#REF!</definedName>
    <definedName name="BO7C7DABCD75A7494CA0243D508880E90D" localSheetId="4" hidden="1">#REF!</definedName>
    <definedName name="BO7C7DABCD75A7494CA0243D508880E90D" hidden="1">#REF!</definedName>
    <definedName name="BO7CB19D575BA4421B91CCC82C209C8073" localSheetId="5" hidden="1">#REF!</definedName>
    <definedName name="BO7CB19D575BA4421B91CCC82C209C8073" localSheetId="4" hidden="1">#REF!</definedName>
    <definedName name="BO7CB19D575BA4421B91CCC82C209C8073" hidden="1">#REF!</definedName>
    <definedName name="BO7CB713453E414A90B10F3550A0F253EC" localSheetId="5" hidden="1">#REF!</definedName>
    <definedName name="BO7CB713453E414A90B10F3550A0F253EC" localSheetId="4" hidden="1">#REF!</definedName>
    <definedName name="BO7CB713453E414A90B10F3550A0F253EC" hidden="1">#REF!</definedName>
    <definedName name="BO7CC386BC612F4996866980D6A2E0A4C5" localSheetId="5" hidden="1">#REF!</definedName>
    <definedName name="BO7CC386BC612F4996866980D6A2E0A4C5" localSheetId="4" hidden="1">#REF!</definedName>
    <definedName name="BO7CC386BC612F4996866980D6A2E0A4C5" hidden="1">#REF!</definedName>
    <definedName name="BO7CD34C71EDCC427CB2934EAF7FC6D50E" localSheetId="5" hidden="1">#REF!</definedName>
    <definedName name="BO7CD34C71EDCC427CB2934EAF7FC6D50E" localSheetId="4" hidden="1">#REF!</definedName>
    <definedName name="BO7CD34C71EDCC427CB2934EAF7FC6D50E" hidden="1">#REF!</definedName>
    <definedName name="BO7CDE0708B32D4B0FBA3A684377AE0820" localSheetId="5" hidden="1">#REF!</definedName>
    <definedName name="BO7CDE0708B32D4B0FBA3A684377AE0820" localSheetId="4" hidden="1">#REF!</definedName>
    <definedName name="BO7CDE0708B32D4B0FBA3A684377AE0820" hidden="1">#REF!</definedName>
    <definedName name="BO7CF80174494E42BABF42C12A8C546D70" localSheetId="5" hidden="1">#REF!</definedName>
    <definedName name="BO7CF80174494E42BABF42C12A8C546D70" localSheetId="4" hidden="1">#REF!</definedName>
    <definedName name="BO7CF80174494E42BABF42C12A8C546D70" hidden="1">#REF!</definedName>
    <definedName name="BO7D1FDB8727184C13B4570E65F80DC3A8" localSheetId="5" hidden="1">#REF!</definedName>
    <definedName name="BO7D1FDB8727184C13B4570E65F80DC3A8" localSheetId="4" hidden="1">#REF!</definedName>
    <definedName name="BO7D1FDB8727184C13B4570E65F80DC3A8" hidden="1">#REF!</definedName>
    <definedName name="BO7D225AD2344747EE88955A2CECB92136" localSheetId="5" hidden="1">#REF!</definedName>
    <definedName name="BO7D225AD2344747EE88955A2CECB92136" localSheetId="4" hidden="1">#REF!</definedName>
    <definedName name="BO7D225AD2344747EE88955A2CECB92136" hidden="1">#REF!</definedName>
    <definedName name="BO7D2EA66DF2E7481DA3B087A68D516C3D" localSheetId="5" hidden="1">#REF!</definedName>
    <definedName name="BO7D2EA66DF2E7481DA3B087A68D516C3D" localSheetId="4" hidden="1">#REF!</definedName>
    <definedName name="BO7D2EA66DF2E7481DA3B087A68D516C3D" hidden="1">#REF!</definedName>
    <definedName name="BO7D3A1BBFA8E7440E8EE04478EB465AE4" localSheetId="5" hidden="1">#REF!</definedName>
    <definedName name="BO7D3A1BBFA8E7440E8EE04478EB465AE4" localSheetId="4" hidden="1">#REF!</definedName>
    <definedName name="BO7D3A1BBFA8E7440E8EE04478EB465AE4" hidden="1">#REF!</definedName>
    <definedName name="BO7D3E7D4B3AAD47D79CFD56AC28C06CD5" localSheetId="5" hidden="1">#REF!</definedName>
    <definedName name="BO7D3E7D4B3AAD47D79CFD56AC28C06CD5" localSheetId="4" hidden="1">#REF!</definedName>
    <definedName name="BO7D3E7D4B3AAD47D79CFD56AC28C06CD5" hidden="1">#REF!</definedName>
    <definedName name="BO7D5153C33D554CE4A1BA32177D5DE9B3" localSheetId="5" hidden="1">#REF!</definedName>
    <definedName name="BO7D5153C33D554CE4A1BA32177D5DE9B3" localSheetId="4" hidden="1">#REF!</definedName>
    <definedName name="BO7D5153C33D554CE4A1BA32177D5DE9B3" hidden="1">#REF!</definedName>
    <definedName name="BO7D74CA4352B94CADA69060B858A229A7" localSheetId="5" hidden="1">#REF!</definedName>
    <definedName name="BO7D74CA4352B94CADA69060B858A229A7" localSheetId="4" hidden="1">#REF!</definedName>
    <definedName name="BO7D74CA4352B94CADA69060B858A229A7" hidden="1">#REF!</definedName>
    <definedName name="BO7D82E5864E5942ADB92BAC45EDEE2373" localSheetId="5" hidden="1">#REF!</definedName>
    <definedName name="BO7D82E5864E5942ADB92BAC45EDEE2373" localSheetId="4" hidden="1">#REF!</definedName>
    <definedName name="BO7D82E5864E5942ADB92BAC45EDEE2373" hidden="1">#REF!</definedName>
    <definedName name="BO7D89FACA725047CB91C9B25626B1B1A8" localSheetId="5" hidden="1">#REF!</definedName>
    <definedName name="BO7D89FACA725047CB91C9B25626B1B1A8" localSheetId="4" hidden="1">#REF!</definedName>
    <definedName name="BO7D89FACA725047CB91C9B25626B1B1A8" hidden="1">#REF!</definedName>
    <definedName name="BO7D93C65EB0A44BBF9FCB07C446798A2C" localSheetId="5" hidden="1">#REF!</definedName>
    <definedName name="BO7D93C65EB0A44BBF9FCB07C446798A2C" localSheetId="4" hidden="1">#REF!</definedName>
    <definedName name="BO7D93C65EB0A44BBF9FCB07C446798A2C" hidden="1">#REF!</definedName>
    <definedName name="BO7D9EC14CB2C94E22AF59562547C8BB47" localSheetId="5" hidden="1">#REF!</definedName>
    <definedName name="BO7D9EC14CB2C94E22AF59562547C8BB47" localSheetId="4" hidden="1">#REF!</definedName>
    <definedName name="BO7D9EC14CB2C94E22AF59562547C8BB47" hidden="1">#REF!</definedName>
    <definedName name="BO7DAC06DCC8FC40D5A38F085EF24C110B" localSheetId="5" hidden="1">#REF!</definedName>
    <definedName name="BO7DAC06DCC8FC40D5A38F085EF24C110B" localSheetId="4" hidden="1">#REF!</definedName>
    <definedName name="BO7DAC06DCC8FC40D5A38F085EF24C110B" hidden="1">#REF!</definedName>
    <definedName name="BO7DB9636AF6B6464587E05192DDA8F0FA" localSheetId="5" hidden="1">#REF!</definedName>
    <definedName name="BO7DB9636AF6B6464587E05192DDA8F0FA" localSheetId="4" hidden="1">#REF!</definedName>
    <definedName name="BO7DB9636AF6B6464587E05192DDA8F0FA" hidden="1">#REF!</definedName>
    <definedName name="BO7DB99E66FA9F4C188B1DA2EB33053C58" localSheetId="5" hidden="1">#REF!</definedName>
    <definedName name="BO7DB99E66FA9F4C188B1DA2EB33053C58" localSheetId="4" hidden="1">#REF!</definedName>
    <definedName name="BO7DB99E66FA9F4C188B1DA2EB33053C58" hidden="1">#REF!</definedName>
    <definedName name="BO7DBBE8B2D3EF445282BC0CB8AD4B8131" localSheetId="5" hidden="1">#REF!</definedName>
    <definedName name="BO7DBBE8B2D3EF445282BC0CB8AD4B8131" localSheetId="4" hidden="1">#REF!</definedName>
    <definedName name="BO7DBBE8B2D3EF445282BC0CB8AD4B8131" hidden="1">#REF!</definedName>
    <definedName name="BO7DCF6E63D2294BA5BF155FE231B51F47" localSheetId="5" hidden="1">#REF!</definedName>
    <definedName name="BO7DCF6E63D2294BA5BF155FE231B51F47" localSheetId="4" hidden="1">#REF!</definedName>
    <definedName name="BO7DCF6E63D2294BA5BF155FE231B51F47" hidden="1">#REF!</definedName>
    <definedName name="BO7DFCA2EAF924464885C3726D73AC2909" localSheetId="5" hidden="1">#REF!</definedName>
    <definedName name="BO7DFCA2EAF924464885C3726D73AC2909" localSheetId="4" hidden="1">#REF!</definedName>
    <definedName name="BO7DFCA2EAF924464885C3726D73AC2909" hidden="1">#REF!</definedName>
    <definedName name="BO7E13A36E29824D7DA3BB02348F36583D" localSheetId="5" hidden="1">#REF!</definedName>
    <definedName name="BO7E13A36E29824D7DA3BB02348F36583D" localSheetId="4" hidden="1">#REF!</definedName>
    <definedName name="BO7E13A36E29824D7DA3BB02348F36583D" hidden="1">#REF!</definedName>
    <definedName name="BO7E1EB127D17647DCAF66576435571B9D" localSheetId="5" hidden="1">#REF!</definedName>
    <definedName name="BO7E1EB127D17647DCAF66576435571B9D" localSheetId="4" hidden="1">#REF!</definedName>
    <definedName name="BO7E1EB127D17647DCAF66576435571B9D" hidden="1">#REF!</definedName>
    <definedName name="BO7E20AF36C10E4DE1ACFF5DAB21E6F0CF" localSheetId="5" hidden="1">#REF!</definedName>
    <definedName name="BO7E20AF36C10E4DE1ACFF5DAB21E6F0CF" localSheetId="4" hidden="1">#REF!</definedName>
    <definedName name="BO7E20AF36C10E4DE1ACFF5DAB21E6F0CF" hidden="1">#REF!</definedName>
    <definedName name="BO7E34B31EA5A046C898316D1B32E4249F" localSheetId="5" hidden="1">#REF!</definedName>
    <definedName name="BO7E34B31EA5A046C898316D1B32E4249F" localSheetId="4" hidden="1">#REF!</definedName>
    <definedName name="BO7E34B31EA5A046C898316D1B32E4249F" hidden="1">#REF!</definedName>
    <definedName name="BO7E3CE31DF3F446469C5C0194D7FDB09A" localSheetId="5" hidden="1">#REF!</definedName>
    <definedName name="BO7E3CE31DF3F446469C5C0194D7FDB09A" localSheetId="4" hidden="1">#REF!</definedName>
    <definedName name="BO7E3CE31DF3F446469C5C0194D7FDB09A" hidden="1">#REF!</definedName>
    <definedName name="BO7E41D564AEEA4C6280E66CE7C612FD8B" localSheetId="5" hidden="1">#REF!</definedName>
    <definedName name="BO7E41D564AEEA4C6280E66CE7C612FD8B" localSheetId="4" hidden="1">#REF!</definedName>
    <definedName name="BO7E41D564AEEA4C6280E66CE7C612FD8B" hidden="1">#REF!</definedName>
    <definedName name="BO7E5AD48C85964A4DA0892651C66FB5FA" localSheetId="5" hidden="1">#REF!</definedName>
    <definedName name="BO7E5AD48C85964A4DA0892651C66FB5FA" localSheetId="4" hidden="1">#REF!</definedName>
    <definedName name="BO7E5AD48C85964A4DA0892651C66FB5FA" hidden="1">#REF!</definedName>
    <definedName name="BO7E74EB17091144229C8DA32E72D0B0DE" localSheetId="5" hidden="1">#REF!</definedName>
    <definedName name="BO7E74EB17091144229C8DA32E72D0B0DE" localSheetId="4" hidden="1">#REF!</definedName>
    <definedName name="BO7E74EB17091144229C8DA32E72D0B0DE" hidden="1">#REF!</definedName>
    <definedName name="BO7E8D4FF65DA347CBBE0C81402A68E512" localSheetId="5" hidden="1">#REF!</definedName>
    <definedName name="BO7E8D4FF65DA347CBBE0C81402A68E512" localSheetId="4" hidden="1">#REF!</definedName>
    <definedName name="BO7E8D4FF65DA347CBBE0C81402A68E512" hidden="1">#REF!</definedName>
    <definedName name="BO7EAA87F33603446D90C1C1B2BB3DC1D0" localSheetId="5" hidden="1">#REF!</definedName>
    <definedName name="BO7EAA87F33603446D90C1C1B2BB3DC1D0" localSheetId="4" hidden="1">#REF!</definedName>
    <definedName name="BO7EAA87F33603446D90C1C1B2BB3DC1D0" hidden="1">#REF!</definedName>
    <definedName name="BO7EBB704D18074803A628A60B199945C8" localSheetId="5" hidden="1">#REF!</definedName>
    <definedName name="BO7EBB704D18074803A628A60B199945C8" localSheetId="4" hidden="1">#REF!</definedName>
    <definedName name="BO7EBB704D18074803A628A60B199945C8" hidden="1">#REF!</definedName>
    <definedName name="BO7ECA0CE87AD5486E8B520A1B3C302741" localSheetId="5" hidden="1">#REF!</definedName>
    <definedName name="BO7ECA0CE87AD5486E8B520A1B3C302741" localSheetId="4" hidden="1">#REF!</definedName>
    <definedName name="BO7ECA0CE87AD5486E8B520A1B3C302741" hidden="1">#REF!</definedName>
    <definedName name="BO7ED2877E1E044BF588CE91B0F73A907C" localSheetId="5" hidden="1">#REF!</definedName>
    <definedName name="BO7ED2877E1E044BF588CE91B0F73A907C" localSheetId="4" hidden="1">#REF!</definedName>
    <definedName name="BO7ED2877E1E044BF588CE91B0F73A907C" hidden="1">#REF!</definedName>
    <definedName name="BO7F100A3F2F3C4DA28A51351899E364CF" localSheetId="5" hidden="1">#REF!</definedName>
    <definedName name="BO7F100A3F2F3C4DA28A51351899E364CF" localSheetId="4" hidden="1">#REF!</definedName>
    <definedName name="BO7F100A3F2F3C4DA28A51351899E364CF" hidden="1">#REF!</definedName>
    <definedName name="BO7F2C1B6954774144A8688BBF844181A3" localSheetId="5" hidden="1">#REF!</definedName>
    <definedName name="BO7F2C1B6954774144A8688BBF844181A3" localSheetId="4" hidden="1">#REF!</definedName>
    <definedName name="BO7F2C1B6954774144A8688BBF844181A3" hidden="1">#REF!</definedName>
    <definedName name="BO7F328DF0B87B4733927898ED428C4902" localSheetId="5" hidden="1">#REF!</definedName>
    <definedName name="BO7F328DF0B87B4733927898ED428C4902" localSheetId="4" hidden="1">#REF!</definedName>
    <definedName name="BO7F328DF0B87B4733927898ED428C4902" hidden="1">#REF!</definedName>
    <definedName name="BO7F4A0B14B06E49EBB97E18A4B15BA51E" localSheetId="5" hidden="1">#REF!</definedName>
    <definedName name="BO7F4A0B14B06E49EBB97E18A4B15BA51E" localSheetId="4" hidden="1">#REF!</definedName>
    <definedName name="BO7F4A0B14B06E49EBB97E18A4B15BA51E" hidden="1">#REF!</definedName>
    <definedName name="BO7F5D4C35425E426D8A302B12D509ECAC" localSheetId="5" hidden="1">#REF!</definedName>
    <definedName name="BO7F5D4C35425E426D8A302B12D509ECAC" localSheetId="4" hidden="1">#REF!</definedName>
    <definedName name="BO7F5D4C35425E426D8A302B12D509ECAC" hidden="1">#REF!</definedName>
    <definedName name="BO7F733737D2164EB396378752B251DF56" localSheetId="5" hidden="1">#REF!</definedName>
    <definedName name="BO7F733737D2164EB396378752B251DF56" localSheetId="4" hidden="1">#REF!</definedName>
    <definedName name="BO7F733737D2164EB396378752B251DF56" hidden="1">#REF!</definedName>
    <definedName name="BO7F7734244CAF4A0CA43F95079155139D" localSheetId="5" hidden="1">#REF!</definedName>
    <definedName name="BO7F7734244CAF4A0CA43F95079155139D" localSheetId="4" hidden="1">#REF!</definedName>
    <definedName name="BO7F7734244CAF4A0CA43F95079155139D" hidden="1">#REF!</definedName>
    <definedName name="BO7FA568F38B8549BD8CCB4099EBA6D59E" localSheetId="5" hidden="1">[8]Ketqua!#REF!</definedName>
    <definedName name="BO7FA568F38B8549BD8CCB4099EBA6D59E" localSheetId="4" hidden="1">[8]Ketqua!#REF!</definedName>
    <definedName name="BO7FA568F38B8549BD8CCB4099EBA6D59E" hidden="1">[8]Ketqua!#REF!</definedName>
    <definedName name="BO7FA7C81A947B44988C21EE55C79EFB07" localSheetId="5" hidden="1">#REF!</definedName>
    <definedName name="BO7FA7C81A947B44988C21EE55C79EFB07" localSheetId="4" hidden="1">#REF!</definedName>
    <definedName name="BO7FA7C81A947B44988C21EE55C79EFB07" hidden="1">#REF!</definedName>
    <definedName name="BO7FD411C057C44D5C88A5710AA4342420" localSheetId="5" hidden="1">#REF!</definedName>
    <definedName name="BO7FD411C057C44D5C88A5710AA4342420" localSheetId="4" hidden="1">#REF!</definedName>
    <definedName name="BO7FD411C057C44D5C88A5710AA4342420" hidden="1">#REF!</definedName>
    <definedName name="BO7FE15ABA24B8440CB3D66CB2BEB8CD57" localSheetId="5" hidden="1">#REF!</definedName>
    <definedName name="BO7FE15ABA24B8440CB3D66CB2BEB8CD57" localSheetId="4" hidden="1">#REF!</definedName>
    <definedName name="BO7FE15ABA24B8440CB3D66CB2BEB8CD57" hidden="1">#REF!</definedName>
    <definedName name="BO7FE3D3568EFB45599936A66C07E97E9B" localSheetId="5" hidden="1">#REF!</definedName>
    <definedName name="BO7FE3D3568EFB45599936A66C07E97E9B" localSheetId="4" hidden="1">#REF!</definedName>
    <definedName name="BO7FE3D3568EFB45599936A66C07E97E9B" hidden="1">#REF!</definedName>
    <definedName name="BO7FED074D327A46A5B3846340D3E435AA" hidden="1">[8]Ketqua!$X$10:$AJ$10</definedName>
    <definedName name="BO7FFA1DF9AE0E46DCBADDF27E62FE0F6F" localSheetId="5" hidden="1">#REF!</definedName>
    <definedName name="BO7FFA1DF9AE0E46DCBADDF27E62FE0F6F" localSheetId="4" hidden="1">#REF!</definedName>
    <definedName name="BO7FFA1DF9AE0E46DCBADDF27E62FE0F6F" hidden="1">#REF!</definedName>
    <definedName name="BO8025E890FFF74E7AA455F9CFB6C77A45" localSheetId="5" hidden="1">#REF!</definedName>
    <definedName name="BO8025E890FFF74E7AA455F9CFB6C77A45" localSheetId="4" hidden="1">#REF!</definedName>
    <definedName name="BO8025E890FFF74E7AA455F9CFB6C77A45" hidden="1">#REF!</definedName>
    <definedName name="BO8026067F176D423BB8A45430475AA310" localSheetId="5" hidden="1">#REF!</definedName>
    <definedName name="BO8026067F176D423BB8A45430475AA310" localSheetId="4" hidden="1">#REF!</definedName>
    <definedName name="BO8026067F176D423BB8A45430475AA310" hidden="1">#REF!</definedName>
    <definedName name="BO8026F1FD9624415A83D6DD000F349036" localSheetId="5" hidden="1">#REF!</definedName>
    <definedName name="BO8026F1FD9624415A83D6DD000F349036" localSheetId="4" hidden="1">#REF!</definedName>
    <definedName name="BO8026F1FD9624415A83D6DD000F349036" hidden="1">#REF!</definedName>
    <definedName name="BO8036027B31214345B621FD51102032D4" localSheetId="5" hidden="1">#REF!</definedName>
    <definedName name="BO8036027B31214345B621FD51102032D4" localSheetId="4" hidden="1">#REF!</definedName>
    <definedName name="BO8036027B31214345B621FD51102032D4" hidden="1">#REF!</definedName>
    <definedName name="BO806F055F6D3248B38530AA53D8ABD768" localSheetId="5" hidden="1">#REF!</definedName>
    <definedName name="BO806F055F6D3248B38530AA53D8ABD768" localSheetId="4" hidden="1">#REF!</definedName>
    <definedName name="BO806F055F6D3248B38530AA53D8ABD768" hidden="1">#REF!</definedName>
    <definedName name="BO80886FD3215348608E5DC92F04FC62B8" localSheetId="5" hidden="1">#REF!</definedName>
    <definedName name="BO80886FD3215348608E5DC92F04FC62B8" localSheetId="4" hidden="1">#REF!</definedName>
    <definedName name="BO80886FD3215348608E5DC92F04FC62B8" hidden="1">#REF!</definedName>
    <definedName name="BO808D0BF0B2354262A1BDB96849FA811D" localSheetId="5" hidden="1">#REF!</definedName>
    <definedName name="BO808D0BF0B2354262A1BDB96849FA811D" localSheetId="4" hidden="1">#REF!</definedName>
    <definedName name="BO808D0BF0B2354262A1BDB96849FA811D" hidden="1">#REF!</definedName>
    <definedName name="BO809078F987EF4B93AEDA12E8563A1B55" localSheetId="5" hidden="1">#REF!</definedName>
    <definedName name="BO809078F987EF4B93AEDA12E8563A1B55" localSheetId="4" hidden="1">#REF!</definedName>
    <definedName name="BO809078F987EF4B93AEDA12E8563A1B55" hidden="1">#REF!</definedName>
    <definedName name="BO80C02804DA2744ABBBE454BF6D80A4D3" localSheetId="5" hidden="1">#REF!</definedName>
    <definedName name="BO80C02804DA2744ABBBE454BF6D80A4D3" localSheetId="4" hidden="1">#REF!</definedName>
    <definedName name="BO80C02804DA2744ABBBE454BF6D80A4D3" hidden="1">#REF!</definedName>
    <definedName name="BO80E41CB5CADD420F8D0E1B0833B86BE7" localSheetId="5" hidden="1">#REF!</definedName>
    <definedName name="BO80E41CB5CADD420F8D0E1B0833B86BE7" localSheetId="4" hidden="1">#REF!</definedName>
    <definedName name="BO80E41CB5CADD420F8D0E1B0833B86BE7" hidden="1">#REF!</definedName>
    <definedName name="BO80F01F433AED4BA9B57F1088CBCCE98C" localSheetId="5" hidden="1">#REF!</definedName>
    <definedName name="BO80F01F433AED4BA9B57F1088CBCCE98C" localSheetId="4" hidden="1">#REF!</definedName>
    <definedName name="BO80F01F433AED4BA9B57F1088CBCCE98C" hidden="1">#REF!</definedName>
    <definedName name="BO81056B718AE84C1B9C92BA3450F435BA" localSheetId="5" hidden="1">#REF!</definedName>
    <definedName name="BO81056B718AE84C1B9C92BA3450F435BA" localSheetId="4" hidden="1">#REF!</definedName>
    <definedName name="BO81056B718AE84C1B9C92BA3450F435BA" hidden="1">#REF!</definedName>
    <definedName name="BO810998062223484C991CD91FD6A6BB28" localSheetId="5" hidden="1">#REF!</definedName>
    <definedName name="BO810998062223484C991CD91FD6A6BB28" localSheetId="4" hidden="1">#REF!</definedName>
    <definedName name="BO810998062223484C991CD91FD6A6BB28" hidden="1">#REF!</definedName>
    <definedName name="BO81124862005F424FA1E78C5F5A56CE77" localSheetId="5" hidden="1">#REF!</definedName>
    <definedName name="BO81124862005F424FA1E78C5F5A56CE77" localSheetId="4" hidden="1">#REF!</definedName>
    <definedName name="BO81124862005F424FA1E78C5F5A56CE77" hidden="1">#REF!</definedName>
    <definedName name="BO8116D3330FC0481ABDE5EA390248C0FB" localSheetId="5" hidden="1">#REF!</definedName>
    <definedName name="BO8116D3330FC0481ABDE5EA390248C0FB" localSheetId="4" hidden="1">#REF!</definedName>
    <definedName name="BO8116D3330FC0481ABDE5EA390248C0FB" hidden="1">#REF!</definedName>
    <definedName name="BO81195C6D5FD448CCA88808ADC384B729" localSheetId="5" hidden="1">#REF!</definedName>
    <definedName name="BO81195C6D5FD448CCA88808ADC384B729" localSheetId="4" hidden="1">#REF!</definedName>
    <definedName name="BO81195C6D5FD448CCA88808ADC384B729" hidden="1">#REF!</definedName>
    <definedName name="BO8123F167E50048FC943435D5C43BEAD6" localSheetId="5" hidden="1">#REF!</definedName>
    <definedName name="BO8123F167E50048FC943435D5C43BEAD6" localSheetId="4" hidden="1">#REF!</definedName>
    <definedName name="BO8123F167E50048FC943435D5C43BEAD6" hidden="1">#REF!</definedName>
    <definedName name="BO8129AD0FD5674B83BC5405EF191ADA7B" localSheetId="5" hidden="1">#REF!</definedName>
    <definedName name="BO8129AD0FD5674B83BC5405EF191ADA7B" localSheetId="4" hidden="1">#REF!</definedName>
    <definedName name="BO8129AD0FD5674B83BC5405EF191ADA7B" hidden="1">#REF!</definedName>
    <definedName name="BO812D1D90173740FF9EB59A105954F73E" localSheetId="5" hidden="1">[9]xml!#REF!</definedName>
    <definedName name="BO812D1D90173740FF9EB59A105954F73E" localSheetId="4" hidden="1">[9]xml!#REF!</definedName>
    <definedName name="BO812D1D90173740FF9EB59A105954F73E" hidden="1">[9]xml!#REF!</definedName>
    <definedName name="BO81398069C13F4CF48755661AA61D4B05" localSheetId="5" hidden="1">#REF!</definedName>
    <definedName name="BO81398069C13F4CF48755661AA61D4B05" localSheetId="4" hidden="1">#REF!</definedName>
    <definedName name="BO81398069C13F4CF48755661AA61D4B05" hidden="1">#REF!</definedName>
    <definedName name="BO813B65ED679A4ED08E62569F3A62E909" localSheetId="5" hidden="1">#REF!</definedName>
    <definedName name="BO813B65ED679A4ED08E62569F3A62E909" localSheetId="4" hidden="1">#REF!</definedName>
    <definedName name="BO813B65ED679A4ED08E62569F3A62E909" hidden="1">#REF!</definedName>
    <definedName name="BO8140CB8CB4934D52A45138EFCF43482F" localSheetId="5" hidden="1">#REF!</definedName>
    <definedName name="BO8140CB8CB4934D52A45138EFCF43482F" localSheetId="4" hidden="1">#REF!</definedName>
    <definedName name="BO8140CB8CB4934D52A45138EFCF43482F" hidden="1">#REF!</definedName>
    <definedName name="BO8152E1CBEABA406BB88B1EA29F8BD9B5" localSheetId="5" hidden="1">#REF!</definedName>
    <definedName name="BO8152E1CBEABA406BB88B1EA29F8BD9B5" localSheetId="4" hidden="1">#REF!</definedName>
    <definedName name="BO8152E1CBEABA406BB88B1EA29F8BD9B5" hidden="1">#REF!</definedName>
    <definedName name="BO815A38454A38422DAE2CBA1F342AB384" localSheetId="5" hidden="1">#REF!</definedName>
    <definedName name="BO815A38454A38422DAE2CBA1F342AB384" localSheetId="4" hidden="1">#REF!</definedName>
    <definedName name="BO815A38454A38422DAE2CBA1F342AB384" hidden="1">#REF!</definedName>
    <definedName name="BO8160DAE7346B4302A174200177384D45" localSheetId="5" hidden="1">#REF!</definedName>
    <definedName name="BO8160DAE7346B4302A174200177384D45" localSheetId="4" hidden="1">#REF!</definedName>
    <definedName name="BO8160DAE7346B4302A174200177384D45" hidden="1">#REF!</definedName>
    <definedName name="BO8161C454A2A04D77934C4F2B83E1D4AB" localSheetId="5" hidden="1">#REF!</definedName>
    <definedName name="BO8161C454A2A04D77934C4F2B83E1D4AB" localSheetId="4" hidden="1">#REF!</definedName>
    <definedName name="BO8161C454A2A04D77934C4F2B83E1D4AB" hidden="1">#REF!</definedName>
    <definedName name="BO816B7D96E133441DB33D05D34EA0ABD3" localSheetId="5" hidden="1">#REF!</definedName>
    <definedName name="BO816B7D96E133441DB33D05D34EA0ABD3" localSheetId="4" hidden="1">#REF!</definedName>
    <definedName name="BO816B7D96E133441DB33D05D34EA0ABD3" hidden="1">#REF!</definedName>
    <definedName name="BO8171ABCBF01049B4A05A79AC4000141F" localSheetId="5" hidden="1">#REF!</definedName>
    <definedName name="BO8171ABCBF01049B4A05A79AC4000141F" localSheetId="4" hidden="1">#REF!</definedName>
    <definedName name="BO8171ABCBF01049B4A05A79AC4000141F" hidden="1">#REF!</definedName>
    <definedName name="BO818525C2CFF2438484295F6096E668F5" localSheetId="5" hidden="1">#REF!</definedName>
    <definedName name="BO818525C2CFF2438484295F6096E668F5" localSheetId="4" hidden="1">#REF!</definedName>
    <definedName name="BO818525C2CFF2438484295F6096E668F5" hidden="1">#REF!</definedName>
    <definedName name="BO8185A22756D844D485A4345BFAA5E51B" localSheetId="5" hidden="1">#REF!</definedName>
    <definedName name="BO8185A22756D844D485A4345BFAA5E51B" localSheetId="4" hidden="1">#REF!</definedName>
    <definedName name="BO8185A22756D844D485A4345BFAA5E51B" hidden="1">#REF!</definedName>
    <definedName name="BO81889E13E8BD4C878CCC1CCC34498B32" localSheetId="5" hidden="1">#REF!</definedName>
    <definedName name="BO81889E13E8BD4C878CCC1CCC34498B32" localSheetId="4" hidden="1">#REF!</definedName>
    <definedName name="BO81889E13E8BD4C878CCC1CCC34498B32" hidden="1">#REF!</definedName>
    <definedName name="BO81AA5F438ECA417D8B8750AEE7E7416D" localSheetId="5" hidden="1">#REF!</definedName>
    <definedName name="BO81AA5F438ECA417D8B8750AEE7E7416D" localSheetId="4" hidden="1">#REF!</definedName>
    <definedName name="BO81AA5F438ECA417D8B8750AEE7E7416D" hidden="1">#REF!</definedName>
    <definedName name="BO81AEAD8E3AC448D99EC68869FDA8ECAD" localSheetId="5" hidden="1">#REF!</definedName>
    <definedName name="BO81AEAD8E3AC448D99EC68869FDA8ECAD" localSheetId="4" hidden="1">#REF!</definedName>
    <definedName name="BO81AEAD8E3AC448D99EC68869FDA8ECAD" hidden="1">#REF!</definedName>
    <definedName name="BO81B3415116AC43AF9C57F6B7F24B9CC4" localSheetId="5" hidden="1">#REF!</definedName>
    <definedName name="BO81B3415116AC43AF9C57F6B7F24B9CC4" localSheetId="4" hidden="1">#REF!</definedName>
    <definedName name="BO81B3415116AC43AF9C57F6B7F24B9CC4" hidden="1">#REF!</definedName>
    <definedName name="BO81D37D16DB894932AABCA35600FE54D0" localSheetId="5" hidden="1">#REF!</definedName>
    <definedName name="BO81D37D16DB894932AABCA35600FE54D0" localSheetId="4" hidden="1">#REF!</definedName>
    <definedName name="BO81D37D16DB894932AABCA35600FE54D0" hidden="1">#REF!</definedName>
    <definedName name="BO81EB4DF8F6194B6D99943B71E32D1F8E" localSheetId="5" hidden="1">#REF!</definedName>
    <definedName name="BO81EB4DF8F6194B6D99943B71E32D1F8E" localSheetId="4" hidden="1">#REF!</definedName>
    <definedName name="BO81EB4DF8F6194B6D99943B71E32D1F8E" hidden="1">#REF!</definedName>
    <definedName name="BO81EF3F27087C4D98ACC351EF41E7665F" localSheetId="5" hidden="1">#REF!</definedName>
    <definedName name="BO81EF3F27087C4D98ACC351EF41E7665F" localSheetId="4" hidden="1">#REF!</definedName>
    <definedName name="BO81EF3F27087C4D98ACC351EF41E7665F" hidden="1">#REF!</definedName>
    <definedName name="BO8204C98D845C47289C2A48ACE7BB360F" localSheetId="5" hidden="1">#REF!</definedName>
    <definedName name="BO8204C98D845C47289C2A48ACE7BB360F" localSheetId="4" hidden="1">#REF!</definedName>
    <definedName name="BO8204C98D845C47289C2A48ACE7BB360F" hidden="1">#REF!</definedName>
    <definedName name="BO821B1683C6C940ACA20F3FF7CBA6AE5C" localSheetId="5" hidden="1">#REF!</definedName>
    <definedName name="BO821B1683C6C940ACA20F3FF7CBA6AE5C" localSheetId="4" hidden="1">#REF!</definedName>
    <definedName name="BO821B1683C6C940ACA20F3FF7CBA6AE5C" hidden="1">#REF!</definedName>
    <definedName name="BO823A35FDC9FF43708B18DB11AE72EA46" localSheetId="5" hidden="1">#REF!</definedName>
    <definedName name="BO823A35FDC9FF43708B18DB11AE72EA46" localSheetId="4" hidden="1">#REF!</definedName>
    <definedName name="BO823A35FDC9FF43708B18DB11AE72EA46" hidden="1">#REF!</definedName>
    <definedName name="BO82599D26C22F4ECBAFBDBDDD0AC6B9DC" hidden="1">[8]Ketqua!$X$16:$AJ$16</definedName>
    <definedName name="BO8270DC61B3634703802A06111963247A" localSheetId="5" hidden="1">#REF!</definedName>
    <definedName name="BO8270DC61B3634703802A06111963247A" localSheetId="4" hidden="1">#REF!</definedName>
    <definedName name="BO8270DC61B3634703802A06111963247A" hidden="1">#REF!</definedName>
    <definedName name="BO8271FF2B72A4468699A1BEBB1CE7770A" localSheetId="5" hidden="1">#REF!</definedName>
    <definedName name="BO8271FF2B72A4468699A1BEBB1CE7770A" localSheetId="4" hidden="1">#REF!</definedName>
    <definedName name="BO8271FF2B72A4468699A1BEBB1CE7770A" hidden="1">#REF!</definedName>
    <definedName name="BO828C727B9F184011B97187B8FE59D9AE" localSheetId="5" hidden="1">#REF!</definedName>
    <definedName name="BO828C727B9F184011B97187B8FE59D9AE" localSheetId="4" hidden="1">#REF!</definedName>
    <definedName name="BO828C727B9F184011B97187B8FE59D9AE" hidden="1">#REF!</definedName>
    <definedName name="BO829B2CAC9A73456CB1E64F2A6FD9E525" localSheetId="5" hidden="1">#REF!</definedName>
    <definedName name="BO829B2CAC9A73456CB1E64F2A6FD9E525" localSheetId="4" hidden="1">#REF!</definedName>
    <definedName name="BO829B2CAC9A73456CB1E64F2A6FD9E525" hidden="1">#REF!</definedName>
    <definedName name="BO82AF49A840DC4E97A1E3E116C1017164" localSheetId="5" hidden="1">#REF!</definedName>
    <definedName name="BO82AF49A840DC4E97A1E3E116C1017164" localSheetId="4" hidden="1">#REF!</definedName>
    <definedName name="BO82AF49A840DC4E97A1E3E116C1017164" hidden="1">#REF!</definedName>
    <definedName name="BO82BC65E019234EAF896CAC4231F81781" localSheetId="5" hidden="1">#REF!</definedName>
    <definedName name="BO82BC65E019234EAF896CAC4231F81781" localSheetId="4" hidden="1">#REF!</definedName>
    <definedName name="BO82BC65E019234EAF896CAC4231F81781" hidden="1">#REF!</definedName>
    <definedName name="BO82BD64F9F4B5472788A8268E41273643" localSheetId="5" hidden="1">#REF!</definedName>
    <definedName name="BO82BD64F9F4B5472788A8268E41273643" localSheetId="4" hidden="1">#REF!</definedName>
    <definedName name="BO82BD64F9F4B5472788A8268E41273643" hidden="1">#REF!</definedName>
    <definedName name="BO82CDE0C0F8AE420C9AB086E3F934D0FC" localSheetId="5" hidden="1">#REF!</definedName>
    <definedName name="BO82CDE0C0F8AE420C9AB086E3F934D0FC" localSheetId="4" hidden="1">#REF!</definedName>
    <definedName name="BO82CDE0C0F8AE420C9AB086E3F934D0FC" hidden="1">#REF!</definedName>
    <definedName name="BO82D0E1CF095B4D65B4D7B212912DA8E2" localSheetId="5" hidden="1">#REF!</definedName>
    <definedName name="BO82D0E1CF095B4D65B4D7B212912DA8E2" localSheetId="4" hidden="1">#REF!</definedName>
    <definedName name="BO82D0E1CF095B4D65B4D7B212912DA8E2" hidden="1">#REF!</definedName>
    <definedName name="BO82EB354C95144FA395BD4842E6B5BDAA" localSheetId="5" hidden="1">#REF!</definedName>
    <definedName name="BO82EB354C95144FA395BD4842E6B5BDAA" localSheetId="4" hidden="1">#REF!</definedName>
    <definedName name="BO82EB354C95144FA395BD4842E6B5BDAA" hidden="1">#REF!</definedName>
    <definedName name="BO82ED3D19CD6E4FE3941A3E1F6AD39401" localSheetId="5" hidden="1">#REF!</definedName>
    <definedName name="BO82ED3D19CD6E4FE3941A3E1F6AD39401" localSheetId="4" hidden="1">#REF!</definedName>
    <definedName name="BO82ED3D19CD6E4FE3941A3E1F6AD39401" hidden="1">#REF!</definedName>
    <definedName name="BO833E4554C21346058C4C27AA4CDB728C" localSheetId="5" hidden="1">#REF!</definedName>
    <definedName name="BO833E4554C21346058C4C27AA4CDB728C" localSheetId="4" hidden="1">#REF!</definedName>
    <definedName name="BO833E4554C21346058C4C27AA4CDB728C" hidden="1">#REF!</definedName>
    <definedName name="BO834ED8D711B54779884FECD0FD6C40F5" localSheetId="5" hidden="1">#REF!</definedName>
    <definedName name="BO834ED8D711B54779884FECD0FD6C40F5" localSheetId="4" hidden="1">#REF!</definedName>
    <definedName name="BO834ED8D711B54779884FECD0FD6C40F5" hidden="1">#REF!</definedName>
    <definedName name="BO835775321D284060B20BC052F1967F91" localSheetId="5" hidden="1">#REF!</definedName>
    <definedName name="BO835775321D284060B20BC052F1967F91" localSheetId="4" hidden="1">#REF!</definedName>
    <definedName name="BO835775321D284060B20BC052F1967F91" hidden="1">#REF!</definedName>
    <definedName name="BO836104A2FDD3439ABE6D95097289FA9B" localSheetId="5" hidden="1">#REF!</definedName>
    <definedName name="BO836104A2FDD3439ABE6D95097289FA9B" localSheetId="4" hidden="1">#REF!</definedName>
    <definedName name="BO836104A2FDD3439ABE6D95097289FA9B" hidden="1">#REF!</definedName>
    <definedName name="BO83770CED4E3B4DBBB35ECE8F2EE2B766" localSheetId="5" hidden="1">#REF!</definedName>
    <definedName name="BO83770CED4E3B4DBBB35ECE8F2EE2B766" localSheetId="4" hidden="1">#REF!</definedName>
    <definedName name="BO83770CED4E3B4DBBB35ECE8F2EE2B766" hidden="1">#REF!</definedName>
    <definedName name="BO839EC6977FFA4254B663B0964DDDCBA1" localSheetId="5" hidden="1">#REF!</definedName>
    <definedName name="BO839EC6977FFA4254B663B0964DDDCBA1" localSheetId="4" hidden="1">#REF!</definedName>
    <definedName name="BO839EC6977FFA4254B663B0964DDDCBA1" hidden="1">#REF!</definedName>
    <definedName name="BO83CE56D9AAF2431890D1640D1749EBC9" localSheetId="5" hidden="1">#REF!</definedName>
    <definedName name="BO83CE56D9AAF2431890D1640D1749EBC9" localSheetId="4" hidden="1">#REF!</definedName>
    <definedName name="BO83CE56D9AAF2431890D1640D1749EBC9" hidden="1">#REF!</definedName>
    <definedName name="BO83DE305067F04E1FAF2073E158A42ED1" localSheetId="5" hidden="1">#REF!</definedName>
    <definedName name="BO83DE305067F04E1FAF2073E158A42ED1" localSheetId="4" hidden="1">#REF!</definedName>
    <definedName name="BO83DE305067F04E1FAF2073E158A42ED1" hidden="1">#REF!</definedName>
    <definedName name="BO83F96117CD7E43729C8F78CE6AA55364" localSheetId="5" hidden="1">#REF!</definedName>
    <definedName name="BO83F96117CD7E43729C8F78CE6AA55364" localSheetId="4" hidden="1">#REF!</definedName>
    <definedName name="BO83F96117CD7E43729C8F78CE6AA55364" hidden="1">#REF!</definedName>
    <definedName name="BO84012C663BB84BFFB01BF078251981BF" localSheetId="5" hidden="1">#REF!</definedName>
    <definedName name="BO84012C663BB84BFFB01BF078251981BF" localSheetId="4" hidden="1">#REF!</definedName>
    <definedName name="BO84012C663BB84BFFB01BF078251981BF" hidden="1">#REF!</definedName>
    <definedName name="BO8416A4D86F564528B66337D998D6342F" localSheetId="5" hidden="1">#REF!</definedName>
    <definedName name="BO8416A4D86F564528B66337D998D6342F" localSheetId="4" hidden="1">#REF!</definedName>
    <definedName name="BO8416A4D86F564528B66337D998D6342F" hidden="1">#REF!</definedName>
    <definedName name="BO841E9D2788184F4B99B75B2D56050952" localSheetId="5" hidden="1">#REF!</definedName>
    <definedName name="BO841E9D2788184F4B99B75B2D56050952" localSheetId="4" hidden="1">#REF!</definedName>
    <definedName name="BO841E9D2788184F4B99B75B2D56050952" hidden="1">#REF!</definedName>
    <definedName name="BO8436F0542EE941958838E9648A7A10B6" localSheetId="5" hidden="1">#REF!</definedName>
    <definedName name="BO8436F0542EE941958838E9648A7A10B6" localSheetId="4" hidden="1">#REF!</definedName>
    <definedName name="BO8436F0542EE941958838E9648A7A10B6" hidden="1">#REF!</definedName>
    <definedName name="BO845C63CD4426489B984D7A614921953B" localSheetId="5" hidden="1">#REF!</definedName>
    <definedName name="BO845C63CD4426489B984D7A614921953B" localSheetId="4" hidden="1">#REF!</definedName>
    <definedName name="BO845C63CD4426489B984D7A614921953B" hidden="1">#REF!</definedName>
    <definedName name="BO8462467AC4C04364864AA7B0E1E7103B" localSheetId="5" hidden="1">#REF!</definedName>
    <definedName name="BO8462467AC4C04364864AA7B0E1E7103B" localSheetId="4" hidden="1">#REF!</definedName>
    <definedName name="BO8462467AC4C04364864AA7B0E1E7103B" hidden="1">#REF!</definedName>
    <definedName name="BO847CD7266F44473E873D0BAC81568EE4" localSheetId="5" hidden="1">#REF!</definedName>
    <definedName name="BO847CD7266F44473E873D0BAC81568EE4" localSheetId="4" hidden="1">#REF!</definedName>
    <definedName name="BO847CD7266F44473E873D0BAC81568EE4" hidden="1">#REF!</definedName>
    <definedName name="BO84816916A3374C44A33B2B1E7CCBF62D" localSheetId="5" hidden="1">#REF!</definedName>
    <definedName name="BO84816916A3374C44A33B2B1E7CCBF62D" localSheetId="4" hidden="1">#REF!</definedName>
    <definedName name="BO84816916A3374C44A33B2B1E7CCBF62D" hidden="1">#REF!</definedName>
    <definedName name="BO8490395EA5A34B7281F95374AA651140" localSheetId="5" hidden="1">#REF!</definedName>
    <definedName name="BO8490395EA5A34B7281F95374AA651140" localSheetId="4" hidden="1">#REF!</definedName>
    <definedName name="BO8490395EA5A34B7281F95374AA651140" hidden="1">#REF!</definedName>
    <definedName name="BO849DAABD57DE400C976DE83FBD70852D" localSheetId="5" hidden="1">#REF!</definedName>
    <definedName name="BO849DAABD57DE400C976DE83FBD70852D" localSheetId="4" hidden="1">#REF!</definedName>
    <definedName name="BO849DAABD57DE400C976DE83FBD70852D" hidden="1">#REF!</definedName>
    <definedName name="BO84ACB7EA827D44EA920269A783FD03AF" localSheetId="5" hidden="1">#REF!</definedName>
    <definedName name="BO84ACB7EA827D44EA920269A783FD03AF" localSheetId="4" hidden="1">#REF!</definedName>
    <definedName name="BO84ACB7EA827D44EA920269A783FD03AF" hidden="1">#REF!</definedName>
    <definedName name="BO84D950D3D7C6403596FDAB0EECC85121" localSheetId="5" hidden="1">#REF!</definedName>
    <definedName name="BO84D950D3D7C6403596FDAB0EECC85121" localSheetId="4" hidden="1">#REF!</definedName>
    <definedName name="BO84D950D3D7C6403596FDAB0EECC85121" hidden="1">#REF!</definedName>
    <definedName name="BO851125B4C9CF4507A505DFFE9759796E" localSheetId="5" hidden="1">#REF!</definedName>
    <definedName name="BO851125B4C9CF4507A505DFFE9759796E" localSheetId="4" hidden="1">#REF!</definedName>
    <definedName name="BO851125B4C9CF4507A505DFFE9759796E" hidden="1">#REF!</definedName>
    <definedName name="BO851F8174A7F2485A89E2AAB0F844764D" localSheetId="5" hidden="1">#REF!</definedName>
    <definedName name="BO851F8174A7F2485A89E2AAB0F844764D" localSheetId="4" hidden="1">#REF!</definedName>
    <definedName name="BO851F8174A7F2485A89E2AAB0F844764D" hidden="1">#REF!</definedName>
    <definedName name="BO852DC564F3D6438A9E05CD1FB6220525" localSheetId="5" hidden="1">#REF!</definedName>
    <definedName name="BO852DC564F3D6438A9E05CD1FB6220525" localSheetId="4" hidden="1">#REF!</definedName>
    <definedName name="BO852DC564F3D6438A9E05CD1FB6220525" hidden="1">#REF!</definedName>
    <definedName name="BO8537B991C1704514852540F58377C0F2" localSheetId="5" hidden="1">#REF!</definedName>
    <definedName name="BO8537B991C1704514852540F58377C0F2" localSheetId="4" hidden="1">#REF!</definedName>
    <definedName name="BO8537B991C1704514852540F58377C0F2" hidden="1">#REF!</definedName>
    <definedName name="BO8549AD1E42034B56A5A757A435BE5F99" localSheetId="5" hidden="1">#REF!</definedName>
    <definedName name="BO8549AD1E42034B56A5A757A435BE5F99" localSheetId="4" hidden="1">#REF!</definedName>
    <definedName name="BO8549AD1E42034B56A5A757A435BE5F99" hidden="1">#REF!</definedName>
    <definedName name="BO856B8D4C3C8E4F50B0953DB05DCC130D" localSheetId="5" hidden="1">#REF!</definedName>
    <definedName name="BO856B8D4C3C8E4F50B0953DB05DCC130D" localSheetId="4" hidden="1">#REF!</definedName>
    <definedName name="BO856B8D4C3C8E4F50B0953DB05DCC130D" hidden="1">#REF!</definedName>
    <definedName name="BO859CB049DE164366843D9C4F49208836" localSheetId="5" hidden="1">#REF!</definedName>
    <definedName name="BO859CB049DE164366843D9C4F49208836" localSheetId="4" hidden="1">#REF!</definedName>
    <definedName name="BO859CB049DE164366843D9C4F49208836" hidden="1">#REF!</definedName>
    <definedName name="BO85A46695882A420C817331A985BB9006" localSheetId="5" hidden="1">#REF!</definedName>
    <definedName name="BO85A46695882A420C817331A985BB9006" localSheetId="4" hidden="1">#REF!</definedName>
    <definedName name="BO85A46695882A420C817331A985BB9006" hidden="1">#REF!</definedName>
    <definedName name="BO85B3AD2EFD8B4EB4ACC21B67E6729BC4" localSheetId="5" hidden="1">#REF!</definedName>
    <definedName name="BO85B3AD2EFD8B4EB4ACC21B67E6729BC4" localSheetId="4" hidden="1">#REF!</definedName>
    <definedName name="BO85B3AD2EFD8B4EB4ACC21B67E6729BC4" hidden="1">#REF!</definedName>
    <definedName name="BO85BA97FE264442F3930B470E2E37938C" localSheetId="5" hidden="1">#REF!</definedName>
    <definedName name="BO85BA97FE264442F3930B470E2E37938C" localSheetId="4" hidden="1">#REF!</definedName>
    <definedName name="BO85BA97FE264442F3930B470E2E37938C" hidden="1">#REF!</definedName>
    <definedName name="BO85C6C482DAE5494095442C853659524C" localSheetId="5" hidden="1">#REF!</definedName>
    <definedName name="BO85C6C482DAE5494095442C853659524C" localSheetId="4" hidden="1">#REF!</definedName>
    <definedName name="BO85C6C482DAE5494095442C853659524C" hidden="1">#REF!</definedName>
    <definedName name="BO85CA8185403D4829A471E3C021F11823" localSheetId="5" hidden="1">#REF!</definedName>
    <definedName name="BO85CA8185403D4829A471E3C021F11823" localSheetId="4" hidden="1">#REF!</definedName>
    <definedName name="BO85CA8185403D4829A471E3C021F11823" hidden="1">#REF!</definedName>
    <definedName name="BO85DDB79C9E3147EDA8EDD03CB77413B6" localSheetId="5" hidden="1">#REF!</definedName>
    <definedName name="BO85DDB79C9E3147EDA8EDD03CB77413B6" localSheetId="4" hidden="1">#REF!</definedName>
    <definedName name="BO85DDB79C9E3147EDA8EDD03CB77413B6" hidden="1">#REF!</definedName>
    <definedName name="BO85E3116B44E149108141A164679AAEBE" localSheetId="5" hidden="1">#REF!</definedName>
    <definedName name="BO85E3116B44E149108141A164679AAEBE" localSheetId="4" hidden="1">#REF!</definedName>
    <definedName name="BO85E3116B44E149108141A164679AAEBE" hidden="1">#REF!</definedName>
    <definedName name="BO85EB01DFCFE245209787E6272A712082" localSheetId="5" hidden="1">#REF!</definedName>
    <definedName name="BO85EB01DFCFE245209787E6272A712082" localSheetId="4" hidden="1">#REF!</definedName>
    <definedName name="BO85EB01DFCFE245209787E6272A712082" hidden="1">#REF!</definedName>
    <definedName name="BO85ED7871C7614337A901E50D63FCCD26" localSheetId="5" hidden="1">#REF!</definedName>
    <definedName name="BO85ED7871C7614337A901E50D63FCCD26" localSheetId="4" hidden="1">#REF!</definedName>
    <definedName name="BO85ED7871C7614337A901E50D63FCCD26" hidden="1">#REF!</definedName>
    <definedName name="BO85F78F97543D4BAEBAA665AE23BF5F6E" localSheetId="5" hidden="1">#REF!</definedName>
    <definedName name="BO85F78F97543D4BAEBAA665AE23BF5F6E" localSheetId="4" hidden="1">#REF!</definedName>
    <definedName name="BO85F78F97543D4BAEBAA665AE23BF5F6E" hidden="1">#REF!</definedName>
    <definedName name="BO860B46EE55A44A1D96FD320551FA6677" localSheetId="5" hidden="1">#REF!</definedName>
    <definedName name="BO860B46EE55A44A1D96FD320551FA6677" localSheetId="4" hidden="1">#REF!</definedName>
    <definedName name="BO860B46EE55A44A1D96FD320551FA6677" hidden="1">#REF!</definedName>
    <definedName name="BO86157C32F3D14F2F8FBEDF25DA18783E" localSheetId="5" hidden="1">#REF!</definedName>
    <definedName name="BO86157C32F3D14F2F8FBEDF25DA18783E" localSheetId="4" hidden="1">#REF!</definedName>
    <definedName name="BO86157C32F3D14F2F8FBEDF25DA18783E" hidden="1">#REF!</definedName>
    <definedName name="BO8639A9B559F64F969DAB29512C30B990" localSheetId="5" hidden="1">#REF!</definedName>
    <definedName name="BO8639A9B559F64F969DAB29512C30B990" localSheetId="4" hidden="1">#REF!</definedName>
    <definedName name="BO8639A9B559F64F969DAB29512C30B990" hidden="1">#REF!</definedName>
    <definedName name="BO865E85FAE63F471990E87A9EEEA0EBE2" localSheetId="5" hidden="1">#REF!</definedName>
    <definedName name="BO865E85FAE63F471990E87A9EEEA0EBE2" localSheetId="4" hidden="1">#REF!</definedName>
    <definedName name="BO865E85FAE63F471990E87A9EEEA0EBE2" hidden="1">#REF!</definedName>
    <definedName name="BO866A0D13F47E44558B185A80CB233625" localSheetId="5" hidden="1">#REF!</definedName>
    <definedName name="BO866A0D13F47E44558B185A80CB233625" localSheetId="4" hidden="1">#REF!</definedName>
    <definedName name="BO866A0D13F47E44558B185A80CB233625" hidden="1">#REF!</definedName>
    <definedName name="BO866EBE59FF044B5082276522A607294F" localSheetId="5" hidden="1">#REF!</definedName>
    <definedName name="BO866EBE59FF044B5082276522A607294F" localSheetId="4" hidden="1">#REF!</definedName>
    <definedName name="BO866EBE59FF044B5082276522A607294F" hidden="1">#REF!</definedName>
    <definedName name="BO8674B77AC9C34190AE9EF29F8B3699AA" localSheetId="5" hidden="1">#REF!</definedName>
    <definedName name="BO8674B77AC9C34190AE9EF29F8B3699AA" localSheetId="4" hidden="1">#REF!</definedName>
    <definedName name="BO8674B77AC9C34190AE9EF29F8B3699AA" hidden="1">#REF!</definedName>
    <definedName name="BO867C2CDF9C4D43A7B8AA119BEA09C19A" localSheetId="5" hidden="1">#REF!</definedName>
    <definedName name="BO867C2CDF9C4D43A7B8AA119BEA09C19A" localSheetId="4" hidden="1">#REF!</definedName>
    <definedName name="BO867C2CDF9C4D43A7B8AA119BEA09C19A" hidden="1">#REF!</definedName>
    <definedName name="BO86887E9489924B3CB6F2E988412CFB38" localSheetId="5" hidden="1">#REF!</definedName>
    <definedName name="BO86887E9489924B3CB6F2E988412CFB38" localSheetId="4" hidden="1">#REF!</definedName>
    <definedName name="BO86887E9489924B3CB6F2E988412CFB38" hidden="1">#REF!</definedName>
    <definedName name="BO868F562CA4E84985BF12F71371CCBC43" localSheetId="5" hidden="1">[9]xml!#REF!</definedName>
    <definedName name="BO868F562CA4E84985BF12F71371CCBC43" localSheetId="4" hidden="1">[9]xml!#REF!</definedName>
    <definedName name="BO868F562CA4E84985BF12F71371CCBC43" hidden="1">[9]xml!#REF!</definedName>
    <definedName name="BO869869F86405489C95E91C46BD49C775" localSheetId="5" hidden="1">#REF!</definedName>
    <definedName name="BO869869F86405489C95E91C46BD49C775" localSheetId="4" hidden="1">#REF!</definedName>
    <definedName name="BO869869F86405489C95E91C46BD49C775" hidden="1">#REF!</definedName>
    <definedName name="BO86B6149BCDCC48A98A3D3C8A3A2729E6" localSheetId="5" hidden="1">#REF!</definedName>
    <definedName name="BO86B6149BCDCC48A98A3D3C8A3A2729E6" localSheetId="4" hidden="1">#REF!</definedName>
    <definedName name="BO86B6149BCDCC48A98A3D3C8A3A2729E6" hidden="1">#REF!</definedName>
    <definedName name="BO86B8FF6FC3DB4DF7AA0E3A8B7F9264C7" localSheetId="5" hidden="1">#REF!</definedName>
    <definedName name="BO86B8FF6FC3DB4DF7AA0E3A8B7F9264C7" localSheetId="4" hidden="1">#REF!</definedName>
    <definedName name="BO86B8FF6FC3DB4DF7AA0E3A8B7F9264C7" hidden="1">#REF!</definedName>
    <definedName name="BO86BA1D0544E24C5C8A8180FF78CB5B06" localSheetId="5" hidden="1">#REF!</definedName>
    <definedName name="BO86BA1D0544E24C5C8A8180FF78CB5B06" localSheetId="4" hidden="1">#REF!</definedName>
    <definedName name="BO86BA1D0544E24C5C8A8180FF78CB5B06" hidden="1">#REF!</definedName>
    <definedName name="BO86C100F65CDE4670B4F5822465A92A71" localSheetId="5" hidden="1">#REF!</definedName>
    <definedName name="BO86C100F65CDE4670B4F5822465A92A71" localSheetId="4" hidden="1">#REF!</definedName>
    <definedName name="BO86C100F65CDE4670B4F5822465A92A71" hidden="1">#REF!</definedName>
    <definedName name="BO86D1438E23664D2B9FCD09512F3A93F8" localSheetId="5" hidden="1">#REF!</definedName>
    <definedName name="BO86D1438E23664D2B9FCD09512F3A93F8" localSheetId="4" hidden="1">#REF!</definedName>
    <definedName name="BO86D1438E23664D2B9FCD09512F3A93F8" hidden="1">#REF!</definedName>
    <definedName name="BO86DDB813E7034F3BBABBE6BC528F2ED9" localSheetId="5" hidden="1">#REF!</definedName>
    <definedName name="BO86DDB813E7034F3BBABBE6BC528F2ED9" localSheetId="4" hidden="1">#REF!</definedName>
    <definedName name="BO86DDB813E7034F3BBABBE6BC528F2ED9" hidden="1">#REF!</definedName>
    <definedName name="BO86E27B393E134A5C9DD139177FA60F80" localSheetId="5" hidden="1">#REF!</definedName>
    <definedName name="BO86E27B393E134A5C9DD139177FA60F80" localSheetId="4" hidden="1">#REF!</definedName>
    <definedName name="BO86E27B393E134A5C9DD139177FA60F80" hidden="1">#REF!</definedName>
    <definedName name="BO8703EEC12706416FB6ED04E179922738" localSheetId="5" hidden="1">#REF!</definedName>
    <definedName name="BO8703EEC12706416FB6ED04E179922738" localSheetId="4" hidden="1">#REF!</definedName>
    <definedName name="BO8703EEC12706416FB6ED04E179922738" hidden="1">#REF!</definedName>
    <definedName name="BO870886B6C73540E7BF1183ECA9AFF2B9" localSheetId="5" hidden="1">[8]Ketqua!#REF!</definedName>
    <definedName name="BO870886B6C73540E7BF1183ECA9AFF2B9" localSheetId="4" hidden="1">[8]Ketqua!#REF!</definedName>
    <definedName name="BO870886B6C73540E7BF1183ECA9AFF2B9" hidden="1">[8]Ketqua!#REF!</definedName>
    <definedName name="BO870B411164F546AD97AF975FD177C9B0" localSheetId="5" hidden="1">#REF!</definedName>
    <definedName name="BO870B411164F546AD97AF975FD177C9B0" localSheetId="4" hidden="1">#REF!</definedName>
    <definedName name="BO870B411164F546AD97AF975FD177C9B0" hidden="1">#REF!</definedName>
    <definedName name="BO8711D358A64C4D6AA1DE8CD9A503C0BD" localSheetId="5" hidden="1">#REF!</definedName>
    <definedName name="BO8711D358A64C4D6AA1DE8CD9A503C0BD" localSheetId="4" hidden="1">#REF!</definedName>
    <definedName name="BO8711D358A64C4D6AA1DE8CD9A503C0BD" hidden="1">#REF!</definedName>
    <definedName name="BO87120653DAB74A7A80EC7DBB6462E1D6" localSheetId="5" hidden="1">#REF!</definedName>
    <definedName name="BO87120653DAB74A7A80EC7DBB6462E1D6" localSheetId="4" hidden="1">#REF!</definedName>
    <definedName name="BO87120653DAB74A7A80EC7DBB6462E1D6" hidden="1">#REF!</definedName>
    <definedName name="BO872486E16E314D1DA6CDB4E161361B3E" localSheetId="5" hidden="1">#REF!</definedName>
    <definedName name="BO872486E16E314D1DA6CDB4E161361B3E" localSheetId="4" hidden="1">#REF!</definedName>
    <definedName name="BO872486E16E314D1DA6CDB4E161361B3E" hidden="1">#REF!</definedName>
    <definedName name="BO8725CADBABC140858BCC21E139FB989C" localSheetId="5" hidden="1">#REF!</definedName>
    <definedName name="BO8725CADBABC140858BCC21E139FB989C" localSheetId="4" hidden="1">#REF!</definedName>
    <definedName name="BO8725CADBABC140858BCC21E139FB989C" hidden="1">#REF!</definedName>
    <definedName name="BO87299F945EA94175941F16F36740FD72" localSheetId="5" hidden="1">#REF!</definedName>
    <definedName name="BO87299F945EA94175941F16F36740FD72" localSheetId="4" hidden="1">#REF!</definedName>
    <definedName name="BO87299F945EA94175941F16F36740FD72" hidden="1">#REF!</definedName>
    <definedName name="BO872E1A2490304FA6B522A3A73C631044" localSheetId="5" hidden="1">#REF!</definedName>
    <definedName name="BO872E1A2490304FA6B522A3A73C631044" localSheetId="4" hidden="1">#REF!</definedName>
    <definedName name="BO872E1A2490304FA6B522A3A73C631044" hidden="1">#REF!</definedName>
    <definedName name="BO8774AB7115B9480BA7502A21831439EB" localSheetId="5" hidden="1">#REF!</definedName>
    <definedName name="BO8774AB7115B9480BA7502A21831439EB" localSheetId="4" hidden="1">#REF!</definedName>
    <definedName name="BO8774AB7115B9480BA7502A21831439EB" hidden="1">#REF!</definedName>
    <definedName name="BO878FECCD84B24D5D83FA753C239D53A9" localSheetId="5" hidden="1">#REF!</definedName>
    <definedName name="BO878FECCD84B24D5D83FA753C239D53A9" localSheetId="4" hidden="1">#REF!</definedName>
    <definedName name="BO878FECCD84B24D5D83FA753C239D53A9" hidden="1">#REF!</definedName>
    <definedName name="BO879CBD59307A43159AF2A4CED84C7472" localSheetId="5" hidden="1">#REF!</definedName>
    <definedName name="BO879CBD59307A43159AF2A4CED84C7472" localSheetId="4" hidden="1">#REF!</definedName>
    <definedName name="BO879CBD59307A43159AF2A4CED84C7472" hidden="1">#REF!</definedName>
    <definedName name="BO87A85BA1E62143F6B9FC3F8F4734BBDA" localSheetId="5" hidden="1">#REF!</definedName>
    <definedName name="BO87A85BA1E62143F6B9FC3F8F4734BBDA" localSheetId="4" hidden="1">#REF!</definedName>
    <definedName name="BO87A85BA1E62143F6B9FC3F8F4734BBDA" hidden="1">#REF!</definedName>
    <definedName name="BO87B8EF89B2C846A289AE2145FA25030D" hidden="1">[8]Ketqua!$X$16:$AJ$16</definedName>
    <definedName name="BO87CACAE458564193B56975B2B5153420" localSheetId="5" hidden="1">#REF!</definedName>
    <definedName name="BO87CACAE458564193B56975B2B5153420" localSheetId="4" hidden="1">#REF!</definedName>
    <definedName name="BO87CACAE458564193B56975B2B5153420" hidden="1">#REF!</definedName>
    <definedName name="BO87EFB9D6293B401CAA2DD394C2338C23" localSheetId="5" hidden="1">#REF!</definedName>
    <definedName name="BO87EFB9D6293B401CAA2DD394C2338C23" localSheetId="4" hidden="1">#REF!</definedName>
    <definedName name="BO87EFB9D6293B401CAA2DD394C2338C23" hidden="1">#REF!</definedName>
    <definedName name="BO87F88410ED7F4182BE480F68D5F7E898" localSheetId="5" hidden="1">#REF!</definedName>
    <definedName name="BO87F88410ED7F4182BE480F68D5F7E898" localSheetId="4" hidden="1">#REF!</definedName>
    <definedName name="BO87F88410ED7F4182BE480F68D5F7E898" hidden="1">#REF!</definedName>
    <definedName name="BO8803BCBBE7974E4D88C057E49C0A7E07" localSheetId="5" hidden="1">#REF!</definedName>
    <definedName name="BO8803BCBBE7974E4D88C057E49C0A7E07" localSheetId="4" hidden="1">#REF!</definedName>
    <definedName name="BO8803BCBBE7974E4D88C057E49C0A7E07" hidden="1">#REF!</definedName>
    <definedName name="BO8826276A6F2B469B97553CEA5B5F3ACB" localSheetId="5" hidden="1">#REF!</definedName>
    <definedName name="BO8826276A6F2B469B97553CEA5B5F3ACB" localSheetId="4" hidden="1">#REF!</definedName>
    <definedName name="BO8826276A6F2B469B97553CEA5B5F3ACB" hidden="1">#REF!</definedName>
    <definedName name="BO8827CF9AC78B41C79197737D53769A81" hidden="1">[8]Ketqua!$I$4:$U$4</definedName>
    <definedName name="BO884007A616A14E82BF8896F6D6B26A5A" localSheetId="5" hidden="1">#REF!</definedName>
    <definedName name="BO884007A616A14E82BF8896F6D6B26A5A" localSheetId="4" hidden="1">#REF!</definedName>
    <definedName name="BO884007A616A14E82BF8896F6D6B26A5A" hidden="1">#REF!</definedName>
    <definedName name="BO88621C2D24DC4AB6A85F375E6836771A" localSheetId="5" hidden="1">#REF!</definedName>
    <definedName name="BO88621C2D24DC4AB6A85F375E6836771A" localSheetId="4" hidden="1">#REF!</definedName>
    <definedName name="BO88621C2D24DC4AB6A85F375E6836771A" hidden="1">#REF!</definedName>
    <definedName name="BO886E487C7EC9459489C12770C18ABEFD" localSheetId="5" hidden="1">#REF!</definedName>
    <definedName name="BO886E487C7EC9459489C12770C18ABEFD" localSheetId="4" hidden="1">#REF!</definedName>
    <definedName name="BO886E487C7EC9459489C12770C18ABEFD" hidden="1">#REF!</definedName>
    <definedName name="BO8897A3A3F634452E8E4DD8F314983433" localSheetId="5" hidden="1">#REF!</definedName>
    <definedName name="BO8897A3A3F634452E8E4DD8F314983433" localSheetId="4" hidden="1">#REF!</definedName>
    <definedName name="BO8897A3A3F634452E8E4DD8F314983433" hidden="1">#REF!</definedName>
    <definedName name="BO88A0ED37476047A9B79C3A73D5CAC3D2" localSheetId="5" hidden="1">#REF!</definedName>
    <definedName name="BO88A0ED37476047A9B79C3A73D5CAC3D2" localSheetId="4" hidden="1">#REF!</definedName>
    <definedName name="BO88A0ED37476047A9B79C3A73D5CAC3D2" hidden="1">#REF!</definedName>
    <definedName name="BO88AA8F0163F746A78528BD5A52EB26BD" localSheetId="5" hidden="1">#REF!</definedName>
    <definedName name="BO88AA8F0163F746A78528BD5A52EB26BD" localSheetId="4" hidden="1">#REF!</definedName>
    <definedName name="BO88AA8F0163F746A78528BD5A52EB26BD" hidden="1">#REF!</definedName>
    <definedName name="BO88B4A6CA845B4661AD2C9B0437234540" localSheetId="5" hidden="1">#REF!</definedName>
    <definedName name="BO88B4A6CA845B4661AD2C9B0437234540" localSheetId="4" hidden="1">#REF!</definedName>
    <definedName name="BO88B4A6CA845B4661AD2C9B0437234540" hidden="1">#REF!</definedName>
    <definedName name="BO88B5EC94BCB644DBB0B8B9FD72197407" localSheetId="5" hidden="1">#REF!</definedName>
    <definedName name="BO88B5EC94BCB644DBB0B8B9FD72197407" localSheetId="4" hidden="1">#REF!</definedName>
    <definedName name="BO88B5EC94BCB644DBB0B8B9FD72197407" hidden="1">#REF!</definedName>
    <definedName name="BO88CD73995BA045218F082047A7B7979F" localSheetId="5" hidden="1">#REF!</definedName>
    <definedName name="BO88CD73995BA045218F082047A7B7979F" localSheetId="4" hidden="1">#REF!</definedName>
    <definedName name="BO88CD73995BA045218F082047A7B7979F" hidden="1">#REF!</definedName>
    <definedName name="BO88CF233CB45B4C82A1AC5BE791438BCF" localSheetId="5" hidden="1">#REF!</definedName>
    <definedName name="BO88CF233CB45B4C82A1AC5BE791438BCF" localSheetId="4" hidden="1">#REF!</definedName>
    <definedName name="BO88CF233CB45B4C82A1AC5BE791438BCF" hidden="1">#REF!</definedName>
    <definedName name="BO88D455E4ACC843D4B075A8838BBF7D0C" localSheetId="5" hidden="1">#REF!</definedName>
    <definedName name="BO88D455E4ACC843D4B075A8838BBF7D0C" localSheetId="4" hidden="1">#REF!</definedName>
    <definedName name="BO88D455E4ACC843D4B075A8838BBF7D0C" hidden="1">#REF!</definedName>
    <definedName name="BO88E2219A0197449ABDA7E50060F6B1FE" localSheetId="5" hidden="1">#REF!</definedName>
    <definedName name="BO88E2219A0197449ABDA7E50060F6B1FE" localSheetId="4" hidden="1">#REF!</definedName>
    <definedName name="BO88E2219A0197449ABDA7E50060F6B1FE" hidden="1">#REF!</definedName>
    <definedName name="BO890E5A8D96FA4050BF15B802C7620F76" localSheetId="5" hidden="1">#REF!</definedName>
    <definedName name="BO890E5A8D96FA4050BF15B802C7620F76" localSheetId="4" hidden="1">#REF!</definedName>
    <definedName name="BO890E5A8D96FA4050BF15B802C7620F76" hidden="1">#REF!</definedName>
    <definedName name="BO8916BA3A93DA473688862DC75848CA2A" localSheetId="5" hidden="1">#REF!</definedName>
    <definedName name="BO8916BA3A93DA473688862DC75848CA2A" localSheetId="4" hidden="1">#REF!</definedName>
    <definedName name="BO8916BA3A93DA473688862DC75848CA2A" hidden="1">#REF!</definedName>
    <definedName name="BO891CBAC1FEC041A9B1D2D5CAF876C3F0" localSheetId="5" hidden="1">#REF!</definedName>
    <definedName name="BO891CBAC1FEC041A9B1D2D5CAF876C3F0" localSheetId="4" hidden="1">#REF!</definedName>
    <definedName name="BO891CBAC1FEC041A9B1D2D5CAF876C3F0" hidden="1">#REF!</definedName>
    <definedName name="BO891FBC517DE746748A172799A83F07CB" localSheetId="5" hidden="1">#REF!</definedName>
    <definedName name="BO891FBC517DE746748A172799A83F07CB" localSheetId="4" hidden="1">#REF!</definedName>
    <definedName name="BO891FBC517DE746748A172799A83F07CB" hidden="1">#REF!</definedName>
    <definedName name="BO8927EF1CD9AD4425AA2D6F4D606A0185" localSheetId="5" hidden="1">#REF!</definedName>
    <definedName name="BO8927EF1CD9AD4425AA2D6F4D606A0185" localSheetId="4" hidden="1">#REF!</definedName>
    <definedName name="BO8927EF1CD9AD4425AA2D6F4D606A0185" hidden="1">#REF!</definedName>
    <definedName name="BO892CFB3B77F84724BE348F89B434721C" localSheetId="5" hidden="1">[9]xml!#REF!</definedName>
    <definedName name="BO892CFB3B77F84724BE348F89B434721C" localSheetId="4" hidden="1">[9]xml!#REF!</definedName>
    <definedName name="BO892CFB3B77F84724BE348F89B434721C" hidden="1">[9]xml!#REF!</definedName>
    <definedName name="BO893A612FBBF546A793F9B2F896C82AB5" localSheetId="5" hidden="1">#REF!</definedName>
    <definedName name="BO893A612FBBF546A793F9B2F896C82AB5" localSheetId="4" hidden="1">#REF!</definedName>
    <definedName name="BO893A612FBBF546A793F9B2F896C82AB5" hidden="1">#REF!</definedName>
    <definedName name="BO896731F41BBF4213B3E24429048CEBA0" localSheetId="5" hidden="1">#REF!</definedName>
    <definedName name="BO896731F41BBF4213B3E24429048CEBA0" localSheetId="4" hidden="1">#REF!</definedName>
    <definedName name="BO896731F41BBF4213B3E24429048CEBA0" hidden="1">#REF!</definedName>
    <definedName name="BO89717E38C823414CA5D56CDDCAF64E8D" localSheetId="5" hidden="1">#REF!</definedName>
    <definedName name="BO89717E38C823414CA5D56CDDCAF64E8D" localSheetId="4" hidden="1">#REF!</definedName>
    <definedName name="BO89717E38C823414CA5D56CDDCAF64E8D" hidden="1">#REF!</definedName>
    <definedName name="BO897389AC65794E96B87A0E76349A7E34" localSheetId="5" hidden="1">#REF!</definedName>
    <definedName name="BO897389AC65794E96B87A0E76349A7E34" localSheetId="4" hidden="1">#REF!</definedName>
    <definedName name="BO897389AC65794E96B87A0E76349A7E34" hidden="1">#REF!</definedName>
    <definedName name="BO8989F6C0B5DE414BADE674ECD51A4FFF" localSheetId="5" hidden="1">#REF!</definedName>
    <definedName name="BO8989F6C0B5DE414BADE674ECD51A4FFF" localSheetId="4" hidden="1">#REF!</definedName>
    <definedName name="BO8989F6C0B5DE414BADE674ECD51A4FFF" hidden="1">#REF!</definedName>
    <definedName name="BO89B86AF7C49A40C3A9D991022D36372F" localSheetId="5" hidden="1">#REF!</definedName>
    <definedName name="BO89B86AF7C49A40C3A9D991022D36372F" localSheetId="4" hidden="1">#REF!</definedName>
    <definedName name="BO89B86AF7C49A40C3A9D991022D36372F" hidden="1">#REF!</definedName>
    <definedName name="BO89C875904AC94159A112D5E62824CEB8" localSheetId="5" hidden="1">#REF!</definedName>
    <definedName name="BO89C875904AC94159A112D5E62824CEB8" localSheetId="4" hidden="1">#REF!</definedName>
    <definedName name="BO89C875904AC94159A112D5E62824CEB8" hidden="1">#REF!</definedName>
    <definedName name="BO89D827B7EF21445F830158AB1DB86EC3" localSheetId="5" hidden="1">#REF!</definedName>
    <definedName name="BO89D827B7EF21445F830158AB1DB86EC3" localSheetId="4" hidden="1">#REF!</definedName>
    <definedName name="BO89D827B7EF21445F830158AB1DB86EC3" hidden="1">#REF!</definedName>
    <definedName name="BO89D829D6275C4F39A9B54F431BCB1CF2" localSheetId="5" hidden="1">#REF!</definedName>
    <definedName name="BO89D829D6275C4F39A9B54F431BCB1CF2" localSheetId="4" hidden="1">#REF!</definedName>
    <definedName name="BO89D829D6275C4F39A9B54F431BCB1CF2" hidden="1">#REF!</definedName>
    <definedName name="BO89DF3A0093C34577A9CBE507F654F9B4" localSheetId="5" hidden="1">#REF!</definedName>
    <definedName name="BO89DF3A0093C34577A9CBE507F654F9B4" localSheetId="4" hidden="1">#REF!</definedName>
    <definedName name="BO89DF3A0093C34577A9CBE507F654F9B4" hidden="1">#REF!</definedName>
    <definedName name="BO89EB193C9BF34E028B60BA2D06CDA850" localSheetId="5" hidden="1">#REF!</definedName>
    <definedName name="BO89EB193C9BF34E028B60BA2D06CDA850" localSheetId="4" hidden="1">#REF!</definedName>
    <definedName name="BO89EB193C9BF34E028B60BA2D06CDA850" hidden="1">#REF!</definedName>
    <definedName name="BO89F9BF5F1CD24F618FE42E6AEBC567DA" localSheetId="5" hidden="1">#REF!</definedName>
    <definedName name="BO89F9BF5F1CD24F618FE42E6AEBC567DA" localSheetId="4" hidden="1">#REF!</definedName>
    <definedName name="BO89F9BF5F1CD24F618FE42E6AEBC567DA" hidden="1">#REF!</definedName>
    <definedName name="BO8A079A6956DB410B984EC37853DBF391" localSheetId="5" hidden="1">#REF!</definedName>
    <definedName name="BO8A079A6956DB410B984EC37853DBF391" localSheetId="4" hidden="1">#REF!</definedName>
    <definedName name="BO8A079A6956DB410B984EC37853DBF391" hidden="1">#REF!</definedName>
    <definedName name="BO8A11D840060F48A7A732512C54D8EAE5" localSheetId="5" hidden="1">#REF!</definedName>
    <definedName name="BO8A11D840060F48A7A732512C54D8EAE5" localSheetId="4" hidden="1">#REF!</definedName>
    <definedName name="BO8A11D840060F48A7A732512C54D8EAE5" hidden="1">#REF!</definedName>
    <definedName name="BO8A270233A6574574A5A316C2111A6B1A" localSheetId="5" hidden="1">#REF!</definedName>
    <definedName name="BO8A270233A6574574A5A316C2111A6B1A" localSheetId="4" hidden="1">#REF!</definedName>
    <definedName name="BO8A270233A6574574A5A316C2111A6B1A" hidden="1">#REF!</definedName>
    <definedName name="BO8A3FB210E5754FC58F8E696469D4717E" localSheetId="5" hidden="1">#REF!</definedName>
    <definedName name="BO8A3FB210E5754FC58F8E696469D4717E" localSheetId="4" hidden="1">#REF!</definedName>
    <definedName name="BO8A3FB210E5754FC58F8E696469D4717E" hidden="1">#REF!</definedName>
    <definedName name="BO8A64A4873C0043DFB3995AAF8DC72790" localSheetId="5" hidden="1">#REF!</definedName>
    <definedName name="BO8A64A4873C0043DFB3995AAF8DC72790" localSheetId="4" hidden="1">#REF!</definedName>
    <definedName name="BO8A64A4873C0043DFB3995AAF8DC72790" hidden="1">#REF!</definedName>
    <definedName name="BO8A6F64578EA54D39B172DBB5F3870C6C" localSheetId="5" hidden="1">#REF!</definedName>
    <definedName name="BO8A6F64578EA54D39B172DBB5F3870C6C" localSheetId="4" hidden="1">#REF!</definedName>
    <definedName name="BO8A6F64578EA54D39B172DBB5F3870C6C" hidden="1">#REF!</definedName>
    <definedName name="BO8A742A3411094EA2AE29F3285CBDE97D" localSheetId="5" hidden="1">#REF!</definedName>
    <definedName name="BO8A742A3411094EA2AE29F3285CBDE97D" localSheetId="4" hidden="1">#REF!</definedName>
    <definedName name="BO8A742A3411094EA2AE29F3285CBDE97D" hidden="1">#REF!</definedName>
    <definedName name="BO8A76E1E597094F4AB0C09CE276EBB2AD" localSheetId="5" hidden="1">#REF!</definedName>
    <definedName name="BO8A76E1E597094F4AB0C09CE276EBB2AD" localSheetId="4" hidden="1">#REF!</definedName>
    <definedName name="BO8A76E1E597094F4AB0C09CE276EBB2AD" hidden="1">#REF!</definedName>
    <definedName name="BO8A921E1B07E84FE58A86CBFB254FC057" localSheetId="5" hidden="1">#REF!</definedName>
    <definedName name="BO8A921E1B07E84FE58A86CBFB254FC057" localSheetId="4" hidden="1">#REF!</definedName>
    <definedName name="BO8A921E1B07E84FE58A86CBFB254FC057" hidden="1">#REF!</definedName>
    <definedName name="BO8AA1781CDFE7451D8158DA9690BFD0CF" localSheetId="5" hidden="1">#REF!</definedName>
    <definedName name="BO8AA1781CDFE7451D8158DA9690BFD0CF" localSheetId="4" hidden="1">#REF!</definedName>
    <definedName name="BO8AA1781CDFE7451D8158DA9690BFD0CF" hidden="1">#REF!</definedName>
    <definedName name="BO8AA46CB98A254FACB30AED9A52808C46" localSheetId="5" hidden="1">#REF!</definedName>
    <definedName name="BO8AA46CB98A254FACB30AED9A52808C46" localSheetId="4" hidden="1">#REF!</definedName>
    <definedName name="BO8AA46CB98A254FACB30AED9A52808C46" hidden="1">#REF!</definedName>
    <definedName name="BO8AADC658B26A496996C7F1373A6991A2" localSheetId="5" hidden="1">#REF!</definedName>
    <definedName name="BO8AADC658B26A496996C7F1373A6991A2" localSheetId="4" hidden="1">#REF!</definedName>
    <definedName name="BO8AADC658B26A496996C7F1373A6991A2" hidden="1">#REF!</definedName>
    <definedName name="BO8ABE68A54E9F4069ADD8462748851C18" localSheetId="5" hidden="1">#REF!</definedName>
    <definedName name="BO8ABE68A54E9F4069ADD8462748851C18" localSheetId="4" hidden="1">#REF!</definedName>
    <definedName name="BO8ABE68A54E9F4069ADD8462748851C18" hidden="1">#REF!</definedName>
    <definedName name="BO8AC7E18C57C84E229E0484E8B9B6A88C" localSheetId="5" hidden="1">#REF!</definedName>
    <definedName name="BO8AC7E18C57C84E229E0484E8B9B6A88C" localSheetId="4" hidden="1">#REF!</definedName>
    <definedName name="BO8AC7E18C57C84E229E0484E8B9B6A88C" hidden="1">#REF!</definedName>
    <definedName name="BO8ACBA67537FE40D9B10DE69058561E8E" localSheetId="5" hidden="1">#REF!</definedName>
    <definedName name="BO8ACBA67537FE40D9B10DE69058561E8E" localSheetId="4" hidden="1">#REF!</definedName>
    <definedName name="BO8ACBA67537FE40D9B10DE69058561E8E" hidden="1">#REF!</definedName>
    <definedName name="BO8AD26858CE7246D39A84D558B6479282" localSheetId="5" hidden="1">#REF!</definedName>
    <definedName name="BO8AD26858CE7246D39A84D558B6479282" localSheetId="4" hidden="1">#REF!</definedName>
    <definedName name="BO8AD26858CE7246D39A84D558B6479282" hidden="1">#REF!</definedName>
    <definedName name="BO8AF467F5CFC742359BF81CAD81A58A87" localSheetId="5" hidden="1">#REF!</definedName>
    <definedName name="BO8AF467F5CFC742359BF81CAD81A58A87" localSheetId="4" hidden="1">#REF!</definedName>
    <definedName name="BO8AF467F5CFC742359BF81CAD81A58A87" hidden="1">#REF!</definedName>
    <definedName name="BO8AFC5A8B26994047A4277D08BC2B4522" localSheetId="5" hidden="1">#REF!</definedName>
    <definedName name="BO8AFC5A8B26994047A4277D08BC2B4522" localSheetId="4" hidden="1">#REF!</definedName>
    <definedName name="BO8AFC5A8B26994047A4277D08BC2B4522" hidden="1">#REF!</definedName>
    <definedName name="BO8B01F477F3764249AF76A3D9C3C246ED" localSheetId="5" hidden="1">#REF!</definedName>
    <definedName name="BO8B01F477F3764249AF76A3D9C3C246ED" localSheetId="4" hidden="1">#REF!</definedName>
    <definedName name="BO8B01F477F3764249AF76A3D9C3C246ED" hidden="1">#REF!</definedName>
    <definedName name="BO8B0E799EB2E747E08CC00A5CB7983720" localSheetId="5" hidden="1">#REF!</definedName>
    <definedName name="BO8B0E799EB2E747E08CC00A5CB7983720" localSheetId="4" hidden="1">#REF!</definedName>
    <definedName name="BO8B0E799EB2E747E08CC00A5CB7983720" hidden="1">#REF!</definedName>
    <definedName name="BO8B1E0FBE9EA7489994044C2057A8D12B" localSheetId="5" hidden="1">#REF!</definedName>
    <definedName name="BO8B1E0FBE9EA7489994044C2057A8D12B" localSheetId="4" hidden="1">#REF!</definedName>
    <definedName name="BO8B1E0FBE9EA7489994044C2057A8D12B" hidden="1">#REF!</definedName>
    <definedName name="BO8B2A7D94ED794D9F8685C24218676006" localSheetId="5" hidden="1">#REF!</definedName>
    <definedName name="BO8B2A7D94ED794D9F8685C24218676006" localSheetId="4" hidden="1">#REF!</definedName>
    <definedName name="BO8B2A7D94ED794D9F8685C24218676006" hidden="1">#REF!</definedName>
    <definedName name="BO8B313457CD884D279D2548003F5D238D" localSheetId="5" hidden="1">#REF!</definedName>
    <definedName name="BO8B313457CD884D279D2548003F5D238D" localSheetId="4" hidden="1">#REF!</definedName>
    <definedName name="BO8B313457CD884D279D2548003F5D238D" hidden="1">#REF!</definedName>
    <definedName name="BO8B5D8EDB30964E5A907DA7CCE903A60B" localSheetId="5" hidden="1">#REF!</definedName>
    <definedName name="BO8B5D8EDB30964E5A907DA7CCE903A60B" localSheetId="4" hidden="1">#REF!</definedName>
    <definedName name="BO8B5D8EDB30964E5A907DA7CCE903A60B" hidden="1">#REF!</definedName>
    <definedName name="BO8B73BD8E9A0442A5A9F90AA4A70F6203" localSheetId="5" hidden="1">#REF!</definedName>
    <definedName name="BO8B73BD8E9A0442A5A9F90AA4A70F6203" localSheetId="4" hidden="1">#REF!</definedName>
    <definedName name="BO8B73BD8E9A0442A5A9F90AA4A70F6203" hidden="1">#REF!</definedName>
    <definedName name="BO8B8251CC1EE24CD69F29929F012C4450" localSheetId="5" hidden="1">#REF!</definedName>
    <definedName name="BO8B8251CC1EE24CD69F29929F012C4450" localSheetId="4" hidden="1">#REF!</definedName>
    <definedName name="BO8B8251CC1EE24CD69F29929F012C4450" hidden="1">#REF!</definedName>
    <definedName name="BO8B979C2BC098453D8F62F9ADF5FEC071" localSheetId="5" hidden="1">#REF!</definedName>
    <definedName name="BO8B979C2BC098453D8F62F9ADF5FEC071" localSheetId="4" hidden="1">#REF!</definedName>
    <definedName name="BO8B979C2BC098453D8F62F9ADF5FEC071" hidden="1">#REF!</definedName>
    <definedName name="BO8BAFA77CB8BD4A9592F0A86BBD33A1B0" localSheetId="5" hidden="1">#REF!</definedName>
    <definedName name="BO8BAFA77CB8BD4A9592F0A86BBD33A1B0" localSheetId="4" hidden="1">#REF!</definedName>
    <definedName name="BO8BAFA77CB8BD4A9592F0A86BBD33A1B0" hidden="1">#REF!</definedName>
    <definedName name="BO8BB4B4D171DB49F489C18C0E6B688E40" localSheetId="5" hidden="1">#REF!</definedName>
    <definedName name="BO8BB4B4D171DB49F489C18C0E6B688E40" localSheetId="4" hidden="1">#REF!</definedName>
    <definedName name="BO8BB4B4D171DB49F489C18C0E6B688E40" hidden="1">#REF!</definedName>
    <definedName name="BO8BDE8563DFDD419597EA3D1993A8E10E" localSheetId="5" hidden="1">#REF!</definedName>
    <definedName name="BO8BDE8563DFDD419597EA3D1993A8E10E" localSheetId="4" hidden="1">#REF!</definedName>
    <definedName name="BO8BDE8563DFDD419597EA3D1993A8E10E" hidden="1">#REF!</definedName>
    <definedName name="BO8BE0ACC613A044B19017AAB43B6473ED" localSheetId="5" hidden="1">#REF!</definedName>
    <definedName name="BO8BE0ACC613A044B19017AAB43B6473ED" localSheetId="4" hidden="1">#REF!</definedName>
    <definedName name="BO8BE0ACC613A044B19017AAB43B6473ED" hidden="1">#REF!</definedName>
    <definedName name="BO8BEFE8F9E9D94E0B8690BCF6FF778891" localSheetId="5" hidden="1">#REF!</definedName>
    <definedName name="BO8BEFE8F9E9D94E0B8690BCF6FF778891" localSheetId="4" hidden="1">#REF!</definedName>
    <definedName name="BO8BEFE8F9E9D94E0B8690BCF6FF778891" hidden="1">#REF!</definedName>
    <definedName name="BO8BF82CAB71EB4877BE2981B52240CDDB" localSheetId="5" hidden="1">#REF!</definedName>
    <definedName name="BO8BF82CAB71EB4877BE2981B52240CDDB" localSheetId="4" hidden="1">#REF!</definedName>
    <definedName name="BO8BF82CAB71EB4877BE2981B52240CDDB" hidden="1">#REF!</definedName>
    <definedName name="BO8BFBEE5EC43D4067962E8A52A23B2D50" localSheetId="5" hidden="1">#REF!</definedName>
    <definedName name="BO8BFBEE5EC43D4067962E8A52A23B2D50" localSheetId="4" hidden="1">#REF!</definedName>
    <definedName name="BO8BFBEE5EC43D4067962E8A52A23B2D50" hidden="1">#REF!</definedName>
    <definedName name="BO8C0049F46034494F9A9EA954789841B0" hidden="1">[8]Ketqua!$I$4:$U$4</definedName>
    <definedName name="BO8C0CC75C4CA4484B8290FC4E64C3C7B7" localSheetId="5" hidden="1">#REF!</definedName>
    <definedName name="BO8C0CC75C4CA4484B8290FC4E64C3C7B7" localSheetId="4" hidden="1">#REF!</definedName>
    <definedName name="BO8C0CC75C4CA4484B8290FC4E64C3C7B7" hidden="1">#REF!</definedName>
    <definedName name="BO8C190EE956EF4ADD87EDB038BA9D5AE1" localSheetId="5" hidden="1">#REF!</definedName>
    <definedName name="BO8C190EE956EF4ADD87EDB038BA9D5AE1" localSheetId="4" hidden="1">#REF!</definedName>
    <definedName name="BO8C190EE956EF4ADD87EDB038BA9D5AE1" hidden="1">#REF!</definedName>
    <definedName name="BO8C2C15F699E14EDC94E42D4D15367A0D" localSheetId="5" hidden="1">#REF!</definedName>
    <definedName name="BO8C2C15F699E14EDC94E42D4D15367A0D" localSheetId="4" hidden="1">#REF!</definedName>
    <definedName name="BO8C2C15F699E14EDC94E42D4D15367A0D" hidden="1">#REF!</definedName>
    <definedName name="BO8C3209A055A7451690BC047DB49C40F8" localSheetId="5" hidden="1">#REF!</definedName>
    <definedName name="BO8C3209A055A7451690BC047DB49C40F8" localSheetId="4" hidden="1">#REF!</definedName>
    <definedName name="BO8C3209A055A7451690BC047DB49C40F8" hidden="1">#REF!</definedName>
    <definedName name="BO8C46C2D3D27C44F1AA60C52DBE893015" localSheetId="5" hidden="1">#REF!</definedName>
    <definedName name="BO8C46C2D3D27C44F1AA60C52DBE893015" localSheetId="4" hidden="1">#REF!</definedName>
    <definedName name="BO8C46C2D3D27C44F1AA60C52DBE893015" hidden="1">#REF!</definedName>
    <definedName name="BO8C54B39154C04A089EB3A2B03C75FCAD" localSheetId="5" hidden="1">#REF!</definedName>
    <definedName name="BO8C54B39154C04A089EB3A2B03C75FCAD" localSheetId="4" hidden="1">#REF!</definedName>
    <definedName name="BO8C54B39154C04A089EB3A2B03C75FCAD" hidden="1">#REF!</definedName>
    <definedName name="BO8C5D16B390B84E039A4F635DC9723990" localSheetId="5" hidden="1">#REF!</definedName>
    <definedName name="BO8C5D16B390B84E039A4F635DC9723990" localSheetId="4" hidden="1">#REF!</definedName>
    <definedName name="BO8C5D16B390B84E039A4F635DC9723990" hidden="1">#REF!</definedName>
    <definedName name="BO8C5D1AEB64E34CF69E4AEDEE394D2DF0" localSheetId="5" hidden="1">#REF!</definedName>
    <definedName name="BO8C5D1AEB64E34CF69E4AEDEE394D2DF0" localSheetId="4" hidden="1">#REF!</definedName>
    <definedName name="BO8C5D1AEB64E34CF69E4AEDEE394D2DF0" hidden="1">#REF!</definedName>
    <definedName name="BO8C6D0EB130764DFAB8C78529E8B56690" localSheetId="5" hidden="1">#REF!</definedName>
    <definedName name="BO8C6D0EB130764DFAB8C78529E8B56690" localSheetId="4" hidden="1">#REF!</definedName>
    <definedName name="BO8C6D0EB130764DFAB8C78529E8B56690" hidden="1">#REF!</definedName>
    <definedName name="BO8C756DB6D0084392A94AD363D9B3578A" localSheetId="5" hidden="1">[8]Ketqua!#REF!</definedName>
    <definedName name="BO8C756DB6D0084392A94AD363D9B3578A" localSheetId="4" hidden="1">[8]Ketqua!#REF!</definedName>
    <definedName name="BO8C756DB6D0084392A94AD363D9B3578A" hidden="1">[8]Ketqua!#REF!</definedName>
    <definedName name="BO8C78667FFC67462C9A1643AC3DEA1B4D" localSheetId="5" hidden="1">#REF!</definedName>
    <definedName name="BO8C78667FFC67462C9A1643AC3DEA1B4D" localSheetId="4" hidden="1">#REF!</definedName>
    <definedName name="BO8C78667FFC67462C9A1643AC3DEA1B4D" hidden="1">#REF!</definedName>
    <definedName name="BO8C79291520C14D76B12F6B3100DC8B42" localSheetId="5" hidden="1">#REF!</definedName>
    <definedName name="BO8C79291520C14D76B12F6B3100DC8B42" localSheetId="4" hidden="1">#REF!</definedName>
    <definedName name="BO8C79291520C14D76B12F6B3100DC8B42" hidden="1">#REF!</definedName>
    <definedName name="BO8C9CBE8407744000A8B85C9F87D30B73" localSheetId="5" hidden="1">#REF!</definedName>
    <definedName name="BO8C9CBE8407744000A8B85C9F87D30B73" localSheetId="4" hidden="1">#REF!</definedName>
    <definedName name="BO8C9CBE8407744000A8B85C9F87D30B73" hidden="1">#REF!</definedName>
    <definedName name="BO8CBBCEEC97B6431FB6ACA8A2940866E3" localSheetId="5" hidden="1">#REF!</definedName>
    <definedName name="BO8CBBCEEC97B6431FB6ACA8A2940866E3" localSheetId="4" hidden="1">#REF!</definedName>
    <definedName name="BO8CBBCEEC97B6431FB6ACA8A2940866E3" hidden="1">#REF!</definedName>
    <definedName name="BO8CC5B39B3E324C918A32819C9A07A727" localSheetId="5" hidden="1">#REF!</definedName>
    <definedName name="BO8CC5B39B3E324C918A32819C9A07A727" localSheetId="4" hidden="1">#REF!</definedName>
    <definedName name="BO8CC5B39B3E324C918A32819C9A07A727" hidden="1">#REF!</definedName>
    <definedName name="BO8CCECE712FB74550BFA0956F61B247A8" localSheetId="5" hidden="1">#REF!</definedName>
    <definedName name="BO8CCECE712FB74550BFA0956F61B247A8" localSheetId="4" hidden="1">#REF!</definedName>
    <definedName name="BO8CCECE712FB74550BFA0956F61B247A8" hidden="1">#REF!</definedName>
    <definedName name="BO8CD76D68B350487FA0250A4A2EC5C2AD" localSheetId="5" hidden="1">[10]Giaitrinh!#REF!</definedName>
    <definedName name="BO8CD76D68B350487FA0250A4A2EC5C2AD" localSheetId="4" hidden="1">[10]Giaitrinh!#REF!</definedName>
    <definedName name="BO8CD76D68B350487FA0250A4A2EC5C2AD" hidden="1">[10]Giaitrinh!#REF!</definedName>
    <definedName name="BO8CF360641B31422092E7199008DC5639" localSheetId="5" hidden="1">#REF!</definedName>
    <definedName name="BO8CF360641B31422092E7199008DC5639" localSheetId="4" hidden="1">#REF!</definedName>
    <definedName name="BO8CF360641B31422092E7199008DC5639" hidden="1">#REF!</definedName>
    <definedName name="BO8D0213375C7F4E22A8FB01B418680B0B" localSheetId="5" hidden="1">#REF!</definedName>
    <definedName name="BO8D0213375C7F4E22A8FB01B418680B0B" localSheetId="4" hidden="1">#REF!</definedName>
    <definedName name="BO8D0213375C7F4E22A8FB01B418680B0B" hidden="1">#REF!</definedName>
    <definedName name="BO8D0ABD8164D04FC8B630B28D32646B09" localSheetId="5" hidden="1">#REF!</definedName>
    <definedName name="BO8D0ABD8164D04FC8B630B28D32646B09" localSheetId="4" hidden="1">#REF!</definedName>
    <definedName name="BO8D0ABD8164D04FC8B630B28D32646B09" hidden="1">#REF!</definedName>
    <definedName name="BO8D1B1B1B73DB404588CEED5EB7DBE08B" localSheetId="5" hidden="1">#REF!</definedName>
    <definedName name="BO8D1B1B1B73DB404588CEED5EB7DBE08B" localSheetId="4" hidden="1">#REF!</definedName>
    <definedName name="BO8D1B1B1B73DB404588CEED5EB7DBE08B" hidden="1">#REF!</definedName>
    <definedName name="BO8D1BEBCF693D4028B4E7DA6832E7DE1E" localSheetId="5" hidden="1">#REF!</definedName>
    <definedName name="BO8D1BEBCF693D4028B4E7DA6832E7DE1E" localSheetId="4" hidden="1">#REF!</definedName>
    <definedName name="BO8D1BEBCF693D4028B4E7DA6832E7DE1E" hidden="1">#REF!</definedName>
    <definedName name="BO8D24E811C41141359E065633B90B3ACB" localSheetId="5" hidden="1">#REF!</definedName>
    <definedName name="BO8D24E811C41141359E065633B90B3ACB" localSheetId="4" hidden="1">#REF!</definedName>
    <definedName name="BO8D24E811C41141359E065633B90B3ACB" hidden="1">#REF!</definedName>
    <definedName name="BO8D321DF303514F60BA7EE216E1F75E46" localSheetId="5" hidden="1">#REF!</definedName>
    <definedName name="BO8D321DF303514F60BA7EE216E1F75E46" localSheetId="4" hidden="1">#REF!</definedName>
    <definedName name="BO8D321DF303514F60BA7EE216E1F75E46" hidden="1">#REF!</definedName>
    <definedName name="BO8D4A19F885E642D98251152558F518D0" localSheetId="5" hidden="1">#REF!</definedName>
    <definedName name="BO8D4A19F885E642D98251152558F518D0" localSheetId="4" hidden="1">#REF!</definedName>
    <definedName name="BO8D4A19F885E642D98251152558F518D0" hidden="1">#REF!</definedName>
    <definedName name="BO8D675C8D2C204F9EA5F6FB0C91BE9377" localSheetId="5" hidden="1">#REF!</definedName>
    <definedName name="BO8D675C8D2C204F9EA5F6FB0C91BE9377" localSheetId="4" hidden="1">#REF!</definedName>
    <definedName name="BO8D675C8D2C204F9EA5F6FB0C91BE9377" hidden="1">#REF!</definedName>
    <definedName name="BO8D6FEDE63E4A416086011E251EB6EA77" localSheetId="5" hidden="1">#REF!</definedName>
    <definedName name="BO8D6FEDE63E4A416086011E251EB6EA77" localSheetId="4" hidden="1">#REF!</definedName>
    <definedName name="BO8D6FEDE63E4A416086011E251EB6EA77" hidden="1">#REF!</definedName>
    <definedName name="BO8D8CDB5D0D984AF78FA24D1842552A13" localSheetId="5" hidden="1">#REF!</definedName>
    <definedName name="BO8D8CDB5D0D984AF78FA24D1842552A13" localSheetId="4" hidden="1">#REF!</definedName>
    <definedName name="BO8D8CDB5D0D984AF78FA24D1842552A13" hidden="1">#REF!</definedName>
    <definedName name="BO8D92C13F5BA5476F87ACCBE5339379A3" localSheetId="5" hidden="1">#REF!</definedName>
    <definedName name="BO8D92C13F5BA5476F87ACCBE5339379A3" localSheetId="4" hidden="1">#REF!</definedName>
    <definedName name="BO8D92C13F5BA5476F87ACCBE5339379A3" hidden="1">#REF!</definedName>
    <definedName name="BO8DE89F4B4DB24B028D65D7B1C37D49A6" localSheetId="5" hidden="1">#REF!</definedName>
    <definedName name="BO8DE89F4B4DB24B028D65D7B1C37D49A6" localSheetId="4" hidden="1">#REF!</definedName>
    <definedName name="BO8DE89F4B4DB24B028D65D7B1C37D49A6" hidden="1">#REF!</definedName>
    <definedName name="BO8DE8B8490FA243048849705E95F6A3E7" localSheetId="5" hidden="1">#REF!</definedName>
    <definedName name="BO8DE8B8490FA243048849705E95F6A3E7" localSheetId="4" hidden="1">#REF!</definedName>
    <definedName name="BO8DE8B8490FA243048849705E95F6A3E7" hidden="1">#REF!</definedName>
    <definedName name="BO8E010C83029D4BB2BDE80224D34C78B4" localSheetId="5" hidden="1">#REF!</definedName>
    <definedName name="BO8E010C83029D4BB2BDE80224D34C78B4" localSheetId="4" hidden="1">#REF!</definedName>
    <definedName name="BO8E010C83029D4BB2BDE80224D34C78B4" hidden="1">#REF!</definedName>
    <definedName name="BO8E04539AF5EA48F4A85BB9D8405EFE31" localSheetId="5" hidden="1">#REF!</definedName>
    <definedName name="BO8E04539AF5EA48F4A85BB9D8405EFE31" localSheetId="4" hidden="1">#REF!</definedName>
    <definedName name="BO8E04539AF5EA48F4A85BB9D8405EFE31" hidden="1">#REF!</definedName>
    <definedName name="BO8E0A9401A23B4C8E815CF381C01FDB6A" localSheetId="5" hidden="1">#REF!</definedName>
    <definedName name="BO8E0A9401A23B4C8E815CF381C01FDB6A" localSheetId="4" hidden="1">#REF!</definedName>
    <definedName name="BO8E0A9401A23B4C8E815CF381C01FDB6A" hidden="1">#REF!</definedName>
    <definedName name="BO8E247A336E7641BA8C759FA12C34B429" localSheetId="5" hidden="1">#REF!</definedName>
    <definedName name="BO8E247A336E7641BA8C759FA12C34B429" localSheetId="4" hidden="1">#REF!</definedName>
    <definedName name="BO8E247A336E7641BA8C759FA12C34B429" hidden="1">#REF!</definedName>
    <definedName name="BO8E4728713A0C4DC6904A8D6FFE392729" localSheetId="5" hidden="1">#REF!</definedName>
    <definedName name="BO8E4728713A0C4DC6904A8D6FFE392729" localSheetId="4" hidden="1">#REF!</definedName>
    <definedName name="BO8E4728713A0C4DC6904A8D6FFE392729" hidden="1">#REF!</definedName>
    <definedName name="BO8E64C19B77C74B4DA67868374DB4E3C8" localSheetId="5" hidden="1">#REF!</definedName>
    <definedName name="BO8E64C19B77C74B4DA67868374DB4E3C8" localSheetId="4" hidden="1">#REF!</definedName>
    <definedName name="BO8E64C19B77C74B4DA67868374DB4E3C8" hidden="1">#REF!</definedName>
    <definedName name="BO8E8DEEC5116D492E933D50098C61B5D3" localSheetId="5" hidden="1">#REF!</definedName>
    <definedName name="BO8E8DEEC5116D492E933D50098C61B5D3" localSheetId="4" hidden="1">#REF!</definedName>
    <definedName name="BO8E8DEEC5116D492E933D50098C61B5D3" hidden="1">#REF!</definedName>
    <definedName name="BO8E95876454BF4F2CA6988C26A165276E" localSheetId="5" hidden="1">#REF!</definedName>
    <definedName name="BO8E95876454BF4F2CA6988C26A165276E" localSheetId="4" hidden="1">#REF!</definedName>
    <definedName name="BO8E95876454BF4F2CA6988C26A165276E" hidden="1">#REF!</definedName>
    <definedName name="BO8E9F198DEB16434A9D0753A88CDF5215" localSheetId="5" hidden="1">#REF!</definedName>
    <definedName name="BO8E9F198DEB16434A9D0753A88CDF5215" localSheetId="4" hidden="1">#REF!</definedName>
    <definedName name="BO8E9F198DEB16434A9D0753A88CDF5215" hidden="1">#REF!</definedName>
    <definedName name="BO8EA5CD8275A64439ABF3E0E90503E2EB" localSheetId="5" hidden="1">#REF!</definedName>
    <definedName name="BO8EA5CD8275A64439ABF3E0E90503E2EB" localSheetId="4" hidden="1">#REF!</definedName>
    <definedName name="BO8EA5CD8275A64439ABF3E0E90503E2EB" hidden="1">#REF!</definedName>
    <definedName name="BO8EAFF7EBC66B4843859F00C277E10C35" localSheetId="5" hidden="1">#REF!</definedName>
    <definedName name="BO8EAFF7EBC66B4843859F00C277E10C35" localSheetId="4" hidden="1">#REF!</definedName>
    <definedName name="BO8EAFF7EBC66B4843859F00C277E10C35" hidden="1">#REF!</definedName>
    <definedName name="BO8ECAFF7837A84846BB773DF5FAC7EDA0" localSheetId="5" hidden="1">#REF!</definedName>
    <definedName name="BO8ECAFF7837A84846BB773DF5FAC7EDA0" localSheetId="4" hidden="1">#REF!</definedName>
    <definedName name="BO8ECAFF7837A84846BB773DF5FAC7EDA0" hidden="1">#REF!</definedName>
    <definedName name="BO8ED02D762180437385E47C88BB9EEC20" localSheetId="5" hidden="1">#REF!</definedName>
    <definedName name="BO8ED02D762180437385E47C88BB9EEC20" localSheetId="4" hidden="1">#REF!</definedName>
    <definedName name="BO8ED02D762180437385E47C88BB9EEC20" hidden="1">#REF!</definedName>
    <definedName name="BO8ED1BD07506B48ABA6BB05855F788508" localSheetId="5" hidden="1">#REF!</definedName>
    <definedName name="BO8ED1BD07506B48ABA6BB05855F788508" localSheetId="4" hidden="1">#REF!</definedName>
    <definedName name="BO8ED1BD07506B48ABA6BB05855F788508" hidden="1">#REF!</definedName>
    <definedName name="BO8ED76D7C2EA548BEA6E8742375CD84EF" localSheetId="5" hidden="1">#REF!</definedName>
    <definedName name="BO8ED76D7C2EA548BEA6E8742375CD84EF" localSheetId="4" hidden="1">#REF!</definedName>
    <definedName name="BO8ED76D7C2EA548BEA6E8742375CD84EF" hidden="1">#REF!</definedName>
    <definedName name="BO8EDFDB3F4A244405BD653340E001817F" localSheetId="5" hidden="1">#REF!</definedName>
    <definedName name="BO8EDFDB3F4A244405BD653340E001817F" localSheetId="4" hidden="1">#REF!</definedName>
    <definedName name="BO8EDFDB3F4A244405BD653340E001817F" hidden="1">#REF!</definedName>
    <definedName name="BO8EECD65D65CA4E8DAD403EDFEFC8E1F0" localSheetId="5" hidden="1">#REF!</definedName>
    <definedName name="BO8EECD65D65CA4E8DAD403EDFEFC8E1F0" localSheetId="4" hidden="1">#REF!</definedName>
    <definedName name="BO8EECD65D65CA4E8DAD403EDFEFC8E1F0" hidden="1">#REF!</definedName>
    <definedName name="BO8EED6EA8341647B18E46E12EF5981737" localSheetId="5" hidden="1">#REF!</definedName>
    <definedName name="BO8EED6EA8341647B18E46E12EF5981737" localSheetId="4" hidden="1">#REF!</definedName>
    <definedName name="BO8EED6EA8341647B18E46E12EF5981737" hidden="1">#REF!</definedName>
    <definedName name="BO8EEF0273BAB94AB99929DC92B3C49FD3" localSheetId="5" hidden="1">#REF!</definedName>
    <definedName name="BO8EEF0273BAB94AB99929DC92B3C49FD3" localSheetId="4" hidden="1">#REF!</definedName>
    <definedName name="BO8EEF0273BAB94AB99929DC92B3C49FD3" hidden="1">#REF!</definedName>
    <definedName name="BO8F091315B8CA470AAF9722F85C3A0CE2" localSheetId="5" hidden="1">#REF!</definedName>
    <definedName name="BO8F091315B8CA470AAF9722F85C3A0CE2" localSheetId="4" hidden="1">#REF!</definedName>
    <definedName name="BO8F091315B8CA470AAF9722F85C3A0CE2" hidden="1">#REF!</definedName>
    <definedName name="BO8F3233C6D2A5455D8200C97146186B1B" localSheetId="5" hidden="1">#REF!</definedName>
    <definedName name="BO8F3233C6D2A5455D8200C97146186B1B" localSheetId="4" hidden="1">#REF!</definedName>
    <definedName name="BO8F3233C6D2A5455D8200C97146186B1B" hidden="1">#REF!</definedName>
    <definedName name="BO8F3F75AB3A994609B8A1BAA8D827B7D0" localSheetId="5" hidden="1">#REF!</definedName>
    <definedName name="BO8F3F75AB3A994609B8A1BAA8D827B7D0" localSheetId="4" hidden="1">#REF!</definedName>
    <definedName name="BO8F3F75AB3A994609B8A1BAA8D827B7D0" hidden="1">#REF!</definedName>
    <definedName name="BO8F41BE8B0884445DB22D3AF21577B665" localSheetId="5" hidden="1">#REF!</definedName>
    <definedName name="BO8F41BE8B0884445DB22D3AF21577B665" localSheetId="4" hidden="1">#REF!</definedName>
    <definedName name="BO8F41BE8B0884445DB22D3AF21577B665" hidden="1">#REF!</definedName>
    <definedName name="BO8F4458B31E284C0B90A9336E9C28C284" localSheetId="5" hidden="1">[8]Ketqua!#REF!</definedName>
    <definedName name="BO8F4458B31E284C0B90A9336E9C28C284" localSheetId="4" hidden="1">[8]Ketqua!#REF!</definedName>
    <definedName name="BO8F4458B31E284C0B90A9336E9C28C284" hidden="1">[8]Ketqua!#REF!</definedName>
    <definedName name="BO8F49357E67B7472885ECAB31F5CC16E6" localSheetId="5" hidden="1">#REF!</definedName>
    <definedName name="BO8F49357E67B7472885ECAB31F5CC16E6" localSheetId="4" hidden="1">#REF!</definedName>
    <definedName name="BO8F49357E67B7472885ECAB31F5CC16E6" hidden="1">#REF!</definedName>
    <definedName name="BO8F5878AEF4E240D9BC43182A686A5D27" localSheetId="5" hidden="1">#REF!</definedName>
    <definedName name="BO8F5878AEF4E240D9BC43182A686A5D27" localSheetId="4" hidden="1">#REF!</definedName>
    <definedName name="BO8F5878AEF4E240D9BC43182A686A5D27" hidden="1">#REF!</definedName>
    <definedName name="BO8F5C237F8C7C40E58D0B879F90947365" localSheetId="5" hidden="1">#REF!</definedName>
    <definedName name="BO8F5C237F8C7C40E58D0B879F90947365" localSheetId="4" hidden="1">#REF!</definedName>
    <definedName name="BO8F5C237F8C7C40E58D0B879F90947365" hidden="1">#REF!</definedName>
    <definedName name="BO8F69E36AA533438FB255DE448D2F78C1" localSheetId="5" hidden="1">[7]lailo!#REF!</definedName>
    <definedName name="BO8F69E36AA533438FB255DE448D2F78C1" localSheetId="4" hidden="1">[7]lailo!#REF!</definedName>
    <definedName name="BO8F69E36AA533438FB255DE448D2F78C1" hidden="1">[7]lailo!#REF!</definedName>
    <definedName name="BO8F9ADFA732534966ACC45B4222D08278" localSheetId="5" hidden="1">#REF!</definedName>
    <definedName name="BO8F9ADFA732534966ACC45B4222D08278" localSheetId="4" hidden="1">#REF!</definedName>
    <definedName name="BO8F9ADFA732534966ACC45B4222D08278" hidden="1">#REF!</definedName>
    <definedName name="BO8FA9605250AA4130BA5F75AB0EFC5DEB" localSheetId="5" hidden="1">#REF!</definedName>
    <definedName name="BO8FA9605250AA4130BA5F75AB0EFC5DEB" localSheetId="4" hidden="1">#REF!</definedName>
    <definedName name="BO8FA9605250AA4130BA5F75AB0EFC5DEB" hidden="1">#REF!</definedName>
    <definedName name="BO8FAB3988FD7A4610BB4D6F6553753FB0" localSheetId="5" hidden="1">#REF!</definedName>
    <definedName name="BO8FAB3988FD7A4610BB4D6F6553753FB0" localSheetId="4" hidden="1">#REF!</definedName>
    <definedName name="BO8FAB3988FD7A4610BB4D6F6553753FB0" hidden="1">#REF!</definedName>
    <definedName name="BO8FB6EDE92460437DB46269B760A9FF87" localSheetId="5" hidden="1">#REF!</definedName>
    <definedName name="BO8FB6EDE92460437DB46269B760A9FF87" localSheetId="4" hidden="1">#REF!</definedName>
    <definedName name="BO8FB6EDE92460437DB46269B760A9FF87" hidden="1">#REF!</definedName>
    <definedName name="BO8FD31CDD8C5E4206A507AADDC9D6C673" localSheetId="5" hidden="1">#REF!</definedName>
    <definedName name="BO8FD31CDD8C5E4206A507AADDC9D6C673" localSheetId="4" hidden="1">#REF!</definedName>
    <definedName name="BO8FD31CDD8C5E4206A507AADDC9D6C673" hidden="1">#REF!</definedName>
    <definedName name="BO8FD4F0F291D744408EB3D0DD329A4362" localSheetId="5" hidden="1">#REF!</definedName>
    <definedName name="BO8FD4F0F291D744408EB3D0DD329A4362" localSheetId="4" hidden="1">#REF!</definedName>
    <definedName name="BO8FD4F0F291D744408EB3D0DD329A4362" hidden="1">#REF!</definedName>
    <definedName name="BO90039EB774D94E2699982989E87797FD" localSheetId="5" hidden="1">#REF!</definedName>
    <definedName name="BO90039EB774D94E2699982989E87797FD" localSheetId="4" hidden="1">#REF!</definedName>
    <definedName name="BO90039EB774D94E2699982989E87797FD" hidden="1">#REF!</definedName>
    <definedName name="BO9003C2B1CEA04D4799A07D012743DEC1" localSheetId="5" hidden="1">#REF!</definedName>
    <definedName name="BO9003C2B1CEA04D4799A07D012743DEC1" localSheetId="4" hidden="1">#REF!</definedName>
    <definedName name="BO9003C2B1CEA04D4799A07D012743DEC1" hidden="1">#REF!</definedName>
    <definedName name="BO901024E83D29496B899A127B34EC4440" localSheetId="5" hidden="1">[10]Giaitrinh!#REF!</definedName>
    <definedName name="BO901024E83D29496B899A127B34EC4440" localSheetId="4" hidden="1">[10]Giaitrinh!#REF!</definedName>
    <definedName name="BO901024E83D29496B899A127B34EC4440" hidden="1">[10]Giaitrinh!#REF!</definedName>
    <definedName name="BO9010F2C0CC9E494A99E197637D325788" localSheetId="5" hidden="1">#REF!</definedName>
    <definedName name="BO9010F2C0CC9E494A99E197637D325788" localSheetId="4" hidden="1">#REF!</definedName>
    <definedName name="BO9010F2C0CC9E494A99E197637D325788" hidden="1">#REF!</definedName>
    <definedName name="BO9027C5BD01DF42DC93C5D78821D24A6C" localSheetId="5" hidden="1">#REF!</definedName>
    <definedName name="BO9027C5BD01DF42DC93C5D78821D24A6C" localSheetId="4" hidden="1">#REF!</definedName>
    <definedName name="BO9027C5BD01DF42DC93C5D78821D24A6C" hidden="1">#REF!</definedName>
    <definedName name="BO904BCFDAB4C44A96A1BAD24E7B5C4CFB" localSheetId="5" hidden="1">[7]lailo!#REF!</definedName>
    <definedName name="BO904BCFDAB4C44A96A1BAD24E7B5C4CFB" localSheetId="4" hidden="1">[7]lailo!#REF!</definedName>
    <definedName name="BO904BCFDAB4C44A96A1BAD24E7B5C4CFB" hidden="1">[7]lailo!#REF!</definedName>
    <definedName name="BO90721953D91A42828345C72DA2C886EF" localSheetId="5" hidden="1">[9]Kehoachchitiet!#REF!</definedName>
    <definedName name="BO90721953D91A42828345C72DA2C886EF" localSheetId="4" hidden="1">[9]Kehoachchitiet!#REF!</definedName>
    <definedName name="BO90721953D91A42828345C72DA2C886EF" hidden="1">[9]Kehoachchitiet!#REF!</definedName>
    <definedName name="BO90D5B7AE6DF34FC6A182261CEF953B81" localSheetId="5" hidden="1">[8]Ketqua!#REF!</definedName>
    <definedName name="BO90D5B7AE6DF34FC6A182261CEF953B81" localSheetId="4" hidden="1">[8]Ketqua!#REF!</definedName>
    <definedName name="BO90D5B7AE6DF34FC6A182261CEF953B81" hidden="1">[8]Ketqua!#REF!</definedName>
    <definedName name="BO90EEFBEB72EB4656B432B75775270CA5" localSheetId="5" hidden="1">#REF!</definedName>
    <definedName name="BO90EEFBEB72EB4656B432B75775270CA5" localSheetId="4" hidden="1">#REF!</definedName>
    <definedName name="BO90EEFBEB72EB4656B432B75775270CA5" hidden="1">#REF!</definedName>
    <definedName name="BO90F76DFC9F5F430F88B468A9892E4AC4" localSheetId="5" hidden="1">#REF!</definedName>
    <definedName name="BO90F76DFC9F5F430F88B468A9892E4AC4" localSheetId="4" hidden="1">#REF!</definedName>
    <definedName name="BO90F76DFC9F5F430F88B468A9892E4AC4" hidden="1">#REF!</definedName>
    <definedName name="BO91262F6339964C14984FDE97C6306DF7" localSheetId="5" hidden="1">#REF!</definedName>
    <definedName name="BO91262F6339964C14984FDE97C6306DF7" localSheetId="4" hidden="1">#REF!</definedName>
    <definedName name="BO91262F6339964C14984FDE97C6306DF7" hidden="1">#REF!</definedName>
    <definedName name="BO912C815D25B14437B2384596EA95EA90" localSheetId="5" hidden="1">#REF!</definedName>
    <definedName name="BO912C815D25B14437B2384596EA95EA90" localSheetId="4" hidden="1">#REF!</definedName>
    <definedName name="BO912C815D25B14437B2384596EA95EA90" hidden="1">#REF!</definedName>
    <definedName name="BO91511019934B448E8E0723C0742ED2AE" localSheetId="5" hidden="1">#REF!</definedName>
    <definedName name="BO91511019934B448E8E0723C0742ED2AE" localSheetId="4" hidden="1">#REF!</definedName>
    <definedName name="BO91511019934B448E8E0723C0742ED2AE" hidden="1">#REF!</definedName>
    <definedName name="BO9155D541487B4FBC9E854615EB1B4E06" localSheetId="5" hidden="1">[8]Ketqua!#REF!</definedName>
    <definedName name="BO9155D541487B4FBC9E854615EB1B4E06" localSheetId="4" hidden="1">[8]Ketqua!#REF!</definedName>
    <definedName name="BO9155D541487B4FBC9E854615EB1B4E06" hidden="1">[8]Ketqua!#REF!</definedName>
    <definedName name="BO9156F8C70A7E432BB0F7C9352F66ADFB" localSheetId="5" hidden="1">#REF!</definedName>
    <definedName name="BO9156F8C70A7E432BB0F7C9352F66ADFB" localSheetId="4" hidden="1">#REF!</definedName>
    <definedName name="BO9156F8C70A7E432BB0F7C9352F66ADFB" hidden="1">#REF!</definedName>
    <definedName name="BO9159C1E514C74EDAB686FCB93521755B" localSheetId="5" hidden="1">#REF!</definedName>
    <definedName name="BO9159C1E514C74EDAB686FCB93521755B" localSheetId="4" hidden="1">#REF!</definedName>
    <definedName name="BO9159C1E514C74EDAB686FCB93521755B" hidden="1">#REF!</definedName>
    <definedName name="BO915CED5CBC0E4429841109423F532DF9" localSheetId="5" hidden="1">#REF!</definedName>
    <definedName name="BO915CED5CBC0E4429841109423F532DF9" localSheetId="4" hidden="1">#REF!</definedName>
    <definedName name="BO915CED5CBC0E4429841109423F532DF9" hidden="1">#REF!</definedName>
    <definedName name="BO916C4117211C44169C4A9D976B942F83" localSheetId="5" hidden="1">#REF!</definedName>
    <definedName name="BO916C4117211C44169C4A9D976B942F83" localSheetId="4" hidden="1">#REF!</definedName>
    <definedName name="BO916C4117211C44169C4A9D976B942F83" hidden="1">#REF!</definedName>
    <definedName name="BO916F5615504D45DF9BCB395BFB03B3FF" localSheetId="5" hidden="1">#REF!</definedName>
    <definedName name="BO916F5615504D45DF9BCB395BFB03B3FF" localSheetId="4" hidden="1">#REF!</definedName>
    <definedName name="BO916F5615504D45DF9BCB395BFB03B3FF" hidden="1">#REF!</definedName>
    <definedName name="BO91AF57D4731E42D3BD43C805328349BB" localSheetId="5" hidden="1">#REF!</definedName>
    <definedName name="BO91AF57D4731E42D3BD43C805328349BB" localSheetId="4" hidden="1">#REF!</definedName>
    <definedName name="BO91AF57D4731E42D3BD43C805328349BB" hidden="1">#REF!</definedName>
    <definedName name="BO91B1C71622B84DC09FCF82790CCC6703" localSheetId="5" hidden="1">[7]lailo!#REF!</definedName>
    <definedName name="BO91B1C71622B84DC09FCF82790CCC6703" localSheetId="4" hidden="1">[7]lailo!#REF!</definedName>
    <definedName name="BO91B1C71622B84DC09FCF82790CCC6703" hidden="1">[7]lailo!#REF!</definedName>
    <definedName name="BO91C46125583D4C069EE7155B503E3BDC" localSheetId="5" hidden="1">#REF!</definedName>
    <definedName name="BO91C46125583D4C069EE7155B503E3BDC" localSheetId="4" hidden="1">#REF!</definedName>
    <definedName name="BO91C46125583D4C069EE7155B503E3BDC" hidden="1">#REF!</definedName>
    <definedName name="BO91F28D1F98F0476AB8F319C85A3CBF30" localSheetId="5" hidden="1">#REF!</definedName>
    <definedName name="BO91F28D1F98F0476AB8F319C85A3CBF30" localSheetId="4" hidden="1">#REF!</definedName>
    <definedName name="BO91F28D1F98F0476AB8F319C85A3CBF30" hidden="1">#REF!</definedName>
    <definedName name="BO9209CA01353F43708376005F2BA05633" localSheetId="5" hidden="1">#REF!</definedName>
    <definedName name="BO9209CA01353F43708376005F2BA05633" localSheetId="4" hidden="1">#REF!</definedName>
    <definedName name="BO9209CA01353F43708376005F2BA05633" hidden="1">#REF!</definedName>
    <definedName name="BO920A4D58587E4B348E656E2FB55DBF5A" localSheetId="5" hidden="1">#REF!</definedName>
    <definedName name="BO920A4D58587E4B348E656E2FB55DBF5A" localSheetId="4" hidden="1">#REF!</definedName>
    <definedName name="BO920A4D58587E4B348E656E2FB55DBF5A" hidden="1">#REF!</definedName>
    <definedName name="BO9218C06E74B64331BCDF493C8E0A7196" localSheetId="5" hidden="1">#REF!</definedName>
    <definedName name="BO9218C06E74B64331BCDF493C8E0A7196" localSheetId="4" hidden="1">#REF!</definedName>
    <definedName name="BO9218C06E74B64331BCDF493C8E0A7196" hidden="1">#REF!</definedName>
    <definedName name="BO9233729CCAA145D78574A18BD7908B12" localSheetId="5" hidden="1">#REF!</definedName>
    <definedName name="BO9233729CCAA145D78574A18BD7908B12" localSheetId="4" hidden="1">#REF!</definedName>
    <definedName name="BO9233729CCAA145D78574A18BD7908B12" hidden="1">#REF!</definedName>
    <definedName name="BO924B50D148534EB4BFAB07809F576F86" localSheetId="5" hidden="1">#REF!</definedName>
    <definedName name="BO924B50D148534EB4BFAB07809F576F86" localSheetId="4" hidden="1">#REF!</definedName>
    <definedName name="BO924B50D148534EB4BFAB07809F576F86" hidden="1">#REF!</definedName>
    <definedName name="BO92544256210E49188C03B1EBD2040774" localSheetId="5" hidden="1">#REF!</definedName>
    <definedName name="BO92544256210E49188C03B1EBD2040774" localSheetId="4" hidden="1">#REF!</definedName>
    <definedName name="BO92544256210E49188C03B1EBD2040774" hidden="1">#REF!</definedName>
    <definedName name="BO925E159D06D846E6AD9C0AA27E04C23B" localSheetId="5" hidden="1">#REF!</definedName>
    <definedName name="BO925E159D06D846E6AD9C0AA27E04C23B" localSheetId="4" hidden="1">#REF!</definedName>
    <definedName name="BO925E159D06D846E6AD9C0AA27E04C23B" hidden="1">#REF!</definedName>
    <definedName name="BO9268349F1CCF49DEB0561574CF57C558" localSheetId="5" hidden="1">[7]lailo!#REF!</definedName>
    <definedName name="BO9268349F1CCF49DEB0561574CF57C558" localSheetId="4" hidden="1">[7]lailo!#REF!</definedName>
    <definedName name="BO9268349F1CCF49DEB0561574CF57C558" hidden="1">[7]lailo!#REF!</definedName>
    <definedName name="BO926B3E618F034DF3AD93D000C65C8AF4" localSheetId="5" hidden="1">#REF!</definedName>
    <definedName name="BO926B3E618F034DF3AD93D000C65C8AF4" localSheetId="4" hidden="1">#REF!</definedName>
    <definedName name="BO926B3E618F034DF3AD93D000C65C8AF4" hidden="1">#REF!</definedName>
    <definedName name="BO926B5DA94093402CAF44525268D29478" localSheetId="5" hidden="1">#REF!</definedName>
    <definedName name="BO926B5DA94093402CAF44525268D29478" localSheetId="4" hidden="1">#REF!</definedName>
    <definedName name="BO926B5DA94093402CAF44525268D29478" hidden="1">#REF!</definedName>
    <definedName name="BO92714A6ED6124D27829A03BD605CFABF" localSheetId="5" hidden="1">#REF!</definedName>
    <definedName name="BO92714A6ED6124D27829A03BD605CFABF" localSheetId="4" hidden="1">#REF!</definedName>
    <definedName name="BO92714A6ED6124D27829A03BD605CFABF" hidden="1">#REF!</definedName>
    <definedName name="BO928DC16886B2445797C8B9905F1CD971" localSheetId="5" hidden="1">[8]Ketqua!#REF!</definedName>
    <definedName name="BO928DC16886B2445797C8B9905F1CD971" localSheetId="4" hidden="1">[8]Ketqua!#REF!</definedName>
    <definedName name="BO928DC16886B2445797C8B9905F1CD971" hidden="1">[8]Ketqua!#REF!</definedName>
    <definedName name="BO92A6C34ADF1E4E8A9235A4C8830AC515" localSheetId="5" hidden="1">#REF!</definedName>
    <definedName name="BO92A6C34ADF1E4E8A9235A4C8830AC515" localSheetId="4" hidden="1">#REF!</definedName>
    <definedName name="BO92A6C34ADF1E4E8A9235A4C8830AC515" hidden="1">#REF!</definedName>
    <definedName name="BO92C9ED6F059A4A3FBF49382DA781E052" localSheetId="5" hidden="1">[8]Ketqua!#REF!</definedName>
    <definedName name="BO92C9ED6F059A4A3FBF49382DA781E052" localSheetId="4" hidden="1">[8]Ketqua!#REF!</definedName>
    <definedName name="BO92C9ED6F059A4A3FBF49382DA781E052" hidden="1">[8]Ketqua!#REF!</definedName>
    <definedName name="BO92D072B2A4ED4A6FB51EB0BC9A66BC2C" localSheetId="5" hidden="1">#REF!</definedName>
    <definedName name="BO92D072B2A4ED4A6FB51EB0BC9A66BC2C" localSheetId="4" hidden="1">#REF!</definedName>
    <definedName name="BO92D072B2A4ED4A6FB51EB0BC9A66BC2C" hidden="1">#REF!</definedName>
    <definedName name="BO92E4A5A634AC407AA555219E0CC6BDF7" localSheetId="5" hidden="1">#REF!</definedName>
    <definedName name="BO92E4A5A634AC407AA555219E0CC6BDF7" localSheetId="4" hidden="1">#REF!</definedName>
    <definedName name="BO92E4A5A634AC407AA555219E0CC6BDF7" hidden="1">#REF!</definedName>
    <definedName name="BO92EA0833D1CB48CFB02613AE12C820A4" localSheetId="5" hidden="1">#REF!</definedName>
    <definedName name="BO92EA0833D1CB48CFB02613AE12C820A4" localSheetId="4" hidden="1">#REF!</definedName>
    <definedName name="BO92EA0833D1CB48CFB02613AE12C820A4" hidden="1">#REF!</definedName>
    <definedName name="BO92EFCC3CC64A4D068BF90CD047BA59AD" localSheetId="5" hidden="1">#REF!</definedName>
    <definedName name="BO92EFCC3CC64A4D068BF90CD047BA59AD" localSheetId="4" hidden="1">#REF!</definedName>
    <definedName name="BO92EFCC3CC64A4D068BF90CD047BA59AD" hidden="1">#REF!</definedName>
    <definedName name="BO92EFFAEB634443FE91C7F58365598D5E" localSheetId="5" hidden="1">#REF!</definedName>
    <definedName name="BO92EFFAEB634443FE91C7F58365598D5E" localSheetId="4" hidden="1">#REF!</definedName>
    <definedName name="BO92EFFAEB634443FE91C7F58365598D5E" hidden="1">#REF!</definedName>
    <definedName name="BO92F451DEC859406FB5A047DAF76D55B3" localSheetId="5" hidden="1">#REF!</definedName>
    <definedName name="BO92F451DEC859406FB5A047DAF76D55B3" localSheetId="4" hidden="1">#REF!</definedName>
    <definedName name="BO92F451DEC859406FB5A047DAF76D55B3" hidden="1">#REF!</definedName>
    <definedName name="BO92F6D42A17AC4074BBD00DCE92DF03C9" localSheetId="5" hidden="1">#REF!</definedName>
    <definedName name="BO92F6D42A17AC4074BBD00DCE92DF03C9" localSheetId="4" hidden="1">#REF!</definedName>
    <definedName name="BO92F6D42A17AC4074BBD00DCE92DF03C9" hidden="1">#REF!</definedName>
    <definedName name="BO9304DD1CC2BA492080B19ECEA8B95022" localSheetId="5" hidden="1">#REF!</definedName>
    <definedName name="BO9304DD1CC2BA492080B19ECEA8B95022" localSheetId="4" hidden="1">#REF!</definedName>
    <definedName name="BO9304DD1CC2BA492080B19ECEA8B95022" hidden="1">#REF!</definedName>
    <definedName name="BO930DA66B28B14BEAA44697A5823258AA" localSheetId="5" hidden="1">#REF!</definedName>
    <definedName name="BO930DA66B28B14BEAA44697A5823258AA" localSheetId="4" hidden="1">#REF!</definedName>
    <definedName name="BO930DA66B28B14BEAA44697A5823258AA" hidden="1">#REF!</definedName>
    <definedName name="BO930FD1E9B9EB478BBAD94346BAE68338" localSheetId="5" hidden="1">#REF!</definedName>
    <definedName name="BO930FD1E9B9EB478BBAD94346BAE68338" localSheetId="4" hidden="1">#REF!</definedName>
    <definedName name="BO930FD1E9B9EB478BBAD94346BAE68338" hidden="1">#REF!</definedName>
    <definedName name="BO9318EA8A5D654DFD954B723F2DF49F55" localSheetId="5" hidden="1">#REF!</definedName>
    <definedName name="BO9318EA8A5D654DFD954B723F2DF49F55" localSheetId="4" hidden="1">#REF!</definedName>
    <definedName name="BO9318EA8A5D654DFD954B723F2DF49F55" hidden="1">#REF!</definedName>
    <definedName name="BO9329BF9F354242D086A1F242CA6684D6" localSheetId="5" hidden="1">#REF!</definedName>
    <definedName name="BO9329BF9F354242D086A1F242CA6684D6" localSheetId="4" hidden="1">#REF!</definedName>
    <definedName name="BO9329BF9F354242D086A1F242CA6684D6" hidden="1">#REF!</definedName>
    <definedName name="BO932B0A19ACC444A2BB8954EED654465A" localSheetId="5" hidden="1">#REF!</definedName>
    <definedName name="BO932B0A19ACC444A2BB8954EED654465A" localSheetId="4" hidden="1">#REF!</definedName>
    <definedName name="BO932B0A19ACC444A2BB8954EED654465A" hidden="1">#REF!</definedName>
    <definedName name="BO933ED92411824C6FAC78C97BA2A11AAB" localSheetId="5" hidden="1">#REF!</definedName>
    <definedName name="BO933ED92411824C6FAC78C97BA2A11AAB" localSheetId="4" hidden="1">#REF!</definedName>
    <definedName name="BO933ED92411824C6FAC78C97BA2A11AAB" hidden="1">#REF!</definedName>
    <definedName name="BO933FAA4514814F85818066C84AF854C9" localSheetId="5" hidden="1">#REF!</definedName>
    <definedName name="BO933FAA4514814F85818066C84AF854C9" localSheetId="4" hidden="1">#REF!</definedName>
    <definedName name="BO933FAA4514814F85818066C84AF854C9" hidden="1">#REF!</definedName>
    <definedName name="BO93461350D91044D7B6FB7F171C0D4DF3" localSheetId="5" hidden="1">#REF!</definedName>
    <definedName name="BO93461350D91044D7B6FB7F171C0D4DF3" localSheetId="4" hidden="1">#REF!</definedName>
    <definedName name="BO93461350D91044D7B6FB7F171C0D4DF3" hidden="1">#REF!</definedName>
    <definedName name="BO9378AF1544364341B8417AB6D7DE3BC3" localSheetId="5" hidden="1">#REF!</definedName>
    <definedName name="BO9378AF1544364341B8417AB6D7DE3BC3" localSheetId="4" hidden="1">#REF!</definedName>
    <definedName name="BO9378AF1544364341B8417AB6D7DE3BC3" hidden="1">#REF!</definedName>
    <definedName name="BO938B4E5108EE4D0787D0282B08DF9636" localSheetId="5" hidden="1">#REF!</definedName>
    <definedName name="BO938B4E5108EE4D0787D0282B08DF9636" localSheetId="4" hidden="1">#REF!</definedName>
    <definedName name="BO938B4E5108EE4D0787D0282B08DF9636" hidden="1">#REF!</definedName>
    <definedName name="BO93A4D280E8CA43DC8B02811F751ABAA2" localSheetId="5" hidden="1">#REF!</definedName>
    <definedName name="BO93A4D280E8CA43DC8B02811F751ABAA2" localSheetId="4" hidden="1">#REF!</definedName>
    <definedName name="BO93A4D280E8CA43DC8B02811F751ABAA2" hidden="1">#REF!</definedName>
    <definedName name="BO93B2980E647143A5A17C67935ED6DC7F" localSheetId="5" hidden="1">#REF!</definedName>
    <definedName name="BO93B2980E647143A5A17C67935ED6DC7F" localSheetId="4" hidden="1">#REF!</definedName>
    <definedName name="BO93B2980E647143A5A17C67935ED6DC7F" hidden="1">#REF!</definedName>
    <definedName name="BO93D6D3AB4F4C47298478E33C059169D0" localSheetId="5" hidden="1">#REF!</definedName>
    <definedName name="BO93D6D3AB4F4C47298478E33C059169D0" localSheetId="4" hidden="1">#REF!</definedName>
    <definedName name="BO93D6D3AB4F4C47298478E33C059169D0" hidden="1">#REF!</definedName>
    <definedName name="BO93D6EA051CB245BA91965E989CAB2741" localSheetId="5" hidden="1">#REF!</definedName>
    <definedName name="BO93D6EA051CB245BA91965E989CAB2741" localSheetId="4" hidden="1">#REF!</definedName>
    <definedName name="BO93D6EA051CB245BA91965E989CAB2741" hidden="1">#REF!</definedName>
    <definedName name="BO93E74F3970FD46C489BC2A92AE9C7404" localSheetId="5" hidden="1">#REF!</definedName>
    <definedName name="BO93E74F3970FD46C489BC2A92AE9C7404" localSheetId="4" hidden="1">#REF!</definedName>
    <definedName name="BO93E74F3970FD46C489BC2A92AE9C7404" hidden="1">#REF!</definedName>
    <definedName name="BO93EBF6734EA34A90BA493473DE688EBF" localSheetId="5" hidden="1">[8]Ketqua!#REF!</definedName>
    <definedName name="BO93EBF6734EA34A90BA493473DE688EBF" localSheetId="4" hidden="1">[8]Ketqua!#REF!</definedName>
    <definedName name="BO93EBF6734EA34A90BA493473DE688EBF" hidden="1">[8]Ketqua!#REF!</definedName>
    <definedName name="BO93ECFE632155481DA0FDBB0615E7281C" localSheetId="5" hidden="1">#REF!</definedName>
    <definedName name="BO93ECFE632155481DA0FDBB0615E7281C" localSheetId="4" hidden="1">#REF!</definedName>
    <definedName name="BO93ECFE632155481DA0FDBB0615E7281C" hidden="1">#REF!</definedName>
    <definedName name="BO93F310F9C2F24700BD756AB5D39C0C70" localSheetId="5" hidden="1">[10]Giaitrinh!#REF!</definedName>
    <definedName name="BO93F310F9C2F24700BD756AB5D39C0C70" localSheetId="4" hidden="1">[10]Giaitrinh!#REF!</definedName>
    <definedName name="BO93F310F9C2F24700BD756AB5D39C0C70" hidden="1">[10]Giaitrinh!#REF!</definedName>
    <definedName name="BO9406D55A95A444A3B45C4B90FE2D125A" localSheetId="5" hidden="1">#REF!</definedName>
    <definedName name="BO9406D55A95A444A3B45C4B90FE2D125A" localSheetId="4" hidden="1">#REF!</definedName>
    <definedName name="BO9406D55A95A444A3B45C4B90FE2D125A" hidden="1">#REF!</definedName>
    <definedName name="BO94073230D0F44D879F25D75E8A1F6E7E" localSheetId="5" hidden="1">#REF!</definedName>
    <definedName name="BO94073230D0F44D879F25D75E8A1F6E7E" localSheetId="4" hidden="1">#REF!</definedName>
    <definedName name="BO94073230D0F44D879F25D75E8A1F6E7E" hidden="1">#REF!</definedName>
    <definedName name="BO94129E648DD24670B784451C9BAC14C1" localSheetId="5" hidden="1">#REF!</definedName>
    <definedName name="BO94129E648DD24670B784451C9BAC14C1" localSheetId="4" hidden="1">#REF!</definedName>
    <definedName name="BO94129E648DD24670B784451C9BAC14C1" hidden="1">#REF!</definedName>
    <definedName name="BO94220D9907CC4E24A9678F2D022262BF" localSheetId="5" hidden="1">#REF!</definedName>
    <definedName name="BO94220D9907CC4E24A9678F2D022262BF" localSheetId="4" hidden="1">#REF!</definedName>
    <definedName name="BO94220D9907CC4E24A9678F2D022262BF" hidden="1">#REF!</definedName>
    <definedName name="BO94286E15B5C249DF83B6D785E99910F3" localSheetId="5" hidden="1">#REF!</definedName>
    <definedName name="BO94286E15B5C249DF83B6D785E99910F3" localSheetId="4" hidden="1">#REF!</definedName>
    <definedName name="BO94286E15B5C249DF83B6D785E99910F3" hidden="1">#REF!</definedName>
    <definedName name="BO942AFFE69A8B4A8C80C2C626B5017758" localSheetId="5" hidden="1">#REF!</definedName>
    <definedName name="BO942AFFE69A8B4A8C80C2C626B5017758" localSheetId="4" hidden="1">#REF!</definedName>
    <definedName name="BO942AFFE69A8B4A8C80C2C626B5017758" hidden="1">#REF!</definedName>
    <definedName name="BO943F7197EDF04FF2A7D1A29789D38FC7" localSheetId="5" hidden="1">#REF!</definedName>
    <definedName name="BO943F7197EDF04FF2A7D1A29789D38FC7" localSheetId="4" hidden="1">#REF!</definedName>
    <definedName name="BO943F7197EDF04FF2A7D1A29789D38FC7" hidden="1">#REF!</definedName>
    <definedName name="BO9440F575DEAD4D009356CD54D15D0646" localSheetId="5" hidden="1">#REF!</definedName>
    <definedName name="BO9440F575DEAD4D009356CD54D15D0646" localSheetId="4" hidden="1">#REF!</definedName>
    <definedName name="BO9440F575DEAD4D009356CD54D15D0646" hidden="1">#REF!</definedName>
    <definedName name="BO94495E5071E549F38B009DDBC5A15023" localSheetId="5" hidden="1">#REF!</definedName>
    <definedName name="BO94495E5071E549F38B009DDBC5A15023" localSheetId="4" hidden="1">#REF!</definedName>
    <definedName name="BO94495E5071E549F38B009DDBC5A15023" hidden="1">#REF!</definedName>
    <definedName name="BO945D4AE586B049C4B26F43D2964BF053" localSheetId="5" hidden="1">[9]xml!#REF!</definedName>
    <definedName name="BO945D4AE586B049C4B26F43D2964BF053" localSheetId="4" hidden="1">[9]xml!#REF!</definedName>
    <definedName name="BO945D4AE586B049C4B26F43D2964BF053" hidden="1">[9]xml!#REF!</definedName>
    <definedName name="BO9479247504A240DB8AA62248BA3AD62A" localSheetId="5" hidden="1">#REF!</definedName>
    <definedName name="BO9479247504A240DB8AA62248BA3AD62A" localSheetId="4" hidden="1">#REF!</definedName>
    <definedName name="BO9479247504A240DB8AA62248BA3AD62A" hidden="1">#REF!</definedName>
    <definedName name="BO948E4098C46048728921E52405E20CE2" localSheetId="5" hidden="1">#REF!</definedName>
    <definedName name="BO948E4098C46048728921E52405E20CE2" localSheetId="4" hidden="1">#REF!</definedName>
    <definedName name="BO948E4098C46048728921E52405E20CE2" hidden="1">#REF!</definedName>
    <definedName name="BO9494C43445E94B2F9101B150DA348936" localSheetId="5" hidden="1">#REF!</definedName>
    <definedName name="BO9494C43445E94B2F9101B150DA348936" localSheetId="4" hidden="1">#REF!</definedName>
    <definedName name="BO9494C43445E94B2F9101B150DA348936" hidden="1">#REF!</definedName>
    <definedName name="BO94ACFBA87DCA4A049A7A7B2CF5A0099B" localSheetId="5" hidden="1">#REF!</definedName>
    <definedName name="BO94ACFBA87DCA4A049A7A7B2CF5A0099B" localSheetId="4" hidden="1">#REF!</definedName>
    <definedName name="BO94ACFBA87DCA4A049A7A7B2CF5A0099B" hidden="1">#REF!</definedName>
    <definedName name="BO94B2F239D2624039A1DCB8FB12649BA6" localSheetId="5" hidden="1">#REF!</definedName>
    <definedName name="BO94B2F239D2624039A1DCB8FB12649BA6" localSheetId="4" hidden="1">#REF!</definedName>
    <definedName name="BO94B2F239D2624039A1DCB8FB12649BA6" hidden="1">#REF!</definedName>
    <definedName name="BO94C268B1ABDC4BE5AF160FC92E6E930E" localSheetId="5" hidden="1">#REF!</definedName>
    <definedName name="BO94C268B1ABDC4BE5AF160FC92E6E930E" localSheetId="4" hidden="1">#REF!</definedName>
    <definedName name="BO94C268B1ABDC4BE5AF160FC92E6E930E" hidden="1">#REF!</definedName>
    <definedName name="BO94C8B881FE184D5BBD91B9F2519B9593" localSheetId="5" hidden="1">#REF!</definedName>
    <definedName name="BO94C8B881FE184D5BBD91B9F2519B9593" localSheetId="4" hidden="1">#REF!</definedName>
    <definedName name="BO94C8B881FE184D5BBD91B9F2519B9593" hidden="1">#REF!</definedName>
    <definedName name="BO94CAC1B2B9184A0CA149982A6B0EDA40" localSheetId="5" hidden="1">#REF!</definedName>
    <definedName name="BO94CAC1B2B9184A0CA149982A6B0EDA40" localSheetId="4" hidden="1">#REF!</definedName>
    <definedName name="BO94CAC1B2B9184A0CA149982A6B0EDA40" hidden="1">#REF!</definedName>
    <definedName name="BO94FF7F224A1F4978B7E420C2A0B05C3D" localSheetId="5" hidden="1">#REF!</definedName>
    <definedName name="BO94FF7F224A1F4978B7E420C2A0B05C3D" localSheetId="4" hidden="1">#REF!</definedName>
    <definedName name="BO94FF7F224A1F4978B7E420C2A0B05C3D" hidden="1">#REF!</definedName>
    <definedName name="BO9513E9F1846A4523A6F0F1F3198A11D1" localSheetId="5" hidden="1">#REF!</definedName>
    <definedName name="BO9513E9F1846A4523A6F0F1F3198A11D1" localSheetId="4" hidden="1">#REF!</definedName>
    <definedName name="BO9513E9F1846A4523A6F0F1F3198A11D1" hidden="1">#REF!</definedName>
    <definedName name="BO95297CC5443C4A87921219AEDB0053A4" localSheetId="5" hidden="1">#REF!</definedName>
    <definedName name="BO95297CC5443C4A87921219AEDB0053A4" localSheetId="4" hidden="1">#REF!</definedName>
    <definedName name="BO95297CC5443C4A87921219AEDB0053A4" hidden="1">#REF!</definedName>
    <definedName name="BO95315A491963462088AB010F1E6536ED" localSheetId="5" hidden="1">#REF!</definedName>
    <definedName name="BO95315A491963462088AB010F1E6536ED" localSheetId="4" hidden="1">#REF!</definedName>
    <definedName name="BO95315A491963462088AB010F1E6536ED" hidden="1">#REF!</definedName>
    <definedName name="BO9531F6C583AD4A5B8EACA1697DCA76E5" localSheetId="5" hidden="1">#REF!</definedName>
    <definedName name="BO9531F6C583AD4A5B8EACA1697DCA76E5" localSheetId="4" hidden="1">#REF!</definedName>
    <definedName name="BO9531F6C583AD4A5B8EACA1697DCA76E5" hidden="1">#REF!</definedName>
    <definedName name="BO9546AAE559804D05934EF2CC58527114" localSheetId="5" hidden="1">#REF!</definedName>
    <definedName name="BO9546AAE559804D05934EF2CC58527114" localSheetId="4" hidden="1">#REF!</definedName>
    <definedName name="BO9546AAE559804D05934EF2CC58527114" hidden="1">#REF!</definedName>
    <definedName name="BO954E396D800B4BF9935B12333E3AE848" localSheetId="5" hidden="1">#REF!</definedName>
    <definedName name="BO954E396D800B4BF9935B12333E3AE848" localSheetId="4" hidden="1">#REF!</definedName>
    <definedName name="BO954E396D800B4BF9935B12333E3AE848" hidden="1">#REF!</definedName>
    <definedName name="BO955821DBA81848509481FD646A939426" localSheetId="5" hidden="1">#REF!</definedName>
    <definedName name="BO955821DBA81848509481FD646A939426" localSheetId="4" hidden="1">#REF!</definedName>
    <definedName name="BO955821DBA81848509481FD646A939426" hidden="1">#REF!</definedName>
    <definedName name="BO9569473B49744295BBBB13BF84496763" localSheetId="5" hidden="1">#REF!</definedName>
    <definedName name="BO9569473B49744295BBBB13BF84496763" localSheetId="4" hidden="1">#REF!</definedName>
    <definedName name="BO9569473B49744295BBBB13BF84496763" hidden="1">#REF!</definedName>
    <definedName name="BO956DB3C951D8464EB60637865E1D1216" localSheetId="5" hidden="1">#REF!</definedName>
    <definedName name="BO956DB3C951D8464EB60637865E1D1216" localSheetId="4" hidden="1">#REF!</definedName>
    <definedName name="BO956DB3C951D8464EB60637865E1D1216" hidden="1">#REF!</definedName>
    <definedName name="BO956E011291D64BEEB8399D6027B0FD14" localSheetId="5" hidden="1">#REF!</definedName>
    <definedName name="BO956E011291D64BEEB8399D6027B0FD14" localSheetId="4" hidden="1">#REF!</definedName>
    <definedName name="BO956E011291D64BEEB8399D6027B0FD14" hidden="1">#REF!</definedName>
    <definedName name="BO959272DCF99441B0A2452A49A4FBE909" localSheetId="5" hidden="1">#REF!</definedName>
    <definedName name="BO959272DCF99441B0A2452A49A4FBE909" localSheetId="4" hidden="1">#REF!</definedName>
    <definedName name="BO959272DCF99441B0A2452A49A4FBE909" hidden="1">#REF!</definedName>
    <definedName name="BO95B8948E71674C9BBD6DC47262E07D3C" localSheetId="5" hidden="1">#REF!</definedName>
    <definedName name="BO95B8948E71674C9BBD6DC47262E07D3C" localSheetId="4" hidden="1">#REF!</definedName>
    <definedName name="BO95B8948E71674C9BBD6DC47262E07D3C" hidden="1">#REF!</definedName>
    <definedName name="BO95CD0D87A86547D789C5C76C1E4685B8" localSheetId="5" hidden="1">#REF!</definedName>
    <definedName name="BO95CD0D87A86547D789C5C76C1E4685B8" localSheetId="4" hidden="1">#REF!</definedName>
    <definedName name="BO95CD0D87A86547D789C5C76C1E4685B8" hidden="1">#REF!</definedName>
    <definedName name="BO95FBA05EBB1A49DCA3E32B3AB30D7E98" localSheetId="5" hidden="1">#REF!</definedName>
    <definedName name="BO95FBA05EBB1A49DCA3E32B3AB30D7E98" localSheetId="4" hidden="1">#REF!</definedName>
    <definedName name="BO95FBA05EBB1A49DCA3E32B3AB30D7E98" hidden="1">#REF!</definedName>
    <definedName name="BO96012A3695F24EEDA41060270FB23FD7" localSheetId="5" hidden="1">#REF!</definedName>
    <definedName name="BO96012A3695F24EEDA41060270FB23FD7" localSheetId="4" hidden="1">#REF!</definedName>
    <definedName name="BO96012A3695F24EEDA41060270FB23FD7" hidden="1">#REF!</definedName>
    <definedName name="BO96073E7E2DD143EFB77B21DB51546EEA" localSheetId="5" hidden="1">#REF!</definedName>
    <definedName name="BO96073E7E2DD143EFB77B21DB51546EEA" localSheetId="4" hidden="1">#REF!</definedName>
    <definedName name="BO96073E7E2DD143EFB77B21DB51546EEA" hidden="1">#REF!</definedName>
    <definedName name="BO9614567D53B747AA9B29D726BA8A5F57" localSheetId="5" hidden="1">#REF!</definedName>
    <definedName name="BO9614567D53B747AA9B29D726BA8A5F57" localSheetId="4" hidden="1">#REF!</definedName>
    <definedName name="BO9614567D53B747AA9B29D726BA8A5F57" hidden="1">#REF!</definedName>
    <definedName name="BO961753E720B34B64928183DBF2D50EF4" localSheetId="5" hidden="1">[9]Kehoachchitiet!#REF!</definedName>
    <definedName name="BO961753E720B34B64928183DBF2D50EF4" localSheetId="4" hidden="1">[9]Kehoachchitiet!#REF!</definedName>
    <definedName name="BO961753E720B34B64928183DBF2D50EF4" hidden="1">[9]Kehoachchitiet!#REF!</definedName>
    <definedName name="BO9619A3E64E904BBF830DEA71105C6554" localSheetId="5" hidden="1">#REF!</definedName>
    <definedName name="BO9619A3E64E904BBF830DEA71105C6554" localSheetId="4" hidden="1">#REF!</definedName>
    <definedName name="BO9619A3E64E904BBF830DEA71105C6554" hidden="1">#REF!</definedName>
    <definedName name="BO961B2829573B4BF3AEDBD5F574CBDFBE" localSheetId="5" hidden="1">#REF!</definedName>
    <definedName name="BO961B2829573B4BF3AEDBD5F574CBDFBE" localSheetId="4" hidden="1">#REF!</definedName>
    <definedName name="BO961B2829573B4BF3AEDBD5F574CBDFBE" hidden="1">#REF!</definedName>
    <definedName name="BO963AA06C95F0448C98E7B7ADF814B641" localSheetId="5" hidden="1">#REF!</definedName>
    <definedName name="BO963AA06C95F0448C98E7B7ADF814B641" localSheetId="4" hidden="1">#REF!</definedName>
    <definedName name="BO963AA06C95F0448C98E7B7ADF814B641" hidden="1">#REF!</definedName>
    <definedName name="BO9655D4D083304B6B84234D7B3D520D2C" localSheetId="5" hidden="1">#REF!</definedName>
    <definedName name="BO9655D4D083304B6B84234D7B3D520D2C" localSheetId="4" hidden="1">#REF!</definedName>
    <definedName name="BO9655D4D083304B6B84234D7B3D520D2C" hidden="1">#REF!</definedName>
    <definedName name="BO96B0D7DFBDD64B7F99A29B72A17CCBF3" localSheetId="5" hidden="1">#REF!</definedName>
    <definedName name="BO96B0D7DFBDD64B7F99A29B72A17CCBF3" localSheetId="4" hidden="1">#REF!</definedName>
    <definedName name="BO96B0D7DFBDD64B7F99A29B72A17CCBF3" hidden="1">#REF!</definedName>
    <definedName name="BO96C96D0DC4524E10AD2A3B05945FC3F1" localSheetId="5" hidden="1">#REF!</definedName>
    <definedName name="BO96C96D0DC4524E10AD2A3B05945FC3F1" localSheetId="4" hidden="1">#REF!</definedName>
    <definedName name="BO96C96D0DC4524E10AD2A3B05945FC3F1" hidden="1">#REF!</definedName>
    <definedName name="BO96D6B2D14BCE426B82DFC4BC6BE36452" localSheetId="5" hidden="1">#REF!</definedName>
    <definedName name="BO96D6B2D14BCE426B82DFC4BC6BE36452" localSheetId="4" hidden="1">#REF!</definedName>
    <definedName name="BO96D6B2D14BCE426B82DFC4BC6BE36452" hidden="1">#REF!</definedName>
    <definedName name="BO96DD60ACDEAB49279901EDA429A1D057" localSheetId="5" hidden="1">#REF!</definedName>
    <definedName name="BO96DD60ACDEAB49279901EDA429A1D057" localSheetId="4" hidden="1">#REF!</definedName>
    <definedName name="BO96DD60ACDEAB49279901EDA429A1D057" hidden="1">#REF!</definedName>
    <definedName name="BO96E0ACA67F90404598B7ED8E51093BC6" localSheetId="5" hidden="1">#REF!</definedName>
    <definedName name="BO96E0ACA67F90404598B7ED8E51093BC6" localSheetId="4" hidden="1">#REF!</definedName>
    <definedName name="BO96E0ACA67F90404598B7ED8E51093BC6" hidden="1">#REF!</definedName>
    <definedName name="BO96FD81C5B8DB4FBB8AA6463A2345EF65" localSheetId="5" hidden="1">#REF!</definedName>
    <definedName name="BO96FD81C5B8DB4FBB8AA6463A2345EF65" localSheetId="4" hidden="1">#REF!</definedName>
    <definedName name="BO96FD81C5B8DB4FBB8AA6463A2345EF65" hidden="1">#REF!</definedName>
    <definedName name="BO9705DA3C5FE549B1B6C232BEE3BE0B4A" localSheetId="5" hidden="1">#REF!</definedName>
    <definedName name="BO9705DA3C5FE549B1B6C232BEE3BE0B4A" localSheetId="4" hidden="1">#REF!</definedName>
    <definedName name="BO9705DA3C5FE549B1B6C232BEE3BE0B4A" hidden="1">#REF!</definedName>
    <definedName name="BO970E49E77A1641C28131031D36D4FD21" localSheetId="5" hidden="1">#REF!</definedName>
    <definedName name="BO970E49E77A1641C28131031D36D4FD21" localSheetId="4" hidden="1">#REF!</definedName>
    <definedName name="BO970E49E77A1641C28131031D36D4FD21" hidden="1">#REF!</definedName>
    <definedName name="BO971ABF41FC324365BB3C3958837215AD" localSheetId="5" hidden="1">#REF!</definedName>
    <definedName name="BO971ABF41FC324365BB3C3958837215AD" localSheetId="4" hidden="1">#REF!</definedName>
    <definedName name="BO971ABF41FC324365BB3C3958837215AD" hidden="1">#REF!</definedName>
    <definedName name="BO971BBD42956545928E334B292F6A0C5F" localSheetId="5" hidden="1">#REF!</definedName>
    <definedName name="BO971BBD42956545928E334B292F6A0C5F" localSheetId="4" hidden="1">#REF!</definedName>
    <definedName name="BO971BBD42956545928E334B292F6A0C5F" hidden="1">#REF!</definedName>
    <definedName name="BO971F9F004F88452E9A8104EDA914DE4A" localSheetId="5" hidden="1">#REF!</definedName>
    <definedName name="BO971F9F004F88452E9A8104EDA914DE4A" localSheetId="4" hidden="1">#REF!</definedName>
    <definedName name="BO971F9F004F88452E9A8104EDA914DE4A" hidden="1">#REF!</definedName>
    <definedName name="BO972EF9E0468B46789B22F42FA9EDF429" localSheetId="5" hidden="1">#REF!</definedName>
    <definedName name="BO972EF9E0468B46789B22F42FA9EDF429" localSheetId="4" hidden="1">#REF!</definedName>
    <definedName name="BO972EF9E0468B46789B22F42FA9EDF429" hidden="1">#REF!</definedName>
    <definedName name="BO9743127732D6480CBCDA2CD93BE4A029" localSheetId="5" hidden="1">#REF!</definedName>
    <definedName name="BO9743127732D6480CBCDA2CD93BE4A029" localSheetId="4" hidden="1">#REF!</definedName>
    <definedName name="BO9743127732D6480CBCDA2CD93BE4A029" hidden="1">#REF!</definedName>
    <definedName name="BO97435E36457D4D9F8A41E78406793419" localSheetId="5" hidden="1">#REF!</definedName>
    <definedName name="BO97435E36457D4D9F8A41E78406793419" localSheetId="4" hidden="1">#REF!</definedName>
    <definedName name="BO97435E36457D4D9F8A41E78406793419" hidden="1">#REF!</definedName>
    <definedName name="BO974DD56617CC44BB82F4580C5391D3C4" localSheetId="5" hidden="1">#REF!</definedName>
    <definedName name="BO974DD56617CC44BB82F4580C5391D3C4" localSheetId="4" hidden="1">#REF!</definedName>
    <definedName name="BO974DD56617CC44BB82F4580C5391D3C4" hidden="1">#REF!</definedName>
    <definedName name="BO974F495CBB5F4BE9B6A2ECAD26192CF3" localSheetId="5" hidden="1">#REF!</definedName>
    <definedName name="BO974F495CBB5F4BE9B6A2ECAD26192CF3" localSheetId="4" hidden="1">#REF!</definedName>
    <definedName name="BO974F495CBB5F4BE9B6A2ECAD26192CF3" hidden="1">#REF!</definedName>
    <definedName name="BO9763C8E8672C44EE9CC8F3034DE59781" localSheetId="5" hidden="1">#REF!</definedName>
    <definedName name="BO9763C8E8672C44EE9CC8F3034DE59781" localSheetId="4" hidden="1">#REF!</definedName>
    <definedName name="BO9763C8E8672C44EE9CC8F3034DE59781" hidden="1">#REF!</definedName>
    <definedName name="BO9764AE7C0FE548A687C092A5848411A0" localSheetId="5" hidden="1">#REF!</definedName>
    <definedName name="BO9764AE7C0FE548A687C092A5848411A0" localSheetId="4" hidden="1">#REF!</definedName>
    <definedName name="BO9764AE7C0FE548A687C092A5848411A0" hidden="1">#REF!</definedName>
    <definedName name="BO97705033685D404CA111963901512904" localSheetId="5" hidden="1">#REF!</definedName>
    <definedName name="BO97705033685D404CA111963901512904" localSheetId="4" hidden="1">#REF!</definedName>
    <definedName name="BO97705033685D404CA111963901512904" hidden="1">#REF!</definedName>
    <definedName name="BO97754172F33648A1B02D0D2E9D35C937" localSheetId="5" hidden="1">#REF!</definedName>
    <definedName name="BO97754172F33648A1B02D0D2E9D35C937" localSheetId="4" hidden="1">#REF!</definedName>
    <definedName name="BO97754172F33648A1B02D0D2E9D35C937" hidden="1">#REF!</definedName>
    <definedName name="BO977D0E2D3367462C8476C351B447CE71" localSheetId="5" hidden="1">#REF!</definedName>
    <definedName name="BO977D0E2D3367462C8476C351B447CE71" localSheetId="4" hidden="1">#REF!</definedName>
    <definedName name="BO977D0E2D3367462C8476C351B447CE71" hidden="1">#REF!</definedName>
    <definedName name="BO97B220745DA94ED7BB96EECFA8DC4E6E" localSheetId="5" hidden="1">#REF!</definedName>
    <definedName name="BO97B220745DA94ED7BB96EECFA8DC4E6E" localSheetId="4" hidden="1">#REF!</definedName>
    <definedName name="BO97B220745DA94ED7BB96EECFA8DC4E6E" hidden="1">#REF!</definedName>
    <definedName name="BO97E864FF22354435934B5E0583930B1A" localSheetId="5" hidden="1">#REF!</definedName>
    <definedName name="BO97E864FF22354435934B5E0583930B1A" localSheetId="4" hidden="1">#REF!</definedName>
    <definedName name="BO97E864FF22354435934B5E0583930B1A" hidden="1">#REF!</definedName>
    <definedName name="BO9809C12F3B384ADF849C353B35FBAA0D" localSheetId="5" hidden="1">#REF!</definedName>
    <definedName name="BO9809C12F3B384ADF849C353B35FBAA0D" localSheetId="4" hidden="1">#REF!</definedName>
    <definedName name="BO9809C12F3B384ADF849C353B35FBAA0D" hidden="1">#REF!</definedName>
    <definedName name="BO9847A201EFCB4ACB9B307CE635AEB5E1" localSheetId="5" hidden="1">#REF!</definedName>
    <definedName name="BO9847A201EFCB4ACB9B307CE635AEB5E1" localSheetId="4" hidden="1">#REF!</definedName>
    <definedName name="BO9847A201EFCB4ACB9B307CE635AEB5E1" hidden="1">#REF!</definedName>
    <definedName name="BO985BAF614F20419688C24910DA7EDD6A" localSheetId="5" hidden="1">#REF!</definedName>
    <definedName name="BO985BAF614F20419688C24910DA7EDD6A" localSheetId="4" hidden="1">#REF!</definedName>
    <definedName name="BO985BAF614F20419688C24910DA7EDD6A" hidden="1">#REF!</definedName>
    <definedName name="BO988C711F507447F1888939DBB79CE12A" localSheetId="5" hidden="1">#REF!</definedName>
    <definedName name="BO988C711F507447F1888939DBB79CE12A" localSheetId="4" hidden="1">#REF!</definedName>
    <definedName name="BO988C711F507447F1888939DBB79CE12A" hidden="1">#REF!</definedName>
    <definedName name="BO989A56968B1F48DCB1E51A21B2C17893" localSheetId="5" hidden="1">#REF!</definedName>
    <definedName name="BO989A56968B1F48DCB1E51A21B2C17893" localSheetId="4" hidden="1">#REF!</definedName>
    <definedName name="BO989A56968B1F48DCB1E51A21B2C17893" hidden="1">#REF!</definedName>
    <definedName name="BO98CB2505045548E2961B8E6D1605915E" localSheetId="5" hidden="1">#REF!</definedName>
    <definedName name="BO98CB2505045548E2961B8E6D1605915E" localSheetId="4" hidden="1">#REF!</definedName>
    <definedName name="BO98CB2505045548E2961B8E6D1605915E" hidden="1">#REF!</definedName>
    <definedName name="BO98D37362E38B4CDA8C9E54163DEBEB0D" localSheetId="5" hidden="1">[9]xml!#REF!</definedName>
    <definedName name="BO98D37362E38B4CDA8C9E54163DEBEB0D" localSheetId="4" hidden="1">[9]xml!#REF!</definedName>
    <definedName name="BO98D37362E38B4CDA8C9E54163DEBEB0D" hidden="1">[9]xml!#REF!</definedName>
    <definedName name="BO98E1498590614A7C8C9700EFA3B34ECF" localSheetId="5" hidden="1">#REF!</definedName>
    <definedName name="BO98E1498590614A7C8C9700EFA3B34ECF" localSheetId="4" hidden="1">#REF!</definedName>
    <definedName name="BO98E1498590614A7C8C9700EFA3B34ECF" hidden="1">#REF!</definedName>
    <definedName name="BO98E5E992939548CE8FEDD43F3C859A4F" localSheetId="5" hidden="1">#REF!</definedName>
    <definedName name="BO98E5E992939548CE8FEDD43F3C859A4F" localSheetId="4" hidden="1">#REF!</definedName>
    <definedName name="BO98E5E992939548CE8FEDD43F3C859A4F" hidden="1">#REF!</definedName>
    <definedName name="BO98EB4F0F414E453C9E8C0303365FB71E" localSheetId="5" hidden="1">#REF!</definedName>
    <definedName name="BO98EB4F0F414E453C9E8C0303365FB71E" localSheetId="4" hidden="1">#REF!</definedName>
    <definedName name="BO98EB4F0F414E453C9E8C0303365FB71E" hidden="1">#REF!</definedName>
    <definedName name="BO98EE941FAF8946578E04E20339EF8603" localSheetId="5" hidden="1">[9]xml!#REF!</definedName>
    <definedName name="BO98EE941FAF8946578E04E20339EF8603" localSheetId="4" hidden="1">[9]xml!#REF!</definedName>
    <definedName name="BO98EE941FAF8946578E04E20339EF8603" hidden="1">[9]xml!#REF!</definedName>
    <definedName name="BO99037B02ECF24BFFB3D99208DAE0221F" localSheetId="5" hidden="1">#REF!</definedName>
    <definedName name="BO99037B02ECF24BFFB3D99208DAE0221F" localSheetId="4" hidden="1">#REF!</definedName>
    <definedName name="BO99037B02ECF24BFFB3D99208DAE0221F" hidden="1">#REF!</definedName>
    <definedName name="BO9916AA24635F4BF297FA83B8070D44FE" localSheetId="5" hidden="1">#REF!</definedName>
    <definedName name="BO9916AA24635F4BF297FA83B8070D44FE" localSheetId="4" hidden="1">#REF!</definedName>
    <definedName name="BO9916AA24635F4BF297FA83B8070D44FE" hidden="1">#REF!</definedName>
    <definedName name="BO9922DCDDA14C416E94C27CE584A50205" localSheetId="5" hidden="1">#REF!</definedName>
    <definedName name="BO9922DCDDA14C416E94C27CE584A50205" localSheetId="4" hidden="1">#REF!</definedName>
    <definedName name="BO9922DCDDA14C416E94C27CE584A50205" hidden="1">#REF!</definedName>
    <definedName name="BO992471B0FCAA46B99A5CEF437922D47F" localSheetId="5" hidden="1">#REF!</definedName>
    <definedName name="BO992471B0FCAA46B99A5CEF437922D47F" localSheetId="4" hidden="1">#REF!</definedName>
    <definedName name="BO992471B0FCAA46B99A5CEF437922D47F" hidden="1">#REF!</definedName>
    <definedName name="BO99463C74974B4349A5BE8BFBF4C76308" localSheetId="5" hidden="1">#REF!</definedName>
    <definedName name="BO99463C74974B4349A5BE8BFBF4C76308" localSheetId="4" hidden="1">#REF!</definedName>
    <definedName name="BO99463C74974B4349A5BE8BFBF4C76308" hidden="1">#REF!</definedName>
    <definedName name="BO9952FD1FDB394000A77CFF0ECF03E8D2" localSheetId="5" hidden="1">#REF!</definedName>
    <definedName name="BO9952FD1FDB394000A77CFF0ECF03E8D2" localSheetId="4" hidden="1">#REF!</definedName>
    <definedName name="BO9952FD1FDB394000A77CFF0ECF03E8D2" hidden="1">#REF!</definedName>
    <definedName name="BO995DA1F47F9849D8A8D8EDAA9B7534E0" localSheetId="5" hidden="1">#REF!</definedName>
    <definedName name="BO995DA1F47F9849D8A8D8EDAA9B7534E0" localSheetId="4" hidden="1">#REF!</definedName>
    <definedName name="BO995DA1F47F9849D8A8D8EDAA9B7534E0" hidden="1">#REF!</definedName>
    <definedName name="BO9966FC2A064D44348ED41FEA6E021D6E" localSheetId="5" hidden="1">#REF!</definedName>
    <definedName name="BO9966FC2A064D44348ED41FEA6E021D6E" localSheetId="4" hidden="1">#REF!</definedName>
    <definedName name="BO9966FC2A064D44348ED41FEA6E021D6E" hidden="1">#REF!</definedName>
    <definedName name="BO99746685114E4D81834B645CEAD25AA3" localSheetId="5" hidden="1">#REF!</definedName>
    <definedName name="BO99746685114E4D81834B645CEAD25AA3" localSheetId="4" hidden="1">#REF!</definedName>
    <definedName name="BO99746685114E4D81834B645CEAD25AA3" hidden="1">#REF!</definedName>
    <definedName name="BO9984FAA95CC94B57809C5AA8ADD50266" localSheetId="5" hidden="1">#REF!</definedName>
    <definedName name="BO9984FAA95CC94B57809C5AA8ADD50266" localSheetId="4" hidden="1">#REF!</definedName>
    <definedName name="BO9984FAA95CC94B57809C5AA8ADD50266" hidden="1">#REF!</definedName>
    <definedName name="BO99886BC7CEF1473A89BBEEB83C430EE7" localSheetId="5" hidden="1">#REF!</definedName>
    <definedName name="BO99886BC7CEF1473A89BBEEB83C430EE7" localSheetId="4" hidden="1">#REF!</definedName>
    <definedName name="BO99886BC7CEF1473A89BBEEB83C430EE7" hidden="1">#REF!</definedName>
    <definedName name="BO99898C4BDEA24D1E99CE6C1A3A6BD908" localSheetId="5" hidden="1">#REF!</definedName>
    <definedName name="BO99898C4BDEA24D1E99CE6C1A3A6BD908" localSheetId="4" hidden="1">#REF!</definedName>
    <definedName name="BO99898C4BDEA24D1E99CE6C1A3A6BD908" hidden="1">#REF!</definedName>
    <definedName name="BO998E1909613041318FA45C8F7B14B775" localSheetId="5" hidden="1">#REF!</definedName>
    <definedName name="BO998E1909613041318FA45C8F7B14B775" localSheetId="4" hidden="1">#REF!</definedName>
    <definedName name="BO998E1909613041318FA45C8F7B14B775" hidden="1">#REF!</definedName>
    <definedName name="BO9997214558D14F72B1FAB36FBAC8578A" localSheetId="5" hidden="1">#REF!</definedName>
    <definedName name="BO9997214558D14F72B1FAB36FBAC8578A" localSheetId="4" hidden="1">#REF!</definedName>
    <definedName name="BO9997214558D14F72B1FAB36FBAC8578A" hidden="1">#REF!</definedName>
    <definedName name="BO99986C2F1A874F3AB3EFFC6732063BAA" localSheetId="5" hidden="1">#REF!</definedName>
    <definedName name="BO99986C2F1A874F3AB3EFFC6732063BAA" localSheetId="4" hidden="1">#REF!</definedName>
    <definedName name="BO99986C2F1A874F3AB3EFFC6732063BAA" hidden="1">#REF!</definedName>
    <definedName name="BO9999A410B168401BA23B06933F517548" localSheetId="5" hidden="1">#REF!</definedName>
    <definedName name="BO9999A410B168401BA23B06933F517548" localSheetId="4" hidden="1">#REF!</definedName>
    <definedName name="BO9999A410B168401BA23B06933F517548" hidden="1">#REF!</definedName>
    <definedName name="BO999FA66A56B04354964E9C8EDEB59AEF" localSheetId="5" hidden="1">#REF!</definedName>
    <definedName name="BO999FA66A56B04354964E9C8EDEB59AEF" localSheetId="4" hidden="1">#REF!</definedName>
    <definedName name="BO999FA66A56B04354964E9C8EDEB59AEF" hidden="1">#REF!</definedName>
    <definedName name="BO99A5EA3B6465412E99F307619EFF22BA" localSheetId="5" hidden="1">#REF!</definedName>
    <definedName name="BO99A5EA3B6465412E99F307619EFF22BA" localSheetId="4" hidden="1">#REF!</definedName>
    <definedName name="BO99A5EA3B6465412E99F307619EFF22BA" hidden="1">#REF!</definedName>
    <definedName name="BO99BAC6217DB74194A730AF104092B111" localSheetId="5" hidden="1">#REF!</definedName>
    <definedName name="BO99BAC6217DB74194A730AF104092B111" localSheetId="4" hidden="1">#REF!</definedName>
    <definedName name="BO99BAC6217DB74194A730AF104092B111" hidden="1">#REF!</definedName>
    <definedName name="BO99C4CA4681754EEA872316A386BE91B9" localSheetId="5" hidden="1">[9]Giaitrinh!#REF!</definedName>
    <definedName name="BO99C4CA4681754EEA872316A386BE91B9" localSheetId="4" hidden="1">[9]Giaitrinh!#REF!</definedName>
    <definedName name="BO99C4CA4681754EEA872316A386BE91B9" hidden="1">[9]Giaitrinh!#REF!</definedName>
    <definedName name="BO99C517B46B44471084074AC92355F6B2" localSheetId="5" hidden="1">#REF!</definedName>
    <definedName name="BO99C517B46B44471084074AC92355F6B2" localSheetId="4" hidden="1">#REF!</definedName>
    <definedName name="BO99C517B46B44471084074AC92355F6B2" hidden="1">#REF!</definedName>
    <definedName name="BO99DC1A7172B84F838B475B6B0075ABEB" localSheetId="5" hidden="1">#REF!</definedName>
    <definedName name="BO99DC1A7172B84F838B475B6B0075ABEB" localSheetId="4" hidden="1">#REF!</definedName>
    <definedName name="BO99DC1A7172B84F838B475B6B0075ABEB" hidden="1">#REF!</definedName>
    <definedName name="BO99DE02B5579048E1BBE4F4225324DE80" localSheetId="5" hidden="1">#REF!</definedName>
    <definedName name="BO99DE02B5579048E1BBE4F4225324DE80" localSheetId="4" hidden="1">#REF!</definedName>
    <definedName name="BO99DE02B5579048E1BBE4F4225324DE80" hidden="1">#REF!</definedName>
    <definedName name="BO99E873DF55E2407AA79BE4AC482D57C1" localSheetId="5" hidden="1">#REF!</definedName>
    <definedName name="BO99E873DF55E2407AA79BE4AC482D57C1" localSheetId="4" hidden="1">#REF!</definedName>
    <definedName name="BO99E873DF55E2407AA79BE4AC482D57C1" hidden="1">#REF!</definedName>
    <definedName name="BO99F730DA3CE3438682559D78DBEB1137" localSheetId="5" hidden="1">#REF!</definedName>
    <definedName name="BO99F730DA3CE3438682559D78DBEB1137" localSheetId="4" hidden="1">#REF!</definedName>
    <definedName name="BO99F730DA3CE3438682559D78DBEB1137" hidden="1">#REF!</definedName>
    <definedName name="BO99FFBEBD80BD4018998241073ABBEC36" localSheetId="5" hidden="1">#REF!</definedName>
    <definedName name="BO99FFBEBD80BD4018998241073ABBEC36" localSheetId="4" hidden="1">#REF!</definedName>
    <definedName name="BO99FFBEBD80BD4018998241073ABBEC36" hidden="1">#REF!</definedName>
    <definedName name="BO9A0190849D034618A6D850654E79D887" localSheetId="5" hidden="1">#REF!</definedName>
    <definedName name="BO9A0190849D034618A6D850654E79D887" localSheetId="4" hidden="1">#REF!</definedName>
    <definedName name="BO9A0190849D034618A6D850654E79D887" hidden="1">#REF!</definedName>
    <definedName name="BO9A05D1ED402548C7BCD6598F99A3D539" localSheetId="5" hidden="1">#REF!</definedName>
    <definedName name="BO9A05D1ED402548C7BCD6598F99A3D539" localSheetId="4" hidden="1">#REF!</definedName>
    <definedName name="BO9A05D1ED402548C7BCD6598F99A3D539" hidden="1">#REF!</definedName>
    <definedName name="BO9A0785458B914172B6CA6F98503A5540" localSheetId="5" hidden="1">#REF!</definedName>
    <definedName name="BO9A0785458B914172B6CA6F98503A5540" localSheetId="4" hidden="1">#REF!</definedName>
    <definedName name="BO9A0785458B914172B6CA6F98503A5540" hidden="1">#REF!</definedName>
    <definedName name="BO9A0A3EF557FE4FF79C9C276FF2750A78" localSheetId="5" hidden="1">#REF!</definedName>
    <definedName name="BO9A0A3EF557FE4FF79C9C276FF2750A78" localSheetId="4" hidden="1">#REF!</definedName>
    <definedName name="BO9A0A3EF557FE4FF79C9C276FF2750A78" hidden="1">#REF!</definedName>
    <definedName name="BO9A1F9BAB994C48F6B91F15AE74E2EFF2" localSheetId="5" hidden="1">#REF!</definedName>
    <definedName name="BO9A1F9BAB994C48F6B91F15AE74E2EFF2" localSheetId="4" hidden="1">#REF!</definedName>
    <definedName name="BO9A1F9BAB994C48F6B91F15AE74E2EFF2" hidden="1">#REF!</definedName>
    <definedName name="BO9A2A567F0CC545CC9043BF9A4C5F101F" localSheetId="5" hidden="1">#REF!</definedName>
    <definedName name="BO9A2A567F0CC545CC9043BF9A4C5F101F" localSheetId="4" hidden="1">#REF!</definedName>
    <definedName name="BO9A2A567F0CC545CC9043BF9A4C5F101F" hidden="1">#REF!</definedName>
    <definedName name="BO9A3C310BF6CB47C486BB15C6F7DE7E32" localSheetId="5" hidden="1">#REF!</definedName>
    <definedName name="BO9A3C310BF6CB47C486BB15C6F7DE7E32" localSheetId="4" hidden="1">#REF!</definedName>
    <definedName name="BO9A3C310BF6CB47C486BB15C6F7DE7E32" hidden="1">#REF!</definedName>
    <definedName name="BO9A4A94F5AF7D4C0395CB3119F73CE421" localSheetId="5" hidden="1">[9]xml!#REF!</definedName>
    <definedName name="BO9A4A94F5AF7D4C0395CB3119F73CE421" localSheetId="4" hidden="1">[9]xml!#REF!</definedName>
    <definedName name="BO9A4A94F5AF7D4C0395CB3119F73CE421" hidden="1">[9]xml!#REF!</definedName>
    <definedName name="BO9A4DAFC646744B0ABE9AC8B748F29403" localSheetId="5" hidden="1">#REF!</definedName>
    <definedName name="BO9A4DAFC646744B0ABE9AC8B748F29403" localSheetId="4" hidden="1">#REF!</definedName>
    <definedName name="BO9A4DAFC646744B0ABE9AC8B748F29403" hidden="1">#REF!</definedName>
    <definedName name="BO9A59FC65E18E4F21B33CA5B9F96320B3" localSheetId="5" hidden="1">#REF!</definedName>
    <definedName name="BO9A59FC65E18E4F21B33CA5B9F96320B3" localSheetId="4" hidden="1">#REF!</definedName>
    <definedName name="BO9A59FC65E18E4F21B33CA5B9F96320B3" hidden="1">#REF!</definedName>
    <definedName name="BO9A62340DC7DF4552A6743C7FF6FF0E8A" localSheetId="5" hidden="1">#REF!</definedName>
    <definedName name="BO9A62340DC7DF4552A6743C7FF6FF0E8A" localSheetId="4" hidden="1">#REF!</definedName>
    <definedName name="BO9A62340DC7DF4552A6743C7FF6FF0E8A" hidden="1">#REF!</definedName>
    <definedName name="BO9A78932710404751B80863614952311A" localSheetId="5" hidden="1">#REF!</definedName>
    <definedName name="BO9A78932710404751B80863614952311A" localSheetId="4" hidden="1">#REF!</definedName>
    <definedName name="BO9A78932710404751B80863614952311A" hidden="1">#REF!</definedName>
    <definedName name="BO9AB4EE1BE75A4835A849BC3D07FB835E" localSheetId="5" hidden="1">#REF!</definedName>
    <definedName name="BO9AB4EE1BE75A4835A849BC3D07FB835E" localSheetId="4" hidden="1">#REF!</definedName>
    <definedName name="BO9AB4EE1BE75A4835A849BC3D07FB835E" hidden="1">#REF!</definedName>
    <definedName name="BO9AB9669C18D8408FB7B971802388C9D2" localSheetId="5" hidden="1">#REF!</definedName>
    <definedName name="BO9AB9669C18D8408FB7B971802388C9D2" localSheetId="4" hidden="1">#REF!</definedName>
    <definedName name="BO9AB9669C18D8408FB7B971802388C9D2" hidden="1">#REF!</definedName>
    <definedName name="BO9AD37D1B6D6E485CB10128FACD00A19D" localSheetId="5" hidden="1">#REF!</definedName>
    <definedName name="BO9AD37D1B6D6E485CB10128FACD00A19D" localSheetId="4" hidden="1">#REF!</definedName>
    <definedName name="BO9AD37D1B6D6E485CB10128FACD00A19D" hidden="1">#REF!</definedName>
    <definedName name="BO9AD7468F6951475F80B883FFA1EFF394" localSheetId="5" hidden="1">#REF!</definedName>
    <definedName name="BO9AD7468F6951475F80B883FFA1EFF394" localSheetId="4" hidden="1">#REF!</definedName>
    <definedName name="BO9AD7468F6951475F80B883FFA1EFF394" hidden="1">#REF!</definedName>
    <definedName name="BO9ADBAF030D114371A37BB3731A2FF1BB" localSheetId="5" hidden="1">#REF!</definedName>
    <definedName name="BO9ADBAF030D114371A37BB3731A2FF1BB" localSheetId="4" hidden="1">#REF!</definedName>
    <definedName name="BO9ADBAF030D114371A37BB3731A2FF1BB" hidden="1">#REF!</definedName>
    <definedName name="BO9AE63B8B66BF4271961E67AB87C27BE3" localSheetId="5" hidden="1">#REF!</definedName>
    <definedName name="BO9AE63B8B66BF4271961E67AB87C27BE3" localSheetId="4" hidden="1">#REF!</definedName>
    <definedName name="BO9AE63B8B66BF4271961E67AB87C27BE3" hidden="1">#REF!</definedName>
    <definedName name="BO9AFDD4CFEDE84C3CAEAD110DF748A416" localSheetId="5" hidden="1">#REF!</definedName>
    <definedName name="BO9AFDD4CFEDE84C3CAEAD110DF748A416" localSheetId="4" hidden="1">#REF!</definedName>
    <definedName name="BO9AFDD4CFEDE84C3CAEAD110DF748A416" hidden="1">#REF!</definedName>
    <definedName name="BO9B07B29E896D4E689C3E019FE42771E7" localSheetId="5" hidden="1">#REF!</definedName>
    <definedName name="BO9B07B29E896D4E689C3E019FE42771E7" localSheetId="4" hidden="1">#REF!</definedName>
    <definedName name="BO9B07B29E896D4E689C3E019FE42771E7" hidden="1">#REF!</definedName>
    <definedName name="BO9B0C18E18D78469EB56DF09655A49385" localSheetId="5" hidden="1">#REF!</definedName>
    <definedName name="BO9B0C18E18D78469EB56DF09655A49385" localSheetId="4" hidden="1">#REF!</definedName>
    <definedName name="BO9B0C18E18D78469EB56DF09655A49385" hidden="1">#REF!</definedName>
    <definedName name="BO9B3B4252A5054C8AA9BB04D57CE43C60" localSheetId="5" hidden="1">#REF!</definedName>
    <definedName name="BO9B3B4252A5054C8AA9BB04D57CE43C60" localSheetId="4" hidden="1">#REF!</definedName>
    <definedName name="BO9B3B4252A5054C8AA9BB04D57CE43C60" hidden="1">#REF!</definedName>
    <definedName name="BO9B3B6F3CBDDD4CB0B98E9DAC2E6DFBB4" localSheetId="5" hidden="1">#REF!</definedName>
    <definedName name="BO9B3B6F3CBDDD4CB0B98E9DAC2E6DFBB4" localSheetId="4" hidden="1">#REF!</definedName>
    <definedName name="BO9B3B6F3CBDDD4CB0B98E9DAC2E6DFBB4" hidden="1">#REF!</definedName>
    <definedName name="BO9B50918CCB56446A9A55F218C6E249D8" localSheetId="5" hidden="1">#REF!</definedName>
    <definedName name="BO9B50918CCB56446A9A55F218C6E249D8" localSheetId="4" hidden="1">#REF!</definedName>
    <definedName name="BO9B50918CCB56446A9A55F218C6E249D8" hidden="1">#REF!</definedName>
    <definedName name="BO9B608C1909F54F72A214116195B465F5" localSheetId="5" hidden="1">#REF!</definedName>
    <definedName name="BO9B608C1909F54F72A214116195B465F5" localSheetId="4" hidden="1">#REF!</definedName>
    <definedName name="BO9B608C1909F54F72A214116195B465F5" hidden="1">#REF!</definedName>
    <definedName name="BO9B640C81FAC3478A9C0CE081CB3E73D5" localSheetId="5" hidden="1">#REF!</definedName>
    <definedName name="BO9B640C81FAC3478A9C0CE081CB3E73D5" localSheetId="4" hidden="1">#REF!</definedName>
    <definedName name="BO9B640C81FAC3478A9C0CE081CB3E73D5" hidden="1">#REF!</definedName>
    <definedName name="BO9B6675559D5942B3B387B2E69918ECCC" localSheetId="5" hidden="1">#REF!</definedName>
    <definedName name="BO9B6675559D5942B3B387B2E69918ECCC" localSheetId="4" hidden="1">#REF!</definedName>
    <definedName name="BO9B6675559D5942B3B387B2E69918ECCC" hidden="1">#REF!</definedName>
    <definedName name="BO9B9AF7C9673C48CD8E8EAE4AC4E281CA" localSheetId="5" hidden="1">#REF!</definedName>
    <definedName name="BO9B9AF7C9673C48CD8E8EAE4AC4E281CA" localSheetId="4" hidden="1">#REF!</definedName>
    <definedName name="BO9B9AF7C9673C48CD8E8EAE4AC4E281CA" hidden="1">#REF!</definedName>
    <definedName name="BO9BA4A83B399349A6805DDB7F94980F05" localSheetId="5" hidden="1">#REF!</definedName>
    <definedName name="BO9BA4A83B399349A6805DDB7F94980F05" localSheetId="4" hidden="1">#REF!</definedName>
    <definedName name="BO9BA4A83B399349A6805DDB7F94980F05" hidden="1">#REF!</definedName>
    <definedName name="BO9BAECBA19405487FB031825E7B70BE1C" localSheetId="5" hidden="1">#REF!</definedName>
    <definedName name="BO9BAECBA19405487FB031825E7B70BE1C" localSheetId="4" hidden="1">#REF!</definedName>
    <definedName name="BO9BAECBA19405487FB031825E7B70BE1C" hidden="1">#REF!</definedName>
    <definedName name="BO9BB7786E205641A9BCB10515C5FB9C5C" localSheetId="5" hidden="1">[9]Kehoachchitiet!#REF!</definedName>
    <definedName name="BO9BB7786E205641A9BCB10515C5FB9C5C" localSheetId="4" hidden="1">[9]Kehoachchitiet!#REF!</definedName>
    <definedName name="BO9BB7786E205641A9BCB10515C5FB9C5C" hidden="1">[9]Kehoachchitiet!#REF!</definedName>
    <definedName name="BO9BBBD5E6AA58480F99501CB155F50055" localSheetId="5" hidden="1">#REF!</definedName>
    <definedName name="BO9BBBD5E6AA58480F99501CB155F50055" localSheetId="4" hidden="1">#REF!</definedName>
    <definedName name="BO9BBBD5E6AA58480F99501CB155F50055" hidden="1">#REF!</definedName>
    <definedName name="BO9BC62009464D4CDC8AFA09C3FB8BBE87" localSheetId="5" hidden="1">#REF!</definedName>
    <definedName name="BO9BC62009464D4CDC8AFA09C3FB8BBE87" localSheetId="4" hidden="1">#REF!</definedName>
    <definedName name="BO9BC62009464D4CDC8AFA09C3FB8BBE87" hidden="1">#REF!</definedName>
    <definedName name="BO9BCD390675784E7E92A69F40BE3A5B62" localSheetId="5" hidden="1">#REF!</definedName>
    <definedName name="BO9BCD390675784E7E92A69F40BE3A5B62" localSheetId="4" hidden="1">#REF!</definedName>
    <definedName name="BO9BCD390675784E7E92A69F40BE3A5B62" hidden="1">#REF!</definedName>
    <definedName name="BO9BCF658BBEEB42C89189AA47132AC73A" localSheetId="5" hidden="1">#REF!</definedName>
    <definedName name="BO9BCF658BBEEB42C89189AA47132AC73A" localSheetId="4" hidden="1">#REF!</definedName>
    <definedName name="BO9BCF658BBEEB42C89189AA47132AC73A" hidden="1">#REF!</definedName>
    <definedName name="BO9BDABA118D9D4B17BB4B2AFD791E1CCC" localSheetId="5" hidden="1">#REF!</definedName>
    <definedName name="BO9BDABA118D9D4B17BB4B2AFD791E1CCC" localSheetId="4" hidden="1">#REF!</definedName>
    <definedName name="BO9BDABA118D9D4B17BB4B2AFD791E1CCC" hidden="1">#REF!</definedName>
    <definedName name="BO9BE41D1F231A418F830EAA8396305640" localSheetId="5" hidden="1">#REF!</definedName>
    <definedName name="BO9BE41D1F231A418F830EAA8396305640" localSheetId="4" hidden="1">#REF!</definedName>
    <definedName name="BO9BE41D1F231A418F830EAA8396305640" hidden="1">#REF!</definedName>
    <definedName name="BO9BEB34EF464948388646CD1E9CCF3C88" localSheetId="5" hidden="1">#REF!</definedName>
    <definedName name="BO9BEB34EF464948388646CD1E9CCF3C88" localSheetId="4" hidden="1">#REF!</definedName>
    <definedName name="BO9BEB34EF464948388646CD1E9CCF3C88" hidden="1">#REF!</definedName>
    <definedName name="BO9BF2158E63B442B6BEC0EE989CB555C9" localSheetId="5" hidden="1">#REF!</definedName>
    <definedName name="BO9BF2158E63B442B6BEC0EE989CB555C9" localSheetId="4" hidden="1">#REF!</definedName>
    <definedName name="BO9BF2158E63B442B6BEC0EE989CB555C9" hidden="1">#REF!</definedName>
    <definedName name="BO9C033AF8DD7140CC9F74276E8579218B" localSheetId="5" hidden="1">#REF!</definedName>
    <definedName name="BO9C033AF8DD7140CC9F74276E8579218B" localSheetId="4" hidden="1">#REF!</definedName>
    <definedName name="BO9C033AF8DD7140CC9F74276E8579218B" hidden="1">#REF!</definedName>
    <definedName name="BO9C17161872F74DB0BA6C03506E72CEFE" localSheetId="5" hidden="1">#REF!</definedName>
    <definedName name="BO9C17161872F74DB0BA6C03506E72CEFE" localSheetId="4" hidden="1">#REF!</definedName>
    <definedName name="BO9C17161872F74DB0BA6C03506E72CEFE" hidden="1">#REF!</definedName>
    <definedName name="BO9C1F66450CA4433BB8C0BEAC39F38580" localSheetId="5" hidden="1">#REF!</definedName>
    <definedName name="BO9C1F66450CA4433BB8C0BEAC39F38580" localSheetId="4" hidden="1">#REF!</definedName>
    <definedName name="BO9C1F66450CA4433BB8C0BEAC39F38580" hidden="1">#REF!</definedName>
    <definedName name="BO9C479AB7F7D14AD789E89AA8AD2EDBA9" localSheetId="5" hidden="1">#REF!</definedName>
    <definedName name="BO9C479AB7F7D14AD789E89AA8AD2EDBA9" localSheetId="4" hidden="1">#REF!</definedName>
    <definedName name="BO9C479AB7F7D14AD789E89AA8AD2EDBA9" hidden="1">#REF!</definedName>
    <definedName name="BO9C4B3E52D44242F9BA45E8B9651946DF" localSheetId="5" hidden="1">#REF!</definedName>
    <definedName name="BO9C4B3E52D44242F9BA45E8B9651946DF" localSheetId="4" hidden="1">#REF!</definedName>
    <definedName name="BO9C4B3E52D44242F9BA45E8B9651946DF" hidden="1">#REF!</definedName>
    <definedName name="BO9C4C9AEDF4FB429794E3DF9F17DD6F21" localSheetId="5" hidden="1">#REF!</definedName>
    <definedName name="BO9C4C9AEDF4FB429794E3DF9F17DD6F21" localSheetId="4" hidden="1">#REF!</definedName>
    <definedName name="BO9C4C9AEDF4FB429794E3DF9F17DD6F21" hidden="1">#REF!</definedName>
    <definedName name="BO9C725E2A3E6744A4B42FF9D8973D7DA9" localSheetId="5" hidden="1">#REF!</definedName>
    <definedName name="BO9C725E2A3E6744A4B42FF9D8973D7DA9" localSheetId="4" hidden="1">#REF!</definedName>
    <definedName name="BO9C725E2A3E6744A4B42FF9D8973D7DA9" hidden="1">#REF!</definedName>
    <definedName name="BO9C7B299EE2BA47F5AD0F7F0898271140" localSheetId="5" hidden="1">#REF!</definedName>
    <definedName name="BO9C7B299EE2BA47F5AD0F7F0898271140" localSheetId="4" hidden="1">#REF!</definedName>
    <definedName name="BO9C7B299EE2BA47F5AD0F7F0898271140" hidden="1">#REF!</definedName>
    <definedName name="BO9C8818FA281B477AB49B83D582EDEADA" localSheetId="5" hidden="1">#REF!</definedName>
    <definedName name="BO9C8818FA281B477AB49B83D582EDEADA" localSheetId="4" hidden="1">#REF!</definedName>
    <definedName name="BO9C8818FA281B477AB49B83D582EDEADA" hidden="1">#REF!</definedName>
    <definedName name="BO9C95306ECA8A4DF29A67E71B4C27512C" localSheetId="5" hidden="1">#REF!</definedName>
    <definedName name="BO9C95306ECA8A4DF29A67E71B4C27512C" localSheetId="4" hidden="1">#REF!</definedName>
    <definedName name="BO9C95306ECA8A4DF29A67E71B4C27512C" hidden="1">#REF!</definedName>
    <definedName name="BO9C99F13B52A74EB890D5789B98CB5E29" localSheetId="5" hidden="1">#REF!</definedName>
    <definedName name="BO9C99F13B52A74EB890D5789B98CB5E29" localSheetId="4" hidden="1">#REF!</definedName>
    <definedName name="BO9C99F13B52A74EB890D5789B98CB5E29" hidden="1">#REF!</definedName>
    <definedName name="BO9CA845EC09454761BFF0DC05A2EB3A06" localSheetId="5" hidden="1">#REF!</definedName>
    <definedName name="BO9CA845EC09454761BFF0DC05A2EB3A06" localSheetId="4" hidden="1">#REF!</definedName>
    <definedName name="BO9CA845EC09454761BFF0DC05A2EB3A06" hidden="1">#REF!</definedName>
    <definedName name="BO9CBCC0D3894A44B58DAC2B863B7E25B3" localSheetId="5" hidden="1">#REF!</definedName>
    <definedName name="BO9CBCC0D3894A44B58DAC2B863B7E25B3" localSheetId="4" hidden="1">#REF!</definedName>
    <definedName name="BO9CBCC0D3894A44B58DAC2B863B7E25B3" hidden="1">#REF!</definedName>
    <definedName name="BO9CCC8A5BD0E94CE7A450335354BBAA57" localSheetId="5" hidden="1">#REF!</definedName>
    <definedName name="BO9CCC8A5BD0E94CE7A450335354BBAA57" localSheetId="4" hidden="1">#REF!</definedName>
    <definedName name="BO9CCC8A5BD0E94CE7A450335354BBAA57" hidden="1">#REF!</definedName>
    <definedName name="BO9CEC345C1FA942F3BD104BEB133857F2" localSheetId="5" hidden="1">#REF!</definedName>
    <definedName name="BO9CEC345C1FA942F3BD104BEB133857F2" localSheetId="4" hidden="1">#REF!</definedName>
    <definedName name="BO9CEC345C1FA942F3BD104BEB133857F2" hidden="1">#REF!</definedName>
    <definedName name="BO9CEDA0A1EF9D4D08B668B573749EC76F" localSheetId="5" hidden="1">#REF!</definedName>
    <definedName name="BO9CEDA0A1EF9D4D08B668B573749EC76F" localSheetId="4" hidden="1">#REF!</definedName>
    <definedName name="BO9CEDA0A1EF9D4D08B668B573749EC76F" hidden="1">#REF!</definedName>
    <definedName name="BO9CF4BD0812244316BF5A6F72EE779638" localSheetId="5" hidden="1">#REF!</definedName>
    <definedName name="BO9CF4BD0812244316BF5A6F72EE779638" localSheetId="4" hidden="1">#REF!</definedName>
    <definedName name="BO9CF4BD0812244316BF5A6F72EE779638" hidden="1">#REF!</definedName>
    <definedName name="BO9D0CC3A36C1141B3BAC1D990DFF8E548" localSheetId="5" hidden="1">#REF!</definedName>
    <definedName name="BO9D0CC3A36C1141B3BAC1D990DFF8E548" localSheetId="4" hidden="1">#REF!</definedName>
    <definedName name="BO9D0CC3A36C1141B3BAC1D990DFF8E548" hidden="1">#REF!</definedName>
    <definedName name="BO9D0FB7C1C3B841A59A5E9CAD840B8C0F" localSheetId="5" hidden="1">#REF!</definedName>
    <definedName name="BO9D0FB7C1C3B841A59A5E9CAD840B8C0F" localSheetId="4" hidden="1">#REF!</definedName>
    <definedName name="BO9D0FB7C1C3B841A59A5E9CAD840B8C0F" hidden="1">#REF!</definedName>
    <definedName name="BO9D29BEF5122E4539AACF8FB3DA3A12F3" localSheetId="5" hidden="1">#REF!</definedName>
    <definedName name="BO9D29BEF5122E4539AACF8FB3DA3A12F3" localSheetId="4" hidden="1">#REF!</definedName>
    <definedName name="BO9D29BEF5122E4539AACF8FB3DA3A12F3" hidden="1">#REF!</definedName>
    <definedName name="BO9D2EC89415594DFCBFA383F91B4F5835" localSheetId="5" hidden="1">#REF!</definedName>
    <definedName name="BO9D2EC89415594DFCBFA383F91B4F5835" localSheetId="4" hidden="1">#REF!</definedName>
    <definedName name="BO9D2EC89415594DFCBFA383F91B4F5835" hidden="1">#REF!</definedName>
    <definedName name="BO9D31DD6E049A4E7FB735DB29E71A97F2" localSheetId="5" hidden="1">#REF!</definedName>
    <definedName name="BO9D31DD6E049A4E7FB735DB29E71A97F2" localSheetId="4" hidden="1">#REF!</definedName>
    <definedName name="BO9D31DD6E049A4E7FB735DB29E71A97F2" hidden="1">#REF!</definedName>
    <definedName name="BO9D382EA010864BB39B897D3D6C08CE6F" localSheetId="5" hidden="1">[8]Ketqua!#REF!</definedName>
    <definedName name="BO9D382EA010864BB39B897D3D6C08CE6F" localSheetId="4" hidden="1">[8]Ketqua!#REF!</definedName>
    <definedName name="BO9D382EA010864BB39B897D3D6C08CE6F" hidden="1">[8]Ketqua!#REF!</definedName>
    <definedName name="BO9D40568C162041729FECE5EACF95E36F" localSheetId="5" hidden="1">#REF!</definedName>
    <definedName name="BO9D40568C162041729FECE5EACF95E36F" localSheetId="4" hidden="1">#REF!</definedName>
    <definedName name="BO9D40568C162041729FECE5EACF95E36F" hidden="1">#REF!</definedName>
    <definedName name="BO9D566E07211A4542B709221142FB26CC" localSheetId="5" hidden="1">#REF!</definedName>
    <definedName name="BO9D566E07211A4542B709221142FB26CC" localSheetId="4" hidden="1">#REF!</definedName>
    <definedName name="BO9D566E07211A4542B709221142FB26CC" hidden="1">#REF!</definedName>
    <definedName name="BO9D5B83458C744002B63E411CDE03ECB7" localSheetId="5" hidden="1">#REF!</definedName>
    <definedName name="BO9D5B83458C744002B63E411CDE03ECB7" localSheetId="4" hidden="1">#REF!</definedName>
    <definedName name="BO9D5B83458C744002B63E411CDE03ECB7" hidden="1">#REF!</definedName>
    <definedName name="BO9D679CDB0BC745C492504DED9E16F0C1" localSheetId="5" hidden="1">#REF!</definedName>
    <definedName name="BO9D679CDB0BC745C492504DED9E16F0C1" localSheetId="4" hidden="1">#REF!</definedName>
    <definedName name="BO9D679CDB0BC745C492504DED9E16F0C1" hidden="1">#REF!</definedName>
    <definedName name="BO9D8E5AEE91D145AC8C361FB584A61FB0" localSheetId="5" hidden="1">#REF!</definedName>
    <definedName name="BO9D8E5AEE91D145AC8C361FB584A61FB0" localSheetId="4" hidden="1">#REF!</definedName>
    <definedName name="BO9D8E5AEE91D145AC8C361FB584A61FB0" hidden="1">#REF!</definedName>
    <definedName name="BO9D9E159D0FE347688EBFFA8002E44AD0" localSheetId="5" hidden="1">#REF!</definedName>
    <definedName name="BO9D9E159D0FE347688EBFFA8002E44AD0" localSheetId="4" hidden="1">#REF!</definedName>
    <definedName name="BO9D9E159D0FE347688EBFFA8002E44AD0" hidden="1">#REF!</definedName>
    <definedName name="BO9DAD193BB5774035B644B57E4E0C052B" localSheetId="5" hidden="1">#REF!</definedName>
    <definedName name="BO9DAD193BB5774035B644B57E4E0C052B" localSheetId="4" hidden="1">#REF!</definedName>
    <definedName name="BO9DAD193BB5774035B644B57E4E0C052B" hidden="1">#REF!</definedName>
    <definedName name="BO9DBD98EF44DB43599D5AF4FF920BC4FE" localSheetId="5" hidden="1">#REF!</definedName>
    <definedName name="BO9DBD98EF44DB43599D5AF4FF920BC4FE" localSheetId="4" hidden="1">#REF!</definedName>
    <definedName name="BO9DBD98EF44DB43599D5AF4FF920BC4FE" hidden="1">#REF!</definedName>
    <definedName name="BO9DBFA7A314A14358A1BDB1236CC63047" localSheetId="5" hidden="1">#REF!</definedName>
    <definedName name="BO9DBFA7A314A14358A1BDB1236CC63047" localSheetId="4" hidden="1">#REF!</definedName>
    <definedName name="BO9DBFA7A314A14358A1BDB1236CC63047" hidden="1">#REF!</definedName>
    <definedName name="BO9DE21AB0C811455699C778ECB24B4AD9" localSheetId="5" hidden="1">#REF!</definedName>
    <definedName name="BO9DE21AB0C811455699C778ECB24B4AD9" localSheetId="4" hidden="1">#REF!</definedName>
    <definedName name="BO9DE21AB0C811455699C778ECB24B4AD9" hidden="1">#REF!</definedName>
    <definedName name="BO9DEDFE5942A34E648C390FC7789F54A7" localSheetId="5" hidden="1">#REF!</definedName>
    <definedName name="BO9DEDFE5942A34E648C390FC7789F54A7" localSheetId="4" hidden="1">#REF!</definedName>
    <definedName name="BO9DEDFE5942A34E648C390FC7789F54A7" hidden="1">#REF!</definedName>
    <definedName name="BO9DEF2EE08D964A7E8310419E9921EE75" localSheetId="5" hidden="1">#REF!</definedName>
    <definedName name="BO9DEF2EE08D964A7E8310419E9921EE75" localSheetId="4" hidden="1">#REF!</definedName>
    <definedName name="BO9DEF2EE08D964A7E8310419E9921EE75" hidden="1">#REF!</definedName>
    <definedName name="BO9E003DA1F36B44AB9EC08ACBAEE6F65D" localSheetId="5" hidden="1">#REF!</definedName>
    <definedName name="BO9E003DA1F36B44AB9EC08ACBAEE6F65D" localSheetId="4" hidden="1">#REF!</definedName>
    <definedName name="BO9E003DA1F36B44AB9EC08ACBAEE6F65D" hidden="1">#REF!</definedName>
    <definedName name="BO9E02CEC9FD5A474CAE0151837DDCCD27" localSheetId="5" hidden="1">#REF!</definedName>
    <definedName name="BO9E02CEC9FD5A474CAE0151837DDCCD27" localSheetId="4" hidden="1">#REF!</definedName>
    <definedName name="BO9E02CEC9FD5A474CAE0151837DDCCD27" hidden="1">#REF!</definedName>
    <definedName name="BO9E0C25B7E0C84BFE9426A44CBF8937BB" localSheetId="5" hidden="1">#REF!</definedName>
    <definedName name="BO9E0C25B7E0C84BFE9426A44CBF8937BB" localSheetId="4" hidden="1">#REF!</definedName>
    <definedName name="BO9E0C25B7E0C84BFE9426A44CBF8937BB" hidden="1">#REF!</definedName>
    <definedName name="BO9E3D1164FF204D198D23C9100A1AEA98" localSheetId="5" hidden="1">#REF!</definedName>
    <definedName name="BO9E3D1164FF204D198D23C9100A1AEA98" localSheetId="4" hidden="1">#REF!</definedName>
    <definedName name="BO9E3D1164FF204D198D23C9100A1AEA98" hidden="1">#REF!</definedName>
    <definedName name="BO9E4FD01082214E3F8437C9DF0F856DBF" localSheetId="5" hidden="1">#REF!</definedName>
    <definedName name="BO9E4FD01082214E3F8437C9DF0F856DBF" localSheetId="4" hidden="1">#REF!</definedName>
    <definedName name="BO9E4FD01082214E3F8437C9DF0F856DBF" hidden="1">#REF!</definedName>
    <definedName name="BO9E52B7B4CF9B4D71A2D5614FA890F443" localSheetId="5" hidden="1">#REF!</definedName>
    <definedName name="BO9E52B7B4CF9B4D71A2D5614FA890F443" localSheetId="4" hidden="1">#REF!</definedName>
    <definedName name="BO9E52B7B4CF9B4D71A2D5614FA890F443" hidden="1">#REF!</definedName>
    <definedName name="BO9E592C4A1FD54960AAB050B54EBC10CB" localSheetId="5" hidden="1">#REF!</definedName>
    <definedName name="BO9E592C4A1FD54960AAB050B54EBC10CB" localSheetId="4" hidden="1">#REF!</definedName>
    <definedName name="BO9E592C4A1FD54960AAB050B54EBC10CB" hidden="1">#REF!</definedName>
    <definedName name="BO9E607AF5BE064FB299442D5B6D3479FB" localSheetId="5" hidden="1">#REF!</definedName>
    <definedName name="BO9E607AF5BE064FB299442D5B6D3479FB" localSheetId="4" hidden="1">#REF!</definedName>
    <definedName name="BO9E607AF5BE064FB299442D5B6D3479FB" hidden="1">#REF!</definedName>
    <definedName name="BO9E638BDAC1EF49E1B331A2651DF806E3" localSheetId="5" hidden="1">#REF!</definedName>
    <definedName name="BO9E638BDAC1EF49E1B331A2651DF806E3" localSheetId="4" hidden="1">#REF!</definedName>
    <definedName name="BO9E638BDAC1EF49E1B331A2651DF806E3" hidden="1">#REF!</definedName>
    <definedName name="BO9E6BBB658B144A95A52B25E62829C5F7" localSheetId="5" hidden="1">#REF!</definedName>
    <definedName name="BO9E6BBB658B144A95A52B25E62829C5F7" localSheetId="4" hidden="1">#REF!</definedName>
    <definedName name="BO9E6BBB658B144A95A52B25E62829C5F7" hidden="1">#REF!</definedName>
    <definedName name="BO9E79B2F2FD414D0995239E41D7EEB412" localSheetId="5" hidden="1">#REF!</definedName>
    <definedName name="BO9E79B2F2FD414D0995239E41D7EEB412" localSheetId="4" hidden="1">#REF!</definedName>
    <definedName name="BO9E79B2F2FD414D0995239E41D7EEB412" hidden="1">#REF!</definedName>
    <definedName name="BO9E99CD5583BF4ABC9E6E2B3ECDCCA708" localSheetId="5" hidden="1">#REF!</definedName>
    <definedName name="BO9E99CD5583BF4ABC9E6E2B3ECDCCA708" localSheetId="4" hidden="1">#REF!</definedName>
    <definedName name="BO9E99CD5583BF4ABC9E6E2B3ECDCCA708" hidden="1">#REF!</definedName>
    <definedName name="BO9EA1640B67314D7784B5ADB06B85918D" localSheetId="5" hidden="1">#REF!</definedName>
    <definedName name="BO9EA1640B67314D7784B5ADB06B85918D" localSheetId="4" hidden="1">#REF!</definedName>
    <definedName name="BO9EA1640B67314D7784B5ADB06B85918D" hidden="1">#REF!</definedName>
    <definedName name="BO9EC96CBE66E94173B9AD6AFFF322328A" localSheetId="5" hidden="1">#REF!</definedName>
    <definedName name="BO9EC96CBE66E94173B9AD6AFFF322328A" localSheetId="4" hidden="1">#REF!</definedName>
    <definedName name="BO9EC96CBE66E94173B9AD6AFFF322328A" hidden="1">#REF!</definedName>
    <definedName name="BO9EE40B3D0579479EA703138ABB06409C" localSheetId="5" hidden="1">#REF!</definedName>
    <definedName name="BO9EE40B3D0579479EA703138ABB06409C" localSheetId="4" hidden="1">#REF!</definedName>
    <definedName name="BO9EE40B3D0579479EA703138ABB06409C" hidden="1">#REF!</definedName>
    <definedName name="BO9EE65237CE8142E28DABAA00F78B15A0" localSheetId="5" hidden="1">#REF!</definedName>
    <definedName name="BO9EE65237CE8142E28DABAA00F78B15A0" localSheetId="4" hidden="1">#REF!</definedName>
    <definedName name="BO9EE65237CE8142E28DABAA00F78B15A0" hidden="1">#REF!</definedName>
    <definedName name="BO9EEDCF5DB65140C1B2B70A982B0F3E91" localSheetId="5" hidden="1">#REF!</definedName>
    <definedName name="BO9EEDCF5DB65140C1B2B70A982B0F3E91" localSheetId="4" hidden="1">#REF!</definedName>
    <definedName name="BO9EEDCF5DB65140C1B2B70A982B0F3E91" hidden="1">#REF!</definedName>
    <definedName name="BO9EFE4D2657B548BBB5C13871BBB7BAC2" localSheetId="5" hidden="1">#REF!</definedName>
    <definedName name="BO9EFE4D2657B548BBB5C13871BBB7BAC2" localSheetId="4" hidden="1">#REF!</definedName>
    <definedName name="BO9EFE4D2657B548BBB5C13871BBB7BAC2" hidden="1">#REF!</definedName>
    <definedName name="BO9F07CBAC4C5F49DE92CC2A52C21CAB7E" localSheetId="5" hidden="1">#REF!</definedName>
    <definedName name="BO9F07CBAC4C5F49DE92CC2A52C21CAB7E" localSheetId="4" hidden="1">#REF!</definedName>
    <definedName name="BO9F07CBAC4C5F49DE92CC2A52C21CAB7E" hidden="1">#REF!</definedName>
    <definedName name="BO9F10227E96244783A05F5235335876C8" localSheetId="5" hidden="1">#REF!</definedName>
    <definedName name="BO9F10227E96244783A05F5235335876C8" localSheetId="4" hidden="1">#REF!</definedName>
    <definedName name="BO9F10227E96244783A05F5235335876C8" hidden="1">#REF!</definedName>
    <definedName name="BO9F10FA186178484FABB4E8B074B15420" localSheetId="5" hidden="1">#REF!</definedName>
    <definedName name="BO9F10FA186178484FABB4E8B074B15420" localSheetId="4" hidden="1">#REF!</definedName>
    <definedName name="BO9F10FA186178484FABB4E8B074B15420" hidden="1">#REF!</definedName>
    <definedName name="BO9F26A0F83AA44AE185F0CBE7F46308A4" localSheetId="5" hidden="1">#REF!</definedName>
    <definedName name="BO9F26A0F83AA44AE185F0CBE7F46308A4" localSheetId="4" hidden="1">#REF!</definedName>
    <definedName name="BO9F26A0F83AA44AE185F0CBE7F46308A4" hidden="1">#REF!</definedName>
    <definedName name="BO9F298459EE0D48A59935D8D99AE4ACE1" localSheetId="5" hidden="1">#REF!</definedName>
    <definedName name="BO9F298459EE0D48A59935D8D99AE4ACE1" localSheetId="4" hidden="1">#REF!</definedName>
    <definedName name="BO9F298459EE0D48A59935D8D99AE4ACE1" hidden="1">#REF!</definedName>
    <definedName name="BO9F3149EE152D44A5A91DF5FD2E8AD0C2" localSheetId="5" hidden="1">#REF!</definedName>
    <definedName name="BO9F3149EE152D44A5A91DF5FD2E8AD0C2" localSheetId="4" hidden="1">#REF!</definedName>
    <definedName name="BO9F3149EE152D44A5A91DF5FD2E8AD0C2" hidden="1">#REF!</definedName>
    <definedName name="BO9F34E55FDD3A4D32B20E4E980B02C425" localSheetId="5" hidden="1">#REF!</definedName>
    <definedName name="BO9F34E55FDD3A4D32B20E4E980B02C425" localSheetId="4" hidden="1">#REF!</definedName>
    <definedName name="BO9F34E55FDD3A4D32B20E4E980B02C425" hidden="1">#REF!</definedName>
    <definedName name="BO9F40D694D9684B508FA9A8F103228394" localSheetId="5" hidden="1">#REF!</definedName>
    <definedName name="BO9F40D694D9684B508FA9A8F103228394" localSheetId="4" hidden="1">#REF!</definedName>
    <definedName name="BO9F40D694D9684B508FA9A8F103228394" hidden="1">#REF!</definedName>
    <definedName name="BO9F4A27EFD11E460095F71A06612D9B82" localSheetId="5" hidden="1">#REF!</definedName>
    <definedName name="BO9F4A27EFD11E460095F71A06612D9B82" localSheetId="4" hidden="1">#REF!</definedName>
    <definedName name="BO9F4A27EFD11E460095F71A06612D9B82" hidden="1">#REF!</definedName>
    <definedName name="BO9F4F8274C78042D0BEB7613F8F9B1120" localSheetId="5" hidden="1">#REF!</definedName>
    <definedName name="BO9F4F8274C78042D0BEB7613F8F9B1120" localSheetId="4" hidden="1">#REF!</definedName>
    <definedName name="BO9F4F8274C78042D0BEB7613F8F9B1120" hidden="1">#REF!</definedName>
    <definedName name="BO9F54818F41EF40E6A9F3633AB2F2EA20" localSheetId="5" hidden="1">#REF!</definedName>
    <definedName name="BO9F54818F41EF40E6A9F3633AB2F2EA20" localSheetId="4" hidden="1">#REF!</definedName>
    <definedName name="BO9F54818F41EF40E6A9F3633AB2F2EA20" hidden="1">#REF!</definedName>
    <definedName name="BO9F59A2B8F33B445B9BAB375D17851174" localSheetId="5" hidden="1">#REF!</definedName>
    <definedName name="BO9F59A2B8F33B445B9BAB375D17851174" localSheetId="4" hidden="1">#REF!</definedName>
    <definedName name="BO9F59A2B8F33B445B9BAB375D17851174" hidden="1">#REF!</definedName>
    <definedName name="BO9F6B8C696CF146C280FEB5D6C749222C" localSheetId="5" hidden="1">#REF!</definedName>
    <definedName name="BO9F6B8C696CF146C280FEB5D6C749222C" localSheetId="4" hidden="1">#REF!</definedName>
    <definedName name="BO9F6B8C696CF146C280FEB5D6C749222C" hidden="1">#REF!</definedName>
    <definedName name="BO9F71EDDE4E924BF3A0A7E8E09E21BF3A" localSheetId="5" hidden="1">#REF!</definedName>
    <definedName name="BO9F71EDDE4E924BF3A0A7E8E09E21BF3A" localSheetId="4" hidden="1">#REF!</definedName>
    <definedName name="BO9F71EDDE4E924BF3A0A7E8E09E21BF3A" hidden="1">#REF!</definedName>
    <definedName name="BO9F763178201E45C3AC52177777B00C3E" localSheetId="5" hidden="1">#REF!</definedName>
    <definedName name="BO9F763178201E45C3AC52177777B00C3E" localSheetId="4" hidden="1">#REF!</definedName>
    <definedName name="BO9F763178201E45C3AC52177777B00C3E" hidden="1">#REF!</definedName>
    <definedName name="BO9F7F85E5F8D34CDDA86FC6528443462F" localSheetId="5" hidden="1">[9]xml!#REF!</definedName>
    <definedName name="BO9F7F85E5F8D34CDDA86FC6528443462F" localSheetId="4" hidden="1">[9]xml!#REF!</definedName>
    <definedName name="BO9F7F85E5F8D34CDDA86FC6528443462F" hidden="1">[9]xml!#REF!</definedName>
    <definedName name="BO9F8DFCDB096345B68BCF462FC11B9706" localSheetId="5" hidden="1">#REF!</definedName>
    <definedName name="BO9F8DFCDB096345B68BCF462FC11B9706" localSheetId="4" hidden="1">#REF!</definedName>
    <definedName name="BO9F8DFCDB096345B68BCF462FC11B9706" hidden="1">#REF!</definedName>
    <definedName name="BO9FBFFA7083694DD3AD4640D05A58F483" localSheetId="5" hidden="1">#REF!</definedName>
    <definedName name="BO9FBFFA7083694DD3AD4640D05A58F483" localSheetId="4" hidden="1">#REF!</definedName>
    <definedName name="BO9FBFFA7083694DD3AD4640D05A58F483" hidden="1">#REF!</definedName>
    <definedName name="BO9FDB53228D304274A31FEEB51F85A06C" localSheetId="5" hidden="1">#REF!</definedName>
    <definedName name="BO9FDB53228D304274A31FEEB51F85A06C" localSheetId="4" hidden="1">#REF!</definedName>
    <definedName name="BO9FDB53228D304274A31FEEB51F85A06C" hidden="1">#REF!</definedName>
    <definedName name="BO9FDC777231194DEBAE529B75C7703B12" localSheetId="5" hidden="1">#REF!</definedName>
    <definedName name="BO9FDC777231194DEBAE529B75C7703B12" localSheetId="4" hidden="1">#REF!</definedName>
    <definedName name="BO9FDC777231194DEBAE529B75C7703B12" hidden="1">#REF!</definedName>
    <definedName name="BO9FE9A5BF8BD8442BA30E8B0FCB850D69" localSheetId="5" hidden="1">#REF!</definedName>
    <definedName name="BO9FE9A5BF8BD8442BA30E8B0FCB850D69" localSheetId="4" hidden="1">#REF!</definedName>
    <definedName name="BO9FE9A5BF8BD8442BA30E8B0FCB850D69" hidden="1">#REF!</definedName>
    <definedName name="BOA006F4ABB05B4841864CE9366EE3464D" localSheetId="5" hidden="1">#REF!</definedName>
    <definedName name="BOA006F4ABB05B4841864CE9366EE3464D" localSheetId="4" hidden="1">#REF!</definedName>
    <definedName name="BOA006F4ABB05B4841864CE9366EE3464D" hidden="1">#REF!</definedName>
    <definedName name="BOA01AB44C3CB1473A905F71A02375605D" localSheetId="5" hidden="1">#REF!</definedName>
    <definedName name="BOA01AB44C3CB1473A905F71A02375605D" localSheetId="4" hidden="1">#REF!</definedName>
    <definedName name="BOA01AB44C3CB1473A905F71A02375605D" hidden="1">#REF!</definedName>
    <definedName name="BOA026BD8E29134FEA874EB6DD15E9507D" localSheetId="5" hidden="1">#REF!</definedName>
    <definedName name="BOA026BD8E29134FEA874EB6DD15E9507D" localSheetId="4" hidden="1">#REF!</definedName>
    <definedName name="BOA026BD8E29134FEA874EB6DD15E9507D" hidden="1">#REF!</definedName>
    <definedName name="BOA034EFB2DC1E4E55A8F064011238DBAC" localSheetId="5" hidden="1">#REF!</definedName>
    <definedName name="BOA034EFB2DC1E4E55A8F064011238DBAC" localSheetId="4" hidden="1">#REF!</definedName>
    <definedName name="BOA034EFB2DC1E4E55A8F064011238DBAC" hidden="1">#REF!</definedName>
    <definedName name="BOA038D6F17568471A95ECC63C7C7EE5A5" localSheetId="5" hidden="1">#REF!</definedName>
    <definedName name="BOA038D6F17568471A95ECC63C7C7EE5A5" localSheetId="4" hidden="1">#REF!</definedName>
    <definedName name="BOA038D6F17568471A95ECC63C7C7EE5A5" hidden="1">#REF!</definedName>
    <definedName name="BOA03D360312ED4F30BACC528D9A68ADA8" localSheetId="5" hidden="1">[8]Ketqua!#REF!</definedName>
    <definedName name="BOA03D360312ED4F30BACC528D9A68ADA8" localSheetId="4" hidden="1">[8]Ketqua!#REF!</definedName>
    <definedName name="BOA03D360312ED4F30BACC528D9A68ADA8" hidden="1">[8]Ketqua!#REF!</definedName>
    <definedName name="BOA04463B6BB4147F38D9C9AA41D435B2D" localSheetId="5" hidden="1">#REF!</definedName>
    <definedName name="BOA04463B6BB4147F38D9C9AA41D435B2D" localSheetId="4" hidden="1">#REF!</definedName>
    <definedName name="BOA04463B6BB4147F38D9C9AA41D435B2D" hidden="1">#REF!</definedName>
    <definedName name="BOA06C5CCA5DD647F9984948B45BC34825" localSheetId="5" hidden="1">#REF!</definedName>
    <definedName name="BOA06C5CCA5DD647F9984948B45BC34825" localSheetId="4" hidden="1">#REF!</definedName>
    <definedName name="BOA06C5CCA5DD647F9984948B45BC34825" hidden="1">#REF!</definedName>
    <definedName name="BOA07290F0219743E58ED937A47AFEFA7D" localSheetId="5" hidden="1">#REF!</definedName>
    <definedName name="BOA07290F0219743E58ED937A47AFEFA7D" localSheetId="4" hidden="1">#REF!</definedName>
    <definedName name="BOA07290F0219743E58ED937A47AFEFA7D" hidden="1">#REF!</definedName>
    <definedName name="BOA0805D20D5424E0F98EEF4B0F54DFE47" localSheetId="5" hidden="1">#REF!</definedName>
    <definedName name="BOA0805D20D5424E0F98EEF4B0F54DFE47" localSheetId="4" hidden="1">#REF!</definedName>
    <definedName name="BOA0805D20D5424E0F98EEF4B0F54DFE47" hidden="1">#REF!</definedName>
    <definedName name="BOA092EBD10A39436D961FC4626BA9D54B" localSheetId="5" hidden="1">#REF!</definedName>
    <definedName name="BOA092EBD10A39436D961FC4626BA9D54B" localSheetId="4" hidden="1">#REF!</definedName>
    <definedName name="BOA092EBD10A39436D961FC4626BA9D54B" hidden="1">#REF!</definedName>
    <definedName name="BOA0973CD7CB0D4427822DCC15C8DC36E6" localSheetId="5" hidden="1">#REF!</definedName>
    <definedName name="BOA0973CD7CB0D4427822DCC15C8DC36E6" localSheetId="4" hidden="1">#REF!</definedName>
    <definedName name="BOA0973CD7CB0D4427822DCC15C8DC36E6" hidden="1">#REF!</definedName>
    <definedName name="BOA09939E62F734F3790CB58BAACFAF893" localSheetId="5" hidden="1">[8]Ketqua!#REF!</definedName>
    <definedName name="BOA09939E62F734F3790CB58BAACFAF893" localSheetId="4" hidden="1">[8]Ketqua!#REF!</definedName>
    <definedName name="BOA09939E62F734F3790CB58BAACFAF893" hidden="1">[8]Ketqua!#REF!</definedName>
    <definedName name="BOA09FAFD901694A93A2FF2944A08E1E84" localSheetId="5" hidden="1">#REF!</definedName>
    <definedName name="BOA09FAFD901694A93A2FF2944A08E1E84" localSheetId="4" hidden="1">#REF!</definedName>
    <definedName name="BOA09FAFD901694A93A2FF2944A08E1E84" hidden="1">#REF!</definedName>
    <definedName name="BOA0A6F7DBC13340D99A8C09D43A8C5FDD" localSheetId="5" hidden="1">#REF!</definedName>
    <definedName name="BOA0A6F7DBC13340D99A8C09D43A8C5FDD" localSheetId="4" hidden="1">#REF!</definedName>
    <definedName name="BOA0A6F7DBC13340D99A8C09D43A8C5FDD" hidden="1">#REF!</definedName>
    <definedName name="BOA0A8CC93F5D64DCD97471686FFBAD7A1" localSheetId="5" hidden="1">#REF!</definedName>
    <definedName name="BOA0A8CC93F5D64DCD97471686FFBAD7A1" localSheetId="4" hidden="1">#REF!</definedName>
    <definedName name="BOA0A8CC93F5D64DCD97471686FFBAD7A1" hidden="1">#REF!</definedName>
    <definedName name="BOA0FA4B67BA284BD299EE7E6AE4F796D3" localSheetId="5" hidden="1">#REF!</definedName>
    <definedName name="BOA0FA4B67BA284BD299EE7E6AE4F796D3" localSheetId="4" hidden="1">#REF!</definedName>
    <definedName name="BOA0FA4B67BA284BD299EE7E6AE4F796D3" hidden="1">#REF!</definedName>
    <definedName name="BOA103EFA0D3EE40399ECD9FAE4B4DC409" localSheetId="5" hidden="1">#REF!</definedName>
    <definedName name="BOA103EFA0D3EE40399ECD9FAE4B4DC409" localSheetId="4" hidden="1">#REF!</definedName>
    <definedName name="BOA103EFA0D3EE40399ECD9FAE4B4DC409" hidden="1">#REF!</definedName>
    <definedName name="BOA11A3364279C4FC0B49B5233DDFB7141" localSheetId="5" hidden="1">#REF!</definedName>
    <definedName name="BOA11A3364279C4FC0B49B5233DDFB7141" localSheetId="4" hidden="1">#REF!</definedName>
    <definedName name="BOA11A3364279C4FC0B49B5233DDFB7141" hidden="1">#REF!</definedName>
    <definedName name="BOA128A3FA0B6C4D55AF9568C49CAD3B45" localSheetId="5" hidden="1">#REF!</definedName>
    <definedName name="BOA128A3FA0B6C4D55AF9568C49CAD3B45" localSheetId="4" hidden="1">#REF!</definedName>
    <definedName name="BOA128A3FA0B6C4D55AF9568C49CAD3B45" hidden="1">#REF!</definedName>
    <definedName name="BOA12F3EEDA20B4FD9B8C4F5748C7E15C6" localSheetId="5" hidden="1">[7]lailo!#REF!</definedName>
    <definedName name="BOA12F3EEDA20B4FD9B8C4F5748C7E15C6" localSheetId="4" hidden="1">[7]lailo!#REF!</definedName>
    <definedName name="BOA12F3EEDA20B4FD9B8C4F5748C7E15C6" hidden="1">[7]lailo!#REF!</definedName>
    <definedName name="BOA1352C67E57F45F18A3132F095B04042" localSheetId="5" hidden="1">#REF!</definedName>
    <definedName name="BOA1352C67E57F45F18A3132F095B04042" localSheetId="4" hidden="1">#REF!</definedName>
    <definedName name="BOA1352C67E57F45F18A3132F095B04042" hidden="1">#REF!</definedName>
    <definedName name="BOA13EC5CDB2214E749DF116E65443FF6F" localSheetId="5" hidden="1">[8]Ketqua!#REF!</definedName>
    <definedName name="BOA13EC5CDB2214E749DF116E65443FF6F" localSheetId="4" hidden="1">[8]Ketqua!#REF!</definedName>
    <definedName name="BOA13EC5CDB2214E749DF116E65443FF6F" hidden="1">[8]Ketqua!#REF!</definedName>
    <definedName name="BOA141CE166F8440C3A8CD0C0AB35AE9C6" localSheetId="5" hidden="1">[8]Ketqua!#REF!</definedName>
    <definedName name="BOA141CE166F8440C3A8CD0C0AB35AE9C6" localSheetId="4" hidden="1">[8]Ketqua!#REF!</definedName>
    <definedName name="BOA141CE166F8440C3A8CD0C0AB35AE9C6" hidden="1">[8]Ketqua!#REF!</definedName>
    <definedName name="BOA146747F9920445B838D6464550D1773" localSheetId="5" hidden="1">#REF!</definedName>
    <definedName name="BOA146747F9920445B838D6464550D1773" localSheetId="4" hidden="1">#REF!</definedName>
    <definedName name="BOA146747F9920445B838D6464550D1773" hidden="1">#REF!</definedName>
    <definedName name="BOA152F44A37C4455681690219A61BB8B3" localSheetId="5" hidden="1">#REF!</definedName>
    <definedName name="BOA152F44A37C4455681690219A61BB8B3" localSheetId="4" hidden="1">#REF!</definedName>
    <definedName name="BOA152F44A37C4455681690219A61BB8B3" hidden="1">#REF!</definedName>
    <definedName name="BOA15AEAA763514B49B56E0598A1F4F5B6" localSheetId="5" hidden="1">#REF!</definedName>
    <definedName name="BOA15AEAA763514B49B56E0598A1F4F5B6" localSheetId="4" hidden="1">#REF!</definedName>
    <definedName name="BOA15AEAA763514B49B56E0598A1F4F5B6" hidden="1">#REF!</definedName>
    <definedName name="BOA161645A570249BAA9140EF1ADACF4CD" hidden="1">[8]Ketqua!$I$4:$U$4</definedName>
    <definedName name="BOA169A3CB6EE44860BB3708E0DF1BC3AF" localSheetId="5" hidden="1">#REF!</definedName>
    <definedName name="BOA169A3CB6EE44860BB3708E0DF1BC3AF" localSheetId="4" hidden="1">#REF!</definedName>
    <definedName name="BOA169A3CB6EE44860BB3708E0DF1BC3AF" hidden="1">#REF!</definedName>
    <definedName name="BOA1758065E1644D98A1D35456D11460EC" localSheetId="5" hidden="1">#REF!</definedName>
    <definedName name="BOA1758065E1644D98A1D35456D11460EC" localSheetId="4" hidden="1">#REF!</definedName>
    <definedName name="BOA1758065E1644D98A1D35456D11460EC" hidden="1">#REF!</definedName>
    <definedName name="BOA1A05E26429E4F3195FA94B46415BFDA" localSheetId="5" hidden="1">#REF!</definedName>
    <definedName name="BOA1A05E26429E4F3195FA94B46415BFDA" localSheetId="4" hidden="1">#REF!</definedName>
    <definedName name="BOA1A05E26429E4F3195FA94B46415BFDA" hidden="1">#REF!</definedName>
    <definedName name="BOA1E2968796FB4C2684E70A880C2C563B" localSheetId="5" hidden="1">#REF!</definedName>
    <definedName name="BOA1E2968796FB4C2684E70A880C2C563B" localSheetId="4" hidden="1">#REF!</definedName>
    <definedName name="BOA1E2968796FB4C2684E70A880C2C563B" hidden="1">#REF!</definedName>
    <definedName name="BOA1E2A5EE861F49C38EE305E436EEFE96" localSheetId="5" hidden="1">[9]Kehoachchitiet!#REF!</definedName>
    <definedName name="BOA1E2A5EE861F49C38EE305E436EEFE96" localSheetId="4" hidden="1">[9]Kehoachchitiet!#REF!</definedName>
    <definedName name="BOA1E2A5EE861F49C38EE305E436EEFE96" hidden="1">[9]Kehoachchitiet!#REF!</definedName>
    <definedName name="BOA1FF26CC55B443828B3455BBCDFFD9E1" localSheetId="5" hidden="1">#REF!</definedName>
    <definedName name="BOA1FF26CC55B443828B3455BBCDFFD9E1" localSheetId="4" hidden="1">#REF!</definedName>
    <definedName name="BOA1FF26CC55B443828B3455BBCDFFD9E1" hidden="1">#REF!</definedName>
    <definedName name="BOA203464495D44B83890EDB7027EA84F7" localSheetId="5" hidden="1">#REF!</definedName>
    <definedName name="BOA203464495D44B83890EDB7027EA84F7" localSheetId="4" hidden="1">#REF!</definedName>
    <definedName name="BOA203464495D44B83890EDB7027EA84F7" hidden="1">#REF!</definedName>
    <definedName name="BOA20E04A39F4B4A3BA218F72A29F29A62" localSheetId="5" hidden="1">#REF!</definedName>
    <definedName name="BOA20E04A39F4B4A3BA218F72A29F29A62" localSheetId="4" hidden="1">#REF!</definedName>
    <definedName name="BOA20E04A39F4B4A3BA218F72A29F29A62" hidden="1">#REF!</definedName>
    <definedName name="BOA226A8EB8CDF40E2A826892868C06AC9" localSheetId="5" hidden="1">#REF!</definedName>
    <definedName name="BOA226A8EB8CDF40E2A826892868C06AC9" localSheetId="4" hidden="1">#REF!</definedName>
    <definedName name="BOA226A8EB8CDF40E2A826892868C06AC9" hidden="1">#REF!</definedName>
    <definedName name="BOA22B3CD7328748DCA7244693DF118DB7" localSheetId="5" hidden="1">#REF!</definedName>
    <definedName name="BOA22B3CD7328748DCA7244693DF118DB7" localSheetId="4" hidden="1">#REF!</definedName>
    <definedName name="BOA22B3CD7328748DCA7244693DF118DB7" hidden="1">#REF!</definedName>
    <definedName name="BOA238E633EA8D43B6938A6FDF897467C5" localSheetId="5" hidden="1">#REF!</definedName>
    <definedName name="BOA238E633EA8D43B6938A6FDF897467C5" localSheetId="4" hidden="1">#REF!</definedName>
    <definedName name="BOA238E633EA8D43B6938A6FDF897467C5" hidden="1">#REF!</definedName>
    <definedName name="BOA2412A5E6D57468B938BE2B72C05DA56" localSheetId="5" hidden="1">#REF!</definedName>
    <definedName name="BOA2412A5E6D57468B938BE2B72C05DA56" localSheetId="4" hidden="1">#REF!</definedName>
    <definedName name="BOA2412A5E6D57468B938BE2B72C05DA56" hidden="1">#REF!</definedName>
    <definedName name="BOA244AF15CBE14BEF83C03EEAC7E9F048" localSheetId="5" hidden="1">#REF!</definedName>
    <definedName name="BOA244AF15CBE14BEF83C03EEAC7E9F048" localSheetId="4" hidden="1">#REF!</definedName>
    <definedName name="BOA244AF15CBE14BEF83C03EEAC7E9F048" hidden="1">#REF!</definedName>
    <definedName name="BOA2534E435EDB40A392C16CD7756BF8AC" localSheetId="5" hidden="1">[9]Giaitrinh!#REF!</definedName>
    <definedName name="BOA2534E435EDB40A392C16CD7756BF8AC" localSheetId="4" hidden="1">[9]Giaitrinh!#REF!</definedName>
    <definedName name="BOA2534E435EDB40A392C16CD7756BF8AC" hidden="1">[9]Giaitrinh!#REF!</definedName>
    <definedName name="BOA25701E9AB1B461DA8DCB7C322980C49" localSheetId="5" hidden="1">#REF!</definedName>
    <definedName name="BOA25701E9AB1B461DA8DCB7C322980C49" localSheetId="4" hidden="1">#REF!</definedName>
    <definedName name="BOA25701E9AB1B461DA8DCB7C322980C49" hidden="1">#REF!</definedName>
    <definedName name="BOA26F5341832B4FDD924FDA0363189BB2" localSheetId="5" hidden="1">#REF!</definedName>
    <definedName name="BOA26F5341832B4FDD924FDA0363189BB2" localSheetId="4" hidden="1">#REF!</definedName>
    <definedName name="BOA26F5341832B4FDD924FDA0363189BB2" hidden="1">#REF!</definedName>
    <definedName name="BOA27561E4E6D54D2E82204A11F24FBE9A" localSheetId="5" hidden="1">#REF!</definedName>
    <definedName name="BOA27561E4E6D54D2E82204A11F24FBE9A" localSheetId="4" hidden="1">#REF!</definedName>
    <definedName name="BOA27561E4E6D54D2E82204A11F24FBE9A" hidden="1">#REF!</definedName>
    <definedName name="BOA283388003664BE3B1DC3A3FFF38FE73" localSheetId="5" hidden="1">#REF!</definedName>
    <definedName name="BOA283388003664BE3B1DC3A3FFF38FE73" localSheetId="4" hidden="1">#REF!</definedName>
    <definedName name="BOA283388003664BE3B1DC3A3FFF38FE73" hidden="1">#REF!</definedName>
    <definedName name="BOA2859B8A4F184F7D8C8ACEB84BCC80E1" localSheetId="5" hidden="1">#REF!</definedName>
    <definedName name="BOA2859B8A4F184F7D8C8ACEB84BCC80E1" localSheetId="4" hidden="1">#REF!</definedName>
    <definedName name="BOA2859B8A4F184F7D8C8ACEB84BCC80E1" hidden="1">#REF!</definedName>
    <definedName name="BOA289AA4645634A87B4FB1CCD6F128776" localSheetId="5" hidden="1">#REF!</definedName>
    <definedName name="BOA289AA4645634A87B4FB1CCD6F128776" localSheetId="4" hidden="1">#REF!</definedName>
    <definedName name="BOA289AA4645634A87B4FB1CCD6F128776" hidden="1">#REF!</definedName>
    <definedName name="BOA2932D13796047F9BE9474AE2E533D39" localSheetId="5" hidden="1">#REF!</definedName>
    <definedName name="BOA2932D13796047F9BE9474AE2E533D39" localSheetId="4" hidden="1">#REF!</definedName>
    <definedName name="BOA2932D13796047F9BE9474AE2E533D39" hidden="1">#REF!</definedName>
    <definedName name="BOA29A022FDF4143D5ABDBC8C38B3D7806" localSheetId="5" hidden="1">#REF!</definedName>
    <definedName name="BOA29A022FDF4143D5ABDBC8C38B3D7806" localSheetId="4" hidden="1">#REF!</definedName>
    <definedName name="BOA29A022FDF4143D5ABDBC8C38B3D7806" hidden="1">#REF!</definedName>
    <definedName name="BOA29B3938849B4A3C87A0DE3336238EAE" localSheetId="5" hidden="1">#REF!</definedName>
    <definedName name="BOA29B3938849B4A3C87A0DE3336238EAE" localSheetId="4" hidden="1">#REF!</definedName>
    <definedName name="BOA29B3938849B4A3C87A0DE3336238EAE" hidden="1">#REF!</definedName>
    <definedName name="BOA29FDB1E987A460A9ACA8783CC2538FB" localSheetId="5" hidden="1">#REF!</definedName>
    <definedName name="BOA29FDB1E987A460A9ACA8783CC2538FB" localSheetId="4" hidden="1">#REF!</definedName>
    <definedName name="BOA29FDB1E987A460A9ACA8783CC2538FB" hidden="1">#REF!</definedName>
    <definedName name="BOA2A0FA23CD564225A72813CC35CFC8D6" localSheetId="5" hidden="1">#REF!</definedName>
    <definedName name="BOA2A0FA23CD564225A72813CC35CFC8D6" localSheetId="4" hidden="1">#REF!</definedName>
    <definedName name="BOA2A0FA23CD564225A72813CC35CFC8D6" hidden="1">#REF!</definedName>
    <definedName name="BOA2BFF17EDE7441DE8B2192F7F4BAB195" localSheetId="5" hidden="1">#REF!</definedName>
    <definedName name="BOA2BFF17EDE7441DE8B2192F7F4BAB195" localSheetId="4" hidden="1">#REF!</definedName>
    <definedName name="BOA2BFF17EDE7441DE8B2192F7F4BAB195" hidden="1">#REF!</definedName>
    <definedName name="BOA2CC00FFAA57489F9D9480BE93021654" localSheetId="5" hidden="1">#REF!</definedName>
    <definedName name="BOA2CC00FFAA57489F9D9480BE93021654" localSheetId="4" hidden="1">#REF!</definedName>
    <definedName name="BOA2CC00FFAA57489F9D9480BE93021654" hidden="1">#REF!</definedName>
    <definedName name="BOA2D1DDA741CE4F6B9D71E5D5771574D6" localSheetId="5" hidden="1">[9]xml!#REF!</definedName>
    <definedName name="BOA2D1DDA741CE4F6B9D71E5D5771574D6" localSheetId="4" hidden="1">[9]xml!#REF!</definedName>
    <definedName name="BOA2D1DDA741CE4F6B9D71E5D5771574D6" hidden="1">[9]xml!#REF!</definedName>
    <definedName name="BOA2E484543D694D02994BC4EC2F655330" localSheetId="5" hidden="1">#REF!</definedName>
    <definedName name="BOA2E484543D694D02994BC4EC2F655330" localSheetId="4" hidden="1">#REF!</definedName>
    <definedName name="BOA2E484543D694D02994BC4EC2F655330" hidden="1">#REF!</definedName>
    <definedName name="BOA2E89E420EFF429C914C1396BC3B6E85" localSheetId="5" hidden="1">#REF!</definedName>
    <definedName name="BOA2E89E420EFF429C914C1396BC3B6E85" localSheetId="4" hidden="1">#REF!</definedName>
    <definedName name="BOA2E89E420EFF429C914C1396BC3B6E85" hidden="1">#REF!</definedName>
    <definedName name="BOA2F83AA2B90A4D128D93F12778168CD0" localSheetId="5" hidden="1">#REF!</definedName>
    <definedName name="BOA2F83AA2B90A4D128D93F12778168CD0" localSheetId="4" hidden="1">#REF!</definedName>
    <definedName name="BOA2F83AA2B90A4D128D93F12778168CD0" hidden="1">#REF!</definedName>
    <definedName name="BOA315AA4931CC4001A9EC8F6920A91C79" localSheetId="5" hidden="1">#REF!</definedName>
    <definedName name="BOA315AA4931CC4001A9EC8F6920A91C79" localSheetId="4" hidden="1">#REF!</definedName>
    <definedName name="BOA315AA4931CC4001A9EC8F6920A91C79" hidden="1">#REF!</definedName>
    <definedName name="BOA32426FCD5BF4607A33D160E9645EB0D" localSheetId="5" hidden="1">#REF!</definedName>
    <definedName name="BOA32426FCD5BF4607A33D160E9645EB0D" localSheetId="4" hidden="1">#REF!</definedName>
    <definedName name="BOA32426FCD5BF4607A33D160E9645EB0D" hidden="1">#REF!</definedName>
    <definedName name="BOA329B79A6633435092448BF3EF8FC818" localSheetId="5" hidden="1">#REF!</definedName>
    <definedName name="BOA329B79A6633435092448BF3EF8FC818" localSheetId="4" hidden="1">#REF!</definedName>
    <definedName name="BOA329B79A6633435092448BF3EF8FC818" hidden="1">#REF!</definedName>
    <definedName name="BOA33A7D819F024B85B56B7D2A2E4484D7" hidden="1">[8]Ketqua!$I$17:$U$17</definedName>
    <definedName name="BOA352B72344F0429E86D9ED262C4398FA" localSheetId="5" hidden="1">#REF!</definedName>
    <definedName name="BOA352B72344F0429E86D9ED262C4398FA" localSheetId="4" hidden="1">#REF!</definedName>
    <definedName name="BOA352B72344F0429E86D9ED262C4398FA" hidden="1">#REF!</definedName>
    <definedName name="BOA35594FBAC6C4023A87A6DCB6BA099EA" localSheetId="5" hidden="1">#REF!</definedName>
    <definedName name="BOA35594FBAC6C4023A87A6DCB6BA099EA" localSheetId="4" hidden="1">#REF!</definedName>
    <definedName name="BOA35594FBAC6C4023A87A6DCB6BA099EA" hidden="1">#REF!</definedName>
    <definedName name="BOA37F6F9C519E4F40A4DA2ED6DF252D1D" localSheetId="5" hidden="1">#REF!</definedName>
    <definedName name="BOA37F6F9C519E4F40A4DA2ED6DF252D1D" localSheetId="4" hidden="1">#REF!</definedName>
    <definedName name="BOA37F6F9C519E4F40A4DA2ED6DF252D1D" hidden="1">#REF!</definedName>
    <definedName name="BOA3875A77EC7744BFA6C75D3365CD27B9" localSheetId="5" hidden="1">#REF!</definedName>
    <definedName name="BOA3875A77EC7744BFA6C75D3365CD27B9" localSheetId="4" hidden="1">#REF!</definedName>
    <definedName name="BOA3875A77EC7744BFA6C75D3365CD27B9" hidden="1">#REF!</definedName>
    <definedName name="BOA39EB795244B453F9C0B7BB24072C50B" localSheetId="5" hidden="1">#REF!</definedName>
    <definedName name="BOA39EB795244B453F9C0B7BB24072C50B" localSheetId="4" hidden="1">#REF!</definedName>
    <definedName name="BOA39EB795244B453F9C0B7BB24072C50B" hidden="1">#REF!</definedName>
    <definedName name="BOA3ABC3ACDB7C467FA9004B72803A383E" localSheetId="5" hidden="1">#REF!</definedName>
    <definedName name="BOA3ABC3ACDB7C467FA9004B72803A383E" localSheetId="4" hidden="1">#REF!</definedName>
    <definedName name="BOA3ABC3ACDB7C467FA9004B72803A383E" hidden="1">#REF!</definedName>
    <definedName name="BOA3B2EB35C3BF4AD2AE5C9FBEA422359B" localSheetId="5" hidden="1">#REF!</definedName>
    <definedName name="BOA3B2EB35C3BF4AD2AE5C9FBEA422359B" localSheetId="4" hidden="1">#REF!</definedName>
    <definedName name="BOA3B2EB35C3BF4AD2AE5C9FBEA422359B" hidden="1">#REF!</definedName>
    <definedName name="BOA3B6C2E31A424B5884BD468565BC45E1" localSheetId="5" hidden="1">#REF!</definedName>
    <definedName name="BOA3B6C2E31A424B5884BD468565BC45E1" localSheetId="4" hidden="1">#REF!</definedName>
    <definedName name="BOA3B6C2E31A424B5884BD468565BC45E1" hidden="1">#REF!</definedName>
    <definedName name="BOA3C4CE09FB0449E9B7E9CA671975ACCF" localSheetId="5" hidden="1">#REF!</definedName>
    <definedName name="BOA3C4CE09FB0449E9B7E9CA671975ACCF" localSheetId="4" hidden="1">#REF!</definedName>
    <definedName name="BOA3C4CE09FB0449E9B7E9CA671975ACCF" hidden="1">#REF!</definedName>
    <definedName name="BOA3C7B609878E4121A64E04D6B7F8A65F" localSheetId="5" hidden="1">#REF!</definedName>
    <definedName name="BOA3C7B609878E4121A64E04D6B7F8A65F" localSheetId="4" hidden="1">#REF!</definedName>
    <definedName name="BOA3C7B609878E4121A64E04D6B7F8A65F" hidden="1">#REF!</definedName>
    <definedName name="BOA3F98ABF94274EBDBA8B8C0A346CF6BF" localSheetId="5" hidden="1">#REF!</definedName>
    <definedName name="BOA3F98ABF94274EBDBA8B8C0A346CF6BF" localSheetId="4" hidden="1">#REF!</definedName>
    <definedName name="BOA3F98ABF94274EBDBA8B8C0A346CF6BF" hidden="1">#REF!</definedName>
    <definedName name="BOA42602D37E80421497F71AE8DF396BFB" localSheetId="5" hidden="1">#REF!</definedName>
    <definedName name="BOA42602D37E80421497F71AE8DF396BFB" localSheetId="4" hidden="1">#REF!</definedName>
    <definedName name="BOA42602D37E80421497F71AE8DF396BFB" hidden="1">#REF!</definedName>
    <definedName name="BOA439A957F73944B38D8C767CF10E9716" localSheetId="5" hidden="1">#REF!</definedName>
    <definedName name="BOA439A957F73944B38D8C767CF10E9716" localSheetId="4" hidden="1">#REF!</definedName>
    <definedName name="BOA439A957F73944B38D8C767CF10E9716" hidden="1">#REF!</definedName>
    <definedName name="BOA44AE348903746CA9B8ABE6EF71D1077" localSheetId="5" hidden="1">#REF!</definedName>
    <definedName name="BOA44AE348903746CA9B8ABE6EF71D1077" localSheetId="4" hidden="1">#REF!</definedName>
    <definedName name="BOA44AE348903746CA9B8ABE6EF71D1077" hidden="1">#REF!</definedName>
    <definedName name="BOA462C80DE3494FC685782204231EF933" localSheetId="5" hidden="1">#REF!</definedName>
    <definedName name="BOA462C80DE3494FC685782204231EF933" localSheetId="4" hidden="1">#REF!</definedName>
    <definedName name="BOA462C80DE3494FC685782204231EF933" hidden="1">#REF!</definedName>
    <definedName name="BOA4649298C78E4096A85D8FD30642C288" localSheetId="5" hidden="1">#REF!</definedName>
    <definedName name="BOA4649298C78E4096A85D8FD30642C288" localSheetId="4" hidden="1">#REF!</definedName>
    <definedName name="BOA4649298C78E4096A85D8FD30642C288" hidden="1">#REF!</definedName>
    <definedName name="BOA4655D7AD88B4E3E9DBE986C4E74894C" localSheetId="5" hidden="1">#REF!</definedName>
    <definedName name="BOA4655D7AD88B4E3E9DBE986C4E74894C" localSheetId="4" hidden="1">#REF!</definedName>
    <definedName name="BOA4655D7AD88B4E3E9DBE986C4E74894C" hidden="1">#REF!</definedName>
    <definedName name="BOA46D3E826AD34836A0E60CE28F3015D1" localSheetId="5" hidden="1">#REF!</definedName>
    <definedName name="BOA46D3E826AD34836A0E60CE28F3015D1" localSheetId="4" hidden="1">#REF!</definedName>
    <definedName name="BOA46D3E826AD34836A0E60CE28F3015D1" hidden="1">#REF!</definedName>
    <definedName name="BOA4748AD854304C5B817167E99614D86A" localSheetId="5" hidden="1">#REF!</definedName>
    <definedName name="BOA4748AD854304C5B817167E99614D86A" localSheetId="4" hidden="1">#REF!</definedName>
    <definedName name="BOA4748AD854304C5B817167E99614D86A" hidden="1">#REF!</definedName>
    <definedName name="BOA47CF37286DB448EBB70B3729F6F59CC" localSheetId="5" hidden="1">#REF!</definedName>
    <definedName name="BOA47CF37286DB448EBB70B3729F6F59CC" localSheetId="4" hidden="1">#REF!</definedName>
    <definedName name="BOA47CF37286DB448EBB70B3729F6F59CC" hidden="1">#REF!</definedName>
    <definedName name="BOA47E09412705450888DD8453BF6DCA12" localSheetId="5" hidden="1">#REF!</definedName>
    <definedName name="BOA47E09412705450888DD8453BF6DCA12" localSheetId="4" hidden="1">#REF!</definedName>
    <definedName name="BOA47E09412705450888DD8453BF6DCA12" hidden="1">#REF!</definedName>
    <definedName name="BOA480A24809644C1CAA54BDDC44F294D9" localSheetId="5" hidden="1">#REF!</definedName>
    <definedName name="BOA480A24809644C1CAA54BDDC44F294D9" localSheetId="4" hidden="1">#REF!</definedName>
    <definedName name="BOA480A24809644C1CAA54BDDC44F294D9" hidden="1">#REF!</definedName>
    <definedName name="BOA4940DB879CF4599A4F180784D029065" localSheetId="5" hidden="1">#REF!</definedName>
    <definedName name="BOA4940DB879CF4599A4F180784D029065" localSheetId="4" hidden="1">#REF!</definedName>
    <definedName name="BOA4940DB879CF4599A4F180784D029065" hidden="1">#REF!</definedName>
    <definedName name="BOA4A383CBB5DA4205B715E501850002D6" localSheetId="5" hidden="1">#REF!</definedName>
    <definedName name="BOA4A383CBB5DA4205B715E501850002D6" localSheetId="4" hidden="1">#REF!</definedName>
    <definedName name="BOA4A383CBB5DA4205B715E501850002D6" hidden="1">#REF!</definedName>
    <definedName name="BOA4A4F6B69A2C4AB6B5CD14430985CCB0" localSheetId="5" hidden="1">#REF!</definedName>
    <definedName name="BOA4A4F6B69A2C4AB6B5CD14430985CCB0" localSheetId="4" hidden="1">#REF!</definedName>
    <definedName name="BOA4A4F6B69A2C4AB6B5CD14430985CCB0" hidden="1">#REF!</definedName>
    <definedName name="BOA4B854E4A98E4EE8B599A4C36A99C92F" hidden="1">[8]Ketqua!$X$10:$AJ$10</definedName>
    <definedName name="BOA4DF3CBC0DFB41228237A09E59236542" localSheetId="5" hidden="1">#REF!</definedName>
    <definedName name="BOA4DF3CBC0DFB41228237A09E59236542" localSheetId="4" hidden="1">#REF!</definedName>
    <definedName name="BOA4DF3CBC0DFB41228237A09E59236542" hidden="1">#REF!</definedName>
    <definedName name="BOA4DF64C9C3CA43B696B1A8C6180B681B" localSheetId="5" hidden="1">#REF!</definedName>
    <definedName name="BOA4DF64C9C3CA43B696B1A8C6180B681B" localSheetId="4" hidden="1">#REF!</definedName>
    <definedName name="BOA4DF64C9C3CA43B696B1A8C6180B681B" hidden="1">#REF!</definedName>
    <definedName name="BOA4ED650C391F4D5183F4E03627D41666" localSheetId="5" hidden="1">#REF!</definedName>
    <definedName name="BOA4ED650C391F4D5183F4E03627D41666" localSheetId="4" hidden="1">#REF!</definedName>
    <definedName name="BOA4ED650C391F4D5183F4E03627D41666" hidden="1">#REF!</definedName>
    <definedName name="BOA4F66357C5124D408BDE2D48F6F81BDA" localSheetId="5" hidden="1">#REF!</definedName>
    <definedName name="BOA4F66357C5124D408BDE2D48F6F81BDA" localSheetId="4" hidden="1">#REF!</definedName>
    <definedName name="BOA4F66357C5124D408BDE2D48F6F81BDA" hidden="1">#REF!</definedName>
    <definedName name="BOA4FC8C2D15F947AD8609EA814791EC02" localSheetId="5" hidden="1">#REF!</definedName>
    <definedName name="BOA4FC8C2D15F947AD8609EA814791EC02" localSheetId="4" hidden="1">#REF!</definedName>
    <definedName name="BOA4FC8C2D15F947AD8609EA814791EC02" hidden="1">#REF!</definedName>
    <definedName name="BOA50372BAFCAA49439AF1A75FA936229B" localSheetId="5" hidden="1">[10]Giaitrinh!#REF!</definedName>
    <definedName name="BOA50372BAFCAA49439AF1A75FA936229B" localSheetId="4" hidden="1">[10]Giaitrinh!#REF!</definedName>
    <definedName name="BOA50372BAFCAA49439AF1A75FA936229B" hidden="1">[10]Giaitrinh!#REF!</definedName>
    <definedName name="BOA50776DD34F341719EF3B1C7B8D350A9" localSheetId="5" hidden="1">#REF!</definedName>
    <definedName name="BOA50776DD34F341719EF3B1C7B8D350A9" localSheetId="4" hidden="1">#REF!</definedName>
    <definedName name="BOA50776DD34F341719EF3B1C7B8D350A9" hidden="1">#REF!</definedName>
    <definedName name="BOA50D35BF58B44C59BF73F7E6757FA980" localSheetId="5" hidden="1">#REF!</definedName>
    <definedName name="BOA50D35BF58B44C59BF73F7E6757FA980" localSheetId="4" hidden="1">#REF!</definedName>
    <definedName name="BOA50D35BF58B44C59BF73F7E6757FA980" hidden="1">#REF!</definedName>
    <definedName name="BOA518504A72CB404F97B9250DAF6B141C" localSheetId="5" hidden="1">#REF!</definedName>
    <definedName name="BOA518504A72CB404F97B9250DAF6B141C" localSheetId="4" hidden="1">#REF!</definedName>
    <definedName name="BOA518504A72CB404F97B9250DAF6B141C" hidden="1">#REF!</definedName>
    <definedName name="BOA52077D9BB274AFAB79A440D6D5E9C65" localSheetId="5" hidden="1">#REF!</definedName>
    <definedName name="BOA52077D9BB274AFAB79A440D6D5E9C65" localSheetId="4" hidden="1">#REF!</definedName>
    <definedName name="BOA52077D9BB274AFAB79A440D6D5E9C65" hidden="1">#REF!</definedName>
    <definedName name="BOA522AA7990414D558303C13D7EEA8E7C" localSheetId="5" hidden="1">#REF!</definedName>
    <definedName name="BOA522AA7990414D558303C13D7EEA8E7C" localSheetId="4" hidden="1">#REF!</definedName>
    <definedName name="BOA522AA7990414D558303C13D7EEA8E7C" hidden="1">#REF!</definedName>
    <definedName name="BOA54577F42D974EFD95DB79ED0E039122" localSheetId="5" hidden="1">#REF!</definedName>
    <definedName name="BOA54577F42D974EFD95DB79ED0E039122" localSheetId="4" hidden="1">#REF!</definedName>
    <definedName name="BOA54577F42D974EFD95DB79ED0E039122" hidden="1">#REF!</definedName>
    <definedName name="BOA55144CF16B44B83A70A3CE1429CAB79" localSheetId="5" hidden="1">#REF!</definedName>
    <definedName name="BOA55144CF16B44B83A70A3CE1429CAB79" localSheetId="4" hidden="1">#REF!</definedName>
    <definedName name="BOA55144CF16B44B83A70A3CE1429CAB79" hidden="1">#REF!</definedName>
    <definedName name="BOA5563290A14545B291A1460769DA573E" localSheetId="5" hidden="1">#REF!</definedName>
    <definedName name="BOA5563290A14545B291A1460769DA573E" localSheetId="4" hidden="1">#REF!</definedName>
    <definedName name="BOA5563290A14545B291A1460769DA573E" hidden="1">#REF!</definedName>
    <definedName name="BOA556A474DB384B9BA1CAD568D1920BF5" localSheetId="5" hidden="1">#REF!</definedName>
    <definedName name="BOA556A474DB384B9BA1CAD568D1920BF5" localSheetId="4" hidden="1">#REF!</definedName>
    <definedName name="BOA556A474DB384B9BA1CAD568D1920BF5" hidden="1">#REF!</definedName>
    <definedName name="BOA56250C6D113490494A85508FA96F117" localSheetId="5" hidden="1">#REF!</definedName>
    <definedName name="BOA56250C6D113490494A85508FA96F117" localSheetId="4" hidden="1">#REF!</definedName>
    <definedName name="BOA56250C6D113490494A85508FA96F117" hidden="1">#REF!</definedName>
    <definedName name="BOA569850F54084856964BAC3DD63DE6CF" localSheetId="5" hidden="1">#REF!</definedName>
    <definedName name="BOA569850F54084856964BAC3DD63DE6CF" localSheetId="4" hidden="1">#REF!</definedName>
    <definedName name="BOA569850F54084856964BAC3DD63DE6CF" hidden="1">#REF!</definedName>
    <definedName name="BOA57105DE22D24F41BC5F6A588AD9DFDB" localSheetId="5" hidden="1">#REF!</definedName>
    <definedName name="BOA57105DE22D24F41BC5F6A588AD9DFDB" localSheetId="4" hidden="1">#REF!</definedName>
    <definedName name="BOA57105DE22D24F41BC5F6A588AD9DFDB" hidden="1">#REF!</definedName>
    <definedName name="BOA57BAACC082A40159BEF18E4E3DB2ACD" localSheetId="5" hidden="1">#REF!</definedName>
    <definedName name="BOA57BAACC082A40159BEF18E4E3DB2ACD" localSheetId="4" hidden="1">#REF!</definedName>
    <definedName name="BOA57BAACC082A40159BEF18E4E3DB2ACD" hidden="1">#REF!</definedName>
    <definedName name="BOA5816702A94C4F9789F32B0767C335FC" localSheetId="5" hidden="1">#REF!</definedName>
    <definedName name="BOA5816702A94C4F9789F32B0767C335FC" localSheetId="4" hidden="1">#REF!</definedName>
    <definedName name="BOA5816702A94C4F9789F32B0767C335FC" hidden="1">#REF!</definedName>
    <definedName name="BOA581B3576FD14DDA8428A257E41BD465" localSheetId="5" hidden="1">#REF!</definedName>
    <definedName name="BOA581B3576FD14DDA8428A257E41BD465" localSheetId="4" hidden="1">#REF!</definedName>
    <definedName name="BOA581B3576FD14DDA8428A257E41BD465" hidden="1">#REF!</definedName>
    <definedName name="BOA59812A6C8F6471D8B7808CD5A2D4E46" localSheetId="5" hidden="1">[9]Giaitrinh!#REF!</definedName>
    <definedName name="BOA59812A6C8F6471D8B7808CD5A2D4E46" localSheetId="4" hidden="1">[9]Giaitrinh!#REF!</definedName>
    <definedName name="BOA59812A6C8F6471D8B7808CD5A2D4E46" hidden="1">[9]Giaitrinh!#REF!</definedName>
    <definedName name="BOA59C328FE6F9489E983BC5E8CEB12C49" localSheetId="5" hidden="1">#REF!</definedName>
    <definedName name="BOA59C328FE6F9489E983BC5E8CEB12C49" localSheetId="4" hidden="1">#REF!</definedName>
    <definedName name="BOA59C328FE6F9489E983BC5E8CEB12C49" hidden="1">#REF!</definedName>
    <definedName name="BOA5DDD8C7B53F4A399F7458EC992FAB25" localSheetId="5" hidden="1">#REF!</definedName>
    <definedName name="BOA5DDD8C7B53F4A399F7458EC992FAB25" localSheetId="4" hidden="1">#REF!</definedName>
    <definedName name="BOA5DDD8C7B53F4A399F7458EC992FAB25" hidden="1">#REF!</definedName>
    <definedName name="BOA5F3303F0029428991ECBD9C0A9612AB" localSheetId="5" hidden="1">#REF!</definedName>
    <definedName name="BOA5F3303F0029428991ECBD9C0A9612AB" localSheetId="4" hidden="1">#REF!</definedName>
    <definedName name="BOA5F3303F0029428991ECBD9C0A9612AB" hidden="1">#REF!</definedName>
    <definedName name="BOA5F52A81589749329CDCE8685E3175F2" localSheetId="5" hidden="1">#REF!</definedName>
    <definedName name="BOA5F52A81589749329CDCE8685E3175F2" localSheetId="4" hidden="1">#REF!</definedName>
    <definedName name="BOA5F52A81589749329CDCE8685E3175F2" hidden="1">#REF!</definedName>
    <definedName name="BOA6016830A7DF4EB7AFE8DAA66029B319" localSheetId="5" hidden="1">#REF!</definedName>
    <definedName name="BOA6016830A7DF4EB7AFE8DAA66029B319" localSheetId="4" hidden="1">#REF!</definedName>
    <definedName name="BOA6016830A7DF4EB7AFE8DAA66029B319" hidden="1">#REF!</definedName>
    <definedName name="BOA61741D1C15A4602B78F1B159E500C22" localSheetId="5" hidden="1">#REF!</definedName>
    <definedName name="BOA61741D1C15A4602B78F1B159E500C22" localSheetId="4" hidden="1">#REF!</definedName>
    <definedName name="BOA61741D1C15A4602B78F1B159E500C22" hidden="1">#REF!</definedName>
    <definedName name="BOA617E4079642433B8B3B94647637C378" localSheetId="5" hidden="1">#REF!</definedName>
    <definedName name="BOA617E4079642433B8B3B94647637C378" localSheetId="4" hidden="1">#REF!</definedName>
    <definedName name="BOA617E4079642433B8B3B94647637C378" hidden="1">#REF!</definedName>
    <definedName name="BOA61A6AC1202F4579BCCF9BDB3C59424F" localSheetId="5" hidden="1">#REF!</definedName>
    <definedName name="BOA61A6AC1202F4579BCCF9BDB3C59424F" localSheetId="4" hidden="1">#REF!</definedName>
    <definedName name="BOA61A6AC1202F4579BCCF9BDB3C59424F" hidden="1">#REF!</definedName>
    <definedName name="BOA63016B9CA5C48358232AA6085522469" localSheetId="5" hidden="1">#REF!</definedName>
    <definedName name="BOA63016B9CA5C48358232AA6085522469" localSheetId="4" hidden="1">#REF!</definedName>
    <definedName name="BOA63016B9CA5C48358232AA6085522469" hidden="1">#REF!</definedName>
    <definedName name="BOA632E1E19F6146D8B540BA96DD9F15BF" localSheetId="5" hidden="1">[8]Ketqua!#REF!</definedName>
    <definedName name="BOA632E1E19F6146D8B540BA96DD9F15BF" localSheetId="4" hidden="1">[8]Ketqua!#REF!</definedName>
    <definedName name="BOA632E1E19F6146D8B540BA96DD9F15BF" hidden="1">[8]Ketqua!#REF!</definedName>
    <definedName name="BOA6492DB40AC04A3A80E365CC0ADE8B7D" localSheetId="5" hidden="1">#REF!</definedName>
    <definedName name="BOA6492DB40AC04A3A80E365CC0ADE8B7D" localSheetId="4" hidden="1">#REF!</definedName>
    <definedName name="BOA6492DB40AC04A3A80E365CC0ADE8B7D" hidden="1">#REF!</definedName>
    <definedName name="BOA65CEC24542D4292AAD5283DBB046FE4" localSheetId="5" hidden="1">#REF!</definedName>
    <definedName name="BOA65CEC24542D4292AAD5283DBB046FE4" localSheetId="4" hidden="1">#REF!</definedName>
    <definedName name="BOA65CEC24542D4292AAD5283DBB046FE4" hidden="1">#REF!</definedName>
    <definedName name="BOA684382D3DF540B69C2C947110404DBD" localSheetId="5" hidden="1">#REF!</definedName>
    <definedName name="BOA684382D3DF540B69C2C947110404DBD" localSheetId="4" hidden="1">#REF!</definedName>
    <definedName name="BOA684382D3DF540B69C2C947110404DBD" hidden="1">#REF!</definedName>
    <definedName name="BOA690D3D0B3014F479F8938DA2A24028D" localSheetId="5" hidden="1">#REF!</definedName>
    <definedName name="BOA690D3D0B3014F479F8938DA2A24028D" localSheetId="4" hidden="1">#REF!</definedName>
    <definedName name="BOA690D3D0B3014F479F8938DA2A24028D" hidden="1">#REF!</definedName>
    <definedName name="BOA6C4DC084F9741808784C5E58ABF8EEB" localSheetId="5" hidden="1">#REF!</definedName>
    <definedName name="BOA6C4DC084F9741808784C5E58ABF8EEB" localSheetId="4" hidden="1">#REF!</definedName>
    <definedName name="BOA6C4DC084F9741808784C5E58ABF8EEB" hidden="1">#REF!</definedName>
    <definedName name="BOA6CEB363B62D4A5E8653E0BEE5CE80FD" localSheetId="5" hidden="1">#REF!</definedName>
    <definedName name="BOA6CEB363B62D4A5E8653E0BEE5CE80FD" localSheetId="4" hidden="1">#REF!</definedName>
    <definedName name="BOA6CEB363B62D4A5E8653E0BEE5CE80FD" hidden="1">#REF!</definedName>
    <definedName name="BOA6E203E4C48E4F42A3FA31107DA549DE" localSheetId="5" hidden="1">#REF!</definedName>
    <definedName name="BOA6E203E4C48E4F42A3FA31107DA549DE" localSheetId="4" hidden="1">#REF!</definedName>
    <definedName name="BOA6E203E4C48E4F42A3FA31107DA549DE" hidden="1">#REF!</definedName>
    <definedName name="BOA6E22D89726B4A9BBFC5174129578A94" localSheetId="5" hidden="1">#REF!</definedName>
    <definedName name="BOA6E22D89726B4A9BBFC5174129578A94" localSheetId="4" hidden="1">#REF!</definedName>
    <definedName name="BOA6E22D89726B4A9BBFC5174129578A94" hidden="1">#REF!</definedName>
    <definedName name="BOA6EAB4CBF9114A5BA124C6C55E274254" localSheetId="5" hidden="1">#REF!</definedName>
    <definedName name="BOA6EAB4CBF9114A5BA124C6C55E274254" localSheetId="4" hidden="1">#REF!</definedName>
    <definedName name="BOA6EAB4CBF9114A5BA124C6C55E274254" hidden="1">#REF!</definedName>
    <definedName name="BOA70749E9ECCF4CA1818678F8E46F0055" localSheetId="5" hidden="1">#REF!</definedName>
    <definedName name="BOA70749E9ECCF4CA1818678F8E46F0055" localSheetId="4" hidden="1">#REF!</definedName>
    <definedName name="BOA70749E9ECCF4CA1818678F8E46F0055" hidden="1">#REF!</definedName>
    <definedName name="BOA707A60280214C118EE4576BCB8B7DAB" localSheetId="5" hidden="1">[10]Giaitrinh!#REF!</definedName>
    <definedName name="BOA707A60280214C118EE4576BCB8B7DAB" localSheetId="4" hidden="1">[10]Giaitrinh!#REF!</definedName>
    <definedName name="BOA707A60280214C118EE4576BCB8B7DAB" hidden="1">[10]Giaitrinh!#REF!</definedName>
    <definedName name="BOA712AA636CCB425093E780C6F6E88895" localSheetId="5" hidden="1">#REF!</definedName>
    <definedName name="BOA712AA636CCB425093E780C6F6E88895" localSheetId="4" hidden="1">#REF!</definedName>
    <definedName name="BOA712AA636CCB425093E780C6F6E88895" hidden="1">#REF!</definedName>
    <definedName name="BOA71E9E0A6B654860B10DCBA2CFBBCEE1" localSheetId="5" hidden="1">#REF!</definedName>
    <definedName name="BOA71E9E0A6B654860B10DCBA2CFBBCEE1" localSheetId="4" hidden="1">#REF!</definedName>
    <definedName name="BOA71E9E0A6B654860B10DCBA2CFBBCEE1" hidden="1">#REF!</definedName>
    <definedName name="BOA728B6EAF7A14885845F7AA7D62EB408" localSheetId="5" hidden="1">#REF!</definedName>
    <definedName name="BOA728B6EAF7A14885845F7AA7D62EB408" localSheetId="4" hidden="1">#REF!</definedName>
    <definedName name="BOA728B6EAF7A14885845F7AA7D62EB408" hidden="1">#REF!</definedName>
    <definedName name="BOA7455FF6DF214261A4347081C1D9C8EE" localSheetId="5" hidden="1">#REF!</definedName>
    <definedName name="BOA7455FF6DF214261A4347081C1D9C8EE" localSheetId="4" hidden="1">#REF!</definedName>
    <definedName name="BOA7455FF6DF214261A4347081C1D9C8EE" hidden="1">#REF!</definedName>
    <definedName name="BOA746A2AB5671481DA3DD991C94176C8A" localSheetId="5" hidden="1">#REF!</definedName>
    <definedName name="BOA746A2AB5671481DA3DD991C94176C8A" localSheetId="4" hidden="1">#REF!</definedName>
    <definedName name="BOA746A2AB5671481DA3DD991C94176C8A" hidden="1">#REF!</definedName>
    <definedName name="BOA7472CE27BE2443AB87D3947C054158F" localSheetId="5" hidden="1">#REF!</definedName>
    <definedName name="BOA7472CE27BE2443AB87D3947C054158F" localSheetId="4" hidden="1">#REF!</definedName>
    <definedName name="BOA7472CE27BE2443AB87D3947C054158F" hidden="1">#REF!</definedName>
    <definedName name="BOA7493DA3C3234852AED9DDE2E10E4132" localSheetId="5" hidden="1">#REF!</definedName>
    <definedName name="BOA7493DA3C3234852AED9DDE2E10E4132" localSheetId="4" hidden="1">#REF!</definedName>
    <definedName name="BOA7493DA3C3234852AED9DDE2E10E4132" hidden="1">#REF!</definedName>
    <definedName name="BOA74AA104568E47BD86B932FFDA257D7C" localSheetId="5" hidden="1">#REF!</definedName>
    <definedName name="BOA74AA104568E47BD86B932FFDA257D7C" localSheetId="4" hidden="1">#REF!</definedName>
    <definedName name="BOA74AA104568E47BD86B932FFDA257D7C" hidden="1">#REF!</definedName>
    <definedName name="BOA753111F650D4E3095432AD4FD5F611C" localSheetId="5" hidden="1">#REF!</definedName>
    <definedName name="BOA753111F650D4E3095432AD4FD5F611C" localSheetId="4" hidden="1">#REF!</definedName>
    <definedName name="BOA753111F650D4E3095432AD4FD5F611C" hidden="1">#REF!</definedName>
    <definedName name="BOA75545E5DDD144219F5A61A771BF481F" localSheetId="5" hidden="1">#REF!</definedName>
    <definedName name="BOA75545E5DDD144219F5A61A771BF481F" localSheetId="4" hidden="1">#REF!</definedName>
    <definedName name="BOA75545E5DDD144219F5A61A771BF481F" hidden="1">#REF!</definedName>
    <definedName name="BOA771331D481D4B8DB85C4953B28F2BC7" localSheetId="5" hidden="1">#REF!</definedName>
    <definedName name="BOA771331D481D4B8DB85C4953B28F2BC7" localSheetId="4" hidden="1">#REF!</definedName>
    <definedName name="BOA771331D481D4B8DB85C4953B28F2BC7" hidden="1">#REF!</definedName>
    <definedName name="BOA78A2F476D7443DA9A43D445AD643547" localSheetId="5" hidden="1">#REF!</definedName>
    <definedName name="BOA78A2F476D7443DA9A43D445AD643547" localSheetId="4" hidden="1">#REF!</definedName>
    <definedName name="BOA78A2F476D7443DA9A43D445AD643547" hidden="1">#REF!</definedName>
    <definedName name="BOA791A74458E94B4FBEE935AC97E2C20A" localSheetId="5" hidden="1">#REF!</definedName>
    <definedName name="BOA791A74458E94B4FBEE935AC97E2C20A" localSheetId="4" hidden="1">#REF!</definedName>
    <definedName name="BOA791A74458E94B4FBEE935AC97E2C20A" hidden="1">#REF!</definedName>
    <definedName name="BOA79FF83862C844F696454C0522D0843E" localSheetId="5" hidden="1">#REF!</definedName>
    <definedName name="BOA79FF83862C844F696454C0522D0843E" localSheetId="4" hidden="1">#REF!</definedName>
    <definedName name="BOA79FF83862C844F696454C0522D0843E" hidden="1">#REF!</definedName>
    <definedName name="BOA7A841224BCF4816A8C6F0C97888E4C7" localSheetId="5" hidden="1">#REF!</definedName>
    <definedName name="BOA7A841224BCF4816A8C6F0C97888E4C7" localSheetId="4" hidden="1">#REF!</definedName>
    <definedName name="BOA7A841224BCF4816A8C6F0C97888E4C7" hidden="1">#REF!</definedName>
    <definedName name="BOA7DEC5F243FB4F35912907E0D2F89E0A" localSheetId="5" hidden="1">#REF!</definedName>
    <definedName name="BOA7DEC5F243FB4F35912907E0D2F89E0A" localSheetId="4" hidden="1">#REF!</definedName>
    <definedName name="BOA7DEC5F243FB4F35912907E0D2F89E0A" hidden="1">#REF!</definedName>
    <definedName name="BOA7E83106D21847819E57AA451D3CD0AE" localSheetId="5" hidden="1">#REF!</definedName>
    <definedName name="BOA7E83106D21847819E57AA451D3CD0AE" localSheetId="4" hidden="1">#REF!</definedName>
    <definedName name="BOA7E83106D21847819E57AA451D3CD0AE" hidden="1">#REF!</definedName>
    <definedName name="BOA7F95C09DDE14ED9ADF146BB8E5485E7" localSheetId="5" hidden="1">#REF!</definedName>
    <definedName name="BOA7F95C09DDE14ED9ADF146BB8E5485E7" localSheetId="4" hidden="1">#REF!</definedName>
    <definedName name="BOA7F95C09DDE14ED9ADF146BB8E5485E7" hidden="1">#REF!</definedName>
    <definedName name="BOA7FF2C28276841DDA5FD8013F2976256" localSheetId="5" hidden="1">#REF!</definedName>
    <definedName name="BOA7FF2C28276841DDA5FD8013F2976256" localSheetId="4" hidden="1">#REF!</definedName>
    <definedName name="BOA7FF2C28276841DDA5FD8013F2976256" hidden="1">#REF!</definedName>
    <definedName name="BOA806F94152BC41B4924D421A3978D877" localSheetId="5" hidden="1">#REF!</definedName>
    <definedName name="BOA806F94152BC41B4924D421A3978D877" localSheetId="4" hidden="1">#REF!</definedName>
    <definedName name="BOA806F94152BC41B4924D421A3978D877" hidden="1">#REF!</definedName>
    <definedName name="BOA80A354E42AB46F8BB5D1820B60A5551" localSheetId="5" hidden="1">[8]Ketqua!#REF!</definedName>
    <definedName name="BOA80A354E42AB46F8BB5D1820B60A5551" localSheetId="4" hidden="1">[8]Ketqua!#REF!</definedName>
    <definedName name="BOA80A354E42AB46F8BB5D1820B60A5551" hidden="1">[8]Ketqua!#REF!</definedName>
    <definedName name="BOA80D127E18A246B88B551764EB40D88D" localSheetId="5" hidden="1">#REF!</definedName>
    <definedName name="BOA80D127E18A246B88B551764EB40D88D" localSheetId="4" hidden="1">#REF!</definedName>
    <definedName name="BOA80D127E18A246B88B551764EB40D88D" hidden="1">#REF!</definedName>
    <definedName name="BOA8206628314E4A578EFEF6514ED8FA60" localSheetId="5" hidden="1">#REF!</definedName>
    <definedName name="BOA8206628314E4A578EFEF6514ED8FA60" localSheetId="4" hidden="1">#REF!</definedName>
    <definedName name="BOA8206628314E4A578EFEF6514ED8FA60" hidden="1">#REF!</definedName>
    <definedName name="BOA83C165DFCC4407CA727BF99F0C45526" localSheetId="5" hidden="1">#REF!</definedName>
    <definedName name="BOA83C165DFCC4407CA727BF99F0C45526" localSheetId="4" hidden="1">#REF!</definedName>
    <definedName name="BOA83C165DFCC4407CA727BF99F0C45526" hidden="1">#REF!</definedName>
    <definedName name="BOA845FB7BA6F94DD384D9239414F1084D" localSheetId="5" hidden="1">#REF!</definedName>
    <definedName name="BOA845FB7BA6F94DD384D9239414F1084D" localSheetId="4" hidden="1">#REF!</definedName>
    <definedName name="BOA845FB7BA6F94DD384D9239414F1084D" hidden="1">#REF!</definedName>
    <definedName name="BOA8540DFBF8EF49C5AB8D4B08918806F3" localSheetId="5" hidden="1">#REF!</definedName>
    <definedName name="BOA8540DFBF8EF49C5AB8D4B08918806F3" localSheetId="4" hidden="1">#REF!</definedName>
    <definedName name="BOA8540DFBF8EF49C5AB8D4B08918806F3" hidden="1">#REF!</definedName>
    <definedName name="BOA85953DDC645497D94B1F0DC98AB88F3" localSheetId="5" hidden="1">#REF!</definedName>
    <definedName name="BOA85953DDC645497D94B1F0DC98AB88F3" localSheetId="4" hidden="1">#REF!</definedName>
    <definedName name="BOA85953DDC645497D94B1F0DC98AB88F3" hidden="1">#REF!</definedName>
    <definedName name="BOA86399A514B142459FA538ED95ED75D7" localSheetId="5" hidden="1">#REF!</definedName>
    <definedName name="BOA86399A514B142459FA538ED95ED75D7" localSheetId="4" hidden="1">#REF!</definedName>
    <definedName name="BOA86399A514B142459FA538ED95ED75D7" hidden="1">#REF!</definedName>
    <definedName name="BOA867A12A4E9B4122A055945A85515980" localSheetId="5" hidden="1">#REF!</definedName>
    <definedName name="BOA867A12A4E9B4122A055945A85515980" localSheetId="4" hidden="1">#REF!</definedName>
    <definedName name="BOA867A12A4E9B4122A055945A85515980" hidden="1">#REF!</definedName>
    <definedName name="BOA867EE6FED6649569D2F804794756A2C" localSheetId="5" hidden="1">#REF!</definedName>
    <definedName name="BOA867EE6FED6649569D2F804794756A2C" localSheetId="4" hidden="1">#REF!</definedName>
    <definedName name="BOA867EE6FED6649569D2F804794756A2C" hidden="1">#REF!</definedName>
    <definedName name="BOA879FFE6ECBE4F8ABCD12D7BCBA427F4" localSheetId="5" hidden="1">#REF!</definedName>
    <definedName name="BOA879FFE6ECBE4F8ABCD12D7BCBA427F4" localSheetId="4" hidden="1">#REF!</definedName>
    <definedName name="BOA879FFE6ECBE4F8ABCD12D7BCBA427F4" hidden="1">#REF!</definedName>
    <definedName name="BOA880BD92CB5B4C59AA5C0A8CA4F5372F" hidden="1">[8]Ketqua!$I$11:$U$11</definedName>
    <definedName name="BOA892C39EF82841FD9511259DD72D5BAC" localSheetId="5" hidden="1">#REF!</definedName>
    <definedName name="BOA892C39EF82841FD9511259DD72D5BAC" localSheetId="4" hidden="1">#REF!</definedName>
    <definedName name="BOA892C39EF82841FD9511259DD72D5BAC" hidden="1">#REF!</definedName>
    <definedName name="BOA8957C86FB6643AC809FD39567629B64" localSheetId="5" hidden="1">#REF!</definedName>
    <definedName name="BOA8957C86FB6643AC809FD39567629B64" localSheetId="4" hidden="1">#REF!</definedName>
    <definedName name="BOA8957C86FB6643AC809FD39567629B64" hidden="1">#REF!</definedName>
    <definedName name="BOA8AB53237752430BB0B4104856BA4E2A" localSheetId="5" hidden="1">#REF!</definedName>
    <definedName name="BOA8AB53237752430BB0B4104856BA4E2A" localSheetId="4" hidden="1">#REF!</definedName>
    <definedName name="BOA8AB53237752430BB0B4104856BA4E2A" hidden="1">#REF!</definedName>
    <definedName name="BOA8B6BA915B2046D49E6CCA0FAABA1AB0" localSheetId="5" hidden="1">#REF!</definedName>
    <definedName name="BOA8B6BA915B2046D49E6CCA0FAABA1AB0" localSheetId="4" hidden="1">#REF!</definedName>
    <definedName name="BOA8B6BA915B2046D49E6CCA0FAABA1AB0" hidden="1">#REF!</definedName>
    <definedName name="BOA8B6E7E580EC46D5A167ECCE259105F9" localSheetId="5" hidden="1">#REF!</definedName>
    <definedName name="BOA8B6E7E580EC46D5A167ECCE259105F9" localSheetId="4" hidden="1">#REF!</definedName>
    <definedName name="BOA8B6E7E580EC46D5A167ECCE259105F9" hidden="1">#REF!</definedName>
    <definedName name="BOA8BBACE96EA04C5395CDAD4B7730F1A9" localSheetId="5" hidden="1">#REF!</definedName>
    <definedName name="BOA8BBACE96EA04C5395CDAD4B7730F1A9" localSheetId="4" hidden="1">#REF!</definedName>
    <definedName name="BOA8BBACE96EA04C5395CDAD4B7730F1A9" hidden="1">#REF!</definedName>
    <definedName name="BOA8BDC17C9B004D55A015D84C15CB45EB" localSheetId="5" hidden="1">#REF!</definedName>
    <definedName name="BOA8BDC17C9B004D55A015D84C15CB45EB" localSheetId="4" hidden="1">#REF!</definedName>
    <definedName name="BOA8BDC17C9B004D55A015D84C15CB45EB" hidden="1">#REF!</definedName>
    <definedName name="BOA8D1E2E64BB645C680E24AB89AEDFCE3" localSheetId="5" hidden="1">#REF!</definedName>
    <definedName name="BOA8D1E2E64BB645C680E24AB89AEDFCE3" localSheetId="4" hidden="1">#REF!</definedName>
    <definedName name="BOA8D1E2E64BB645C680E24AB89AEDFCE3" hidden="1">#REF!</definedName>
    <definedName name="BOA901AF30926D453BB7505F619BF078C6" localSheetId="5" hidden="1">#REF!</definedName>
    <definedName name="BOA901AF30926D453BB7505F619BF078C6" localSheetId="4" hidden="1">#REF!</definedName>
    <definedName name="BOA901AF30926D453BB7505F619BF078C6" hidden="1">#REF!</definedName>
    <definedName name="BOA905A35F3C83427BAF8078DEA92E3DCC" localSheetId="5" hidden="1">#REF!</definedName>
    <definedName name="BOA905A35F3C83427BAF8078DEA92E3DCC" localSheetId="4" hidden="1">#REF!</definedName>
    <definedName name="BOA905A35F3C83427BAF8078DEA92E3DCC" hidden="1">#REF!</definedName>
    <definedName name="BOA91942887A174391853984C0DB8FA258" localSheetId="5" hidden="1">#REF!</definedName>
    <definedName name="BOA91942887A174391853984C0DB8FA258" localSheetId="4" hidden="1">#REF!</definedName>
    <definedName name="BOA91942887A174391853984C0DB8FA258" hidden="1">#REF!</definedName>
    <definedName name="BOA924C8471B3D4BEFBFB2779ECB07D4B5" localSheetId="5" hidden="1">#REF!</definedName>
    <definedName name="BOA924C8471B3D4BEFBFB2779ECB07D4B5" localSheetId="4" hidden="1">#REF!</definedName>
    <definedName name="BOA924C8471B3D4BEFBFB2779ECB07D4B5" hidden="1">#REF!</definedName>
    <definedName name="BOA92A7DA0406B44A3B5068E2C2403AEF8" localSheetId="5" hidden="1">#REF!</definedName>
    <definedName name="BOA92A7DA0406B44A3B5068E2C2403AEF8" localSheetId="4" hidden="1">#REF!</definedName>
    <definedName name="BOA92A7DA0406B44A3B5068E2C2403AEF8" hidden="1">#REF!</definedName>
    <definedName name="BOA92CD5ABDF7142A9A3BBE8219AB7AD1E" localSheetId="5" hidden="1">#REF!</definedName>
    <definedName name="BOA92CD5ABDF7142A9A3BBE8219AB7AD1E" localSheetId="4" hidden="1">#REF!</definedName>
    <definedName name="BOA92CD5ABDF7142A9A3BBE8219AB7AD1E" hidden="1">#REF!</definedName>
    <definedName name="BOA9348BE012FB4ED0B39EEDCD3E06F5F2" localSheetId="5" hidden="1">#REF!</definedName>
    <definedName name="BOA9348BE012FB4ED0B39EEDCD3E06F5F2" localSheetId="4" hidden="1">#REF!</definedName>
    <definedName name="BOA9348BE012FB4ED0B39EEDCD3E06F5F2" hidden="1">#REF!</definedName>
    <definedName name="BOA936BD839D6F41B1B928DEA2E612643F" localSheetId="5" hidden="1">#REF!</definedName>
    <definedName name="BOA936BD839D6F41B1B928DEA2E612643F" localSheetId="4" hidden="1">#REF!</definedName>
    <definedName name="BOA936BD839D6F41B1B928DEA2E612643F" hidden="1">#REF!</definedName>
    <definedName name="BOA941C0CD3F314CADA478A0C1CD85D250" localSheetId="5" hidden="1">#REF!</definedName>
    <definedName name="BOA941C0CD3F314CADA478A0C1CD85D250" localSheetId="4" hidden="1">#REF!</definedName>
    <definedName name="BOA941C0CD3F314CADA478A0C1CD85D250" hidden="1">#REF!</definedName>
    <definedName name="BOA960BBD34FE24271BB6009F552117A5E" localSheetId="5" hidden="1">#REF!</definedName>
    <definedName name="BOA960BBD34FE24271BB6009F552117A5E" localSheetId="4" hidden="1">#REF!</definedName>
    <definedName name="BOA960BBD34FE24271BB6009F552117A5E" hidden="1">#REF!</definedName>
    <definedName name="BOA97962AF99094B3CAD20F26EF024F3B8" localSheetId="5" hidden="1">#REF!</definedName>
    <definedName name="BOA97962AF99094B3CAD20F26EF024F3B8" localSheetId="4" hidden="1">#REF!</definedName>
    <definedName name="BOA97962AF99094B3CAD20F26EF024F3B8" hidden="1">#REF!</definedName>
    <definedName name="BOA97D1C5882D9460FB9B7E8BE3E06D7C7" localSheetId="5" hidden="1">#REF!</definedName>
    <definedName name="BOA97D1C5882D9460FB9B7E8BE3E06D7C7" localSheetId="4" hidden="1">#REF!</definedName>
    <definedName name="BOA97D1C5882D9460FB9B7E8BE3E06D7C7" hidden="1">#REF!</definedName>
    <definedName name="BOA981BC77D539446780CCABF5840EB5CC" localSheetId="5" hidden="1">#REF!</definedName>
    <definedName name="BOA981BC77D539446780CCABF5840EB5CC" localSheetId="4" hidden="1">#REF!</definedName>
    <definedName name="BOA981BC77D539446780CCABF5840EB5CC" hidden="1">#REF!</definedName>
    <definedName name="BOA99B3EA44A6444AD81F311DA7CDA0E02" localSheetId="5" hidden="1">#REF!</definedName>
    <definedName name="BOA99B3EA44A6444AD81F311DA7CDA0E02" localSheetId="4" hidden="1">#REF!</definedName>
    <definedName name="BOA99B3EA44A6444AD81F311DA7CDA0E02" hidden="1">#REF!</definedName>
    <definedName name="BOA9AFF096E6444A7E8455417EDE43E417" localSheetId="5" hidden="1">#REF!</definedName>
    <definedName name="BOA9AFF096E6444A7E8455417EDE43E417" localSheetId="4" hidden="1">#REF!</definedName>
    <definedName name="BOA9AFF096E6444A7E8455417EDE43E417" hidden="1">#REF!</definedName>
    <definedName name="BOA9DCE25621BA40C296FF0BBC64986F2B" localSheetId="5" hidden="1">#REF!</definedName>
    <definedName name="BOA9DCE25621BA40C296FF0BBC64986F2B" localSheetId="4" hidden="1">#REF!</definedName>
    <definedName name="BOA9DCE25621BA40C296FF0BBC64986F2B" hidden="1">#REF!</definedName>
    <definedName name="BOA9DE90E757EF4234987B6089AAE9083F" localSheetId="5" hidden="1">#REF!</definedName>
    <definedName name="BOA9DE90E757EF4234987B6089AAE9083F" localSheetId="4" hidden="1">#REF!</definedName>
    <definedName name="BOA9DE90E757EF4234987B6089AAE9083F" hidden="1">#REF!</definedName>
    <definedName name="BOA9E34BE9692245F381021991986CA770" localSheetId="5" hidden="1">#REF!</definedName>
    <definedName name="BOA9E34BE9692245F381021991986CA770" localSheetId="4" hidden="1">#REF!</definedName>
    <definedName name="BOA9E34BE9692245F381021991986CA770" hidden="1">#REF!</definedName>
    <definedName name="BOA9F3030815134B05A7558100392E38FB" localSheetId="5" hidden="1">#REF!</definedName>
    <definedName name="BOA9F3030815134B05A7558100392E38FB" localSheetId="4" hidden="1">#REF!</definedName>
    <definedName name="BOA9F3030815134B05A7558100392E38FB" hidden="1">#REF!</definedName>
    <definedName name="BOAA01475766094341BAC5937C45B98679" localSheetId="5" hidden="1">#REF!</definedName>
    <definedName name="BOAA01475766094341BAC5937C45B98679" localSheetId="4" hidden="1">#REF!</definedName>
    <definedName name="BOAA01475766094341BAC5937C45B98679" hidden="1">#REF!</definedName>
    <definedName name="BOAA0860BF715E47AC9514FA50EA6E61AF" localSheetId="5" hidden="1">#REF!</definedName>
    <definedName name="BOAA0860BF715E47AC9514FA50EA6E61AF" localSheetId="4" hidden="1">#REF!</definedName>
    <definedName name="BOAA0860BF715E47AC9514FA50EA6E61AF" hidden="1">#REF!</definedName>
    <definedName name="BOAA1E223595434D068D4C203B89333068" localSheetId="5" hidden="1">[8]Ketqua!#REF!</definedName>
    <definedName name="BOAA1E223595434D068D4C203B89333068" localSheetId="4" hidden="1">[8]Ketqua!#REF!</definedName>
    <definedName name="BOAA1E223595434D068D4C203B89333068" hidden="1">[8]Ketqua!#REF!</definedName>
    <definedName name="BOAA37683A5AAF416AA96E3DADC31E1AC4" localSheetId="5" hidden="1">#REF!</definedName>
    <definedName name="BOAA37683A5AAF416AA96E3DADC31E1AC4" localSheetId="4" hidden="1">#REF!</definedName>
    <definedName name="BOAA37683A5AAF416AA96E3DADC31E1AC4" hidden="1">#REF!</definedName>
    <definedName name="BOAA3F9143BD93402B92B4D5E889675490" localSheetId="5" hidden="1">#REF!</definedName>
    <definedName name="BOAA3F9143BD93402B92B4D5E889675490" localSheetId="4" hidden="1">#REF!</definedName>
    <definedName name="BOAA3F9143BD93402B92B4D5E889675490" hidden="1">#REF!</definedName>
    <definedName name="BOAA40E2343D72404E9D802F463443C655" localSheetId="5" hidden="1">#REF!</definedName>
    <definedName name="BOAA40E2343D72404E9D802F463443C655" localSheetId="4" hidden="1">#REF!</definedName>
    <definedName name="BOAA40E2343D72404E9D802F463443C655" hidden="1">#REF!</definedName>
    <definedName name="BOAA55DDAA55074BAC962C2EAD02CE9726" localSheetId="5" hidden="1">#REF!</definedName>
    <definedName name="BOAA55DDAA55074BAC962C2EAD02CE9726" localSheetId="4" hidden="1">#REF!</definedName>
    <definedName name="BOAA55DDAA55074BAC962C2EAD02CE9726" hidden="1">#REF!</definedName>
    <definedName name="BOAA652F21BEDB4AC6AC7727649CE8D61F" localSheetId="5" hidden="1">#REF!</definedName>
    <definedName name="BOAA652F21BEDB4AC6AC7727649CE8D61F" localSheetId="4" hidden="1">#REF!</definedName>
    <definedName name="BOAA652F21BEDB4AC6AC7727649CE8D61F" hidden="1">#REF!</definedName>
    <definedName name="BOAA653AB974824D93A798765A54C0EB79" localSheetId="5" hidden="1">#REF!</definedName>
    <definedName name="BOAA653AB974824D93A798765A54C0EB79" localSheetId="4" hidden="1">#REF!</definedName>
    <definedName name="BOAA653AB974824D93A798765A54C0EB79" hidden="1">#REF!</definedName>
    <definedName name="BOAA7F88AD6DC24F15815B41B5545C66B0" localSheetId="5" hidden="1">#REF!</definedName>
    <definedName name="BOAA7F88AD6DC24F15815B41B5545C66B0" localSheetId="4" hidden="1">#REF!</definedName>
    <definedName name="BOAA7F88AD6DC24F15815B41B5545C66B0" hidden="1">#REF!</definedName>
    <definedName name="BOAA7FB2E90CAF41F0A8156714764841D1" localSheetId="5" hidden="1">#REF!</definedName>
    <definedName name="BOAA7FB2E90CAF41F0A8156714764841D1" localSheetId="4" hidden="1">#REF!</definedName>
    <definedName name="BOAA7FB2E90CAF41F0A8156714764841D1" hidden="1">#REF!</definedName>
    <definedName name="BOAA98F55B3C264C12B78EEDFCEDE06C07" localSheetId="5" hidden="1">#REF!</definedName>
    <definedName name="BOAA98F55B3C264C12B78EEDFCEDE06C07" localSheetId="4" hidden="1">#REF!</definedName>
    <definedName name="BOAA98F55B3C264C12B78EEDFCEDE06C07" hidden="1">#REF!</definedName>
    <definedName name="BOAAB11C84339D4299BFC1AA6D04698F2A" localSheetId="5" hidden="1">[7]lailo!#REF!</definedName>
    <definedName name="BOAAB11C84339D4299BFC1AA6D04698F2A" localSheetId="4" hidden="1">[7]lailo!#REF!</definedName>
    <definedName name="BOAAB11C84339D4299BFC1AA6D04698F2A" hidden="1">[7]lailo!#REF!</definedName>
    <definedName name="BOAAB249B9593B4344AD2BC41488FF9294" localSheetId="5" hidden="1">#REF!</definedName>
    <definedName name="BOAAB249B9593B4344AD2BC41488FF9294" localSheetId="4" hidden="1">#REF!</definedName>
    <definedName name="BOAAB249B9593B4344AD2BC41488FF9294" hidden="1">#REF!</definedName>
    <definedName name="BOAAF327AFC0664C7091659BAFCB27C490" localSheetId="5" hidden="1">#REF!</definedName>
    <definedName name="BOAAF327AFC0664C7091659BAFCB27C490" localSheetId="4" hidden="1">#REF!</definedName>
    <definedName name="BOAAF327AFC0664C7091659BAFCB27C490" hidden="1">#REF!</definedName>
    <definedName name="BOAAF9B49CFC784CCA971E3C64A3E41A64" localSheetId="5" hidden="1">#REF!</definedName>
    <definedName name="BOAAF9B49CFC784CCA971E3C64A3E41A64" localSheetId="4" hidden="1">#REF!</definedName>
    <definedName name="BOAAF9B49CFC784CCA971E3C64A3E41A64" hidden="1">#REF!</definedName>
    <definedName name="BOAAFA5A1A37E6419880DFDAD5355E1D06" localSheetId="5" hidden="1">#REF!</definedName>
    <definedName name="BOAAFA5A1A37E6419880DFDAD5355E1D06" localSheetId="4" hidden="1">#REF!</definedName>
    <definedName name="BOAAFA5A1A37E6419880DFDAD5355E1D06" hidden="1">#REF!</definedName>
    <definedName name="BOAAFFA14D3B8C42998A9CCDB720EFA746" localSheetId="5" hidden="1">#REF!</definedName>
    <definedName name="BOAAFFA14D3B8C42998A9CCDB720EFA746" localSheetId="4" hidden="1">#REF!</definedName>
    <definedName name="BOAAFFA14D3B8C42998A9CCDB720EFA746" hidden="1">#REF!</definedName>
    <definedName name="BOAB10402BC8264153B84775082374D8C1" localSheetId="5" hidden="1">#REF!</definedName>
    <definedName name="BOAB10402BC8264153B84775082374D8C1" localSheetId="4" hidden="1">#REF!</definedName>
    <definedName name="BOAB10402BC8264153B84775082374D8C1" hidden="1">#REF!</definedName>
    <definedName name="BOAB29207EFA5F431C8F9196A9CBABBF09" localSheetId="5" hidden="1">#REF!</definedName>
    <definedName name="BOAB29207EFA5F431C8F9196A9CBABBF09" localSheetId="4" hidden="1">#REF!</definedName>
    <definedName name="BOAB29207EFA5F431C8F9196A9CBABBF09" hidden="1">#REF!</definedName>
    <definedName name="BOAB2FFF70AB0E4B7DBDC7FC821977E79A" localSheetId="5" hidden="1">#REF!</definedName>
    <definedName name="BOAB2FFF70AB0E4B7DBDC7FC821977E79A" localSheetId="4" hidden="1">#REF!</definedName>
    <definedName name="BOAB2FFF70AB0E4B7DBDC7FC821977E79A" hidden="1">#REF!</definedName>
    <definedName name="BOAB4EA31D04C5441EB64651C401666C2E" localSheetId="5" hidden="1">#REF!</definedName>
    <definedName name="BOAB4EA31D04C5441EB64651C401666C2E" localSheetId="4" hidden="1">#REF!</definedName>
    <definedName name="BOAB4EA31D04C5441EB64651C401666C2E" hidden="1">#REF!</definedName>
    <definedName name="BOAB55A49C750F4A04BB95727169E240E7" localSheetId="5" hidden="1">#REF!</definedName>
    <definedName name="BOAB55A49C750F4A04BB95727169E240E7" localSheetId="4" hidden="1">#REF!</definedName>
    <definedName name="BOAB55A49C750F4A04BB95727169E240E7" hidden="1">#REF!</definedName>
    <definedName name="BOAB59664B5FA1468B95E5481856A3ABA4" localSheetId="5" hidden="1">#REF!</definedName>
    <definedName name="BOAB59664B5FA1468B95E5481856A3ABA4" localSheetId="4" hidden="1">#REF!</definedName>
    <definedName name="BOAB59664B5FA1468B95E5481856A3ABA4" hidden="1">#REF!</definedName>
    <definedName name="BOAB61742FDFEA41718895C17AF1E070B3" localSheetId="5" hidden="1">#REF!</definedName>
    <definedName name="BOAB61742FDFEA41718895C17AF1E070B3" localSheetId="4" hidden="1">#REF!</definedName>
    <definedName name="BOAB61742FDFEA41718895C17AF1E070B3" hidden="1">#REF!</definedName>
    <definedName name="BOAB8040E3A5124FA2AD95125626ED80CC" localSheetId="5" hidden="1">#REF!</definedName>
    <definedName name="BOAB8040E3A5124FA2AD95125626ED80CC" localSheetId="4" hidden="1">#REF!</definedName>
    <definedName name="BOAB8040E3A5124FA2AD95125626ED80CC" hidden="1">#REF!</definedName>
    <definedName name="BOAB82E269C9C44E749643F11D7E8DC781" localSheetId="5" hidden="1">#REF!</definedName>
    <definedName name="BOAB82E269C9C44E749643F11D7E8DC781" localSheetId="4" hidden="1">#REF!</definedName>
    <definedName name="BOAB82E269C9C44E749643F11D7E8DC781" hidden="1">#REF!</definedName>
    <definedName name="BOABA37D4AAAF34670989EA3781641E276" localSheetId="5" hidden="1">#REF!</definedName>
    <definedName name="BOABA37D4AAAF34670989EA3781641E276" localSheetId="4" hidden="1">#REF!</definedName>
    <definedName name="BOABA37D4AAAF34670989EA3781641E276" hidden="1">#REF!</definedName>
    <definedName name="BOABBB8A5582AF477181C945BF9631CC31" localSheetId="5" hidden="1">[8]Ketqua!#REF!</definedName>
    <definedName name="BOABBB8A5582AF477181C945BF9631CC31" localSheetId="4" hidden="1">[8]Ketqua!#REF!</definedName>
    <definedName name="BOABBB8A5582AF477181C945BF9631CC31" hidden="1">[8]Ketqua!#REF!</definedName>
    <definedName name="BOABBC3E842C2D4577BD91AB57CA8D6791" localSheetId="5" hidden="1">#REF!</definedName>
    <definedName name="BOABBC3E842C2D4577BD91AB57CA8D6791" localSheetId="4" hidden="1">#REF!</definedName>
    <definedName name="BOABBC3E842C2D4577BD91AB57CA8D6791" hidden="1">#REF!</definedName>
    <definedName name="BOABBCC65C502741CFA6171DACF843BA39" localSheetId="5" hidden="1">#REF!</definedName>
    <definedName name="BOABBCC65C502741CFA6171DACF843BA39" localSheetId="4" hidden="1">#REF!</definedName>
    <definedName name="BOABBCC65C502741CFA6171DACF843BA39" hidden="1">#REF!</definedName>
    <definedName name="BOABBEDF0B098A4D5BAD03B9ADDF109A8A" localSheetId="5" hidden="1">#REF!</definedName>
    <definedName name="BOABBEDF0B098A4D5BAD03B9ADDF109A8A" localSheetId="4" hidden="1">#REF!</definedName>
    <definedName name="BOABBEDF0B098A4D5BAD03B9ADDF109A8A" hidden="1">#REF!</definedName>
    <definedName name="BOABE17346E5364BC6BC09CCC3833A87D6" localSheetId="5" hidden="1">#REF!</definedName>
    <definedName name="BOABE17346E5364BC6BC09CCC3833A87D6" localSheetId="4" hidden="1">#REF!</definedName>
    <definedName name="BOABE17346E5364BC6BC09CCC3833A87D6" hidden="1">#REF!</definedName>
    <definedName name="BOABE634B5257648299573C5F63F4789DB" localSheetId="5" hidden="1">#REF!</definedName>
    <definedName name="BOABE634B5257648299573C5F63F4789DB" localSheetId="4" hidden="1">#REF!</definedName>
    <definedName name="BOABE634B5257648299573C5F63F4789DB" hidden="1">#REF!</definedName>
    <definedName name="BOABE6D56CADF540788764AC6DE708AE41" localSheetId="5" hidden="1">#REF!</definedName>
    <definedName name="BOABE6D56CADF540788764AC6DE708AE41" localSheetId="4" hidden="1">#REF!</definedName>
    <definedName name="BOABE6D56CADF540788764AC6DE708AE41" hidden="1">#REF!</definedName>
    <definedName name="BOABE796C119AC4DD4AD13723882F95431" localSheetId="5" hidden="1">#REF!</definedName>
    <definedName name="BOABE796C119AC4DD4AD13723882F95431" localSheetId="4" hidden="1">#REF!</definedName>
    <definedName name="BOABE796C119AC4DD4AD13723882F95431" hidden="1">#REF!</definedName>
    <definedName name="BOABF49C33DA224342BB7F2E87F17C1DB3" localSheetId="5" hidden="1">#REF!</definedName>
    <definedName name="BOABF49C33DA224342BB7F2E87F17C1DB3" localSheetId="4" hidden="1">#REF!</definedName>
    <definedName name="BOABF49C33DA224342BB7F2E87F17C1DB3" hidden="1">#REF!</definedName>
    <definedName name="BOAC02D46F12594606ADE7DD9C89989778" localSheetId="5" hidden="1">#REF!</definedName>
    <definedName name="BOAC02D46F12594606ADE7DD9C89989778" localSheetId="4" hidden="1">#REF!</definedName>
    <definedName name="BOAC02D46F12594606ADE7DD9C89989778" hidden="1">#REF!</definedName>
    <definedName name="BOAC079C7332FB405D90554C0619547187" localSheetId="5" hidden="1">#REF!</definedName>
    <definedName name="BOAC079C7332FB405D90554C0619547187" localSheetId="4" hidden="1">#REF!</definedName>
    <definedName name="BOAC079C7332FB405D90554C0619547187" hidden="1">#REF!</definedName>
    <definedName name="BOAC1900755BEA493D96C5D8B738F821F6" localSheetId="5" hidden="1">#REF!</definedName>
    <definedName name="BOAC1900755BEA493D96C5D8B738F821F6" localSheetId="4" hidden="1">#REF!</definedName>
    <definedName name="BOAC1900755BEA493D96C5D8B738F821F6" hidden="1">#REF!</definedName>
    <definedName name="BOAC20EFF8A0BF4A449CF6FC64F7797071" localSheetId="5" hidden="1">#REF!</definedName>
    <definedName name="BOAC20EFF8A0BF4A449CF6FC64F7797071" localSheetId="4" hidden="1">#REF!</definedName>
    <definedName name="BOAC20EFF8A0BF4A449CF6FC64F7797071" hidden="1">#REF!</definedName>
    <definedName name="BOAC254DA305B94649A40A1818F4397657" localSheetId="5" hidden="1">#REF!</definedName>
    <definedName name="BOAC254DA305B94649A40A1818F4397657" localSheetId="4" hidden="1">#REF!</definedName>
    <definedName name="BOAC254DA305B94649A40A1818F4397657" hidden="1">#REF!</definedName>
    <definedName name="BOAC27256DB5324A7AB0F019D8BBBFFA50" localSheetId="5" hidden="1">#REF!</definedName>
    <definedName name="BOAC27256DB5324A7AB0F019D8BBBFFA50" localSheetId="4" hidden="1">#REF!</definedName>
    <definedName name="BOAC27256DB5324A7AB0F019D8BBBFFA50" hidden="1">#REF!</definedName>
    <definedName name="BOAC2BA54B1244447C94697D45AF1623C2" localSheetId="5" hidden="1">#REF!</definedName>
    <definedName name="BOAC2BA54B1244447C94697D45AF1623C2" localSheetId="4" hidden="1">#REF!</definedName>
    <definedName name="BOAC2BA54B1244447C94697D45AF1623C2" hidden="1">#REF!</definedName>
    <definedName name="BOAC3E93766CD34580B216A7CF53D20103" localSheetId="5" hidden="1">#REF!</definedName>
    <definedName name="BOAC3E93766CD34580B216A7CF53D20103" localSheetId="4" hidden="1">#REF!</definedName>
    <definedName name="BOAC3E93766CD34580B216A7CF53D20103" hidden="1">#REF!</definedName>
    <definedName name="BOAC42AA5A12354BB6ABF8F402A90E9584" localSheetId="5" hidden="1">#REF!</definedName>
    <definedName name="BOAC42AA5A12354BB6ABF8F402A90E9584" localSheetId="4" hidden="1">#REF!</definedName>
    <definedName name="BOAC42AA5A12354BB6ABF8F402A90E9584" hidden="1">#REF!</definedName>
    <definedName name="BOAC589E242BED4D2782DB5354106024F8" localSheetId="5" hidden="1">#REF!</definedName>
    <definedName name="BOAC589E242BED4D2782DB5354106024F8" localSheetId="4" hidden="1">#REF!</definedName>
    <definedName name="BOAC589E242BED4D2782DB5354106024F8" hidden="1">#REF!</definedName>
    <definedName name="BOAC61F7699EB644B28983D0AA8E23DC41" localSheetId="5" hidden="1">#REF!</definedName>
    <definedName name="BOAC61F7699EB644B28983D0AA8E23DC41" localSheetId="4" hidden="1">#REF!</definedName>
    <definedName name="BOAC61F7699EB644B28983D0AA8E23DC41" hidden="1">#REF!</definedName>
    <definedName name="BOAC688BA399274B6C828579F23AF552F0" localSheetId="5" hidden="1">#REF!</definedName>
    <definedName name="BOAC688BA399274B6C828579F23AF552F0" localSheetId="4" hidden="1">#REF!</definedName>
    <definedName name="BOAC688BA399274B6C828579F23AF552F0" hidden="1">#REF!</definedName>
    <definedName name="BOAC6F009BD4564DF482F3FD521B8DD5EC" localSheetId="5" hidden="1">#REF!</definedName>
    <definedName name="BOAC6F009BD4564DF482F3FD521B8DD5EC" localSheetId="4" hidden="1">#REF!</definedName>
    <definedName name="BOAC6F009BD4564DF482F3FD521B8DD5EC" hidden="1">#REF!</definedName>
    <definedName name="BOAC7DFA81944141B4AAA095F10C90F884" localSheetId="5" hidden="1">#REF!</definedName>
    <definedName name="BOAC7DFA81944141B4AAA095F10C90F884" localSheetId="4" hidden="1">#REF!</definedName>
    <definedName name="BOAC7DFA81944141B4AAA095F10C90F884" hidden="1">#REF!</definedName>
    <definedName name="BOAC99D26F3C3749C0B07E837B64380195" localSheetId="5" hidden="1">#REF!</definedName>
    <definedName name="BOAC99D26F3C3749C0B07E837B64380195" localSheetId="4" hidden="1">#REF!</definedName>
    <definedName name="BOAC99D26F3C3749C0B07E837B64380195" hidden="1">#REF!</definedName>
    <definedName name="BOAC9D19CAAE6E4BA58BB8B42C2FEB90A0" localSheetId="5" hidden="1">[9]xml!#REF!</definedName>
    <definedName name="BOAC9D19CAAE6E4BA58BB8B42C2FEB90A0" localSheetId="4" hidden="1">[9]xml!#REF!</definedName>
    <definedName name="BOAC9D19CAAE6E4BA58BB8B42C2FEB90A0" hidden="1">[9]xml!#REF!</definedName>
    <definedName name="BOACB00B10EC8E4F8C8358B497747DC6D8" localSheetId="5" hidden="1">#REF!</definedName>
    <definedName name="BOACB00B10EC8E4F8C8358B497747DC6D8" localSheetId="4" hidden="1">#REF!</definedName>
    <definedName name="BOACB00B10EC8E4F8C8358B497747DC6D8" hidden="1">#REF!</definedName>
    <definedName name="BOACB4EB5ACCF641E594B4370068A37C9C" localSheetId="5" hidden="1">#REF!</definedName>
    <definedName name="BOACB4EB5ACCF641E594B4370068A37C9C" localSheetId="4" hidden="1">#REF!</definedName>
    <definedName name="BOACB4EB5ACCF641E594B4370068A37C9C" hidden="1">#REF!</definedName>
    <definedName name="BOACBE6399B62B4EE0940B3DE41E102E4C" localSheetId="5" hidden="1">[8]Ketqua!#REF!</definedName>
    <definedName name="BOACBE6399B62B4EE0940B3DE41E102E4C" localSheetId="4" hidden="1">[8]Ketqua!#REF!</definedName>
    <definedName name="BOACBE6399B62B4EE0940B3DE41E102E4C" hidden="1">[8]Ketqua!#REF!</definedName>
    <definedName name="BOACC1A393A0E84692B8D52F9A7AA2DA18" localSheetId="5" hidden="1">#REF!</definedName>
    <definedName name="BOACC1A393A0E84692B8D52F9A7AA2DA18" localSheetId="4" hidden="1">#REF!</definedName>
    <definedName name="BOACC1A393A0E84692B8D52F9A7AA2DA18" hidden="1">#REF!</definedName>
    <definedName name="BOACF5FD6570824E3C96A90193052BBD0B" localSheetId="5" hidden="1">#REF!</definedName>
    <definedName name="BOACF5FD6570824E3C96A90193052BBD0B" localSheetId="4" hidden="1">#REF!</definedName>
    <definedName name="BOACF5FD6570824E3C96A90193052BBD0B" hidden="1">#REF!</definedName>
    <definedName name="BOAD0868B57674469FAEBAADBB497C74BA" localSheetId="5" hidden="1">#REF!</definedName>
    <definedName name="BOAD0868B57674469FAEBAADBB497C74BA" localSheetId="4" hidden="1">#REF!</definedName>
    <definedName name="BOAD0868B57674469FAEBAADBB497C74BA" hidden="1">#REF!</definedName>
    <definedName name="BOAD0F026DF7974FB398A8875797779089" localSheetId="5" hidden="1">#REF!</definedName>
    <definedName name="BOAD0F026DF7974FB398A8875797779089" localSheetId="4" hidden="1">#REF!</definedName>
    <definedName name="BOAD0F026DF7974FB398A8875797779089" hidden="1">#REF!</definedName>
    <definedName name="BOAD109524018746029F061D1102BE87A6" localSheetId="5" hidden="1">#REF!</definedName>
    <definedName name="BOAD109524018746029F061D1102BE87A6" localSheetId="4" hidden="1">#REF!</definedName>
    <definedName name="BOAD109524018746029F061D1102BE87A6" hidden="1">#REF!</definedName>
    <definedName name="BOAD1714D8D753476785B2A34D98446407" localSheetId="5" hidden="1">#REF!</definedName>
    <definedName name="BOAD1714D8D753476785B2A34D98446407" localSheetId="4" hidden="1">#REF!</definedName>
    <definedName name="BOAD1714D8D753476785B2A34D98446407" hidden="1">#REF!</definedName>
    <definedName name="BOAD18DDE0978E4523B5DB503B3DD0530F" localSheetId="5" hidden="1">#REF!</definedName>
    <definedName name="BOAD18DDE0978E4523B5DB503B3DD0530F" localSheetId="4" hidden="1">#REF!</definedName>
    <definedName name="BOAD18DDE0978E4523B5DB503B3DD0530F" hidden="1">#REF!</definedName>
    <definedName name="BOAD20497ABDDF428683C9AA6B905928CA" localSheetId="5" hidden="1">#REF!</definedName>
    <definedName name="BOAD20497ABDDF428683C9AA6B905928CA" localSheetId="4" hidden="1">#REF!</definedName>
    <definedName name="BOAD20497ABDDF428683C9AA6B905928CA" hidden="1">#REF!</definedName>
    <definedName name="BOAD4C8585543C420C9900B3D1DE628AFD" localSheetId="5" hidden="1">#REF!</definedName>
    <definedName name="BOAD4C8585543C420C9900B3D1DE628AFD" localSheetId="4" hidden="1">#REF!</definedName>
    <definedName name="BOAD4C8585543C420C9900B3D1DE628AFD" hidden="1">#REF!</definedName>
    <definedName name="BOAD51263348C74E31A45ED9361BB8E768" localSheetId="5" hidden="1">#REF!</definedName>
    <definedName name="BOAD51263348C74E31A45ED9361BB8E768" localSheetId="4" hidden="1">#REF!</definedName>
    <definedName name="BOAD51263348C74E31A45ED9361BB8E768" hidden="1">#REF!</definedName>
    <definedName name="BOAD51D154FD2A44888BB75B466BB3E12D" localSheetId="5" hidden="1">#REF!</definedName>
    <definedName name="BOAD51D154FD2A44888BB75B466BB3E12D" localSheetId="4" hidden="1">#REF!</definedName>
    <definedName name="BOAD51D154FD2A44888BB75B466BB3E12D" hidden="1">#REF!</definedName>
    <definedName name="BOAD616A0644E843968166BAAF341567A8" localSheetId="5" hidden="1">#REF!</definedName>
    <definedName name="BOAD616A0644E843968166BAAF341567A8" localSheetId="4" hidden="1">#REF!</definedName>
    <definedName name="BOAD616A0644E843968166BAAF341567A8" hidden="1">#REF!</definedName>
    <definedName name="BOAD67323FB34B41F68D678F348C3EE180" localSheetId="5" hidden="1">#REF!</definedName>
    <definedName name="BOAD67323FB34B41F68D678F348C3EE180" localSheetId="4" hidden="1">#REF!</definedName>
    <definedName name="BOAD67323FB34B41F68D678F348C3EE180" hidden="1">#REF!</definedName>
    <definedName name="BOAD9B53F3B63740B18D3775C2FC0BEF7F" localSheetId="5" hidden="1">#REF!</definedName>
    <definedName name="BOAD9B53F3B63740B18D3775C2FC0BEF7F" localSheetId="4" hidden="1">#REF!</definedName>
    <definedName name="BOAD9B53F3B63740B18D3775C2FC0BEF7F" hidden="1">#REF!</definedName>
    <definedName name="BOADA7B463158B4CDE8AB36B4F72817DAD" localSheetId="5" hidden="1">#REF!</definedName>
    <definedName name="BOADA7B463158B4CDE8AB36B4F72817DAD" localSheetId="4" hidden="1">#REF!</definedName>
    <definedName name="BOADA7B463158B4CDE8AB36B4F72817DAD" hidden="1">#REF!</definedName>
    <definedName name="BOADAF0A087880435C925996C1AAEA8F22" localSheetId="5" hidden="1">#REF!</definedName>
    <definedName name="BOADAF0A087880435C925996C1AAEA8F22" localSheetId="4" hidden="1">#REF!</definedName>
    <definedName name="BOADAF0A087880435C925996C1AAEA8F22" hidden="1">#REF!</definedName>
    <definedName name="BOADEA752D0A9F4765BC7D7C566BFED409" localSheetId="5" hidden="1">#REF!</definedName>
    <definedName name="BOADEA752D0A9F4765BC7D7C566BFED409" localSheetId="4" hidden="1">#REF!</definedName>
    <definedName name="BOADEA752D0A9F4765BC7D7C566BFED409" hidden="1">#REF!</definedName>
    <definedName name="BOADF5449B6E78471788DE53CF0F67654B" localSheetId="5" hidden="1">#REF!</definedName>
    <definedName name="BOADF5449B6E78471788DE53CF0F67654B" localSheetId="4" hidden="1">#REF!</definedName>
    <definedName name="BOADF5449B6E78471788DE53CF0F67654B" hidden="1">#REF!</definedName>
    <definedName name="BOADF5EDCE176E45429B9FB32CEB349C04" localSheetId="5" hidden="1">#REF!</definedName>
    <definedName name="BOADF5EDCE176E45429B9FB32CEB349C04" localSheetId="4" hidden="1">#REF!</definedName>
    <definedName name="BOADF5EDCE176E45429B9FB32CEB349C04" hidden="1">#REF!</definedName>
    <definedName name="BOAE03B6416C174C3C959BE294997057DF" localSheetId="5" hidden="1">[10]Giaitrinh!#REF!</definedName>
    <definedName name="BOAE03B6416C174C3C959BE294997057DF" localSheetId="4" hidden="1">[10]Giaitrinh!#REF!</definedName>
    <definedName name="BOAE03B6416C174C3C959BE294997057DF" hidden="1">[10]Giaitrinh!#REF!</definedName>
    <definedName name="BOAE216CC5B8D845F8813B2A359845EA1B" localSheetId="5" hidden="1">#REF!</definedName>
    <definedName name="BOAE216CC5B8D845F8813B2A359845EA1B" localSheetId="4" hidden="1">#REF!</definedName>
    <definedName name="BOAE216CC5B8D845F8813B2A359845EA1B" hidden="1">#REF!</definedName>
    <definedName name="BOAE295A2356024909986D303C5B70AF71" localSheetId="5" hidden="1">#REF!</definedName>
    <definedName name="BOAE295A2356024909986D303C5B70AF71" localSheetId="4" hidden="1">#REF!</definedName>
    <definedName name="BOAE295A2356024909986D303C5B70AF71" hidden="1">#REF!</definedName>
    <definedName name="BOAE2DB0A19A4B422BA3B306218E74F053" localSheetId="5" hidden="1">#REF!</definedName>
    <definedName name="BOAE2DB0A19A4B422BA3B306218E74F053" localSheetId="4" hidden="1">#REF!</definedName>
    <definedName name="BOAE2DB0A19A4B422BA3B306218E74F053" hidden="1">#REF!</definedName>
    <definedName name="BOAE4073CA1ED04D1DB1E227D28BA177DD" localSheetId="5" hidden="1">#REF!</definedName>
    <definedName name="BOAE4073CA1ED04D1DB1E227D28BA177DD" localSheetId="4" hidden="1">#REF!</definedName>
    <definedName name="BOAE4073CA1ED04D1DB1E227D28BA177DD" hidden="1">#REF!</definedName>
    <definedName name="BOAE43C9E5ED7544BF9AA630E3E7AC4A0F" localSheetId="5" hidden="1">[8]Ketqua!#REF!</definedName>
    <definedName name="BOAE43C9E5ED7544BF9AA630E3E7AC4A0F" localSheetId="4" hidden="1">[8]Ketqua!#REF!</definedName>
    <definedName name="BOAE43C9E5ED7544BF9AA630E3E7AC4A0F" hidden="1">[8]Ketqua!#REF!</definedName>
    <definedName name="BOAE4C8B932C004E6DBD20DD30CA3B1C31" localSheetId="5" hidden="1">#REF!</definedName>
    <definedName name="BOAE4C8B932C004E6DBD20DD30CA3B1C31" localSheetId="4" hidden="1">#REF!</definedName>
    <definedName name="BOAE4C8B932C004E6DBD20DD30CA3B1C31" hidden="1">#REF!</definedName>
    <definedName name="BOAE62644DF78A4A79879DE7E6C0CC7E80" localSheetId="5" hidden="1">#REF!</definedName>
    <definedName name="BOAE62644DF78A4A79879DE7E6C0CC7E80" localSheetId="4" hidden="1">#REF!</definedName>
    <definedName name="BOAE62644DF78A4A79879DE7E6C0CC7E80" hidden="1">#REF!</definedName>
    <definedName name="BOAE6A42DF7B264DF2A1C13174620DCAD0" localSheetId="5" hidden="1">#REF!</definedName>
    <definedName name="BOAE6A42DF7B264DF2A1C13174620DCAD0" localSheetId="4" hidden="1">#REF!</definedName>
    <definedName name="BOAE6A42DF7B264DF2A1C13174620DCAD0" hidden="1">#REF!</definedName>
    <definedName name="BOAE845F26838B4190AB1940D3C571CCD4" localSheetId="5" hidden="1">#REF!</definedName>
    <definedName name="BOAE845F26838B4190AB1940D3C571CCD4" localSheetId="4" hidden="1">#REF!</definedName>
    <definedName name="BOAE845F26838B4190AB1940D3C571CCD4" hidden="1">#REF!</definedName>
    <definedName name="BOAE8A454357A54A7496954F9B58CDE6BA" localSheetId="5" hidden="1">#REF!</definedName>
    <definedName name="BOAE8A454357A54A7496954F9B58CDE6BA" localSheetId="4" hidden="1">#REF!</definedName>
    <definedName name="BOAE8A454357A54A7496954F9B58CDE6BA" hidden="1">#REF!</definedName>
    <definedName name="BOAE8FCAC5D5AF4CBB8C97C5BFCA8A3F71" localSheetId="5" hidden="1">#REF!</definedName>
    <definedName name="BOAE8FCAC5D5AF4CBB8C97C5BFCA8A3F71" localSheetId="4" hidden="1">#REF!</definedName>
    <definedName name="BOAE8FCAC5D5AF4CBB8C97C5BFCA8A3F71" hidden="1">#REF!</definedName>
    <definedName name="BOAE9A5402D50645F0AF1D1E3ECB6210EA" localSheetId="5" hidden="1">#REF!</definedName>
    <definedName name="BOAE9A5402D50645F0AF1D1E3ECB6210EA" localSheetId="4" hidden="1">#REF!</definedName>
    <definedName name="BOAE9A5402D50645F0AF1D1E3ECB6210EA" hidden="1">#REF!</definedName>
    <definedName name="BOAEB5105A7F20486E8B6F6E1B13A29BCE" localSheetId="5" hidden="1">#REF!</definedName>
    <definedName name="BOAEB5105A7F20486E8B6F6E1B13A29BCE" localSheetId="4" hidden="1">#REF!</definedName>
    <definedName name="BOAEB5105A7F20486E8B6F6E1B13A29BCE" hidden="1">#REF!</definedName>
    <definedName name="BOAECC4E2710DA49978423665B98EFB884" localSheetId="5" hidden="1">#REF!</definedName>
    <definedName name="BOAECC4E2710DA49978423665B98EFB884" localSheetId="4" hidden="1">#REF!</definedName>
    <definedName name="BOAECC4E2710DA49978423665B98EFB884" hidden="1">#REF!</definedName>
    <definedName name="BOAEDD543BADF14D9EA25B3AA584C0E475" localSheetId="5" hidden="1">#REF!</definedName>
    <definedName name="BOAEDD543BADF14D9EA25B3AA584C0E475" localSheetId="4" hidden="1">#REF!</definedName>
    <definedName name="BOAEDD543BADF14D9EA25B3AA584C0E475" hidden="1">#REF!</definedName>
    <definedName name="BOAEDE2D12CB7E485F9D076390A0D1B42E" localSheetId="5" hidden="1">#REF!</definedName>
    <definedName name="BOAEDE2D12CB7E485F9D076390A0D1B42E" localSheetId="4" hidden="1">#REF!</definedName>
    <definedName name="BOAEDE2D12CB7E485F9D076390A0D1B42E" hidden="1">#REF!</definedName>
    <definedName name="BOAEE4C7AD3A0D4945BAAE43130AE8345F" localSheetId="5" hidden="1">#REF!</definedName>
    <definedName name="BOAEE4C7AD3A0D4945BAAE43130AE8345F" localSheetId="4" hidden="1">#REF!</definedName>
    <definedName name="BOAEE4C7AD3A0D4945BAAE43130AE8345F" hidden="1">#REF!</definedName>
    <definedName name="BOAF1B98F1E4DC4A63B1711F6E8BC3F91E" localSheetId="5" hidden="1">[8]Ketqua!#REF!</definedName>
    <definedName name="BOAF1B98F1E4DC4A63B1711F6E8BC3F91E" localSheetId="4" hidden="1">[8]Ketqua!#REF!</definedName>
    <definedName name="BOAF1B98F1E4DC4A63B1711F6E8BC3F91E" hidden="1">[8]Ketqua!#REF!</definedName>
    <definedName name="BOAF2A59C7AB284CBC9C9842486CA487DB" localSheetId="5" hidden="1">#REF!</definedName>
    <definedName name="BOAF2A59C7AB284CBC9C9842486CA487DB" localSheetId="4" hidden="1">#REF!</definedName>
    <definedName name="BOAF2A59C7AB284CBC9C9842486CA487DB" hidden="1">#REF!</definedName>
    <definedName name="BOAF632807084E4AE9A37796276AFC117D" localSheetId="5" hidden="1">#REF!</definedName>
    <definedName name="BOAF632807084E4AE9A37796276AFC117D" localSheetId="4" hidden="1">#REF!</definedName>
    <definedName name="BOAF632807084E4AE9A37796276AFC117D" hidden="1">#REF!</definedName>
    <definedName name="BOAF651A9896FF42F0BDE2EF05576DFDD4" localSheetId="5" hidden="1">#REF!</definedName>
    <definedName name="BOAF651A9896FF42F0BDE2EF05576DFDD4" localSheetId="4" hidden="1">#REF!</definedName>
    <definedName name="BOAF651A9896FF42F0BDE2EF05576DFDD4" hidden="1">#REF!</definedName>
    <definedName name="BOAF70E8C078C44B15848B0157DAEB030D" localSheetId="5" hidden="1">#REF!</definedName>
    <definedName name="BOAF70E8C078C44B15848B0157DAEB030D" localSheetId="4" hidden="1">#REF!</definedName>
    <definedName name="BOAF70E8C078C44B15848B0157DAEB030D" hidden="1">#REF!</definedName>
    <definedName name="BOAF8E97A633AE4FB7BA6538C295FFDAB0" localSheetId="5" hidden="1">#REF!</definedName>
    <definedName name="BOAF8E97A633AE4FB7BA6538C295FFDAB0" localSheetId="4" hidden="1">#REF!</definedName>
    <definedName name="BOAF8E97A633AE4FB7BA6538C295FFDAB0" hidden="1">#REF!</definedName>
    <definedName name="BOAFB48AC82A044805A64B6552F84ABBAA" localSheetId="5" hidden="1">#REF!</definedName>
    <definedName name="BOAFB48AC82A044805A64B6552F84ABBAA" localSheetId="4" hidden="1">#REF!</definedName>
    <definedName name="BOAFB48AC82A044805A64B6552F84ABBAA" hidden="1">#REF!</definedName>
    <definedName name="BOAFB5008126224A26BA881737AA508EB3" localSheetId="5" hidden="1">#REF!</definedName>
    <definedName name="BOAFB5008126224A26BA881737AA508EB3" localSheetId="4" hidden="1">#REF!</definedName>
    <definedName name="BOAFB5008126224A26BA881737AA508EB3" hidden="1">#REF!</definedName>
    <definedName name="BOAFBF5BC91E864459B81AE95D7785A432" localSheetId="5" hidden="1">#REF!</definedName>
    <definedName name="BOAFBF5BC91E864459B81AE95D7785A432" localSheetId="4" hidden="1">#REF!</definedName>
    <definedName name="BOAFBF5BC91E864459B81AE95D7785A432" hidden="1">#REF!</definedName>
    <definedName name="BOAFD8DF7EACA74EA2B318FDBFC14617AF" localSheetId="5" hidden="1">#REF!</definedName>
    <definedName name="BOAFD8DF7EACA74EA2B318FDBFC14617AF" localSheetId="4" hidden="1">#REF!</definedName>
    <definedName name="BOAFD8DF7EACA74EA2B318FDBFC14617AF" hidden="1">#REF!</definedName>
    <definedName name="BOAFE182F766BE4779BE06CF0DCFCE9311" localSheetId="5" hidden="1">#REF!</definedName>
    <definedName name="BOAFE182F766BE4779BE06CF0DCFCE9311" localSheetId="4" hidden="1">#REF!</definedName>
    <definedName name="BOAFE182F766BE4779BE06CF0DCFCE9311" hidden="1">#REF!</definedName>
    <definedName name="BOAFEF08D3BC8E4FA4AF0F9B54EC8311E3" localSheetId="5" hidden="1">#REF!</definedName>
    <definedName name="BOAFEF08D3BC8E4FA4AF0F9B54EC8311E3" localSheetId="4" hidden="1">#REF!</definedName>
    <definedName name="BOAFEF08D3BC8E4FA4AF0F9B54EC8311E3" hidden="1">#REF!</definedName>
    <definedName name="BOAFFA253B0A494FF99EAD581A3593F29C" localSheetId="5" hidden="1">#REF!</definedName>
    <definedName name="BOAFFA253B0A494FF99EAD581A3593F29C" localSheetId="4" hidden="1">#REF!</definedName>
    <definedName name="BOAFFA253B0A494FF99EAD581A3593F29C" hidden="1">#REF!</definedName>
    <definedName name="boâk3" localSheetId="5" hidden="1">{"'Sheet1'!$L$16"}</definedName>
    <definedName name="boâk3" hidden="1">{"'Sheet1'!$L$16"}</definedName>
    <definedName name="BOB0005FEC357741F1B08AFDCDA6737282" localSheetId="5" hidden="1">#REF!</definedName>
    <definedName name="BOB0005FEC357741F1B08AFDCDA6737282" localSheetId="4" hidden="1">#REF!</definedName>
    <definedName name="BOB0005FEC357741F1B08AFDCDA6737282" hidden="1">#REF!</definedName>
    <definedName name="BOB0049AA4CD4D4D1892427D67B519DEA4" localSheetId="5" hidden="1">#REF!</definedName>
    <definedName name="BOB0049AA4CD4D4D1892427D67B519DEA4" localSheetId="4" hidden="1">#REF!</definedName>
    <definedName name="BOB0049AA4CD4D4D1892427D67B519DEA4" hidden="1">#REF!</definedName>
    <definedName name="BOB01F42041F9B4FD590138210D0FAEC59" localSheetId="5" hidden="1">#REF!</definedName>
    <definedName name="BOB01F42041F9B4FD590138210D0FAEC59" localSheetId="4" hidden="1">#REF!</definedName>
    <definedName name="BOB01F42041F9B4FD590138210D0FAEC59" hidden="1">#REF!</definedName>
    <definedName name="BOB024884F944F4BE897DA31369F91C40B" localSheetId="5" hidden="1">#REF!</definedName>
    <definedName name="BOB024884F944F4BE897DA31369F91C40B" localSheetId="4" hidden="1">#REF!</definedName>
    <definedName name="BOB024884F944F4BE897DA31369F91C40B" hidden="1">#REF!</definedName>
    <definedName name="BOB024CCF181264ECE85BFF081215167FF" localSheetId="5" hidden="1">#REF!</definedName>
    <definedName name="BOB024CCF181264ECE85BFF081215167FF" localSheetId="4" hidden="1">#REF!</definedName>
    <definedName name="BOB024CCF181264ECE85BFF081215167FF" hidden="1">#REF!</definedName>
    <definedName name="BOB02BC9D528FA4B75B01C33BF857A715D" localSheetId="5" hidden="1">#REF!</definedName>
    <definedName name="BOB02BC9D528FA4B75B01C33BF857A715D" localSheetId="4" hidden="1">#REF!</definedName>
    <definedName name="BOB02BC9D528FA4B75B01C33BF857A715D" hidden="1">#REF!</definedName>
    <definedName name="BOB0303C1B628447BCA7FB11706C51960E" localSheetId="5" hidden="1">#REF!</definedName>
    <definedName name="BOB0303C1B628447BCA7FB11706C51960E" localSheetId="4" hidden="1">#REF!</definedName>
    <definedName name="BOB0303C1B628447BCA7FB11706C51960E" hidden="1">#REF!</definedName>
    <definedName name="BOB06879D010704034846308A026AC0104" localSheetId="5" hidden="1">#REF!</definedName>
    <definedName name="BOB06879D010704034846308A026AC0104" localSheetId="4" hidden="1">#REF!</definedName>
    <definedName name="BOB06879D010704034846308A026AC0104" hidden="1">#REF!</definedName>
    <definedName name="BOB07B7C18C6C940DCA55EFA4F331BC4D8" localSheetId="5" hidden="1">#REF!</definedName>
    <definedName name="BOB07B7C18C6C940DCA55EFA4F331BC4D8" localSheetId="4" hidden="1">#REF!</definedName>
    <definedName name="BOB07B7C18C6C940DCA55EFA4F331BC4D8" hidden="1">#REF!</definedName>
    <definedName name="BOB0A173BB0A3E41EBAA502CCDCED916FA" localSheetId="5" hidden="1">#REF!</definedName>
    <definedName name="BOB0A173BB0A3E41EBAA502CCDCED916FA" localSheetId="4" hidden="1">#REF!</definedName>
    <definedName name="BOB0A173BB0A3E41EBAA502CCDCED916FA" hidden="1">#REF!</definedName>
    <definedName name="BOB0A8006A5C3C4137AF2318AB5D1BB7FC" localSheetId="5" hidden="1">#REF!</definedName>
    <definedName name="BOB0A8006A5C3C4137AF2318AB5D1BB7FC" localSheetId="4" hidden="1">#REF!</definedName>
    <definedName name="BOB0A8006A5C3C4137AF2318AB5D1BB7FC" hidden="1">#REF!</definedName>
    <definedName name="BOB0ADE433516B4482B5672D405EDF049B" localSheetId="5" hidden="1">#REF!</definedName>
    <definedName name="BOB0ADE433516B4482B5672D405EDF049B" localSheetId="4" hidden="1">#REF!</definedName>
    <definedName name="BOB0ADE433516B4482B5672D405EDF049B" hidden="1">#REF!</definedName>
    <definedName name="BOB0B5EBB01010451C850F99AE34C5C492" localSheetId="5" hidden="1">#REF!</definedName>
    <definedName name="BOB0B5EBB01010451C850F99AE34C5C492" localSheetId="4" hidden="1">#REF!</definedName>
    <definedName name="BOB0B5EBB01010451C850F99AE34C5C492" hidden="1">#REF!</definedName>
    <definedName name="BOB0BE7D4CE6D14C9DA36D1C928B2C6AE6" localSheetId="5" hidden="1">#REF!</definedName>
    <definedName name="BOB0BE7D4CE6D14C9DA36D1C928B2C6AE6" localSheetId="4" hidden="1">#REF!</definedName>
    <definedName name="BOB0BE7D4CE6D14C9DA36D1C928B2C6AE6" hidden="1">#REF!</definedName>
    <definedName name="BOB0C47C0F6B6341EDA110D37233A5DC39" localSheetId="5" hidden="1">#REF!</definedName>
    <definedName name="BOB0C47C0F6B6341EDA110D37233A5DC39" localSheetId="4" hidden="1">#REF!</definedName>
    <definedName name="BOB0C47C0F6B6341EDA110D37233A5DC39" hidden="1">#REF!</definedName>
    <definedName name="BOB0CACCD738524BF98BF13A8D99CB826A" localSheetId="5" hidden="1">#REF!</definedName>
    <definedName name="BOB0CACCD738524BF98BF13A8D99CB826A" localSheetId="4" hidden="1">#REF!</definedName>
    <definedName name="BOB0CACCD738524BF98BF13A8D99CB826A" hidden="1">#REF!</definedName>
    <definedName name="BOB0D1157E835946EF8B49FC7A4D347D33" localSheetId="5" hidden="1">#REF!</definedName>
    <definedName name="BOB0D1157E835946EF8B49FC7A4D347D33" localSheetId="4" hidden="1">#REF!</definedName>
    <definedName name="BOB0D1157E835946EF8B49FC7A4D347D33" hidden="1">#REF!</definedName>
    <definedName name="BOB0D2AF1AC1F1427A846060FD12E3CC32" localSheetId="5" hidden="1">#REF!</definedName>
    <definedName name="BOB0D2AF1AC1F1427A846060FD12E3CC32" localSheetId="4" hidden="1">#REF!</definedName>
    <definedName name="BOB0D2AF1AC1F1427A846060FD12E3CC32" hidden="1">#REF!</definedName>
    <definedName name="BOB0DB03BB544B4DDC80F0339B570ABDFD" localSheetId="5" hidden="1">#REF!</definedName>
    <definedName name="BOB0DB03BB544B4DDC80F0339B570ABDFD" localSheetId="4" hidden="1">#REF!</definedName>
    <definedName name="BOB0DB03BB544B4DDC80F0339B570ABDFD" hidden="1">#REF!</definedName>
    <definedName name="BOB0DE2293AB3D439CABB387AA445D830E" localSheetId="5" hidden="1">#REF!</definedName>
    <definedName name="BOB0DE2293AB3D439CABB387AA445D830E" localSheetId="4" hidden="1">#REF!</definedName>
    <definedName name="BOB0DE2293AB3D439CABB387AA445D830E" hidden="1">#REF!</definedName>
    <definedName name="BOB0E665E57F50460EAFE68DA73B20B1FB" localSheetId="5" hidden="1">#REF!</definedName>
    <definedName name="BOB0E665E57F50460EAFE68DA73B20B1FB" localSheetId="4" hidden="1">#REF!</definedName>
    <definedName name="BOB0E665E57F50460EAFE68DA73B20B1FB" hidden="1">#REF!</definedName>
    <definedName name="BOB10B2889454D4065AB5DBDCE170B9FBC" localSheetId="5" hidden="1">#REF!</definedName>
    <definedName name="BOB10B2889454D4065AB5DBDCE170B9FBC" localSheetId="4" hidden="1">#REF!</definedName>
    <definedName name="BOB10B2889454D4065AB5DBDCE170B9FBC" hidden="1">#REF!</definedName>
    <definedName name="BOB11060B5867C45D4993AC9F1A7E144B0" localSheetId="5" hidden="1">#REF!</definedName>
    <definedName name="BOB11060B5867C45D4993AC9F1A7E144B0" localSheetId="4" hidden="1">#REF!</definedName>
    <definedName name="BOB11060B5867C45D4993AC9F1A7E144B0" hidden="1">#REF!</definedName>
    <definedName name="BOB118B30094824A7BB27DE65C8F1CA545" localSheetId="5" hidden="1">#REF!</definedName>
    <definedName name="BOB118B30094824A7BB27DE65C8F1CA545" localSheetId="4" hidden="1">#REF!</definedName>
    <definedName name="BOB118B30094824A7BB27DE65C8F1CA545" hidden="1">#REF!</definedName>
    <definedName name="BOB11D84AB9CB346269E0235E71A883A60" localSheetId="5" hidden="1">#REF!</definedName>
    <definedName name="BOB11D84AB9CB346269E0235E71A883A60" localSheetId="4" hidden="1">#REF!</definedName>
    <definedName name="BOB11D84AB9CB346269E0235E71A883A60" hidden="1">#REF!</definedName>
    <definedName name="BOB11E3C10088E4498AEAA83D086237A5F" localSheetId="5" hidden="1">[8]Ketqua!#REF!</definedName>
    <definedName name="BOB11E3C10088E4498AEAA83D086237A5F" localSheetId="4" hidden="1">[8]Ketqua!#REF!</definedName>
    <definedName name="BOB11E3C10088E4498AEAA83D086237A5F" hidden="1">[8]Ketqua!#REF!</definedName>
    <definedName name="BOB1378CE222264DCFA73EBB47436B5203" localSheetId="5" hidden="1">#REF!</definedName>
    <definedName name="BOB1378CE222264DCFA73EBB47436B5203" localSheetId="4" hidden="1">#REF!</definedName>
    <definedName name="BOB1378CE222264DCFA73EBB47436B5203" hidden="1">#REF!</definedName>
    <definedName name="BOB13AB377472C4EDEBB446C5D4CFD7FF3" localSheetId="5" hidden="1">#REF!</definedName>
    <definedName name="BOB13AB377472C4EDEBB446C5D4CFD7FF3" localSheetId="4" hidden="1">#REF!</definedName>
    <definedName name="BOB13AB377472C4EDEBB446C5D4CFD7FF3" hidden="1">#REF!</definedName>
    <definedName name="BOB150CA86B28B4403A5EE78CB121C47A8" localSheetId="5" hidden="1">#REF!</definedName>
    <definedName name="BOB150CA86B28B4403A5EE78CB121C47A8" localSheetId="4" hidden="1">#REF!</definedName>
    <definedName name="BOB150CA86B28B4403A5EE78CB121C47A8" hidden="1">#REF!</definedName>
    <definedName name="BOB164B6102F874C55A0CDB3820F15FD1E" localSheetId="5" hidden="1">#REF!</definedName>
    <definedName name="BOB164B6102F874C55A0CDB3820F15FD1E" localSheetId="4" hidden="1">#REF!</definedName>
    <definedName name="BOB164B6102F874C55A0CDB3820F15FD1E" hidden="1">#REF!</definedName>
    <definedName name="BOB184616FB5BC4637B82004F40B23E788" localSheetId="5" hidden="1">#REF!</definedName>
    <definedName name="BOB184616FB5BC4637B82004F40B23E788" localSheetId="4" hidden="1">#REF!</definedName>
    <definedName name="BOB184616FB5BC4637B82004F40B23E788" hidden="1">#REF!</definedName>
    <definedName name="BOB185D168B4244E8483A302F590E19A55" localSheetId="5" hidden="1">#REF!</definedName>
    <definedName name="BOB185D168B4244E8483A302F590E19A55" localSheetId="4" hidden="1">#REF!</definedName>
    <definedName name="BOB185D168B4244E8483A302F590E19A55" hidden="1">#REF!</definedName>
    <definedName name="BOB188E5D80CE54C6E9C0C0A1FA286C203" localSheetId="5" hidden="1">#REF!</definedName>
    <definedName name="BOB188E5D80CE54C6E9C0C0A1FA286C203" localSheetId="4" hidden="1">#REF!</definedName>
    <definedName name="BOB188E5D80CE54C6E9C0C0A1FA286C203" hidden="1">#REF!</definedName>
    <definedName name="BOB18CA3F64CB04767AED01AA8490DB779" localSheetId="5" hidden="1">#REF!</definedName>
    <definedName name="BOB18CA3F64CB04767AED01AA8490DB779" localSheetId="4" hidden="1">#REF!</definedName>
    <definedName name="BOB18CA3F64CB04767AED01AA8490DB779" hidden="1">#REF!</definedName>
    <definedName name="BOB192B41B51FB4D3290C8EF0B144C8A4C" localSheetId="5" hidden="1">#REF!</definedName>
    <definedName name="BOB192B41B51FB4D3290C8EF0B144C8A4C" localSheetId="4" hidden="1">#REF!</definedName>
    <definedName name="BOB192B41B51FB4D3290C8EF0B144C8A4C" hidden="1">#REF!</definedName>
    <definedName name="BOB19B4ED5A5DF4C8AAA9FAB05B282DC3E" localSheetId="5" hidden="1">#REF!</definedName>
    <definedName name="BOB19B4ED5A5DF4C8AAA9FAB05B282DC3E" localSheetId="4" hidden="1">#REF!</definedName>
    <definedName name="BOB19B4ED5A5DF4C8AAA9FAB05B282DC3E" hidden="1">#REF!</definedName>
    <definedName name="BOB1A32C6099FF4546A04BF8812180DAC5" localSheetId="5" hidden="1">#REF!</definedName>
    <definedName name="BOB1A32C6099FF4546A04BF8812180DAC5" localSheetId="4" hidden="1">#REF!</definedName>
    <definedName name="BOB1A32C6099FF4546A04BF8812180DAC5" hidden="1">#REF!</definedName>
    <definedName name="BOB1F1C272A006471A914ACD7DF91D3F84" localSheetId="5" hidden="1">[8]Ketqua!#REF!</definedName>
    <definedName name="BOB1F1C272A006471A914ACD7DF91D3F84" localSheetId="4" hidden="1">[8]Ketqua!#REF!</definedName>
    <definedName name="BOB1F1C272A006471A914ACD7DF91D3F84" hidden="1">[8]Ketqua!#REF!</definedName>
    <definedName name="BOB1F3558029C34A18BE2B422B0D9601AB" localSheetId="5" hidden="1">#REF!</definedName>
    <definedName name="BOB1F3558029C34A18BE2B422B0D9601AB" localSheetId="4" hidden="1">#REF!</definedName>
    <definedName name="BOB1F3558029C34A18BE2B422B0D9601AB" hidden="1">#REF!</definedName>
    <definedName name="BOB1FC6C03F3E749DF83826D310F4971EC" localSheetId="5" hidden="1">#REF!</definedName>
    <definedName name="BOB1FC6C03F3E749DF83826D310F4971EC" localSheetId="4" hidden="1">#REF!</definedName>
    <definedName name="BOB1FC6C03F3E749DF83826D310F4971EC" hidden="1">#REF!</definedName>
    <definedName name="BOB2121768159748418F929263EFA12598" localSheetId="5" hidden="1">#REF!</definedName>
    <definedName name="BOB2121768159748418F929263EFA12598" localSheetId="4" hidden="1">#REF!</definedName>
    <definedName name="BOB2121768159748418F929263EFA12598" hidden="1">#REF!</definedName>
    <definedName name="BOB2174B9FD1A845A0AE1CE36C64119C7B" localSheetId="5" hidden="1">#REF!</definedName>
    <definedName name="BOB2174B9FD1A845A0AE1CE36C64119C7B" localSheetId="4" hidden="1">#REF!</definedName>
    <definedName name="BOB2174B9FD1A845A0AE1CE36C64119C7B" hidden="1">#REF!</definedName>
    <definedName name="BOB2187ECA0E1B4D86BE3F24606F147AA6" localSheetId="5" hidden="1">#REF!</definedName>
    <definedName name="BOB2187ECA0E1B4D86BE3F24606F147AA6" localSheetId="4" hidden="1">#REF!</definedName>
    <definedName name="BOB2187ECA0E1B4D86BE3F24606F147AA6" hidden="1">#REF!</definedName>
    <definedName name="BOB21C3FD8E21A44B2B586FFD7C3FC4E2D" localSheetId="5" hidden="1">#REF!</definedName>
    <definedName name="BOB21C3FD8E21A44B2B586FFD7C3FC4E2D" localSheetId="4" hidden="1">#REF!</definedName>
    <definedName name="BOB21C3FD8E21A44B2B586FFD7C3FC4E2D" hidden="1">#REF!</definedName>
    <definedName name="BOB230A453DC64451DB1350892857D7E50" localSheetId="5" hidden="1">#REF!</definedName>
    <definedName name="BOB230A453DC64451DB1350892857D7E50" localSheetId="4" hidden="1">#REF!</definedName>
    <definedName name="BOB230A453DC64451DB1350892857D7E50" hidden="1">#REF!</definedName>
    <definedName name="BOB231078CC1BE4BFB9F70EDEC1BC2E95E" localSheetId="5" hidden="1">#REF!</definedName>
    <definedName name="BOB231078CC1BE4BFB9F70EDEC1BC2E95E" localSheetId="4" hidden="1">#REF!</definedName>
    <definedName name="BOB231078CC1BE4BFB9F70EDEC1BC2E95E" hidden="1">#REF!</definedName>
    <definedName name="BOB2405573CB0740B1863A54342D6FBB8F" localSheetId="5" hidden="1">#REF!</definedName>
    <definedName name="BOB2405573CB0740B1863A54342D6FBB8F" localSheetId="4" hidden="1">#REF!</definedName>
    <definedName name="BOB2405573CB0740B1863A54342D6FBB8F" hidden="1">#REF!</definedName>
    <definedName name="BOB25C2C23C245424EB9EE1D9E9F34950B" localSheetId="5" hidden="1">#REF!</definedName>
    <definedName name="BOB25C2C23C245424EB9EE1D9E9F34950B" localSheetId="4" hidden="1">#REF!</definedName>
    <definedName name="BOB25C2C23C245424EB9EE1D9E9F34950B" hidden="1">#REF!</definedName>
    <definedName name="BOB26205A33F8B495DB98591C55C49AFEB" localSheetId="5" hidden="1">#REF!</definedName>
    <definedName name="BOB26205A33F8B495DB98591C55C49AFEB" localSheetId="4" hidden="1">#REF!</definedName>
    <definedName name="BOB26205A33F8B495DB98591C55C49AFEB" hidden="1">#REF!</definedName>
    <definedName name="BOB262E38128BE44AFACB9773BC536ACC0" localSheetId="5" hidden="1">#REF!</definedName>
    <definedName name="BOB262E38128BE44AFACB9773BC536ACC0" localSheetId="4" hidden="1">#REF!</definedName>
    <definedName name="BOB262E38128BE44AFACB9773BC536ACC0" hidden="1">#REF!</definedName>
    <definedName name="BOB283D9F9D72443F7A979A2F7F8EE33AA" localSheetId="5" hidden="1">#REF!</definedName>
    <definedName name="BOB283D9F9D72443F7A979A2F7F8EE33AA" localSheetId="4" hidden="1">#REF!</definedName>
    <definedName name="BOB283D9F9D72443F7A979A2F7F8EE33AA" hidden="1">#REF!</definedName>
    <definedName name="BOB28D198A17724199854C56E873CA3CD9" localSheetId="5" hidden="1">#REF!</definedName>
    <definedName name="BOB28D198A17724199854C56E873CA3CD9" localSheetId="4" hidden="1">#REF!</definedName>
    <definedName name="BOB28D198A17724199854C56E873CA3CD9" hidden="1">#REF!</definedName>
    <definedName name="BOB2CDB6289A4B4BB4A3FAB1C2EAB572B6" localSheetId="5" hidden="1">#REF!</definedName>
    <definedName name="BOB2CDB6289A4B4BB4A3FAB1C2EAB572B6" localSheetId="4" hidden="1">#REF!</definedName>
    <definedName name="BOB2CDB6289A4B4BB4A3FAB1C2EAB572B6" hidden="1">#REF!</definedName>
    <definedName name="BOB2CFF02E995448899DD7AA9BFA754975" localSheetId="5" hidden="1">[9]xml!#REF!</definedName>
    <definedName name="BOB2CFF02E995448899DD7AA9BFA754975" localSheetId="4" hidden="1">[9]xml!#REF!</definedName>
    <definedName name="BOB2CFF02E995448899DD7AA9BFA754975" hidden="1">[9]xml!#REF!</definedName>
    <definedName name="BOB2E6C59B39DD4FDDADBB253AB1CA4A42" localSheetId="5" hidden="1">#REF!</definedName>
    <definedName name="BOB2E6C59B39DD4FDDADBB253AB1CA4A42" localSheetId="4" hidden="1">#REF!</definedName>
    <definedName name="BOB2E6C59B39DD4FDDADBB253AB1CA4A42" hidden="1">#REF!</definedName>
    <definedName name="BOB2EC1F6E53524B0FB3EAAB47B75E1A4A" localSheetId="5" hidden="1">#REF!</definedName>
    <definedName name="BOB2EC1F6E53524B0FB3EAAB47B75E1A4A" localSheetId="4" hidden="1">#REF!</definedName>
    <definedName name="BOB2EC1F6E53524B0FB3EAAB47B75E1A4A" hidden="1">#REF!</definedName>
    <definedName name="BOB2F6FFE34E634C66A9B57DE44435AB83" localSheetId="5" hidden="1">#REF!</definedName>
    <definedName name="BOB2F6FFE34E634C66A9B57DE44435AB83" localSheetId="4" hidden="1">#REF!</definedName>
    <definedName name="BOB2F6FFE34E634C66A9B57DE44435AB83" hidden="1">#REF!</definedName>
    <definedName name="BOB2FF2C05B4B24566A4378E9F6A30DAA6" localSheetId="5" hidden="1">[10]Giaitrinh!#REF!</definedName>
    <definedName name="BOB2FF2C05B4B24566A4378E9F6A30DAA6" localSheetId="4" hidden="1">[10]Giaitrinh!#REF!</definedName>
    <definedName name="BOB2FF2C05B4B24566A4378E9F6A30DAA6" hidden="1">[10]Giaitrinh!#REF!</definedName>
    <definedName name="BOB30878E62D94405B94EB42E77D410AA6" localSheetId="5" hidden="1">#REF!</definedName>
    <definedName name="BOB30878E62D94405B94EB42E77D410AA6" localSheetId="4" hidden="1">#REF!</definedName>
    <definedName name="BOB30878E62D94405B94EB42E77D410AA6" hidden="1">#REF!</definedName>
    <definedName name="BOB32873555AE143EA88E5ECB11A189316" localSheetId="5" hidden="1">#REF!</definedName>
    <definedName name="BOB32873555AE143EA88E5ECB11A189316" localSheetId="4" hidden="1">#REF!</definedName>
    <definedName name="BOB32873555AE143EA88E5ECB11A189316" hidden="1">#REF!</definedName>
    <definedName name="BOB329501850594F9189215DD4D0EF8766" localSheetId="5" hidden="1">#REF!</definedName>
    <definedName name="BOB329501850594F9189215DD4D0EF8766" localSheetId="4" hidden="1">#REF!</definedName>
    <definedName name="BOB329501850594F9189215DD4D0EF8766" hidden="1">#REF!</definedName>
    <definedName name="BOB35A440D208A4881A3ABF94FA1592708" localSheetId="5" hidden="1">#REF!</definedName>
    <definedName name="BOB35A440D208A4881A3ABF94FA1592708" localSheetId="4" hidden="1">#REF!</definedName>
    <definedName name="BOB35A440D208A4881A3ABF94FA1592708" hidden="1">#REF!</definedName>
    <definedName name="BOB38D67F23F9D4FC7BC49234B4E6C543E" localSheetId="5" hidden="1">#REF!</definedName>
    <definedName name="BOB38D67F23F9D4FC7BC49234B4E6C543E" localSheetId="4" hidden="1">#REF!</definedName>
    <definedName name="BOB38D67F23F9D4FC7BC49234B4E6C543E" hidden="1">#REF!</definedName>
    <definedName name="BOB393F60FD434431697488CF3B58AF759" localSheetId="5" hidden="1">#REF!</definedName>
    <definedName name="BOB393F60FD434431697488CF3B58AF759" localSheetId="4" hidden="1">#REF!</definedName>
    <definedName name="BOB393F60FD434431697488CF3B58AF759" hidden="1">#REF!</definedName>
    <definedName name="BOB394F8C1BC9E4FFFB00A89B6B1F07030" localSheetId="5" hidden="1">#REF!</definedName>
    <definedName name="BOB394F8C1BC9E4FFFB00A89B6B1F07030" localSheetId="4" hidden="1">#REF!</definedName>
    <definedName name="BOB394F8C1BC9E4FFFB00A89B6B1F07030" hidden="1">#REF!</definedName>
    <definedName name="BOB395CA91DEAD4CCC9061F1B642223103" localSheetId="5" hidden="1">#REF!</definedName>
    <definedName name="BOB395CA91DEAD4CCC9061F1B642223103" localSheetId="4" hidden="1">#REF!</definedName>
    <definedName name="BOB395CA91DEAD4CCC9061F1B642223103" hidden="1">#REF!</definedName>
    <definedName name="BOB3B219A51230444381894BD848BAC154" localSheetId="5" hidden="1">#REF!</definedName>
    <definedName name="BOB3B219A51230444381894BD848BAC154" localSheetId="4" hidden="1">#REF!</definedName>
    <definedName name="BOB3B219A51230444381894BD848BAC154" hidden="1">#REF!</definedName>
    <definedName name="BOB3BED51348A144A482D58659F020672D" localSheetId="5" hidden="1">#REF!</definedName>
    <definedName name="BOB3BED51348A144A482D58659F020672D" localSheetId="4" hidden="1">#REF!</definedName>
    <definedName name="BOB3BED51348A144A482D58659F020672D" hidden="1">#REF!</definedName>
    <definedName name="BOB3C5CC03F6A34326A9609245B8E768CE" localSheetId="5" hidden="1">#REF!</definedName>
    <definedName name="BOB3C5CC03F6A34326A9609245B8E768CE" localSheetId="4" hidden="1">#REF!</definedName>
    <definedName name="BOB3C5CC03F6A34326A9609245B8E768CE" hidden="1">#REF!</definedName>
    <definedName name="BOB3CE1CD35A54422E875DB187D2308B05" localSheetId="5" hidden="1">#REF!</definedName>
    <definedName name="BOB3CE1CD35A54422E875DB187D2308B05" localSheetId="4" hidden="1">#REF!</definedName>
    <definedName name="BOB3CE1CD35A54422E875DB187D2308B05" hidden="1">#REF!</definedName>
    <definedName name="BOB3E2F4C5C24F4FDB859294B731A7526D" localSheetId="5" hidden="1">#REF!</definedName>
    <definedName name="BOB3E2F4C5C24F4FDB859294B731A7526D" localSheetId="4" hidden="1">#REF!</definedName>
    <definedName name="BOB3E2F4C5C24F4FDB859294B731A7526D" hidden="1">#REF!</definedName>
    <definedName name="BOB40E52CEE8564B77A41F6A21CE7B305D" localSheetId="5" hidden="1">#REF!</definedName>
    <definedName name="BOB40E52CEE8564B77A41F6A21CE7B305D" localSheetId="4" hidden="1">#REF!</definedName>
    <definedName name="BOB40E52CEE8564B77A41F6A21CE7B305D" hidden="1">#REF!</definedName>
    <definedName name="BOB416943CDCFB4F43AA7C6819E2F9B12D" localSheetId="5" hidden="1">#REF!</definedName>
    <definedName name="BOB416943CDCFB4F43AA7C6819E2F9B12D" localSheetId="4" hidden="1">#REF!</definedName>
    <definedName name="BOB416943CDCFB4F43AA7C6819E2F9B12D" hidden="1">#REF!</definedName>
    <definedName name="BOB42CD81F746C4B4E95ACCE3D02580BE7" localSheetId="5" hidden="1">#REF!</definedName>
    <definedName name="BOB42CD81F746C4B4E95ACCE3D02580BE7" localSheetId="4" hidden="1">#REF!</definedName>
    <definedName name="BOB42CD81F746C4B4E95ACCE3D02580BE7" hidden="1">#REF!</definedName>
    <definedName name="BOB43E8F503CCB4AF8BF46E83C4606A14A" localSheetId="5" hidden="1">#REF!</definedName>
    <definedName name="BOB43E8F503CCB4AF8BF46E83C4606A14A" localSheetId="4" hidden="1">#REF!</definedName>
    <definedName name="BOB43E8F503CCB4AF8BF46E83C4606A14A" hidden="1">#REF!</definedName>
    <definedName name="BOB43F86CF00F74F48B06EECB2304B477D" localSheetId="5" hidden="1">#REF!</definedName>
    <definedName name="BOB43F86CF00F74F48B06EECB2304B477D" localSheetId="4" hidden="1">#REF!</definedName>
    <definedName name="BOB43F86CF00F74F48B06EECB2304B477D" hidden="1">#REF!</definedName>
    <definedName name="BOB445E9AD75E847939A2B1557BF5971F9" localSheetId="5" hidden="1">#REF!</definedName>
    <definedName name="BOB445E9AD75E847939A2B1557BF5971F9" localSheetId="4" hidden="1">#REF!</definedName>
    <definedName name="BOB445E9AD75E847939A2B1557BF5971F9" hidden="1">#REF!</definedName>
    <definedName name="BOB44D38CF9AD74198A7DF868ABCE46418" localSheetId="5" hidden="1">#REF!</definedName>
    <definedName name="BOB44D38CF9AD74198A7DF868ABCE46418" localSheetId="4" hidden="1">#REF!</definedName>
    <definedName name="BOB44D38CF9AD74198A7DF868ABCE46418" hidden="1">#REF!</definedName>
    <definedName name="BOB45883938D764C47AD4E572DD596ECB1" localSheetId="5" hidden="1">#REF!</definedName>
    <definedName name="BOB45883938D764C47AD4E572DD596ECB1" localSheetId="4" hidden="1">#REF!</definedName>
    <definedName name="BOB45883938D764C47AD4E572DD596ECB1" hidden="1">#REF!</definedName>
    <definedName name="BOB479A46B5B804011BD5757EB99D00230" localSheetId="5" hidden="1">#REF!</definedName>
    <definedName name="BOB479A46B5B804011BD5757EB99D00230" localSheetId="4" hidden="1">#REF!</definedName>
    <definedName name="BOB479A46B5B804011BD5757EB99D00230" hidden="1">#REF!</definedName>
    <definedName name="BOB47EC867FA694A8EA6C1398390EEDAF4" localSheetId="5" hidden="1">#REF!</definedName>
    <definedName name="BOB47EC867FA694A8EA6C1398390EEDAF4" localSheetId="4" hidden="1">#REF!</definedName>
    <definedName name="BOB47EC867FA694A8EA6C1398390EEDAF4" hidden="1">#REF!</definedName>
    <definedName name="BOB47FC43118E146BDB3CAAF1100AE4BA9" localSheetId="5" hidden="1">#REF!</definedName>
    <definedName name="BOB47FC43118E146BDB3CAAF1100AE4BA9" localSheetId="4" hidden="1">#REF!</definedName>
    <definedName name="BOB47FC43118E146BDB3CAAF1100AE4BA9" hidden="1">#REF!</definedName>
    <definedName name="BOB495CE962C54487E97B309BB06596846" localSheetId="5" hidden="1">#REF!</definedName>
    <definedName name="BOB495CE962C54487E97B309BB06596846" localSheetId="4" hidden="1">#REF!</definedName>
    <definedName name="BOB495CE962C54487E97B309BB06596846" hidden="1">#REF!</definedName>
    <definedName name="BOB499772055A24A87B84BB365CB71EF04" localSheetId="5" hidden="1">#REF!</definedName>
    <definedName name="BOB499772055A24A87B84BB365CB71EF04" localSheetId="4" hidden="1">#REF!</definedName>
    <definedName name="BOB499772055A24A87B84BB365CB71EF04" hidden="1">#REF!</definedName>
    <definedName name="BOB49D75FC4F944B8BA43274A1AC9F7C6C" localSheetId="5" hidden="1">#REF!</definedName>
    <definedName name="BOB49D75FC4F944B8BA43274A1AC9F7C6C" localSheetId="4" hidden="1">#REF!</definedName>
    <definedName name="BOB49D75FC4F944B8BA43274A1AC9F7C6C" hidden="1">#REF!</definedName>
    <definedName name="BOB4A5DEAD9211473FB9CAA0729DF86EC7" localSheetId="5" hidden="1">#REF!</definedName>
    <definedName name="BOB4A5DEAD9211473FB9CAA0729DF86EC7" localSheetId="4" hidden="1">#REF!</definedName>
    <definedName name="BOB4A5DEAD9211473FB9CAA0729DF86EC7" hidden="1">#REF!</definedName>
    <definedName name="BOB4A87CDC6FDE4A35B1775778E7BB3283" localSheetId="5" hidden="1">#REF!</definedName>
    <definedName name="BOB4A87CDC6FDE4A35B1775778E7BB3283" localSheetId="4" hidden="1">#REF!</definedName>
    <definedName name="BOB4A87CDC6FDE4A35B1775778E7BB3283" hidden="1">#REF!</definedName>
    <definedName name="BOB4AC7EF692F84E2DA30ABC01858F46BF" localSheetId="5" hidden="1">#REF!</definedName>
    <definedName name="BOB4AC7EF692F84E2DA30ABC01858F46BF" localSheetId="4" hidden="1">#REF!</definedName>
    <definedName name="BOB4AC7EF692F84E2DA30ABC01858F46BF" hidden="1">#REF!</definedName>
    <definedName name="BOB4D58F6CEA4F46F39E33BABEF09100B9" localSheetId="5" hidden="1">#REF!</definedName>
    <definedName name="BOB4D58F6CEA4F46F39E33BABEF09100B9" localSheetId="4" hidden="1">#REF!</definedName>
    <definedName name="BOB4D58F6CEA4F46F39E33BABEF09100B9" hidden="1">#REF!</definedName>
    <definedName name="BOB4E2CA0EE6E74647B60DA3564245A717" localSheetId="5" hidden="1">#REF!</definedName>
    <definedName name="BOB4E2CA0EE6E74647B60DA3564245A717" localSheetId="4" hidden="1">#REF!</definedName>
    <definedName name="BOB4E2CA0EE6E74647B60DA3564245A717" hidden="1">#REF!</definedName>
    <definedName name="BOB4F909951281411BA3D0308FE1DB1279" localSheetId="5" hidden="1">#REF!</definedName>
    <definedName name="BOB4F909951281411BA3D0308FE1DB1279" localSheetId="4" hidden="1">#REF!</definedName>
    <definedName name="BOB4F909951281411BA3D0308FE1DB1279" hidden="1">#REF!</definedName>
    <definedName name="BOB50BF41DCD164684B1F2B21C949F656F" localSheetId="5" hidden="1">#REF!</definedName>
    <definedName name="BOB50BF41DCD164684B1F2B21C949F656F" localSheetId="4" hidden="1">#REF!</definedName>
    <definedName name="BOB50BF41DCD164684B1F2B21C949F656F" hidden="1">#REF!</definedName>
    <definedName name="BOB525C53518AB4A02BE25D4B41ACF2016" localSheetId="5" hidden="1">#REF!</definedName>
    <definedName name="BOB525C53518AB4A02BE25D4B41ACF2016" localSheetId="4" hidden="1">#REF!</definedName>
    <definedName name="BOB525C53518AB4A02BE25D4B41ACF2016" hidden="1">#REF!</definedName>
    <definedName name="BOB53972A3FF444E36B5C5A6F9314FEF44" localSheetId="5" hidden="1">#REF!</definedName>
    <definedName name="BOB53972A3FF444E36B5C5A6F9314FEF44" localSheetId="4" hidden="1">#REF!</definedName>
    <definedName name="BOB53972A3FF444E36B5C5A6F9314FEF44" hidden="1">#REF!</definedName>
    <definedName name="BOB53F19375DA7437B9A71EF65654A8304" localSheetId="5" hidden="1">#REF!</definedName>
    <definedName name="BOB53F19375DA7437B9A71EF65654A8304" localSheetId="4" hidden="1">#REF!</definedName>
    <definedName name="BOB53F19375DA7437B9A71EF65654A8304" hidden="1">#REF!</definedName>
    <definedName name="BOB546E34B99724FD190B40D9FA545C0A1" localSheetId="5" hidden="1">#REF!</definedName>
    <definedName name="BOB546E34B99724FD190B40D9FA545C0A1" localSheetId="4" hidden="1">#REF!</definedName>
    <definedName name="BOB546E34B99724FD190B40D9FA545C0A1" hidden="1">#REF!</definedName>
    <definedName name="BOB56475FD822948B7A28C547B153EB0B6" localSheetId="5" hidden="1">#REF!</definedName>
    <definedName name="BOB56475FD822948B7A28C547B153EB0B6" localSheetId="4" hidden="1">#REF!</definedName>
    <definedName name="BOB56475FD822948B7A28C547B153EB0B6" hidden="1">#REF!</definedName>
    <definedName name="BOB57709B4B68746E7B7B36AE6CD17CA91" localSheetId="5" hidden="1">#REF!</definedName>
    <definedName name="BOB57709B4B68746E7B7B36AE6CD17CA91" localSheetId="4" hidden="1">#REF!</definedName>
    <definedName name="BOB57709B4B68746E7B7B36AE6CD17CA91" hidden="1">#REF!</definedName>
    <definedName name="BOB5800D5CE2E347D5B60A49B83A20920C" localSheetId="5" hidden="1">#REF!</definedName>
    <definedName name="BOB5800D5CE2E347D5B60A49B83A20920C" localSheetId="4" hidden="1">#REF!</definedName>
    <definedName name="BOB5800D5CE2E347D5B60A49B83A20920C" hidden="1">#REF!</definedName>
    <definedName name="BOB586C45A216D499AB66025CE7A6B7F8A" localSheetId="5" hidden="1">#REF!</definedName>
    <definedName name="BOB586C45A216D499AB66025CE7A6B7F8A" localSheetId="4" hidden="1">#REF!</definedName>
    <definedName name="BOB586C45A216D499AB66025CE7A6B7F8A" hidden="1">#REF!</definedName>
    <definedName name="BOB58C2859469F4F7E8180DA5462279541" localSheetId="5" hidden="1">#REF!</definedName>
    <definedName name="BOB58C2859469F4F7E8180DA5462279541" localSheetId="4" hidden="1">#REF!</definedName>
    <definedName name="BOB58C2859469F4F7E8180DA5462279541" hidden="1">#REF!</definedName>
    <definedName name="BOB596E9268DED478AB9C99865ADF4A688" localSheetId="5" hidden="1">#REF!</definedName>
    <definedName name="BOB596E9268DED478AB9C99865ADF4A688" localSheetId="4" hidden="1">#REF!</definedName>
    <definedName name="BOB596E9268DED478AB9C99865ADF4A688" hidden="1">#REF!</definedName>
    <definedName name="BOB599A09F8E8C43EDA96DE5174F3C32D0" localSheetId="5" hidden="1">#REF!</definedName>
    <definedName name="BOB599A09F8E8C43EDA96DE5174F3C32D0" localSheetId="4" hidden="1">#REF!</definedName>
    <definedName name="BOB599A09F8E8C43EDA96DE5174F3C32D0" hidden="1">#REF!</definedName>
    <definedName name="BOB5CF8FE1F8DB4D92A2D9F21738C1DD7B" localSheetId="5" hidden="1">#REF!</definedName>
    <definedName name="BOB5CF8FE1F8DB4D92A2D9F21738C1DD7B" localSheetId="4" hidden="1">#REF!</definedName>
    <definedName name="BOB5CF8FE1F8DB4D92A2D9F21738C1DD7B" hidden="1">#REF!</definedName>
    <definedName name="BOB5D1339BC11C47F9996A96FA13719AC5" localSheetId="5" hidden="1">#REF!</definedName>
    <definedName name="BOB5D1339BC11C47F9996A96FA13719AC5" localSheetId="4" hidden="1">#REF!</definedName>
    <definedName name="BOB5D1339BC11C47F9996A96FA13719AC5" hidden="1">#REF!</definedName>
    <definedName name="BOB5D13E5D44334A739359F65EDFA9ADB4" localSheetId="5" hidden="1">#REF!</definedName>
    <definedName name="BOB5D13E5D44334A739359F65EDFA9ADB4" localSheetId="4" hidden="1">#REF!</definedName>
    <definedName name="BOB5D13E5D44334A739359F65EDFA9ADB4" hidden="1">#REF!</definedName>
    <definedName name="BOB5D16031AAE94686A01B98E3F1B32BB1" localSheetId="5" hidden="1">[8]Ketqua!#REF!</definedName>
    <definedName name="BOB5D16031AAE94686A01B98E3F1B32BB1" localSheetId="4" hidden="1">[8]Ketqua!#REF!</definedName>
    <definedName name="BOB5D16031AAE94686A01B98E3F1B32BB1" hidden="1">[8]Ketqua!#REF!</definedName>
    <definedName name="BOB5E7D5E3D37A45A2B0423392CFC0180B" localSheetId="5" hidden="1">#REF!</definedName>
    <definedName name="BOB5E7D5E3D37A45A2B0423392CFC0180B" localSheetId="4" hidden="1">#REF!</definedName>
    <definedName name="BOB5E7D5E3D37A45A2B0423392CFC0180B" hidden="1">#REF!</definedName>
    <definedName name="BOB61F1D7767114687812A69756748869E" localSheetId="5" hidden="1">[7]lailo!#REF!</definedName>
    <definedName name="BOB61F1D7767114687812A69756748869E" localSheetId="4" hidden="1">[7]lailo!#REF!</definedName>
    <definedName name="BOB61F1D7767114687812A69756748869E" hidden="1">[7]lailo!#REF!</definedName>
    <definedName name="BOB63700DC41E8405192EC6B4CED6A1B62" hidden="1">[8]Ketqua!$I$8:$AJ$23</definedName>
    <definedName name="BOB664A434F7C242089CB97CD90496E73A" localSheetId="5" hidden="1">#REF!</definedName>
    <definedName name="BOB664A434F7C242089CB97CD90496E73A" localSheetId="4" hidden="1">#REF!</definedName>
    <definedName name="BOB664A434F7C242089CB97CD90496E73A" hidden="1">#REF!</definedName>
    <definedName name="BOB666B5A1CA664A37B71F765D2CEA59FD" localSheetId="5" hidden="1">#REF!</definedName>
    <definedName name="BOB666B5A1CA664A37B71F765D2CEA59FD" localSheetId="4" hidden="1">#REF!</definedName>
    <definedName name="BOB666B5A1CA664A37B71F765D2CEA59FD" hidden="1">#REF!</definedName>
    <definedName name="BOB666F4C81F064229824D71C1ACDD7D25" localSheetId="5" hidden="1">#REF!</definedName>
    <definedName name="BOB666F4C81F064229824D71C1ACDD7D25" localSheetId="4" hidden="1">#REF!</definedName>
    <definedName name="BOB666F4C81F064229824D71C1ACDD7D25" hidden="1">#REF!</definedName>
    <definedName name="BOB6711245BFC04DC491D154B426C58F12" localSheetId="5" hidden="1">#REF!</definedName>
    <definedName name="BOB6711245BFC04DC491D154B426C58F12" localSheetId="4" hidden="1">#REF!</definedName>
    <definedName name="BOB6711245BFC04DC491D154B426C58F12" hidden="1">#REF!</definedName>
    <definedName name="BOB67CDFE7D8564CF2B432FB362DF5E4EC" localSheetId="5" hidden="1">#REF!</definedName>
    <definedName name="BOB67CDFE7D8564CF2B432FB362DF5E4EC" localSheetId="4" hidden="1">#REF!</definedName>
    <definedName name="BOB67CDFE7D8564CF2B432FB362DF5E4EC" hidden="1">#REF!</definedName>
    <definedName name="BOB6847AB6F9074269B19E5A286DD0E87D" localSheetId="5" hidden="1">#REF!</definedName>
    <definedName name="BOB6847AB6F9074269B19E5A286DD0E87D" localSheetId="4" hidden="1">#REF!</definedName>
    <definedName name="BOB6847AB6F9074269B19E5A286DD0E87D" hidden="1">#REF!</definedName>
    <definedName name="BOB6870DB4AF074130A54E1277C2C63A76" localSheetId="5" hidden="1">#REF!</definedName>
    <definedName name="BOB6870DB4AF074130A54E1277C2C63A76" localSheetId="4" hidden="1">#REF!</definedName>
    <definedName name="BOB6870DB4AF074130A54E1277C2C63A76" hidden="1">#REF!</definedName>
    <definedName name="BOB69A54AB6B0843AA8F5A296614E69E51" localSheetId="5" hidden="1">#REF!</definedName>
    <definedName name="BOB69A54AB6B0843AA8F5A296614E69E51" localSheetId="4" hidden="1">#REF!</definedName>
    <definedName name="BOB69A54AB6B0843AA8F5A296614E69E51" hidden="1">#REF!</definedName>
    <definedName name="BOB6A0A16FDDBC445698D5A7013BFF4FAD" localSheetId="5" hidden="1">#REF!</definedName>
    <definedName name="BOB6A0A16FDDBC445698D5A7013BFF4FAD" localSheetId="4" hidden="1">#REF!</definedName>
    <definedName name="BOB6A0A16FDDBC445698D5A7013BFF4FAD" hidden="1">#REF!</definedName>
    <definedName name="BOB6A457D7367441AF833D44B69FA81AB6" localSheetId="5" hidden="1">#REF!</definedName>
    <definedName name="BOB6A457D7367441AF833D44B69FA81AB6" localSheetId="4" hidden="1">#REF!</definedName>
    <definedName name="BOB6A457D7367441AF833D44B69FA81AB6" hidden="1">#REF!</definedName>
    <definedName name="BOB6BE203896AE4B5F9E9159DF242E4376" localSheetId="5" hidden="1">#REF!</definedName>
    <definedName name="BOB6BE203896AE4B5F9E9159DF242E4376" localSheetId="4" hidden="1">#REF!</definedName>
    <definedName name="BOB6BE203896AE4B5F9E9159DF242E4376" hidden="1">#REF!</definedName>
    <definedName name="BOB6D129999EB44AFD9CF95BD75D6F32D5" localSheetId="5" hidden="1">#REF!</definedName>
    <definedName name="BOB6D129999EB44AFD9CF95BD75D6F32D5" localSheetId="4" hidden="1">#REF!</definedName>
    <definedName name="BOB6D129999EB44AFD9CF95BD75D6F32D5" hidden="1">#REF!</definedName>
    <definedName name="BOB6D73283C9BC4F85BC7AEA002E570DEE" localSheetId="5" hidden="1">#REF!</definedName>
    <definedName name="BOB6D73283C9BC4F85BC7AEA002E570DEE" localSheetId="4" hidden="1">#REF!</definedName>
    <definedName name="BOB6D73283C9BC4F85BC7AEA002E570DEE" hidden="1">#REF!</definedName>
    <definedName name="BOB6DE128EBDC34CDBA0BD884A6F7C123F" localSheetId="5" hidden="1">#REF!</definedName>
    <definedName name="BOB6DE128EBDC34CDBA0BD884A6F7C123F" localSheetId="4" hidden="1">#REF!</definedName>
    <definedName name="BOB6DE128EBDC34CDBA0BD884A6F7C123F" hidden="1">#REF!</definedName>
    <definedName name="BOB6E0FE0BC9F54AA39091C68F180696BA" localSheetId="5" hidden="1">#REF!</definedName>
    <definedName name="BOB6E0FE0BC9F54AA39091C68F180696BA" localSheetId="4" hidden="1">#REF!</definedName>
    <definedName name="BOB6E0FE0BC9F54AA39091C68F180696BA" hidden="1">#REF!</definedName>
    <definedName name="BOB6E1122AFC4141AA87003E5075AEB9A7" localSheetId="5" hidden="1">#REF!</definedName>
    <definedName name="BOB6E1122AFC4141AA87003E5075AEB9A7" localSheetId="4" hidden="1">#REF!</definedName>
    <definedName name="BOB6E1122AFC4141AA87003E5075AEB9A7" hidden="1">#REF!</definedName>
    <definedName name="BOB6EFB2EA5A0B4E55BF5DE792AE3FBB08" localSheetId="5" hidden="1">#REF!</definedName>
    <definedName name="BOB6EFB2EA5A0B4E55BF5DE792AE3FBB08" localSheetId="4" hidden="1">#REF!</definedName>
    <definedName name="BOB6EFB2EA5A0B4E55BF5DE792AE3FBB08" hidden="1">#REF!</definedName>
    <definedName name="BOB6FE0DC7564F4CF19EFE12E8331481FA" localSheetId="5" hidden="1">#REF!</definedName>
    <definedName name="BOB6FE0DC7564F4CF19EFE12E8331481FA" localSheetId="4" hidden="1">#REF!</definedName>
    <definedName name="BOB6FE0DC7564F4CF19EFE12E8331481FA" hidden="1">#REF!</definedName>
    <definedName name="BOB708B38059ED4CA8BCD9FA179C36EB24" localSheetId="5" hidden="1">#REF!</definedName>
    <definedName name="BOB708B38059ED4CA8BCD9FA179C36EB24" localSheetId="4" hidden="1">#REF!</definedName>
    <definedName name="BOB708B38059ED4CA8BCD9FA179C36EB24" hidden="1">#REF!</definedName>
    <definedName name="BOB7145384A50344518D8FD9948CD1C4E7" localSheetId="5" hidden="1">#REF!</definedName>
    <definedName name="BOB7145384A50344518D8FD9948CD1C4E7" localSheetId="4" hidden="1">#REF!</definedName>
    <definedName name="BOB7145384A50344518D8FD9948CD1C4E7" hidden="1">#REF!</definedName>
    <definedName name="BOB72930F608574554957BB4C2630750F3" localSheetId="5" hidden="1">#REF!</definedName>
    <definedName name="BOB72930F608574554957BB4C2630750F3" localSheetId="4" hidden="1">#REF!</definedName>
    <definedName name="BOB72930F608574554957BB4C2630750F3" hidden="1">#REF!</definedName>
    <definedName name="BOB72AA02BF9A34E5883D50DF5166AA840" localSheetId="5" hidden="1">#REF!</definedName>
    <definedName name="BOB72AA02BF9A34E5883D50DF5166AA840" localSheetId="4" hidden="1">#REF!</definedName>
    <definedName name="BOB72AA02BF9A34E5883D50DF5166AA840" hidden="1">#REF!</definedName>
    <definedName name="BOB73244D126D84E6FBBB6019A4C10FE40" localSheetId="5" hidden="1">#REF!</definedName>
    <definedName name="BOB73244D126D84E6FBBB6019A4C10FE40" localSheetId="4" hidden="1">#REF!</definedName>
    <definedName name="BOB73244D126D84E6FBBB6019A4C10FE40" hidden="1">#REF!</definedName>
    <definedName name="BOB738380A5C4F44718CE18A24DB8669B8" localSheetId="5" hidden="1">#REF!</definedName>
    <definedName name="BOB738380A5C4F44718CE18A24DB8669B8" localSheetId="4" hidden="1">#REF!</definedName>
    <definedName name="BOB738380A5C4F44718CE18A24DB8669B8" hidden="1">#REF!</definedName>
    <definedName name="BOB740B50D59FA4EB29F2E8DBE8D7A2963" localSheetId="5" hidden="1">[9]xml!#REF!</definedName>
    <definedName name="BOB740B50D59FA4EB29F2E8DBE8D7A2963" localSheetId="4" hidden="1">[9]xml!#REF!</definedName>
    <definedName name="BOB740B50D59FA4EB29F2E8DBE8D7A2963" hidden="1">[9]xml!#REF!</definedName>
    <definedName name="BOB745ABB0C9DD4252A2C7D60FF6CA5E11" localSheetId="5" hidden="1">#REF!</definedName>
    <definedName name="BOB745ABB0C9DD4252A2C7D60FF6CA5E11" localSheetId="4" hidden="1">#REF!</definedName>
    <definedName name="BOB745ABB0C9DD4252A2C7D60FF6CA5E11" hidden="1">#REF!</definedName>
    <definedName name="BOB75514712DB1432096F03400D2F79140" localSheetId="5" hidden="1">#REF!</definedName>
    <definedName name="BOB75514712DB1432096F03400D2F79140" localSheetId="4" hidden="1">#REF!</definedName>
    <definedName name="BOB75514712DB1432096F03400D2F79140" hidden="1">#REF!</definedName>
    <definedName name="BOB76C63B311474B4E869F1347F0606665" localSheetId="5" hidden="1">#REF!</definedName>
    <definedName name="BOB76C63B311474B4E869F1347F0606665" localSheetId="4" hidden="1">#REF!</definedName>
    <definedName name="BOB76C63B311474B4E869F1347F0606665" hidden="1">#REF!</definedName>
    <definedName name="BOB7E638B66C0D4AABBFDB7133545B74DA" localSheetId="5" hidden="1">#REF!</definedName>
    <definedName name="BOB7E638B66C0D4AABBFDB7133545B74DA" localSheetId="4" hidden="1">#REF!</definedName>
    <definedName name="BOB7E638B66C0D4AABBFDB7133545B74DA" hidden="1">#REF!</definedName>
    <definedName name="BOB7EAC19C0E064061BCE69150006E856F" localSheetId="5" hidden="1">#REF!</definedName>
    <definedName name="BOB7EAC19C0E064061BCE69150006E856F" localSheetId="4" hidden="1">#REF!</definedName>
    <definedName name="BOB7EAC19C0E064061BCE69150006E856F" hidden="1">#REF!</definedName>
    <definedName name="BOB81DDCB9D6F440109D88A0156DC0D5C7" localSheetId="5" hidden="1">#REF!</definedName>
    <definedName name="BOB81DDCB9D6F440109D88A0156DC0D5C7" localSheetId="4" hidden="1">#REF!</definedName>
    <definedName name="BOB81DDCB9D6F440109D88A0156DC0D5C7" hidden="1">#REF!</definedName>
    <definedName name="BOB82684B002CF467A9A281F1253F57824" localSheetId="5" hidden="1">#REF!</definedName>
    <definedName name="BOB82684B002CF467A9A281F1253F57824" localSheetId="4" hidden="1">#REF!</definedName>
    <definedName name="BOB82684B002CF467A9A281F1253F57824" hidden="1">#REF!</definedName>
    <definedName name="BOB832FDF088D846C4895BA05113DA0AD7" localSheetId="5" hidden="1">#REF!</definedName>
    <definedName name="BOB832FDF088D846C4895BA05113DA0AD7" localSheetId="4" hidden="1">#REF!</definedName>
    <definedName name="BOB832FDF088D846C4895BA05113DA0AD7" hidden="1">#REF!</definedName>
    <definedName name="BOB85A3D6CAB4F43F29017967DC75100EA" localSheetId="5" hidden="1">#REF!</definedName>
    <definedName name="BOB85A3D6CAB4F43F29017967DC75100EA" localSheetId="4" hidden="1">#REF!</definedName>
    <definedName name="BOB85A3D6CAB4F43F29017967DC75100EA" hidden="1">#REF!</definedName>
    <definedName name="BOB86C8D0306854CD4B0F867E8A8158DAB" localSheetId="5" hidden="1">#REF!</definedName>
    <definedName name="BOB86C8D0306854CD4B0F867E8A8158DAB" localSheetId="4" hidden="1">#REF!</definedName>
    <definedName name="BOB86C8D0306854CD4B0F867E8A8158DAB" hidden="1">#REF!</definedName>
    <definedName name="BOB87165E3118C47D38853C793508C9940" localSheetId="5" hidden="1">#REF!</definedName>
    <definedName name="BOB87165E3118C47D38853C793508C9940" localSheetId="4" hidden="1">#REF!</definedName>
    <definedName name="BOB87165E3118C47D38853C793508C9940" hidden="1">#REF!</definedName>
    <definedName name="BOB883505093734FB1AB2DD45A35A46C3D" localSheetId="5" hidden="1">#REF!</definedName>
    <definedName name="BOB883505093734FB1AB2DD45A35A46C3D" localSheetId="4" hidden="1">#REF!</definedName>
    <definedName name="BOB883505093734FB1AB2DD45A35A46C3D" hidden="1">#REF!</definedName>
    <definedName name="BOB8A2BD8F28DA4E0889FED3D46EF7038E" localSheetId="5" hidden="1">#REF!</definedName>
    <definedName name="BOB8A2BD8F28DA4E0889FED3D46EF7038E" localSheetId="4" hidden="1">#REF!</definedName>
    <definedName name="BOB8A2BD8F28DA4E0889FED3D46EF7038E" hidden="1">#REF!</definedName>
    <definedName name="BOB8C1A9F1BC7A40A998408F04E6A4901D" localSheetId="5" hidden="1">#REF!</definedName>
    <definedName name="BOB8C1A9F1BC7A40A998408F04E6A4901D" localSheetId="4" hidden="1">#REF!</definedName>
    <definedName name="BOB8C1A9F1BC7A40A998408F04E6A4901D" hidden="1">#REF!</definedName>
    <definedName name="BOB8D84C69820C440982813CB320AAA6A8" localSheetId="5" hidden="1">#REF!</definedName>
    <definedName name="BOB8D84C69820C440982813CB320AAA6A8" localSheetId="4" hidden="1">#REF!</definedName>
    <definedName name="BOB8D84C69820C440982813CB320AAA6A8" hidden="1">#REF!</definedName>
    <definedName name="BOB8E45A4C043B45E088448297898BB517" localSheetId="5" hidden="1">#REF!</definedName>
    <definedName name="BOB8E45A4C043B45E088448297898BB517" localSheetId="4" hidden="1">#REF!</definedName>
    <definedName name="BOB8E45A4C043B45E088448297898BB517" hidden="1">#REF!</definedName>
    <definedName name="BOB8EB3415EB7541BDBF2E4458A48CD21E" localSheetId="5" hidden="1">#REF!</definedName>
    <definedName name="BOB8EB3415EB7541BDBF2E4458A48CD21E" localSheetId="4" hidden="1">#REF!</definedName>
    <definedName name="BOB8EB3415EB7541BDBF2E4458A48CD21E" hidden="1">#REF!</definedName>
    <definedName name="BOB8FA4CCA1A4B448494A6D5FBD7007F00" localSheetId="5" hidden="1">#REF!</definedName>
    <definedName name="BOB8FA4CCA1A4B448494A6D5FBD7007F00" localSheetId="4" hidden="1">#REF!</definedName>
    <definedName name="BOB8FA4CCA1A4B448494A6D5FBD7007F00" hidden="1">#REF!</definedName>
    <definedName name="BOB90EAF3FF0A343A7BFDA7E349CB8A6C8" localSheetId="5" hidden="1">#REF!</definedName>
    <definedName name="BOB90EAF3FF0A343A7BFDA7E349CB8A6C8" localSheetId="4" hidden="1">#REF!</definedName>
    <definedName name="BOB90EAF3FF0A343A7BFDA7E349CB8A6C8" hidden="1">#REF!</definedName>
    <definedName name="BOB916E67475FD40C0B6F612D224A65F1D" localSheetId="5" hidden="1">#REF!</definedName>
    <definedName name="BOB916E67475FD40C0B6F612D224A65F1D" localSheetId="4" hidden="1">#REF!</definedName>
    <definedName name="BOB916E67475FD40C0B6F612D224A65F1D" hidden="1">#REF!</definedName>
    <definedName name="BOB916F1019B8D468080C4FD3EF654B3C3" localSheetId="5" hidden="1">#REF!</definedName>
    <definedName name="BOB916F1019B8D468080C4FD3EF654B3C3" localSheetId="4" hidden="1">#REF!</definedName>
    <definedName name="BOB916F1019B8D468080C4FD3EF654B3C3" hidden="1">#REF!</definedName>
    <definedName name="BOB92068EA4611437D9E749EF243B324A3" localSheetId="5" hidden="1">#REF!</definedName>
    <definedName name="BOB92068EA4611437D9E749EF243B324A3" localSheetId="4" hidden="1">#REF!</definedName>
    <definedName name="BOB92068EA4611437D9E749EF243B324A3" hidden="1">#REF!</definedName>
    <definedName name="BOB921C37B1DC4491B8A8F9B327DF07744" localSheetId="5" hidden="1">#REF!</definedName>
    <definedName name="BOB921C37B1DC4491B8A8F9B327DF07744" localSheetId="4" hidden="1">#REF!</definedName>
    <definedName name="BOB921C37B1DC4491B8A8F9B327DF07744" hidden="1">#REF!</definedName>
    <definedName name="BOB924A6DB1ECD4BDD99284D82B8B15702" localSheetId="5" hidden="1">#REF!</definedName>
    <definedName name="BOB924A6DB1ECD4BDD99284D82B8B15702" localSheetId="4" hidden="1">#REF!</definedName>
    <definedName name="BOB924A6DB1ECD4BDD99284D82B8B15702" hidden="1">#REF!</definedName>
    <definedName name="BOB927AF17B5D64907A58FBD85C928A1C6" localSheetId="5" hidden="1">#REF!</definedName>
    <definedName name="BOB927AF17B5D64907A58FBD85C928A1C6" localSheetId="4" hidden="1">#REF!</definedName>
    <definedName name="BOB927AF17B5D64907A58FBD85C928A1C6" hidden="1">#REF!</definedName>
    <definedName name="BOB92EC7BA00894C32BC9F274B21BD4F7B" localSheetId="5" hidden="1">#REF!</definedName>
    <definedName name="BOB92EC7BA00894C32BC9F274B21BD4F7B" localSheetId="4" hidden="1">#REF!</definedName>
    <definedName name="BOB92EC7BA00894C32BC9F274B21BD4F7B" hidden="1">#REF!</definedName>
    <definedName name="BOB92F720C9B1B450B9A4805D33E47FC3A" localSheetId="5" hidden="1">#REF!</definedName>
    <definedName name="BOB92F720C9B1B450B9A4805D33E47FC3A" localSheetId="4" hidden="1">#REF!</definedName>
    <definedName name="BOB92F720C9B1B450B9A4805D33E47FC3A" hidden="1">#REF!</definedName>
    <definedName name="BOB9304C7E29B04D9C9C77B24A55EEE53F" localSheetId="5" hidden="1">#REF!</definedName>
    <definedName name="BOB9304C7E29B04D9C9C77B24A55EEE53F" localSheetId="4" hidden="1">#REF!</definedName>
    <definedName name="BOB9304C7E29B04D9C9C77B24A55EEE53F" hidden="1">#REF!</definedName>
    <definedName name="BOB933B109328E43B08122C926D1EEDE14" localSheetId="5" hidden="1">#REF!</definedName>
    <definedName name="BOB933B109328E43B08122C926D1EEDE14" localSheetId="4" hidden="1">#REF!</definedName>
    <definedName name="BOB933B109328E43B08122C926D1EEDE14" hidden="1">#REF!</definedName>
    <definedName name="BOB937C5BB51C5427E89AFBEB9DD4D3D62" localSheetId="5" hidden="1">#REF!</definedName>
    <definedName name="BOB937C5BB51C5427E89AFBEB9DD4D3D62" localSheetId="4" hidden="1">#REF!</definedName>
    <definedName name="BOB937C5BB51C5427E89AFBEB9DD4D3D62" hidden="1">#REF!</definedName>
    <definedName name="BOB94BA94A44584A5AB62D61925DD38822" localSheetId="5" hidden="1">#REF!</definedName>
    <definedName name="BOB94BA94A44584A5AB62D61925DD38822" localSheetId="4" hidden="1">#REF!</definedName>
    <definedName name="BOB94BA94A44584A5AB62D61925DD38822" hidden="1">#REF!</definedName>
    <definedName name="BOB9612299393A4BC3A5F1CCFE8BF39A25" localSheetId="5" hidden="1">#REF!</definedName>
    <definedName name="BOB9612299393A4BC3A5F1CCFE8BF39A25" localSheetId="4" hidden="1">#REF!</definedName>
    <definedName name="BOB9612299393A4BC3A5F1CCFE8BF39A25" hidden="1">#REF!</definedName>
    <definedName name="BOB961899833344E3E9D6F7AE490FEECCA" localSheetId="5" hidden="1">#REF!</definedName>
    <definedName name="BOB961899833344E3E9D6F7AE490FEECCA" localSheetId="4" hidden="1">#REF!</definedName>
    <definedName name="BOB961899833344E3E9D6F7AE490FEECCA" hidden="1">#REF!</definedName>
    <definedName name="BOB9A7D0ABBEBB4A47B83BA26B7F7B8266" localSheetId="5" hidden="1">#REF!</definedName>
    <definedName name="BOB9A7D0ABBEBB4A47B83BA26B7F7B8266" localSheetId="4" hidden="1">#REF!</definedName>
    <definedName name="BOB9A7D0ABBEBB4A47B83BA26B7F7B8266" hidden="1">#REF!</definedName>
    <definedName name="BOB9A864333B474750BC94F0F19FB1DCE8" localSheetId="5" hidden="1">#REF!</definedName>
    <definedName name="BOB9A864333B474750BC94F0F19FB1DCE8" localSheetId="4" hidden="1">#REF!</definedName>
    <definedName name="BOB9A864333B474750BC94F0F19FB1DCE8" hidden="1">#REF!</definedName>
    <definedName name="BOB9A9269337994CD9995912095A03586A" localSheetId="5" hidden="1">#REF!</definedName>
    <definedName name="BOB9A9269337994CD9995912095A03586A" localSheetId="4" hidden="1">#REF!</definedName>
    <definedName name="BOB9A9269337994CD9995912095A03586A" hidden="1">#REF!</definedName>
    <definedName name="BOB9B45A094FC5466DA50A36E680DC9A81" localSheetId="5" hidden="1">#REF!</definedName>
    <definedName name="BOB9B45A094FC5466DA50A36E680DC9A81" localSheetId="4" hidden="1">#REF!</definedName>
    <definedName name="BOB9B45A094FC5466DA50A36E680DC9A81" hidden="1">#REF!</definedName>
    <definedName name="BOB9BBB49714DB4EE2B2836E268EC4C0B0" localSheetId="5" hidden="1">#REF!</definedName>
    <definedName name="BOB9BBB49714DB4EE2B2836E268EC4C0B0" localSheetId="4" hidden="1">#REF!</definedName>
    <definedName name="BOB9BBB49714DB4EE2B2836E268EC4C0B0" hidden="1">#REF!</definedName>
    <definedName name="BOB9C2620F339940858AD12CD36E4FB0C9" localSheetId="5" hidden="1">#REF!</definedName>
    <definedName name="BOB9C2620F339940858AD12CD36E4FB0C9" localSheetId="4" hidden="1">#REF!</definedName>
    <definedName name="BOB9C2620F339940858AD12CD36E4FB0C9" hidden="1">#REF!</definedName>
    <definedName name="BOB9CD86A41188490480D64297D67D7C20" localSheetId="5" hidden="1">#REF!</definedName>
    <definedName name="BOB9CD86A41188490480D64297D67D7C20" localSheetId="4" hidden="1">#REF!</definedName>
    <definedName name="BOB9CD86A41188490480D64297D67D7C20" hidden="1">#REF!</definedName>
    <definedName name="BOB9DE946B8FB1406C90B7AFE22653C4C5" localSheetId="5" hidden="1">#REF!</definedName>
    <definedName name="BOB9DE946B8FB1406C90B7AFE22653C4C5" localSheetId="4" hidden="1">#REF!</definedName>
    <definedName name="BOB9DE946B8FB1406C90B7AFE22653C4C5" hidden="1">#REF!</definedName>
    <definedName name="BOB9F5CC26ACB74B1D8DCB7426CA653F78" localSheetId="5" hidden="1">#REF!</definedName>
    <definedName name="BOB9F5CC26ACB74B1D8DCB7426CA653F78" localSheetId="4" hidden="1">#REF!</definedName>
    <definedName name="BOB9F5CC26ACB74B1D8DCB7426CA653F78" hidden="1">#REF!</definedName>
    <definedName name="BOBA07D5FEDDBF4CFFACB6E315D8998C1F" localSheetId="5" hidden="1">#REF!</definedName>
    <definedName name="BOBA07D5FEDDBF4CFFACB6E315D8998C1F" localSheetId="4" hidden="1">#REF!</definedName>
    <definedName name="BOBA07D5FEDDBF4CFFACB6E315D8998C1F" hidden="1">#REF!</definedName>
    <definedName name="BOBA12CCBB83DC490293B4024877957D98" localSheetId="5" hidden="1">#REF!</definedName>
    <definedName name="BOBA12CCBB83DC490293B4024877957D98" localSheetId="4" hidden="1">#REF!</definedName>
    <definedName name="BOBA12CCBB83DC490293B4024877957D98" hidden="1">#REF!</definedName>
    <definedName name="BOBA1531C0E20242BE83F04A00BB5CBF04" localSheetId="5" hidden="1">#REF!</definedName>
    <definedName name="BOBA1531C0E20242BE83F04A00BB5CBF04" localSheetId="4" hidden="1">#REF!</definedName>
    <definedName name="BOBA1531C0E20242BE83F04A00BB5CBF04" hidden="1">#REF!</definedName>
    <definedName name="BOBA181222A7AE4A45AD62F5ED0E622660" localSheetId="5" hidden="1">#REF!</definedName>
    <definedName name="BOBA181222A7AE4A45AD62F5ED0E622660" localSheetId="4" hidden="1">#REF!</definedName>
    <definedName name="BOBA181222A7AE4A45AD62F5ED0E622660" hidden="1">#REF!</definedName>
    <definedName name="BOBA24DFB554AF460B8AB282C13492A629" localSheetId="5" hidden="1">[8]Ketqua!#REF!</definedName>
    <definedName name="BOBA24DFB554AF460B8AB282C13492A629" localSheetId="4" hidden="1">[8]Ketqua!#REF!</definedName>
    <definedName name="BOBA24DFB554AF460B8AB282C13492A629" hidden="1">[8]Ketqua!#REF!</definedName>
    <definedName name="BOBA2A09FA3F74474E9CB8537C38559D3A" localSheetId="5" hidden="1">[9]xml!#REF!</definedName>
    <definedName name="BOBA2A09FA3F74474E9CB8537C38559D3A" localSheetId="4" hidden="1">[9]xml!#REF!</definedName>
    <definedName name="BOBA2A09FA3F74474E9CB8537C38559D3A" hidden="1">[9]xml!#REF!</definedName>
    <definedName name="BOBA34D01E25FC4AF18006E289F2DEA305" localSheetId="5" hidden="1">#REF!</definedName>
    <definedName name="BOBA34D01E25FC4AF18006E289F2DEA305" localSheetId="4" hidden="1">#REF!</definedName>
    <definedName name="BOBA34D01E25FC4AF18006E289F2DEA305" hidden="1">#REF!</definedName>
    <definedName name="BOBA41BEAA693343BE815B2B2F6FDB6D57" localSheetId="5" hidden="1">#REF!</definedName>
    <definedName name="BOBA41BEAA693343BE815B2B2F6FDB6D57" localSheetId="4" hidden="1">#REF!</definedName>
    <definedName name="BOBA41BEAA693343BE815B2B2F6FDB6D57" hidden="1">#REF!</definedName>
    <definedName name="BOBA6F771A713D44818466A48A99D86999" localSheetId="5" hidden="1">#REF!</definedName>
    <definedName name="BOBA6F771A713D44818466A48A99D86999" localSheetId="4" hidden="1">#REF!</definedName>
    <definedName name="BOBA6F771A713D44818466A48A99D86999" hidden="1">#REF!</definedName>
    <definedName name="BOBA7996250A2C48C0A1B2A9E9E89C4F08" localSheetId="5" hidden="1">#REF!</definedName>
    <definedName name="BOBA7996250A2C48C0A1B2A9E9E89C4F08" localSheetId="4" hidden="1">#REF!</definedName>
    <definedName name="BOBA7996250A2C48C0A1B2A9E9E89C4F08" hidden="1">#REF!</definedName>
    <definedName name="BOBA83205E5F2841FC8E5118CDCEC79269" localSheetId="5" hidden="1">#REF!</definedName>
    <definedName name="BOBA83205E5F2841FC8E5118CDCEC79269" localSheetId="4" hidden="1">#REF!</definedName>
    <definedName name="BOBA83205E5F2841FC8E5118CDCEC79269" hidden="1">#REF!</definedName>
    <definedName name="BOBA90B5C8415648418BCF8A02E6BD45AB" localSheetId="5" hidden="1">#REF!</definedName>
    <definedName name="BOBA90B5C8415648418BCF8A02E6BD45AB" localSheetId="4" hidden="1">#REF!</definedName>
    <definedName name="BOBA90B5C8415648418BCF8A02E6BD45AB" hidden="1">#REF!</definedName>
    <definedName name="BOBAB788881F1D4460854EE1FBFFE8B2E0" localSheetId="5" hidden="1">#REF!</definedName>
    <definedName name="BOBAB788881F1D4460854EE1FBFFE8B2E0" localSheetId="4" hidden="1">#REF!</definedName>
    <definedName name="BOBAB788881F1D4460854EE1FBFFE8B2E0" hidden="1">#REF!</definedName>
    <definedName name="BOBACC3EB41E7D4536869AAA67F5F9FB2B" localSheetId="5" hidden="1">#REF!</definedName>
    <definedName name="BOBACC3EB41E7D4536869AAA67F5F9FB2B" localSheetId="4" hidden="1">#REF!</definedName>
    <definedName name="BOBACC3EB41E7D4536869AAA67F5F9FB2B" hidden="1">#REF!</definedName>
    <definedName name="BOBACCE1244BE543CDA5221569B28D11F8" localSheetId="5" hidden="1">#REF!</definedName>
    <definedName name="BOBACCE1244BE543CDA5221569B28D11F8" localSheetId="4" hidden="1">#REF!</definedName>
    <definedName name="BOBACCE1244BE543CDA5221569B28D11F8" hidden="1">#REF!</definedName>
    <definedName name="BOBAD3156B21EB4D5BB08E216238378245" localSheetId="5" hidden="1">#REF!</definedName>
    <definedName name="BOBAD3156B21EB4D5BB08E216238378245" localSheetId="4" hidden="1">#REF!</definedName>
    <definedName name="BOBAD3156B21EB4D5BB08E216238378245" hidden="1">#REF!</definedName>
    <definedName name="BOBADED6FB922F4A3CAA610B246C015166" localSheetId="5" hidden="1">#REF!</definedName>
    <definedName name="BOBADED6FB922F4A3CAA610B246C015166" localSheetId="4" hidden="1">#REF!</definedName>
    <definedName name="BOBADED6FB922F4A3CAA610B246C015166" hidden="1">#REF!</definedName>
    <definedName name="BOBAE47B872A5345298D6CFC1292FF0229" localSheetId="5" hidden="1">#REF!</definedName>
    <definedName name="BOBAE47B872A5345298D6CFC1292FF0229" localSheetId="4" hidden="1">#REF!</definedName>
    <definedName name="BOBAE47B872A5345298D6CFC1292FF0229" hidden="1">#REF!</definedName>
    <definedName name="BOBAFB4065FE1843AFA6D5DDB34CFE46C8" localSheetId="5" hidden="1">#REF!</definedName>
    <definedName name="BOBAFB4065FE1843AFA6D5DDB34CFE46C8" localSheetId="4" hidden="1">#REF!</definedName>
    <definedName name="BOBAFB4065FE1843AFA6D5DDB34CFE46C8" hidden="1">#REF!</definedName>
    <definedName name="BOBB2CD22C468846029AA7E79B86A82CEF" localSheetId="5" hidden="1">#REF!</definedName>
    <definedName name="BOBB2CD22C468846029AA7E79B86A82CEF" localSheetId="4" hidden="1">#REF!</definedName>
    <definedName name="BOBB2CD22C468846029AA7E79B86A82CEF" hidden="1">#REF!</definedName>
    <definedName name="BOBB45F71539614D0090D4B6087D188B78" localSheetId="5" hidden="1">#REF!</definedName>
    <definedName name="BOBB45F71539614D0090D4B6087D188B78" localSheetId="4" hidden="1">#REF!</definedName>
    <definedName name="BOBB45F71539614D0090D4B6087D188B78" hidden="1">#REF!</definedName>
    <definedName name="BOBB58D5EDD0B1467AB5D9915F132ADF94" localSheetId="5" hidden="1">#REF!</definedName>
    <definedName name="BOBB58D5EDD0B1467AB5D9915F132ADF94" localSheetId="4" hidden="1">#REF!</definedName>
    <definedName name="BOBB58D5EDD0B1467AB5D9915F132ADF94" hidden="1">#REF!</definedName>
    <definedName name="BOBB5BB6FEEFA64B79BB64C92031FA3AE8" localSheetId="5" hidden="1">#REF!</definedName>
    <definedName name="BOBB5BB6FEEFA64B79BB64C92031FA3AE8" localSheetId="4" hidden="1">#REF!</definedName>
    <definedName name="BOBB5BB6FEEFA64B79BB64C92031FA3AE8" hidden="1">#REF!</definedName>
    <definedName name="BOBB6AE77CF3A54CC3AC51350B77472DF8" localSheetId="5" hidden="1">#REF!</definedName>
    <definedName name="BOBB6AE77CF3A54CC3AC51350B77472DF8" localSheetId="4" hidden="1">#REF!</definedName>
    <definedName name="BOBB6AE77CF3A54CC3AC51350B77472DF8" hidden="1">#REF!</definedName>
    <definedName name="BOBB9D4C0897DA494AA513D0A883F9D1D4" localSheetId="5" hidden="1">#REF!</definedName>
    <definedName name="BOBB9D4C0897DA494AA513D0A883F9D1D4" localSheetId="4" hidden="1">#REF!</definedName>
    <definedName name="BOBB9D4C0897DA494AA513D0A883F9D1D4" hidden="1">#REF!</definedName>
    <definedName name="BOBBAA7F824582476F88CDCFB08F1934D5" localSheetId="5" hidden="1">#REF!</definedName>
    <definedName name="BOBBAA7F824582476F88CDCFB08F1934D5" localSheetId="4" hidden="1">#REF!</definedName>
    <definedName name="BOBBAA7F824582476F88CDCFB08F1934D5" hidden="1">#REF!</definedName>
    <definedName name="BOBBC7EB09CEDF4E1098D2496572376A11" localSheetId="5" hidden="1">#REF!</definedName>
    <definedName name="BOBBC7EB09CEDF4E1098D2496572376A11" localSheetId="4" hidden="1">#REF!</definedName>
    <definedName name="BOBBC7EB09CEDF4E1098D2496572376A11" hidden="1">#REF!</definedName>
    <definedName name="BOBBD209B4392944CFB684A2FB646D31BF" localSheetId="5" hidden="1">#REF!</definedName>
    <definedName name="BOBBD209B4392944CFB684A2FB646D31BF" localSheetId="4" hidden="1">#REF!</definedName>
    <definedName name="BOBBD209B4392944CFB684A2FB646D31BF" hidden="1">#REF!</definedName>
    <definedName name="BOBBDC73CDE37B4F45AB68C38A9635AF80" localSheetId="5" hidden="1">#REF!</definedName>
    <definedName name="BOBBDC73CDE37B4F45AB68C38A9635AF80" localSheetId="4" hidden="1">#REF!</definedName>
    <definedName name="BOBBDC73CDE37B4F45AB68C38A9635AF80" hidden="1">#REF!</definedName>
    <definedName name="BOBBE13D1C51EA43BBA2A175568FE81762" localSheetId="5" hidden="1">#REF!</definedName>
    <definedName name="BOBBE13D1C51EA43BBA2A175568FE81762" localSheetId="4" hidden="1">#REF!</definedName>
    <definedName name="BOBBE13D1C51EA43BBA2A175568FE81762" hidden="1">#REF!</definedName>
    <definedName name="BOBBE4AA840EEC4997B000A639F871E6CE" localSheetId="5" hidden="1">#REF!</definedName>
    <definedName name="BOBBE4AA840EEC4997B000A639F871E6CE" localSheetId="4" hidden="1">#REF!</definedName>
    <definedName name="BOBBE4AA840EEC4997B000A639F871E6CE" hidden="1">#REF!</definedName>
    <definedName name="BOBBEA4F95A23E45E1B25DDDD7FC411C90" localSheetId="5" hidden="1">#REF!</definedName>
    <definedName name="BOBBEA4F95A23E45E1B25DDDD7FC411C90" localSheetId="4" hidden="1">#REF!</definedName>
    <definedName name="BOBBEA4F95A23E45E1B25DDDD7FC411C90" hidden="1">#REF!</definedName>
    <definedName name="BOBBED5FCD6DFA46F191B2338FE1244774" localSheetId="5" hidden="1">#REF!</definedName>
    <definedName name="BOBBED5FCD6DFA46F191B2338FE1244774" localSheetId="4" hidden="1">#REF!</definedName>
    <definedName name="BOBBED5FCD6DFA46F191B2338FE1244774" hidden="1">#REF!</definedName>
    <definedName name="BOBBFB9F89706B45C69C77FDDBB1E333BC" localSheetId="5" hidden="1">#REF!</definedName>
    <definedName name="BOBBFB9F89706B45C69C77FDDBB1E333BC" localSheetId="4" hidden="1">#REF!</definedName>
    <definedName name="BOBBFB9F89706B45C69C77FDDBB1E333BC" hidden="1">#REF!</definedName>
    <definedName name="BOBBFF3E077BF14AC5A144DF028B17968A" localSheetId="5" hidden="1">#REF!</definedName>
    <definedName name="BOBBFF3E077BF14AC5A144DF028B17968A" localSheetId="4" hidden="1">#REF!</definedName>
    <definedName name="BOBBFF3E077BF14AC5A144DF028B17968A" hidden="1">#REF!</definedName>
    <definedName name="BOBC04FB3E707E4D2489786AEF4796C806" localSheetId="5" hidden="1">#REF!</definedName>
    <definedName name="BOBC04FB3E707E4D2489786AEF4796C806" localSheetId="4" hidden="1">#REF!</definedName>
    <definedName name="BOBC04FB3E707E4D2489786AEF4796C806" hidden="1">#REF!</definedName>
    <definedName name="BOBC16CFAF95AD4A8D86D3641EA9FE0CCA" localSheetId="5" hidden="1">#REF!</definedName>
    <definedName name="BOBC16CFAF95AD4A8D86D3641EA9FE0CCA" localSheetId="4" hidden="1">#REF!</definedName>
    <definedName name="BOBC16CFAF95AD4A8D86D3641EA9FE0CCA" hidden="1">#REF!</definedName>
    <definedName name="BOBC26361192634C519AD3E18D48CFA644" localSheetId="5" hidden="1">#REF!</definedName>
    <definedName name="BOBC26361192634C519AD3E18D48CFA644" localSheetId="4" hidden="1">#REF!</definedName>
    <definedName name="BOBC26361192634C519AD3E18D48CFA644" hidden="1">#REF!</definedName>
    <definedName name="BOBC47A5543D69470F874698BB291135DA" localSheetId="5" hidden="1">#REF!</definedName>
    <definedName name="BOBC47A5543D69470F874698BB291135DA" localSheetId="4" hidden="1">#REF!</definedName>
    <definedName name="BOBC47A5543D69470F874698BB291135DA" hidden="1">#REF!</definedName>
    <definedName name="BOBC4952F10CCA478992D5EC40D685DDEC" localSheetId="5" hidden="1">#REF!</definedName>
    <definedName name="BOBC4952F10CCA478992D5EC40D685DDEC" localSheetId="4" hidden="1">#REF!</definedName>
    <definedName name="BOBC4952F10CCA478992D5EC40D685DDEC" hidden="1">#REF!</definedName>
    <definedName name="BOBC4B15CA572E4683B22D1E93207B42A3" localSheetId="5" hidden="1">#REF!</definedName>
    <definedName name="BOBC4B15CA572E4683B22D1E93207B42A3" localSheetId="4" hidden="1">#REF!</definedName>
    <definedName name="BOBC4B15CA572E4683B22D1E93207B42A3" hidden="1">#REF!</definedName>
    <definedName name="BOBC7C71DE64364CBC9244EA234BE295B4" localSheetId="5" hidden="1">#REF!</definedName>
    <definedName name="BOBC7C71DE64364CBC9244EA234BE295B4" localSheetId="4" hidden="1">#REF!</definedName>
    <definedName name="BOBC7C71DE64364CBC9244EA234BE295B4" hidden="1">#REF!</definedName>
    <definedName name="BOBC8009AB97724AB7B944FF6F455E412C" localSheetId="5" hidden="1">#REF!</definedName>
    <definedName name="BOBC8009AB97724AB7B944FF6F455E412C" localSheetId="4" hidden="1">#REF!</definedName>
    <definedName name="BOBC8009AB97724AB7B944FF6F455E412C" hidden="1">#REF!</definedName>
    <definedName name="BOBC9B074D66F44CED8CF3AE037C32A078" localSheetId="5" hidden="1">#REF!</definedName>
    <definedName name="BOBC9B074D66F44CED8CF3AE037C32A078" localSheetId="4" hidden="1">#REF!</definedName>
    <definedName name="BOBC9B074D66F44CED8CF3AE037C32A078" hidden="1">#REF!</definedName>
    <definedName name="BOBC9E30F080984844B237570A172714A0" localSheetId="5" hidden="1">#REF!</definedName>
    <definedName name="BOBC9E30F080984844B237570A172714A0" localSheetId="4" hidden="1">#REF!</definedName>
    <definedName name="BOBC9E30F080984844B237570A172714A0" hidden="1">#REF!</definedName>
    <definedName name="BOBCA981DE42CC4E7D8E87C59D0E898852" localSheetId="5" hidden="1">#REF!</definedName>
    <definedName name="BOBCA981DE42CC4E7D8E87C59D0E898852" localSheetId="4" hidden="1">#REF!</definedName>
    <definedName name="BOBCA981DE42CC4E7D8E87C59D0E898852" hidden="1">#REF!</definedName>
    <definedName name="BOBCAADD13A1F84467B1BBFB74C99EC30A" localSheetId="5" hidden="1">#REF!</definedName>
    <definedName name="BOBCAADD13A1F84467B1BBFB74C99EC30A" localSheetId="4" hidden="1">#REF!</definedName>
    <definedName name="BOBCAADD13A1F84467B1BBFB74C99EC30A" hidden="1">#REF!</definedName>
    <definedName name="BOBCAF9E5E43204C27A0A0DA4C966CE239" localSheetId="5" hidden="1">#REF!</definedName>
    <definedName name="BOBCAF9E5E43204C27A0A0DA4C966CE239" localSheetId="4" hidden="1">#REF!</definedName>
    <definedName name="BOBCAF9E5E43204C27A0A0DA4C966CE239" hidden="1">#REF!</definedName>
    <definedName name="BOBCB33588A4614DF39553836F9E9B99A7" localSheetId="5" hidden="1">#REF!</definedName>
    <definedName name="BOBCB33588A4614DF39553836F9E9B99A7" localSheetId="4" hidden="1">#REF!</definedName>
    <definedName name="BOBCB33588A4614DF39553836F9E9B99A7" hidden="1">#REF!</definedName>
    <definedName name="BOBCB659E37C914B95889F0BA231A33A7B" localSheetId="5" hidden="1">#REF!</definedName>
    <definedName name="BOBCB659E37C914B95889F0BA231A33A7B" localSheetId="4" hidden="1">#REF!</definedName>
    <definedName name="BOBCB659E37C914B95889F0BA231A33A7B" hidden="1">#REF!</definedName>
    <definedName name="BOBCC3AAA972FC42AA9E24EB2236551DE7" localSheetId="5" hidden="1">#REF!</definedName>
    <definedName name="BOBCC3AAA972FC42AA9E24EB2236551DE7" localSheetId="4" hidden="1">#REF!</definedName>
    <definedName name="BOBCC3AAA972FC42AA9E24EB2236551DE7" hidden="1">#REF!</definedName>
    <definedName name="BOBCD1D56E09DB4DFAA7DB1D9A7130ED97" localSheetId="5" hidden="1">#REF!</definedName>
    <definedName name="BOBCD1D56E09DB4DFAA7DB1D9A7130ED97" localSheetId="4" hidden="1">#REF!</definedName>
    <definedName name="BOBCD1D56E09DB4DFAA7DB1D9A7130ED97" hidden="1">#REF!</definedName>
    <definedName name="BOBCE6D0590F1F4A9BBA41EA7B159799C7" localSheetId="5" hidden="1">#REF!</definedName>
    <definedName name="BOBCE6D0590F1F4A9BBA41EA7B159799C7" localSheetId="4" hidden="1">#REF!</definedName>
    <definedName name="BOBCE6D0590F1F4A9BBA41EA7B159799C7" hidden="1">#REF!</definedName>
    <definedName name="BOBCED2AACC6914DECAE998EC76EA0E62E" localSheetId="5" hidden="1">#REF!</definedName>
    <definedName name="BOBCED2AACC6914DECAE998EC76EA0E62E" localSheetId="4" hidden="1">#REF!</definedName>
    <definedName name="BOBCED2AACC6914DECAE998EC76EA0E62E" hidden="1">#REF!</definedName>
    <definedName name="BOBCEF82B4A18646D583662D742CB2C342" localSheetId="5" hidden="1">#REF!</definedName>
    <definedName name="BOBCEF82B4A18646D583662D742CB2C342" localSheetId="4" hidden="1">#REF!</definedName>
    <definedName name="BOBCEF82B4A18646D583662D742CB2C342" hidden="1">#REF!</definedName>
    <definedName name="BOBCF840ED273A41608C4A037ED35225A8" localSheetId="5" hidden="1">#REF!</definedName>
    <definedName name="BOBCF840ED273A41608C4A037ED35225A8" localSheetId="4" hidden="1">#REF!</definedName>
    <definedName name="BOBCF840ED273A41608C4A037ED35225A8" hidden="1">#REF!</definedName>
    <definedName name="BOBD17A2C2D8F347BD99946B7CD678E633" hidden="1">[8]Ketqua!$X$16:$AJ$16</definedName>
    <definedName name="BOBD17ACF591A04BA2A7F3EA73A1F5EFD0" localSheetId="5" hidden="1">[7]lailo!#REF!</definedName>
    <definedName name="BOBD17ACF591A04BA2A7F3EA73A1F5EFD0" localSheetId="4" hidden="1">[7]lailo!#REF!</definedName>
    <definedName name="BOBD17ACF591A04BA2A7F3EA73A1F5EFD0" hidden="1">[7]lailo!#REF!</definedName>
    <definedName name="BOBD3418D3E6034A599B7DAEA5496D5FDE" localSheetId="5" hidden="1">#REF!</definedName>
    <definedName name="BOBD3418D3E6034A599B7DAEA5496D5FDE" localSheetId="4" hidden="1">#REF!</definedName>
    <definedName name="BOBD3418D3E6034A599B7DAEA5496D5FDE" hidden="1">#REF!</definedName>
    <definedName name="BOBD479A54EDE440F2A6DE6820F419F93B" localSheetId="5" hidden="1">#REF!</definedName>
    <definedName name="BOBD479A54EDE440F2A6DE6820F419F93B" localSheetId="4" hidden="1">#REF!</definedName>
    <definedName name="BOBD479A54EDE440F2A6DE6820F419F93B" hidden="1">#REF!</definedName>
    <definedName name="BOBD4AB5E2FE574DC99B097054215C9A1B" localSheetId="5" hidden="1">#REF!</definedName>
    <definedName name="BOBD4AB5E2FE574DC99B097054215C9A1B" localSheetId="4" hidden="1">#REF!</definedName>
    <definedName name="BOBD4AB5E2FE574DC99B097054215C9A1B" hidden="1">#REF!</definedName>
    <definedName name="BOBD51A79D7FDA451D81D3D3FA930EF10E" localSheetId="5" hidden="1">#REF!</definedName>
    <definedName name="BOBD51A79D7FDA451D81D3D3FA930EF10E" localSheetId="4" hidden="1">#REF!</definedName>
    <definedName name="BOBD51A79D7FDA451D81D3D3FA930EF10E" hidden="1">#REF!</definedName>
    <definedName name="BOBD6ABC8171D74055B247324595D2BAED" localSheetId="5" hidden="1">#REF!</definedName>
    <definedName name="BOBD6ABC8171D74055B247324595D2BAED" localSheetId="4" hidden="1">#REF!</definedName>
    <definedName name="BOBD6ABC8171D74055B247324595D2BAED" hidden="1">#REF!</definedName>
    <definedName name="BOBDB7BCC242824D929E9C9D027CA30CF4" localSheetId="5" hidden="1">#REF!</definedName>
    <definedName name="BOBDB7BCC242824D929E9C9D027CA30CF4" localSheetId="4" hidden="1">#REF!</definedName>
    <definedName name="BOBDB7BCC242824D929E9C9D027CA30CF4" hidden="1">#REF!</definedName>
    <definedName name="BOBDCBC5CEFC9147E19737AA97A932005B" localSheetId="5" hidden="1">#REF!</definedName>
    <definedName name="BOBDCBC5CEFC9147E19737AA97A932005B" localSheetId="4" hidden="1">#REF!</definedName>
    <definedName name="BOBDCBC5CEFC9147E19737AA97A932005B" hidden="1">#REF!</definedName>
    <definedName name="BOBDD667D5CB3D464786E9850160CC53F4" localSheetId="5" hidden="1">#REF!</definedName>
    <definedName name="BOBDD667D5CB3D464786E9850160CC53F4" localSheetId="4" hidden="1">#REF!</definedName>
    <definedName name="BOBDD667D5CB3D464786E9850160CC53F4" hidden="1">#REF!</definedName>
    <definedName name="BOBDD7F3ADA3694C6E8F1CAE0F4BE4749B" localSheetId="5" hidden="1">#REF!</definedName>
    <definedName name="BOBDD7F3ADA3694C6E8F1CAE0F4BE4749B" localSheetId="4" hidden="1">#REF!</definedName>
    <definedName name="BOBDD7F3ADA3694C6E8F1CAE0F4BE4749B" hidden="1">#REF!</definedName>
    <definedName name="BOBDDDE587C0FE4B2BB4CA177ADFC0167B" localSheetId="5" hidden="1">#REF!</definedName>
    <definedName name="BOBDDDE587C0FE4B2BB4CA177ADFC0167B" localSheetId="4" hidden="1">#REF!</definedName>
    <definedName name="BOBDDDE587C0FE4B2BB4CA177ADFC0167B" hidden="1">#REF!</definedName>
    <definedName name="BOBE0DF057A7504555B1A60B727B77B93E" localSheetId="5" hidden="1">#REF!</definedName>
    <definedName name="BOBE0DF057A7504555B1A60B727B77B93E" localSheetId="4" hidden="1">#REF!</definedName>
    <definedName name="BOBE0DF057A7504555B1A60B727B77B93E" hidden="1">#REF!</definedName>
    <definedName name="BOBE539086D02E49FCAA6D14E00A770963" localSheetId="5" hidden="1">#REF!</definedName>
    <definedName name="BOBE539086D02E49FCAA6D14E00A770963" localSheetId="4" hidden="1">#REF!</definedName>
    <definedName name="BOBE539086D02E49FCAA6D14E00A770963" hidden="1">#REF!</definedName>
    <definedName name="BOBE61C7C64C434F1C9630D720A27FF02A" localSheetId="5" hidden="1">#REF!</definedName>
    <definedName name="BOBE61C7C64C434F1C9630D720A27FF02A" localSheetId="4" hidden="1">#REF!</definedName>
    <definedName name="BOBE61C7C64C434F1C9630D720A27FF02A" hidden="1">#REF!</definedName>
    <definedName name="BOBE64B328AAE74680BC628D5D06A638E1" localSheetId="5" hidden="1">#REF!</definedName>
    <definedName name="BOBE64B328AAE74680BC628D5D06A638E1" localSheetId="4" hidden="1">#REF!</definedName>
    <definedName name="BOBE64B328AAE74680BC628D5D06A638E1" hidden="1">#REF!</definedName>
    <definedName name="BOBE6F1C81ABDC49D6BE391DA0E617C00A" localSheetId="5" hidden="1">#REF!</definedName>
    <definedName name="BOBE6F1C81ABDC49D6BE391DA0E617C00A" localSheetId="4" hidden="1">#REF!</definedName>
    <definedName name="BOBE6F1C81ABDC49D6BE391DA0E617C00A" hidden="1">#REF!</definedName>
    <definedName name="BOBE799C21EE8C42C49338EEFB001F4B5B" localSheetId="5" hidden="1">#REF!</definedName>
    <definedName name="BOBE799C21EE8C42C49338EEFB001F4B5B" localSheetId="4" hidden="1">#REF!</definedName>
    <definedName name="BOBE799C21EE8C42C49338EEFB001F4B5B" hidden="1">#REF!</definedName>
    <definedName name="BOBE7B4D87C80344B08B4F8BB7D4366873" localSheetId="5" hidden="1">#REF!</definedName>
    <definedName name="BOBE7B4D87C80344B08B4F8BB7D4366873" localSheetId="4" hidden="1">#REF!</definedName>
    <definedName name="BOBE7B4D87C80344B08B4F8BB7D4366873" hidden="1">#REF!</definedName>
    <definedName name="BOBE836A4F3D514C76A86E6929F69D34D2" localSheetId="5" hidden="1">#REF!</definedName>
    <definedName name="BOBE836A4F3D514C76A86E6929F69D34D2" localSheetId="4" hidden="1">#REF!</definedName>
    <definedName name="BOBE836A4F3D514C76A86E6929F69D34D2" hidden="1">#REF!</definedName>
    <definedName name="BOBE8AAFA23457438CAE738A616F622246" localSheetId="5" hidden="1">#REF!</definedName>
    <definedName name="BOBE8AAFA23457438CAE738A616F622246" localSheetId="4" hidden="1">#REF!</definedName>
    <definedName name="BOBE8AAFA23457438CAE738A616F622246" hidden="1">#REF!</definedName>
    <definedName name="BOBE8F924DB3BC4F038EED0771BA85527D" localSheetId="5" hidden="1">#REF!</definedName>
    <definedName name="BOBE8F924DB3BC4F038EED0771BA85527D" localSheetId="4" hidden="1">#REF!</definedName>
    <definedName name="BOBE8F924DB3BC4F038EED0771BA85527D" hidden="1">#REF!</definedName>
    <definedName name="BOBE9E067C7210472B81073CBDC8230580" localSheetId="5" hidden="1">[7]lailo!#REF!</definedName>
    <definedName name="BOBE9E067C7210472B81073CBDC8230580" localSheetId="4" hidden="1">[7]lailo!#REF!</definedName>
    <definedName name="BOBE9E067C7210472B81073CBDC8230580" hidden="1">[7]lailo!#REF!</definedName>
    <definedName name="BOBE9E33F6E4374A1FA4BDFB49B0EC0372" localSheetId="5" hidden="1">#REF!</definedName>
    <definedName name="BOBE9E33F6E4374A1FA4BDFB49B0EC0372" localSheetId="4" hidden="1">#REF!</definedName>
    <definedName name="BOBE9E33F6E4374A1FA4BDFB49B0EC0372" hidden="1">#REF!</definedName>
    <definedName name="BOBEA7830841314FCDB7120FD70396E04B" localSheetId="5" hidden="1">#REF!</definedName>
    <definedName name="BOBEA7830841314FCDB7120FD70396E04B" localSheetId="4" hidden="1">#REF!</definedName>
    <definedName name="BOBEA7830841314FCDB7120FD70396E04B" hidden="1">#REF!</definedName>
    <definedName name="BOBEA7B5BBB87048D49DF67B697A931813" localSheetId="5" hidden="1">#REF!</definedName>
    <definedName name="BOBEA7B5BBB87048D49DF67B697A931813" localSheetId="4" hidden="1">#REF!</definedName>
    <definedName name="BOBEA7B5BBB87048D49DF67B697A931813" hidden="1">#REF!</definedName>
    <definedName name="BOBEBC91AB89344689A508D7928603507D" localSheetId="5" hidden="1">[8]Ketqua!#REF!</definedName>
    <definedName name="BOBEBC91AB89344689A508D7928603507D" localSheetId="4" hidden="1">[8]Ketqua!#REF!</definedName>
    <definedName name="BOBEBC91AB89344689A508D7928603507D" hidden="1">[8]Ketqua!#REF!</definedName>
    <definedName name="BOBECB0D0B7613455DAA1DD6EA3B2F3EB8" localSheetId="5" hidden="1">#REF!</definedName>
    <definedName name="BOBECB0D0B7613455DAA1DD6EA3B2F3EB8" localSheetId="4" hidden="1">#REF!</definedName>
    <definedName name="BOBECB0D0B7613455DAA1DD6EA3B2F3EB8" hidden="1">#REF!</definedName>
    <definedName name="BOBEDB25FFFAF545899AA7025FE56C6C2F" localSheetId="5" hidden="1">#REF!</definedName>
    <definedName name="BOBEDB25FFFAF545899AA7025FE56C6C2F" localSheetId="4" hidden="1">#REF!</definedName>
    <definedName name="BOBEDB25FFFAF545899AA7025FE56C6C2F" hidden="1">#REF!</definedName>
    <definedName name="BOBEDF7874AE9D470FA8757B3FE1C5C49B" localSheetId="5" hidden="1">#REF!</definedName>
    <definedName name="BOBEDF7874AE9D470FA8757B3FE1C5C49B" localSheetId="4" hidden="1">#REF!</definedName>
    <definedName name="BOBEDF7874AE9D470FA8757B3FE1C5C49B" hidden="1">#REF!</definedName>
    <definedName name="BOBEEF2C06CF874C2FAA2B6B8AB73BBB51" localSheetId="5" hidden="1">#REF!</definedName>
    <definedName name="BOBEEF2C06CF874C2FAA2B6B8AB73BBB51" localSheetId="4" hidden="1">#REF!</definedName>
    <definedName name="BOBEEF2C06CF874C2FAA2B6B8AB73BBB51" hidden="1">#REF!</definedName>
    <definedName name="BOBEF20D5D659B4B528AC490A20D65F0F3" localSheetId="5" hidden="1">#REF!</definedName>
    <definedName name="BOBEF20D5D659B4B528AC490A20D65F0F3" localSheetId="4" hidden="1">#REF!</definedName>
    <definedName name="BOBEF20D5D659B4B528AC490A20D65F0F3" hidden="1">#REF!</definedName>
    <definedName name="BOBEF6317A442A4A9E948D523D43949516" localSheetId="5" hidden="1">#REF!</definedName>
    <definedName name="BOBEF6317A442A4A9E948D523D43949516" localSheetId="4" hidden="1">#REF!</definedName>
    <definedName name="BOBEF6317A442A4A9E948D523D43949516" hidden="1">#REF!</definedName>
    <definedName name="BOBF066253C59B4751B64F555F9CA9FFAF" localSheetId="5" hidden="1">#REF!</definedName>
    <definedName name="BOBF066253C59B4751B64F555F9CA9FFAF" localSheetId="4" hidden="1">#REF!</definedName>
    <definedName name="BOBF066253C59B4751B64F555F9CA9FFAF" hidden="1">#REF!</definedName>
    <definedName name="BOBF142D9479B14F8E9B45711F84FD30EB" localSheetId="5" hidden="1">#REF!</definedName>
    <definedName name="BOBF142D9479B14F8E9B45711F84FD30EB" localSheetId="4" hidden="1">#REF!</definedName>
    <definedName name="BOBF142D9479B14F8E9B45711F84FD30EB" hidden="1">#REF!</definedName>
    <definedName name="BOBF14B3CAA77F4CC1B3F7F20024F8A96A" localSheetId="5" hidden="1">#REF!</definedName>
    <definedName name="BOBF14B3CAA77F4CC1B3F7F20024F8A96A" localSheetId="4" hidden="1">#REF!</definedName>
    <definedName name="BOBF14B3CAA77F4CC1B3F7F20024F8A96A" hidden="1">#REF!</definedName>
    <definedName name="BOBF166ABC8C78432CA8BFD934BBE79972" localSheetId="5" hidden="1">#REF!</definedName>
    <definedName name="BOBF166ABC8C78432CA8BFD934BBE79972" localSheetId="4" hidden="1">#REF!</definedName>
    <definedName name="BOBF166ABC8C78432CA8BFD934BBE79972" hidden="1">#REF!</definedName>
    <definedName name="BOBF218951A49F4995BB917FB43DBD1E9A" localSheetId="5" hidden="1">#REF!</definedName>
    <definedName name="BOBF218951A49F4995BB917FB43DBD1E9A" localSheetId="4" hidden="1">#REF!</definedName>
    <definedName name="BOBF218951A49F4995BB917FB43DBD1E9A" hidden="1">#REF!</definedName>
    <definedName name="BOBF2EB7AC0C2E4E0C9817C4936D0FC1CA" localSheetId="5" hidden="1">#REF!</definedName>
    <definedName name="BOBF2EB7AC0C2E4E0C9817C4936D0FC1CA" localSheetId="4" hidden="1">#REF!</definedName>
    <definedName name="BOBF2EB7AC0C2E4E0C9817C4936D0FC1CA" hidden="1">#REF!</definedName>
    <definedName name="BOBF387716EA054B5A88F16E8D2F5071A2" localSheetId="5" hidden="1">#REF!</definedName>
    <definedName name="BOBF387716EA054B5A88F16E8D2F5071A2" localSheetId="4" hidden="1">#REF!</definedName>
    <definedName name="BOBF387716EA054B5A88F16E8D2F5071A2" hidden="1">#REF!</definedName>
    <definedName name="BOBF44EA3972BE4BD4AD10908DF27E5F85" localSheetId="5" hidden="1">#REF!</definedName>
    <definedName name="BOBF44EA3972BE4BD4AD10908DF27E5F85" localSheetId="4" hidden="1">#REF!</definedName>
    <definedName name="BOBF44EA3972BE4BD4AD10908DF27E5F85" hidden="1">#REF!</definedName>
    <definedName name="BOBF4988CD268949D4A253EEEA2B64894B" localSheetId="5" hidden="1">#REF!</definedName>
    <definedName name="BOBF4988CD268949D4A253EEEA2B64894B" localSheetId="4" hidden="1">#REF!</definedName>
    <definedName name="BOBF4988CD268949D4A253EEEA2B64894B" hidden="1">#REF!</definedName>
    <definedName name="BOBF4F7BD348414E56A6677B9119B98873" localSheetId="5" hidden="1">#REF!</definedName>
    <definedName name="BOBF4F7BD348414E56A6677B9119B98873" localSheetId="4" hidden="1">#REF!</definedName>
    <definedName name="BOBF4F7BD348414E56A6677B9119B98873" hidden="1">#REF!</definedName>
    <definedName name="BOBF647C178E4E491893792F1C674F829C" localSheetId="5" hidden="1">#REF!</definedName>
    <definedName name="BOBF647C178E4E491893792F1C674F829C" localSheetId="4" hidden="1">#REF!</definedName>
    <definedName name="BOBF647C178E4E491893792F1C674F829C" hidden="1">#REF!</definedName>
    <definedName name="BOBF71F05A89BF45EA8C5D468675F75348" localSheetId="5" hidden="1">#REF!</definedName>
    <definedName name="BOBF71F05A89BF45EA8C5D468675F75348" localSheetId="4" hidden="1">#REF!</definedName>
    <definedName name="BOBF71F05A89BF45EA8C5D468675F75348" hidden="1">#REF!</definedName>
    <definedName name="BOBF72A77C10CA4EB1AB2AE062D421AC07" localSheetId="5" hidden="1">#REF!</definedName>
    <definedName name="BOBF72A77C10CA4EB1AB2AE062D421AC07" localSheetId="4" hidden="1">#REF!</definedName>
    <definedName name="BOBF72A77C10CA4EB1AB2AE062D421AC07" hidden="1">#REF!</definedName>
    <definedName name="BOBF7E32863A8C47FD9D860B42158D5E82" localSheetId="5" hidden="1">#REF!</definedName>
    <definedName name="BOBF7E32863A8C47FD9D860B42158D5E82" localSheetId="4" hidden="1">#REF!</definedName>
    <definedName name="BOBF7E32863A8C47FD9D860B42158D5E82" hidden="1">#REF!</definedName>
    <definedName name="BOBF8216921A30407686F2EBD0638399EE" localSheetId="5" hidden="1">#REF!</definedName>
    <definedName name="BOBF8216921A30407686F2EBD0638399EE" localSheetId="4" hidden="1">#REF!</definedName>
    <definedName name="BOBF8216921A30407686F2EBD0638399EE" hidden="1">#REF!</definedName>
    <definedName name="BOBF8626AAA64142D7A0D7E6CE6FFDCB08" localSheetId="5" hidden="1">#REF!</definedName>
    <definedName name="BOBF8626AAA64142D7A0D7E6CE6FFDCB08" localSheetId="4" hidden="1">#REF!</definedName>
    <definedName name="BOBF8626AAA64142D7A0D7E6CE6FFDCB08" hidden="1">#REF!</definedName>
    <definedName name="BOBF946EC04D3547D3BB1C2D55230B5FB2" localSheetId="5" hidden="1">#REF!</definedName>
    <definedName name="BOBF946EC04D3547D3BB1C2D55230B5FB2" localSheetId="4" hidden="1">#REF!</definedName>
    <definedName name="BOBF946EC04D3547D3BB1C2D55230B5FB2" hidden="1">#REF!</definedName>
    <definedName name="BOBF9EB6CB51E34B34889BED779D439BA7" localSheetId="5" hidden="1">#REF!</definedName>
    <definedName name="BOBF9EB6CB51E34B34889BED779D439BA7" localSheetId="4" hidden="1">#REF!</definedName>
    <definedName name="BOBF9EB6CB51E34B34889BED779D439BA7" hidden="1">#REF!</definedName>
    <definedName name="BOBFB076550A1949DD896F1E10865B958D" localSheetId="5" hidden="1">#REF!</definedName>
    <definedName name="BOBFB076550A1949DD896F1E10865B958D" localSheetId="4" hidden="1">#REF!</definedName>
    <definedName name="BOBFB076550A1949DD896F1E10865B958D" hidden="1">#REF!</definedName>
    <definedName name="BOBFB6324E87F045BD9652F2FD4088F44D" localSheetId="5" hidden="1">#REF!</definedName>
    <definedName name="BOBFB6324E87F045BD9652F2FD4088F44D" localSheetId="4" hidden="1">#REF!</definedName>
    <definedName name="BOBFB6324E87F045BD9652F2FD4088F44D" hidden="1">#REF!</definedName>
    <definedName name="BOBFB9EA6C68994C4DA36158FCBD8427AF" localSheetId="5" hidden="1">#REF!</definedName>
    <definedName name="BOBFB9EA6C68994C4DA36158FCBD8427AF" localSheetId="4" hidden="1">#REF!</definedName>
    <definedName name="BOBFB9EA6C68994C4DA36158FCBD8427AF" hidden="1">#REF!</definedName>
    <definedName name="BOBFCE70D506DA4B6EB944A29AC6F839D9" localSheetId="5" hidden="1">[8]Ketqua!#REF!</definedName>
    <definedName name="BOBFCE70D506DA4B6EB944A29AC6F839D9" localSheetId="4" hidden="1">[8]Ketqua!#REF!</definedName>
    <definedName name="BOBFCE70D506DA4B6EB944A29AC6F839D9" hidden="1">[8]Ketqua!#REF!</definedName>
    <definedName name="BOBFD4B575ED5646078BEB666C525EE1C8" localSheetId="5" hidden="1">#REF!</definedName>
    <definedName name="BOBFD4B575ED5646078BEB666C525EE1C8" localSheetId="4" hidden="1">#REF!</definedName>
    <definedName name="BOBFD4B575ED5646078BEB666C525EE1C8" hidden="1">#REF!</definedName>
    <definedName name="BOBFD9CC23DB384AEC827B9A999CB051CF" localSheetId="5" hidden="1">#REF!</definedName>
    <definedName name="BOBFD9CC23DB384AEC827B9A999CB051CF" localSheetId="4" hidden="1">#REF!</definedName>
    <definedName name="BOBFD9CC23DB384AEC827B9A999CB051CF" hidden="1">#REF!</definedName>
    <definedName name="BOBFE362FD57D248889A4B2F38E6FDA204" localSheetId="5" hidden="1">#REF!</definedName>
    <definedName name="BOBFE362FD57D248889A4B2F38E6FDA204" localSheetId="4" hidden="1">#REF!</definedName>
    <definedName name="BOBFE362FD57D248889A4B2F38E6FDA204" hidden="1">#REF!</definedName>
    <definedName name="BOBFEF109A12EF43C5AF471C2D8B5331FC" localSheetId="5" hidden="1">#REF!</definedName>
    <definedName name="BOBFEF109A12EF43C5AF471C2D8B5331FC" localSheetId="4" hidden="1">#REF!</definedName>
    <definedName name="BOBFEF109A12EF43C5AF471C2D8B5331FC" hidden="1">#REF!</definedName>
    <definedName name="BOBFFDDF01966245CEAD50F02A4E5CFF2B" localSheetId="5" hidden="1">#REF!</definedName>
    <definedName name="BOBFFDDF01966245CEAD50F02A4E5CFF2B" localSheetId="4" hidden="1">#REF!</definedName>
    <definedName name="BOBFFDDF01966245CEAD50F02A4E5CFF2B" hidden="1">#REF!</definedName>
    <definedName name="BOC029C03D489640C28C30B97E1E431499" localSheetId="5" hidden="1">#REF!</definedName>
    <definedName name="BOC029C03D489640C28C30B97E1E431499" localSheetId="4" hidden="1">#REF!</definedName>
    <definedName name="BOC029C03D489640C28C30B97E1E431499" hidden="1">#REF!</definedName>
    <definedName name="BOC03D34745BAC448FBC3B84E6F54C143B" localSheetId="5" hidden="1">#REF!</definedName>
    <definedName name="BOC03D34745BAC448FBC3B84E6F54C143B" localSheetId="4" hidden="1">#REF!</definedName>
    <definedName name="BOC03D34745BAC448FBC3B84E6F54C143B" hidden="1">#REF!</definedName>
    <definedName name="BOC04CF57DCDFC4B82907B0EB8306FB82B" localSheetId="5" hidden="1">#REF!</definedName>
    <definedName name="BOC04CF57DCDFC4B82907B0EB8306FB82B" localSheetId="4" hidden="1">#REF!</definedName>
    <definedName name="BOC04CF57DCDFC4B82907B0EB8306FB82B" hidden="1">#REF!</definedName>
    <definedName name="BOC07A64E270DD4266B426B50E9F125A1D" localSheetId="5" hidden="1">#REF!</definedName>
    <definedName name="BOC07A64E270DD4266B426B50E9F125A1D" localSheetId="4" hidden="1">#REF!</definedName>
    <definedName name="BOC07A64E270DD4266B426B50E9F125A1D" hidden="1">#REF!</definedName>
    <definedName name="BOC083451CA9584C4B9FAD7385194CD451" localSheetId="5" hidden="1">#REF!</definedName>
    <definedName name="BOC083451CA9584C4B9FAD7385194CD451" localSheetId="4" hidden="1">#REF!</definedName>
    <definedName name="BOC083451CA9584C4B9FAD7385194CD451" hidden="1">#REF!</definedName>
    <definedName name="BOC0900F33D9F74D8B8DE586CFA4561C28" localSheetId="5" hidden="1">#REF!</definedName>
    <definedName name="BOC0900F33D9F74D8B8DE586CFA4561C28" localSheetId="4" hidden="1">#REF!</definedName>
    <definedName name="BOC0900F33D9F74D8B8DE586CFA4561C28" hidden="1">#REF!</definedName>
    <definedName name="BOC09371D1F2E84BEEAD586C8440AF9E85" localSheetId="5" hidden="1">#REF!</definedName>
    <definedName name="BOC09371D1F2E84BEEAD586C8440AF9E85" localSheetId="4" hidden="1">#REF!</definedName>
    <definedName name="BOC09371D1F2E84BEEAD586C8440AF9E85" hidden="1">#REF!</definedName>
    <definedName name="BOC09DE70AAE1B4B418DE53F4ECC7B9EB2" localSheetId="5" hidden="1">#REF!</definedName>
    <definedName name="BOC09DE70AAE1B4B418DE53F4ECC7B9EB2" localSheetId="4" hidden="1">#REF!</definedName>
    <definedName name="BOC09DE70AAE1B4B418DE53F4ECC7B9EB2" hidden="1">#REF!</definedName>
    <definedName name="BOC0ABDBB886B842F69C3CB1E7777ECD75" localSheetId="5" hidden="1">#REF!</definedName>
    <definedName name="BOC0ABDBB886B842F69C3CB1E7777ECD75" localSheetId="4" hidden="1">#REF!</definedName>
    <definedName name="BOC0ABDBB886B842F69C3CB1E7777ECD75" hidden="1">#REF!</definedName>
    <definedName name="BOC0C46799AA654064BAABB120434E442C" localSheetId="5" hidden="1">#REF!</definedName>
    <definedName name="BOC0C46799AA654064BAABB120434E442C" localSheetId="4" hidden="1">#REF!</definedName>
    <definedName name="BOC0C46799AA654064BAABB120434E442C" hidden="1">#REF!</definedName>
    <definedName name="BOC0CCCA46296644AC85907467EEB67A86" localSheetId="5" hidden="1">#REF!</definedName>
    <definedName name="BOC0CCCA46296644AC85907467EEB67A86" localSheetId="4" hidden="1">#REF!</definedName>
    <definedName name="BOC0CCCA46296644AC85907467EEB67A86" hidden="1">#REF!</definedName>
    <definedName name="BOC0D0C0813EBF4F33917CB76FDBFB7C60" localSheetId="5" hidden="1">#REF!</definedName>
    <definedName name="BOC0D0C0813EBF4F33917CB76FDBFB7C60" localSheetId="4" hidden="1">#REF!</definedName>
    <definedName name="BOC0D0C0813EBF4F33917CB76FDBFB7C60" hidden="1">#REF!</definedName>
    <definedName name="BOC0F15969C89D48C69143FB4ED17F067E" localSheetId="5" hidden="1">#REF!</definedName>
    <definedName name="BOC0F15969C89D48C69143FB4ED17F067E" localSheetId="4" hidden="1">#REF!</definedName>
    <definedName name="BOC0F15969C89D48C69143FB4ED17F067E" hidden="1">#REF!</definedName>
    <definedName name="BOC107B6717B674C2EB1E24E70C8A2D78E" localSheetId="5" hidden="1">#REF!</definedName>
    <definedName name="BOC107B6717B674C2EB1E24E70C8A2D78E" localSheetId="4" hidden="1">#REF!</definedName>
    <definedName name="BOC107B6717B674C2EB1E24E70C8A2D78E" hidden="1">#REF!</definedName>
    <definedName name="BOC12A2E070A794A458E08E9586400CA94" localSheetId="5" hidden="1">#REF!</definedName>
    <definedName name="BOC12A2E070A794A458E08E9586400CA94" localSheetId="4" hidden="1">#REF!</definedName>
    <definedName name="BOC12A2E070A794A458E08E9586400CA94" hidden="1">#REF!</definedName>
    <definedName name="BOC1331A3748714271B2B009F21159B493" localSheetId="5" hidden="1">#REF!</definedName>
    <definedName name="BOC1331A3748714271B2B009F21159B493" localSheetId="4" hidden="1">#REF!</definedName>
    <definedName name="BOC1331A3748714271B2B009F21159B493" hidden="1">#REF!</definedName>
    <definedName name="BOC1447D764B914C4680D31BC4F864671D" localSheetId="5" hidden="1">#REF!</definedName>
    <definedName name="BOC1447D764B914C4680D31BC4F864671D" localSheetId="4" hidden="1">#REF!</definedName>
    <definedName name="BOC1447D764B914C4680D31BC4F864671D" hidden="1">#REF!</definedName>
    <definedName name="BOC1540D5EA63B44AAB228E5C3495F8EA1" localSheetId="5" hidden="1">#REF!</definedName>
    <definedName name="BOC1540D5EA63B44AAB228E5C3495F8EA1" localSheetId="4" hidden="1">#REF!</definedName>
    <definedName name="BOC1540D5EA63B44AAB228E5C3495F8EA1" hidden="1">#REF!</definedName>
    <definedName name="BOC156AACB264943ED8DE9584787C81FE3" localSheetId="5" hidden="1">#REF!</definedName>
    <definedName name="BOC156AACB264943ED8DE9584787C81FE3" localSheetId="4" hidden="1">#REF!</definedName>
    <definedName name="BOC156AACB264943ED8DE9584787C81FE3" hidden="1">#REF!</definedName>
    <definedName name="BOC15FB12785484F4FA926E3E4BA4FA48C" localSheetId="5" hidden="1">#REF!</definedName>
    <definedName name="BOC15FB12785484F4FA926E3E4BA4FA48C" localSheetId="4" hidden="1">#REF!</definedName>
    <definedName name="BOC15FB12785484F4FA926E3E4BA4FA48C" hidden="1">#REF!</definedName>
    <definedName name="BOC1665FF270474C74A986A0655C0C97F8" localSheetId="5" hidden="1">#REF!</definedName>
    <definedName name="BOC1665FF270474C74A986A0655C0C97F8" localSheetId="4" hidden="1">#REF!</definedName>
    <definedName name="BOC1665FF270474C74A986A0655C0C97F8" hidden="1">#REF!</definedName>
    <definedName name="BOC18E7BBD67BA4B1C81CCA1EB312491F5" localSheetId="5" hidden="1">#REF!</definedName>
    <definedName name="BOC18E7BBD67BA4B1C81CCA1EB312491F5" localSheetId="4" hidden="1">#REF!</definedName>
    <definedName name="BOC18E7BBD67BA4B1C81CCA1EB312491F5" hidden="1">#REF!</definedName>
    <definedName name="BOC1B168E7277D4E52B90082739573F647" localSheetId="5" hidden="1">#REF!</definedName>
    <definedName name="BOC1B168E7277D4E52B90082739573F647" localSheetId="4" hidden="1">#REF!</definedName>
    <definedName name="BOC1B168E7277D4E52B90082739573F647" hidden="1">#REF!</definedName>
    <definedName name="BOC1BF282BE1BE476088A0D359CD2ABE06" localSheetId="5" hidden="1">#REF!</definedName>
    <definedName name="BOC1BF282BE1BE476088A0D359CD2ABE06" localSheetId="4" hidden="1">#REF!</definedName>
    <definedName name="BOC1BF282BE1BE476088A0D359CD2ABE06" hidden="1">#REF!</definedName>
    <definedName name="BOC1D51866C6B14E63851A380E2D581C14" localSheetId="5" hidden="1">#REF!</definedName>
    <definedName name="BOC1D51866C6B14E63851A380E2D581C14" localSheetId="4" hidden="1">#REF!</definedName>
    <definedName name="BOC1D51866C6B14E63851A380E2D581C14" hidden="1">#REF!</definedName>
    <definedName name="BOC1DD356020184557A3FA39220108A500" localSheetId="5" hidden="1">#REF!</definedName>
    <definedName name="BOC1DD356020184557A3FA39220108A500" localSheetId="4" hidden="1">#REF!</definedName>
    <definedName name="BOC1DD356020184557A3FA39220108A500" hidden="1">#REF!</definedName>
    <definedName name="BOC1E3AFDEC6DE4B529A2CC02210E9AD12" localSheetId="5" hidden="1">[10]Giaitrinh!#REF!</definedName>
    <definedName name="BOC1E3AFDEC6DE4B529A2CC02210E9AD12" localSheetId="4" hidden="1">[10]Giaitrinh!#REF!</definedName>
    <definedName name="BOC1E3AFDEC6DE4B529A2CC02210E9AD12" hidden="1">[10]Giaitrinh!#REF!</definedName>
    <definedName name="BOC1EB78BA40C6402384910947B22306F7" localSheetId="5" hidden="1">#REF!</definedName>
    <definedName name="BOC1EB78BA40C6402384910947B22306F7" localSheetId="4" hidden="1">#REF!</definedName>
    <definedName name="BOC1EB78BA40C6402384910947B22306F7" hidden="1">#REF!</definedName>
    <definedName name="BOC20D6A8136474E8982B135F07AD78981" localSheetId="5" hidden="1">#REF!</definedName>
    <definedName name="BOC20D6A8136474E8982B135F07AD78981" localSheetId="4" hidden="1">#REF!</definedName>
    <definedName name="BOC20D6A8136474E8982B135F07AD78981" hidden="1">#REF!</definedName>
    <definedName name="BOC21C60F7B7DB471EB3E0E1B5CD744F62" localSheetId="5" hidden="1">#REF!</definedName>
    <definedName name="BOC21C60F7B7DB471EB3E0E1B5CD744F62" localSheetId="4" hidden="1">#REF!</definedName>
    <definedName name="BOC21C60F7B7DB471EB3E0E1B5CD744F62" hidden="1">#REF!</definedName>
    <definedName name="BOC2235F9F289D44D995C8FD8B0D8E1663" localSheetId="5" hidden="1">#REF!</definedName>
    <definedName name="BOC2235F9F289D44D995C8FD8B0D8E1663" localSheetId="4" hidden="1">#REF!</definedName>
    <definedName name="BOC2235F9F289D44D995C8FD8B0D8E1663" hidden="1">#REF!</definedName>
    <definedName name="BOC22B8AB3BC004F3E84FF5709DE8AB691" localSheetId="5" hidden="1">#REF!</definedName>
    <definedName name="BOC22B8AB3BC004F3E84FF5709DE8AB691" localSheetId="4" hidden="1">#REF!</definedName>
    <definedName name="BOC22B8AB3BC004F3E84FF5709DE8AB691" hidden="1">#REF!</definedName>
    <definedName name="BOC23B38ADE2474E59996815F2E26415AB" localSheetId="5" hidden="1">#REF!</definedName>
    <definedName name="BOC23B38ADE2474E59996815F2E26415AB" localSheetId="4" hidden="1">#REF!</definedName>
    <definedName name="BOC23B38ADE2474E59996815F2E26415AB" hidden="1">#REF!</definedName>
    <definedName name="BOC2452160117D45398C90A3A74E219282" localSheetId="5" hidden="1">#REF!</definedName>
    <definedName name="BOC2452160117D45398C90A3A74E219282" localSheetId="4" hidden="1">#REF!</definedName>
    <definedName name="BOC2452160117D45398C90A3A74E219282" hidden="1">#REF!</definedName>
    <definedName name="BOC24E490CEF91434FA9BEEC1F9F62F377" localSheetId="5" hidden="1">#REF!</definedName>
    <definedName name="BOC24E490CEF91434FA9BEEC1F9F62F377" localSheetId="4" hidden="1">#REF!</definedName>
    <definedName name="BOC24E490CEF91434FA9BEEC1F9F62F377" hidden="1">#REF!</definedName>
    <definedName name="BOC25CA19C04EB461383765BC725F1A9C0" localSheetId="5" hidden="1">#REF!</definedName>
    <definedName name="BOC25CA19C04EB461383765BC725F1A9C0" localSheetId="4" hidden="1">#REF!</definedName>
    <definedName name="BOC25CA19C04EB461383765BC725F1A9C0" hidden="1">#REF!</definedName>
    <definedName name="BOC262AD47CD4C46F1918088408A71FFB7" localSheetId="5" hidden="1">#REF!</definedName>
    <definedName name="BOC262AD47CD4C46F1918088408A71FFB7" localSheetId="4" hidden="1">#REF!</definedName>
    <definedName name="BOC262AD47CD4C46F1918088408A71FFB7" hidden="1">#REF!</definedName>
    <definedName name="BOC27910CCBD7F4B3BBE5E23D088987029" localSheetId="5" hidden="1">#REF!</definedName>
    <definedName name="BOC27910CCBD7F4B3BBE5E23D088987029" localSheetId="4" hidden="1">#REF!</definedName>
    <definedName name="BOC27910CCBD7F4B3BBE5E23D088987029" hidden="1">#REF!</definedName>
    <definedName name="BOC2991FBF63B04256A3D7886BB4EF764B" localSheetId="5" hidden="1">#REF!</definedName>
    <definedName name="BOC2991FBF63B04256A3D7886BB4EF764B" localSheetId="4" hidden="1">#REF!</definedName>
    <definedName name="BOC2991FBF63B04256A3D7886BB4EF764B" hidden="1">#REF!</definedName>
    <definedName name="BOC2A368458B8C466A8EAB350D814B6553" localSheetId="5" hidden="1">#REF!</definedName>
    <definedName name="BOC2A368458B8C466A8EAB350D814B6553" localSheetId="4" hidden="1">#REF!</definedName>
    <definedName name="BOC2A368458B8C466A8EAB350D814B6553" hidden="1">#REF!</definedName>
    <definedName name="BOC2BD5FFDAEE6428485C3A37469FC06C9" localSheetId="5" hidden="1">#REF!</definedName>
    <definedName name="BOC2BD5FFDAEE6428485C3A37469FC06C9" localSheetId="4" hidden="1">#REF!</definedName>
    <definedName name="BOC2BD5FFDAEE6428485C3A37469FC06C9" hidden="1">#REF!</definedName>
    <definedName name="BOC30112A4C82B4FDB9A0BE4DE668F4582" localSheetId="5" hidden="1">#REF!</definedName>
    <definedName name="BOC30112A4C82B4FDB9A0BE4DE668F4582" localSheetId="4" hidden="1">#REF!</definedName>
    <definedName name="BOC30112A4C82B4FDB9A0BE4DE668F4582" hidden="1">#REF!</definedName>
    <definedName name="BOC315C16ABF3241D98DA43390C5DA0144" localSheetId="5" hidden="1">#REF!</definedName>
    <definedName name="BOC315C16ABF3241D98DA43390C5DA0144" localSheetId="4" hidden="1">#REF!</definedName>
    <definedName name="BOC315C16ABF3241D98DA43390C5DA0144" hidden="1">#REF!</definedName>
    <definedName name="BOC33F726F883A41B8958DFE6F3AD2FBC6" localSheetId="5" hidden="1">#REF!</definedName>
    <definedName name="BOC33F726F883A41B8958DFE6F3AD2FBC6" localSheetId="4" hidden="1">#REF!</definedName>
    <definedName name="BOC33F726F883A41B8958DFE6F3AD2FBC6" hidden="1">#REF!</definedName>
    <definedName name="BOC343F21B6DD940F0A688481148243E9A" localSheetId="5" hidden="1">#REF!</definedName>
    <definedName name="BOC343F21B6DD940F0A688481148243E9A" localSheetId="4" hidden="1">#REF!</definedName>
    <definedName name="BOC343F21B6DD940F0A688481148243E9A" hidden="1">#REF!</definedName>
    <definedName name="BOC346959D12604E6AA3F4213550E113BC" localSheetId="5" hidden="1">#REF!</definedName>
    <definedName name="BOC346959D12604E6AA3F4213550E113BC" localSheetId="4" hidden="1">#REF!</definedName>
    <definedName name="BOC346959D12604E6AA3F4213550E113BC" hidden="1">#REF!</definedName>
    <definedName name="BOC3568EEBF2E1419EA9BEFDDFA241C67E" localSheetId="5" hidden="1">#REF!</definedName>
    <definedName name="BOC3568EEBF2E1419EA9BEFDDFA241C67E" localSheetId="4" hidden="1">#REF!</definedName>
    <definedName name="BOC3568EEBF2E1419EA9BEFDDFA241C67E" hidden="1">#REF!</definedName>
    <definedName name="BOC35ADF6F14B948919BD25280A05E3AC1" localSheetId="5" hidden="1">[8]Ketqua!#REF!</definedName>
    <definedName name="BOC35ADF6F14B948919BD25280A05E3AC1" localSheetId="4" hidden="1">[8]Ketqua!#REF!</definedName>
    <definedName name="BOC35ADF6F14B948919BD25280A05E3AC1" hidden="1">[8]Ketqua!#REF!</definedName>
    <definedName name="BOC365FC61CAF6449BB1865E7D5BCCE2C3" localSheetId="5" hidden="1">#REF!</definedName>
    <definedName name="BOC365FC61CAF6449BB1865E7D5BCCE2C3" localSheetId="4" hidden="1">#REF!</definedName>
    <definedName name="BOC365FC61CAF6449BB1865E7D5BCCE2C3" hidden="1">#REF!</definedName>
    <definedName name="BOC36FB1CFCC55488DBE1D9D0C21E5BBA7" localSheetId="5" hidden="1">#REF!</definedName>
    <definedName name="BOC36FB1CFCC55488DBE1D9D0C21E5BBA7" localSheetId="4" hidden="1">#REF!</definedName>
    <definedName name="BOC36FB1CFCC55488DBE1D9D0C21E5BBA7" hidden="1">#REF!</definedName>
    <definedName name="BOC39750E43B5B4EC892EABA56991C183A" localSheetId="5" hidden="1">#REF!</definedName>
    <definedName name="BOC39750E43B5B4EC892EABA56991C183A" localSheetId="4" hidden="1">#REF!</definedName>
    <definedName name="BOC39750E43B5B4EC892EABA56991C183A" hidden="1">#REF!</definedName>
    <definedName name="BOC3A2C5E32A78490FA02F0D6AFD24DFC0" localSheetId="5" hidden="1">[8]Ketqua!#REF!</definedName>
    <definedName name="BOC3A2C5E32A78490FA02F0D6AFD24DFC0" localSheetId="4" hidden="1">[8]Ketqua!#REF!</definedName>
    <definedName name="BOC3A2C5E32A78490FA02F0D6AFD24DFC0" hidden="1">[8]Ketqua!#REF!</definedName>
    <definedName name="BOC3A9C703D7634F08B5DF2513CF26EEDB" localSheetId="5" hidden="1">#REF!</definedName>
    <definedName name="BOC3A9C703D7634F08B5DF2513CF26EEDB" localSheetId="4" hidden="1">#REF!</definedName>
    <definedName name="BOC3A9C703D7634F08B5DF2513CF26EEDB" hidden="1">#REF!</definedName>
    <definedName name="BOC3BE0B3CB78343F4A399BBD08E033B34" localSheetId="5" hidden="1">#REF!</definedName>
    <definedName name="BOC3BE0B3CB78343F4A399BBD08E033B34" localSheetId="4" hidden="1">#REF!</definedName>
    <definedName name="BOC3BE0B3CB78343F4A399BBD08E033B34" hidden="1">#REF!</definedName>
    <definedName name="BOC3CBB290D163430A91DDA7599ED108F6" localSheetId="5" hidden="1">#REF!</definedName>
    <definedName name="BOC3CBB290D163430A91DDA7599ED108F6" localSheetId="4" hidden="1">#REF!</definedName>
    <definedName name="BOC3CBB290D163430A91DDA7599ED108F6" hidden="1">#REF!</definedName>
    <definedName name="BOC3E2F600260C4B2CBBE8729CC1ACAA06" localSheetId="5" hidden="1">#REF!</definedName>
    <definedName name="BOC3E2F600260C4B2CBBE8729CC1ACAA06" localSheetId="4" hidden="1">#REF!</definedName>
    <definedName name="BOC3E2F600260C4B2CBBE8729CC1ACAA06" hidden="1">#REF!</definedName>
    <definedName name="BOC3E7BE7CDD614CCDA81E58B92747C264" localSheetId="5" hidden="1">#REF!</definedName>
    <definedName name="BOC3E7BE7CDD614CCDA81E58B92747C264" localSheetId="4" hidden="1">#REF!</definedName>
    <definedName name="BOC3E7BE7CDD614CCDA81E58B92747C264" hidden="1">#REF!</definedName>
    <definedName name="BOC3EDBD5E04274C828D0583C086AECB10" localSheetId="5" hidden="1">#REF!</definedName>
    <definedName name="BOC3EDBD5E04274C828D0583C086AECB10" localSheetId="4" hidden="1">#REF!</definedName>
    <definedName name="BOC3EDBD5E04274C828D0583C086AECB10" hidden="1">#REF!</definedName>
    <definedName name="BOC405110C7ACE4B42877F3AAB5A0BB863" localSheetId="5" hidden="1">#REF!</definedName>
    <definedName name="BOC405110C7ACE4B42877F3AAB5A0BB863" localSheetId="4" hidden="1">#REF!</definedName>
    <definedName name="BOC405110C7ACE4B42877F3AAB5A0BB863" hidden="1">#REF!</definedName>
    <definedName name="BOC438E5AB00C9410DAB817A8739F9C426" localSheetId="5" hidden="1">#REF!</definedName>
    <definedName name="BOC438E5AB00C9410DAB817A8739F9C426" localSheetId="4" hidden="1">#REF!</definedName>
    <definedName name="BOC438E5AB00C9410DAB817A8739F9C426" hidden="1">#REF!</definedName>
    <definedName name="BOC439B4B26F0C4D33B0293C6A9EA4AF33" localSheetId="5" hidden="1">#REF!</definedName>
    <definedName name="BOC439B4B26F0C4D33B0293C6A9EA4AF33" localSheetId="4" hidden="1">#REF!</definedName>
    <definedName name="BOC439B4B26F0C4D33B0293C6A9EA4AF33" hidden="1">#REF!</definedName>
    <definedName name="BOC43B69839854400A904778932A9E664F" localSheetId="5" hidden="1">#REF!</definedName>
    <definedName name="BOC43B69839854400A904778932A9E664F" localSheetId="4" hidden="1">#REF!</definedName>
    <definedName name="BOC43B69839854400A904778932A9E664F" hidden="1">#REF!</definedName>
    <definedName name="BOC4471151C06B43499A16E3B350A1CB30" localSheetId="5" hidden="1">#REF!</definedName>
    <definedName name="BOC4471151C06B43499A16E3B350A1CB30" localSheetId="4" hidden="1">#REF!</definedName>
    <definedName name="BOC4471151C06B43499A16E3B350A1CB30" hidden="1">#REF!</definedName>
    <definedName name="BOC454901313FE439D9572F5B9DD403A53" localSheetId="5" hidden="1">#REF!</definedName>
    <definedName name="BOC454901313FE439D9572F5B9DD403A53" localSheetId="4" hidden="1">#REF!</definedName>
    <definedName name="BOC454901313FE439D9572F5B9DD403A53" hidden="1">#REF!</definedName>
    <definedName name="BOC473037395EF41CB9003BD66C5957660" localSheetId="5" hidden="1">#REF!</definedName>
    <definedName name="BOC473037395EF41CB9003BD66C5957660" localSheetId="4" hidden="1">#REF!</definedName>
    <definedName name="BOC473037395EF41CB9003BD66C5957660" hidden="1">#REF!</definedName>
    <definedName name="BOC482F327D8574379A20E908BC5EB2993" localSheetId="5" hidden="1">#REF!</definedName>
    <definedName name="BOC482F327D8574379A20E908BC5EB2993" localSheetId="4" hidden="1">#REF!</definedName>
    <definedName name="BOC482F327D8574379A20E908BC5EB2993" hidden="1">#REF!</definedName>
    <definedName name="BOC49D30DCC91B4948B1B91B358D1BFDF4" localSheetId="5" hidden="1">#REF!</definedName>
    <definedName name="BOC49D30DCC91B4948B1B91B358D1BFDF4" localSheetId="4" hidden="1">#REF!</definedName>
    <definedName name="BOC49D30DCC91B4948B1B91B358D1BFDF4" hidden="1">#REF!</definedName>
    <definedName name="BOC49E9A4987384DF7928DE15609690700" localSheetId="5" hidden="1">#REF!</definedName>
    <definedName name="BOC49E9A4987384DF7928DE15609690700" localSheetId="4" hidden="1">#REF!</definedName>
    <definedName name="BOC49E9A4987384DF7928DE15609690700" hidden="1">#REF!</definedName>
    <definedName name="BOC4A44047BA05405EAEEF214300009915" localSheetId="5" hidden="1">#REF!</definedName>
    <definedName name="BOC4A44047BA05405EAEEF214300009915" localSheetId="4" hidden="1">#REF!</definedName>
    <definedName name="BOC4A44047BA05405EAEEF214300009915" hidden="1">#REF!</definedName>
    <definedName name="BOC4A6BB89CD2B435293F191D82C0F58C9" localSheetId="5" hidden="1">#REF!</definedName>
    <definedName name="BOC4A6BB89CD2B435293F191D82C0F58C9" localSheetId="4" hidden="1">#REF!</definedName>
    <definedName name="BOC4A6BB89CD2B435293F191D82C0F58C9" hidden="1">#REF!</definedName>
    <definedName name="BOC4A767B09284438782DDCA88D6B4AA77" localSheetId="5" hidden="1">#REF!</definedName>
    <definedName name="BOC4A767B09284438782DDCA88D6B4AA77" localSheetId="4" hidden="1">#REF!</definedName>
    <definedName name="BOC4A767B09284438782DDCA88D6B4AA77" hidden="1">#REF!</definedName>
    <definedName name="BOC4B00C308D204BE4B36D6D0F97F6EE83" localSheetId="5" hidden="1">#REF!</definedName>
    <definedName name="BOC4B00C308D204BE4B36D6D0F97F6EE83" localSheetId="4" hidden="1">#REF!</definedName>
    <definedName name="BOC4B00C308D204BE4B36D6D0F97F6EE83" hidden="1">#REF!</definedName>
    <definedName name="BOC4C1021C64E347E98DBB04790018748A" localSheetId="5" hidden="1">#REF!</definedName>
    <definedName name="BOC4C1021C64E347E98DBB04790018748A" localSheetId="4" hidden="1">#REF!</definedName>
    <definedName name="BOC4C1021C64E347E98DBB04790018748A" hidden="1">#REF!</definedName>
    <definedName name="BOC4C301D63FB048DFBBB6C1766C1386B8" localSheetId="5" hidden="1">#REF!</definedName>
    <definedName name="BOC4C301D63FB048DFBBB6C1766C1386B8" localSheetId="4" hidden="1">#REF!</definedName>
    <definedName name="BOC4C301D63FB048DFBBB6C1766C1386B8" hidden="1">#REF!</definedName>
    <definedName name="BOC4C4A4CB425E4BEBA454F692F9A55D64" localSheetId="5" hidden="1">#REF!</definedName>
    <definedName name="BOC4C4A4CB425E4BEBA454F692F9A55D64" localSheetId="4" hidden="1">#REF!</definedName>
    <definedName name="BOC4C4A4CB425E4BEBA454F692F9A55D64" hidden="1">#REF!</definedName>
    <definedName name="BOC4CD3783D6684663939B79F770F1581D" localSheetId="5" hidden="1">#REF!</definedName>
    <definedName name="BOC4CD3783D6684663939B79F770F1581D" localSheetId="4" hidden="1">#REF!</definedName>
    <definedName name="BOC4CD3783D6684663939B79F770F1581D" hidden="1">#REF!</definedName>
    <definedName name="BOC4E10706ED9D43BA88876806383214AF" localSheetId="5" hidden="1">#REF!</definedName>
    <definedName name="BOC4E10706ED9D43BA88876806383214AF" localSheetId="4" hidden="1">#REF!</definedName>
    <definedName name="BOC4E10706ED9D43BA88876806383214AF" hidden="1">#REF!</definedName>
    <definedName name="BOC511D83A0C974EF8AD8E92A38214A8D5" localSheetId="5" hidden="1">#REF!</definedName>
    <definedName name="BOC511D83A0C974EF8AD8E92A38214A8D5" localSheetId="4" hidden="1">#REF!</definedName>
    <definedName name="BOC511D83A0C974EF8AD8E92A38214A8D5" hidden="1">#REF!</definedName>
    <definedName name="BOC5188E1B24F64FDDB5925AA2B865D6BD" localSheetId="5" hidden="1">#REF!</definedName>
    <definedName name="BOC5188E1B24F64FDDB5925AA2B865D6BD" localSheetId="4" hidden="1">#REF!</definedName>
    <definedName name="BOC5188E1B24F64FDDB5925AA2B865D6BD" hidden="1">#REF!</definedName>
    <definedName name="BOC522634DDC464314809CDF99493533FC" localSheetId="5" hidden="1">#REF!</definedName>
    <definedName name="BOC522634DDC464314809CDF99493533FC" localSheetId="4" hidden="1">#REF!</definedName>
    <definedName name="BOC522634DDC464314809CDF99493533FC" hidden="1">#REF!</definedName>
    <definedName name="BOC52F979622BD461AAED93206E628CE9A" localSheetId="5" hidden="1">#REF!</definedName>
    <definedName name="BOC52F979622BD461AAED93206E628CE9A" localSheetId="4" hidden="1">#REF!</definedName>
    <definedName name="BOC52F979622BD461AAED93206E628CE9A" hidden="1">#REF!</definedName>
    <definedName name="BOC53ABAD117D147CD96973836FCDA8BE3" localSheetId="5" hidden="1">#REF!</definedName>
    <definedName name="BOC53ABAD117D147CD96973836FCDA8BE3" localSheetId="4" hidden="1">#REF!</definedName>
    <definedName name="BOC53ABAD117D147CD96973836FCDA8BE3" hidden="1">#REF!</definedName>
    <definedName name="BOC53AC4CB11C347AEBC20162A7FF8B50D" localSheetId="5" hidden="1">#REF!</definedName>
    <definedName name="BOC53AC4CB11C347AEBC20162A7FF8B50D" localSheetId="4" hidden="1">#REF!</definedName>
    <definedName name="BOC53AC4CB11C347AEBC20162A7FF8B50D" hidden="1">#REF!</definedName>
    <definedName name="BOC54204551F1D42B9BD6174DBDD9D741F" localSheetId="5" hidden="1">#REF!</definedName>
    <definedName name="BOC54204551F1D42B9BD6174DBDD9D741F" localSheetId="4" hidden="1">#REF!</definedName>
    <definedName name="BOC54204551F1D42B9BD6174DBDD9D741F" hidden="1">#REF!</definedName>
    <definedName name="BOC54DEECFAAAB4DBB87EE4DD5A89BD6C9" localSheetId="5" hidden="1">#REF!</definedName>
    <definedName name="BOC54DEECFAAAB4DBB87EE4DD5A89BD6C9" localSheetId="4" hidden="1">#REF!</definedName>
    <definedName name="BOC54DEECFAAAB4DBB87EE4DD5A89BD6C9" hidden="1">#REF!</definedName>
    <definedName name="BOC551D7779FF74F4EB6CC609F3CB55CD9" localSheetId="5" hidden="1">[8]Ketqua!#REF!</definedName>
    <definedName name="BOC551D7779FF74F4EB6CC609F3CB55CD9" localSheetId="4" hidden="1">[8]Ketqua!#REF!</definedName>
    <definedName name="BOC551D7779FF74F4EB6CC609F3CB55CD9" hidden="1">[8]Ketqua!#REF!</definedName>
    <definedName name="BOC551DE2E91D44244ADD2A1963C33F5E1" localSheetId="5" hidden="1">#REF!</definedName>
    <definedName name="BOC551DE2E91D44244ADD2A1963C33F5E1" localSheetId="4" hidden="1">#REF!</definedName>
    <definedName name="BOC551DE2E91D44244ADD2A1963C33F5E1" hidden="1">#REF!</definedName>
    <definedName name="BOC55FB86CC555433C8D103CA108AA7E48" localSheetId="5" hidden="1">#REF!</definedName>
    <definedName name="BOC55FB86CC555433C8D103CA108AA7E48" localSheetId="4" hidden="1">#REF!</definedName>
    <definedName name="BOC55FB86CC555433C8D103CA108AA7E48" hidden="1">#REF!</definedName>
    <definedName name="BOC57265C045CA450DBB172F33D90D9979" localSheetId="5" hidden="1">#REF!</definedName>
    <definedName name="BOC57265C045CA450DBB172F33D90D9979" localSheetId="4" hidden="1">#REF!</definedName>
    <definedName name="BOC57265C045CA450DBB172F33D90D9979" hidden="1">#REF!</definedName>
    <definedName name="BOC58BA568B16F45909ABF7CBE66360C96" localSheetId="5" hidden="1">#REF!</definedName>
    <definedName name="BOC58BA568B16F45909ABF7CBE66360C96" localSheetId="4" hidden="1">#REF!</definedName>
    <definedName name="BOC58BA568B16F45909ABF7CBE66360C96" hidden="1">#REF!</definedName>
    <definedName name="BOC594B4F835E7418D90F061F92E8FB202" localSheetId="5" hidden="1">#REF!</definedName>
    <definedName name="BOC594B4F835E7418D90F061F92E8FB202" localSheetId="4" hidden="1">#REF!</definedName>
    <definedName name="BOC594B4F835E7418D90F061F92E8FB202" hidden="1">#REF!</definedName>
    <definedName name="BOC5AAE40B455D4043B6078A525F8433B7" localSheetId="5" hidden="1">#REF!</definedName>
    <definedName name="BOC5AAE40B455D4043B6078A525F8433B7" localSheetId="4" hidden="1">#REF!</definedName>
    <definedName name="BOC5AAE40B455D4043B6078A525F8433B7" hidden="1">#REF!</definedName>
    <definedName name="BOC5B50A3B093A4281A75D4209F6A75893" localSheetId="5" hidden="1">#REF!</definedName>
    <definedName name="BOC5B50A3B093A4281A75D4209F6A75893" localSheetId="4" hidden="1">#REF!</definedName>
    <definedName name="BOC5B50A3B093A4281A75D4209F6A75893" hidden="1">#REF!</definedName>
    <definedName name="BOC5C310983B4A4E16AECA5B9C6C7341BA" localSheetId="5" hidden="1">#REF!</definedName>
    <definedName name="BOC5C310983B4A4E16AECA5B9C6C7341BA" localSheetId="4" hidden="1">#REF!</definedName>
    <definedName name="BOC5C310983B4A4E16AECA5B9C6C7341BA" hidden="1">#REF!</definedName>
    <definedName name="BOC5D2085595774C20ADD41578FFB4B463" localSheetId="5" hidden="1">#REF!</definedName>
    <definedName name="BOC5D2085595774C20ADD41578FFB4B463" localSheetId="4" hidden="1">#REF!</definedName>
    <definedName name="BOC5D2085595774C20ADD41578FFB4B463" hidden="1">#REF!</definedName>
    <definedName name="BOC5D38918F0F646518F9BF5563B971E18" localSheetId="5" hidden="1">#REF!</definedName>
    <definedName name="BOC5D38918F0F646518F9BF5563B971E18" localSheetId="4" hidden="1">#REF!</definedName>
    <definedName name="BOC5D38918F0F646518F9BF5563B971E18" hidden="1">#REF!</definedName>
    <definedName name="BOC5FB79A4E3E540F8AE42FE861B1410EC" localSheetId="5" hidden="1">#REF!</definedName>
    <definedName name="BOC5FB79A4E3E540F8AE42FE861B1410EC" localSheetId="4" hidden="1">#REF!</definedName>
    <definedName name="BOC5FB79A4E3E540F8AE42FE861B1410EC" hidden="1">#REF!</definedName>
    <definedName name="BOC611376B3C6C45C99450D1DCF9397302" localSheetId="5" hidden="1">#REF!</definedName>
    <definedName name="BOC611376B3C6C45C99450D1DCF9397302" localSheetId="4" hidden="1">#REF!</definedName>
    <definedName name="BOC611376B3C6C45C99450D1DCF9397302" hidden="1">#REF!</definedName>
    <definedName name="BOC611F0AC63CB47E09FB9F42D0B6DA82B" localSheetId="5" hidden="1">#REF!</definedName>
    <definedName name="BOC611F0AC63CB47E09FB9F42D0B6DA82B" localSheetId="4" hidden="1">#REF!</definedName>
    <definedName name="BOC611F0AC63CB47E09FB9F42D0B6DA82B" hidden="1">#REF!</definedName>
    <definedName name="BOC612254B51284FEE866CB31C88AFD453" localSheetId="5" hidden="1">#REF!</definedName>
    <definedName name="BOC612254B51284FEE866CB31C88AFD453" localSheetId="4" hidden="1">#REF!</definedName>
    <definedName name="BOC612254B51284FEE866CB31C88AFD453" hidden="1">#REF!</definedName>
    <definedName name="BOC6136ACAF1304E288216E27040F4D5E2" localSheetId="5" hidden="1">#REF!</definedName>
    <definedName name="BOC6136ACAF1304E288216E27040F4D5E2" localSheetId="4" hidden="1">#REF!</definedName>
    <definedName name="BOC6136ACAF1304E288216E27040F4D5E2" hidden="1">#REF!</definedName>
    <definedName name="BOC61DAC29429047E49941643414EF43CB" localSheetId="5" hidden="1">#REF!</definedName>
    <definedName name="BOC61DAC29429047E49941643414EF43CB" localSheetId="4" hidden="1">#REF!</definedName>
    <definedName name="BOC61DAC29429047E49941643414EF43CB" hidden="1">#REF!</definedName>
    <definedName name="BOC635E4B3F5B44401A9DC58B91B784FD5" localSheetId="5" hidden="1">#REF!</definedName>
    <definedName name="BOC635E4B3F5B44401A9DC58B91B784FD5" localSheetId="4" hidden="1">#REF!</definedName>
    <definedName name="BOC635E4B3F5B44401A9DC58B91B784FD5" hidden="1">#REF!</definedName>
    <definedName name="BOC6468585AB6A4AE28970E03B2C62231E" localSheetId="5" hidden="1">#REF!</definedName>
    <definedName name="BOC6468585AB6A4AE28970E03B2C62231E" localSheetId="4" hidden="1">#REF!</definedName>
    <definedName name="BOC6468585AB6A4AE28970E03B2C62231E" hidden="1">#REF!</definedName>
    <definedName name="BOC64C2B32864B4E13A1508C1A5913F163" localSheetId="5" hidden="1">#REF!</definedName>
    <definedName name="BOC64C2B32864B4E13A1508C1A5913F163" localSheetId="4" hidden="1">#REF!</definedName>
    <definedName name="BOC64C2B32864B4E13A1508C1A5913F163" hidden="1">#REF!</definedName>
    <definedName name="BOC65919DB60B64FFF93DB70579668EFC1" localSheetId="5" hidden="1">#REF!</definedName>
    <definedName name="BOC65919DB60B64FFF93DB70579668EFC1" localSheetId="4" hidden="1">#REF!</definedName>
    <definedName name="BOC65919DB60B64FFF93DB70579668EFC1" hidden="1">#REF!</definedName>
    <definedName name="BOC659C53743D5499EADD2474C5A6BE0FB" localSheetId="5" hidden="1">#REF!</definedName>
    <definedName name="BOC659C53743D5499EADD2474C5A6BE0FB" localSheetId="4" hidden="1">#REF!</definedName>
    <definedName name="BOC659C53743D5499EADD2474C5A6BE0FB" hidden="1">#REF!</definedName>
    <definedName name="BOC6601207ADB74941835C10583405D57E" localSheetId="5" hidden="1">#REF!</definedName>
    <definedName name="BOC6601207ADB74941835C10583405D57E" localSheetId="4" hidden="1">#REF!</definedName>
    <definedName name="BOC6601207ADB74941835C10583405D57E" hidden="1">#REF!</definedName>
    <definedName name="BOC6AF8DD1DEA34721BD0118E22F55322B" localSheetId="5" hidden="1">#REF!</definedName>
    <definedName name="BOC6AF8DD1DEA34721BD0118E22F55322B" localSheetId="4" hidden="1">#REF!</definedName>
    <definedName name="BOC6AF8DD1DEA34721BD0118E22F55322B" hidden="1">#REF!</definedName>
    <definedName name="BOC713767E8337488AAE5F930FE124F2D3" localSheetId="5" hidden="1">#REF!</definedName>
    <definedName name="BOC713767E8337488AAE5F930FE124F2D3" localSheetId="4" hidden="1">#REF!</definedName>
    <definedName name="BOC713767E8337488AAE5F930FE124F2D3" hidden="1">#REF!</definedName>
    <definedName name="BOC720578C9E594CF695ACFADC24BF33A4" localSheetId="5" hidden="1">#REF!</definedName>
    <definedName name="BOC720578C9E594CF695ACFADC24BF33A4" localSheetId="4" hidden="1">#REF!</definedName>
    <definedName name="BOC720578C9E594CF695ACFADC24BF33A4" hidden="1">#REF!</definedName>
    <definedName name="BOC72642EAE84F4C0096A0010541BCB983" localSheetId="5" hidden="1">#REF!</definedName>
    <definedName name="BOC72642EAE84F4C0096A0010541BCB983" localSheetId="4" hidden="1">#REF!</definedName>
    <definedName name="BOC72642EAE84F4C0096A0010541BCB983" hidden="1">#REF!</definedName>
    <definedName name="BOC72BB273A64E48D8828E544B36E74CCB" localSheetId="5" hidden="1">#REF!</definedName>
    <definedName name="BOC72BB273A64E48D8828E544B36E74CCB" localSheetId="4" hidden="1">#REF!</definedName>
    <definedName name="BOC72BB273A64E48D8828E544B36E74CCB" hidden="1">#REF!</definedName>
    <definedName name="BOC74E2E52F1F04BCDB8806902B5A8B9EC" localSheetId="5" hidden="1">#REF!</definedName>
    <definedName name="BOC74E2E52F1F04BCDB8806902B5A8B9EC" localSheetId="4" hidden="1">#REF!</definedName>
    <definedName name="BOC74E2E52F1F04BCDB8806902B5A8B9EC" hidden="1">#REF!</definedName>
    <definedName name="BOC7550D6B285E490293662B72CB034999" localSheetId="5" hidden="1">#REF!</definedName>
    <definedName name="BOC7550D6B285E490293662B72CB034999" localSheetId="4" hidden="1">#REF!</definedName>
    <definedName name="BOC7550D6B285E490293662B72CB034999" hidden="1">#REF!</definedName>
    <definedName name="BOC757C86E45244719B2561FDD31404836" localSheetId="5" hidden="1">#REF!</definedName>
    <definedName name="BOC757C86E45244719B2561FDD31404836" localSheetId="4" hidden="1">#REF!</definedName>
    <definedName name="BOC757C86E45244719B2561FDD31404836" hidden="1">#REF!</definedName>
    <definedName name="BOC7648B68F3584BF2A4591BD690092222" localSheetId="5" hidden="1">#REF!</definedName>
    <definedName name="BOC7648B68F3584BF2A4591BD690092222" localSheetId="4" hidden="1">#REF!</definedName>
    <definedName name="BOC7648B68F3584BF2A4591BD690092222" hidden="1">#REF!</definedName>
    <definedName name="BOC77E0AB3D3CA4A1C8329F9857EE8F36C" localSheetId="5" hidden="1">#REF!</definedName>
    <definedName name="BOC77E0AB3D3CA4A1C8329F9857EE8F36C" localSheetId="4" hidden="1">#REF!</definedName>
    <definedName name="BOC77E0AB3D3CA4A1C8329F9857EE8F36C" hidden="1">#REF!</definedName>
    <definedName name="BOC77F535725A6438A8AAAC952740EF899" localSheetId="5" hidden="1">#REF!</definedName>
    <definedName name="BOC77F535725A6438A8AAAC952740EF899" localSheetId="4" hidden="1">#REF!</definedName>
    <definedName name="BOC77F535725A6438A8AAAC952740EF899" hidden="1">#REF!</definedName>
    <definedName name="BOC7B274FF472245C2B140F67E5FD1665B" localSheetId="5" hidden="1">#REF!</definedName>
    <definedName name="BOC7B274FF472245C2B140F67E5FD1665B" localSheetId="4" hidden="1">#REF!</definedName>
    <definedName name="BOC7B274FF472245C2B140F67E5FD1665B" hidden="1">#REF!</definedName>
    <definedName name="BOC7D2E11843E0453DB764C67C96D9ADF1" localSheetId="5" hidden="1">#REF!</definedName>
    <definedName name="BOC7D2E11843E0453DB764C67C96D9ADF1" localSheetId="4" hidden="1">#REF!</definedName>
    <definedName name="BOC7D2E11843E0453DB764C67C96D9ADF1" hidden="1">#REF!</definedName>
    <definedName name="BOC7FECB190F654212AF3F13F583581D59" localSheetId="5" hidden="1">#REF!</definedName>
    <definedName name="BOC7FECB190F654212AF3F13F583581D59" localSheetId="4" hidden="1">#REF!</definedName>
    <definedName name="BOC7FECB190F654212AF3F13F583581D59" hidden="1">#REF!</definedName>
    <definedName name="BOC809B7F8F4B14E208E5C54561FDB0F73" localSheetId="5" hidden="1">#REF!</definedName>
    <definedName name="BOC809B7F8F4B14E208E5C54561FDB0F73" localSheetId="4" hidden="1">#REF!</definedName>
    <definedName name="BOC809B7F8F4B14E208E5C54561FDB0F73" hidden="1">#REF!</definedName>
    <definedName name="BOC812A08FFF08478E87D119AB81FAE120" localSheetId="5" hidden="1">#REF!</definedName>
    <definedName name="BOC812A08FFF08478E87D119AB81FAE120" localSheetId="4" hidden="1">#REF!</definedName>
    <definedName name="BOC812A08FFF08478E87D119AB81FAE120" hidden="1">#REF!</definedName>
    <definedName name="BOC8137838440B47DAAC1ED794C15C441F" localSheetId="5" hidden="1">#REF!</definedName>
    <definedName name="BOC8137838440B47DAAC1ED794C15C441F" localSheetId="4" hidden="1">#REF!</definedName>
    <definedName name="BOC8137838440B47DAAC1ED794C15C441F" hidden="1">#REF!</definedName>
    <definedName name="BOC8231C2E9D8D4406BEC83D6F992CA139" localSheetId="5" hidden="1">#REF!</definedName>
    <definedName name="BOC8231C2E9D8D4406BEC83D6F992CA139" localSheetId="4" hidden="1">#REF!</definedName>
    <definedName name="BOC8231C2E9D8D4406BEC83D6F992CA139" hidden="1">#REF!</definedName>
    <definedName name="BOC83FD12B13AF491DB29F996D5C65F9BF" localSheetId="5" hidden="1">#REF!</definedName>
    <definedName name="BOC83FD12B13AF491DB29F996D5C65F9BF" localSheetId="4" hidden="1">#REF!</definedName>
    <definedName name="BOC83FD12B13AF491DB29F996D5C65F9BF" hidden="1">#REF!</definedName>
    <definedName name="BOC869EDE25CC544CEA5A645A5E7A6B9AD" hidden="1">[8]Ketqua!$I$17:$U$17</definedName>
    <definedName name="BOC87D3336154245E3827858692226AFA4" localSheetId="5" hidden="1">#REF!</definedName>
    <definedName name="BOC87D3336154245E3827858692226AFA4" localSheetId="4" hidden="1">#REF!</definedName>
    <definedName name="BOC87D3336154245E3827858692226AFA4" hidden="1">#REF!</definedName>
    <definedName name="BOC88CDAF756A04342B92A57969166ABBF" localSheetId="5" hidden="1">#REF!</definedName>
    <definedName name="BOC88CDAF756A04342B92A57969166ABBF" localSheetId="4" hidden="1">#REF!</definedName>
    <definedName name="BOC88CDAF756A04342B92A57969166ABBF" hidden="1">#REF!</definedName>
    <definedName name="BOC896FC9D8F0841CAB1EA5A7E80358CCE" localSheetId="5" hidden="1">#REF!</definedName>
    <definedName name="BOC896FC9D8F0841CAB1EA5A7E80358CCE" localSheetId="4" hidden="1">#REF!</definedName>
    <definedName name="BOC896FC9D8F0841CAB1EA5A7E80358CCE" hidden="1">#REF!</definedName>
    <definedName name="BOC89ECEB280F34A1B87031041C2CF7847" localSheetId="5" hidden="1">#REF!</definedName>
    <definedName name="BOC89ECEB280F34A1B87031041C2CF7847" localSheetId="4" hidden="1">#REF!</definedName>
    <definedName name="BOC89ECEB280F34A1B87031041C2CF7847" hidden="1">#REF!</definedName>
    <definedName name="BOC8BC5627E1B34E0A8B05A4AAB8DD2DE8" localSheetId="5" hidden="1">#REF!</definedName>
    <definedName name="BOC8BC5627E1B34E0A8B05A4AAB8DD2DE8" localSheetId="4" hidden="1">#REF!</definedName>
    <definedName name="BOC8BC5627E1B34E0A8B05A4AAB8DD2DE8" hidden="1">#REF!</definedName>
    <definedName name="BOC8C22820924F41ED968636277E46E23C" localSheetId="5" hidden="1">#REF!</definedName>
    <definedName name="BOC8C22820924F41ED968636277E46E23C" localSheetId="4" hidden="1">#REF!</definedName>
    <definedName name="BOC8C22820924F41ED968636277E46E23C" hidden="1">#REF!</definedName>
    <definedName name="BOC8CE017DA77240AD9FD0EC7D16051AA6" localSheetId="5" hidden="1">#REF!</definedName>
    <definedName name="BOC8CE017DA77240AD9FD0EC7D16051AA6" localSheetId="4" hidden="1">#REF!</definedName>
    <definedName name="BOC8CE017DA77240AD9FD0EC7D16051AA6" hidden="1">#REF!</definedName>
    <definedName name="BOC8D9B846059147558F9CDF6DDE6F808E" localSheetId="5" hidden="1">#REF!</definedName>
    <definedName name="BOC8D9B846059147558F9CDF6DDE6F808E" localSheetId="4" hidden="1">#REF!</definedName>
    <definedName name="BOC8D9B846059147558F9CDF6DDE6F808E" hidden="1">#REF!</definedName>
    <definedName name="BOC8EC8578074A43D4B656A355E293A424" localSheetId="5" hidden="1">#REF!</definedName>
    <definedName name="BOC8EC8578074A43D4B656A355E293A424" localSheetId="4" hidden="1">#REF!</definedName>
    <definedName name="BOC8EC8578074A43D4B656A355E293A424" hidden="1">#REF!</definedName>
    <definedName name="BOC8F24FC03F1147E9972C8D9D76295327" localSheetId="5" hidden="1">#REF!</definedName>
    <definedName name="BOC8F24FC03F1147E9972C8D9D76295327" localSheetId="4" hidden="1">#REF!</definedName>
    <definedName name="BOC8F24FC03F1147E9972C8D9D76295327" hidden="1">#REF!</definedName>
    <definedName name="BOC8F736F7F35B46449C6EA935FC34011E" localSheetId="5" hidden="1">#REF!</definedName>
    <definedName name="BOC8F736F7F35B46449C6EA935FC34011E" localSheetId="4" hidden="1">#REF!</definedName>
    <definedName name="BOC8F736F7F35B46449C6EA935FC34011E" hidden="1">#REF!</definedName>
    <definedName name="BOC8F8BFA1E2E240EF87708C41A0FCD4AA" localSheetId="5" hidden="1">#REF!</definedName>
    <definedName name="BOC8F8BFA1E2E240EF87708C41A0FCD4AA" localSheetId="4" hidden="1">#REF!</definedName>
    <definedName name="BOC8F8BFA1E2E240EF87708C41A0FCD4AA" hidden="1">#REF!</definedName>
    <definedName name="BOC8FC302D9D3C4DBE9F61A4BE46DA363D" localSheetId="5" hidden="1">#REF!</definedName>
    <definedName name="BOC8FC302D9D3C4DBE9F61A4BE46DA363D" localSheetId="4" hidden="1">#REF!</definedName>
    <definedName name="BOC8FC302D9D3C4DBE9F61A4BE46DA363D" hidden="1">#REF!</definedName>
    <definedName name="BOC9021DAEC8534AA88821959B876F2AB8" localSheetId="5" hidden="1">#REF!</definedName>
    <definedName name="BOC9021DAEC8534AA88821959B876F2AB8" localSheetId="4" hidden="1">#REF!</definedName>
    <definedName name="BOC9021DAEC8534AA88821959B876F2AB8" hidden="1">#REF!</definedName>
    <definedName name="BOC9078726475D48768A4B800B228B8B8C" localSheetId="5" hidden="1">[8]Ketqua!#REF!</definedName>
    <definedName name="BOC9078726475D48768A4B800B228B8B8C" localSheetId="4" hidden="1">[8]Ketqua!#REF!</definedName>
    <definedName name="BOC9078726475D48768A4B800B228B8B8C" hidden="1">[8]Ketqua!#REF!</definedName>
    <definedName name="BOC9263CE772734C2E8AD2FE5BF49E1935" localSheetId="5" hidden="1">#REF!</definedName>
    <definedName name="BOC9263CE772734C2E8AD2FE5BF49E1935" localSheetId="4" hidden="1">#REF!</definedName>
    <definedName name="BOC9263CE772734C2E8AD2FE5BF49E1935" hidden="1">#REF!</definedName>
    <definedName name="BOC92BDE64A88C4F4888056339739F0504" localSheetId="5" hidden="1">[8]Ketqua!#REF!</definedName>
    <definedName name="BOC92BDE64A88C4F4888056339739F0504" localSheetId="4" hidden="1">[8]Ketqua!#REF!</definedName>
    <definedName name="BOC92BDE64A88C4F4888056339739F0504" hidden="1">[8]Ketqua!#REF!</definedName>
    <definedName name="BOC93D76F627824034AADA8A9F13A2889A" localSheetId="5" hidden="1">#REF!</definedName>
    <definedName name="BOC93D76F627824034AADA8A9F13A2889A" localSheetId="4" hidden="1">#REF!</definedName>
    <definedName name="BOC93D76F627824034AADA8A9F13A2889A" hidden="1">#REF!</definedName>
    <definedName name="BOC950DD4DA7E84CE19D5093BB2A29BCD3" localSheetId="5" hidden="1">#REF!</definedName>
    <definedName name="BOC950DD4DA7E84CE19D5093BB2A29BCD3" localSheetId="4" hidden="1">#REF!</definedName>
    <definedName name="BOC950DD4DA7E84CE19D5093BB2A29BCD3" hidden="1">#REF!</definedName>
    <definedName name="BOC96D8191DBAE4D6183DEA37F46B8436D" localSheetId="5" hidden="1">#REF!</definedName>
    <definedName name="BOC96D8191DBAE4D6183DEA37F46B8436D" localSheetId="4" hidden="1">#REF!</definedName>
    <definedName name="BOC96D8191DBAE4D6183DEA37F46B8436D" hidden="1">#REF!</definedName>
    <definedName name="BOC9786DD1B39B43A0BD52CC797EB809F9" localSheetId="5" hidden="1">#REF!</definedName>
    <definedName name="BOC9786DD1B39B43A0BD52CC797EB809F9" localSheetId="4" hidden="1">#REF!</definedName>
    <definedName name="BOC9786DD1B39B43A0BD52CC797EB809F9" hidden="1">#REF!</definedName>
    <definedName name="BOC979AF26AC844C15B0C4A390E47EDEFD" localSheetId="5" hidden="1">#REF!</definedName>
    <definedName name="BOC979AF26AC844C15B0C4A390E47EDEFD" localSheetId="4" hidden="1">#REF!</definedName>
    <definedName name="BOC979AF26AC844C15B0C4A390E47EDEFD" hidden="1">#REF!</definedName>
    <definedName name="BOC98DCB7764E4486B867068ABA319D462" localSheetId="5" hidden="1">#REF!</definedName>
    <definedName name="BOC98DCB7764E4486B867068ABA319D462" localSheetId="4" hidden="1">#REF!</definedName>
    <definedName name="BOC98DCB7764E4486B867068ABA319D462" hidden="1">#REF!</definedName>
    <definedName name="BOC99848AFCA2E467790F4F070D21E06FE" localSheetId="5" hidden="1">#REF!</definedName>
    <definedName name="BOC99848AFCA2E467790F4F070D21E06FE" localSheetId="4" hidden="1">#REF!</definedName>
    <definedName name="BOC99848AFCA2E467790F4F070D21E06FE" hidden="1">#REF!</definedName>
    <definedName name="BOC9B43FE1F9D84461AFB00DB17BAEB487" localSheetId="5" hidden="1">#REF!</definedName>
    <definedName name="BOC9B43FE1F9D84461AFB00DB17BAEB487" localSheetId="4" hidden="1">#REF!</definedName>
    <definedName name="BOC9B43FE1F9D84461AFB00DB17BAEB487" hidden="1">#REF!</definedName>
    <definedName name="BOC9BBB4DACC774AC68E12F41F3006FEDF" localSheetId="5" hidden="1">#REF!</definedName>
    <definedName name="BOC9BBB4DACC774AC68E12F41F3006FEDF" localSheetId="4" hidden="1">#REF!</definedName>
    <definedName name="BOC9BBB4DACC774AC68E12F41F3006FEDF" hidden="1">#REF!</definedName>
    <definedName name="BOC9CF91C01B79495EB3EDF264630F3035" localSheetId="5" hidden="1">#REF!</definedName>
    <definedName name="BOC9CF91C01B79495EB3EDF264630F3035" localSheetId="4" hidden="1">#REF!</definedName>
    <definedName name="BOC9CF91C01B79495EB3EDF264630F3035" hidden="1">#REF!</definedName>
    <definedName name="BOC9D043ABD5CB459188E6E3FD93946123" localSheetId="5" hidden="1">#REF!</definedName>
    <definedName name="BOC9D043ABD5CB459188E6E3FD93946123" localSheetId="4" hidden="1">#REF!</definedName>
    <definedName name="BOC9D043ABD5CB459188E6E3FD93946123" hidden="1">#REF!</definedName>
    <definedName name="BOC9D31B8DE85F4101924D1B4E95A0067F" localSheetId="5" hidden="1">#REF!</definedName>
    <definedName name="BOC9D31B8DE85F4101924D1B4E95A0067F" localSheetId="4" hidden="1">#REF!</definedName>
    <definedName name="BOC9D31B8DE85F4101924D1B4E95A0067F" hidden="1">#REF!</definedName>
    <definedName name="BOC9D95B0EB260403EA353B563DF3E864D" localSheetId="5" hidden="1">#REF!</definedName>
    <definedName name="BOC9D95B0EB260403EA353B563DF3E864D" localSheetId="4" hidden="1">#REF!</definedName>
    <definedName name="BOC9D95B0EB260403EA353B563DF3E864D" hidden="1">#REF!</definedName>
    <definedName name="BOC9E4040A57114DFCB9F0D7BD866C5EEB" localSheetId="5" hidden="1">#REF!</definedName>
    <definedName name="BOC9E4040A57114DFCB9F0D7BD866C5EEB" localSheetId="4" hidden="1">#REF!</definedName>
    <definedName name="BOC9E4040A57114DFCB9F0D7BD866C5EEB" hidden="1">#REF!</definedName>
    <definedName name="BOC9F21C7CF09F466083E14352E2F00ADE" localSheetId="5" hidden="1">#REF!</definedName>
    <definedName name="BOC9F21C7CF09F466083E14352E2F00ADE" localSheetId="4" hidden="1">#REF!</definedName>
    <definedName name="BOC9F21C7CF09F466083E14352E2F00ADE" hidden="1">#REF!</definedName>
    <definedName name="BOC9F6FB789B49475F8EC58C51FC50F2F2" localSheetId="5" hidden="1">#REF!</definedName>
    <definedName name="BOC9F6FB789B49475F8EC58C51FC50F2F2" localSheetId="4" hidden="1">#REF!</definedName>
    <definedName name="BOC9F6FB789B49475F8EC58C51FC50F2F2" hidden="1">#REF!</definedName>
    <definedName name="BOCA1F88327DEB4D2DBBA1D321DBFE4FA3" localSheetId="5" hidden="1">#REF!</definedName>
    <definedName name="BOCA1F88327DEB4D2DBBA1D321DBFE4FA3" localSheetId="4" hidden="1">#REF!</definedName>
    <definedName name="BOCA1F88327DEB4D2DBBA1D321DBFE4FA3" hidden="1">#REF!</definedName>
    <definedName name="BOCA1FB259D8714151AA2B3C6AEA1F0770" localSheetId="5" hidden="1">#REF!</definedName>
    <definedName name="BOCA1FB259D8714151AA2B3C6AEA1F0770" localSheetId="4" hidden="1">#REF!</definedName>
    <definedName name="BOCA1FB259D8714151AA2B3C6AEA1F0770" hidden="1">#REF!</definedName>
    <definedName name="BOCA37046B007E407686AA5E82F7A8FFC7" localSheetId="5" hidden="1">#REF!</definedName>
    <definedName name="BOCA37046B007E407686AA5E82F7A8FFC7" localSheetId="4" hidden="1">#REF!</definedName>
    <definedName name="BOCA37046B007E407686AA5E82F7A8FFC7" hidden="1">#REF!</definedName>
    <definedName name="BOCA5133A1A0DD490591E8590A5076EDB5" localSheetId="5" hidden="1">#REF!</definedName>
    <definedName name="BOCA5133A1A0DD490591E8590A5076EDB5" localSheetId="4" hidden="1">#REF!</definedName>
    <definedName name="BOCA5133A1A0DD490591E8590A5076EDB5" hidden="1">#REF!</definedName>
    <definedName name="BOCA75119F5C0045BE938582789941C464" localSheetId="5" hidden="1">#REF!</definedName>
    <definedName name="BOCA75119F5C0045BE938582789941C464" localSheetId="4" hidden="1">#REF!</definedName>
    <definedName name="BOCA75119F5C0045BE938582789941C464" hidden="1">#REF!</definedName>
    <definedName name="BOCA7ED576C19B404997CEB1F51D09DA13" localSheetId="5" hidden="1">#REF!</definedName>
    <definedName name="BOCA7ED576C19B404997CEB1F51D09DA13" localSheetId="4" hidden="1">#REF!</definedName>
    <definedName name="BOCA7ED576C19B404997CEB1F51D09DA13" hidden="1">#REF!</definedName>
    <definedName name="BOCA84DF66C3974E1198D779DD61F1FC34" localSheetId="5" hidden="1">#REF!</definedName>
    <definedName name="BOCA84DF66C3974E1198D779DD61F1FC34" localSheetId="4" hidden="1">#REF!</definedName>
    <definedName name="BOCA84DF66C3974E1198D779DD61F1FC34" hidden="1">#REF!</definedName>
    <definedName name="BOCAA115C0C73F434EA7166415664F3B35" localSheetId="5" hidden="1">#REF!</definedName>
    <definedName name="BOCAA115C0C73F434EA7166415664F3B35" localSheetId="4" hidden="1">#REF!</definedName>
    <definedName name="BOCAA115C0C73F434EA7166415664F3B35" hidden="1">#REF!</definedName>
    <definedName name="BOCAA350231833419C86E36ADB23F5F796" localSheetId="5" hidden="1">#REF!</definedName>
    <definedName name="BOCAA350231833419C86E36ADB23F5F796" localSheetId="4" hidden="1">#REF!</definedName>
    <definedName name="BOCAA350231833419C86E36ADB23F5F796" hidden="1">#REF!</definedName>
    <definedName name="BOCAC2D227DE334A3285172873CB817EB8" localSheetId="5" hidden="1">#REF!</definedName>
    <definedName name="BOCAC2D227DE334A3285172873CB817EB8" localSheetId="4" hidden="1">#REF!</definedName>
    <definedName name="BOCAC2D227DE334A3285172873CB817EB8" hidden="1">#REF!</definedName>
    <definedName name="BOCAE778C3378D4DEA8C59D3D493F17D92" localSheetId="5" hidden="1">#REF!</definedName>
    <definedName name="BOCAE778C3378D4DEA8C59D3D493F17D92" localSheetId="4" hidden="1">#REF!</definedName>
    <definedName name="BOCAE778C3378D4DEA8C59D3D493F17D92" hidden="1">#REF!</definedName>
    <definedName name="BOCAF796DEFB314CBA8204F5CF77373078" localSheetId="5" hidden="1">#REF!</definedName>
    <definedName name="BOCAF796DEFB314CBA8204F5CF77373078" localSheetId="4" hidden="1">#REF!</definedName>
    <definedName name="BOCAF796DEFB314CBA8204F5CF77373078" hidden="1">#REF!</definedName>
    <definedName name="BOCB09C30E731E4D1190FA3B9A15C8ACF6" localSheetId="5" hidden="1">#REF!</definedName>
    <definedName name="BOCB09C30E731E4D1190FA3B9A15C8ACF6" localSheetId="4" hidden="1">#REF!</definedName>
    <definedName name="BOCB09C30E731E4D1190FA3B9A15C8ACF6" hidden="1">#REF!</definedName>
    <definedName name="BOCB20F1B9F3C846A48126BE531FB918DF" localSheetId="5" hidden="1">#REF!</definedName>
    <definedName name="BOCB20F1B9F3C846A48126BE531FB918DF" localSheetId="4" hidden="1">#REF!</definedName>
    <definedName name="BOCB20F1B9F3C846A48126BE531FB918DF" hidden="1">#REF!</definedName>
    <definedName name="BOCB275BC87A58422EA0F9349C40EF7779" localSheetId="5" hidden="1">#REF!</definedName>
    <definedName name="BOCB275BC87A58422EA0F9349C40EF7779" localSheetId="4" hidden="1">#REF!</definedName>
    <definedName name="BOCB275BC87A58422EA0F9349C40EF7779" hidden="1">#REF!</definedName>
    <definedName name="BOCB8074FBA17A4CE38C38F3AC2E8080D0" localSheetId="5" hidden="1">#REF!</definedName>
    <definedName name="BOCB8074FBA17A4CE38C38F3AC2E8080D0" localSheetId="4" hidden="1">#REF!</definedName>
    <definedName name="BOCB8074FBA17A4CE38C38F3AC2E8080D0" hidden="1">#REF!</definedName>
    <definedName name="BOCBA1B95825D144B78E2D686F9E99757B" localSheetId="5" hidden="1">#REF!</definedName>
    <definedName name="BOCBA1B95825D144B78E2D686F9E99757B" localSheetId="4" hidden="1">#REF!</definedName>
    <definedName name="BOCBA1B95825D144B78E2D686F9E99757B" hidden="1">#REF!</definedName>
    <definedName name="BOCBDE0B20605B40EEA3C37E228578C785" localSheetId="5" hidden="1">#REF!</definedName>
    <definedName name="BOCBDE0B20605B40EEA3C37E228578C785" localSheetId="4" hidden="1">#REF!</definedName>
    <definedName name="BOCBDE0B20605B40EEA3C37E228578C785" hidden="1">#REF!</definedName>
    <definedName name="BOCBECE0B77CC842D393B20B9F944CEBB5" localSheetId="5" hidden="1">#REF!</definedName>
    <definedName name="BOCBECE0B77CC842D393B20B9F944CEBB5" localSheetId="4" hidden="1">#REF!</definedName>
    <definedName name="BOCBECE0B77CC842D393B20B9F944CEBB5" hidden="1">#REF!</definedName>
    <definedName name="BOCBF59B6853AE4F78B44ECC74F3D6E9CA" localSheetId="5" hidden="1">[8]Ketqua!#REF!</definedName>
    <definedName name="BOCBF59B6853AE4F78B44ECC74F3D6E9CA" localSheetId="4" hidden="1">[8]Ketqua!#REF!</definedName>
    <definedName name="BOCBF59B6853AE4F78B44ECC74F3D6E9CA" hidden="1">[8]Ketqua!#REF!</definedName>
    <definedName name="BOCBFAF1D642934F1D84D4B8F7579C0857" localSheetId="5" hidden="1">#REF!</definedName>
    <definedName name="BOCBFAF1D642934F1D84D4B8F7579C0857" localSheetId="4" hidden="1">#REF!</definedName>
    <definedName name="BOCBFAF1D642934F1D84D4B8F7579C0857" hidden="1">#REF!</definedName>
    <definedName name="BOCBFFC71FCD4147AC9DD2C072424779AB" localSheetId="5" hidden="1">#REF!</definedName>
    <definedName name="BOCBFFC71FCD4147AC9DD2C072424779AB" localSheetId="4" hidden="1">#REF!</definedName>
    <definedName name="BOCBFFC71FCD4147AC9DD2C072424779AB" hidden="1">#REF!</definedName>
    <definedName name="BOCC015C3F6DE2411193F245BD350A3872" localSheetId="5" hidden="1">#REF!</definedName>
    <definedName name="BOCC015C3F6DE2411193F245BD350A3872" localSheetId="4" hidden="1">#REF!</definedName>
    <definedName name="BOCC015C3F6DE2411193F245BD350A3872" hidden="1">#REF!</definedName>
    <definedName name="BOCC17F3D79FCE420E9EED1275FF4527C9" localSheetId="5" hidden="1">#REF!</definedName>
    <definedName name="BOCC17F3D79FCE420E9EED1275FF4527C9" localSheetId="4" hidden="1">#REF!</definedName>
    <definedName name="BOCC17F3D79FCE420E9EED1275FF4527C9" hidden="1">#REF!</definedName>
    <definedName name="BOCC1EA691A78A4CF0974017D9802E6A50" localSheetId="5" hidden="1">#REF!</definedName>
    <definedName name="BOCC1EA691A78A4CF0974017D9802E6A50" localSheetId="4" hidden="1">#REF!</definedName>
    <definedName name="BOCC1EA691A78A4CF0974017D9802E6A50" hidden="1">#REF!</definedName>
    <definedName name="BOCC330219F2FA42238AA019FA4A7434C7" localSheetId="5" hidden="1">#REF!</definedName>
    <definedName name="BOCC330219F2FA42238AA019FA4A7434C7" localSheetId="4" hidden="1">#REF!</definedName>
    <definedName name="BOCC330219F2FA42238AA019FA4A7434C7" hidden="1">#REF!</definedName>
    <definedName name="BOCC4E1F0139CA4CCE842276D221283B25" localSheetId="5" hidden="1">#REF!</definedName>
    <definedName name="BOCC4E1F0139CA4CCE842276D221283B25" localSheetId="4" hidden="1">#REF!</definedName>
    <definedName name="BOCC4E1F0139CA4CCE842276D221283B25" hidden="1">#REF!</definedName>
    <definedName name="BOCC6C656FA9124B6681219691125CFB34" localSheetId="5" hidden="1">#REF!</definedName>
    <definedName name="BOCC6C656FA9124B6681219691125CFB34" localSheetId="4" hidden="1">#REF!</definedName>
    <definedName name="BOCC6C656FA9124B6681219691125CFB34" hidden="1">#REF!</definedName>
    <definedName name="BOCC78DAB77DC04DC1985D2967AC0AA686" localSheetId="5" hidden="1">#REF!</definedName>
    <definedName name="BOCC78DAB77DC04DC1985D2967AC0AA686" localSheetId="4" hidden="1">#REF!</definedName>
    <definedName name="BOCC78DAB77DC04DC1985D2967AC0AA686" hidden="1">#REF!</definedName>
    <definedName name="BOCC858C19D7F047F6ADFC5A40DFBF24A1" localSheetId="5" hidden="1">#REF!</definedName>
    <definedName name="BOCC858C19D7F047F6ADFC5A40DFBF24A1" localSheetId="4" hidden="1">#REF!</definedName>
    <definedName name="BOCC858C19D7F047F6ADFC5A40DFBF24A1" hidden="1">#REF!</definedName>
    <definedName name="BOCCD1FE718E274B399D0AD2982733BCF8" localSheetId="5" hidden="1">#REF!</definedName>
    <definedName name="BOCCD1FE718E274B399D0AD2982733BCF8" localSheetId="4" hidden="1">#REF!</definedName>
    <definedName name="BOCCD1FE718E274B399D0AD2982733BCF8" hidden="1">#REF!</definedName>
    <definedName name="BOCCD7D15A72A443D9A5418393952F71A2" localSheetId="5" hidden="1">#REF!</definedName>
    <definedName name="BOCCD7D15A72A443D9A5418393952F71A2" localSheetId="4" hidden="1">#REF!</definedName>
    <definedName name="BOCCD7D15A72A443D9A5418393952F71A2" hidden="1">#REF!</definedName>
    <definedName name="BOCCE1C932CCA344CE9ECE3EB0DD94638C" localSheetId="5" hidden="1">#REF!</definedName>
    <definedName name="BOCCE1C932CCA344CE9ECE3EB0DD94638C" localSheetId="4" hidden="1">#REF!</definedName>
    <definedName name="BOCCE1C932CCA344CE9ECE3EB0DD94638C" hidden="1">#REF!</definedName>
    <definedName name="BOCCED56BF6C8F44DF8BC00A979E5B14BD" localSheetId="5" hidden="1">#REF!</definedName>
    <definedName name="BOCCED56BF6C8F44DF8BC00A979E5B14BD" localSheetId="4" hidden="1">#REF!</definedName>
    <definedName name="BOCCED56BF6C8F44DF8BC00A979E5B14BD" hidden="1">#REF!</definedName>
    <definedName name="BOCCF334A9BDB64C2697AE9352A937B6E5" localSheetId="5" hidden="1">[7]lailo!#REF!</definedName>
    <definedName name="BOCCF334A9BDB64C2697AE9352A937B6E5" localSheetId="4" hidden="1">[7]lailo!#REF!</definedName>
    <definedName name="BOCCF334A9BDB64C2697AE9352A937B6E5" hidden="1">[7]lailo!#REF!</definedName>
    <definedName name="BOCD098CDB76E04AFABC1C8D36DC51D884" localSheetId="5" hidden="1">#REF!</definedName>
    <definedName name="BOCD098CDB76E04AFABC1C8D36DC51D884" localSheetId="4" hidden="1">#REF!</definedName>
    <definedName name="BOCD098CDB76E04AFABC1C8D36DC51D884" hidden="1">#REF!</definedName>
    <definedName name="BOCD19B2F2E8774A589EFF3317FDB5225C" localSheetId="5" hidden="1">#REF!</definedName>
    <definedName name="BOCD19B2F2E8774A589EFF3317FDB5225C" localSheetId="4" hidden="1">#REF!</definedName>
    <definedName name="BOCD19B2F2E8774A589EFF3317FDB5225C" hidden="1">#REF!</definedName>
    <definedName name="BOCD20F214D4AA41C281599C484FB99FDC" localSheetId="5" hidden="1">[9]xml!#REF!</definedName>
    <definedName name="BOCD20F214D4AA41C281599C484FB99FDC" localSheetId="4" hidden="1">[9]xml!#REF!</definedName>
    <definedName name="BOCD20F214D4AA41C281599C484FB99FDC" hidden="1">[9]xml!#REF!</definedName>
    <definedName name="BOCD23F0C3BE5D4A57B07C7B46AAE9B586" localSheetId="5" hidden="1">#REF!</definedName>
    <definedName name="BOCD23F0C3BE5D4A57B07C7B46AAE9B586" localSheetId="4" hidden="1">#REF!</definedName>
    <definedName name="BOCD23F0C3BE5D4A57B07C7B46AAE9B586" hidden="1">#REF!</definedName>
    <definedName name="BOCD2C6B11CEED44B287F63EABF1C67668" localSheetId="5" hidden="1">[9]Kehoachchitiet!#REF!</definedName>
    <definedName name="BOCD2C6B11CEED44B287F63EABF1C67668" localSheetId="4" hidden="1">[9]Kehoachchitiet!#REF!</definedName>
    <definedName name="BOCD2C6B11CEED44B287F63EABF1C67668" hidden="1">[9]Kehoachchitiet!#REF!</definedName>
    <definedName name="BOCD316364C89949588B6EA9EFB7EFED71" localSheetId="5" hidden="1">#REF!</definedName>
    <definedName name="BOCD316364C89949588B6EA9EFB7EFED71" localSheetId="4" hidden="1">#REF!</definedName>
    <definedName name="BOCD316364C89949588B6EA9EFB7EFED71" hidden="1">#REF!</definedName>
    <definedName name="BOCD3E920BAE7C41B5B4C491D4AB8D55B6" localSheetId="5" hidden="1">#REF!</definedName>
    <definedName name="BOCD3E920BAE7C41B5B4C491D4AB8D55B6" localSheetId="4" hidden="1">#REF!</definedName>
    <definedName name="BOCD3E920BAE7C41B5B4C491D4AB8D55B6" hidden="1">#REF!</definedName>
    <definedName name="BOCD7638E6D88E4E258E54DB04D2220A3A" localSheetId="5" hidden="1">#REF!</definedName>
    <definedName name="BOCD7638E6D88E4E258E54DB04D2220A3A" localSheetId="4" hidden="1">#REF!</definedName>
    <definedName name="BOCD7638E6D88E4E258E54DB04D2220A3A" hidden="1">#REF!</definedName>
    <definedName name="BOCD84FAB3ED4E4F168656FE12415FA3D7" localSheetId="5" hidden="1">#REF!</definedName>
    <definedName name="BOCD84FAB3ED4E4F168656FE12415FA3D7" localSheetId="4" hidden="1">#REF!</definedName>
    <definedName name="BOCD84FAB3ED4E4F168656FE12415FA3D7" hidden="1">#REF!</definedName>
    <definedName name="BOCD94EC8563CB4322AAB39F7BBEABB319" localSheetId="5" hidden="1">#REF!</definedName>
    <definedName name="BOCD94EC8563CB4322AAB39F7BBEABB319" localSheetId="4" hidden="1">#REF!</definedName>
    <definedName name="BOCD94EC8563CB4322AAB39F7BBEABB319" hidden="1">#REF!</definedName>
    <definedName name="BOCD97881AE04342B9B58E7D82FD2B45E9" localSheetId="5" hidden="1">#REF!</definedName>
    <definedName name="BOCD97881AE04342B9B58E7D82FD2B45E9" localSheetId="4" hidden="1">#REF!</definedName>
    <definedName name="BOCD97881AE04342B9B58E7D82FD2B45E9" hidden="1">#REF!</definedName>
    <definedName name="BOCDA9B7CBD5D9427E84053F8E38F252A0" localSheetId="5" hidden="1">[9]Kehoachchitiet!#REF!</definedName>
    <definedName name="BOCDA9B7CBD5D9427E84053F8E38F252A0" localSheetId="4" hidden="1">[9]Kehoachchitiet!#REF!</definedName>
    <definedName name="BOCDA9B7CBD5D9427E84053F8E38F252A0" hidden="1">[9]Kehoachchitiet!#REF!</definedName>
    <definedName name="BOCDBD4F3A3DA349B2A9734E12B4FA4152" localSheetId="5" hidden="1">#REF!</definedName>
    <definedName name="BOCDBD4F3A3DA349B2A9734E12B4FA4152" localSheetId="4" hidden="1">#REF!</definedName>
    <definedName name="BOCDBD4F3A3DA349B2A9734E12B4FA4152" hidden="1">#REF!</definedName>
    <definedName name="BOCDCDF8EF0E5646DAB0D5AEEACD436DBA" localSheetId="5" hidden="1">#REF!</definedName>
    <definedName name="BOCDCDF8EF0E5646DAB0D5AEEACD436DBA" localSheetId="4" hidden="1">#REF!</definedName>
    <definedName name="BOCDCDF8EF0E5646DAB0D5AEEACD436DBA" hidden="1">#REF!</definedName>
    <definedName name="BOCDD9929C645542878E90D6D900B798EE" localSheetId="5" hidden="1">#REF!</definedName>
    <definedName name="BOCDD9929C645542878E90D6D900B798EE" localSheetId="4" hidden="1">#REF!</definedName>
    <definedName name="BOCDD9929C645542878E90D6D900B798EE" hidden="1">#REF!</definedName>
    <definedName name="BOCDDF34207A80477DB43C25A250543B94" localSheetId="5" hidden="1">#REF!</definedName>
    <definedName name="BOCDDF34207A80477DB43C25A250543B94" localSheetId="4" hidden="1">#REF!</definedName>
    <definedName name="BOCDDF34207A80477DB43C25A250543B94" hidden="1">#REF!</definedName>
    <definedName name="BOCDE5918EBB334619A6908303B5E70081" localSheetId="5" hidden="1">#REF!</definedName>
    <definedName name="BOCDE5918EBB334619A6908303B5E70081" localSheetId="4" hidden="1">#REF!</definedName>
    <definedName name="BOCDE5918EBB334619A6908303B5E70081" hidden="1">#REF!</definedName>
    <definedName name="BOCDE7F75740B346FC9E55D667CD9EC425" localSheetId="5" hidden="1">#REF!</definedName>
    <definedName name="BOCDE7F75740B346FC9E55D667CD9EC425" localSheetId="4" hidden="1">#REF!</definedName>
    <definedName name="BOCDE7F75740B346FC9E55D667CD9EC425" hidden="1">#REF!</definedName>
    <definedName name="BOCDED67C8566647ED9C954DE6FCEBFBFF" localSheetId="5" hidden="1">#REF!</definedName>
    <definedName name="BOCDED67C8566647ED9C954DE6FCEBFBFF" localSheetId="4" hidden="1">#REF!</definedName>
    <definedName name="BOCDED67C8566647ED9C954DE6FCEBFBFF" hidden="1">#REF!</definedName>
    <definedName name="BOCDF00353D53047B6A4A85487D43B9AF1" localSheetId="5" hidden="1">#REF!</definedName>
    <definedName name="BOCDF00353D53047B6A4A85487D43B9AF1" localSheetId="4" hidden="1">#REF!</definedName>
    <definedName name="BOCDF00353D53047B6A4A85487D43B9AF1" hidden="1">#REF!</definedName>
    <definedName name="BOCE1431147F334E33B41B0302E1BD9519" localSheetId="5" hidden="1">[8]Ketqua!#REF!</definedName>
    <definedName name="BOCE1431147F334E33B41B0302E1BD9519" localSheetId="4" hidden="1">[8]Ketqua!#REF!</definedName>
    <definedName name="BOCE1431147F334E33B41B0302E1BD9519" hidden="1">[8]Ketqua!#REF!</definedName>
    <definedName name="BOCE1BF69715794F4E87C7B791630E9EED" localSheetId="5" hidden="1">#REF!</definedName>
    <definedName name="BOCE1BF69715794F4E87C7B791630E9EED" localSheetId="4" hidden="1">#REF!</definedName>
    <definedName name="BOCE1BF69715794F4E87C7B791630E9EED" hidden="1">#REF!</definedName>
    <definedName name="BOCE1CB0DEEAB74D7FA6001FCA37FCE4E4" localSheetId="5" hidden="1">#REF!</definedName>
    <definedName name="BOCE1CB0DEEAB74D7FA6001FCA37FCE4E4" localSheetId="4" hidden="1">#REF!</definedName>
    <definedName name="BOCE1CB0DEEAB74D7FA6001FCA37FCE4E4" hidden="1">#REF!</definedName>
    <definedName name="BOCE1D2212C92D4302ADFD62D5ACB65176" localSheetId="5" hidden="1">#REF!</definedName>
    <definedName name="BOCE1D2212C92D4302ADFD62D5ACB65176" localSheetId="4" hidden="1">#REF!</definedName>
    <definedName name="BOCE1D2212C92D4302ADFD62D5ACB65176" hidden="1">#REF!</definedName>
    <definedName name="BOCE2AE90EDC5B48F6A441CA47CF7EAAAC" localSheetId="5" hidden="1">#REF!</definedName>
    <definedName name="BOCE2AE90EDC5B48F6A441CA47CF7EAAAC" localSheetId="4" hidden="1">#REF!</definedName>
    <definedName name="BOCE2AE90EDC5B48F6A441CA47CF7EAAAC" hidden="1">#REF!</definedName>
    <definedName name="BOCE31297C1C3141CAAF79CBF4B2C5DEB3" localSheetId="5" hidden="1">#REF!</definedName>
    <definedName name="BOCE31297C1C3141CAAF79CBF4B2C5DEB3" localSheetId="4" hidden="1">#REF!</definedName>
    <definedName name="BOCE31297C1C3141CAAF79CBF4B2C5DEB3" hidden="1">#REF!</definedName>
    <definedName name="BOCE3F4651FC6D47F6888CAACD6B895BD6" hidden="1">[8]Ketqua!$I$17:$U$17</definedName>
    <definedName name="BOCE5078CB7E104277832DC3F09395B864" localSheetId="5" hidden="1">#REF!</definedName>
    <definedName name="BOCE5078CB7E104277832DC3F09395B864" localSheetId="4" hidden="1">#REF!</definedName>
    <definedName name="BOCE5078CB7E104277832DC3F09395B864" hidden="1">#REF!</definedName>
    <definedName name="BOCE59D3DAB1844F599AC2D0EF7482C0ED" localSheetId="5" hidden="1">#REF!</definedName>
    <definedName name="BOCE59D3DAB1844F599AC2D0EF7482C0ED" localSheetId="4" hidden="1">#REF!</definedName>
    <definedName name="BOCE59D3DAB1844F599AC2D0EF7482C0ED" hidden="1">#REF!</definedName>
    <definedName name="BOCE67FF2FA24D40DD9118C75519C95FB6" localSheetId="5" hidden="1">#REF!</definedName>
    <definedName name="BOCE67FF2FA24D40DD9118C75519C95FB6" localSheetId="4" hidden="1">#REF!</definedName>
    <definedName name="BOCE67FF2FA24D40DD9118C75519C95FB6" hidden="1">#REF!</definedName>
    <definedName name="BOCE7B486027AE454FB22C30F0E405C940" localSheetId="5" hidden="1">#REF!</definedName>
    <definedName name="BOCE7B486027AE454FB22C30F0E405C940" localSheetId="4" hidden="1">#REF!</definedName>
    <definedName name="BOCE7B486027AE454FB22C30F0E405C940" hidden="1">#REF!</definedName>
    <definedName name="BOCE9D063D545D48CDA5A5DE1DC67A4DBD" localSheetId="5" hidden="1">#REF!</definedName>
    <definedName name="BOCE9D063D545D48CDA5A5DE1DC67A4DBD" localSheetId="4" hidden="1">#REF!</definedName>
    <definedName name="BOCE9D063D545D48CDA5A5DE1DC67A4DBD" hidden="1">#REF!</definedName>
    <definedName name="BOCEBE29A3E8094395A0CF9CD1AAA1D065" localSheetId="5" hidden="1">#REF!</definedName>
    <definedName name="BOCEBE29A3E8094395A0CF9CD1AAA1D065" localSheetId="4" hidden="1">#REF!</definedName>
    <definedName name="BOCEBE29A3E8094395A0CF9CD1AAA1D065" hidden="1">#REF!</definedName>
    <definedName name="BOCED7368BDC814EA9977A0FC117CC1EEF" localSheetId="5" hidden="1">#REF!</definedName>
    <definedName name="BOCED7368BDC814EA9977A0FC117CC1EEF" localSheetId="4" hidden="1">#REF!</definedName>
    <definedName name="BOCED7368BDC814EA9977A0FC117CC1EEF" hidden="1">#REF!</definedName>
    <definedName name="BOCEF4E6C9C1C54035920C0F5831A632B2" localSheetId="5" hidden="1">#REF!</definedName>
    <definedName name="BOCEF4E6C9C1C54035920C0F5831A632B2" localSheetId="4" hidden="1">#REF!</definedName>
    <definedName name="BOCEF4E6C9C1C54035920C0F5831A632B2" hidden="1">#REF!</definedName>
    <definedName name="BOCF038B17D1434B6A86DE2821F3844C2A" localSheetId="5" hidden="1">#REF!</definedName>
    <definedName name="BOCF038B17D1434B6A86DE2821F3844C2A" localSheetId="4" hidden="1">#REF!</definedName>
    <definedName name="BOCF038B17D1434B6A86DE2821F3844C2A" hidden="1">#REF!</definedName>
    <definedName name="BOCF2CA454D7714DF7803655110854DC0F" localSheetId="5" hidden="1">#REF!</definedName>
    <definedName name="BOCF2CA454D7714DF7803655110854DC0F" localSheetId="4" hidden="1">#REF!</definedName>
    <definedName name="BOCF2CA454D7714DF7803655110854DC0F" hidden="1">#REF!</definedName>
    <definedName name="BOCF33E2485A254155968B051D04677DF4" localSheetId="5" hidden="1">#REF!</definedName>
    <definedName name="BOCF33E2485A254155968B051D04677DF4" localSheetId="4" hidden="1">#REF!</definedName>
    <definedName name="BOCF33E2485A254155968B051D04677DF4" hidden="1">#REF!</definedName>
    <definedName name="BOCF3D1CC14C5E4EFAA13121DC4E701CF2" localSheetId="5" hidden="1">[8]Ketqua!#REF!</definedName>
    <definedName name="BOCF3D1CC14C5E4EFAA13121DC4E701CF2" localSheetId="4" hidden="1">[8]Ketqua!#REF!</definedName>
    <definedName name="BOCF3D1CC14C5E4EFAA13121DC4E701CF2" hidden="1">[8]Ketqua!#REF!</definedName>
    <definedName name="BOCF3DB2061515477CB72FD3225BBF6DE3" localSheetId="5" hidden="1">#REF!</definedName>
    <definedName name="BOCF3DB2061515477CB72FD3225BBF6DE3" localSheetId="4" hidden="1">#REF!</definedName>
    <definedName name="BOCF3DB2061515477CB72FD3225BBF6DE3" hidden="1">#REF!</definedName>
    <definedName name="BOCF523EEE92D345E98BFF5F175FC3CF90" localSheetId="5" hidden="1">#REF!</definedName>
    <definedName name="BOCF523EEE92D345E98BFF5F175FC3CF90" localSheetId="4" hidden="1">#REF!</definedName>
    <definedName name="BOCF523EEE92D345E98BFF5F175FC3CF90" hidden="1">#REF!</definedName>
    <definedName name="BOCF5983A1FADD40DAAC7E6892F1622A11" localSheetId="5" hidden="1">#REF!</definedName>
    <definedName name="BOCF5983A1FADD40DAAC7E6892F1622A11" localSheetId="4" hidden="1">#REF!</definedName>
    <definedName name="BOCF5983A1FADD40DAAC7E6892F1622A11" hidden="1">#REF!</definedName>
    <definedName name="BOCF7C5B983CBF42DBBDD6CD92650B00B0" localSheetId="5" hidden="1">[8]Ketqua!#REF!</definedName>
    <definedName name="BOCF7C5B983CBF42DBBDD6CD92650B00B0" localSheetId="4" hidden="1">[8]Ketqua!#REF!</definedName>
    <definedName name="BOCF7C5B983CBF42DBBDD6CD92650B00B0" hidden="1">[8]Ketqua!#REF!</definedName>
    <definedName name="BOCF89873156A349CD99C522010DADF9FB" localSheetId="5" hidden="1">#REF!</definedName>
    <definedName name="BOCF89873156A349CD99C522010DADF9FB" localSheetId="4" hidden="1">#REF!</definedName>
    <definedName name="BOCF89873156A349CD99C522010DADF9FB" hidden="1">#REF!</definedName>
    <definedName name="BOCF96717DA6014EDC80C3AA39BE91443A" localSheetId="5" hidden="1">#REF!</definedName>
    <definedName name="BOCF96717DA6014EDC80C3AA39BE91443A" localSheetId="4" hidden="1">#REF!</definedName>
    <definedName name="BOCF96717DA6014EDC80C3AA39BE91443A" hidden="1">#REF!</definedName>
    <definedName name="BOCFA1FD879FBE40E888D70E24903590CE" localSheetId="5" hidden="1">#REF!</definedName>
    <definedName name="BOCFA1FD879FBE40E888D70E24903590CE" localSheetId="4" hidden="1">#REF!</definedName>
    <definedName name="BOCFA1FD879FBE40E888D70E24903590CE" hidden="1">#REF!</definedName>
    <definedName name="BOCFC28344B50E4F72945BC627F69A7D0D" localSheetId="5" hidden="1">#REF!</definedName>
    <definedName name="BOCFC28344B50E4F72945BC627F69A7D0D" localSheetId="4" hidden="1">#REF!</definedName>
    <definedName name="BOCFC28344B50E4F72945BC627F69A7D0D" hidden="1">#REF!</definedName>
    <definedName name="BOCFC5F04A27E646818E21BB31308C53B4" localSheetId="5" hidden="1">#REF!</definedName>
    <definedName name="BOCFC5F04A27E646818E21BB31308C53B4" localSheetId="4" hidden="1">#REF!</definedName>
    <definedName name="BOCFC5F04A27E646818E21BB31308C53B4" hidden="1">#REF!</definedName>
    <definedName name="BOCFE909907ABB4425B593E2B71EEFF844" localSheetId="5" hidden="1">#REF!</definedName>
    <definedName name="BOCFE909907ABB4425B593E2B71EEFF844" localSheetId="4" hidden="1">#REF!</definedName>
    <definedName name="BOCFE909907ABB4425B593E2B71EEFF844" hidden="1">#REF!</definedName>
    <definedName name="BOCFF10463B8B74290BAEB73D22A672AFB" localSheetId="5" hidden="1">#REF!</definedName>
    <definedName name="BOCFF10463B8B74290BAEB73D22A672AFB" localSheetId="4" hidden="1">#REF!</definedName>
    <definedName name="BOCFF10463B8B74290BAEB73D22A672AFB" hidden="1">#REF!</definedName>
    <definedName name="BOCFFC8BCEEE4D457780EB2C0F6A742897" localSheetId="5" hidden="1">#REF!</definedName>
    <definedName name="BOCFFC8BCEEE4D457780EB2C0F6A742897" localSheetId="4" hidden="1">#REF!</definedName>
    <definedName name="BOCFFC8BCEEE4D457780EB2C0F6A742897" hidden="1">#REF!</definedName>
    <definedName name="BOD022D0B0AA2F400990B9D79B813E697C" localSheetId="5" hidden="1">#REF!</definedName>
    <definedName name="BOD022D0B0AA2F400990B9D79B813E697C" localSheetId="4" hidden="1">#REF!</definedName>
    <definedName name="BOD022D0B0AA2F400990B9D79B813E697C" hidden="1">#REF!</definedName>
    <definedName name="BOD02715C58E2543A29F3834F1630A423E" localSheetId="5" hidden="1">#REF!</definedName>
    <definedName name="BOD02715C58E2543A29F3834F1630A423E" localSheetId="4" hidden="1">#REF!</definedName>
    <definedName name="BOD02715C58E2543A29F3834F1630A423E" hidden="1">#REF!</definedName>
    <definedName name="BOD0382903153C4298A06C72FB4C2F82BC" localSheetId="5" hidden="1">[7]lailo!#REF!</definedName>
    <definedName name="BOD0382903153C4298A06C72FB4C2F82BC" localSheetId="4" hidden="1">[7]lailo!#REF!</definedName>
    <definedName name="BOD0382903153C4298A06C72FB4C2F82BC" hidden="1">[7]lailo!#REF!</definedName>
    <definedName name="BOD03B24E3812D4D1F9DEACD2021BC2C03" localSheetId="5" hidden="1">#REF!</definedName>
    <definedName name="BOD03B24E3812D4D1F9DEACD2021BC2C03" localSheetId="4" hidden="1">#REF!</definedName>
    <definedName name="BOD03B24E3812D4D1F9DEACD2021BC2C03" hidden="1">#REF!</definedName>
    <definedName name="BOD03FD50591A1425293C16D8979726923" localSheetId="5" hidden="1">#REF!</definedName>
    <definedName name="BOD03FD50591A1425293C16D8979726923" localSheetId="4" hidden="1">#REF!</definedName>
    <definedName name="BOD03FD50591A1425293C16D8979726923" hidden="1">#REF!</definedName>
    <definedName name="BOD0447A1F84A848AE8FE0265DA4E43469" localSheetId="5" hidden="1">#REF!</definedName>
    <definedName name="BOD0447A1F84A848AE8FE0265DA4E43469" localSheetId="4" hidden="1">#REF!</definedName>
    <definedName name="BOD0447A1F84A848AE8FE0265DA4E43469" hidden="1">#REF!</definedName>
    <definedName name="BOD049906584524697915E494D82ABEA6C" localSheetId="5" hidden="1">#REF!</definedName>
    <definedName name="BOD049906584524697915E494D82ABEA6C" localSheetId="4" hidden="1">#REF!</definedName>
    <definedName name="BOD049906584524697915E494D82ABEA6C" hidden="1">#REF!</definedName>
    <definedName name="BOD056B2F6DB5042B8B6EC8567B27BBEF3" localSheetId="5" hidden="1">#REF!</definedName>
    <definedName name="BOD056B2F6DB5042B8B6EC8567B27BBEF3" localSheetId="4" hidden="1">#REF!</definedName>
    <definedName name="BOD056B2F6DB5042B8B6EC8567B27BBEF3" hidden="1">#REF!</definedName>
    <definedName name="BOD0ACCA99C91345F482A513BFCE9186E0" localSheetId="5" hidden="1">#REF!</definedName>
    <definedName name="BOD0ACCA99C91345F482A513BFCE9186E0" localSheetId="4" hidden="1">#REF!</definedName>
    <definedName name="BOD0ACCA99C91345F482A513BFCE9186E0" hidden="1">#REF!</definedName>
    <definedName name="BOD0B7618F45734D0692AB268234D6A01C" localSheetId="5" hidden="1">#REF!</definedName>
    <definedName name="BOD0B7618F45734D0692AB268234D6A01C" localSheetId="4" hidden="1">#REF!</definedName>
    <definedName name="BOD0B7618F45734D0692AB268234D6A01C" hidden="1">#REF!</definedName>
    <definedName name="BOD0CB0066C5E0481CA6F4063B5732F78C" localSheetId="5" hidden="1">#REF!</definedName>
    <definedName name="BOD0CB0066C5E0481CA6F4063B5732F78C" localSheetId="4" hidden="1">#REF!</definedName>
    <definedName name="BOD0CB0066C5E0481CA6F4063B5732F78C" hidden="1">#REF!</definedName>
    <definedName name="BOD0CE909846AF4B5C93B759B9FE505ADE" localSheetId="5" hidden="1">#REF!</definedName>
    <definedName name="BOD0CE909846AF4B5C93B759B9FE505ADE" localSheetId="4" hidden="1">#REF!</definedName>
    <definedName name="BOD0CE909846AF4B5C93B759B9FE505ADE" hidden="1">#REF!</definedName>
    <definedName name="BOD0DA67F1503A423BA41430DE89D08195" localSheetId="5" hidden="1">#REF!</definedName>
    <definedName name="BOD0DA67F1503A423BA41430DE89D08195" localSheetId="4" hidden="1">#REF!</definedName>
    <definedName name="BOD0DA67F1503A423BA41430DE89D08195" hidden="1">#REF!</definedName>
    <definedName name="BOD1136A820E4A4A349A22DDBE03368A79" localSheetId="5" hidden="1">#REF!</definedName>
    <definedName name="BOD1136A820E4A4A349A22DDBE03368A79" localSheetId="4" hidden="1">#REF!</definedName>
    <definedName name="BOD1136A820E4A4A349A22DDBE03368A79" hidden="1">#REF!</definedName>
    <definedName name="BOD129B1AAD1A8454A988FD077660E0746" localSheetId="5" hidden="1">#REF!</definedName>
    <definedName name="BOD129B1AAD1A8454A988FD077660E0746" localSheetId="4" hidden="1">#REF!</definedName>
    <definedName name="BOD129B1AAD1A8454A988FD077660E0746" hidden="1">#REF!</definedName>
    <definedName name="BOD14638B491F746CA808EE455711E2DFA" localSheetId="5" hidden="1">#REF!</definedName>
    <definedName name="BOD14638B491F746CA808EE455711E2DFA" localSheetId="4" hidden="1">#REF!</definedName>
    <definedName name="BOD14638B491F746CA808EE455711E2DFA" hidden="1">#REF!</definedName>
    <definedName name="BOD148997563D34744A2BC6D5EC2CFB6DA" localSheetId="5" hidden="1">#REF!</definedName>
    <definedName name="BOD148997563D34744A2BC6D5EC2CFB6DA" localSheetId="4" hidden="1">#REF!</definedName>
    <definedName name="BOD148997563D34744A2BC6D5EC2CFB6DA" hidden="1">#REF!</definedName>
    <definedName name="BOD1571EBC9EFC4719B17E00444AC145C8" localSheetId="5" hidden="1">#REF!</definedName>
    <definedName name="BOD1571EBC9EFC4719B17E00444AC145C8" localSheetId="4" hidden="1">#REF!</definedName>
    <definedName name="BOD1571EBC9EFC4719B17E00444AC145C8" hidden="1">#REF!</definedName>
    <definedName name="BOD16D4E30F94E4951AB3786D1D961D3FE" localSheetId="5" hidden="1">#REF!</definedName>
    <definedName name="BOD16D4E30F94E4951AB3786D1D961D3FE" localSheetId="4" hidden="1">#REF!</definedName>
    <definedName name="BOD16D4E30F94E4951AB3786D1D961D3FE" hidden="1">#REF!</definedName>
    <definedName name="BOD17D44121A10469ABE3326D95064F60F" localSheetId="5" hidden="1">#REF!</definedName>
    <definedName name="BOD17D44121A10469ABE3326D95064F60F" localSheetId="4" hidden="1">#REF!</definedName>
    <definedName name="BOD17D44121A10469ABE3326D95064F60F" hidden="1">#REF!</definedName>
    <definedName name="BOD17FA3FAED794DC6B94FFD7FBE15CA8E" localSheetId="5" hidden="1">#REF!</definedName>
    <definedName name="BOD17FA3FAED794DC6B94FFD7FBE15CA8E" localSheetId="4" hidden="1">#REF!</definedName>
    <definedName name="BOD17FA3FAED794DC6B94FFD7FBE15CA8E" hidden="1">#REF!</definedName>
    <definedName name="BOD18366E2D7ED44AB882E4F1C65113825" localSheetId="5" hidden="1">#REF!</definedName>
    <definedName name="BOD18366E2D7ED44AB882E4F1C65113825" localSheetId="4" hidden="1">#REF!</definedName>
    <definedName name="BOD18366E2D7ED44AB882E4F1C65113825" hidden="1">#REF!</definedName>
    <definedName name="BOD19EE91F5D99468F9C79D62A64548F42" localSheetId="5" hidden="1">#REF!</definedName>
    <definedName name="BOD19EE91F5D99468F9C79D62A64548F42" localSheetId="4" hidden="1">#REF!</definedName>
    <definedName name="BOD19EE91F5D99468F9C79D62A64548F42" hidden="1">#REF!</definedName>
    <definedName name="BOD1A2B097B6EE493987038C13F0FEC6E1" localSheetId="5" hidden="1">#REF!</definedName>
    <definedName name="BOD1A2B097B6EE493987038C13F0FEC6E1" localSheetId="4" hidden="1">#REF!</definedName>
    <definedName name="BOD1A2B097B6EE493987038C13F0FEC6E1" hidden="1">#REF!</definedName>
    <definedName name="BOD1B4E181CA874869848C1FBE57F02A3F" localSheetId="5" hidden="1">#REF!</definedName>
    <definedName name="BOD1B4E181CA874869848C1FBE57F02A3F" localSheetId="4" hidden="1">#REF!</definedName>
    <definedName name="BOD1B4E181CA874869848C1FBE57F02A3F" hidden="1">#REF!</definedName>
    <definedName name="BOD1D5BE4C0FB24EE798AA74F90F407A1A" localSheetId="5" hidden="1">#REF!</definedName>
    <definedName name="BOD1D5BE4C0FB24EE798AA74F90F407A1A" localSheetId="4" hidden="1">#REF!</definedName>
    <definedName name="BOD1D5BE4C0FB24EE798AA74F90F407A1A" hidden="1">#REF!</definedName>
    <definedName name="BOD1F9357DA9A64BF5B6306A06275A8872" localSheetId="5" hidden="1">#REF!</definedName>
    <definedName name="BOD1F9357DA9A64BF5B6306A06275A8872" localSheetId="4" hidden="1">#REF!</definedName>
    <definedName name="BOD1F9357DA9A64BF5B6306A06275A8872" hidden="1">#REF!</definedName>
    <definedName name="BOD211DE122DB3497AB5D76A1542188482" localSheetId="5" hidden="1">#REF!</definedName>
    <definedName name="BOD211DE122DB3497AB5D76A1542188482" localSheetId="4" hidden="1">#REF!</definedName>
    <definedName name="BOD211DE122DB3497AB5D76A1542188482" hidden="1">#REF!</definedName>
    <definedName name="BOD22B62E0D3D9450598F759030DDF895E" localSheetId="5" hidden="1">#REF!</definedName>
    <definedName name="BOD22B62E0D3D9450598F759030DDF895E" localSheetId="4" hidden="1">#REF!</definedName>
    <definedName name="BOD22B62E0D3D9450598F759030DDF895E" hidden="1">#REF!</definedName>
    <definedName name="BOD230302E244347D0800B1FE794A98043" localSheetId="5" hidden="1">#REF!</definedName>
    <definedName name="BOD230302E244347D0800B1FE794A98043" localSheetId="4" hidden="1">#REF!</definedName>
    <definedName name="BOD230302E244347D0800B1FE794A98043" hidden="1">#REF!</definedName>
    <definedName name="BOD2367E7BD60547E68E9D20C429DC1536" localSheetId="5" hidden="1">#REF!</definedName>
    <definedName name="BOD2367E7BD60547E68E9D20C429DC1536" localSheetId="4" hidden="1">#REF!</definedName>
    <definedName name="BOD2367E7BD60547E68E9D20C429DC1536" hidden="1">#REF!</definedName>
    <definedName name="BOD2974288C8344CB9981C0B5A2E924BBC" localSheetId="5" hidden="1">#REF!</definedName>
    <definedName name="BOD2974288C8344CB9981C0B5A2E924BBC" localSheetId="4" hidden="1">#REF!</definedName>
    <definedName name="BOD2974288C8344CB9981C0B5A2E924BBC" hidden="1">#REF!</definedName>
    <definedName name="BOD29B85F30059475EB1A1F754BCB776DA" localSheetId="5" hidden="1">#REF!</definedName>
    <definedName name="BOD29B85F30059475EB1A1F754BCB776DA" localSheetId="4" hidden="1">#REF!</definedName>
    <definedName name="BOD29B85F30059475EB1A1F754BCB776DA" hidden="1">#REF!</definedName>
    <definedName name="BOD2BEFACD2977445FAEB9DA9A6231C7CB" localSheetId="5" hidden="1">#REF!</definedName>
    <definedName name="BOD2BEFACD2977445FAEB9DA9A6231C7CB" localSheetId="4" hidden="1">#REF!</definedName>
    <definedName name="BOD2BEFACD2977445FAEB9DA9A6231C7CB" hidden="1">#REF!</definedName>
    <definedName name="BOD2C554D8AE93485080A325180B5B1547" localSheetId="5" hidden="1">#REF!</definedName>
    <definedName name="BOD2C554D8AE93485080A325180B5B1547" localSheetId="4" hidden="1">#REF!</definedName>
    <definedName name="BOD2C554D8AE93485080A325180B5B1547" hidden="1">#REF!</definedName>
    <definedName name="BOD2C79FC8C724435B8ECF79D05A2AE2B6" localSheetId="5" hidden="1">#REF!</definedName>
    <definedName name="BOD2C79FC8C724435B8ECF79D05A2AE2B6" localSheetId="4" hidden="1">#REF!</definedName>
    <definedName name="BOD2C79FC8C724435B8ECF79D05A2AE2B6" hidden="1">#REF!</definedName>
    <definedName name="BOD2F3002A94364616A5454F53ABC67AA0" localSheetId="5" hidden="1">#REF!</definedName>
    <definedName name="BOD2F3002A94364616A5454F53ABC67AA0" localSheetId="4" hidden="1">#REF!</definedName>
    <definedName name="BOD2F3002A94364616A5454F53ABC67AA0" hidden="1">#REF!</definedName>
    <definedName name="BOD30584112A9549E48949A93D8039E4F6" localSheetId="5" hidden="1">#REF!</definedName>
    <definedName name="BOD30584112A9549E48949A93D8039E4F6" localSheetId="4" hidden="1">#REF!</definedName>
    <definedName name="BOD30584112A9549E48949A93D8039E4F6" hidden="1">#REF!</definedName>
    <definedName name="BOD307E5F479264767B463B99E251AE3B1" localSheetId="5" hidden="1">#REF!</definedName>
    <definedName name="BOD307E5F479264767B463B99E251AE3B1" localSheetId="4" hidden="1">#REF!</definedName>
    <definedName name="BOD307E5F479264767B463B99E251AE3B1" hidden="1">#REF!</definedName>
    <definedName name="BOD30D13AEE9E7446FB06AF1124ADA1234" localSheetId="5" hidden="1">#REF!</definedName>
    <definedName name="BOD30D13AEE9E7446FB06AF1124ADA1234" localSheetId="4" hidden="1">#REF!</definedName>
    <definedName name="BOD30D13AEE9E7446FB06AF1124ADA1234" hidden="1">#REF!</definedName>
    <definedName name="BOD313E22A34B04E23B47C0E5E5EB75735" localSheetId="5" hidden="1">#REF!</definedName>
    <definedName name="BOD313E22A34B04E23B47C0E5E5EB75735" localSheetId="4" hidden="1">#REF!</definedName>
    <definedName name="BOD313E22A34B04E23B47C0E5E5EB75735" hidden="1">#REF!</definedName>
    <definedName name="BOD3199742205244989F9D13F991DA5DF7" localSheetId="5" hidden="1">#REF!</definedName>
    <definedName name="BOD3199742205244989F9D13F991DA5DF7" localSheetId="4" hidden="1">#REF!</definedName>
    <definedName name="BOD3199742205244989F9D13F991DA5DF7" hidden="1">#REF!</definedName>
    <definedName name="BOD3233EC1DAE745DBA86761394BD457FF" localSheetId="5" hidden="1">#REF!</definedName>
    <definedName name="BOD3233EC1DAE745DBA86761394BD457FF" localSheetId="4" hidden="1">#REF!</definedName>
    <definedName name="BOD3233EC1DAE745DBA86761394BD457FF" hidden="1">#REF!</definedName>
    <definedName name="BOD362591848624AB7BE2C8B3AAD7614EC" localSheetId="5" hidden="1">#REF!</definedName>
    <definedName name="BOD362591848624AB7BE2C8B3AAD7614EC" localSheetId="4" hidden="1">#REF!</definedName>
    <definedName name="BOD362591848624AB7BE2C8B3AAD7614EC" hidden="1">#REF!</definedName>
    <definedName name="BOD37DA28F57614F96B398A517189087E8" localSheetId="5" hidden="1">#REF!</definedName>
    <definedName name="BOD37DA28F57614F96B398A517189087E8" localSheetId="4" hidden="1">#REF!</definedName>
    <definedName name="BOD37DA28F57614F96B398A517189087E8" hidden="1">#REF!</definedName>
    <definedName name="BOD39DF835BE604ABB9E3F39720FDDEB99" localSheetId="5" hidden="1">#REF!</definedName>
    <definedName name="BOD39DF835BE604ABB9E3F39720FDDEB99" localSheetId="4" hidden="1">#REF!</definedName>
    <definedName name="BOD39DF835BE604ABB9E3F39720FDDEB99" hidden="1">#REF!</definedName>
    <definedName name="BOD3AC1AE62968479AA5A373821C711DA4" localSheetId="5" hidden="1">#REF!</definedName>
    <definedName name="BOD3AC1AE62968479AA5A373821C711DA4" localSheetId="4" hidden="1">#REF!</definedName>
    <definedName name="BOD3AC1AE62968479AA5A373821C711DA4" hidden="1">#REF!</definedName>
    <definedName name="BOD3B4567942A74870ACFA86C24659E392" localSheetId="5" hidden="1">#REF!</definedName>
    <definedName name="BOD3B4567942A74870ACFA86C24659E392" localSheetId="4" hidden="1">#REF!</definedName>
    <definedName name="BOD3B4567942A74870ACFA86C24659E392" hidden="1">#REF!</definedName>
    <definedName name="BOD3C6335D1FD34F8B8C6DFE16938F85A1" localSheetId="5" hidden="1">#REF!</definedName>
    <definedName name="BOD3C6335D1FD34F8B8C6DFE16938F85A1" localSheetId="4" hidden="1">#REF!</definedName>
    <definedName name="BOD3C6335D1FD34F8B8C6DFE16938F85A1" hidden="1">#REF!</definedName>
    <definedName name="BOD3C8E760EBF4481FA1151651A2CE45F5" localSheetId="5" hidden="1">#REF!</definedName>
    <definedName name="BOD3C8E760EBF4481FA1151651A2CE45F5" localSheetId="4" hidden="1">#REF!</definedName>
    <definedName name="BOD3C8E760EBF4481FA1151651A2CE45F5" hidden="1">#REF!</definedName>
    <definedName name="BOD3CF0471BBA140C293A38AE7B62C4035" localSheetId="5" hidden="1">#REF!</definedName>
    <definedName name="BOD3CF0471BBA140C293A38AE7B62C4035" localSheetId="4" hidden="1">#REF!</definedName>
    <definedName name="BOD3CF0471BBA140C293A38AE7B62C4035" hidden="1">#REF!</definedName>
    <definedName name="BOD3D164D82A744D349944A2A4C12AC6C2" localSheetId="5" hidden="1">#REF!</definedName>
    <definedName name="BOD3D164D82A744D349944A2A4C12AC6C2" localSheetId="4" hidden="1">#REF!</definedName>
    <definedName name="BOD3D164D82A744D349944A2A4C12AC6C2" hidden="1">#REF!</definedName>
    <definedName name="BOD3D705DAB5324AE6A0460FD1B8021FD2" localSheetId="5" hidden="1">#REF!</definedName>
    <definedName name="BOD3D705DAB5324AE6A0460FD1B8021FD2" localSheetId="4" hidden="1">#REF!</definedName>
    <definedName name="BOD3D705DAB5324AE6A0460FD1B8021FD2" hidden="1">#REF!</definedName>
    <definedName name="BOD3E1F51E40214CA9BA586B3CCF2553E6" localSheetId="5" hidden="1">#REF!</definedName>
    <definedName name="BOD3E1F51E40214CA9BA586B3CCF2553E6" localSheetId="4" hidden="1">#REF!</definedName>
    <definedName name="BOD3E1F51E40214CA9BA586B3CCF2553E6" hidden="1">#REF!</definedName>
    <definedName name="BOD404D5F4D6104339BA3ACB5CB4FD091A" localSheetId="5" hidden="1">#REF!</definedName>
    <definedName name="BOD404D5F4D6104339BA3ACB5CB4FD091A" localSheetId="4" hidden="1">#REF!</definedName>
    <definedName name="BOD404D5F4D6104339BA3ACB5CB4FD091A" hidden="1">#REF!</definedName>
    <definedName name="BOD40A44E9E5CC4E3693AE1D015F4948F7" localSheetId="5" hidden="1">#REF!</definedName>
    <definedName name="BOD40A44E9E5CC4E3693AE1D015F4948F7" localSheetId="4" hidden="1">#REF!</definedName>
    <definedName name="BOD40A44E9E5CC4E3693AE1D015F4948F7" hidden="1">#REF!</definedName>
    <definedName name="BOD4231139BE32440691C524A5AC6B51CB" localSheetId="5" hidden="1">#REF!</definedName>
    <definedName name="BOD4231139BE32440691C524A5AC6B51CB" localSheetId="4" hidden="1">#REF!</definedName>
    <definedName name="BOD4231139BE32440691C524A5AC6B51CB" hidden="1">#REF!</definedName>
    <definedName name="BOD44B51F9CAEC44EB8A89ACAF1AC743EC" localSheetId="5" hidden="1">#REF!</definedName>
    <definedName name="BOD44B51F9CAEC44EB8A89ACAF1AC743EC" localSheetId="4" hidden="1">#REF!</definedName>
    <definedName name="BOD44B51F9CAEC44EB8A89ACAF1AC743EC" hidden="1">#REF!</definedName>
    <definedName name="BOD45D342950264E4A92180C820B313DCB" localSheetId="5" hidden="1">#REF!</definedName>
    <definedName name="BOD45D342950264E4A92180C820B313DCB" localSheetId="4" hidden="1">#REF!</definedName>
    <definedName name="BOD45D342950264E4A92180C820B313DCB" hidden="1">#REF!</definedName>
    <definedName name="BOD4711DE6256742A694ECBB7691ACD7FC" localSheetId="5" hidden="1">#REF!</definedName>
    <definedName name="BOD4711DE6256742A694ECBB7691ACD7FC" localSheetId="4" hidden="1">#REF!</definedName>
    <definedName name="BOD4711DE6256742A694ECBB7691ACD7FC" hidden="1">#REF!</definedName>
    <definedName name="BOD475444D2F7646A1932BB6C5A1117279" localSheetId="5" hidden="1">#REF!</definedName>
    <definedName name="BOD475444D2F7646A1932BB6C5A1117279" localSheetId="4" hidden="1">#REF!</definedName>
    <definedName name="BOD475444D2F7646A1932BB6C5A1117279" hidden="1">#REF!</definedName>
    <definedName name="BOD4793859B0B7457FB6A827C920A2CA47" localSheetId="5" hidden="1">#REF!</definedName>
    <definedName name="BOD4793859B0B7457FB6A827C920A2CA47" localSheetId="4" hidden="1">#REF!</definedName>
    <definedName name="BOD4793859B0B7457FB6A827C920A2CA47" hidden="1">#REF!</definedName>
    <definedName name="BOD47D934DAF094CEBA5E9CFC2F97A3DDA" localSheetId="5" hidden="1">#REF!</definedName>
    <definedName name="BOD47D934DAF094CEBA5E9CFC2F97A3DDA" localSheetId="4" hidden="1">#REF!</definedName>
    <definedName name="BOD47D934DAF094CEBA5E9CFC2F97A3DDA" hidden="1">#REF!</definedName>
    <definedName name="BOD484ECF67C214C179402F1A9DB88B556" localSheetId="5" hidden="1">#REF!</definedName>
    <definedName name="BOD484ECF67C214C179402F1A9DB88B556" localSheetId="4" hidden="1">#REF!</definedName>
    <definedName name="BOD484ECF67C214C179402F1A9DB88B556" hidden="1">#REF!</definedName>
    <definedName name="BOD49D864EF37940C2BBE06C10AD0855BA" localSheetId="5" hidden="1">#REF!</definedName>
    <definedName name="BOD49D864EF37940C2BBE06C10AD0855BA" localSheetId="4" hidden="1">#REF!</definedName>
    <definedName name="BOD49D864EF37940C2BBE06C10AD0855BA" hidden="1">#REF!</definedName>
    <definedName name="BOD4B7420058AA4F979C0B8C00C68EF00A" localSheetId="5" hidden="1">#REF!</definedName>
    <definedName name="BOD4B7420058AA4F979C0B8C00C68EF00A" localSheetId="4" hidden="1">#REF!</definedName>
    <definedName name="BOD4B7420058AA4F979C0B8C00C68EF00A" hidden="1">#REF!</definedName>
    <definedName name="BOD4B8AEC8EB9B455EBC82ADE84BFE1969" localSheetId="5" hidden="1">#REF!</definedName>
    <definedName name="BOD4B8AEC8EB9B455EBC82ADE84BFE1969" localSheetId="4" hidden="1">#REF!</definedName>
    <definedName name="BOD4B8AEC8EB9B455EBC82ADE84BFE1969" hidden="1">#REF!</definedName>
    <definedName name="BOD4BD4EA80BB64B69A4F0C30D912FAB30" localSheetId="5" hidden="1">#REF!</definedName>
    <definedName name="BOD4BD4EA80BB64B69A4F0C30D912FAB30" localSheetId="4" hidden="1">#REF!</definedName>
    <definedName name="BOD4BD4EA80BB64B69A4F0C30D912FAB30" hidden="1">#REF!</definedName>
    <definedName name="BOD4C2216847B647D8B4D3A0954B6CB148" localSheetId="5" hidden="1">#REF!</definedName>
    <definedName name="BOD4C2216847B647D8B4D3A0954B6CB148" localSheetId="4" hidden="1">#REF!</definedName>
    <definedName name="BOD4C2216847B647D8B4D3A0954B6CB148" hidden="1">#REF!</definedName>
    <definedName name="BOD4C74FD8D1C64510899C02AFBA21037D" localSheetId="5" hidden="1">#REF!</definedName>
    <definedName name="BOD4C74FD8D1C64510899C02AFBA21037D" localSheetId="4" hidden="1">#REF!</definedName>
    <definedName name="BOD4C74FD8D1C64510899C02AFBA21037D" hidden="1">#REF!</definedName>
    <definedName name="BOD4CE7227FF3D4303904247EEDE03DD8F" localSheetId="5" hidden="1">#REF!</definedName>
    <definedName name="BOD4CE7227FF3D4303904247EEDE03DD8F" localSheetId="4" hidden="1">#REF!</definedName>
    <definedName name="BOD4CE7227FF3D4303904247EEDE03DD8F" hidden="1">#REF!</definedName>
    <definedName name="BOD4CEEF9498C248E9983A09680CE09C62" localSheetId="5" hidden="1">#REF!</definedName>
    <definedName name="BOD4CEEF9498C248E9983A09680CE09C62" localSheetId="4" hidden="1">#REF!</definedName>
    <definedName name="BOD4CEEF9498C248E9983A09680CE09C62" hidden="1">#REF!</definedName>
    <definedName name="BOD4D26CA1C52F43BDBE4F64A3B560F6ED" localSheetId="5" hidden="1">[7]lailo!#REF!</definedName>
    <definedName name="BOD4D26CA1C52F43BDBE4F64A3B560F6ED" localSheetId="4" hidden="1">[7]lailo!#REF!</definedName>
    <definedName name="BOD4D26CA1C52F43BDBE4F64A3B560F6ED" hidden="1">[7]lailo!#REF!</definedName>
    <definedName name="BOD4D6DC950453479987BD158BA0C1813A" localSheetId="5" hidden="1">#REF!</definedName>
    <definedName name="BOD4D6DC950453479987BD158BA0C1813A" localSheetId="4" hidden="1">#REF!</definedName>
    <definedName name="BOD4D6DC950453479987BD158BA0C1813A" hidden="1">#REF!</definedName>
    <definedName name="BOD4DCCA0A12ED4D94A14E69FDE2AC9819" localSheetId="5" hidden="1">#REF!</definedName>
    <definedName name="BOD4DCCA0A12ED4D94A14E69FDE2AC9819" localSheetId="4" hidden="1">#REF!</definedName>
    <definedName name="BOD4DCCA0A12ED4D94A14E69FDE2AC9819" hidden="1">#REF!</definedName>
    <definedName name="BOD4F0099CA2E5413C90FDBEAE610F6613" localSheetId="5" hidden="1">[9]xml!#REF!</definedName>
    <definedName name="BOD4F0099CA2E5413C90FDBEAE610F6613" localSheetId="4" hidden="1">[9]xml!#REF!</definedName>
    <definedName name="BOD4F0099CA2E5413C90FDBEAE610F6613" hidden="1">[9]xml!#REF!</definedName>
    <definedName name="BOD4F78C2E32CE40AEB95B29DBD0B9E6A8" hidden="1">[8]Ketqua!$I$4:$U$4</definedName>
    <definedName name="BOD5055A451CD64068A909C853CCD5C767" localSheetId="5" hidden="1">#REF!</definedName>
    <definedName name="BOD5055A451CD64068A909C853CCD5C767" localSheetId="4" hidden="1">#REF!</definedName>
    <definedName name="BOD5055A451CD64068A909C853CCD5C767" hidden="1">#REF!</definedName>
    <definedName name="BOD56983E5837D4255991E6CB791DEA783" localSheetId="5" hidden="1">#REF!</definedName>
    <definedName name="BOD56983E5837D4255991E6CB791DEA783" localSheetId="4" hidden="1">#REF!</definedName>
    <definedName name="BOD56983E5837D4255991E6CB791DEA783" hidden="1">#REF!</definedName>
    <definedName name="BOD57573FE855B4090AFC8679A2693A5D5" localSheetId="5" hidden="1">#REF!</definedName>
    <definedName name="BOD57573FE855B4090AFC8679A2693A5D5" localSheetId="4" hidden="1">#REF!</definedName>
    <definedName name="BOD57573FE855B4090AFC8679A2693A5D5" hidden="1">#REF!</definedName>
    <definedName name="BOD589C64A18FB4E39808CD1A9801D9FF1" localSheetId="5" hidden="1">#REF!</definedName>
    <definedName name="BOD589C64A18FB4E39808CD1A9801D9FF1" localSheetId="4" hidden="1">#REF!</definedName>
    <definedName name="BOD589C64A18FB4E39808CD1A9801D9FF1" hidden="1">#REF!</definedName>
    <definedName name="BOD5A1654692584EBD9A4C27B60244E347" localSheetId="5" hidden="1">#REF!</definedName>
    <definedName name="BOD5A1654692584EBD9A4C27B60244E347" localSheetId="4" hidden="1">#REF!</definedName>
    <definedName name="BOD5A1654692584EBD9A4C27B60244E347" hidden="1">#REF!</definedName>
    <definedName name="BOD5A4F4265C1649699029070BA7454D38" localSheetId="5" hidden="1">#REF!</definedName>
    <definedName name="BOD5A4F4265C1649699029070BA7454D38" localSheetId="4" hidden="1">#REF!</definedName>
    <definedName name="BOD5A4F4265C1649699029070BA7454D38" hidden="1">#REF!</definedName>
    <definedName name="BOD5AC6DCB5AFB4CAB92836B1090B745A2" localSheetId="5" hidden="1">#REF!</definedName>
    <definedName name="BOD5AC6DCB5AFB4CAB92836B1090B745A2" localSheetId="4" hidden="1">#REF!</definedName>
    <definedName name="BOD5AC6DCB5AFB4CAB92836B1090B745A2" hidden="1">#REF!</definedName>
    <definedName name="BOD5B944D7D611407DBE1C2E9AD4B12423" localSheetId="5" hidden="1">#REF!</definedName>
    <definedName name="BOD5B944D7D611407DBE1C2E9AD4B12423" localSheetId="4" hidden="1">#REF!</definedName>
    <definedName name="BOD5B944D7D611407DBE1C2E9AD4B12423" hidden="1">#REF!</definedName>
    <definedName name="BOD5BA562CEF6B4E8593C7650256496875" localSheetId="5" hidden="1">#REF!</definedName>
    <definedName name="BOD5BA562CEF6B4E8593C7650256496875" localSheetId="4" hidden="1">#REF!</definedName>
    <definedName name="BOD5BA562CEF6B4E8593C7650256496875" hidden="1">#REF!</definedName>
    <definedName name="BOD5BF9DDC39094DD28213EEF6FFA7EF1F" localSheetId="5" hidden="1">#REF!</definedName>
    <definedName name="BOD5BF9DDC39094DD28213EEF6FFA7EF1F" localSheetId="4" hidden="1">#REF!</definedName>
    <definedName name="BOD5BF9DDC39094DD28213EEF6FFA7EF1F" hidden="1">#REF!</definedName>
    <definedName name="BOD5C7B98DA0E641D4B6429D65F168544B" localSheetId="5" hidden="1">#REF!</definedName>
    <definedName name="BOD5C7B98DA0E641D4B6429D65F168544B" localSheetId="4" hidden="1">#REF!</definedName>
    <definedName name="BOD5C7B98DA0E641D4B6429D65F168544B" hidden="1">#REF!</definedName>
    <definedName name="BOD5DC52A04ED0433ABB69292AD8520C02" localSheetId="5" hidden="1">#REF!</definedName>
    <definedName name="BOD5DC52A04ED0433ABB69292AD8520C02" localSheetId="4" hidden="1">#REF!</definedName>
    <definedName name="BOD5DC52A04ED0433ABB69292AD8520C02" hidden="1">#REF!</definedName>
    <definedName name="BOD5ECDEB795404D34B355340D0C1BD6ED" localSheetId="5" hidden="1">#REF!</definedName>
    <definedName name="BOD5ECDEB795404D34B355340D0C1BD6ED" localSheetId="4" hidden="1">#REF!</definedName>
    <definedName name="BOD5ECDEB795404D34B355340D0C1BD6ED" hidden="1">#REF!</definedName>
    <definedName name="BOD5F38165B4F64CCEAE1233F99E1C1D10" localSheetId="5" hidden="1">#REF!</definedName>
    <definedName name="BOD5F38165B4F64CCEAE1233F99E1C1D10" localSheetId="4" hidden="1">#REF!</definedName>
    <definedName name="BOD5F38165B4F64CCEAE1233F99E1C1D10" hidden="1">#REF!</definedName>
    <definedName name="BOD5FBDB6792ED490294B58B91280CB793" localSheetId="5" hidden="1">#REF!</definedName>
    <definedName name="BOD5FBDB6792ED490294B58B91280CB793" localSheetId="4" hidden="1">#REF!</definedName>
    <definedName name="BOD5FBDB6792ED490294B58B91280CB793" hidden="1">#REF!</definedName>
    <definedName name="BOD6000BBE6ADA4F37B41FCA2EA4794054" localSheetId="5" hidden="1">#REF!</definedName>
    <definedName name="BOD6000BBE6ADA4F37B41FCA2EA4794054" localSheetId="4" hidden="1">#REF!</definedName>
    <definedName name="BOD6000BBE6ADA4F37B41FCA2EA4794054" hidden="1">#REF!</definedName>
    <definedName name="BOD60071B25C744E1C9E65631330830418" localSheetId="5" hidden="1">#REF!</definedName>
    <definedName name="BOD60071B25C744E1C9E65631330830418" localSheetId="4" hidden="1">#REF!</definedName>
    <definedName name="BOD60071B25C744E1C9E65631330830418" hidden="1">#REF!</definedName>
    <definedName name="BOD6020AB232644F01B1734FF23D753A12" localSheetId="5" hidden="1">#REF!</definedName>
    <definedName name="BOD6020AB232644F01B1734FF23D753A12" localSheetId="4" hidden="1">#REF!</definedName>
    <definedName name="BOD6020AB232644F01B1734FF23D753A12" hidden="1">#REF!</definedName>
    <definedName name="BOD60711644F20496292DAB17C2A10CD22" localSheetId="5" hidden="1">#REF!</definedName>
    <definedName name="BOD60711644F20496292DAB17C2A10CD22" localSheetId="4" hidden="1">#REF!</definedName>
    <definedName name="BOD60711644F20496292DAB17C2A10CD22" hidden="1">#REF!</definedName>
    <definedName name="BOD6091EBE9E4D4E7088A85736BE77FBC4" localSheetId="5" hidden="1">#REF!</definedName>
    <definedName name="BOD6091EBE9E4D4E7088A85736BE77FBC4" localSheetId="4" hidden="1">#REF!</definedName>
    <definedName name="BOD6091EBE9E4D4E7088A85736BE77FBC4" hidden="1">#REF!</definedName>
    <definedName name="BOD6093DB2F42544739F3F0BC6B185776E" localSheetId="5" hidden="1">#REF!</definedName>
    <definedName name="BOD6093DB2F42544739F3F0BC6B185776E" localSheetId="4" hidden="1">#REF!</definedName>
    <definedName name="BOD6093DB2F42544739F3F0BC6B185776E" hidden="1">#REF!</definedName>
    <definedName name="BOD616EB6B252A485DB2E914540E19A79E" localSheetId="5" hidden="1">#REF!</definedName>
    <definedName name="BOD616EB6B252A485DB2E914540E19A79E" localSheetId="4" hidden="1">#REF!</definedName>
    <definedName name="BOD616EB6B252A485DB2E914540E19A79E" hidden="1">#REF!</definedName>
    <definedName name="BOD666E0EA748C4906A50FDE186DC7A343" localSheetId="5" hidden="1">#REF!</definedName>
    <definedName name="BOD666E0EA748C4906A50FDE186DC7A343" localSheetId="4" hidden="1">#REF!</definedName>
    <definedName name="BOD666E0EA748C4906A50FDE186DC7A343" hidden="1">#REF!</definedName>
    <definedName name="BOD66ADEE373754C2FAE5666D1DDC249C0" localSheetId="5" hidden="1">#REF!</definedName>
    <definedName name="BOD66ADEE373754C2FAE5666D1DDC249C0" localSheetId="4" hidden="1">#REF!</definedName>
    <definedName name="BOD66ADEE373754C2FAE5666D1DDC249C0" hidden="1">#REF!</definedName>
    <definedName name="BOD689611FA42248308D3AEC62500BF17E" localSheetId="5" hidden="1">#REF!</definedName>
    <definedName name="BOD689611FA42248308D3AEC62500BF17E" localSheetId="4" hidden="1">#REF!</definedName>
    <definedName name="BOD689611FA42248308D3AEC62500BF17E" hidden="1">#REF!</definedName>
    <definedName name="BOD6ACA46E696C48099B7105C274041B40" localSheetId="5" hidden="1">#REF!</definedName>
    <definedName name="BOD6ACA46E696C48099B7105C274041B40" localSheetId="4" hidden="1">#REF!</definedName>
    <definedName name="BOD6ACA46E696C48099B7105C274041B40" hidden="1">#REF!</definedName>
    <definedName name="BOD6C2AF20BFCC436F8212AE446F7FBF3F" localSheetId="5" hidden="1">#REF!</definedName>
    <definedName name="BOD6C2AF20BFCC436F8212AE446F7FBF3F" localSheetId="4" hidden="1">#REF!</definedName>
    <definedName name="BOD6C2AF20BFCC436F8212AE446F7FBF3F" hidden="1">#REF!</definedName>
    <definedName name="BOD6C7698113FD4935A5A3EABBC34BA462" localSheetId="5" hidden="1">#REF!</definedName>
    <definedName name="BOD6C7698113FD4935A5A3EABBC34BA462" localSheetId="4" hidden="1">#REF!</definedName>
    <definedName name="BOD6C7698113FD4935A5A3EABBC34BA462" hidden="1">#REF!</definedName>
    <definedName name="BOD6F75FC25E2D470E8DEA7A2C735F8787" localSheetId="5" hidden="1">#REF!</definedName>
    <definedName name="BOD6F75FC25E2D470E8DEA7A2C735F8787" localSheetId="4" hidden="1">#REF!</definedName>
    <definedName name="BOD6F75FC25E2D470E8DEA7A2C735F8787" hidden="1">#REF!</definedName>
    <definedName name="BOD7117E6358C242E3A1E99B0A14C7E296" localSheetId="5" hidden="1">#REF!</definedName>
    <definedName name="BOD7117E6358C242E3A1E99B0A14C7E296" localSheetId="4" hidden="1">#REF!</definedName>
    <definedName name="BOD7117E6358C242E3A1E99B0A14C7E296" hidden="1">#REF!</definedName>
    <definedName name="BOD7194385889F4AA5832169115F3ABE5C" localSheetId="5" hidden="1">#REF!</definedName>
    <definedName name="BOD7194385889F4AA5832169115F3ABE5C" localSheetId="4" hidden="1">#REF!</definedName>
    <definedName name="BOD7194385889F4AA5832169115F3ABE5C" hidden="1">#REF!</definedName>
    <definedName name="BOD7196686218346498FCA8AB0A8D5405D" localSheetId="5" hidden="1">#REF!</definedName>
    <definedName name="BOD7196686218346498FCA8AB0A8D5405D" localSheetId="4" hidden="1">#REF!</definedName>
    <definedName name="BOD7196686218346498FCA8AB0A8D5405D" hidden="1">#REF!</definedName>
    <definedName name="BOD7359D4D72344971A55B6DE10166EC3A" localSheetId="5" hidden="1">#REF!</definedName>
    <definedName name="BOD7359D4D72344971A55B6DE10166EC3A" localSheetId="4" hidden="1">#REF!</definedName>
    <definedName name="BOD7359D4D72344971A55B6DE10166EC3A" hidden="1">#REF!</definedName>
    <definedName name="BOD745217FC9384622A8C168310D120ED2" localSheetId="5" hidden="1">#REF!</definedName>
    <definedName name="BOD745217FC9384622A8C168310D120ED2" localSheetId="4" hidden="1">#REF!</definedName>
    <definedName name="BOD745217FC9384622A8C168310D120ED2" hidden="1">#REF!</definedName>
    <definedName name="BOD74816BF53604C1A8EBE7794E78C6157" localSheetId="5" hidden="1">#REF!</definedName>
    <definedName name="BOD74816BF53604C1A8EBE7794E78C6157" localSheetId="4" hidden="1">#REF!</definedName>
    <definedName name="BOD74816BF53604C1A8EBE7794E78C6157" hidden="1">#REF!</definedName>
    <definedName name="BOD7586665A8C34212B753B89334948FA3" localSheetId="5" hidden="1">#REF!</definedName>
    <definedName name="BOD7586665A8C34212B753B89334948FA3" localSheetId="4" hidden="1">#REF!</definedName>
    <definedName name="BOD7586665A8C34212B753B89334948FA3" hidden="1">#REF!</definedName>
    <definedName name="BOD75E9FD91EEB4991967840667D14ADE1" localSheetId="5" hidden="1">#REF!</definedName>
    <definedName name="BOD75E9FD91EEB4991967840667D14ADE1" localSheetId="4" hidden="1">#REF!</definedName>
    <definedName name="BOD75E9FD91EEB4991967840667D14ADE1" hidden="1">#REF!</definedName>
    <definedName name="BOD7619C4CBE234EA9ACB18176025ACAF4" localSheetId="5" hidden="1">#REF!</definedName>
    <definedName name="BOD7619C4CBE234EA9ACB18176025ACAF4" localSheetId="4" hidden="1">#REF!</definedName>
    <definedName name="BOD7619C4CBE234EA9ACB18176025ACAF4" hidden="1">#REF!</definedName>
    <definedName name="BOD76BF873E80B46C185A9B2BC59BE204A" localSheetId="5" hidden="1">#REF!</definedName>
    <definedName name="BOD76BF873E80B46C185A9B2BC59BE204A" localSheetId="4" hidden="1">#REF!</definedName>
    <definedName name="BOD76BF873E80B46C185A9B2BC59BE204A" hidden="1">#REF!</definedName>
    <definedName name="BOD76C4C62ED6349BA82C6E762885F9C42" localSheetId="5" hidden="1">#REF!</definedName>
    <definedName name="BOD76C4C62ED6349BA82C6E762885F9C42" localSheetId="4" hidden="1">#REF!</definedName>
    <definedName name="BOD76C4C62ED6349BA82C6E762885F9C42" hidden="1">#REF!</definedName>
    <definedName name="BOD7827679259E487A82EFBD97FB249CE4" localSheetId="5" hidden="1">#REF!</definedName>
    <definedName name="BOD7827679259E487A82EFBD97FB249CE4" localSheetId="4" hidden="1">#REF!</definedName>
    <definedName name="BOD7827679259E487A82EFBD97FB249CE4" hidden="1">#REF!</definedName>
    <definedName name="BOD78580AFD3EB40F0961C65CA7CA45022" localSheetId="5" hidden="1">#REF!</definedName>
    <definedName name="BOD78580AFD3EB40F0961C65CA7CA45022" localSheetId="4" hidden="1">#REF!</definedName>
    <definedName name="BOD78580AFD3EB40F0961C65CA7CA45022" hidden="1">#REF!</definedName>
    <definedName name="BOD789790B96514DC59042719B5805E3D6" localSheetId="5" hidden="1">[7]lailo!#REF!</definedName>
    <definedName name="BOD789790B96514DC59042719B5805E3D6" localSheetId="4" hidden="1">[7]lailo!#REF!</definedName>
    <definedName name="BOD789790B96514DC59042719B5805E3D6" hidden="1">[7]lailo!#REF!</definedName>
    <definedName name="BOD78D0FCDEF9745FCBAAA5BFB79E12511" localSheetId="5" hidden="1">#REF!</definedName>
    <definedName name="BOD78D0FCDEF9745FCBAAA5BFB79E12511" localSheetId="4" hidden="1">#REF!</definedName>
    <definedName name="BOD78D0FCDEF9745FCBAAA5BFB79E12511" hidden="1">#REF!</definedName>
    <definedName name="BOD7933E219BAA477986EEC38701E45AC5" localSheetId="5" hidden="1">#REF!</definedName>
    <definedName name="BOD7933E219BAA477986EEC38701E45AC5" localSheetId="4" hidden="1">#REF!</definedName>
    <definedName name="BOD7933E219BAA477986EEC38701E45AC5" hidden="1">#REF!</definedName>
    <definedName name="BOD79BB154A4C94C8DAA4055CD3C3942B9" localSheetId="5" hidden="1">#REF!</definedName>
    <definedName name="BOD79BB154A4C94C8DAA4055CD3C3942B9" localSheetId="4" hidden="1">#REF!</definedName>
    <definedName name="BOD79BB154A4C94C8DAA4055CD3C3942B9" hidden="1">#REF!</definedName>
    <definedName name="BOD7A20F011DC3496F8EABD9053412155F" localSheetId="5" hidden="1">#REF!</definedName>
    <definedName name="BOD7A20F011DC3496F8EABD9053412155F" localSheetId="4" hidden="1">#REF!</definedName>
    <definedName name="BOD7A20F011DC3496F8EABD9053412155F" hidden="1">#REF!</definedName>
    <definedName name="BOD7AFEA3A122B4538910DFD018D3BE33D" localSheetId="5" hidden="1">#REF!</definedName>
    <definedName name="BOD7AFEA3A122B4538910DFD018D3BE33D" localSheetId="4" hidden="1">#REF!</definedName>
    <definedName name="BOD7AFEA3A122B4538910DFD018D3BE33D" hidden="1">#REF!</definedName>
    <definedName name="BOD7B36FA1093347AF921EC7DB87118C4F" localSheetId="5" hidden="1">#REF!</definedName>
    <definedName name="BOD7B36FA1093347AF921EC7DB87118C4F" localSheetId="4" hidden="1">#REF!</definedName>
    <definedName name="BOD7B36FA1093347AF921EC7DB87118C4F" hidden="1">#REF!</definedName>
    <definedName name="BOD7B64D0A79904E5DB0613D63A8246F45" localSheetId="5" hidden="1">#REF!</definedName>
    <definedName name="BOD7B64D0A79904E5DB0613D63A8246F45" localSheetId="4" hidden="1">#REF!</definedName>
    <definedName name="BOD7B64D0A79904E5DB0613D63A8246F45" hidden="1">#REF!</definedName>
    <definedName name="BOD7B89932E1BE40CEBA0F84C41A299960" localSheetId="5" hidden="1">#REF!</definedName>
    <definedName name="BOD7B89932E1BE40CEBA0F84C41A299960" localSheetId="4" hidden="1">#REF!</definedName>
    <definedName name="BOD7B89932E1BE40CEBA0F84C41A299960" hidden="1">#REF!</definedName>
    <definedName name="BOD7C772C9C2CF43C391523BECE58602D5" localSheetId="5" hidden="1">#REF!</definedName>
    <definedName name="BOD7C772C9C2CF43C391523BECE58602D5" localSheetId="4" hidden="1">#REF!</definedName>
    <definedName name="BOD7C772C9C2CF43C391523BECE58602D5" hidden="1">#REF!</definedName>
    <definedName name="BOD7CA487090DF4C4EBD65FE35935F4905" localSheetId="5" hidden="1">#REF!</definedName>
    <definedName name="BOD7CA487090DF4C4EBD65FE35935F4905" localSheetId="4" hidden="1">#REF!</definedName>
    <definedName name="BOD7CA487090DF4C4EBD65FE35935F4905" hidden="1">#REF!</definedName>
    <definedName name="BOD7CF765C287649F89DE2903BE507C970" localSheetId="5" hidden="1">#REF!</definedName>
    <definedName name="BOD7CF765C287649F89DE2903BE507C970" localSheetId="4" hidden="1">#REF!</definedName>
    <definedName name="BOD7CF765C287649F89DE2903BE507C970" hidden="1">#REF!</definedName>
    <definedName name="BOD7D258278B4E4E4AA509D9197261A0B6" localSheetId="5" hidden="1">#REF!</definedName>
    <definedName name="BOD7D258278B4E4E4AA509D9197261A0B6" localSheetId="4" hidden="1">#REF!</definedName>
    <definedName name="BOD7D258278B4E4E4AA509D9197261A0B6" hidden="1">#REF!</definedName>
    <definedName name="BOD7D4711B87494F72B9462DABAD2DC16A" localSheetId="5" hidden="1">#REF!</definedName>
    <definedName name="BOD7D4711B87494F72B9462DABAD2DC16A" localSheetId="4" hidden="1">#REF!</definedName>
    <definedName name="BOD7D4711B87494F72B9462DABAD2DC16A" hidden="1">#REF!</definedName>
    <definedName name="BOD7D61BB333884A59A2C1D33A88CD9F47" localSheetId="5" hidden="1">#REF!</definedName>
    <definedName name="BOD7D61BB333884A59A2C1D33A88CD9F47" localSheetId="4" hidden="1">#REF!</definedName>
    <definedName name="BOD7D61BB333884A59A2C1D33A88CD9F47" hidden="1">#REF!</definedName>
    <definedName name="BOD7DA78831B7D48AE8E9730BE01D093B4" localSheetId="5" hidden="1">#REF!</definedName>
    <definedName name="BOD7DA78831B7D48AE8E9730BE01D093B4" localSheetId="4" hidden="1">#REF!</definedName>
    <definedName name="BOD7DA78831B7D48AE8E9730BE01D093B4" hidden="1">#REF!</definedName>
    <definedName name="BOD7EEE9F941AB4C77878AEC64AB6C2613" localSheetId="5" hidden="1">#REF!</definedName>
    <definedName name="BOD7EEE9F941AB4C77878AEC64AB6C2613" localSheetId="4" hidden="1">#REF!</definedName>
    <definedName name="BOD7EEE9F941AB4C77878AEC64AB6C2613" hidden="1">#REF!</definedName>
    <definedName name="BOD81ED292189C47DEA6970AAA79A5892D" localSheetId="5" hidden="1">#REF!</definedName>
    <definedName name="BOD81ED292189C47DEA6970AAA79A5892D" localSheetId="4" hidden="1">#REF!</definedName>
    <definedName name="BOD81ED292189C47DEA6970AAA79A5892D" hidden="1">#REF!</definedName>
    <definedName name="BOD829974450B945C5A22B9631131E3E46" localSheetId="5" hidden="1">[9]xml!#REF!</definedName>
    <definedName name="BOD829974450B945C5A22B9631131E3E46" localSheetId="4" hidden="1">[9]xml!#REF!</definedName>
    <definedName name="BOD829974450B945C5A22B9631131E3E46" hidden="1">[9]xml!#REF!</definedName>
    <definedName name="BOD850650076FB4BE9871891647862E226" localSheetId="5" hidden="1">#REF!</definedName>
    <definedName name="BOD850650076FB4BE9871891647862E226" localSheetId="4" hidden="1">#REF!</definedName>
    <definedName name="BOD850650076FB4BE9871891647862E226" hidden="1">#REF!</definedName>
    <definedName name="BOD854837A39AD429A8903E340E077C23B" localSheetId="5" hidden="1">#REF!</definedName>
    <definedName name="BOD854837A39AD429A8903E340E077C23B" localSheetId="4" hidden="1">#REF!</definedName>
    <definedName name="BOD854837A39AD429A8903E340E077C23B" hidden="1">#REF!</definedName>
    <definedName name="BOD86240FF503D4482871F210F78E6EAF1" localSheetId="5" hidden="1">[8]Ketqua!#REF!</definedName>
    <definedName name="BOD86240FF503D4482871F210F78E6EAF1" localSheetId="4" hidden="1">[8]Ketqua!#REF!</definedName>
    <definedName name="BOD86240FF503D4482871F210F78E6EAF1" hidden="1">[8]Ketqua!#REF!</definedName>
    <definedName name="BOD8667399EA71405F87B99EFA114442CA" localSheetId="5" hidden="1">#REF!</definedName>
    <definedName name="BOD8667399EA71405F87B99EFA114442CA" localSheetId="4" hidden="1">#REF!</definedName>
    <definedName name="BOD8667399EA71405F87B99EFA114442CA" hidden="1">#REF!</definedName>
    <definedName name="BOD874E9B7452B43E3896CE7DCCA6B8098" localSheetId="5" hidden="1">#REF!</definedName>
    <definedName name="BOD874E9B7452B43E3896CE7DCCA6B8098" localSheetId="4" hidden="1">#REF!</definedName>
    <definedName name="BOD874E9B7452B43E3896CE7DCCA6B8098" hidden="1">#REF!</definedName>
    <definedName name="BOD87AF798F4114AAE832DA72E182DC955" localSheetId="5" hidden="1">#REF!</definedName>
    <definedName name="BOD87AF798F4114AAE832DA72E182DC955" localSheetId="4" hidden="1">#REF!</definedName>
    <definedName name="BOD87AF798F4114AAE832DA72E182DC955" hidden="1">#REF!</definedName>
    <definedName name="BOD87DFC9C06C0415F9A038368D154EF22" localSheetId="5" hidden="1">#REF!</definedName>
    <definedName name="BOD87DFC9C06C0415F9A038368D154EF22" localSheetId="4" hidden="1">#REF!</definedName>
    <definedName name="BOD87DFC9C06C0415F9A038368D154EF22" hidden="1">#REF!</definedName>
    <definedName name="BOD8824FBBCC4043BFA09064A8590BCB4C" localSheetId="5" hidden="1">#REF!</definedName>
    <definedName name="BOD8824FBBCC4043BFA09064A8590BCB4C" localSheetId="4" hidden="1">#REF!</definedName>
    <definedName name="BOD8824FBBCC4043BFA09064A8590BCB4C" hidden="1">#REF!</definedName>
    <definedName name="BOD89421961BB04B30A18D09156E068BB7" localSheetId="5" hidden="1">#REF!</definedName>
    <definedName name="BOD89421961BB04B30A18D09156E068BB7" localSheetId="4" hidden="1">#REF!</definedName>
    <definedName name="BOD89421961BB04B30A18D09156E068BB7" hidden="1">#REF!</definedName>
    <definedName name="BOD8AF3276631E4F4EA12C8BE0583BC6A0" localSheetId="5" hidden="1">#REF!</definedName>
    <definedName name="BOD8AF3276631E4F4EA12C8BE0583BC6A0" localSheetId="4" hidden="1">#REF!</definedName>
    <definedName name="BOD8AF3276631E4F4EA12C8BE0583BC6A0" hidden="1">#REF!</definedName>
    <definedName name="BOD8C36005E5704ACBBF8998526F689178" localSheetId="5" hidden="1">#REF!</definedName>
    <definedName name="BOD8C36005E5704ACBBF8998526F689178" localSheetId="4" hidden="1">#REF!</definedName>
    <definedName name="BOD8C36005E5704ACBBF8998526F689178" hidden="1">#REF!</definedName>
    <definedName name="BOD8CA7DA232CE4CEA906568DC4EAB285D" localSheetId="5" hidden="1">#REF!</definedName>
    <definedName name="BOD8CA7DA232CE4CEA906568DC4EAB285D" localSheetId="4" hidden="1">#REF!</definedName>
    <definedName name="BOD8CA7DA232CE4CEA906568DC4EAB285D" hidden="1">#REF!</definedName>
    <definedName name="BOD8D7DCA760A14AAA9E6D993CA3E63755" localSheetId="5" hidden="1">#REF!</definedName>
    <definedName name="BOD8D7DCA760A14AAA9E6D993CA3E63755" localSheetId="4" hidden="1">#REF!</definedName>
    <definedName name="BOD8D7DCA760A14AAA9E6D993CA3E63755" hidden="1">#REF!</definedName>
    <definedName name="BOD8E842838F524D1EA55E8AE43E2BDE14" localSheetId="5" hidden="1">#REF!</definedName>
    <definedName name="BOD8E842838F524D1EA55E8AE43E2BDE14" localSheetId="4" hidden="1">#REF!</definedName>
    <definedName name="BOD8E842838F524D1EA55E8AE43E2BDE14" hidden="1">#REF!</definedName>
    <definedName name="BOD8EB2254C9FA416E8485C656FECB85AF" localSheetId="5" hidden="1">#REF!</definedName>
    <definedName name="BOD8EB2254C9FA416E8485C656FECB85AF" localSheetId="4" hidden="1">#REF!</definedName>
    <definedName name="BOD8EB2254C9FA416E8485C656FECB85AF" hidden="1">#REF!</definedName>
    <definedName name="BOD8F132C61D834425A5AB58E021D51B78" localSheetId="5" hidden="1">#REF!</definedName>
    <definedName name="BOD8F132C61D834425A5AB58E021D51B78" localSheetId="4" hidden="1">#REF!</definedName>
    <definedName name="BOD8F132C61D834425A5AB58E021D51B78" hidden="1">#REF!</definedName>
    <definedName name="BOD8F992839054469DB4A9E17508EDD4F2" localSheetId="5" hidden="1">#REF!</definedName>
    <definedName name="BOD8F992839054469DB4A9E17508EDD4F2" localSheetId="4" hidden="1">#REF!</definedName>
    <definedName name="BOD8F992839054469DB4A9E17508EDD4F2" hidden="1">#REF!</definedName>
    <definedName name="BOD9075F94CA5E4DF49026448EF16C6BC2" localSheetId="5" hidden="1">#REF!</definedName>
    <definedName name="BOD9075F94CA5E4DF49026448EF16C6BC2" localSheetId="4" hidden="1">#REF!</definedName>
    <definedName name="BOD9075F94CA5E4DF49026448EF16C6BC2" hidden="1">#REF!</definedName>
    <definedName name="BOD914C8C08C4E474391CF11AAA9240A0D" localSheetId="5" hidden="1">#REF!</definedName>
    <definedName name="BOD914C8C08C4E474391CF11AAA9240A0D" localSheetId="4" hidden="1">#REF!</definedName>
    <definedName name="BOD914C8C08C4E474391CF11AAA9240A0D" hidden="1">#REF!</definedName>
    <definedName name="BOD932BB85A2EA4DE7821393AA49C1C395" localSheetId="5" hidden="1">[8]Ketqua!#REF!</definedName>
    <definedName name="BOD932BB85A2EA4DE7821393AA49C1C395" localSheetId="4" hidden="1">[8]Ketqua!#REF!</definedName>
    <definedName name="BOD932BB85A2EA4DE7821393AA49C1C395" hidden="1">[8]Ketqua!#REF!</definedName>
    <definedName name="BOD943A115A65C44929A9117010923227D" localSheetId="5" hidden="1">[8]Ketqua!#REF!</definedName>
    <definedName name="BOD943A115A65C44929A9117010923227D" localSheetId="4" hidden="1">[8]Ketqua!#REF!</definedName>
    <definedName name="BOD943A115A65C44929A9117010923227D" hidden="1">[8]Ketqua!#REF!</definedName>
    <definedName name="BOD9559A9C37E4433E9A2515161293F207" localSheetId="5" hidden="1">#REF!</definedName>
    <definedName name="BOD9559A9C37E4433E9A2515161293F207" localSheetId="4" hidden="1">#REF!</definedName>
    <definedName name="BOD9559A9C37E4433E9A2515161293F207" hidden="1">#REF!</definedName>
    <definedName name="BOD95A4F3C7E5643819BB2404D8D3C844B" localSheetId="5" hidden="1">#REF!</definedName>
    <definedName name="BOD95A4F3C7E5643819BB2404D8D3C844B" localSheetId="4" hidden="1">#REF!</definedName>
    <definedName name="BOD95A4F3C7E5643819BB2404D8D3C844B" hidden="1">#REF!</definedName>
    <definedName name="BOD96324D7AA0D403DA0608422F8714591" localSheetId="5" hidden="1">#REF!</definedName>
    <definedName name="BOD96324D7AA0D403DA0608422F8714591" localSheetId="4" hidden="1">#REF!</definedName>
    <definedName name="BOD96324D7AA0D403DA0608422F8714591" hidden="1">#REF!</definedName>
    <definedName name="BOD965C71921F547F4919C4260E8AFEA1C" localSheetId="5" hidden="1">#REF!</definedName>
    <definedName name="BOD965C71921F547F4919C4260E8AFEA1C" localSheetId="4" hidden="1">#REF!</definedName>
    <definedName name="BOD965C71921F547F4919C4260E8AFEA1C" hidden="1">#REF!</definedName>
    <definedName name="BOD96AF82529F54504A665EA4AEF6C316F" localSheetId="5" hidden="1">#REF!</definedName>
    <definedName name="BOD96AF82529F54504A665EA4AEF6C316F" localSheetId="4" hidden="1">#REF!</definedName>
    <definedName name="BOD96AF82529F54504A665EA4AEF6C316F" hidden="1">#REF!</definedName>
    <definedName name="BOD96E3FB0F08B4BA793D580A9BB11918A" localSheetId="5" hidden="1">#REF!</definedName>
    <definedName name="BOD96E3FB0F08B4BA793D580A9BB11918A" localSheetId="4" hidden="1">#REF!</definedName>
    <definedName name="BOD96E3FB0F08B4BA793D580A9BB11918A" hidden="1">#REF!</definedName>
    <definedName name="BOD97A7A863D5C44C092790535B5B97C77" localSheetId="5" hidden="1">#REF!</definedName>
    <definedName name="BOD97A7A863D5C44C092790535B5B97C77" localSheetId="4" hidden="1">#REF!</definedName>
    <definedName name="BOD97A7A863D5C44C092790535B5B97C77" hidden="1">#REF!</definedName>
    <definedName name="BOD981E82152094511911FD1D2869AA239" localSheetId="5" hidden="1">#REF!</definedName>
    <definedName name="BOD981E82152094511911FD1D2869AA239" localSheetId="4" hidden="1">#REF!</definedName>
    <definedName name="BOD981E82152094511911FD1D2869AA239" hidden="1">#REF!</definedName>
    <definedName name="BOD985D8DFEF844A22A4066793823C10D6" localSheetId="5" hidden="1">#REF!</definedName>
    <definedName name="BOD985D8DFEF844A22A4066793823C10D6" localSheetId="4" hidden="1">#REF!</definedName>
    <definedName name="BOD985D8DFEF844A22A4066793823C10D6" hidden="1">#REF!</definedName>
    <definedName name="BOD99A1BF81C5B41C8AE446A73B518337B" localSheetId="5" hidden="1">#REF!</definedName>
    <definedName name="BOD99A1BF81C5B41C8AE446A73B518337B" localSheetId="4" hidden="1">#REF!</definedName>
    <definedName name="BOD99A1BF81C5B41C8AE446A73B518337B" hidden="1">#REF!</definedName>
    <definedName name="BOD99BCDC70C184DDFAF6D60D7C6E5517B" localSheetId="5" hidden="1">#REF!</definedName>
    <definedName name="BOD99BCDC70C184DDFAF6D60D7C6E5517B" localSheetId="4" hidden="1">#REF!</definedName>
    <definedName name="BOD99BCDC70C184DDFAF6D60D7C6E5517B" hidden="1">#REF!</definedName>
    <definedName name="BOD9A42C58406D4E608CC8FCBA4AFB85CF" localSheetId="5" hidden="1">#REF!</definedName>
    <definedName name="BOD9A42C58406D4E608CC8FCBA4AFB85CF" localSheetId="4" hidden="1">#REF!</definedName>
    <definedName name="BOD9A42C58406D4E608CC8FCBA4AFB85CF" hidden="1">#REF!</definedName>
    <definedName name="BOD9B23D74A48F48E8851F1C2BFD33ED70" localSheetId="5" hidden="1">#REF!</definedName>
    <definedName name="BOD9B23D74A48F48E8851F1C2BFD33ED70" localSheetId="4" hidden="1">#REF!</definedName>
    <definedName name="BOD9B23D74A48F48E8851F1C2BFD33ED70" hidden="1">#REF!</definedName>
    <definedName name="BOD9CBE21A389F433C9F848ACC7773ED42" localSheetId="5" hidden="1">#REF!</definedName>
    <definedName name="BOD9CBE21A389F433C9F848ACC7773ED42" localSheetId="4" hidden="1">#REF!</definedName>
    <definedName name="BOD9CBE21A389F433C9F848ACC7773ED42" hidden="1">#REF!</definedName>
    <definedName name="BOD9DB9BF2A0EA40BF9A03C2B390F2B062" localSheetId="5" hidden="1">#REF!</definedName>
    <definedName name="BOD9DB9BF2A0EA40BF9A03C2B390F2B062" localSheetId="4" hidden="1">#REF!</definedName>
    <definedName name="BOD9DB9BF2A0EA40BF9A03C2B390F2B062" hidden="1">#REF!</definedName>
    <definedName name="BOD9EA03238BFE408BB92D91C3BF5D8E41" localSheetId="5" hidden="1">#REF!</definedName>
    <definedName name="BOD9EA03238BFE408BB92D91C3BF5D8E41" localSheetId="4" hidden="1">#REF!</definedName>
    <definedName name="BOD9EA03238BFE408BB92D91C3BF5D8E41" hidden="1">#REF!</definedName>
    <definedName name="BOD9F39022658945498ED7C00DDC18DBD4" localSheetId="5" hidden="1">#REF!</definedName>
    <definedName name="BOD9F39022658945498ED7C00DDC18DBD4" localSheetId="4" hidden="1">#REF!</definedName>
    <definedName name="BOD9F39022658945498ED7C00DDC18DBD4" hidden="1">#REF!</definedName>
    <definedName name="BODA1470E097EA42CBBCAAA3699B4E750C" localSheetId="5" hidden="1">#REF!</definedName>
    <definedName name="BODA1470E097EA42CBBCAAA3699B4E750C" localSheetId="4" hidden="1">#REF!</definedName>
    <definedName name="BODA1470E097EA42CBBCAAA3699B4E750C" hidden="1">#REF!</definedName>
    <definedName name="BODA1B90113A6C40CA9E096765DDAA5869" localSheetId="5" hidden="1">#REF!</definedName>
    <definedName name="BODA1B90113A6C40CA9E096765DDAA5869" localSheetId="4" hidden="1">#REF!</definedName>
    <definedName name="BODA1B90113A6C40CA9E096765DDAA5869" hidden="1">#REF!</definedName>
    <definedName name="BODA338A674B3C4E438385E224DC5CBA6E" localSheetId="5" hidden="1">#REF!</definedName>
    <definedName name="BODA338A674B3C4E438385E224DC5CBA6E" localSheetId="4" hidden="1">#REF!</definedName>
    <definedName name="BODA338A674B3C4E438385E224DC5CBA6E" hidden="1">#REF!</definedName>
    <definedName name="BODA375714EEA345AB87E9DFF80B6A4F21" localSheetId="5" hidden="1">#REF!</definedName>
    <definedName name="BODA375714EEA345AB87E9DFF80B6A4F21" localSheetId="4" hidden="1">#REF!</definedName>
    <definedName name="BODA375714EEA345AB87E9DFF80B6A4F21" hidden="1">#REF!</definedName>
    <definedName name="BODA43B8E6CC44409AB32EDA5EC1C2D534" localSheetId="5" hidden="1">#REF!</definedName>
    <definedName name="BODA43B8E6CC44409AB32EDA5EC1C2D534" localSheetId="4" hidden="1">#REF!</definedName>
    <definedName name="BODA43B8E6CC44409AB32EDA5EC1C2D534" hidden="1">#REF!</definedName>
    <definedName name="BODA4831D6E47C4B77A7ABF48A042405A8" localSheetId="5" hidden="1">#REF!</definedName>
    <definedName name="BODA4831D6E47C4B77A7ABF48A042405A8" localSheetId="4" hidden="1">#REF!</definedName>
    <definedName name="BODA4831D6E47C4B77A7ABF48A042405A8" hidden="1">#REF!</definedName>
    <definedName name="BODA4BB33FF9E64FF5820E7F9B0AA4D353" localSheetId="5" hidden="1">#REF!</definedName>
    <definedName name="BODA4BB33FF9E64FF5820E7F9B0AA4D353" localSheetId="4" hidden="1">#REF!</definedName>
    <definedName name="BODA4BB33FF9E64FF5820E7F9B0AA4D353" hidden="1">#REF!</definedName>
    <definedName name="BODA59F1709B4845B3B26BD0C5FF1FA0AB" localSheetId="5" hidden="1">#REF!</definedName>
    <definedName name="BODA59F1709B4845B3B26BD0C5FF1FA0AB" localSheetId="4" hidden="1">#REF!</definedName>
    <definedName name="BODA59F1709B4845B3B26BD0C5FF1FA0AB" hidden="1">#REF!</definedName>
    <definedName name="BODA5A40D6E6F14474A347255EB2CE0830" localSheetId="5" hidden="1">#REF!</definedName>
    <definedName name="BODA5A40D6E6F14474A347255EB2CE0830" localSheetId="4" hidden="1">#REF!</definedName>
    <definedName name="BODA5A40D6E6F14474A347255EB2CE0830" hidden="1">#REF!</definedName>
    <definedName name="BODA7B6ECB5BD9411FA5F149FBD6A417D8" localSheetId="5" hidden="1">#REF!</definedName>
    <definedName name="BODA7B6ECB5BD9411FA5F149FBD6A417D8" localSheetId="4" hidden="1">#REF!</definedName>
    <definedName name="BODA7B6ECB5BD9411FA5F149FBD6A417D8" hidden="1">#REF!</definedName>
    <definedName name="BODA96815803994119B481057BFF9E1AFA" localSheetId="5" hidden="1">[8]Ketqua!#REF!</definedName>
    <definedName name="BODA96815803994119B481057BFF9E1AFA" localSheetId="4" hidden="1">[8]Ketqua!#REF!</definedName>
    <definedName name="BODA96815803994119B481057BFF9E1AFA" hidden="1">[8]Ketqua!#REF!</definedName>
    <definedName name="BODA9867BC01F9479E9FC7C63A4381A0F7" localSheetId="5" hidden="1">#REF!</definedName>
    <definedName name="BODA9867BC01F9479E9FC7C63A4381A0F7" localSheetId="4" hidden="1">#REF!</definedName>
    <definedName name="BODA9867BC01F9479E9FC7C63A4381A0F7" hidden="1">#REF!</definedName>
    <definedName name="BODA9AD64DEA334B8DB8670E7F631989B9" localSheetId="5" hidden="1">#REF!</definedName>
    <definedName name="BODA9AD64DEA334B8DB8670E7F631989B9" localSheetId="4" hidden="1">#REF!</definedName>
    <definedName name="BODA9AD64DEA334B8DB8670E7F631989B9" hidden="1">#REF!</definedName>
    <definedName name="BODABDCE3D8B174C999B17A4BE22A0EF20" localSheetId="5" hidden="1">#REF!</definedName>
    <definedName name="BODABDCE3D8B174C999B17A4BE22A0EF20" localSheetId="4" hidden="1">#REF!</definedName>
    <definedName name="BODABDCE3D8B174C999B17A4BE22A0EF20" hidden="1">#REF!</definedName>
    <definedName name="BODADA2F4581F642CE9110CA83D2F68CC5" localSheetId="5" hidden="1">#REF!</definedName>
    <definedName name="BODADA2F4581F642CE9110CA83D2F68CC5" localSheetId="4" hidden="1">#REF!</definedName>
    <definedName name="BODADA2F4581F642CE9110CA83D2F68CC5" hidden="1">#REF!</definedName>
    <definedName name="BODAFB0CAB609E4CA39F3FD602BDFDC0D2" localSheetId="5" hidden="1">#REF!</definedName>
    <definedName name="BODAFB0CAB609E4CA39F3FD602BDFDC0D2" localSheetId="4" hidden="1">#REF!</definedName>
    <definedName name="BODAFB0CAB609E4CA39F3FD602BDFDC0D2" hidden="1">#REF!</definedName>
    <definedName name="BODAFE33F3F0F24DF68180B0C5FACF094E" localSheetId="5" hidden="1">#REF!</definedName>
    <definedName name="BODAFE33F3F0F24DF68180B0C5FACF094E" localSheetId="4" hidden="1">#REF!</definedName>
    <definedName name="BODAFE33F3F0F24DF68180B0C5FACF094E" hidden="1">#REF!</definedName>
    <definedName name="BODAFE438D2A524D94896C2A23B0EBD390" localSheetId="5" hidden="1">#REF!</definedName>
    <definedName name="BODAFE438D2A524D94896C2A23B0EBD390" localSheetId="4" hidden="1">#REF!</definedName>
    <definedName name="BODAFE438D2A524D94896C2A23B0EBD390" hidden="1">#REF!</definedName>
    <definedName name="BODB0C9EA7F9E84CCB8A6DC486429D1E29" localSheetId="5" hidden="1">#REF!</definedName>
    <definedName name="BODB0C9EA7F9E84CCB8A6DC486429D1E29" localSheetId="4" hidden="1">#REF!</definedName>
    <definedName name="BODB0C9EA7F9E84CCB8A6DC486429D1E29" hidden="1">#REF!</definedName>
    <definedName name="BODB0E20DA4E824027B6AECDF2DE233B08" localSheetId="5" hidden="1">#REF!</definedName>
    <definedName name="BODB0E20DA4E824027B6AECDF2DE233B08" localSheetId="4" hidden="1">#REF!</definedName>
    <definedName name="BODB0E20DA4E824027B6AECDF2DE233B08" hidden="1">#REF!</definedName>
    <definedName name="BODB16C94A8F7340149C596D2DA07B926A" localSheetId="5" hidden="1">#REF!</definedName>
    <definedName name="BODB16C94A8F7340149C596D2DA07B926A" localSheetId="4" hidden="1">#REF!</definedName>
    <definedName name="BODB16C94A8F7340149C596D2DA07B926A" hidden="1">#REF!</definedName>
    <definedName name="BODB3669F697EC45B796BA3501D9BC63ED" localSheetId="5" hidden="1">#REF!</definedName>
    <definedName name="BODB3669F697EC45B796BA3501D9BC63ED" localSheetId="4" hidden="1">#REF!</definedName>
    <definedName name="BODB3669F697EC45B796BA3501D9BC63ED" hidden="1">#REF!</definedName>
    <definedName name="BODB51402C13E54FD9ACD87EBAAB07CBAD" localSheetId="5" hidden="1">#REF!</definedName>
    <definedName name="BODB51402C13E54FD9ACD87EBAAB07CBAD" localSheetId="4" hidden="1">#REF!</definedName>
    <definedName name="BODB51402C13E54FD9ACD87EBAAB07CBAD" hidden="1">#REF!</definedName>
    <definedName name="BODB51BE5B571349E385E6FEA6C989AC6C" localSheetId="5" hidden="1">#REF!</definedName>
    <definedName name="BODB51BE5B571349E385E6FEA6C989AC6C" localSheetId="4" hidden="1">#REF!</definedName>
    <definedName name="BODB51BE5B571349E385E6FEA6C989AC6C" hidden="1">#REF!</definedName>
    <definedName name="BODB66DCDDEF424B2E888590D7B8A75B7A" localSheetId="5" hidden="1">#REF!</definedName>
    <definedName name="BODB66DCDDEF424B2E888590D7B8A75B7A" localSheetId="4" hidden="1">#REF!</definedName>
    <definedName name="BODB66DCDDEF424B2E888590D7B8A75B7A" hidden="1">#REF!</definedName>
    <definedName name="BODB6D0286CAFA43D0B1FF4F03C3CCED95" localSheetId="5" hidden="1">#REF!</definedName>
    <definedName name="BODB6D0286CAFA43D0B1FF4F03C3CCED95" localSheetId="4" hidden="1">#REF!</definedName>
    <definedName name="BODB6D0286CAFA43D0B1FF4F03C3CCED95" hidden="1">#REF!</definedName>
    <definedName name="BODB8D1BF6E5DA4A67AC16C08B05DABAF3" localSheetId="5" hidden="1">#REF!</definedName>
    <definedName name="BODB8D1BF6E5DA4A67AC16C08B05DABAF3" localSheetId="4" hidden="1">#REF!</definedName>
    <definedName name="BODB8D1BF6E5DA4A67AC16C08B05DABAF3" hidden="1">#REF!</definedName>
    <definedName name="BODBA61B9A973B4DBF80DAFFCFA52A46F7" localSheetId="5" hidden="1">#REF!</definedName>
    <definedName name="BODBA61B9A973B4DBF80DAFFCFA52A46F7" localSheetId="4" hidden="1">#REF!</definedName>
    <definedName name="BODBA61B9A973B4DBF80DAFFCFA52A46F7" hidden="1">#REF!</definedName>
    <definedName name="BODBADA1B9C8BF4CA9838067C8B1B26328" localSheetId="5" hidden="1">#REF!</definedName>
    <definedName name="BODBADA1B9C8BF4CA9838067C8B1B26328" localSheetId="4" hidden="1">#REF!</definedName>
    <definedName name="BODBADA1B9C8BF4CA9838067C8B1B26328" hidden="1">#REF!</definedName>
    <definedName name="BODBC3E114B6BA433B95744F76179805E1" localSheetId="5" hidden="1">#REF!</definedName>
    <definedName name="BODBC3E114B6BA433B95744F76179805E1" localSheetId="4" hidden="1">#REF!</definedName>
    <definedName name="BODBC3E114B6BA433B95744F76179805E1" hidden="1">#REF!</definedName>
    <definedName name="BODBD351D67E7342638656268F62E3FEAD" localSheetId="5" hidden="1">#REF!</definedName>
    <definedName name="BODBD351D67E7342638656268F62E3FEAD" localSheetId="4" hidden="1">#REF!</definedName>
    <definedName name="BODBD351D67E7342638656268F62E3FEAD" hidden="1">#REF!</definedName>
    <definedName name="BODC0816D7CED344118C5EB0DBFEA5F8D1" localSheetId="5" hidden="1">#REF!</definedName>
    <definedName name="BODC0816D7CED344118C5EB0DBFEA5F8D1" localSheetId="4" hidden="1">#REF!</definedName>
    <definedName name="BODC0816D7CED344118C5EB0DBFEA5F8D1" hidden="1">#REF!</definedName>
    <definedName name="BODC0BEA6CBAE44FEB818CC99C8EE7BEB5" localSheetId="5" hidden="1">#REF!</definedName>
    <definedName name="BODC0BEA6CBAE44FEB818CC99C8EE7BEB5" localSheetId="4" hidden="1">#REF!</definedName>
    <definedName name="BODC0BEA6CBAE44FEB818CC99C8EE7BEB5" hidden="1">#REF!</definedName>
    <definedName name="BODC11A036287544A692FB3B0A95501128" localSheetId="5" hidden="1">#REF!</definedName>
    <definedName name="BODC11A036287544A692FB3B0A95501128" localSheetId="4" hidden="1">#REF!</definedName>
    <definedName name="BODC11A036287544A692FB3B0A95501128" hidden="1">#REF!</definedName>
    <definedName name="BODC12D5C9AE1345F38FFB7CC8A3BE043C" localSheetId="5" hidden="1">#REF!</definedName>
    <definedName name="BODC12D5C9AE1345F38FFB7CC8A3BE043C" localSheetId="4" hidden="1">#REF!</definedName>
    <definedName name="BODC12D5C9AE1345F38FFB7CC8A3BE043C" hidden="1">#REF!</definedName>
    <definedName name="BODC220663FBB74F02974446BA3646197F" localSheetId="5" hidden="1">#REF!</definedName>
    <definedName name="BODC220663FBB74F02974446BA3646197F" localSheetId="4" hidden="1">#REF!</definedName>
    <definedName name="BODC220663FBB74F02974446BA3646197F" hidden="1">#REF!</definedName>
    <definedName name="BODC2F0323AD924436ABFB4D23525B29AF" localSheetId="5" hidden="1">#REF!</definedName>
    <definedName name="BODC2F0323AD924436ABFB4D23525B29AF" localSheetId="4" hidden="1">#REF!</definedName>
    <definedName name="BODC2F0323AD924436ABFB4D23525B29AF" hidden="1">#REF!</definedName>
    <definedName name="BODC3184633E8742FBA3167884FC5BCEE0" localSheetId="5" hidden="1">#REF!</definedName>
    <definedName name="BODC3184633E8742FBA3167884FC5BCEE0" localSheetId="4" hidden="1">#REF!</definedName>
    <definedName name="BODC3184633E8742FBA3167884FC5BCEE0" hidden="1">#REF!</definedName>
    <definedName name="BODC342A3652B944F09E1FCD60DF1F133D" localSheetId="5" hidden="1">[8]Ketqua!#REF!</definedName>
    <definedName name="BODC342A3652B944F09E1FCD60DF1F133D" localSheetId="4" hidden="1">[8]Ketqua!#REF!</definedName>
    <definedName name="BODC342A3652B944F09E1FCD60DF1F133D" hidden="1">[8]Ketqua!#REF!</definedName>
    <definedName name="BODC35D2D9197948F5B41EF4D2CE5E8576" localSheetId="5" hidden="1">#REF!</definedName>
    <definedName name="BODC35D2D9197948F5B41EF4D2CE5E8576" localSheetId="4" hidden="1">#REF!</definedName>
    <definedName name="BODC35D2D9197948F5B41EF4D2CE5E8576" hidden="1">#REF!</definedName>
    <definedName name="BODC41F515A6854C65B7381E561B739377" localSheetId="5" hidden="1">#REF!</definedName>
    <definedName name="BODC41F515A6854C65B7381E561B739377" localSheetId="4" hidden="1">#REF!</definedName>
    <definedName name="BODC41F515A6854C65B7381E561B739377" hidden="1">#REF!</definedName>
    <definedName name="BODC43C42893F5471992092AACDD77C08F" localSheetId="5" hidden="1">#REF!</definedName>
    <definedName name="BODC43C42893F5471992092AACDD77C08F" localSheetId="4" hidden="1">#REF!</definedName>
    <definedName name="BODC43C42893F5471992092AACDD77C08F" hidden="1">#REF!</definedName>
    <definedName name="BODC4D145DB1F54CE999BD1B07C1604457" localSheetId="5" hidden="1">#REF!</definedName>
    <definedName name="BODC4D145DB1F54CE999BD1B07C1604457" localSheetId="4" hidden="1">#REF!</definedName>
    <definedName name="BODC4D145DB1F54CE999BD1B07C1604457" hidden="1">#REF!</definedName>
    <definedName name="BODC633285E9B14312ADEEA39AE824C381" localSheetId="5" hidden="1">#REF!</definedName>
    <definedName name="BODC633285E9B14312ADEEA39AE824C381" localSheetId="4" hidden="1">#REF!</definedName>
    <definedName name="BODC633285E9B14312ADEEA39AE824C381" hidden="1">#REF!</definedName>
    <definedName name="BODC9A5120A3E54974884C1E0966270E1D" localSheetId="5" hidden="1">#REF!</definedName>
    <definedName name="BODC9A5120A3E54974884C1E0966270E1D" localSheetId="4" hidden="1">#REF!</definedName>
    <definedName name="BODC9A5120A3E54974884C1E0966270E1D" hidden="1">#REF!</definedName>
    <definedName name="BODC9CDFBF83FD4A15A56843AC021AA216" localSheetId="5" hidden="1">#REF!</definedName>
    <definedName name="BODC9CDFBF83FD4A15A56843AC021AA216" localSheetId="4" hidden="1">#REF!</definedName>
    <definedName name="BODC9CDFBF83FD4A15A56843AC021AA216" hidden="1">#REF!</definedName>
    <definedName name="BODCACB442AFF147DA8534A6D75C35399F" localSheetId="5" hidden="1">#REF!</definedName>
    <definedName name="BODCACB442AFF147DA8534A6D75C35399F" localSheetId="4" hidden="1">#REF!</definedName>
    <definedName name="BODCACB442AFF147DA8534A6D75C35399F" hidden="1">#REF!</definedName>
    <definedName name="BODCC0923712804C9C95BB07CA2C802707" localSheetId="5" hidden="1">#REF!</definedName>
    <definedName name="BODCC0923712804C9C95BB07CA2C802707" localSheetId="4" hidden="1">#REF!</definedName>
    <definedName name="BODCC0923712804C9C95BB07CA2C802707" hidden="1">#REF!</definedName>
    <definedName name="BODCC1D836ABB24B558E36AF88F3C87FBD" localSheetId="5" hidden="1">#REF!</definedName>
    <definedName name="BODCC1D836ABB24B558E36AF88F3C87FBD" localSheetId="4" hidden="1">#REF!</definedName>
    <definedName name="BODCC1D836ABB24B558E36AF88F3C87FBD" hidden="1">#REF!</definedName>
    <definedName name="BODCD1E36379C240E2A3A66084F6E8370B" localSheetId="5" hidden="1">#REF!</definedName>
    <definedName name="BODCD1E36379C240E2A3A66084F6E8370B" localSheetId="4" hidden="1">#REF!</definedName>
    <definedName name="BODCD1E36379C240E2A3A66084F6E8370B" hidden="1">#REF!</definedName>
    <definedName name="BODCDC60E0DAE14E1A87E177A39424DBBA" localSheetId="5" hidden="1">#REF!</definedName>
    <definedName name="BODCDC60E0DAE14E1A87E177A39424DBBA" localSheetId="4" hidden="1">#REF!</definedName>
    <definedName name="BODCDC60E0DAE14E1A87E177A39424DBBA" hidden="1">#REF!</definedName>
    <definedName name="BODCDF74A234874FCF91D8CF3F326CCEE9" localSheetId="5" hidden="1">#REF!</definedName>
    <definedName name="BODCDF74A234874FCF91D8CF3F326CCEE9" localSheetId="4" hidden="1">#REF!</definedName>
    <definedName name="BODCDF74A234874FCF91D8CF3F326CCEE9" hidden="1">#REF!</definedName>
    <definedName name="BODCF121E3D58D43D6BE73F27E1CC73EE7" localSheetId="5" hidden="1">#REF!</definedName>
    <definedName name="BODCF121E3D58D43D6BE73F27E1CC73EE7" localSheetId="4" hidden="1">#REF!</definedName>
    <definedName name="BODCF121E3D58D43D6BE73F27E1CC73EE7" hidden="1">#REF!</definedName>
    <definedName name="BODCF9B3C3B64847C5B7AA49E141E8367F" localSheetId="5" hidden="1">[9]Giaitrinh!#REF!</definedName>
    <definedName name="BODCF9B3C3B64847C5B7AA49E141E8367F" localSheetId="4" hidden="1">[9]Giaitrinh!#REF!</definedName>
    <definedName name="BODCF9B3C3B64847C5B7AA49E141E8367F" hidden="1">[9]Giaitrinh!#REF!</definedName>
    <definedName name="BODD55D711679540EBA8B4626BAFC0C961" localSheetId="5" hidden="1">#REF!</definedName>
    <definedName name="BODD55D711679540EBA8B4626BAFC0C961" localSheetId="4" hidden="1">#REF!</definedName>
    <definedName name="BODD55D711679540EBA8B4626BAFC0C961" hidden="1">#REF!</definedName>
    <definedName name="BODD87356B32F3448BA7F6D80C4681836A" localSheetId="5" hidden="1">#REF!</definedName>
    <definedName name="BODD87356B32F3448BA7F6D80C4681836A" localSheetId="4" hidden="1">#REF!</definedName>
    <definedName name="BODD87356B32F3448BA7F6D80C4681836A" hidden="1">#REF!</definedName>
    <definedName name="BODD8BC23F37314198A145ED4FBAAB35EC" localSheetId="5" hidden="1">#REF!</definedName>
    <definedName name="BODD8BC23F37314198A145ED4FBAAB35EC" localSheetId="4" hidden="1">#REF!</definedName>
    <definedName name="BODD8BC23F37314198A145ED4FBAAB35EC" hidden="1">#REF!</definedName>
    <definedName name="BODD912D5833004681A88D2F9EF257B7C0" localSheetId="5" hidden="1">[8]Ketqua!#REF!</definedName>
    <definedName name="BODD912D5833004681A88D2F9EF257B7C0" localSheetId="4" hidden="1">[8]Ketqua!#REF!</definedName>
    <definedName name="BODD912D5833004681A88D2F9EF257B7C0" hidden="1">[8]Ketqua!#REF!</definedName>
    <definedName name="BODD9480E3CACE4F268ADF8A4111607E56" localSheetId="5" hidden="1">#REF!</definedName>
    <definedName name="BODD9480E3CACE4F268ADF8A4111607E56" localSheetId="4" hidden="1">#REF!</definedName>
    <definedName name="BODD9480E3CACE4F268ADF8A4111607E56" hidden="1">#REF!</definedName>
    <definedName name="BODDA82180A02945AABDD7BADBD4BB12C4" localSheetId="5" hidden="1">#REF!</definedName>
    <definedName name="BODDA82180A02945AABDD7BADBD4BB12C4" localSheetId="4" hidden="1">#REF!</definedName>
    <definedName name="BODDA82180A02945AABDD7BADBD4BB12C4" hidden="1">#REF!</definedName>
    <definedName name="BODDB1D72214CA41239764E0DECCD4DA95" localSheetId="5" hidden="1">#REF!</definedName>
    <definedName name="BODDB1D72214CA41239764E0DECCD4DA95" localSheetId="4" hidden="1">#REF!</definedName>
    <definedName name="BODDB1D72214CA41239764E0DECCD4DA95" hidden="1">#REF!</definedName>
    <definedName name="BODDB5253D5F32416BABF3BF7EDD155689" localSheetId="5" hidden="1">#REF!</definedName>
    <definedName name="BODDB5253D5F32416BABF3BF7EDD155689" localSheetId="4" hidden="1">#REF!</definedName>
    <definedName name="BODDB5253D5F32416BABF3BF7EDD155689" hidden="1">#REF!</definedName>
    <definedName name="BODDB896D7741E41A79748DDDCACAC04DF" localSheetId="5" hidden="1">#REF!</definedName>
    <definedName name="BODDB896D7741E41A79748DDDCACAC04DF" localSheetId="4" hidden="1">#REF!</definedName>
    <definedName name="BODDB896D7741E41A79748DDDCACAC04DF" hidden="1">#REF!</definedName>
    <definedName name="BODDC65C1306484FAD8C5B5098B18FA369" localSheetId="5" hidden="1">#REF!</definedName>
    <definedName name="BODDC65C1306484FAD8C5B5098B18FA369" localSheetId="4" hidden="1">#REF!</definedName>
    <definedName name="BODDC65C1306484FAD8C5B5098B18FA369" hidden="1">#REF!</definedName>
    <definedName name="BODDDAA25E2BDE441090400F21BA5C34FD" localSheetId="5" hidden="1">#REF!</definedName>
    <definedName name="BODDDAA25E2BDE441090400F21BA5C34FD" localSheetId="4" hidden="1">#REF!</definedName>
    <definedName name="BODDDAA25E2BDE441090400F21BA5C34FD" hidden="1">#REF!</definedName>
    <definedName name="BODDE486C3BA604263A250727A6C11879D" localSheetId="5" hidden="1">[8]Ketqua!#REF!</definedName>
    <definedName name="BODDE486C3BA604263A250727A6C11879D" localSheetId="4" hidden="1">[8]Ketqua!#REF!</definedName>
    <definedName name="BODDE486C3BA604263A250727A6C11879D" hidden="1">[8]Ketqua!#REF!</definedName>
    <definedName name="BODDED182ABDB64103A544558BCD871E84" localSheetId="5" hidden="1">#REF!</definedName>
    <definedName name="BODDED182ABDB64103A544558BCD871E84" localSheetId="4" hidden="1">#REF!</definedName>
    <definedName name="BODDED182ABDB64103A544558BCD871E84" hidden="1">#REF!</definedName>
    <definedName name="BODDEFC0D0572B4042AB60AB186BB501E7" localSheetId="5" hidden="1">#REF!</definedName>
    <definedName name="BODDEFC0D0572B4042AB60AB186BB501E7" localSheetId="4" hidden="1">#REF!</definedName>
    <definedName name="BODDEFC0D0572B4042AB60AB186BB501E7" hidden="1">#REF!</definedName>
    <definedName name="BODE2D4ACD78D44C82B08895EE5ACA0346" localSheetId="5" hidden="1">#REF!</definedName>
    <definedName name="BODE2D4ACD78D44C82B08895EE5ACA0346" localSheetId="4" hidden="1">#REF!</definedName>
    <definedName name="BODE2D4ACD78D44C82B08895EE5ACA0346" hidden="1">#REF!</definedName>
    <definedName name="BODE40BF5CBE26430282B79A6769A9E4EE" localSheetId="5" hidden="1">#REF!</definedName>
    <definedName name="BODE40BF5CBE26430282B79A6769A9E4EE" localSheetId="4" hidden="1">#REF!</definedName>
    <definedName name="BODE40BF5CBE26430282B79A6769A9E4EE" hidden="1">#REF!</definedName>
    <definedName name="BODE4189FC7F7448B2915AB754F15BBE48" localSheetId="5" hidden="1">#REF!</definedName>
    <definedName name="BODE4189FC7F7448B2915AB754F15BBE48" localSheetId="4" hidden="1">#REF!</definedName>
    <definedName name="BODE4189FC7F7448B2915AB754F15BBE48" hidden="1">#REF!</definedName>
    <definedName name="BODE5407DA8DBA4F0E8BCF3F381509E496" localSheetId="5" hidden="1">#REF!</definedName>
    <definedName name="BODE5407DA8DBA4F0E8BCF3F381509E496" localSheetId="4" hidden="1">#REF!</definedName>
    <definedName name="BODE5407DA8DBA4F0E8BCF3F381509E496" hidden="1">#REF!</definedName>
    <definedName name="BODE5C9656178241B9854DC0E7B7BB4C1D" localSheetId="5" hidden="1">#REF!</definedName>
    <definedName name="BODE5C9656178241B9854DC0E7B7BB4C1D" localSheetId="4" hidden="1">#REF!</definedName>
    <definedName name="BODE5C9656178241B9854DC0E7B7BB4C1D" hidden="1">#REF!</definedName>
    <definedName name="BODE766549A64A432EB2326459544CB14C" localSheetId="5" hidden="1">#REF!</definedName>
    <definedName name="BODE766549A64A432EB2326459544CB14C" localSheetId="4" hidden="1">#REF!</definedName>
    <definedName name="BODE766549A64A432EB2326459544CB14C" hidden="1">#REF!</definedName>
    <definedName name="BODE768A9B2D54461F9A71EC094B8BFEA9" localSheetId="5" hidden="1">#REF!</definedName>
    <definedName name="BODE768A9B2D54461F9A71EC094B8BFEA9" localSheetId="4" hidden="1">#REF!</definedName>
    <definedName name="BODE768A9B2D54461F9A71EC094B8BFEA9" hidden="1">#REF!</definedName>
    <definedName name="BODE811A6228654F54939A745212057316" localSheetId="5" hidden="1">#REF!</definedName>
    <definedName name="BODE811A6228654F54939A745212057316" localSheetId="4" hidden="1">#REF!</definedName>
    <definedName name="BODE811A6228654F54939A745212057316" hidden="1">#REF!</definedName>
    <definedName name="BODE8857979773440E91FB8184A1123FB6" localSheetId="5" hidden="1">#REF!</definedName>
    <definedName name="BODE8857979773440E91FB8184A1123FB6" localSheetId="4" hidden="1">#REF!</definedName>
    <definedName name="BODE8857979773440E91FB8184A1123FB6" hidden="1">#REF!</definedName>
    <definedName name="BODE89B1DA731A4454A01E45129D52F892" localSheetId="5" hidden="1">#REF!</definedName>
    <definedName name="BODE89B1DA731A4454A01E45129D52F892" localSheetId="4" hidden="1">#REF!</definedName>
    <definedName name="BODE89B1DA731A4454A01E45129D52F892" hidden="1">#REF!</definedName>
    <definedName name="BODE9072EB3BFB4B1C92C8FCDBBE8360D7" localSheetId="5" hidden="1">#REF!</definedName>
    <definedName name="BODE9072EB3BFB4B1C92C8FCDBBE8360D7" localSheetId="4" hidden="1">#REF!</definedName>
    <definedName name="BODE9072EB3BFB4B1C92C8FCDBBE8360D7" hidden="1">#REF!</definedName>
    <definedName name="BODE90C2081AC947AAA25825A4212847DA" localSheetId="5" hidden="1">#REF!</definedName>
    <definedName name="BODE90C2081AC947AAA25825A4212847DA" localSheetId="4" hidden="1">#REF!</definedName>
    <definedName name="BODE90C2081AC947AAA25825A4212847DA" hidden="1">#REF!</definedName>
    <definedName name="BODEC00C0FE625435EAB16BBF3CF5423FA" localSheetId="5" hidden="1">#REF!</definedName>
    <definedName name="BODEC00C0FE625435EAB16BBF3CF5423FA" localSheetId="4" hidden="1">#REF!</definedName>
    <definedName name="BODEC00C0FE625435EAB16BBF3CF5423FA" hidden="1">#REF!</definedName>
    <definedName name="BODECEBD48E9604A83A10F1F22350794BF" localSheetId="5" hidden="1">#REF!</definedName>
    <definedName name="BODECEBD48E9604A83A10F1F22350794BF" localSheetId="4" hidden="1">#REF!</definedName>
    <definedName name="BODECEBD48E9604A83A10F1F22350794BF" hidden="1">#REF!</definedName>
    <definedName name="BODECF7922D5794E779C6CADC7B440F3E1" localSheetId="5" hidden="1">#REF!</definedName>
    <definedName name="BODECF7922D5794E779C6CADC7B440F3E1" localSheetId="4" hidden="1">#REF!</definedName>
    <definedName name="BODECF7922D5794E779C6CADC7B440F3E1" hidden="1">#REF!</definedName>
    <definedName name="BODEF3253214EB42739241C6059132B79D" localSheetId="5" hidden="1">#REF!</definedName>
    <definedName name="BODEF3253214EB42739241C6059132B79D" localSheetId="4" hidden="1">#REF!</definedName>
    <definedName name="BODEF3253214EB42739241C6059132B79D" hidden="1">#REF!</definedName>
    <definedName name="BODEF855BA96974D2A810C62FD879CA905" localSheetId="5" hidden="1">#REF!</definedName>
    <definedName name="BODEF855BA96974D2A810C62FD879CA905" localSheetId="4" hidden="1">#REF!</definedName>
    <definedName name="BODEF855BA96974D2A810C62FD879CA905" hidden="1">#REF!</definedName>
    <definedName name="BODF01B683526347E0ACBE5A579DBFCF9C" localSheetId="5" hidden="1">#REF!</definedName>
    <definedName name="BODF01B683526347E0ACBE5A579DBFCF9C" localSheetId="4" hidden="1">#REF!</definedName>
    <definedName name="BODF01B683526347E0ACBE5A579DBFCF9C" hidden="1">#REF!</definedName>
    <definedName name="BODF073AE731E849BDACD3A7E9DA3E9CE6" localSheetId="5" hidden="1">[9]Giaitrinh!#REF!</definedName>
    <definedName name="BODF073AE731E849BDACD3A7E9DA3E9CE6" localSheetId="4" hidden="1">[9]Giaitrinh!#REF!</definedName>
    <definedName name="BODF073AE731E849BDACD3A7E9DA3E9CE6" hidden="1">[9]Giaitrinh!#REF!</definedName>
    <definedName name="BODF094FBD134141929A57AFD3107DEBE1" localSheetId="5" hidden="1">#REF!</definedName>
    <definedName name="BODF094FBD134141929A57AFD3107DEBE1" localSheetId="4" hidden="1">#REF!</definedName>
    <definedName name="BODF094FBD134141929A57AFD3107DEBE1" hidden="1">#REF!</definedName>
    <definedName name="BODF0BD33E1E0443CE8483C28E0E36B7C7" localSheetId="5" hidden="1">#REF!</definedName>
    <definedName name="BODF0BD33E1E0443CE8483C28E0E36B7C7" localSheetId="4" hidden="1">#REF!</definedName>
    <definedName name="BODF0BD33E1E0443CE8483C28E0E36B7C7" hidden="1">#REF!</definedName>
    <definedName name="BODF41055F82FD4E13A72F24B843EA9DFC" localSheetId="5" hidden="1">#REF!</definedName>
    <definedName name="BODF41055F82FD4E13A72F24B843EA9DFC" localSheetId="4" hidden="1">#REF!</definedName>
    <definedName name="BODF41055F82FD4E13A72F24B843EA9DFC" hidden="1">#REF!</definedName>
    <definedName name="BODF5481EF0D8242338AC6A9279893495A" localSheetId="5" hidden="1">#REF!</definedName>
    <definedName name="BODF5481EF0D8242338AC6A9279893495A" localSheetId="4" hidden="1">#REF!</definedName>
    <definedName name="BODF5481EF0D8242338AC6A9279893495A" hidden="1">#REF!</definedName>
    <definedName name="BODF610E99470C43D38E09E70D253A0417" localSheetId="5" hidden="1">#REF!</definedName>
    <definedName name="BODF610E99470C43D38E09E70D253A0417" localSheetId="4" hidden="1">#REF!</definedName>
    <definedName name="BODF610E99470C43D38E09E70D253A0417" hidden="1">#REF!</definedName>
    <definedName name="BODF6C52BDAF784C8DA0DE36C5A3A0FAC5" localSheetId="5" hidden="1">#REF!</definedName>
    <definedName name="BODF6C52BDAF784C8DA0DE36C5A3A0FAC5" localSheetId="4" hidden="1">#REF!</definedName>
    <definedName name="BODF6C52BDAF784C8DA0DE36C5A3A0FAC5" hidden="1">#REF!</definedName>
    <definedName name="BODF744399BFC0430AA3F357277380EE88" localSheetId="5" hidden="1">#REF!</definedName>
    <definedName name="BODF744399BFC0430AA3F357277380EE88" localSheetId="4" hidden="1">#REF!</definedName>
    <definedName name="BODF744399BFC0430AA3F357277380EE88" hidden="1">#REF!</definedName>
    <definedName name="BODF77706ED7E34A5A900A58C6D57862BA" localSheetId="5" hidden="1">#REF!</definedName>
    <definedName name="BODF77706ED7E34A5A900A58C6D57862BA" localSheetId="4" hidden="1">#REF!</definedName>
    <definedName name="BODF77706ED7E34A5A900A58C6D57862BA" hidden="1">#REF!</definedName>
    <definedName name="BODF99A39BC384481FBFDC5E890C45567B" localSheetId="5" hidden="1">#REF!</definedName>
    <definedName name="BODF99A39BC384481FBFDC5E890C45567B" localSheetId="4" hidden="1">#REF!</definedName>
    <definedName name="BODF99A39BC384481FBFDC5E890C45567B" hidden="1">#REF!</definedName>
    <definedName name="BODFAFE6B7B5DD494DA46E02F336EB4451" localSheetId="5" hidden="1">#REF!</definedName>
    <definedName name="BODFAFE6B7B5DD494DA46E02F336EB4451" localSheetId="4" hidden="1">#REF!</definedName>
    <definedName name="BODFAFE6B7B5DD494DA46E02F336EB4451" hidden="1">#REF!</definedName>
    <definedName name="BODFB578F516AA465893C1FE1B2B12D366" localSheetId="5" hidden="1">#REF!</definedName>
    <definedName name="BODFB578F516AA465893C1FE1B2B12D366" localSheetId="4" hidden="1">#REF!</definedName>
    <definedName name="BODFB578F516AA465893C1FE1B2B12D366" hidden="1">#REF!</definedName>
    <definedName name="BODFC655E5FEAA46A6AAA4DD7EBB1B6FC9" localSheetId="5" hidden="1">#REF!</definedName>
    <definedName name="BODFC655E5FEAA46A6AAA4DD7EBB1B6FC9" localSheetId="4" hidden="1">#REF!</definedName>
    <definedName name="BODFC655E5FEAA46A6AAA4DD7EBB1B6FC9" hidden="1">#REF!</definedName>
    <definedName name="BODFD955186509466399B149EBC7F41889" localSheetId="5" hidden="1">#REF!</definedName>
    <definedName name="BODFD955186509466399B149EBC7F41889" localSheetId="4" hidden="1">#REF!</definedName>
    <definedName name="BODFD955186509466399B149EBC7F41889" hidden="1">#REF!</definedName>
    <definedName name="BODFF1D75CBB984E5386ADEC2DD5294935" localSheetId="5" hidden="1">#REF!</definedName>
    <definedName name="BODFF1D75CBB984E5386ADEC2DD5294935" localSheetId="4" hidden="1">#REF!</definedName>
    <definedName name="BODFF1D75CBB984E5386ADEC2DD5294935" hidden="1">#REF!</definedName>
    <definedName name="BOE006847D0A6D4D4D8D2533E19C49D667" localSheetId="5" hidden="1">#REF!</definedName>
    <definedName name="BOE006847D0A6D4D4D8D2533E19C49D667" localSheetId="4" hidden="1">#REF!</definedName>
    <definedName name="BOE006847D0A6D4D4D8D2533E19C49D667" hidden="1">#REF!</definedName>
    <definedName name="BOE006ED9E20C3444F8CEAF6E03763551D" localSheetId="5" hidden="1">#REF!</definedName>
    <definedName name="BOE006ED9E20C3444F8CEAF6E03763551D" localSheetId="4" hidden="1">#REF!</definedName>
    <definedName name="BOE006ED9E20C3444F8CEAF6E03763551D" hidden="1">#REF!</definedName>
    <definedName name="BOE00BEC4426FF43188CE29BB96DC0F80F" localSheetId="5" hidden="1">#REF!</definedName>
    <definedName name="BOE00BEC4426FF43188CE29BB96DC0F80F" localSheetId="4" hidden="1">#REF!</definedName>
    <definedName name="BOE00BEC4426FF43188CE29BB96DC0F80F" hidden="1">#REF!</definedName>
    <definedName name="BOE00DA9EEAD2747C89688401F227A1B47" localSheetId="5" hidden="1">#REF!</definedName>
    <definedName name="BOE00DA9EEAD2747C89688401F227A1B47" localSheetId="4" hidden="1">#REF!</definedName>
    <definedName name="BOE00DA9EEAD2747C89688401F227A1B47" hidden="1">#REF!</definedName>
    <definedName name="BOE017B1FDF9474AB39B4D907FFF9B93B4" localSheetId="5" hidden="1">#REF!</definedName>
    <definedName name="BOE017B1FDF9474AB39B4D907FFF9B93B4" localSheetId="4" hidden="1">#REF!</definedName>
    <definedName name="BOE017B1FDF9474AB39B4D907FFF9B93B4" hidden="1">#REF!</definedName>
    <definedName name="BOE01975F2337B4CF497E063FDD5307278" localSheetId="5" hidden="1">#REF!</definedName>
    <definedName name="BOE01975F2337B4CF497E063FDD5307278" localSheetId="4" hidden="1">#REF!</definedName>
    <definedName name="BOE01975F2337B4CF497E063FDD5307278" hidden="1">#REF!</definedName>
    <definedName name="BOE026125E78E5458981F88E04737F5FDD" localSheetId="5" hidden="1">#REF!</definedName>
    <definedName name="BOE026125E78E5458981F88E04737F5FDD" localSheetId="4" hidden="1">#REF!</definedName>
    <definedName name="BOE026125E78E5458981F88E04737F5FDD" hidden="1">#REF!</definedName>
    <definedName name="BOE02614A0A19B4F258E74DD2A6B824165" localSheetId="5" hidden="1">#REF!</definedName>
    <definedName name="BOE02614A0A19B4F258E74DD2A6B824165" localSheetId="4" hidden="1">#REF!</definedName>
    <definedName name="BOE02614A0A19B4F258E74DD2A6B824165" hidden="1">#REF!</definedName>
    <definedName name="BOE034E323591D4D3081245B383BB615E3" localSheetId="5" hidden="1">#REF!</definedName>
    <definedName name="BOE034E323591D4D3081245B383BB615E3" localSheetId="4" hidden="1">#REF!</definedName>
    <definedName name="BOE034E323591D4D3081245B383BB615E3" hidden="1">#REF!</definedName>
    <definedName name="BOE0360C2D533540EA91E5BF1F73B1D78C" localSheetId="5" hidden="1">#REF!</definedName>
    <definedName name="BOE0360C2D533540EA91E5BF1F73B1D78C" localSheetId="4" hidden="1">#REF!</definedName>
    <definedName name="BOE0360C2D533540EA91E5BF1F73B1D78C" hidden="1">#REF!</definedName>
    <definedName name="BOE03C9A76BF5645C8B3879F6DAAA6A0CC" localSheetId="5" hidden="1">#REF!</definedName>
    <definedName name="BOE03C9A76BF5645C8B3879F6DAAA6A0CC" localSheetId="4" hidden="1">#REF!</definedName>
    <definedName name="BOE03C9A76BF5645C8B3879F6DAAA6A0CC" hidden="1">#REF!</definedName>
    <definedName name="BOE04F564E56244E679008C05151265BD2" localSheetId="5" hidden="1">#REF!</definedName>
    <definedName name="BOE04F564E56244E679008C05151265BD2" localSheetId="4" hidden="1">#REF!</definedName>
    <definedName name="BOE04F564E56244E679008C05151265BD2" hidden="1">#REF!</definedName>
    <definedName name="BOE0576357A0FB48FFB1C2EE97C539209D" localSheetId="5" hidden="1">#REF!</definedName>
    <definedName name="BOE0576357A0FB48FFB1C2EE97C539209D" localSheetId="4" hidden="1">#REF!</definedName>
    <definedName name="BOE0576357A0FB48FFB1C2EE97C539209D" hidden="1">#REF!</definedName>
    <definedName name="BOE05AB811E6DC47F588E989213BDA0E49" localSheetId="5" hidden="1">#REF!</definedName>
    <definedName name="BOE05AB811E6DC47F588E989213BDA0E49" localSheetId="4" hidden="1">#REF!</definedName>
    <definedName name="BOE05AB811E6DC47F588E989213BDA0E49" hidden="1">#REF!</definedName>
    <definedName name="BOE072055565B440F0B96E015B8A86281B" localSheetId="5" hidden="1">#REF!</definedName>
    <definedName name="BOE072055565B440F0B96E015B8A86281B" localSheetId="4" hidden="1">#REF!</definedName>
    <definedName name="BOE072055565B440F0B96E015B8A86281B" hidden="1">#REF!</definedName>
    <definedName name="BOE07673114B354AADB2FE0F4CF47306B1" localSheetId="5" hidden="1">#REF!</definedName>
    <definedName name="BOE07673114B354AADB2FE0F4CF47306B1" localSheetId="4" hidden="1">#REF!</definedName>
    <definedName name="BOE07673114B354AADB2FE0F4CF47306B1" hidden="1">#REF!</definedName>
    <definedName name="BOE07C99ECF2B04F24AF66BE9134092175" localSheetId="5" hidden="1">#REF!</definedName>
    <definedName name="BOE07C99ECF2B04F24AF66BE9134092175" localSheetId="4" hidden="1">#REF!</definedName>
    <definedName name="BOE07C99ECF2B04F24AF66BE9134092175" hidden="1">#REF!</definedName>
    <definedName name="BOE083A145E5C848BDA424776CBBBABB50" localSheetId="5" hidden="1">#REF!</definedName>
    <definedName name="BOE083A145E5C848BDA424776CBBBABB50" localSheetId="4" hidden="1">#REF!</definedName>
    <definedName name="BOE083A145E5C848BDA424776CBBBABB50" hidden="1">#REF!</definedName>
    <definedName name="BOE0A1D40228754B4C876192AB193072D1" localSheetId="5" hidden="1">#REF!</definedName>
    <definedName name="BOE0A1D40228754B4C876192AB193072D1" localSheetId="4" hidden="1">#REF!</definedName>
    <definedName name="BOE0A1D40228754B4C876192AB193072D1" hidden="1">#REF!</definedName>
    <definedName name="BOE0B6104F47D1419F89C67EC20A2DA044" localSheetId="5" hidden="1">#REF!</definedName>
    <definedName name="BOE0B6104F47D1419F89C67EC20A2DA044" localSheetId="4" hidden="1">#REF!</definedName>
    <definedName name="BOE0B6104F47D1419F89C67EC20A2DA044" hidden="1">#REF!</definedName>
    <definedName name="BOE0B675C6FF644F25ABE231535B04807E" localSheetId="5" hidden="1">#REF!</definedName>
    <definedName name="BOE0B675C6FF644F25ABE231535B04807E" localSheetId="4" hidden="1">#REF!</definedName>
    <definedName name="BOE0B675C6FF644F25ABE231535B04807E" hidden="1">#REF!</definedName>
    <definedName name="BOE0BE8FB3CBC74049B3BDC5FBC4F0515A" localSheetId="5" hidden="1">#REF!</definedName>
    <definedName name="BOE0BE8FB3CBC74049B3BDC5FBC4F0515A" localSheetId="4" hidden="1">#REF!</definedName>
    <definedName name="BOE0BE8FB3CBC74049B3BDC5FBC4F0515A" hidden="1">#REF!</definedName>
    <definedName name="BOE0CD3CF6DBB3497390CB5277E7F6C8AD" localSheetId="5" hidden="1">#REF!</definedName>
    <definedName name="BOE0CD3CF6DBB3497390CB5277E7F6C8AD" localSheetId="4" hidden="1">#REF!</definedName>
    <definedName name="BOE0CD3CF6DBB3497390CB5277E7F6C8AD" hidden="1">#REF!</definedName>
    <definedName name="BOE0EF37DB9397402C85FD74674C2C8B76" localSheetId="5" hidden="1">#REF!</definedName>
    <definedName name="BOE0EF37DB9397402C85FD74674C2C8B76" localSheetId="4" hidden="1">#REF!</definedName>
    <definedName name="BOE0EF37DB9397402C85FD74674C2C8B76" hidden="1">#REF!</definedName>
    <definedName name="BOE0F80A181E3C4F628830B11216FE6E5C" localSheetId="5" hidden="1">#REF!</definedName>
    <definedName name="BOE0F80A181E3C4F628830B11216FE6E5C" localSheetId="4" hidden="1">#REF!</definedName>
    <definedName name="BOE0F80A181E3C4F628830B11216FE6E5C" hidden="1">#REF!</definedName>
    <definedName name="BOE113B46E25494F8880A260061D312852" localSheetId="5" hidden="1">#REF!</definedName>
    <definedName name="BOE113B46E25494F8880A260061D312852" localSheetId="4" hidden="1">#REF!</definedName>
    <definedName name="BOE113B46E25494F8880A260061D312852" hidden="1">#REF!</definedName>
    <definedName name="BOE11978DCD81043259E316E7A919B3956" localSheetId="5" hidden="1">#REF!</definedName>
    <definedName name="BOE11978DCD81043259E316E7A919B3956" localSheetId="4" hidden="1">#REF!</definedName>
    <definedName name="BOE11978DCD81043259E316E7A919B3956" hidden="1">#REF!</definedName>
    <definedName name="BOE12937672CEA40B2A2C0AC7904CC44AE" localSheetId="5" hidden="1">#REF!</definedName>
    <definedName name="BOE12937672CEA40B2A2C0AC7904CC44AE" localSheetId="4" hidden="1">#REF!</definedName>
    <definedName name="BOE12937672CEA40B2A2C0AC7904CC44AE" hidden="1">#REF!</definedName>
    <definedName name="BOE13AB4235AC2402DAB027B3936B550B9" localSheetId="5" hidden="1">#REF!</definedName>
    <definedName name="BOE13AB4235AC2402DAB027B3936B550B9" localSheetId="4" hidden="1">#REF!</definedName>
    <definedName name="BOE13AB4235AC2402DAB027B3936B550B9" hidden="1">#REF!</definedName>
    <definedName name="BOE1437EAD564140B7A229C91CBF6C98B1" localSheetId="5" hidden="1">#REF!</definedName>
    <definedName name="BOE1437EAD564140B7A229C91CBF6C98B1" localSheetId="4" hidden="1">#REF!</definedName>
    <definedName name="BOE1437EAD564140B7A229C91CBF6C98B1" hidden="1">#REF!</definedName>
    <definedName name="BOE153C64737424AE6B4DB32194D7FF0E2" localSheetId="5" hidden="1">#REF!</definedName>
    <definedName name="BOE153C64737424AE6B4DB32194D7FF0E2" localSheetId="4" hidden="1">#REF!</definedName>
    <definedName name="BOE153C64737424AE6B4DB32194D7FF0E2" hidden="1">#REF!</definedName>
    <definedName name="BOE17C1FE72C2E44D483586A1F2A390573" localSheetId="5" hidden="1">#REF!</definedName>
    <definedName name="BOE17C1FE72C2E44D483586A1F2A390573" localSheetId="4" hidden="1">#REF!</definedName>
    <definedName name="BOE17C1FE72C2E44D483586A1F2A390573" hidden="1">#REF!</definedName>
    <definedName name="BOE18C517FEAEA45E8BCA8C8C731F3D920" localSheetId="5" hidden="1">#REF!</definedName>
    <definedName name="BOE18C517FEAEA45E8BCA8C8C731F3D920" localSheetId="4" hidden="1">#REF!</definedName>
    <definedName name="BOE18C517FEAEA45E8BCA8C8C731F3D920" hidden="1">#REF!</definedName>
    <definedName name="BOE18EC19E8AEF402EAE2B0F9CB5CCA3AB" localSheetId="5" hidden="1">#REF!</definedName>
    <definedName name="BOE18EC19E8AEF402EAE2B0F9CB5CCA3AB" localSheetId="4" hidden="1">#REF!</definedName>
    <definedName name="BOE18EC19E8AEF402EAE2B0F9CB5CCA3AB" hidden="1">#REF!</definedName>
    <definedName name="BOE19089FAC16F4B8688A0492982FF446E" localSheetId="5" hidden="1">#REF!</definedName>
    <definedName name="BOE19089FAC16F4B8688A0492982FF446E" localSheetId="4" hidden="1">#REF!</definedName>
    <definedName name="BOE19089FAC16F4B8688A0492982FF446E" hidden="1">#REF!</definedName>
    <definedName name="BOE19447B0E1FA443EA962493A52D7BD82" localSheetId="5" hidden="1">#REF!</definedName>
    <definedName name="BOE19447B0E1FA443EA962493A52D7BD82" localSheetId="4" hidden="1">#REF!</definedName>
    <definedName name="BOE19447B0E1FA443EA962493A52D7BD82" hidden="1">#REF!</definedName>
    <definedName name="BOE1B8E510BC864F9295EDA0C6EFD2B924" localSheetId="5" hidden="1">#REF!</definedName>
    <definedName name="BOE1B8E510BC864F9295EDA0C6EFD2B924" localSheetId="4" hidden="1">#REF!</definedName>
    <definedName name="BOE1B8E510BC864F9295EDA0C6EFD2B924" hidden="1">#REF!</definedName>
    <definedName name="BOE1D5BDF45331474CB5BCDA5D62240B3B" localSheetId="5" hidden="1">#REF!</definedName>
    <definedName name="BOE1D5BDF45331474CB5BCDA5D62240B3B" localSheetId="4" hidden="1">#REF!</definedName>
    <definedName name="BOE1D5BDF45331474CB5BCDA5D62240B3B" hidden="1">#REF!</definedName>
    <definedName name="BOE1D864672D394290A795746A1DE77B08" localSheetId="5" hidden="1">#REF!</definedName>
    <definedName name="BOE1D864672D394290A795746A1DE77B08" localSheetId="4" hidden="1">#REF!</definedName>
    <definedName name="BOE1D864672D394290A795746A1DE77B08" hidden="1">#REF!</definedName>
    <definedName name="BOE1DCF35953BD4E46AB93DFAE95B5DDE6" localSheetId="5" hidden="1">#REF!</definedName>
    <definedName name="BOE1DCF35953BD4E46AB93DFAE95B5DDE6" localSheetId="4" hidden="1">#REF!</definedName>
    <definedName name="BOE1DCF35953BD4E46AB93DFAE95B5DDE6" hidden="1">#REF!</definedName>
    <definedName name="BOE1E83BBD57EF4F62BB16307A030D949D" localSheetId="5" hidden="1">#REF!</definedName>
    <definedName name="BOE1E83BBD57EF4F62BB16307A030D949D" localSheetId="4" hidden="1">#REF!</definedName>
    <definedName name="BOE1E83BBD57EF4F62BB16307A030D949D" hidden="1">#REF!</definedName>
    <definedName name="BOE2120FD099664455B8C4D55E1FF026FD" localSheetId="5" hidden="1">#REF!</definedName>
    <definedName name="BOE2120FD099664455B8C4D55E1FF026FD" localSheetId="4" hidden="1">#REF!</definedName>
    <definedName name="BOE2120FD099664455B8C4D55E1FF026FD" hidden="1">#REF!</definedName>
    <definedName name="BOE214051AC1A748E081A158A11E4ADD05" localSheetId="5" hidden="1">#REF!</definedName>
    <definedName name="BOE214051AC1A748E081A158A11E4ADD05" localSheetId="4" hidden="1">#REF!</definedName>
    <definedName name="BOE214051AC1A748E081A158A11E4ADD05" hidden="1">#REF!</definedName>
    <definedName name="BOE22CD0E0569A49439417A071544CE72A" localSheetId="5" hidden="1">#REF!</definedName>
    <definedName name="BOE22CD0E0569A49439417A071544CE72A" localSheetId="4" hidden="1">#REF!</definedName>
    <definedName name="BOE22CD0E0569A49439417A071544CE72A" hidden="1">#REF!</definedName>
    <definedName name="BOE25B77D6C27540E6AAA556148B083B53" localSheetId="5" hidden="1">#REF!</definedName>
    <definedName name="BOE25B77D6C27540E6AAA556148B083B53" localSheetId="4" hidden="1">#REF!</definedName>
    <definedName name="BOE25B77D6C27540E6AAA556148B083B53" hidden="1">#REF!</definedName>
    <definedName name="BOE25CCFBF99E04C3C9C21034E1A81C33C" localSheetId="5" hidden="1">#REF!</definedName>
    <definedName name="BOE25CCFBF99E04C3C9C21034E1A81C33C" localSheetId="4" hidden="1">#REF!</definedName>
    <definedName name="BOE25CCFBF99E04C3C9C21034E1A81C33C" hidden="1">#REF!</definedName>
    <definedName name="BOE263959986DE4AC8B573670D83DDB9EF" localSheetId="5" hidden="1">#REF!</definedName>
    <definedName name="BOE263959986DE4AC8B573670D83DDB9EF" localSheetId="4" hidden="1">#REF!</definedName>
    <definedName name="BOE263959986DE4AC8B573670D83DDB9EF" hidden="1">#REF!</definedName>
    <definedName name="BOE28EA0D9163A45FDBB2590D2729647C9" localSheetId="5" hidden="1">[8]Ketqua!#REF!</definedName>
    <definedName name="BOE28EA0D9163A45FDBB2590D2729647C9" localSheetId="4" hidden="1">[8]Ketqua!#REF!</definedName>
    <definedName name="BOE28EA0D9163A45FDBB2590D2729647C9" hidden="1">[8]Ketqua!#REF!</definedName>
    <definedName name="BOE2D85861CE134B2899A88CE95589BEA9" localSheetId="5" hidden="1">#REF!</definedName>
    <definedName name="BOE2D85861CE134B2899A88CE95589BEA9" localSheetId="4" hidden="1">#REF!</definedName>
    <definedName name="BOE2D85861CE134B2899A88CE95589BEA9" hidden="1">#REF!</definedName>
    <definedName name="BOE2DCE93BA40342CDBF2ECCF7399B2179" localSheetId="5" hidden="1">#REF!</definedName>
    <definedName name="BOE2DCE93BA40342CDBF2ECCF7399B2179" localSheetId="4" hidden="1">#REF!</definedName>
    <definedName name="BOE2DCE93BA40342CDBF2ECCF7399B2179" hidden="1">#REF!</definedName>
    <definedName name="BOE307F88CF982433D8A5E1A5800FD2AD4" localSheetId="5" hidden="1">#REF!</definedName>
    <definedName name="BOE307F88CF982433D8A5E1A5800FD2AD4" localSheetId="4" hidden="1">#REF!</definedName>
    <definedName name="BOE307F88CF982433D8A5E1A5800FD2AD4" hidden="1">#REF!</definedName>
    <definedName name="BOE30BF0B6F57D416BA3039619FAA9605D" localSheetId="5" hidden="1">#REF!</definedName>
    <definedName name="BOE30BF0B6F57D416BA3039619FAA9605D" localSheetId="4" hidden="1">#REF!</definedName>
    <definedName name="BOE30BF0B6F57D416BA3039619FAA9605D" hidden="1">#REF!</definedName>
    <definedName name="BOE32845D4217248B5A29BB1EF05A74B53" localSheetId="5" hidden="1">#REF!</definedName>
    <definedName name="BOE32845D4217248B5A29BB1EF05A74B53" localSheetId="4" hidden="1">#REF!</definedName>
    <definedName name="BOE32845D4217248B5A29BB1EF05A74B53" hidden="1">#REF!</definedName>
    <definedName name="BOE337F40BCDB04761B6982A92D8288043" localSheetId="5" hidden="1">#REF!</definedName>
    <definedName name="BOE337F40BCDB04761B6982A92D8288043" localSheetId="4" hidden="1">#REF!</definedName>
    <definedName name="BOE337F40BCDB04761B6982A92D8288043" hidden="1">#REF!</definedName>
    <definedName name="BOE347813C36D0451295D9EE70757D67B2" localSheetId="5" hidden="1">#REF!</definedName>
    <definedName name="BOE347813C36D0451295D9EE70757D67B2" localSheetId="4" hidden="1">#REF!</definedName>
    <definedName name="BOE347813C36D0451295D9EE70757D67B2" hidden="1">#REF!</definedName>
    <definedName name="BOE34F0954816D4BBD9169ACA9A7C37DD1" localSheetId="5" hidden="1">#REF!</definedName>
    <definedName name="BOE34F0954816D4BBD9169ACA9A7C37DD1" localSheetId="4" hidden="1">#REF!</definedName>
    <definedName name="BOE34F0954816D4BBD9169ACA9A7C37DD1" hidden="1">#REF!</definedName>
    <definedName name="BOE3552AD5E6ED416399005EF3DA64417C" localSheetId="5" hidden="1">#REF!</definedName>
    <definedName name="BOE3552AD5E6ED416399005EF3DA64417C" localSheetId="4" hidden="1">#REF!</definedName>
    <definedName name="BOE3552AD5E6ED416399005EF3DA64417C" hidden="1">#REF!</definedName>
    <definedName name="BOE35C1617BB404A5B831C0C937DEE30C3" localSheetId="5" hidden="1">#REF!</definedName>
    <definedName name="BOE35C1617BB404A5B831C0C937DEE30C3" localSheetId="4" hidden="1">#REF!</definedName>
    <definedName name="BOE35C1617BB404A5B831C0C937DEE30C3" hidden="1">#REF!</definedName>
    <definedName name="BOE363A80728314E40A98FDA2C6658342F" localSheetId="5" hidden="1">#REF!</definedName>
    <definedName name="BOE363A80728314E40A98FDA2C6658342F" localSheetId="4" hidden="1">#REF!</definedName>
    <definedName name="BOE363A80728314E40A98FDA2C6658342F" hidden="1">#REF!</definedName>
    <definedName name="BOE376496472834A1187F8B2D218F47A9C" localSheetId="5" hidden="1">#REF!</definedName>
    <definedName name="BOE376496472834A1187F8B2D218F47A9C" localSheetId="4" hidden="1">#REF!</definedName>
    <definedName name="BOE376496472834A1187F8B2D218F47A9C" hidden="1">#REF!</definedName>
    <definedName name="BOE3903726787A43369D14E2CFD75168C1" localSheetId="5" hidden="1">#REF!</definedName>
    <definedName name="BOE3903726787A43369D14E2CFD75168C1" localSheetId="4" hidden="1">#REF!</definedName>
    <definedName name="BOE3903726787A43369D14E2CFD75168C1" hidden="1">#REF!</definedName>
    <definedName name="BOE398E17A4D2C4403AC2E55DCE59A4DB3" localSheetId="5" hidden="1">#REF!</definedName>
    <definedName name="BOE398E17A4D2C4403AC2E55DCE59A4DB3" localSheetId="4" hidden="1">#REF!</definedName>
    <definedName name="BOE398E17A4D2C4403AC2E55DCE59A4DB3" hidden="1">#REF!</definedName>
    <definedName name="BOE39AF0DF1C984911B29CBDF7D432692E" localSheetId="5" hidden="1">#REF!</definedName>
    <definedName name="BOE39AF0DF1C984911B29CBDF7D432692E" localSheetId="4" hidden="1">#REF!</definedName>
    <definedName name="BOE39AF0DF1C984911B29CBDF7D432692E" hidden="1">#REF!</definedName>
    <definedName name="BOE3A3B50773CB4F1396741469B50E2D6C" localSheetId="5" hidden="1">#REF!</definedName>
    <definedName name="BOE3A3B50773CB4F1396741469B50E2D6C" localSheetId="4" hidden="1">#REF!</definedName>
    <definedName name="BOE3A3B50773CB4F1396741469B50E2D6C" hidden="1">#REF!</definedName>
    <definedName name="BOE3A961B9C77F419C80AA8DBDE61BF21F" localSheetId="5" hidden="1">#REF!</definedName>
    <definedName name="BOE3A961B9C77F419C80AA8DBDE61BF21F" localSheetId="4" hidden="1">#REF!</definedName>
    <definedName name="BOE3A961B9C77F419C80AA8DBDE61BF21F" hidden="1">#REF!</definedName>
    <definedName name="BOE3D3C537354043529495944246227E54" localSheetId="5" hidden="1">#REF!</definedName>
    <definedName name="BOE3D3C537354043529495944246227E54" localSheetId="4" hidden="1">#REF!</definedName>
    <definedName name="BOE3D3C537354043529495944246227E54" hidden="1">#REF!</definedName>
    <definedName name="BOE3EAB94B34994813A192F85F34F64788" localSheetId="5" hidden="1">#REF!</definedName>
    <definedName name="BOE3EAB94B34994813A192F85F34F64788" localSheetId="4" hidden="1">#REF!</definedName>
    <definedName name="BOE3EAB94B34994813A192F85F34F64788" hidden="1">#REF!</definedName>
    <definedName name="BOE42252CC391A472EBB6BEB429AE625B1" localSheetId="5" hidden="1">#REF!</definedName>
    <definedName name="BOE42252CC391A472EBB6BEB429AE625B1" localSheetId="4" hidden="1">#REF!</definedName>
    <definedName name="BOE42252CC391A472EBB6BEB429AE625B1" hidden="1">#REF!</definedName>
    <definedName name="BOE43AD6076DD34055B0BF7215A02B8CB7" localSheetId="5" hidden="1">#REF!</definedName>
    <definedName name="BOE43AD6076DD34055B0BF7215A02B8CB7" localSheetId="4" hidden="1">#REF!</definedName>
    <definedName name="BOE43AD6076DD34055B0BF7215A02B8CB7" hidden="1">#REF!</definedName>
    <definedName name="BOE447A50A6A0445EDA278C8F6684F9F56" localSheetId="5" hidden="1">#REF!</definedName>
    <definedName name="BOE447A50A6A0445EDA278C8F6684F9F56" localSheetId="4" hidden="1">#REF!</definedName>
    <definedName name="BOE447A50A6A0445EDA278C8F6684F9F56" hidden="1">#REF!</definedName>
    <definedName name="BOE449661142474D1998C432F3D15150A8" localSheetId="5" hidden="1">#REF!</definedName>
    <definedName name="BOE449661142474D1998C432F3D15150A8" localSheetId="4" hidden="1">#REF!</definedName>
    <definedName name="BOE449661142474D1998C432F3D15150A8" hidden="1">#REF!</definedName>
    <definedName name="BOE4553A17435E44E1A73A3E8C5BB03776" localSheetId="5" hidden="1">#REF!</definedName>
    <definedName name="BOE4553A17435E44E1A73A3E8C5BB03776" localSheetId="4" hidden="1">#REF!</definedName>
    <definedName name="BOE4553A17435E44E1A73A3E8C5BB03776" hidden="1">#REF!</definedName>
    <definedName name="BOE4570C8160CD449BA2EB7A5799F3D970" localSheetId="5" hidden="1">#REF!</definedName>
    <definedName name="BOE4570C8160CD449BA2EB7A5799F3D970" localSheetId="4" hidden="1">#REF!</definedName>
    <definedName name="BOE4570C8160CD449BA2EB7A5799F3D970" hidden="1">#REF!</definedName>
    <definedName name="BOE46F6DB57CC5418DB632FD6AA4046084" localSheetId="5" hidden="1">#REF!</definedName>
    <definedName name="BOE46F6DB57CC5418DB632FD6AA4046084" localSheetId="4" hidden="1">#REF!</definedName>
    <definedName name="BOE46F6DB57CC5418DB632FD6AA4046084" hidden="1">#REF!</definedName>
    <definedName name="BOE4864185A3864D3AB1C30FBB75915886" localSheetId="5" hidden="1">#REF!</definedName>
    <definedName name="BOE4864185A3864D3AB1C30FBB75915886" localSheetId="4" hidden="1">#REF!</definedName>
    <definedName name="BOE4864185A3864D3AB1C30FBB75915886" hidden="1">#REF!</definedName>
    <definedName name="BOE48A2F73BAB549DEA757EA28C9F0C570" localSheetId="5" hidden="1">#REF!</definedName>
    <definedName name="BOE48A2F73BAB549DEA757EA28C9F0C570" localSheetId="4" hidden="1">#REF!</definedName>
    <definedName name="BOE48A2F73BAB549DEA757EA28C9F0C570" hidden="1">#REF!</definedName>
    <definedName name="BOE49A28902F614E22AADB7D311EBA846E" localSheetId="5" hidden="1">#REF!</definedName>
    <definedName name="BOE49A28902F614E22AADB7D311EBA846E" localSheetId="4" hidden="1">#REF!</definedName>
    <definedName name="BOE49A28902F614E22AADB7D311EBA846E" hidden="1">#REF!</definedName>
    <definedName name="BOE4CBEA97B39C41D8BA6F03263BFA8066" localSheetId="5" hidden="1">[8]Ketqua!#REF!</definedName>
    <definedName name="BOE4CBEA97B39C41D8BA6F03263BFA8066" localSheetId="4" hidden="1">[8]Ketqua!#REF!</definedName>
    <definedName name="BOE4CBEA97B39C41D8BA6F03263BFA8066" hidden="1">[8]Ketqua!#REF!</definedName>
    <definedName name="BOE4CDD2D15E3D4D3DB6FD662A62BE5138" localSheetId="5" hidden="1">#REF!</definedName>
    <definedName name="BOE4CDD2D15E3D4D3DB6FD662A62BE5138" localSheetId="4" hidden="1">#REF!</definedName>
    <definedName name="BOE4CDD2D15E3D4D3DB6FD662A62BE5138" hidden="1">#REF!</definedName>
    <definedName name="BOE4D5A5154F4C482B944548BC47E31E5D" localSheetId="5" hidden="1">#REF!</definedName>
    <definedName name="BOE4D5A5154F4C482B944548BC47E31E5D" localSheetId="4" hidden="1">#REF!</definedName>
    <definedName name="BOE4D5A5154F4C482B944548BC47E31E5D" hidden="1">#REF!</definedName>
    <definedName name="BOE4DA8B1764E74E3F85C29CAEBA8EEE05" localSheetId="5" hidden="1">#REF!</definedName>
    <definedName name="BOE4DA8B1764E74E3F85C29CAEBA8EEE05" localSheetId="4" hidden="1">#REF!</definedName>
    <definedName name="BOE4DA8B1764E74E3F85C29CAEBA8EEE05" hidden="1">#REF!</definedName>
    <definedName name="BOE4EC52FAC01E4D389789FE914DC05BF6" localSheetId="5" hidden="1">#REF!</definedName>
    <definedName name="BOE4EC52FAC01E4D389789FE914DC05BF6" localSheetId="4" hidden="1">#REF!</definedName>
    <definedName name="BOE4EC52FAC01E4D389789FE914DC05BF6" hidden="1">#REF!</definedName>
    <definedName name="BOE4F84BC0C3E14178AEB6DBA2F66C752F" localSheetId="5" hidden="1">#REF!</definedName>
    <definedName name="BOE4F84BC0C3E14178AEB6DBA2F66C752F" localSheetId="4" hidden="1">#REF!</definedName>
    <definedName name="BOE4F84BC0C3E14178AEB6DBA2F66C752F" hidden="1">#REF!</definedName>
    <definedName name="BOE503A37C2DDD4514A5244826E6A6DB54" localSheetId="5" hidden="1">#REF!</definedName>
    <definedName name="BOE503A37C2DDD4514A5244826E6A6DB54" localSheetId="4" hidden="1">#REF!</definedName>
    <definedName name="BOE503A37C2DDD4514A5244826E6A6DB54" hidden="1">#REF!</definedName>
    <definedName name="BOE51DFD1C9562469194F32690B232F3D3" localSheetId="5" hidden="1">#REF!</definedName>
    <definedName name="BOE51DFD1C9562469194F32690B232F3D3" localSheetId="4" hidden="1">#REF!</definedName>
    <definedName name="BOE51DFD1C9562469194F32690B232F3D3" hidden="1">#REF!</definedName>
    <definedName name="BOE545914D51B74F8F80A99121E9F681D3" localSheetId="5" hidden="1">#REF!</definedName>
    <definedName name="BOE545914D51B74F8F80A99121E9F681D3" localSheetId="4" hidden="1">#REF!</definedName>
    <definedName name="BOE545914D51B74F8F80A99121E9F681D3" hidden="1">#REF!</definedName>
    <definedName name="BOE5480C2C9C554E828BCF6B26CE00644E" localSheetId="5" hidden="1">#REF!</definedName>
    <definedName name="BOE5480C2C9C554E828BCF6B26CE00644E" localSheetId="4" hidden="1">#REF!</definedName>
    <definedName name="BOE5480C2C9C554E828BCF6B26CE00644E" hidden="1">#REF!</definedName>
    <definedName name="BOE549C9E705DE4877993E07C59BDC0CE5" localSheetId="5" hidden="1">#REF!</definedName>
    <definedName name="BOE549C9E705DE4877993E07C59BDC0CE5" localSheetId="4" hidden="1">#REF!</definedName>
    <definedName name="BOE549C9E705DE4877993E07C59BDC0CE5" hidden="1">#REF!</definedName>
    <definedName name="BOE55435D37049454395ECA083E501131D" localSheetId="5" hidden="1">#REF!</definedName>
    <definedName name="BOE55435D37049454395ECA083E501131D" localSheetId="4" hidden="1">#REF!</definedName>
    <definedName name="BOE55435D37049454395ECA083E501131D" hidden="1">#REF!</definedName>
    <definedName name="BOE57D2810DF2F40AA8FB1D0C2ECDAA661" localSheetId="5" hidden="1">#REF!</definedName>
    <definedName name="BOE57D2810DF2F40AA8FB1D0C2ECDAA661" localSheetId="4" hidden="1">#REF!</definedName>
    <definedName name="BOE57D2810DF2F40AA8FB1D0C2ECDAA661" hidden="1">#REF!</definedName>
    <definedName name="BOE580F8701F94415D999408A7EB0D4CAF" localSheetId="5" hidden="1">#REF!</definedName>
    <definedName name="BOE580F8701F94415D999408A7EB0D4CAF" localSheetId="4" hidden="1">#REF!</definedName>
    <definedName name="BOE580F8701F94415D999408A7EB0D4CAF" hidden="1">#REF!</definedName>
    <definedName name="BOE585DC72C4564FA68F5AA993D43A7E96" localSheetId="5" hidden="1">#REF!</definedName>
    <definedName name="BOE585DC72C4564FA68F5AA993D43A7E96" localSheetId="4" hidden="1">#REF!</definedName>
    <definedName name="BOE585DC72C4564FA68F5AA993D43A7E96" hidden="1">#REF!</definedName>
    <definedName name="BOE5AA83923A2A4251A365967B0FABE997" localSheetId="5" hidden="1">#REF!</definedName>
    <definedName name="BOE5AA83923A2A4251A365967B0FABE997" localSheetId="4" hidden="1">#REF!</definedName>
    <definedName name="BOE5AA83923A2A4251A365967B0FABE997" hidden="1">#REF!</definedName>
    <definedName name="BOE5AE82CD21E14B1A83E16DA898862D4C" localSheetId="5" hidden="1">#REF!</definedName>
    <definedName name="BOE5AE82CD21E14B1A83E16DA898862D4C" localSheetId="4" hidden="1">#REF!</definedName>
    <definedName name="BOE5AE82CD21E14B1A83E16DA898862D4C" hidden="1">#REF!</definedName>
    <definedName name="BOE5C36DE72DD74A34BA37E9397BF4B1BF" localSheetId="5" hidden="1">#REF!</definedName>
    <definedName name="BOE5C36DE72DD74A34BA37E9397BF4B1BF" localSheetId="4" hidden="1">#REF!</definedName>
    <definedName name="BOE5C36DE72DD74A34BA37E9397BF4B1BF" hidden="1">#REF!</definedName>
    <definedName name="BOE5C551016A6B4610B9618412B77DEAAA" localSheetId="5" hidden="1">#REF!</definedName>
    <definedName name="BOE5C551016A6B4610B9618412B77DEAAA" localSheetId="4" hidden="1">#REF!</definedName>
    <definedName name="BOE5C551016A6B4610B9618412B77DEAAA" hidden="1">#REF!</definedName>
    <definedName name="BOE5D737DF7DC04EF4A3F1879E3C59FBA5" localSheetId="5" hidden="1">#REF!</definedName>
    <definedName name="BOE5D737DF7DC04EF4A3F1879E3C59FBA5" localSheetId="4" hidden="1">#REF!</definedName>
    <definedName name="BOE5D737DF7DC04EF4A3F1879E3C59FBA5" hidden="1">#REF!</definedName>
    <definedName name="BOE5D8E07A0DA54017A84CE8B381368A63" localSheetId="5" hidden="1">#REF!</definedName>
    <definedName name="BOE5D8E07A0DA54017A84CE8B381368A63" localSheetId="4" hidden="1">#REF!</definedName>
    <definedName name="BOE5D8E07A0DA54017A84CE8B381368A63" hidden="1">#REF!</definedName>
    <definedName name="BOE5DB18EC4BF143CAB33F7AB9CE0BC7AD" localSheetId="5" hidden="1">#REF!</definedName>
    <definedName name="BOE5DB18EC4BF143CAB33F7AB9CE0BC7AD" localSheetId="4" hidden="1">#REF!</definedName>
    <definedName name="BOE5DB18EC4BF143CAB33F7AB9CE0BC7AD" hidden="1">#REF!</definedName>
    <definedName name="BOE5E15CBA8693404E95C6E7532B0455DE" localSheetId="5" hidden="1">#REF!</definedName>
    <definedName name="BOE5E15CBA8693404E95C6E7532B0455DE" localSheetId="4" hidden="1">#REF!</definedName>
    <definedName name="BOE5E15CBA8693404E95C6E7532B0455DE" hidden="1">#REF!</definedName>
    <definedName name="BOE5E5B6038D70411E8F6D4F21F0FA20C5" localSheetId="5" hidden="1">#REF!</definedName>
    <definedName name="BOE5E5B6038D70411E8F6D4F21F0FA20C5" localSheetId="4" hidden="1">#REF!</definedName>
    <definedName name="BOE5E5B6038D70411E8F6D4F21F0FA20C5" hidden="1">#REF!</definedName>
    <definedName name="BOE5F1AA16B89C46E08917B4E586F61146" localSheetId="5" hidden="1">#REF!</definedName>
    <definedName name="BOE5F1AA16B89C46E08917B4E586F61146" localSheetId="4" hidden="1">#REF!</definedName>
    <definedName name="BOE5F1AA16B89C46E08917B4E586F61146" hidden="1">#REF!</definedName>
    <definedName name="BOE5FA3D0D59214D4693F8F49DA4B9C3EB" localSheetId="5" hidden="1">#REF!</definedName>
    <definedName name="BOE5FA3D0D59214D4693F8F49DA4B9C3EB" localSheetId="4" hidden="1">#REF!</definedName>
    <definedName name="BOE5FA3D0D59214D4693F8F49DA4B9C3EB" hidden="1">#REF!</definedName>
    <definedName name="BOE6016488BD9B43AB807B2FDE97A1E5C6" localSheetId="5" hidden="1">#REF!</definedName>
    <definedName name="BOE6016488BD9B43AB807B2FDE97A1E5C6" localSheetId="4" hidden="1">#REF!</definedName>
    <definedName name="BOE6016488BD9B43AB807B2FDE97A1E5C6" hidden="1">#REF!</definedName>
    <definedName name="BOE63184FD11AE4350B81A2E3DEADFE9D1" localSheetId="5" hidden="1">#REF!</definedName>
    <definedName name="BOE63184FD11AE4350B81A2E3DEADFE9D1" localSheetId="4" hidden="1">#REF!</definedName>
    <definedName name="BOE63184FD11AE4350B81A2E3DEADFE9D1" hidden="1">#REF!</definedName>
    <definedName name="BOE642644C80644606B590C952B2B679BB" localSheetId="5" hidden="1">[9]Giaitrinh!#REF!</definedName>
    <definedName name="BOE642644C80644606B590C952B2B679BB" localSheetId="4" hidden="1">[9]Giaitrinh!#REF!</definedName>
    <definedName name="BOE642644C80644606B590C952B2B679BB" hidden="1">[9]Giaitrinh!#REF!</definedName>
    <definedName name="BOE6472F62E05843E3A42485F3FC4DAA7B" localSheetId="5" hidden="1">#REF!</definedName>
    <definedName name="BOE6472F62E05843E3A42485F3FC4DAA7B" localSheetId="4" hidden="1">#REF!</definedName>
    <definedName name="BOE6472F62E05843E3A42485F3FC4DAA7B" hidden="1">#REF!</definedName>
    <definedName name="BOE64B65D0B2E3477D965DA34BE633B705" localSheetId="5" hidden="1">#REF!</definedName>
    <definedName name="BOE64B65D0B2E3477D965DA34BE633B705" localSheetId="4" hidden="1">#REF!</definedName>
    <definedName name="BOE64B65D0B2E3477D965DA34BE633B705" hidden="1">#REF!</definedName>
    <definedName name="BOE64E13F456404669B6432E1A33D3CBD6" localSheetId="5" hidden="1">#REF!</definedName>
    <definedName name="BOE64E13F456404669B6432E1A33D3CBD6" localSheetId="4" hidden="1">#REF!</definedName>
    <definedName name="BOE64E13F456404669B6432E1A33D3CBD6" hidden="1">#REF!</definedName>
    <definedName name="BOE661CBEEEF90471390ADE4AAA5F64EFA" localSheetId="5" hidden="1">#REF!</definedName>
    <definedName name="BOE661CBEEEF90471390ADE4AAA5F64EFA" localSheetId="4" hidden="1">#REF!</definedName>
    <definedName name="BOE661CBEEEF90471390ADE4AAA5F64EFA" hidden="1">#REF!</definedName>
    <definedName name="BOE66722F8DA48439DBE5F8DDC84C75A6D" localSheetId="5" hidden="1">#REF!</definedName>
    <definedName name="BOE66722F8DA48439DBE5F8DDC84C75A6D" localSheetId="4" hidden="1">#REF!</definedName>
    <definedName name="BOE66722F8DA48439DBE5F8DDC84C75A6D" hidden="1">#REF!</definedName>
    <definedName name="BOE671A811FEE443B0AF77FFD7B973E3D8" localSheetId="5" hidden="1">#REF!</definedName>
    <definedName name="BOE671A811FEE443B0AF77FFD7B973E3D8" localSheetId="4" hidden="1">#REF!</definedName>
    <definedName name="BOE671A811FEE443B0AF77FFD7B973E3D8" hidden="1">#REF!</definedName>
    <definedName name="BOE69C3DC8F1834A25A33C8F0EE876A611" localSheetId="5" hidden="1">#REF!</definedName>
    <definedName name="BOE69C3DC8F1834A25A33C8F0EE876A611" localSheetId="4" hidden="1">#REF!</definedName>
    <definedName name="BOE69C3DC8F1834A25A33C8F0EE876A611" hidden="1">#REF!</definedName>
    <definedName name="BOE69EC63A965D4D389109A1397229FE81" localSheetId="5" hidden="1">#REF!</definedName>
    <definedName name="BOE69EC63A965D4D389109A1397229FE81" localSheetId="4" hidden="1">#REF!</definedName>
    <definedName name="BOE69EC63A965D4D389109A1397229FE81" hidden="1">#REF!</definedName>
    <definedName name="BOE69EEB4E559349B8B062EE7B68357594" localSheetId="5" hidden="1">#REF!</definedName>
    <definedName name="BOE69EEB4E559349B8B062EE7B68357594" localSheetId="4" hidden="1">#REF!</definedName>
    <definedName name="BOE69EEB4E559349B8B062EE7B68357594" hidden="1">#REF!</definedName>
    <definedName name="BOE6C4B7010CBE4A0C8E565D645E7BD5D5" localSheetId="5" hidden="1">#REF!</definedName>
    <definedName name="BOE6C4B7010CBE4A0C8E565D645E7BD5D5" localSheetId="4" hidden="1">#REF!</definedName>
    <definedName name="BOE6C4B7010CBE4A0C8E565D645E7BD5D5" hidden="1">#REF!</definedName>
    <definedName name="BOE6CF0641D1CF4974818BF6A3C75563DF" localSheetId="5" hidden="1">#REF!</definedName>
    <definedName name="BOE6CF0641D1CF4974818BF6A3C75563DF" localSheetId="4" hidden="1">#REF!</definedName>
    <definedName name="BOE6CF0641D1CF4974818BF6A3C75563DF" hidden="1">#REF!</definedName>
    <definedName name="BOE6CF7371C48B4B4CA75BF8C02972E606" localSheetId="5" hidden="1">#REF!</definedName>
    <definedName name="BOE6CF7371C48B4B4CA75BF8C02972E606" localSheetId="4" hidden="1">#REF!</definedName>
    <definedName name="BOE6CF7371C48B4B4CA75BF8C02972E606" hidden="1">#REF!</definedName>
    <definedName name="BOE6D827D9E2DE489ABEBB24B97E6503E8" localSheetId="5" hidden="1">#REF!</definedName>
    <definedName name="BOE6D827D9E2DE489ABEBB24B97E6503E8" localSheetId="4" hidden="1">#REF!</definedName>
    <definedName name="BOE6D827D9E2DE489ABEBB24B97E6503E8" hidden="1">#REF!</definedName>
    <definedName name="BOE6DD34E9F52A467DA397C498162119B7" localSheetId="5" hidden="1">#REF!</definedName>
    <definedName name="BOE6DD34E9F52A467DA397C498162119B7" localSheetId="4" hidden="1">#REF!</definedName>
    <definedName name="BOE6DD34E9F52A467DA397C498162119B7" hidden="1">#REF!</definedName>
    <definedName name="BOE6E77A9C02A748EE9D27A0F8CBE7B2E7" localSheetId="5" hidden="1">#REF!</definedName>
    <definedName name="BOE6E77A9C02A748EE9D27A0F8CBE7B2E7" localSheetId="4" hidden="1">#REF!</definedName>
    <definedName name="BOE6E77A9C02A748EE9D27A0F8CBE7B2E7" hidden="1">#REF!</definedName>
    <definedName name="BOE6EC2B01DAAC4CAA860BFF94370676C8" hidden="1">[8]Ketqua!$I$17:$U$17</definedName>
    <definedName name="BOE719ECF60BC44D039355F9578D584D96" localSheetId="5" hidden="1">#REF!</definedName>
    <definedName name="BOE719ECF60BC44D039355F9578D584D96" localSheetId="4" hidden="1">#REF!</definedName>
    <definedName name="BOE719ECF60BC44D039355F9578D584D96" hidden="1">#REF!</definedName>
    <definedName name="BOE71EFE4B5B724994B58B2D05B75ABFE9" localSheetId="5" hidden="1">#REF!</definedName>
    <definedName name="BOE71EFE4B5B724994B58B2D05B75ABFE9" localSheetId="4" hidden="1">#REF!</definedName>
    <definedName name="BOE71EFE4B5B724994B58B2D05B75ABFE9" hidden="1">#REF!</definedName>
    <definedName name="BOE723E5A34F7C49D89A97CE036F53E20A" localSheetId="5" hidden="1">[9]xml!#REF!</definedName>
    <definedName name="BOE723E5A34F7C49D89A97CE036F53E20A" localSheetId="4" hidden="1">[9]xml!#REF!</definedName>
    <definedName name="BOE723E5A34F7C49D89A97CE036F53E20A" hidden="1">[9]xml!#REF!</definedName>
    <definedName name="BOE72A0D75227F4086B9721585982D462D" localSheetId="5" hidden="1">#REF!</definedName>
    <definedName name="BOE72A0D75227F4086B9721585982D462D" localSheetId="4" hidden="1">#REF!</definedName>
    <definedName name="BOE72A0D75227F4086B9721585982D462D" hidden="1">#REF!</definedName>
    <definedName name="BOE741AA47A5B7491BB12A8962C001BCD6" localSheetId="5" hidden="1">#REF!</definedName>
    <definedName name="BOE741AA47A5B7491BB12A8962C001BCD6" localSheetId="4" hidden="1">#REF!</definedName>
    <definedName name="BOE741AA47A5B7491BB12A8962C001BCD6" hidden="1">#REF!</definedName>
    <definedName name="BOE74688F5AC1E4867865C628E71974C74" localSheetId="5" hidden="1">#REF!</definedName>
    <definedName name="BOE74688F5AC1E4867865C628E71974C74" localSheetId="4" hidden="1">#REF!</definedName>
    <definedName name="BOE74688F5AC1E4867865C628E71974C74" hidden="1">#REF!</definedName>
    <definedName name="BOE749E2E453224EDE819CB02CD51A08BE" localSheetId="5" hidden="1">#REF!</definedName>
    <definedName name="BOE749E2E453224EDE819CB02CD51A08BE" localSheetId="4" hidden="1">#REF!</definedName>
    <definedName name="BOE749E2E453224EDE819CB02CD51A08BE" hidden="1">#REF!</definedName>
    <definedName name="BOE75047C68AF14F03B8E94DC5C2EF621F" localSheetId="5" hidden="1">#REF!</definedName>
    <definedName name="BOE75047C68AF14F03B8E94DC5C2EF621F" localSheetId="4" hidden="1">#REF!</definedName>
    <definedName name="BOE75047C68AF14F03B8E94DC5C2EF621F" hidden="1">#REF!</definedName>
    <definedName name="BOE75B49FAF61B4EF69763E611B56CE634" localSheetId="5" hidden="1">#REF!</definedName>
    <definedName name="BOE75B49FAF61B4EF69763E611B56CE634" localSheetId="4" hidden="1">#REF!</definedName>
    <definedName name="BOE75B49FAF61B4EF69763E611B56CE634" hidden="1">#REF!</definedName>
    <definedName name="BOE76250712D36454EA8BD340089539AD6" hidden="1">[8]Ketqua!$I$9:$U$9</definedName>
    <definedName name="BOE76431D47602405BB3C0FF818CC34755" localSheetId="5" hidden="1">#REF!</definedName>
    <definedName name="BOE76431D47602405BB3C0FF818CC34755" localSheetId="4" hidden="1">#REF!</definedName>
    <definedName name="BOE76431D47602405BB3C0FF818CC34755" hidden="1">#REF!</definedName>
    <definedName name="BOE7648C666E9144698BA38608382BE64C" localSheetId="5" hidden="1">#REF!</definedName>
    <definedName name="BOE7648C666E9144698BA38608382BE64C" localSheetId="4" hidden="1">#REF!</definedName>
    <definedName name="BOE7648C666E9144698BA38608382BE64C" hidden="1">#REF!</definedName>
    <definedName name="BOE776B09F34E244928F8EA22D197685DA" localSheetId="5" hidden="1">#REF!</definedName>
    <definedName name="BOE776B09F34E244928F8EA22D197685DA" localSheetId="4" hidden="1">#REF!</definedName>
    <definedName name="BOE776B09F34E244928F8EA22D197685DA" hidden="1">#REF!</definedName>
    <definedName name="BOE7850C2DA14C416998D009562C874153" localSheetId="5" hidden="1">#REF!</definedName>
    <definedName name="BOE7850C2DA14C416998D009562C874153" localSheetId="4" hidden="1">#REF!</definedName>
    <definedName name="BOE7850C2DA14C416998D009562C874153" hidden="1">#REF!</definedName>
    <definedName name="BOE798598350E04FBFAF7A6A194F1568BE" localSheetId="5" hidden="1">#REF!</definedName>
    <definedName name="BOE798598350E04FBFAF7A6A194F1568BE" localSheetId="4" hidden="1">#REF!</definedName>
    <definedName name="BOE798598350E04FBFAF7A6A194F1568BE" hidden="1">#REF!</definedName>
    <definedName name="BOE79D0A6383EE444D9AE6E0E159C5B362" localSheetId="5" hidden="1">#REF!</definedName>
    <definedName name="BOE79D0A6383EE444D9AE6E0E159C5B362" localSheetId="4" hidden="1">#REF!</definedName>
    <definedName name="BOE79D0A6383EE444D9AE6E0E159C5B362" hidden="1">#REF!</definedName>
    <definedName name="BOE7A344A367254A7493AA6568A37CB5CE" localSheetId="5" hidden="1">#REF!</definedName>
    <definedName name="BOE7A344A367254A7493AA6568A37CB5CE" localSheetId="4" hidden="1">#REF!</definedName>
    <definedName name="BOE7A344A367254A7493AA6568A37CB5CE" hidden="1">#REF!</definedName>
    <definedName name="BOE7CBB0CC34384B958962B499B09B2EFE" localSheetId="5" hidden="1">#REF!</definedName>
    <definedName name="BOE7CBB0CC34384B958962B499B09B2EFE" localSheetId="4" hidden="1">#REF!</definedName>
    <definedName name="BOE7CBB0CC34384B958962B499B09B2EFE" hidden="1">#REF!</definedName>
    <definedName name="BOE7DD506A20324A81886280B1FD147980" localSheetId="5" hidden="1">#REF!</definedName>
    <definedName name="BOE7DD506A20324A81886280B1FD147980" localSheetId="4" hidden="1">#REF!</definedName>
    <definedName name="BOE7DD506A20324A81886280B1FD147980" hidden="1">#REF!</definedName>
    <definedName name="BOE7DFAF165385446BA6A3484A6449F5EB" localSheetId="5" hidden="1">#REF!</definedName>
    <definedName name="BOE7DFAF165385446BA6A3484A6449F5EB" localSheetId="4" hidden="1">#REF!</definedName>
    <definedName name="BOE7DFAF165385446BA6A3484A6449F5EB" hidden="1">#REF!</definedName>
    <definedName name="BOE7EC9B4E00164CB5B67EF6A26F794461" localSheetId="5" hidden="1">#REF!</definedName>
    <definedName name="BOE7EC9B4E00164CB5B67EF6A26F794461" localSheetId="4" hidden="1">#REF!</definedName>
    <definedName name="BOE7EC9B4E00164CB5B67EF6A26F794461" hidden="1">#REF!</definedName>
    <definedName name="BOE7F286C313164F68BF206AFA08DBC094" localSheetId="5" hidden="1">#REF!</definedName>
    <definedName name="BOE7F286C313164F68BF206AFA08DBC094" localSheetId="4" hidden="1">#REF!</definedName>
    <definedName name="BOE7F286C313164F68BF206AFA08DBC094" hidden="1">#REF!</definedName>
    <definedName name="BOE7F829FCBE4544A39C39A9F40F05285E" localSheetId="5" hidden="1">#REF!</definedName>
    <definedName name="BOE7F829FCBE4544A39C39A9F40F05285E" localSheetId="4" hidden="1">#REF!</definedName>
    <definedName name="BOE7F829FCBE4544A39C39A9F40F05285E" hidden="1">#REF!</definedName>
    <definedName name="BOE7FB822E1C854B0080C789D2304CB9DE" localSheetId="5" hidden="1">#REF!</definedName>
    <definedName name="BOE7FB822E1C854B0080C789D2304CB9DE" localSheetId="4" hidden="1">#REF!</definedName>
    <definedName name="BOE7FB822E1C854B0080C789D2304CB9DE" hidden="1">#REF!</definedName>
    <definedName name="BOE7FF59A65485454D9BAF35A631532BE7" localSheetId="5" hidden="1">[9]xml!#REF!</definedName>
    <definedName name="BOE7FF59A65485454D9BAF35A631532BE7" localSheetId="4" hidden="1">[9]xml!#REF!</definedName>
    <definedName name="BOE7FF59A65485454D9BAF35A631532BE7" hidden="1">[9]xml!#REF!</definedName>
    <definedName name="BOE8052FE958B8496D959F6782B970EA25" localSheetId="5" hidden="1">[9]xml!#REF!</definedName>
    <definedName name="BOE8052FE958B8496D959F6782B970EA25" localSheetId="4" hidden="1">[9]xml!#REF!</definedName>
    <definedName name="BOE8052FE958B8496D959F6782B970EA25" hidden="1">[9]xml!#REF!</definedName>
    <definedName name="BOE81D5E8040614B75BE51C7C2CD55F6C4" localSheetId="5" hidden="1">#REF!</definedName>
    <definedName name="BOE81D5E8040614B75BE51C7C2CD55F6C4" localSheetId="4" hidden="1">#REF!</definedName>
    <definedName name="BOE81D5E8040614B75BE51C7C2CD55F6C4" hidden="1">#REF!</definedName>
    <definedName name="BOE8379345D4E5404BB73937AA0ECF88F4" localSheetId="5" hidden="1">#REF!</definedName>
    <definedName name="BOE8379345D4E5404BB73937AA0ECF88F4" localSheetId="4" hidden="1">#REF!</definedName>
    <definedName name="BOE8379345D4E5404BB73937AA0ECF88F4" hidden="1">#REF!</definedName>
    <definedName name="BOE841241352624CA99AA46EB72F6B7B4D" localSheetId="5" hidden="1">#REF!</definedName>
    <definedName name="BOE841241352624CA99AA46EB72F6B7B4D" localSheetId="4" hidden="1">#REF!</definedName>
    <definedName name="BOE841241352624CA99AA46EB72F6B7B4D" hidden="1">#REF!</definedName>
    <definedName name="BOE8473256F0E74B51A0AF9E07903BA006" localSheetId="5" hidden="1">#REF!</definedName>
    <definedName name="BOE8473256F0E74B51A0AF9E07903BA006" localSheetId="4" hidden="1">#REF!</definedName>
    <definedName name="BOE8473256F0E74B51A0AF9E07903BA006" hidden="1">#REF!</definedName>
    <definedName name="BOE84E82EEFCCE41D0BA91EFACF23EBFA7" localSheetId="5" hidden="1">#REF!</definedName>
    <definedName name="BOE84E82EEFCCE41D0BA91EFACF23EBFA7" localSheetId="4" hidden="1">#REF!</definedName>
    <definedName name="BOE84E82EEFCCE41D0BA91EFACF23EBFA7" hidden="1">#REF!</definedName>
    <definedName name="BOE84FCC406C184191AFE42CCF04997FEE" localSheetId="5" hidden="1">[7]lailo!#REF!</definedName>
    <definedName name="BOE84FCC406C184191AFE42CCF04997FEE" localSheetId="4" hidden="1">[7]lailo!#REF!</definedName>
    <definedName name="BOE84FCC406C184191AFE42CCF04997FEE" hidden="1">[7]lailo!#REF!</definedName>
    <definedName name="BOE87120EC35BC4CF0AA0F2833DE8CE423" localSheetId="5" hidden="1">#REF!</definedName>
    <definedName name="BOE87120EC35BC4CF0AA0F2833DE8CE423" localSheetId="4" hidden="1">#REF!</definedName>
    <definedName name="BOE87120EC35BC4CF0AA0F2833DE8CE423" hidden="1">#REF!</definedName>
    <definedName name="BOE8777DCF295E415D8A6502B9107C4DC7" localSheetId="5" hidden="1">#REF!</definedName>
    <definedName name="BOE8777DCF295E415D8A6502B9107C4DC7" localSheetId="4" hidden="1">#REF!</definedName>
    <definedName name="BOE8777DCF295E415D8A6502B9107C4DC7" hidden="1">#REF!</definedName>
    <definedName name="BOE884DB0E080F4026AEDEAD76588B78FC" localSheetId="5" hidden="1">#REF!</definedName>
    <definedName name="BOE884DB0E080F4026AEDEAD76588B78FC" localSheetId="4" hidden="1">#REF!</definedName>
    <definedName name="BOE884DB0E080F4026AEDEAD76588B78FC" hidden="1">#REF!</definedName>
    <definedName name="BOE889379A26C646989693795D14E52885" localSheetId="5" hidden="1">#REF!</definedName>
    <definedName name="BOE889379A26C646989693795D14E52885" localSheetId="4" hidden="1">#REF!</definedName>
    <definedName name="BOE889379A26C646989693795D14E52885" hidden="1">#REF!</definedName>
    <definedName name="BOE8970DB59C714C8BA0FB79E01170D916" localSheetId="5" hidden="1">#REF!</definedName>
    <definedName name="BOE8970DB59C714C8BA0FB79E01170D916" localSheetId="4" hidden="1">#REF!</definedName>
    <definedName name="BOE8970DB59C714C8BA0FB79E01170D916" hidden="1">#REF!</definedName>
    <definedName name="BOE8AD63032C0A490FBAC61B51F1D45DAD" localSheetId="5" hidden="1">#REF!</definedName>
    <definedName name="BOE8AD63032C0A490FBAC61B51F1D45DAD" localSheetId="4" hidden="1">#REF!</definedName>
    <definedName name="BOE8AD63032C0A490FBAC61B51F1D45DAD" hidden="1">#REF!</definedName>
    <definedName name="BOE8C9C3ED265B48589109A08A9505A1D1" localSheetId="5" hidden="1">[7]lailo!#REF!</definedName>
    <definedName name="BOE8C9C3ED265B48589109A08A9505A1D1" localSheetId="4" hidden="1">[7]lailo!#REF!</definedName>
    <definedName name="BOE8C9C3ED265B48589109A08A9505A1D1" hidden="1">[7]lailo!#REF!</definedName>
    <definedName name="BOE8CCD114C0324135B66AD58BCC1AE5AD" localSheetId="5" hidden="1">#REF!</definedName>
    <definedName name="BOE8CCD114C0324135B66AD58BCC1AE5AD" localSheetId="4" hidden="1">#REF!</definedName>
    <definedName name="BOE8CCD114C0324135B66AD58BCC1AE5AD" hidden="1">#REF!</definedName>
    <definedName name="BOE8DBD581E91E43A295718AF22899C040" localSheetId="5" hidden="1">#REF!</definedName>
    <definedName name="BOE8DBD581E91E43A295718AF22899C040" localSheetId="4" hidden="1">#REF!</definedName>
    <definedName name="BOE8DBD581E91E43A295718AF22899C040" hidden="1">#REF!</definedName>
    <definedName name="BOE8E979548B0A4930A3A17959B35976EE" localSheetId="5" hidden="1">#REF!</definedName>
    <definedName name="BOE8E979548B0A4930A3A17959B35976EE" localSheetId="4" hidden="1">#REF!</definedName>
    <definedName name="BOE8E979548B0A4930A3A17959B35976EE" hidden="1">#REF!</definedName>
    <definedName name="BOE8FD561F920B4D0EB0A7FF754C48EC59" localSheetId="5" hidden="1">#REF!</definedName>
    <definedName name="BOE8FD561F920B4D0EB0A7FF754C48EC59" localSheetId="4" hidden="1">#REF!</definedName>
    <definedName name="BOE8FD561F920B4D0EB0A7FF754C48EC59" hidden="1">#REF!</definedName>
    <definedName name="BOE9070F3F0E5C4CECA88BDCD0FE83FACA" localSheetId="5" hidden="1">#REF!</definedName>
    <definedName name="BOE9070F3F0E5C4CECA88BDCD0FE83FACA" localSheetId="4" hidden="1">#REF!</definedName>
    <definedName name="BOE9070F3F0E5C4CECA88BDCD0FE83FACA" hidden="1">#REF!</definedName>
    <definedName name="BOE9145CAB99E74AFE9E99E9CC29206FC8" localSheetId="5" hidden="1">[9]xml!#REF!</definedName>
    <definedName name="BOE9145CAB99E74AFE9E99E9CC29206FC8" localSheetId="4" hidden="1">[9]xml!#REF!</definedName>
    <definedName name="BOE9145CAB99E74AFE9E99E9CC29206FC8" hidden="1">[9]xml!#REF!</definedName>
    <definedName name="BOE919721A160440009B2F08B691E057F6" localSheetId="5" hidden="1">#REF!</definedName>
    <definedName name="BOE919721A160440009B2F08B691E057F6" localSheetId="4" hidden="1">#REF!</definedName>
    <definedName name="BOE919721A160440009B2F08B691E057F6" hidden="1">#REF!</definedName>
    <definedName name="BOE9365DA92F0142D688109164C3F00B4C" localSheetId="5" hidden="1">#REF!</definedName>
    <definedName name="BOE9365DA92F0142D688109164C3F00B4C" localSheetId="4" hidden="1">#REF!</definedName>
    <definedName name="BOE9365DA92F0142D688109164C3F00B4C" hidden="1">#REF!</definedName>
    <definedName name="BOE93CCA0121AD4A57BAAE639408245A27" localSheetId="5" hidden="1">#REF!</definedName>
    <definedName name="BOE93CCA0121AD4A57BAAE639408245A27" localSheetId="4" hidden="1">#REF!</definedName>
    <definedName name="BOE93CCA0121AD4A57BAAE639408245A27" hidden="1">#REF!</definedName>
    <definedName name="BOE93FF485CBB143C8B17639519B225C67" localSheetId="5" hidden="1">#REF!</definedName>
    <definedName name="BOE93FF485CBB143C8B17639519B225C67" localSheetId="4" hidden="1">#REF!</definedName>
    <definedName name="BOE93FF485CBB143C8B17639519B225C67" hidden="1">#REF!</definedName>
    <definedName name="BOE9711470A17248E1818E183991FEFBE1" localSheetId="5" hidden="1">#REF!</definedName>
    <definedName name="BOE9711470A17248E1818E183991FEFBE1" localSheetId="4" hidden="1">#REF!</definedName>
    <definedName name="BOE9711470A17248E1818E183991FEFBE1" hidden="1">#REF!</definedName>
    <definedName name="BOE986598D3BE2456398E521806F001BFE" localSheetId="5" hidden="1">#REF!</definedName>
    <definedName name="BOE986598D3BE2456398E521806F001BFE" localSheetId="4" hidden="1">#REF!</definedName>
    <definedName name="BOE986598D3BE2456398E521806F001BFE" hidden="1">#REF!</definedName>
    <definedName name="BOE986E94CE98349AE8748D58895E44442" localSheetId="5" hidden="1">#REF!</definedName>
    <definedName name="BOE986E94CE98349AE8748D58895E44442" localSheetId="4" hidden="1">#REF!</definedName>
    <definedName name="BOE986E94CE98349AE8748D58895E44442" hidden="1">#REF!</definedName>
    <definedName name="BOE9A1B08188334180912AF680225F52F6" localSheetId="5" hidden="1">#REF!</definedName>
    <definedName name="BOE9A1B08188334180912AF680225F52F6" localSheetId="4" hidden="1">#REF!</definedName>
    <definedName name="BOE9A1B08188334180912AF680225F52F6" hidden="1">#REF!</definedName>
    <definedName name="BOE9A94086040D4182824491AC50D5A715" localSheetId="5" hidden="1">#REF!</definedName>
    <definedName name="BOE9A94086040D4182824491AC50D5A715" localSheetId="4" hidden="1">#REF!</definedName>
    <definedName name="BOE9A94086040D4182824491AC50D5A715" hidden="1">#REF!</definedName>
    <definedName name="BOE9C1CB3E7BDF4A4B99B9C11169458EA4" localSheetId="5" hidden="1">#REF!</definedName>
    <definedName name="BOE9C1CB3E7BDF4A4B99B9C11169458EA4" localSheetId="4" hidden="1">#REF!</definedName>
    <definedName name="BOE9C1CB3E7BDF4A4B99B9C11169458EA4" hidden="1">#REF!</definedName>
    <definedName name="BOE9C1EFA87B754F90B746334F49DCFB40" localSheetId="5" hidden="1">#REF!</definedName>
    <definedName name="BOE9C1EFA87B754F90B746334F49DCFB40" localSheetId="4" hidden="1">#REF!</definedName>
    <definedName name="BOE9C1EFA87B754F90B746334F49DCFB40" hidden="1">#REF!</definedName>
    <definedName name="BOE9CD6FC928854E02ABAB5F8976907E7E" localSheetId="5" hidden="1">#REF!</definedName>
    <definedName name="BOE9CD6FC928854E02ABAB5F8976907E7E" localSheetId="4" hidden="1">#REF!</definedName>
    <definedName name="BOE9CD6FC928854E02ABAB5F8976907E7E" hidden="1">#REF!</definedName>
    <definedName name="BOE9D930B87D734F9798F59AA71877AC27" localSheetId="5" hidden="1">#REF!</definedName>
    <definedName name="BOE9D930B87D734F9798F59AA71877AC27" localSheetId="4" hidden="1">#REF!</definedName>
    <definedName name="BOE9D930B87D734F9798F59AA71877AC27" hidden="1">#REF!</definedName>
    <definedName name="BOE9E6BF7CEFB94FE1A00EF1AF9DE0670D" hidden="1">[8]Ketqua!$I$4:$T$4</definedName>
    <definedName name="BOE9FC0ABA10294F26A828ED5FDB8CBF79" localSheetId="5" hidden="1">#REF!</definedName>
    <definedName name="BOE9FC0ABA10294F26A828ED5FDB8CBF79" localSheetId="4" hidden="1">#REF!</definedName>
    <definedName name="BOE9FC0ABA10294F26A828ED5FDB8CBF79" hidden="1">#REF!</definedName>
    <definedName name="BOEA098A4B60624CF2B7A0F533DB8197B7" localSheetId="5" hidden="1">#REF!</definedName>
    <definedName name="BOEA098A4B60624CF2B7A0F533DB8197B7" localSheetId="4" hidden="1">#REF!</definedName>
    <definedName name="BOEA098A4B60624CF2B7A0F533DB8197B7" hidden="1">#REF!</definedName>
    <definedName name="BOEA0CC7422F9A4DA4BDFFE2D8E68A55C8" localSheetId="5" hidden="1">#REF!</definedName>
    <definedName name="BOEA0CC7422F9A4DA4BDFFE2D8E68A55C8" localSheetId="4" hidden="1">#REF!</definedName>
    <definedName name="BOEA0CC7422F9A4DA4BDFFE2D8E68A55C8" hidden="1">#REF!</definedName>
    <definedName name="BOEA2022A9A1164C34ADC50B500FCE6440" localSheetId="5" hidden="1">#REF!</definedName>
    <definedName name="BOEA2022A9A1164C34ADC50B500FCE6440" localSheetId="4" hidden="1">#REF!</definedName>
    <definedName name="BOEA2022A9A1164C34ADC50B500FCE6440" hidden="1">#REF!</definedName>
    <definedName name="BOEA23F73FE7434EFCA0F38B740B2A71CE" localSheetId="5" hidden="1">#REF!</definedName>
    <definedName name="BOEA23F73FE7434EFCA0F38B740B2A71CE" localSheetId="4" hidden="1">#REF!</definedName>
    <definedName name="BOEA23F73FE7434EFCA0F38B740B2A71CE" hidden="1">#REF!</definedName>
    <definedName name="BOEA24131FE3B34D1F9614F7212C119A06" localSheetId="5" hidden="1">#REF!</definedName>
    <definedName name="BOEA24131FE3B34D1F9614F7212C119A06" localSheetId="4" hidden="1">#REF!</definedName>
    <definedName name="BOEA24131FE3B34D1F9614F7212C119A06" hidden="1">#REF!</definedName>
    <definedName name="BOEA250B12AC0048F08246845DA3D06B8B" localSheetId="5" hidden="1">#REF!</definedName>
    <definedName name="BOEA250B12AC0048F08246845DA3D06B8B" localSheetId="4" hidden="1">#REF!</definedName>
    <definedName name="BOEA250B12AC0048F08246845DA3D06B8B" hidden="1">#REF!</definedName>
    <definedName name="BOEA3DBC7CAAA9402E85E619F5B8A0658D" localSheetId="5" hidden="1">#REF!</definedName>
    <definedName name="BOEA3DBC7CAAA9402E85E619F5B8A0658D" localSheetId="4" hidden="1">#REF!</definedName>
    <definedName name="BOEA3DBC7CAAA9402E85E619F5B8A0658D" hidden="1">#REF!</definedName>
    <definedName name="BOEA45133290A5471DA1865C6961B27895" localSheetId="5" hidden="1">#REF!</definedName>
    <definedName name="BOEA45133290A5471DA1865C6961B27895" localSheetId="4" hidden="1">#REF!</definedName>
    <definedName name="BOEA45133290A5471DA1865C6961B27895" hidden="1">#REF!</definedName>
    <definedName name="BOEA487DFBBB0446B0A8D7FEFB2D9E7C93" localSheetId="5" hidden="1">#REF!</definedName>
    <definedName name="BOEA487DFBBB0446B0A8D7FEFB2D9E7C93" localSheetId="4" hidden="1">#REF!</definedName>
    <definedName name="BOEA487DFBBB0446B0A8D7FEFB2D9E7C93" hidden="1">#REF!</definedName>
    <definedName name="BOEA5D843AED3F487DA8DF194A445D9459" localSheetId="5" hidden="1">#REF!</definedName>
    <definedName name="BOEA5D843AED3F487DA8DF194A445D9459" localSheetId="4" hidden="1">#REF!</definedName>
    <definedName name="BOEA5D843AED3F487DA8DF194A445D9459" hidden="1">#REF!</definedName>
    <definedName name="BOEA9B539225F2465DB73C0568F4794B5B" localSheetId="5" hidden="1">#REF!</definedName>
    <definedName name="BOEA9B539225F2465DB73C0568F4794B5B" localSheetId="4" hidden="1">#REF!</definedName>
    <definedName name="BOEA9B539225F2465DB73C0568F4794B5B" hidden="1">#REF!</definedName>
    <definedName name="BOEAAEAC0456A54FB68E3A6AB4B0D69E69" localSheetId="5" hidden="1">#REF!</definedName>
    <definedName name="BOEAAEAC0456A54FB68E3A6AB4B0D69E69" localSheetId="4" hidden="1">#REF!</definedName>
    <definedName name="BOEAAEAC0456A54FB68E3A6AB4B0D69E69" hidden="1">#REF!</definedName>
    <definedName name="BOEACA8BE71163406DA815A83E0BBE41F2" localSheetId="5" hidden="1">#REF!</definedName>
    <definedName name="BOEACA8BE71163406DA815A83E0BBE41F2" localSheetId="4" hidden="1">#REF!</definedName>
    <definedName name="BOEACA8BE71163406DA815A83E0BBE41F2" hidden="1">#REF!</definedName>
    <definedName name="BOEACBE5F6676B4B4EBDE3B535FCA7F70E" localSheetId="5" hidden="1">#REF!</definedName>
    <definedName name="BOEACBE5F6676B4B4EBDE3B535FCA7F70E" localSheetId="4" hidden="1">#REF!</definedName>
    <definedName name="BOEACBE5F6676B4B4EBDE3B535FCA7F70E" hidden="1">#REF!</definedName>
    <definedName name="BOEAD6D7767DC54CBEBCE421A3DB34DE6B" localSheetId="5" hidden="1">#REF!</definedName>
    <definedName name="BOEAD6D7767DC54CBEBCE421A3DB34DE6B" localSheetId="4" hidden="1">#REF!</definedName>
    <definedName name="BOEAD6D7767DC54CBEBCE421A3DB34DE6B" hidden="1">#REF!</definedName>
    <definedName name="BOEADD9A517C9E4CB4999114D4B9BD6920" localSheetId="5" hidden="1">#REF!</definedName>
    <definedName name="BOEADD9A517C9E4CB4999114D4B9BD6920" localSheetId="4" hidden="1">#REF!</definedName>
    <definedName name="BOEADD9A517C9E4CB4999114D4B9BD6920" hidden="1">#REF!</definedName>
    <definedName name="BOEAF3B895ABCD49308AF2F5A2E22BBC94" localSheetId="5" hidden="1">#REF!</definedName>
    <definedName name="BOEAF3B895ABCD49308AF2F5A2E22BBC94" localSheetId="4" hidden="1">#REF!</definedName>
    <definedName name="BOEAF3B895ABCD49308AF2F5A2E22BBC94" hidden="1">#REF!</definedName>
    <definedName name="BOEAFDF322262145CB86BF48DC1DB6B5A2" localSheetId="5" hidden="1">[7]lailo!#REF!</definedName>
    <definedName name="BOEAFDF322262145CB86BF48DC1DB6B5A2" localSheetId="4" hidden="1">[7]lailo!#REF!</definedName>
    <definedName name="BOEAFDF322262145CB86BF48DC1DB6B5A2" hidden="1">[7]lailo!#REF!</definedName>
    <definedName name="BOEB0E75BF9AEA444FA574EF153F2DE2A5" localSheetId="5" hidden="1">#REF!</definedName>
    <definedName name="BOEB0E75BF9AEA444FA574EF153F2DE2A5" localSheetId="4" hidden="1">#REF!</definedName>
    <definedName name="BOEB0E75BF9AEA444FA574EF153F2DE2A5" hidden="1">#REF!</definedName>
    <definedName name="BOEB1A90E26030462182E41AFAB6A4D4A6" localSheetId="5" hidden="1">#REF!</definedName>
    <definedName name="BOEB1A90E26030462182E41AFAB6A4D4A6" localSheetId="4" hidden="1">#REF!</definedName>
    <definedName name="BOEB1A90E26030462182E41AFAB6A4D4A6" hidden="1">#REF!</definedName>
    <definedName name="BOEB1FBF1FAD7F4ECC8BB20074F709319C" localSheetId="5" hidden="1">#REF!</definedName>
    <definedName name="BOEB1FBF1FAD7F4ECC8BB20074F709319C" localSheetId="4" hidden="1">#REF!</definedName>
    <definedName name="BOEB1FBF1FAD7F4ECC8BB20074F709319C" hidden="1">#REF!</definedName>
    <definedName name="BOEB2058ED531F48A98C063949C294546B" localSheetId="5" hidden="1">#REF!</definedName>
    <definedName name="BOEB2058ED531F48A98C063949C294546B" localSheetId="4" hidden="1">#REF!</definedName>
    <definedName name="BOEB2058ED531F48A98C063949C294546B" hidden="1">#REF!</definedName>
    <definedName name="BOEB217BD039004C72ABA77A436DA8A424" localSheetId="5" hidden="1">#REF!</definedName>
    <definedName name="BOEB217BD039004C72ABA77A436DA8A424" localSheetId="4" hidden="1">#REF!</definedName>
    <definedName name="BOEB217BD039004C72ABA77A436DA8A424" hidden="1">#REF!</definedName>
    <definedName name="BOEB2F3E3D02774730BB926D13D9071C2B" localSheetId="5" hidden="1">#REF!</definedName>
    <definedName name="BOEB2F3E3D02774730BB926D13D9071C2B" localSheetId="4" hidden="1">#REF!</definedName>
    <definedName name="BOEB2F3E3D02774730BB926D13D9071C2B" hidden="1">#REF!</definedName>
    <definedName name="BOEB44B4B099F346859CBEA9A2EE368103" localSheetId="5" hidden="1">#REF!</definedName>
    <definedName name="BOEB44B4B099F346859CBEA9A2EE368103" localSheetId="4" hidden="1">#REF!</definedName>
    <definedName name="BOEB44B4B099F346859CBEA9A2EE368103" hidden="1">#REF!</definedName>
    <definedName name="BOEB4510D91D1B48B2A12E2E404B685DE1" localSheetId="5" hidden="1">#REF!</definedName>
    <definedName name="BOEB4510D91D1B48B2A12E2E404B685DE1" localSheetId="4" hidden="1">#REF!</definedName>
    <definedName name="BOEB4510D91D1B48B2A12E2E404B685DE1" hidden="1">#REF!</definedName>
    <definedName name="BOEB458FBEB36F4ACDA8C9CB398BDD60AB" localSheetId="5" hidden="1">#REF!</definedName>
    <definedName name="BOEB458FBEB36F4ACDA8C9CB398BDD60AB" localSheetId="4" hidden="1">#REF!</definedName>
    <definedName name="BOEB458FBEB36F4ACDA8C9CB398BDD60AB" hidden="1">#REF!</definedName>
    <definedName name="BOEB548C7313074BA98E76084F204B688B" localSheetId="5" hidden="1">#REF!</definedName>
    <definedName name="BOEB548C7313074BA98E76084F204B688B" localSheetId="4" hidden="1">#REF!</definedName>
    <definedName name="BOEB548C7313074BA98E76084F204B688B" hidden="1">#REF!</definedName>
    <definedName name="BOEB64424FE0CD410CAD6BB2B58AC93D1E" localSheetId="5" hidden="1">#REF!</definedName>
    <definedName name="BOEB64424FE0CD410CAD6BB2B58AC93D1E" localSheetId="4" hidden="1">#REF!</definedName>
    <definedName name="BOEB64424FE0CD410CAD6BB2B58AC93D1E" hidden="1">#REF!</definedName>
    <definedName name="BOEB6C1FD3E2364828BDC755821A471BA7" localSheetId="5" hidden="1">#REF!</definedName>
    <definedName name="BOEB6C1FD3E2364828BDC755821A471BA7" localSheetId="4" hidden="1">#REF!</definedName>
    <definedName name="BOEB6C1FD3E2364828BDC755821A471BA7" hidden="1">#REF!</definedName>
    <definedName name="BOEB7ECE9285934C488E6B2136A2F0641C" localSheetId="5" hidden="1">#REF!</definedName>
    <definedName name="BOEB7ECE9285934C488E6B2136A2F0641C" localSheetId="4" hidden="1">#REF!</definedName>
    <definedName name="BOEB7ECE9285934C488E6B2136A2F0641C" hidden="1">#REF!</definedName>
    <definedName name="BOEBB477EA004747AC923498244421587D" localSheetId="5" hidden="1">[8]Ketqua!#REF!</definedName>
    <definedName name="BOEBB477EA004747AC923498244421587D" localSheetId="4" hidden="1">[8]Ketqua!#REF!</definedName>
    <definedName name="BOEBB477EA004747AC923498244421587D" hidden="1">[8]Ketqua!#REF!</definedName>
    <definedName name="BOEBBC73E30C5E459DB8E9982D70CCFA83" localSheetId="5" hidden="1">#REF!</definedName>
    <definedName name="BOEBBC73E30C5E459DB8E9982D70CCFA83" localSheetId="4" hidden="1">#REF!</definedName>
    <definedName name="BOEBBC73E30C5E459DB8E9982D70CCFA83" hidden="1">#REF!</definedName>
    <definedName name="BOEBC5109A663F41D1AD3E9DFAA22080A7" localSheetId="5" hidden="1">#REF!</definedName>
    <definedName name="BOEBC5109A663F41D1AD3E9DFAA22080A7" localSheetId="4" hidden="1">#REF!</definedName>
    <definedName name="BOEBC5109A663F41D1AD3E9DFAA22080A7" hidden="1">#REF!</definedName>
    <definedName name="BOEC0BCDB4FA624FE89507CCDAFB2DE5F3" hidden="1">[8]Ketqua!$I$4:$U$4</definedName>
    <definedName name="BOEC0DD3F439BA4003AD46A41F29874030" localSheetId="5" hidden="1">#REF!</definedName>
    <definedName name="BOEC0DD3F439BA4003AD46A41F29874030" localSheetId="4" hidden="1">#REF!</definedName>
    <definedName name="BOEC0DD3F439BA4003AD46A41F29874030" hidden="1">#REF!</definedName>
    <definedName name="BOEC10CC55F3EF49AB9D602AD6C82928C8" localSheetId="5" hidden="1">#REF!</definedName>
    <definedName name="BOEC10CC55F3EF49AB9D602AD6C82928C8" localSheetId="4" hidden="1">#REF!</definedName>
    <definedName name="BOEC10CC55F3EF49AB9D602AD6C82928C8" hidden="1">#REF!</definedName>
    <definedName name="BOEC1A5FBA282D4E98AC0A8B6E60EA9049" localSheetId="5" hidden="1">#REF!</definedName>
    <definedName name="BOEC1A5FBA282D4E98AC0A8B6E60EA9049" localSheetId="4" hidden="1">#REF!</definedName>
    <definedName name="BOEC1A5FBA282D4E98AC0A8B6E60EA9049" hidden="1">#REF!</definedName>
    <definedName name="BOEC2CED11F9424CA5846E3A10F2466FC0" localSheetId="5" hidden="1">#REF!</definedName>
    <definedName name="BOEC2CED11F9424CA5846E3A10F2466FC0" localSheetId="4" hidden="1">#REF!</definedName>
    <definedName name="BOEC2CED11F9424CA5846E3A10F2466FC0" hidden="1">#REF!</definedName>
    <definedName name="BOEC35FA1EB6AE4D7397B6BCA448918A7B" localSheetId="5" hidden="1">#REF!</definedName>
    <definedName name="BOEC35FA1EB6AE4D7397B6BCA448918A7B" localSheetId="4" hidden="1">#REF!</definedName>
    <definedName name="BOEC35FA1EB6AE4D7397B6BCA448918A7B" hidden="1">#REF!</definedName>
    <definedName name="BOEC3F2E58E5E44307B2E206499188E1FC" localSheetId="5" hidden="1">#REF!</definedName>
    <definedName name="BOEC3F2E58E5E44307B2E206499188E1FC" localSheetId="4" hidden="1">#REF!</definedName>
    <definedName name="BOEC3F2E58E5E44307B2E206499188E1FC" hidden="1">#REF!</definedName>
    <definedName name="BOEC425E786A5F4CE78604F43CC4690D0E" localSheetId="5" hidden="1">[8]Ketqua!#REF!</definedName>
    <definedName name="BOEC425E786A5F4CE78604F43CC4690D0E" localSheetId="4" hidden="1">[8]Ketqua!#REF!</definedName>
    <definedName name="BOEC425E786A5F4CE78604F43CC4690D0E" hidden="1">[8]Ketqua!#REF!</definedName>
    <definedName name="BOEC4699DC2F29484FBE3C12668389EEA6" localSheetId="5" hidden="1">#REF!</definedName>
    <definedName name="BOEC4699DC2F29484FBE3C12668389EEA6" localSheetId="4" hidden="1">#REF!</definedName>
    <definedName name="BOEC4699DC2F29484FBE3C12668389EEA6" hidden="1">#REF!</definedName>
    <definedName name="BOEC5B408FC72D40DAAEAB05CE85838531" localSheetId="5" hidden="1">#REF!</definedName>
    <definedName name="BOEC5B408FC72D40DAAEAB05CE85838531" localSheetId="4" hidden="1">#REF!</definedName>
    <definedName name="BOEC5B408FC72D40DAAEAB05CE85838531" hidden="1">#REF!</definedName>
    <definedName name="BOEC684DE0189A4785A63BA14BCF85B1E7" localSheetId="5" hidden="1">#REF!</definedName>
    <definedName name="BOEC684DE0189A4785A63BA14BCF85B1E7" localSheetId="4" hidden="1">#REF!</definedName>
    <definedName name="BOEC684DE0189A4785A63BA14BCF85B1E7" hidden="1">#REF!</definedName>
    <definedName name="BOEC6B3D1B408C4BEA9A1E84D8EDF0F1D8" localSheetId="5" hidden="1">#REF!</definedName>
    <definedName name="BOEC6B3D1B408C4BEA9A1E84D8EDF0F1D8" localSheetId="4" hidden="1">#REF!</definedName>
    <definedName name="BOEC6B3D1B408C4BEA9A1E84D8EDF0F1D8" hidden="1">#REF!</definedName>
    <definedName name="BOEC9441F1F2BC449ABE8AE312BBF036C6" localSheetId="5" hidden="1">#REF!</definedName>
    <definedName name="BOEC9441F1F2BC449ABE8AE312BBF036C6" localSheetId="4" hidden="1">#REF!</definedName>
    <definedName name="BOEC9441F1F2BC449ABE8AE312BBF036C6" hidden="1">#REF!</definedName>
    <definedName name="BOEC9B5B1AD36D4F2AA7A07F0BDCAA69E4" localSheetId="5" hidden="1">#REF!</definedName>
    <definedName name="BOEC9B5B1AD36D4F2AA7A07F0BDCAA69E4" localSheetId="4" hidden="1">#REF!</definedName>
    <definedName name="BOEC9B5B1AD36D4F2AA7A07F0BDCAA69E4" hidden="1">#REF!</definedName>
    <definedName name="BOECC4B07A4BE4408580DC3F8B01467DED" localSheetId="5" hidden="1">#REF!</definedName>
    <definedName name="BOECC4B07A4BE4408580DC3F8B01467DED" localSheetId="4" hidden="1">#REF!</definedName>
    <definedName name="BOECC4B07A4BE4408580DC3F8B01467DED" hidden="1">#REF!</definedName>
    <definedName name="BOECDF813F5B044D3090546B36A2795F21" localSheetId="5" hidden="1">#REF!</definedName>
    <definedName name="BOECDF813F5B044D3090546B36A2795F21" localSheetId="4" hidden="1">#REF!</definedName>
    <definedName name="BOECDF813F5B044D3090546B36A2795F21" hidden="1">#REF!</definedName>
    <definedName name="BOECE5166EAB9949B5B97B399AF6E970C1" localSheetId="5" hidden="1">#REF!</definedName>
    <definedName name="BOECE5166EAB9949B5B97B399AF6E970C1" localSheetId="4" hidden="1">#REF!</definedName>
    <definedName name="BOECE5166EAB9949B5B97B399AF6E970C1" hidden="1">#REF!</definedName>
    <definedName name="BOECF8FF9A3492427BA40FF8CA6171F72D" localSheetId="5" hidden="1">#REF!</definedName>
    <definedName name="BOECF8FF9A3492427BA40FF8CA6171F72D" localSheetId="4" hidden="1">#REF!</definedName>
    <definedName name="BOECF8FF9A3492427BA40FF8CA6171F72D" hidden="1">#REF!</definedName>
    <definedName name="BOED028ED253934245B174B1D83D982EFB" localSheetId="5" hidden="1">#REF!</definedName>
    <definedName name="BOED028ED253934245B174B1D83D982EFB" localSheetId="4" hidden="1">#REF!</definedName>
    <definedName name="BOED028ED253934245B174B1D83D982EFB" hidden="1">#REF!</definedName>
    <definedName name="BOED05B2F2B9E94F6187B09D58E9239D88" localSheetId="5" hidden="1">#REF!</definedName>
    <definedName name="BOED05B2F2B9E94F6187B09D58E9239D88" localSheetId="4" hidden="1">#REF!</definedName>
    <definedName name="BOED05B2F2B9E94F6187B09D58E9239D88" hidden="1">#REF!</definedName>
    <definedName name="BOED1EA8F825644ABA99CA16B474D79E3E" localSheetId="5" hidden="1">#REF!</definedName>
    <definedName name="BOED1EA8F825644ABA99CA16B474D79E3E" localSheetId="4" hidden="1">#REF!</definedName>
    <definedName name="BOED1EA8F825644ABA99CA16B474D79E3E" hidden="1">#REF!</definedName>
    <definedName name="BOED40A408DF64448DA734D39E2DEFB694" localSheetId="5" hidden="1">#REF!</definedName>
    <definedName name="BOED40A408DF64448DA734D39E2DEFB694" localSheetId="4" hidden="1">#REF!</definedName>
    <definedName name="BOED40A408DF64448DA734D39E2DEFB694" hidden="1">#REF!</definedName>
    <definedName name="BOED562F54123C431F9027C5E4DD931301" localSheetId="5" hidden="1">[8]Ketqua!#REF!</definedName>
    <definedName name="BOED562F54123C431F9027C5E4DD931301" localSheetId="4" hidden="1">[8]Ketqua!#REF!</definedName>
    <definedName name="BOED562F54123C431F9027C5E4DD931301" hidden="1">[8]Ketqua!#REF!</definedName>
    <definedName name="BOED67A72F32524AAD94FDE98C20568A62" localSheetId="5" hidden="1">#REF!</definedName>
    <definedName name="BOED67A72F32524AAD94FDE98C20568A62" localSheetId="4" hidden="1">#REF!</definedName>
    <definedName name="BOED67A72F32524AAD94FDE98C20568A62" hidden="1">#REF!</definedName>
    <definedName name="BOED90211738DC45B88535CD01C1135A78" localSheetId="5" hidden="1">#REF!</definedName>
    <definedName name="BOED90211738DC45B88535CD01C1135A78" localSheetId="4" hidden="1">#REF!</definedName>
    <definedName name="BOED90211738DC45B88535CD01C1135A78" hidden="1">#REF!</definedName>
    <definedName name="BOED91281EFE664FDC911DBF9E8DDC436C" localSheetId="5" hidden="1">#REF!</definedName>
    <definedName name="BOED91281EFE664FDC911DBF9E8DDC436C" localSheetId="4" hidden="1">#REF!</definedName>
    <definedName name="BOED91281EFE664FDC911DBF9E8DDC436C" hidden="1">#REF!</definedName>
    <definedName name="BOED9B5B430AEB4498A92D70891BFA4A07" localSheetId="5" hidden="1">#REF!</definedName>
    <definedName name="BOED9B5B430AEB4498A92D70891BFA4A07" localSheetId="4" hidden="1">#REF!</definedName>
    <definedName name="BOED9B5B430AEB4498A92D70891BFA4A07" hidden="1">#REF!</definedName>
    <definedName name="BOED9EE50BAF774E2AA4A7596663A49FC4" localSheetId="5" hidden="1">#REF!</definedName>
    <definedName name="BOED9EE50BAF774E2AA4A7596663A49FC4" localSheetId="4" hidden="1">#REF!</definedName>
    <definedName name="BOED9EE50BAF774E2AA4A7596663A49FC4" hidden="1">#REF!</definedName>
    <definedName name="BOEDA36C9CE4FA4581A52255AF23DB93A0" localSheetId="5" hidden="1">#REF!</definedName>
    <definedName name="BOEDA36C9CE4FA4581A52255AF23DB93A0" localSheetId="4" hidden="1">#REF!</definedName>
    <definedName name="BOEDA36C9CE4FA4581A52255AF23DB93A0" hidden="1">#REF!</definedName>
    <definedName name="BOEDAF63C7A34644ED8132A22D90B0304E" localSheetId="5" hidden="1">#REF!</definedName>
    <definedName name="BOEDAF63C7A34644ED8132A22D90B0304E" localSheetId="4" hidden="1">#REF!</definedName>
    <definedName name="BOEDAF63C7A34644ED8132A22D90B0304E" hidden="1">#REF!</definedName>
    <definedName name="BOEDAFCF8033B845069453D4F5AC7EFC85" localSheetId="5" hidden="1">#REF!</definedName>
    <definedName name="BOEDAFCF8033B845069453D4F5AC7EFC85" localSheetId="4" hidden="1">#REF!</definedName>
    <definedName name="BOEDAFCF8033B845069453D4F5AC7EFC85" hidden="1">#REF!</definedName>
    <definedName name="BOEDB3BA53AFC3453DB990331E0B5780A0" localSheetId="5" hidden="1">[8]Ketqua!#REF!</definedName>
    <definedName name="BOEDB3BA53AFC3453DB990331E0B5780A0" localSheetId="4" hidden="1">[8]Ketqua!#REF!</definedName>
    <definedName name="BOEDB3BA53AFC3453DB990331E0B5780A0" hidden="1">[8]Ketqua!#REF!</definedName>
    <definedName name="BOEDBABC0C059545189DC8E8F1C8E61166" localSheetId="5" hidden="1">#REF!</definedName>
    <definedName name="BOEDBABC0C059545189DC8E8F1C8E61166" localSheetId="4" hidden="1">#REF!</definedName>
    <definedName name="BOEDBABC0C059545189DC8E8F1C8E61166" hidden="1">#REF!</definedName>
    <definedName name="BOEDD6B47B122B4DEA9F2B21565620B1A1" localSheetId="5" hidden="1">#REF!</definedName>
    <definedName name="BOEDD6B47B122B4DEA9F2B21565620B1A1" localSheetId="4" hidden="1">#REF!</definedName>
    <definedName name="BOEDD6B47B122B4DEA9F2B21565620B1A1" hidden="1">#REF!</definedName>
    <definedName name="BOEDE32FE5EB604C1F930D99BA4C3B57D5" localSheetId="5" hidden="1">[8]Ketqua!#REF!</definedName>
    <definedName name="BOEDE32FE5EB604C1F930D99BA4C3B57D5" localSheetId="4" hidden="1">[8]Ketqua!#REF!</definedName>
    <definedName name="BOEDE32FE5EB604C1F930D99BA4C3B57D5" hidden="1">[8]Ketqua!#REF!</definedName>
    <definedName name="BOEDE768E044204D4896FC83EA9E0DED28" localSheetId="5" hidden="1">#REF!</definedName>
    <definedName name="BOEDE768E044204D4896FC83EA9E0DED28" localSheetId="4" hidden="1">#REF!</definedName>
    <definedName name="BOEDE768E044204D4896FC83EA9E0DED28" hidden="1">#REF!</definedName>
    <definedName name="BOEDF260BEC9454C2AAB8653DAA455274C" localSheetId="5" hidden="1">#REF!</definedName>
    <definedName name="BOEDF260BEC9454C2AAB8653DAA455274C" localSheetId="4" hidden="1">#REF!</definedName>
    <definedName name="BOEDF260BEC9454C2AAB8653DAA455274C" hidden="1">#REF!</definedName>
    <definedName name="BOEDFE33E509F943EB8068C63B6FBA2CD7" localSheetId="5" hidden="1">[8]Ketqua!#REF!</definedName>
    <definedName name="BOEDFE33E509F943EB8068C63B6FBA2CD7" localSheetId="4" hidden="1">[8]Ketqua!#REF!</definedName>
    <definedName name="BOEDFE33E509F943EB8068C63B6FBA2CD7" hidden="1">[8]Ketqua!#REF!</definedName>
    <definedName name="BOEE0353DEA87047D1BC8BA1A10AA66E19" localSheetId="5" hidden="1">#REF!</definedName>
    <definedName name="BOEE0353DEA87047D1BC8BA1A10AA66E19" localSheetId="4" hidden="1">#REF!</definedName>
    <definedName name="BOEE0353DEA87047D1BC8BA1A10AA66E19" hidden="1">#REF!</definedName>
    <definedName name="BOEE1FD7AE1A934708895B803112ACBDC6" localSheetId="5" hidden="1">#REF!</definedName>
    <definedName name="BOEE1FD7AE1A934708895B803112ACBDC6" localSheetId="4" hidden="1">#REF!</definedName>
    <definedName name="BOEE1FD7AE1A934708895B803112ACBDC6" hidden="1">#REF!</definedName>
    <definedName name="BOEE35D5C86323412A87FF75BC83F4AD39" localSheetId="5" hidden="1">#REF!</definedName>
    <definedName name="BOEE35D5C86323412A87FF75BC83F4AD39" localSheetId="4" hidden="1">#REF!</definedName>
    <definedName name="BOEE35D5C86323412A87FF75BC83F4AD39" hidden="1">#REF!</definedName>
    <definedName name="BOEE695C4E495447F5BC24329921892ECC" localSheetId="5" hidden="1">#REF!</definedName>
    <definedName name="BOEE695C4E495447F5BC24329921892ECC" localSheetId="4" hidden="1">#REF!</definedName>
    <definedName name="BOEE695C4E495447F5BC24329921892ECC" hidden="1">#REF!</definedName>
    <definedName name="BOEE86E561C95E4976B53094DF773C08D4" localSheetId="5" hidden="1">#REF!</definedName>
    <definedName name="BOEE86E561C95E4976B53094DF773C08D4" localSheetId="4" hidden="1">#REF!</definedName>
    <definedName name="BOEE86E561C95E4976B53094DF773C08D4" hidden="1">#REF!</definedName>
    <definedName name="BOEE89452115254AA5AD1B4A4D53F5D207" localSheetId="5" hidden="1">#REF!</definedName>
    <definedName name="BOEE89452115254AA5AD1B4A4D53F5D207" localSheetId="4" hidden="1">#REF!</definedName>
    <definedName name="BOEE89452115254AA5AD1B4A4D53F5D207" hidden="1">#REF!</definedName>
    <definedName name="BOEE969C5DA6044948B6E86EFBEE871C3D" localSheetId="5" hidden="1">#REF!</definedName>
    <definedName name="BOEE969C5DA6044948B6E86EFBEE871C3D" localSheetId="4" hidden="1">#REF!</definedName>
    <definedName name="BOEE969C5DA6044948B6E86EFBEE871C3D" hidden="1">#REF!</definedName>
    <definedName name="BOEEACC20B9FE44B1AA33590292E5D0028" localSheetId="5" hidden="1">#REF!</definedName>
    <definedName name="BOEEACC20B9FE44B1AA33590292E5D0028" localSheetId="4" hidden="1">#REF!</definedName>
    <definedName name="BOEEACC20B9FE44B1AA33590292E5D0028" hidden="1">#REF!</definedName>
    <definedName name="BOEEDA0B6B46114ED382263C8C9D55A945" localSheetId="5" hidden="1">#REF!</definedName>
    <definedName name="BOEEDA0B6B46114ED382263C8C9D55A945" localSheetId="4" hidden="1">#REF!</definedName>
    <definedName name="BOEEDA0B6B46114ED382263C8C9D55A945" hidden="1">#REF!</definedName>
    <definedName name="BOEEDD810CAF5049BA9B98A9987D83A97B" localSheetId="5" hidden="1">#REF!</definedName>
    <definedName name="BOEEDD810CAF5049BA9B98A9987D83A97B" localSheetId="4" hidden="1">#REF!</definedName>
    <definedName name="BOEEDD810CAF5049BA9B98A9987D83A97B" hidden="1">#REF!</definedName>
    <definedName name="BOEEE402F4521E4129B8F3DAFD319B8DE9" localSheetId="5" hidden="1">[8]Ketqua!#REF!</definedName>
    <definedName name="BOEEE402F4521E4129B8F3DAFD319B8DE9" localSheetId="4" hidden="1">[8]Ketqua!#REF!</definedName>
    <definedName name="BOEEE402F4521E4129B8F3DAFD319B8DE9" hidden="1">[8]Ketqua!#REF!</definedName>
    <definedName name="BOEEF8CE2E6E4D4EA7AF47FF0921906FB9" localSheetId="5" hidden="1">#REF!</definedName>
    <definedName name="BOEEF8CE2E6E4D4EA7AF47FF0921906FB9" localSheetId="4" hidden="1">#REF!</definedName>
    <definedName name="BOEEF8CE2E6E4D4EA7AF47FF0921906FB9" hidden="1">#REF!</definedName>
    <definedName name="BOEF09111C797F49CBB03D24DAA5E99592" localSheetId="5" hidden="1">#REF!</definedName>
    <definedName name="BOEF09111C797F49CBB03D24DAA5E99592" localSheetId="4" hidden="1">#REF!</definedName>
    <definedName name="BOEF09111C797F49CBB03D24DAA5E99592" hidden="1">#REF!</definedName>
    <definedName name="BOEF0E71DAB3B445CB9E23CE7414E25A44" localSheetId="5" hidden="1">#REF!</definedName>
    <definedName name="BOEF0E71DAB3B445CB9E23CE7414E25A44" localSheetId="4" hidden="1">#REF!</definedName>
    <definedName name="BOEF0E71DAB3B445CB9E23CE7414E25A44" hidden="1">#REF!</definedName>
    <definedName name="BOEF169CDFDA974ED79CC145B0F8EB9682" localSheetId="5" hidden="1">#REF!</definedName>
    <definedName name="BOEF169CDFDA974ED79CC145B0F8EB9682" localSheetId="4" hidden="1">#REF!</definedName>
    <definedName name="BOEF169CDFDA974ED79CC145B0F8EB9682" hidden="1">#REF!</definedName>
    <definedName name="BOEF183B30FC8C444BAAD415A50AD2C13F" localSheetId="5" hidden="1">#REF!</definedName>
    <definedName name="BOEF183B30FC8C444BAAD415A50AD2C13F" localSheetId="4" hidden="1">#REF!</definedName>
    <definedName name="BOEF183B30FC8C444BAAD415A50AD2C13F" hidden="1">#REF!</definedName>
    <definedName name="BOEF2A7FCFBFDE45C38DAD158B2415679A" localSheetId="5" hidden="1">#REF!</definedName>
    <definedName name="BOEF2A7FCFBFDE45C38DAD158B2415679A" localSheetId="4" hidden="1">#REF!</definedName>
    <definedName name="BOEF2A7FCFBFDE45C38DAD158B2415679A" hidden="1">#REF!</definedName>
    <definedName name="BOEF3940E6E677491BAE23FF17364EF17E" localSheetId="5" hidden="1">#REF!</definedName>
    <definedName name="BOEF3940E6E677491BAE23FF17364EF17E" localSheetId="4" hidden="1">#REF!</definedName>
    <definedName name="BOEF3940E6E677491BAE23FF17364EF17E" hidden="1">#REF!</definedName>
    <definedName name="BOEF406C0827AE4CBCAA017E0C0DCC3DED" localSheetId="5" hidden="1">#REF!</definedName>
    <definedName name="BOEF406C0827AE4CBCAA017E0C0DCC3DED" localSheetId="4" hidden="1">#REF!</definedName>
    <definedName name="BOEF406C0827AE4CBCAA017E0C0DCC3DED" hidden="1">#REF!</definedName>
    <definedName name="BOEF4087D55BDF4CBC9286104B11C6C0D2" localSheetId="5" hidden="1">#REF!</definedName>
    <definedName name="BOEF4087D55BDF4CBC9286104B11C6C0D2" localSheetId="4" hidden="1">#REF!</definedName>
    <definedName name="BOEF4087D55BDF4CBC9286104B11C6C0D2" hidden="1">#REF!</definedName>
    <definedName name="BOEF52A8E4ACA749519CF938EB280A646E" localSheetId="5" hidden="1">#REF!</definedName>
    <definedName name="BOEF52A8E4ACA749519CF938EB280A646E" localSheetId="4" hidden="1">#REF!</definedName>
    <definedName name="BOEF52A8E4ACA749519CF938EB280A646E" hidden="1">#REF!</definedName>
    <definedName name="BOEF56D01AD3D14C099D494FBC502954D5" localSheetId="5" hidden="1">#REF!</definedName>
    <definedName name="BOEF56D01AD3D14C099D494FBC502954D5" localSheetId="4" hidden="1">#REF!</definedName>
    <definedName name="BOEF56D01AD3D14C099D494FBC502954D5" hidden="1">#REF!</definedName>
    <definedName name="BOEF7322C278CF4E74A4F50631FF61E1A4" localSheetId="5" hidden="1">#REF!</definedName>
    <definedName name="BOEF7322C278CF4E74A4F50631FF61E1A4" localSheetId="4" hidden="1">#REF!</definedName>
    <definedName name="BOEF7322C278CF4E74A4F50631FF61E1A4" hidden="1">#REF!</definedName>
    <definedName name="BOEFBD1451554C46C5B09F0AEEE7170DBE" localSheetId="5" hidden="1">#REF!</definedName>
    <definedName name="BOEFBD1451554C46C5B09F0AEEE7170DBE" localSheetId="4" hidden="1">#REF!</definedName>
    <definedName name="BOEFBD1451554C46C5B09F0AEEE7170DBE" hidden="1">#REF!</definedName>
    <definedName name="BOEFC0926F6314407AA33095A2281E870F" localSheetId="5" hidden="1">#REF!</definedName>
    <definedName name="BOEFC0926F6314407AA33095A2281E870F" localSheetId="4" hidden="1">#REF!</definedName>
    <definedName name="BOEFC0926F6314407AA33095A2281E870F" hidden="1">#REF!</definedName>
    <definedName name="BOEFC38C6084D4401087A1495EDEB30DD0" localSheetId="5" hidden="1">#REF!</definedName>
    <definedName name="BOEFC38C6084D4401087A1495EDEB30DD0" localSheetId="4" hidden="1">#REF!</definedName>
    <definedName name="BOEFC38C6084D4401087A1495EDEB30DD0" hidden="1">#REF!</definedName>
    <definedName name="BOEFDD5BD4C03D4F32B9F685B7CD2ECAA2" localSheetId="5" hidden="1">#REF!</definedName>
    <definedName name="BOEFDD5BD4C03D4F32B9F685B7CD2ECAA2" localSheetId="4" hidden="1">#REF!</definedName>
    <definedName name="BOEFDD5BD4C03D4F32B9F685B7CD2ECAA2" hidden="1">#REF!</definedName>
    <definedName name="BOEFED11C55B7D42F0BA74E1AC52FFFCB6" localSheetId="5" hidden="1">#REF!</definedName>
    <definedName name="BOEFED11C55B7D42F0BA74E1AC52FFFCB6" localSheetId="4" hidden="1">#REF!</definedName>
    <definedName name="BOEFED11C55B7D42F0BA74E1AC52FFFCB6" hidden="1">#REF!</definedName>
    <definedName name="BOEFFA9E855A8D4352994E68849AF48905" localSheetId="5" hidden="1">#REF!</definedName>
    <definedName name="BOEFFA9E855A8D4352994E68849AF48905" localSheetId="4" hidden="1">#REF!</definedName>
    <definedName name="BOEFFA9E855A8D4352994E68849AF48905" hidden="1">#REF!</definedName>
    <definedName name="BOF0097F757062493FBA6E5AC459D99ACD" localSheetId="5" hidden="1">#REF!</definedName>
    <definedName name="BOF0097F757062493FBA6E5AC459D99ACD" localSheetId="4" hidden="1">#REF!</definedName>
    <definedName name="BOF0097F757062493FBA6E5AC459D99ACD" hidden="1">#REF!</definedName>
    <definedName name="BOF0100A92ADA14111A38DCB300766F521" localSheetId="5" hidden="1">#REF!</definedName>
    <definedName name="BOF0100A92ADA14111A38DCB300766F521" localSheetId="4" hidden="1">#REF!</definedName>
    <definedName name="BOF0100A92ADA14111A38DCB300766F521" hidden="1">#REF!</definedName>
    <definedName name="BOF01838A6DDBE45D4B2B655AAD88D5B0E" localSheetId="5" hidden="1">#REF!</definedName>
    <definedName name="BOF01838A6DDBE45D4B2B655AAD88D5B0E" localSheetId="4" hidden="1">#REF!</definedName>
    <definedName name="BOF01838A6DDBE45D4B2B655AAD88D5B0E" hidden="1">#REF!</definedName>
    <definedName name="BOF02333F78A05422AA5A1F733A8834CD6" localSheetId="5" hidden="1">#REF!</definedName>
    <definedName name="BOF02333F78A05422AA5A1F733A8834CD6" localSheetId="4" hidden="1">#REF!</definedName>
    <definedName name="BOF02333F78A05422AA5A1F733A8834CD6" hidden="1">#REF!</definedName>
    <definedName name="BOF030BA9CEED74A339BEC1FCA16DDD5F7" localSheetId="5" hidden="1">#REF!</definedName>
    <definedName name="BOF030BA9CEED74A339BEC1FCA16DDD5F7" localSheetId="4" hidden="1">#REF!</definedName>
    <definedName name="BOF030BA9CEED74A339BEC1FCA16DDD5F7" hidden="1">#REF!</definedName>
    <definedName name="BOF040FE5AF14A461C9B72854FC26275EA" localSheetId="5" hidden="1">#REF!</definedName>
    <definedName name="BOF040FE5AF14A461C9B72854FC26275EA" localSheetId="4" hidden="1">#REF!</definedName>
    <definedName name="BOF040FE5AF14A461C9B72854FC26275EA" hidden="1">#REF!</definedName>
    <definedName name="BOF047E4600A444563A62764BC83105CC3" localSheetId="5" hidden="1">#REF!</definedName>
    <definedName name="BOF047E4600A444563A62764BC83105CC3" localSheetId="4" hidden="1">#REF!</definedName>
    <definedName name="BOF047E4600A444563A62764BC83105CC3" hidden="1">#REF!</definedName>
    <definedName name="BOF057084B941A46DCB13220E48F9C2DAD" localSheetId="5" hidden="1">#REF!</definedName>
    <definedName name="BOF057084B941A46DCB13220E48F9C2DAD" localSheetId="4" hidden="1">#REF!</definedName>
    <definedName name="BOF057084B941A46DCB13220E48F9C2DAD" hidden="1">#REF!</definedName>
    <definedName name="BOF05939FDE2F5456590C798E429F0BEBE" localSheetId="5" hidden="1">#REF!</definedName>
    <definedName name="BOF05939FDE2F5456590C798E429F0BEBE" localSheetId="4" hidden="1">#REF!</definedName>
    <definedName name="BOF05939FDE2F5456590C798E429F0BEBE" hidden="1">#REF!</definedName>
    <definedName name="BOF05E6310E06849798562BB8BD53C4F28" localSheetId="5" hidden="1">[8]Ketqua!#REF!</definedName>
    <definedName name="BOF05E6310E06849798562BB8BD53C4F28" localSheetId="4" hidden="1">[8]Ketqua!#REF!</definedName>
    <definedName name="BOF05E6310E06849798562BB8BD53C4F28" hidden="1">[8]Ketqua!#REF!</definedName>
    <definedName name="BOF05FFF3AC94B4E36925B5EDAAC8C1C53" hidden="1">[8]Ketqua!$I$4:$T$4</definedName>
    <definedName name="BOF0905563093845A997A50AF692884153" localSheetId="5" hidden="1">#REF!</definedName>
    <definedName name="BOF0905563093845A997A50AF692884153" localSheetId="4" hidden="1">#REF!</definedName>
    <definedName name="BOF0905563093845A997A50AF692884153" hidden="1">#REF!</definedName>
    <definedName name="BOF093E5DF6BB241FDA0C27F6C9C16A9DD" localSheetId="5" hidden="1">#REF!</definedName>
    <definedName name="BOF093E5DF6BB241FDA0C27F6C9C16A9DD" localSheetId="4" hidden="1">#REF!</definedName>
    <definedName name="BOF093E5DF6BB241FDA0C27F6C9C16A9DD" hidden="1">#REF!</definedName>
    <definedName name="BOF0988203238E4889AFFCDE8D40B632A0" localSheetId="5" hidden="1">#REF!</definedName>
    <definedName name="BOF0988203238E4889AFFCDE8D40B632A0" localSheetId="4" hidden="1">#REF!</definedName>
    <definedName name="BOF0988203238E4889AFFCDE8D40B632A0" hidden="1">#REF!</definedName>
    <definedName name="BOF0A0FAACB6BB477591F225FDDF4BE7AD" localSheetId="5" hidden="1">#REF!</definedName>
    <definedName name="BOF0A0FAACB6BB477591F225FDDF4BE7AD" localSheetId="4" hidden="1">#REF!</definedName>
    <definedName name="BOF0A0FAACB6BB477591F225FDDF4BE7AD" hidden="1">#REF!</definedName>
    <definedName name="BOF0A825745E464D13A54ABA20B609B9E8" localSheetId="5" hidden="1">#REF!</definedName>
    <definedName name="BOF0A825745E464D13A54ABA20B609B9E8" localSheetId="4" hidden="1">#REF!</definedName>
    <definedName name="BOF0A825745E464D13A54ABA20B609B9E8" hidden="1">#REF!</definedName>
    <definedName name="BOF0C33265976142698ACBDF91D15A28FF" localSheetId="5" hidden="1">#REF!</definedName>
    <definedName name="BOF0C33265976142698ACBDF91D15A28FF" localSheetId="4" hidden="1">#REF!</definedName>
    <definedName name="BOF0C33265976142698ACBDF91D15A28FF" hidden="1">#REF!</definedName>
    <definedName name="BOF0C59731D4AE4017B5B4169F3C9AA2A6" localSheetId="5" hidden="1">#REF!</definedName>
    <definedName name="BOF0C59731D4AE4017B5B4169F3C9AA2A6" localSheetId="4" hidden="1">#REF!</definedName>
    <definedName name="BOF0C59731D4AE4017B5B4169F3C9AA2A6" hidden="1">#REF!</definedName>
    <definedName name="BOF0CBC11E611C46CAA732EB2558A413AB" localSheetId="5" hidden="1">#REF!</definedName>
    <definedName name="BOF0CBC11E611C46CAA732EB2558A413AB" localSheetId="4" hidden="1">#REF!</definedName>
    <definedName name="BOF0CBC11E611C46CAA732EB2558A413AB" hidden="1">#REF!</definedName>
    <definedName name="BOF0D4EF18741047F1B1043984130F0FA6" localSheetId="5" hidden="1">#REF!</definedName>
    <definedName name="BOF0D4EF18741047F1B1043984130F0FA6" localSheetId="4" hidden="1">#REF!</definedName>
    <definedName name="BOF0D4EF18741047F1B1043984130F0FA6" hidden="1">#REF!</definedName>
    <definedName name="BOF0DBB60FBA7B487483C6404113C66C6E" localSheetId="5" hidden="1">#REF!</definedName>
    <definedName name="BOF0DBB60FBA7B487483C6404113C66C6E" localSheetId="4" hidden="1">#REF!</definedName>
    <definedName name="BOF0DBB60FBA7B487483C6404113C66C6E" hidden="1">#REF!</definedName>
    <definedName name="BOF0E3743744E240A992B06E29FA68C50A" localSheetId="5" hidden="1">#REF!</definedName>
    <definedName name="BOF0E3743744E240A992B06E29FA68C50A" localSheetId="4" hidden="1">#REF!</definedName>
    <definedName name="BOF0E3743744E240A992B06E29FA68C50A" hidden="1">#REF!</definedName>
    <definedName name="BOF0E6E6B0E78C42E08BE2CDEA8CF44D78" localSheetId="5" hidden="1">#REF!</definedName>
    <definedName name="BOF0E6E6B0E78C42E08BE2CDEA8CF44D78" localSheetId="4" hidden="1">#REF!</definedName>
    <definedName name="BOF0E6E6B0E78C42E08BE2CDEA8CF44D78" hidden="1">#REF!</definedName>
    <definedName name="BOF109CEBDEEAC441FA6E936017139B088" localSheetId="5" hidden="1">#REF!</definedName>
    <definedName name="BOF109CEBDEEAC441FA6E936017139B088" localSheetId="4" hidden="1">#REF!</definedName>
    <definedName name="BOF109CEBDEEAC441FA6E936017139B088" hidden="1">#REF!</definedName>
    <definedName name="BOF116490C0E814BFB92B3B78084E30664" localSheetId="5" hidden="1">#REF!</definedName>
    <definedName name="BOF116490C0E814BFB92B3B78084E30664" localSheetId="4" hidden="1">#REF!</definedName>
    <definedName name="BOF116490C0E814BFB92B3B78084E30664" hidden="1">#REF!</definedName>
    <definedName name="BOF11B68CA497B4432A6CC3AFAFDDBE9FB" localSheetId="5" hidden="1">#REF!</definedName>
    <definedName name="BOF11B68CA497B4432A6CC3AFAFDDBE9FB" localSheetId="4" hidden="1">#REF!</definedName>
    <definedName name="BOF11B68CA497B4432A6CC3AFAFDDBE9FB" hidden="1">#REF!</definedName>
    <definedName name="BOF121F1F343C6493AAB63BBF3F6B28F08" localSheetId="5" hidden="1">#REF!</definedName>
    <definedName name="BOF121F1F343C6493AAB63BBF3F6B28F08" localSheetId="4" hidden="1">#REF!</definedName>
    <definedName name="BOF121F1F343C6493AAB63BBF3F6B28F08" hidden="1">#REF!</definedName>
    <definedName name="BOF127975B3BB54DDA9463E9C491F056A3" localSheetId="5" hidden="1">#REF!</definedName>
    <definedName name="BOF127975B3BB54DDA9463E9C491F056A3" localSheetId="4" hidden="1">#REF!</definedName>
    <definedName name="BOF127975B3BB54DDA9463E9C491F056A3" hidden="1">#REF!</definedName>
    <definedName name="BOF141B2A6A68B4B36951873FFC7FA2211" localSheetId="5" hidden="1">#REF!</definedName>
    <definedName name="BOF141B2A6A68B4B36951873FFC7FA2211" localSheetId="4" hidden="1">#REF!</definedName>
    <definedName name="BOF141B2A6A68B4B36951873FFC7FA2211" hidden="1">#REF!</definedName>
    <definedName name="BOF15DE6D3DE7443C8A22FA3AD98F9E106" localSheetId="5" hidden="1">#REF!</definedName>
    <definedName name="BOF15DE6D3DE7443C8A22FA3AD98F9E106" localSheetId="4" hidden="1">#REF!</definedName>
    <definedName name="BOF15DE6D3DE7443C8A22FA3AD98F9E106" hidden="1">#REF!</definedName>
    <definedName name="BOF15E20C21B1C4680B293AE7291F7DD0F" localSheetId="5" hidden="1">#REF!</definedName>
    <definedName name="BOF15E20C21B1C4680B293AE7291F7DD0F" localSheetId="4" hidden="1">#REF!</definedName>
    <definedName name="BOF15E20C21B1C4680B293AE7291F7DD0F" hidden="1">#REF!</definedName>
    <definedName name="BOF1713F3A451043ED83650CF65558317A" localSheetId="5" hidden="1">#REF!</definedName>
    <definedName name="BOF1713F3A451043ED83650CF65558317A" localSheetId="4" hidden="1">#REF!</definedName>
    <definedName name="BOF1713F3A451043ED83650CF65558317A" hidden="1">#REF!</definedName>
    <definedName name="BOF17A501E52C9417589ECB44884047CE2" localSheetId="5" hidden="1">#REF!</definedName>
    <definedName name="BOF17A501E52C9417589ECB44884047CE2" localSheetId="4" hidden="1">#REF!</definedName>
    <definedName name="BOF17A501E52C9417589ECB44884047CE2" hidden="1">#REF!</definedName>
    <definedName name="BOF1ABC4FD00E64BA58CFF06D348B0C5C3" localSheetId="5" hidden="1">#REF!</definedName>
    <definedName name="BOF1ABC4FD00E64BA58CFF06D348B0C5C3" localSheetId="4" hidden="1">#REF!</definedName>
    <definedName name="BOF1ABC4FD00E64BA58CFF06D348B0C5C3" hidden="1">#REF!</definedName>
    <definedName name="BOF1AEBC9A7BD44233A1943849C28C4FEC" localSheetId="5" hidden="1">#REF!</definedName>
    <definedName name="BOF1AEBC9A7BD44233A1943849C28C4FEC" localSheetId="4" hidden="1">#REF!</definedName>
    <definedName name="BOF1AEBC9A7BD44233A1943849C28C4FEC" hidden="1">#REF!</definedName>
    <definedName name="BOF1B8AD00099048A2A8AEC0999BE156F5" localSheetId="5" hidden="1">#REF!</definedName>
    <definedName name="BOF1B8AD00099048A2A8AEC0999BE156F5" localSheetId="4" hidden="1">#REF!</definedName>
    <definedName name="BOF1B8AD00099048A2A8AEC0999BE156F5" hidden="1">#REF!</definedName>
    <definedName name="BOF1CCE096EE874AF382A668D7FE951A20" localSheetId="5" hidden="1">#REF!</definedName>
    <definedName name="BOF1CCE096EE874AF382A668D7FE951A20" localSheetId="4" hidden="1">#REF!</definedName>
    <definedName name="BOF1CCE096EE874AF382A668D7FE951A20" hidden="1">#REF!</definedName>
    <definedName name="BOF20CCB7468C540F09F18FAB754EC370F" localSheetId="5" hidden="1">[9]xml!#REF!</definedName>
    <definedName name="BOF20CCB7468C540F09F18FAB754EC370F" localSheetId="4" hidden="1">[9]xml!#REF!</definedName>
    <definedName name="BOF20CCB7468C540F09F18FAB754EC370F" hidden="1">[9]xml!#REF!</definedName>
    <definedName name="BOF23D7E5217A24026827BA1D213504D2A" localSheetId="5" hidden="1">#REF!</definedName>
    <definedName name="BOF23D7E5217A24026827BA1D213504D2A" localSheetId="4" hidden="1">#REF!</definedName>
    <definedName name="BOF23D7E5217A24026827BA1D213504D2A" hidden="1">#REF!</definedName>
    <definedName name="BOF24138F12ED24CEF9500511C170B5BBA" localSheetId="5" hidden="1">#REF!</definedName>
    <definedName name="BOF24138F12ED24CEF9500511C170B5BBA" localSheetId="4" hidden="1">#REF!</definedName>
    <definedName name="BOF24138F12ED24CEF9500511C170B5BBA" hidden="1">#REF!</definedName>
    <definedName name="BOF24947DB82D64635840A8DB5866B51FD" localSheetId="5" hidden="1">#REF!</definedName>
    <definedName name="BOF24947DB82D64635840A8DB5866B51FD" localSheetId="4" hidden="1">#REF!</definedName>
    <definedName name="BOF24947DB82D64635840A8DB5866B51FD" hidden="1">#REF!</definedName>
    <definedName name="BOF253E547CD19417B85C345A050C3AB8D" localSheetId="5" hidden="1">#REF!</definedName>
    <definedName name="BOF253E547CD19417B85C345A050C3AB8D" localSheetId="4" hidden="1">#REF!</definedName>
    <definedName name="BOF253E547CD19417B85C345A050C3AB8D" hidden="1">#REF!</definedName>
    <definedName name="BOF263D17C59CD4195923580B4D30F3F76" localSheetId="5" hidden="1">#REF!</definedName>
    <definedName name="BOF263D17C59CD4195923580B4D30F3F76" localSheetId="4" hidden="1">#REF!</definedName>
    <definedName name="BOF263D17C59CD4195923580B4D30F3F76" hidden="1">#REF!</definedName>
    <definedName name="BOF27712BD4E094407ACB4899BA5C49295" localSheetId="5" hidden="1">#REF!</definedName>
    <definedName name="BOF27712BD4E094407ACB4899BA5C49295" localSheetId="4" hidden="1">#REF!</definedName>
    <definedName name="BOF27712BD4E094407ACB4899BA5C49295" hidden="1">#REF!</definedName>
    <definedName name="BOF27AC05A1FBB441997D081D917D7813E" localSheetId="5" hidden="1">#REF!</definedName>
    <definedName name="BOF27AC05A1FBB441997D081D917D7813E" localSheetId="4" hidden="1">#REF!</definedName>
    <definedName name="BOF27AC05A1FBB441997D081D917D7813E" hidden="1">#REF!</definedName>
    <definedName name="BOF2850F87583C4C5F9B0B14B695A8460D" localSheetId="5" hidden="1">#REF!</definedName>
    <definedName name="BOF2850F87583C4C5F9B0B14B695A8460D" localSheetId="4" hidden="1">#REF!</definedName>
    <definedName name="BOF2850F87583C4C5F9B0B14B695A8460D" hidden="1">#REF!</definedName>
    <definedName name="BOF28675E81D624568B83E5006EE4DAB41" localSheetId="5" hidden="1">#REF!</definedName>
    <definedName name="BOF28675E81D624568B83E5006EE4DAB41" localSheetId="4" hidden="1">#REF!</definedName>
    <definedName name="BOF28675E81D624568B83E5006EE4DAB41" hidden="1">#REF!</definedName>
    <definedName name="BOF287C0DE87E04A9FA22B2ECD2F94C614" localSheetId="5" hidden="1">#REF!</definedName>
    <definedName name="BOF287C0DE87E04A9FA22B2ECD2F94C614" localSheetId="4" hidden="1">#REF!</definedName>
    <definedName name="BOF287C0DE87E04A9FA22B2ECD2F94C614" hidden="1">#REF!</definedName>
    <definedName name="BOF2E4E26EFA1B45A6B451A32AF9340BA2" localSheetId="5" hidden="1">#REF!</definedName>
    <definedName name="BOF2E4E26EFA1B45A6B451A32AF9340BA2" localSheetId="4" hidden="1">#REF!</definedName>
    <definedName name="BOF2E4E26EFA1B45A6B451A32AF9340BA2" hidden="1">#REF!</definedName>
    <definedName name="BOF2E96E202FFA4C7FAAAF5539AE50BF20" localSheetId="5" hidden="1">#REF!</definedName>
    <definedName name="BOF2E96E202FFA4C7FAAAF5539AE50BF20" localSheetId="4" hidden="1">#REF!</definedName>
    <definedName name="BOF2E96E202FFA4C7FAAAF5539AE50BF20" hidden="1">#REF!</definedName>
    <definedName name="BOF2E9D408E0CE4BE8BFEABB6B73934CC2" localSheetId="5" hidden="1">#REF!</definedName>
    <definedName name="BOF2E9D408E0CE4BE8BFEABB6B73934CC2" localSheetId="4" hidden="1">#REF!</definedName>
    <definedName name="BOF2E9D408E0CE4BE8BFEABB6B73934CC2" hidden="1">#REF!</definedName>
    <definedName name="BOF2EBB03F32CB43D982795A06A0CE7F14" localSheetId="5" hidden="1">[7]lailo!#REF!</definedName>
    <definedName name="BOF2EBB03F32CB43D982795A06A0CE7F14" localSheetId="4" hidden="1">[7]lailo!#REF!</definedName>
    <definedName name="BOF2EBB03F32CB43D982795A06A0CE7F14" hidden="1">[7]lailo!#REF!</definedName>
    <definedName name="BOF2ED9B84F0014707AE8E96E655EA83CB" localSheetId="5" hidden="1">#REF!</definedName>
    <definedName name="BOF2ED9B84F0014707AE8E96E655EA83CB" localSheetId="4" hidden="1">#REF!</definedName>
    <definedName name="BOF2ED9B84F0014707AE8E96E655EA83CB" hidden="1">#REF!</definedName>
    <definedName name="BOF2FF48AA091D4BA99B50E6B5AC55A3E5" localSheetId="5" hidden="1">#REF!</definedName>
    <definedName name="BOF2FF48AA091D4BA99B50E6B5AC55A3E5" localSheetId="4" hidden="1">#REF!</definedName>
    <definedName name="BOF2FF48AA091D4BA99B50E6B5AC55A3E5" hidden="1">#REF!</definedName>
    <definedName name="BOF3239FBE6C4C47D0AA40E65F1AF1C1FC" localSheetId="5" hidden="1">#REF!</definedName>
    <definedName name="BOF3239FBE6C4C47D0AA40E65F1AF1C1FC" localSheetId="4" hidden="1">#REF!</definedName>
    <definedName name="BOF3239FBE6C4C47D0AA40E65F1AF1C1FC" hidden="1">#REF!</definedName>
    <definedName name="BOF33205490E834D1E954D98ED7145934B" localSheetId="5" hidden="1">#REF!</definedName>
    <definedName name="BOF33205490E834D1E954D98ED7145934B" localSheetId="4" hidden="1">#REF!</definedName>
    <definedName name="BOF33205490E834D1E954D98ED7145934B" hidden="1">#REF!</definedName>
    <definedName name="BOF33D6B6D93C74BB18FE3D6E0FF794B23" localSheetId="5" hidden="1">[9]xml!#REF!</definedName>
    <definedName name="BOF33D6B6D93C74BB18FE3D6E0FF794B23" localSheetId="4" hidden="1">[9]xml!#REF!</definedName>
    <definedName name="BOF33D6B6D93C74BB18FE3D6E0FF794B23" hidden="1">[9]xml!#REF!</definedName>
    <definedName name="BOF34C9901813B49D8AD7DEF7B8BF5D5E7" localSheetId="5" hidden="1">#REF!</definedName>
    <definedName name="BOF34C9901813B49D8AD7DEF7B8BF5D5E7" localSheetId="4" hidden="1">#REF!</definedName>
    <definedName name="BOF34C9901813B49D8AD7DEF7B8BF5D5E7" hidden="1">#REF!</definedName>
    <definedName name="BOF35C53425D3341BAA04DD8DB42127399" localSheetId="5" hidden="1">#REF!</definedName>
    <definedName name="BOF35C53425D3341BAA04DD8DB42127399" localSheetId="4" hidden="1">#REF!</definedName>
    <definedName name="BOF35C53425D3341BAA04DD8DB42127399" hidden="1">#REF!</definedName>
    <definedName name="BOF36997466DCA419EB5BB546C26585165" localSheetId="5" hidden="1">#REF!</definedName>
    <definedName name="BOF36997466DCA419EB5BB546C26585165" localSheetId="4" hidden="1">#REF!</definedName>
    <definedName name="BOF36997466DCA419EB5BB546C26585165" hidden="1">#REF!</definedName>
    <definedName name="BOF36B04952D7E494D8982DF32678ED517" localSheetId="5" hidden="1">#REF!</definedName>
    <definedName name="BOF36B04952D7E494D8982DF32678ED517" localSheetId="4" hidden="1">#REF!</definedName>
    <definedName name="BOF36B04952D7E494D8982DF32678ED517" hidden="1">#REF!</definedName>
    <definedName name="BOF36D05A66EE34CD39407E87E086E789B" localSheetId="5" hidden="1">#REF!</definedName>
    <definedName name="BOF36D05A66EE34CD39407E87E086E789B" localSheetId="4" hidden="1">#REF!</definedName>
    <definedName name="BOF36D05A66EE34CD39407E87E086E789B" hidden="1">#REF!</definedName>
    <definedName name="BOF37F793DBD86486CB8F124C4A5B4790A" localSheetId="5" hidden="1">#REF!</definedName>
    <definedName name="BOF37F793DBD86486CB8F124C4A5B4790A" localSheetId="4" hidden="1">#REF!</definedName>
    <definedName name="BOF37F793DBD86486CB8F124C4A5B4790A" hidden="1">#REF!</definedName>
    <definedName name="BOF3A90882C3F646AC8E52826DE77B4F42" localSheetId="5" hidden="1">#REF!</definedName>
    <definedName name="BOF3A90882C3F646AC8E52826DE77B4F42" localSheetId="4" hidden="1">#REF!</definedName>
    <definedName name="BOF3A90882C3F646AC8E52826DE77B4F42" hidden="1">#REF!</definedName>
    <definedName name="BOF3C2FA67E9714243A6A0E31921FBEEBC" localSheetId="5" hidden="1">#REF!</definedName>
    <definedName name="BOF3C2FA67E9714243A6A0E31921FBEEBC" localSheetId="4" hidden="1">#REF!</definedName>
    <definedName name="BOF3C2FA67E9714243A6A0E31921FBEEBC" hidden="1">#REF!</definedName>
    <definedName name="BOF3E50E227A544F7F8427DB69807893E0" localSheetId="5" hidden="1">#REF!</definedName>
    <definedName name="BOF3E50E227A544F7F8427DB69807893E0" localSheetId="4" hidden="1">#REF!</definedName>
    <definedName name="BOF3E50E227A544F7F8427DB69807893E0" hidden="1">#REF!</definedName>
    <definedName name="BOF3E6876AE1B7457AB3A864C16B14A115" localSheetId="5" hidden="1">#REF!</definedName>
    <definedName name="BOF3E6876AE1B7457AB3A864C16B14A115" localSheetId="4" hidden="1">#REF!</definedName>
    <definedName name="BOF3E6876AE1B7457AB3A864C16B14A115" hidden="1">#REF!</definedName>
    <definedName name="BOF3F8EC36F0584B21B040E4FAE9B8810F" localSheetId="5" hidden="1">[7]lailo!#REF!</definedName>
    <definedName name="BOF3F8EC36F0584B21B040E4FAE9B8810F" localSheetId="4" hidden="1">[7]lailo!#REF!</definedName>
    <definedName name="BOF3F8EC36F0584B21B040E4FAE9B8810F" hidden="1">[7]lailo!#REF!</definedName>
    <definedName name="BOF40B8D5DE4EF48C8A142F2738685DF4E" localSheetId="5" hidden="1">#REF!</definedName>
    <definedName name="BOF40B8D5DE4EF48C8A142F2738685DF4E" localSheetId="4" hidden="1">#REF!</definedName>
    <definedName name="BOF40B8D5DE4EF48C8A142F2738685DF4E" hidden="1">#REF!</definedName>
    <definedName name="BOF40D19766CE04F19935929CE2DA3EB55" localSheetId="5" hidden="1">#REF!</definedName>
    <definedName name="BOF40D19766CE04F19935929CE2DA3EB55" localSheetId="4" hidden="1">#REF!</definedName>
    <definedName name="BOF40D19766CE04F19935929CE2DA3EB55" hidden="1">#REF!</definedName>
    <definedName name="BOF4114871BFE4412A94F702635BE768DB" localSheetId="5" hidden="1">#REF!</definedName>
    <definedName name="BOF4114871BFE4412A94F702635BE768DB" localSheetId="4" hidden="1">#REF!</definedName>
    <definedName name="BOF4114871BFE4412A94F702635BE768DB" hidden="1">#REF!</definedName>
    <definedName name="BOF474B784011942EE8F9762B58E2206C2" localSheetId="5" hidden="1">#REF!</definedName>
    <definedName name="BOF474B784011942EE8F9762B58E2206C2" localSheetId="4" hidden="1">#REF!</definedName>
    <definedName name="BOF474B784011942EE8F9762B58E2206C2" hidden="1">#REF!</definedName>
    <definedName name="BOF477823A8ED5496EA6AAE4F2A47FF673" localSheetId="5" hidden="1">#REF!</definedName>
    <definedName name="BOF477823A8ED5496EA6AAE4F2A47FF673" localSheetId="4" hidden="1">#REF!</definedName>
    <definedName name="BOF477823A8ED5496EA6AAE4F2A47FF673" hidden="1">#REF!</definedName>
    <definedName name="BOF4BA7E8EAF9E403393D1A9F98BB7C67E" localSheetId="5" hidden="1">#REF!</definedName>
    <definedName name="BOF4BA7E8EAF9E403393D1A9F98BB7C67E" localSheetId="4" hidden="1">#REF!</definedName>
    <definedName name="BOF4BA7E8EAF9E403393D1A9F98BB7C67E" hidden="1">#REF!</definedName>
    <definedName name="BOF4C0FA40C07F4E7086D02D7A36CC878C" localSheetId="5" hidden="1">#REF!</definedName>
    <definedName name="BOF4C0FA40C07F4E7086D02D7A36CC878C" localSheetId="4" hidden="1">#REF!</definedName>
    <definedName name="BOF4C0FA40C07F4E7086D02D7A36CC878C" hidden="1">#REF!</definedName>
    <definedName name="BOF4CCF65C0AB248CE8B3EBF1FF477CB5C" localSheetId="5" hidden="1">#REF!</definedName>
    <definedName name="BOF4CCF65C0AB248CE8B3EBF1FF477CB5C" localSheetId="4" hidden="1">#REF!</definedName>
    <definedName name="BOF4CCF65C0AB248CE8B3EBF1FF477CB5C" hidden="1">#REF!</definedName>
    <definedName name="BOF4D51DD2D7014AA0B2374CCC27DA6B48" localSheetId="5" hidden="1">#REF!</definedName>
    <definedName name="BOF4D51DD2D7014AA0B2374CCC27DA6B48" localSheetId="4" hidden="1">#REF!</definedName>
    <definedName name="BOF4D51DD2D7014AA0B2374CCC27DA6B48" hidden="1">#REF!</definedName>
    <definedName name="BOF4E734F5E0B346399B3F74EDDE1364EA" localSheetId="5" hidden="1">#REF!</definedName>
    <definedName name="BOF4E734F5E0B346399B3F74EDDE1364EA" localSheetId="4" hidden="1">#REF!</definedName>
    <definedName name="BOF4E734F5E0B346399B3F74EDDE1364EA" hidden="1">#REF!</definedName>
    <definedName name="BOF4F541C0A6C94B61A4CE373A6C565169" localSheetId="5" hidden="1">#REF!</definedName>
    <definedName name="BOF4F541C0A6C94B61A4CE373A6C565169" localSheetId="4" hidden="1">#REF!</definedName>
    <definedName name="BOF4F541C0A6C94B61A4CE373A6C565169" hidden="1">#REF!</definedName>
    <definedName name="BOF51A52841A654E94BE5B17633A966825" localSheetId="5" hidden="1">#REF!</definedName>
    <definedName name="BOF51A52841A654E94BE5B17633A966825" localSheetId="4" hidden="1">#REF!</definedName>
    <definedName name="BOF51A52841A654E94BE5B17633A966825" hidden="1">#REF!</definedName>
    <definedName name="BOF52AF955B89242C8BE3354CF28DE98A3" localSheetId="5" hidden="1">#REF!</definedName>
    <definedName name="BOF52AF955B89242C8BE3354CF28DE98A3" localSheetId="4" hidden="1">#REF!</definedName>
    <definedName name="BOF52AF955B89242C8BE3354CF28DE98A3" hidden="1">#REF!</definedName>
    <definedName name="BOF5396AD784C946F0BAD3D6C84FA64794" localSheetId="5" hidden="1">#REF!</definedName>
    <definedName name="BOF5396AD784C946F0BAD3D6C84FA64794" localSheetId="4" hidden="1">#REF!</definedName>
    <definedName name="BOF5396AD784C946F0BAD3D6C84FA64794" hidden="1">#REF!</definedName>
    <definedName name="BOF53CCAFB02904DA4AF21417141E6C458" localSheetId="5" hidden="1">#REF!</definedName>
    <definedName name="BOF53CCAFB02904DA4AF21417141E6C458" localSheetId="4" hidden="1">#REF!</definedName>
    <definedName name="BOF53CCAFB02904DA4AF21417141E6C458" hidden="1">#REF!</definedName>
    <definedName name="BOF5497173AE06489E9550275FB325A5AD" localSheetId="5" hidden="1">#REF!</definedName>
    <definedName name="BOF5497173AE06489E9550275FB325A5AD" localSheetId="4" hidden="1">#REF!</definedName>
    <definedName name="BOF5497173AE06489E9550275FB325A5AD" hidden="1">#REF!</definedName>
    <definedName name="BOF55C86C98D884DCF805287D2AAB2A342" localSheetId="5" hidden="1">#REF!</definedName>
    <definedName name="BOF55C86C98D884DCF805287D2AAB2A342" localSheetId="4" hidden="1">#REF!</definedName>
    <definedName name="BOF55C86C98D884DCF805287D2AAB2A342" hidden="1">#REF!</definedName>
    <definedName name="BOF55CF31ECD7A406CA38DE801694F8552" localSheetId="5" hidden="1">#REF!</definedName>
    <definedName name="BOF55CF31ECD7A406CA38DE801694F8552" localSheetId="4" hidden="1">#REF!</definedName>
    <definedName name="BOF55CF31ECD7A406CA38DE801694F8552" hidden="1">#REF!</definedName>
    <definedName name="BOF5631028159044D78779C45CA65FC43B" localSheetId="5" hidden="1">#REF!</definedName>
    <definedName name="BOF5631028159044D78779C45CA65FC43B" localSheetId="4" hidden="1">#REF!</definedName>
    <definedName name="BOF5631028159044D78779C45CA65FC43B" hidden="1">#REF!</definedName>
    <definedName name="BOF585D8968C854C30B591C88227EDB648" localSheetId="5" hidden="1">#REF!</definedName>
    <definedName name="BOF585D8968C854C30B591C88227EDB648" localSheetId="4" hidden="1">#REF!</definedName>
    <definedName name="BOF585D8968C854C30B591C88227EDB648" hidden="1">#REF!</definedName>
    <definedName name="BOF5A5E290196040079D7DE62A2550AA5C" localSheetId="5" hidden="1">#REF!</definedName>
    <definedName name="BOF5A5E290196040079D7DE62A2550AA5C" localSheetId="4" hidden="1">#REF!</definedName>
    <definedName name="BOF5A5E290196040079D7DE62A2550AA5C" hidden="1">#REF!</definedName>
    <definedName name="BOF5AEE545461542C7A1A82997EB41AB35" localSheetId="5" hidden="1">#REF!</definedName>
    <definedName name="BOF5AEE545461542C7A1A82997EB41AB35" localSheetId="4" hidden="1">#REF!</definedName>
    <definedName name="BOF5AEE545461542C7A1A82997EB41AB35" hidden="1">#REF!</definedName>
    <definedName name="BOF5CB44B1A6E44FDC89B7F2976A7CE3A8" localSheetId="5" hidden="1">[9]xml!#REF!</definedName>
    <definedName name="BOF5CB44B1A6E44FDC89B7F2976A7CE3A8" localSheetId="4" hidden="1">[9]xml!#REF!</definedName>
    <definedName name="BOF5CB44B1A6E44FDC89B7F2976A7CE3A8" hidden="1">[9]xml!#REF!</definedName>
    <definedName name="BOF5D646679BF64364ACDA18EFA320F112" localSheetId="5" hidden="1">#REF!</definedName>
    <definedName name="BOF5D646679BF64364ACDA18EFA320F112" localSheetId="4" hidden="1">#REF!</definedName>
    <definedName name="BOF5D646679BF64364ACDA18EFA320F112" hidden="1">#REF!</definedName>
    <definedName name="BOF5DC32DE31BD4B50B0267F468F4E4CB0" localSheetId="5" hidden="1">#REF!</definedName>
    <definedName name="BOF5DC32DE31BD4B50B0267F468F4E4CB0" localSheetId="4" hidden="1">#REF!</definedName>
    <definedName name="BOF5DC32DE31BD4B50B0267F468F4E4CB0" hidden="1">#REF!</definedName>
    <definedName name="BOF604F32E6DAC49BBA3716C381BEBAB3A" localSheetId="5" hidden="1">#REF!</definedName>
    <definedName name="BOF604F32E6DAC49BBA3716C381BEBAB3A" localSheetId="4" hidden="1">#REF!</definedName>
    <definedName name="BOF604F32E6DAC49BBA3716C381BEBAB3A" hidden="1">#REF!</definedName>
    <definedName name="BOF6116786263A474F8EB13C9D525A5BBF" localSheetId="5" hidden="1">#REF!</definedName>
    <definedName name="BOF6116786263A474F8EB13C9D525A5BBF" localSheetId="4" hidden="1">#REF!</definedName>
    <definedName name="BOF6116786263A474F8EB13C9D525A5BBF" hidden="1">#REF!</definedName>
    <definedName name="BOF611A9E8BB0F49E497EFF27831772058" hidden="1">[8]Ketqua!$I$16:$U$16</definedName>
    <definedName name="BOF62D3D4F777949DA8A29FDC4707A82D9" localSheetId="5" hidden="1">#REF!</definedName>
    <definedName name="BOF62D3D4F777949DA8A29FDC4707A82D9" localSheetId="4" hidden="1">#REF!</definedName>
    <definedName name="BOF62D3D4F777949DA8A29FDC4707A82D9" hidden="1">#REF!</definedName>
    <definedName name="BOF63D3B4EB0E544EFA271FEA8860AC25D" hidden="1">[8]Ketqua!$I$4:$U$4</definedName>
    <definedName name="BOF65F19D7E1904C5FA112E30614E0B372" localSheetId="5" hidden="1">#REF!</definedName>
    <definedName name="BOF65F19D7E1904C5FA112E30614E0B372" localSheetId="4" hidden="1">#REF!</definedName>
    <definedName name="BOF65F19D7E1904C5FA112E30614E0B372" hidden="1">#REF!</definedName>
    <definedName name="BOF669A2D2BA994424B1F5A8AC117A55CA" localSheetId="5" hidden="1">#REF!</definedName>
    <definedName name="BOF669A2D2BA994424B1F5A8AC117A55CA" localSheetId="4" hidden="1">#REF!</definedName>
    <definedName name="BOF669A2D2BA994424B1F5A8AC117A55CA" hidden="1">#REF!</definedName>
    <definedName name="BOF66F23777B7C431BBA70EAF3374BA9DD" localSheetId="5" hidden="1">#REF!</definedName>
    <definedName name="BOF66F23777B7C431BBA70EAF3374BA9DD" localSheetId="4" hidden="1">#REF!</definedName>
    <definedName name="BOF66F23777B7C431BBA70EAF3374BA9DD" hidden="1">#REF!</definedName>
    <definedName name="BOF67F5AA185884F23B340D90B4494144F" localSheetId="5" hidden="1">#REF!</definedName>
    <definedName name="BOF67F5AA185884F23B340D90B4494144F" localSheetId="4" hidden="1">#REF!</definedName>
    <definedName name="BOF67F5AA185884F23B340D90B4494144F" hidden="1">#REF!</definedName>
    <definedName name="BOF6825EEC29BD4F43B7715AE96EC32379" localSheetId="5" hidden="1">#REF!</definedName>
    <definedName name="BOF6825EEC29BD4F43B7715AE96EC32379" localSheetId="4" hidden="1">#REF!</definedName>
    <definedName name="BOF6825EEC29BD4F43B7715AE96EC32379" hidden="1">#REF!</definedName>
    <definedName name="BOF683395E38EC43DA91DAFE24FDCFD464" localSheetId="5" hidden="1">#REF!</definedName>
    <definedName name="BOF683395E38EC43DA91DAFE24FDCFD464" localSheetId="4" hidden="1">#REF!</definedName>
    <definedName name="BOF683395E38EC43DA91DAFE24FDCFD464" hidden="1">#REF!</definedName>
    <definedName name="BOF687F176C001453A8BDD5BE28067C5E9" localSheetId="5" hidden="1">#REF!</definedName>
    <definedName name="BOF687F176C001453A8BDD5BE28067C5E9" localSheetId="4" hidden="1">#REF!</definedName>
    <definedName name="BOF687F176C001453A8BDD5BE28067C5E9" hidden="1">#REF!</definedName>
    <definedName name="BOF6AE8BD0902148AA869657E40D971E11" localSheetId="5" hidden="1">#REF!</definedName>
    <definedName name="BOF6AE8BD0902148AA869657E40D971E11" localSheetId="4" hidden="1">#REF!</definedName>
    <definedName name="BOF6AE8BD0902148AA869657E40D971E11" hidden="1">#REF!</definedName>
    <definedName name="BOF6C435831C884A2B958ECF1499C5AE81" hidden="1">[8]Ketqua!$X$10:$AJ$10</definedName>
    <definedName name="BOF6C9B9EED16443ED8CB7FF99A5DBCC26" localSheetId="5" hidden="1">[7]lailo!#REF!</definedName>
    <definedName name="BOF6C9B9EED16443ED8CB7FF99A5DBCC26" localSheetId="4" hidden="1">[7]lailo!#REF!</definedName>
    <definedName name="BOF6C9B9EED16443ED8CB7FF99A5DBCC26" hidden="1">[7]lailo!#REF!</definedName>
    <definedName name="BOF6CCD54417AC4931901DEF75EEA84F24" localSheetId="5" hidden="1">#REF!</definedName>
    <definedName name="BOF6CCD54417AC4931901DEF75EEA84F24" localSheetId="4" hidden="1">#REF!</definedName>
    <definedName name="BOF6CCD54417AC4931901DEF75EEA84F24" hidden="1">#REF!</definedName>
    <definedName name="BOF6CDA264C92D4DF2907EB1622B5003D6" localSheetId="5" hidden="1">#REF!</definedName>
    <definedName name="BOF6CDA264C92D4DF2907EB1622B5003D6" localSheetId="4" hidden="1">#REF!</definedName>
    <definedName name="BOF6CDA264C92D4DF2907EB1622B5003D6" hidden="1">#REF!</definedName>
    <definedName name="BOF6D3B02F600746DFB75C12B28AF70310" localSheetId="5" hidden="1">#REF!</definedName>
    <definedName name="BOF6D3B02F600746DFB75C12B28AF70310" localSheetId="4" hidden="1">#REF!</definedName>
    <definedName name="BOF6D3B02F600746DFB75C12B28AF70310" hidden="1">#REF!</definedName>
    <definedName name="BOF6E9F1E9C5B04DAA88A54F6FE2A57C42" localSheetId="5" hidden="1">#REF!</definedName>
    <definedName name="BOF6E9F1E9C5B04DAA88A54F6FE2A57C42" localSheetId="4" hidden="1">#REF!</definedName>
    <definedName name="BOF6E9F1E9C5B04DAA88A54F6FE2A57C42" hidden="1">#REF!</definedName>
    <definedName name="BOF708D1281373454597A1A056AB3A3531" localSheetId="5" hidden="1">#REF!</definedName>
    <definedName name="BOF708D1281373454597A1A056AB3A3531" localSheetId="4" hidden="1">#REF!</definedName>
    <definedName name="BOF708D1281373454597A1A056AB3A3531" hidden="1">#REF!</definedName>
    <definedName name="BOF714C5C24C504900BC9BC026DF0955B8" localSheetId="5" hidden="1">#REF!</definedName>
    <definedName name="BOF714C5C24C504900BC9BC026DF0955B8" localSheetId="4" hidden="1">#REF!</definedName>
    <definedName name="BOF714C5C24C504900BC9BC026DF0955B8" hidden="1">#REF!</definedName>
    <definedName name="BOF72B7E5688A24599B26396DA1025418E" localSheetId="5" hidden="1">#REF!</definedName>
    <definedName name="BOF72B7E5688A24599B26396DA1025418E" localSheetId="4" hidden="1">#REF!</definedName>
    <definedName name="BOF72B7E5688A24599B26396DA1025418E" hidden="1">#REF!</definedName>
    <definedName name="BOF74765F291A940459E3745B048FFF204" localSheetId="5" hidden="1">#REF!</definedName>
    <definedName name="BOF74765F291A940459E3745B048FFF204" localSheetId="4" hidden="1">#REF!</definedName>
    <definedName name="BOF74765F291A940459E3745B048FFF204" hidden="1">#REF!</definedName>
    <definedName name="BOF75BD264DBB04172906E6710FDC5CE9B" localSheetId="5" hidden="1">#REF!</definedName>
    <definedName name="BOF75BD264DBB04172906E6710FDC5CE9B" localSheetId="4" hidden="1">#REF!</definedName>
    <definedName name="BOF75BD264DBB04172906E6710FDC5CE9B" hidden="1">#REF!</definedName>
    <definedName name="BOF7648B04C3A44727ABAE4D315B581096" localSheetId="5" hidden="1">#REF!</definedName>
    <definedName name="BOF7648B04C3A44727ABAE4D315B581096" localSheetId="4" hidden="1">#REF!</definedName>
    <definedName name="BOF7648B04C3A44727ABAE4D315B581096" hidden="1">#REF!</definedName>
    <definedName name="BOF770BE81EB0647A29E9CE4D634384356" localSheetId="5" hidden="1">#REF!</definedName>
    <definedName name="BOF770BE81EB0647A29E9CE4D634384356" localSheetId="4" hidden="1">#REF!</definedName>
    <definedName name="BOF770BE81EB0647A29E9CE4D634384356" hidden="1">#REF!</definedName>
    <definedName name="BOF77B331BE93848B7BCD11717BB266D2A" localSheetId="5" hidden="1">#REF!</definedName>
    <definedName name="BOF77B331BE93848B7BCD11717BB266D2A" localSheetId="4" hidden="1">#REF!</definedName>
    <definedName name="BOF77B331BE93848B7BCD11717BB266D2A" hidden="1">#REF!</definedName>
    <definedName name="BOF7976E88AE214F67B9CBB47608F7DDA9" localSheetId="5" hidden="1">[8]Ketqua!#REF!</definedName>
    <definedName name="BOF7976E88AE214F67B9CBB47608F7DDA9" localSheetId="4" hidden="1">[8]Ketqua!#REF!</definedName>
    <definedName name="BOF7976E88AE214F67B9CBB47608F7DDA9" hidden="1">[8]Ketqua!#REF!</definedName>
    <definedName name="BOF7991C6F519D41A3B8AC572703E833AD" localSheetId="5" hidden="1">#REF!</definedName>
    <definedName name="BOF7991C6F519D41A3B8AC572703E833AD" localSheetId="4" hidden="1">#REF!</definedName>
    <definedName name="BOF7991C6F519D41A3B8AC572703E833AD" hidden="1">#REF!</definedName>
    <definedName name="BOF79C8057618541DB900AC860DEA92122" localSheetId="5" hidden="1">#REF!</definedName>
    <definedName name="BOF79C8057618541DB900AC860DEA92122" localSheetId="4" hidden="1">#REF!</definedName>
    <definedName name="BOF79C8057618541DB900AC860DEA92122" hidden="1">#REF!</definedName>
    <definedName name="BOF7B5D1FBB8764A4FB0220E77B2881D62" localSheetId="5" hidden="1">[9]xml!#REF!</definedName>
    <definedName name="BOF7B5D1FBB8764A4FB0220E77B2881D62" localSheetId="4" hidden="1">[9]xml!#REF!</definedName>
    <definedName name="BOF7B5D1FBB8764A4FB0220E77B2881D62" hidden="1">[9]xml!#REF!</definedName>
    <definedName name="BOF7B5FA1754E0413AAFB010856810A5BA" localSheetId="5" hidden="1">#REF!</definedName>
    <definedName name="BOF7B5FA1754E0413AAFB010856810A5BA" localSheetId="4" hidden="1">#REF!</definedName>
    <definedName name="BOF7B5FA1754E0413AAFB010856810A5BA" hidden="1">#REF!</definedName>
    <definedName name="BOF7C0B15686234EACBE0FB09FC35AFFF4" localSheetId="5" hidden="1">#REF!</definedName>
    <definedName name="BOF7C0B15686234EACBE0FB09FC35AFFF4" localSheetId="4" hidden="1">#REF!</definedName>
    <definedName name="BOF7C0B15686234EACBE0FB09FC35AFFF4" hidden="1">#REF!</definedName>
    <definedName name="BOF7CF94FFA36A46ACB0FCB81905FBD824" localSheetId="5" hidden="1">[9]xml!#REF!</definedName>
    <definedName name="BOF7CF94FFA36A46ACB0FCB81905FBD824" localSheetId="4" hidden="1">[9]xml!#REF!</definedName>
    <definedName name="BOF7CF94FFA36A46ACB0FCB81905FBD824" hidden="1">[9]xml!#REF!</definedName>
    <definedName name="BOF7D6CB602C3C435CA5300FBF0F07FA65" localSheetId="5" hidden="1">#REF!</definedName>
    <definedName name="BOF7D6CB602C3C435CA5300FBF0F07FA65" localSheetId="4" hidden="1">#REF!</definedName>
    <definedName name="BOF7D6CB602C3C435CA5300FBF0F07FA65" hidden="1">#REF!</definedName>
    <definedName name="BOF7D9E525CB4F48E38052E076240378BE" localSheetId="5" hidden="1">#REF!</definedName>
    <definedName name="BOF7D9E525CB4F48E38052E076240378BE" localSheetId="4" hidden="1">#REF!</definedName>
    <definedName name="BOF7D9E525CB4F48E38052E076240378BE" hidden="1">#REF!</definedName>
    <definedName name="BOF7F7F74ADE6A456697D7D82B02256B6F" localSheetId="5" hidden="1">#REF!</definedName>
    <definedName name="BOF7F7F74ADE6A456697D7D82B02256B6F" localSheetId="4" hidden="1">#REF!</definedName>
    <definedName name="BOF7F7F74ADE6A456697D7D82B02256B6F" hidden="1">#REF!</definedName>
    <definedName name="BOF83559FBC7D04204ADB4B6AED114EAF7" localSheetId="5" hidden="1">#REF!</definedName>
    <definedName name="BOF83559FBC7D04204ADB4B6AED114EAF7" localSheetId="4" hidden="1">#REF!</definedName>
    <definedName name="BOF83559FBC7D04204ADB4B6AED114EAF7" hidden="1">#REF!</definedName>
    <definedName name="BOF835CA3093464BB98CC8821172B1F91C" localSheetId="5" hidden="1">#REF!</definedName>
    <definedName name="BOF835CA3093464BB98CC8821172B1F91C" localSheetId="4" hidden="1">#REF!</definedName>
    <definedName name="BOF835CA3093464BB98CC8821172B1F91C" hidden="1">#REF!</definedName>
    <definedName name="BOF83DEA7B15B144748CB58ECF71457F2B" localSheetId="5" hidden="1">#REF!</definedName>
    <definedName name="BOF83DEA7B15B144748CB58ECF71457F2B" localSheetId="4" hidden="1">#REF!</definedName>
    <definedName name="BOF83DEA7B15B144748CB58ECF71457F2B" hidden="1">#REF!</definedName>
    <definedName name="BOF85E6CCF6A57462A8CA36AA9540D141F" localSheetId="5" hidden="1">#REF!</definedName>
    <definedName name="BOF85E6CCF6A57462A8CA36AA9540D141F" localSheetId="4" hidden="1">#REF!</definedName>
    <definedName name="BOF85E6CCF6A57462A8CA36AA9540D141F" hidden="1">#REF!</definedName>
    <definedName name="BOF861024EEF514C6389B851E8D3982275" localSheetId="5" hidden="1">#REF!</definedName>
    <definedName name="BOF861024EEF514C6389B851E8D3982275" localSheetId="4" hidden="1">#REF!</definedName>
    <definedName name="BOF861024EEF514C6389B851E8D3982275" hidden="1">#REF!</definedName>
    <definedName name="BOF861BE762D5946F094E60ECD73982CA6" localSheetId="5" hidden="1">#REF!</definedName>
    <definedName name="BOF861BE762D5946F094E60ECD73982CA6" localSheetId="4" hidden="1">#REF!</definedName>
    <definedName name="BOF861BE762D5946F094E60ECD73982CA6" hidden="1">#REF!</definedName>
    <definedName name="BOF86B41F85B3F42E4B7EFE1B2C2199C1B" localSheetId="5" hidden="1">#REF!</definedName>
    <definedName name="BOF86B41F85B3F42E4B7EFE1B2C2199C1B" localSheetId="4" hidden="1">#REF!</definedName>
    <definedName name="BOF86B41F85B3F42E4B7EFE1B2C2199C1B" hidden="1">#REF!</definedName>
    <definedName name="BOF87E495A74FB4EFAB3F46E6715C2B04E" localSheetId="5" hidden="1">[8]Ketqua!#REF!</definedName>
    <definedName name="BOF87E495A74FB4EFAB3F46E6715C2B04E" localSheetId="4" hidden="1">[8]Ketqua!#REF!</definedName>
    <definedName name="BOF87E495A74FB4EFAB3F46E6715C2B04E" hidden="1">[8]Ketqua!#REF!</definedName>
    <definedName name="BOF8A092991A38448696CCC4DC0FC01693" localSheetId="5" hidden="1">#REF!</definedName>
    <definedName name="BOF8A092991A38448696CCC4DC0FC01693" localSheetId="4" hidden="1">#REF!</definedName>
    <definedName name="BOF8A092991A38448696CCC4DC0FC01693" hidden="1">#REF!</definedName>
    <definedName name="BOF8A31B6DA98148FFA1C515F3B8149A40" localSheetId="5" hidden="1">#REF!</definedName>
    <definedName name="BOF8A31B6DA98148FFA1C515F3B8149A40" localSheetId="4" hidden="1">#REF!</definedName>
    <definedName name="BOF8A31B6DA98148FFA1C515F3B8149A40" hidden="1">#REF!</definedName>
    <definedName name="BOF8A6D5FDFCE442C28D9A96416D2DEA48" localSheetId="5" hidden="1">#REF!</definedName>
    <definedName name="BOF8A6D5FDFCE442C28D9A96416D2DEA48" localSheetId="4" hidden="1">#REF!</definedName>
    <definedName name="BOF8A6D5FDFCE442C28D9A96416D2DEA48" hidden="1">#REF!</definedName>
    <definedName name="BOF8B846D7E8B34D05B384F863E85A28E5" localSheetId="5" hidden="1">#REF!</definedName>
    <definedName name="BOF8B846D7E8B34D05B384F863E85A28E5" localSheetId="4" hidden="1">#REF!</definedName>
    <definedName name="BOF8B846D7E8B34D05B384F863E85A28E5" hidden="1">#REF!</definedName>
    <definedName name="BOF8DAC2FEC53B494E8A09152EAB6B7B4F" localSheetId="5" hidden="1">#REF!</definedName>
    <definedName name="BOF8DAC2FEC53B494E8A09152EAB6B7B4F" localSheetId="4" hidden="1">#REF!</definedName>
    <definedName name="BOF8DAC2FEC53B494E8A09152EAB6B7B4F" hidden="1">#REF!</definedName>
    <definedName name="BOF8E11A3752FB43269C6043A6F8D6A566" localSheetId="5" hidden="1">#REF!</definedName>
    <definedName name="BOF8E11A3752FB43269C6043A6F8D6A566" localSheetId="4" hidden="1">#REF!</definedName>
    <definedName name="BOF8E11A3752FB43269C6043A6F8D6A566" hidden="1">#REF!</definedName>
    <definedName name="BOF8E521594CB6424A882EA938563567D8" localSheetId="5" hidden="1">#REF!</definedName>
    <definedName name="BOF8E521594CB6424A882EA938563567D8" localSheetId="4" hidden="1">#REF!</definedName>
    <definedName name="BOF8E521594CB6424A882EA938563567D8" hidden="1">#REF!</definedName>
    <definedName name="BOF8F113671AB242A0A31C324D25132756" localSheetId="5" hidden="1">#REF!</definedName>
    <definedName name="BOF8F113671AB242A0A31C324D25132756" localSheetId="4" hidden="1">#REF!</definedName>
    <definedName name="BOF8F113671AB242A0A31C324D25132756" hidden="1">#REF!</definedName>
    <definedName name="BOF8F3838231C243239CFF1B4B6BCC87C2" localSheetId="5" hidden="1">#REF!</definedName>
    <definedName name="BOF8F3838231C243239CFF1B4B6BCC87C2" localSheetId="4" hidden="1">#REF!</definedName>
    <definedName name="BOF8F3838231C243239CFF1B4B6BCC87C2" hidden="1">#REF!</definedName>
    <definedName name="BOF90C081FC31448DE8B5AE57F93E88D5A" localSheetId="5" hidden="1">#REF!</definedName>
    <definedName name="BOF90C081FC31448DE8B5AE57F93E88D5A" localSheetId="4" hidden="1">#REF!</definedName>
    <definedName name="BOF90C081FC31448DE8B5AE57F93E88D5A" hidden="1">#REF!</definedName>
    <definedName name="BOF92F726FD98E4A5195B52ABBCF4CBAC8" localSheetId="5" hidden="1">#REF!</definedName>
    <definedName name="BOF92F726FD98E4A5195B52ABBCF4CBAC8" localSheetId="4" hidden="1">#REF!</definedName>
    <definedName name="BOF92F726FD98E4A5195B52ABBCF4CBAC8" hidden="1">#REF!</definedName>
    <definedName name="BOF9347D78A59A426A86C26A3751F3B5BD" localSheetId="5" hidden="1">#REF!</definedName>
    <definedName name="BOF9347D78A59A426A86C26A3751F3B5BD" localSheetId="4" hidden="1">#REF!</definedName>
    <definedName name="BOF9347D78A59A426A86C26A3751F3B5BD" hidden="1">#REF!</definedName>
    <definedName name="BOF9376400C8CF4FCD85B320E7EAD04A94" hidden="1">[8]Ketqua!$I$16:$U$16</definedName>
    <definedName name="BOF9473E9311E344EEA252202567A23848" localSheetId="5" hidden="1">#REF!</definedName>
    <definedName name="BOF9473E9311E344EEA252202567A23848" localSheetId="4" hidden="1">#REF!</definedName>
    <definedName name="BOF9473E9311E344EEA252202567A23848" hidden="1">#REF!</definedName>
    <definedName name="BOF9495CF6160944879E041E0D38789F50" localSheetId="5" hidden="1">#REF!</definedName>
    <definedName name="BOF9495CF6160944879E041E0D38789F50" localSheetId="4" hidden="1">#REF!</definedName>
    <definedName name="BOF9495CF6160944879E041E0D38789F50" hidden="1">#REF!</definedName>
    <definedName name="BOF9509C2000054150B4B30DF7C43A4A51" localSheetId="5" hidden="1">#REF!</definedName>
    <definedName name="BOF9509C2000054150B4B30DF7C43A4A51" localSheetId="4" hidden="1">#REF!</definedName>
    <definedName name="BOF9509C2000054150B4B30DF7C43A4A51" hidden="1">#REF!</definedName>
    <definedName name="BOF96C08372AB34C3A93A310CC91FD4B25" localSheetId="5" hidden="1">#REF!</definedName>
    <definedName name="BOF96C08372AB34C3A93A310CC91FD4B25" localSheetId="4" hidden="1">#REF!</definedName>
    <definedName name="BOF96C08372AB34C3A93A310CC91FD4B25" hidden="1">#REF!</definedName>
    <definedName name="BOF96D6F15B6C64D5C8030DD9389EA8255" localSheetId="5" hidden="1">#REF!</definedName>
    <definedName name="BOF96D6F15B6C64D5C8030DD9389EA8255" localSheetId="4" hidden="1">#REF!</definedName>
    <definedName name="BOF96D6F15B6C64D5C8030DD9389EA8255" hidden="1">#REF!</definedName>
    <definedName name="BOF972AA899FF64380B0A7A6AE986BE553" localSheetId="5" hidden="1">#REF!</definedName>
    <definedName name="BOF972AA899FF64380B0A7A6AE986BE553" localSheetId="4" hidden="1">#REF!</definedName>
    <definedName name="BOF972AA899FF64380B0A7A6AE986BE553" hidden="1">#REF!</definedName>
    <definedName name="BOF976143D93AF4A00A035132360605823" localSheetId="5" hidden="1">#REF!</definedName>
    <definedName name="BOF976143D93AF4A00A035132360605823" localSheetId="4" hidden="1">#REF!</definedName>
    <definedName name="BOF976143D93AF4A00A035132360605823" hidden="1">#REF!</definedName>
    <definedName name="BOF97FF29AFA964EB4A7194CFD2D06893A" localSheetId="5" hidden="1">#REF!</definedName>
    <definedName name="BOF97FF29AFA964EB4A7194CFD2D06893A" localSheetId="4" hidden="1">#REF!</definedName>
    <definedName name="BOF97FF29AFA964EB4A7194CFD2D06893A" hidden="1">#REF!</definedName>
    <definedName name="BOF982D863C97441DE8C3A59719A3F7A1C" localSheetId="5" hidden="1">[10]Giaitrinh!#REF!</definedName>
    <definedName name="BOF982D863C97441DE8C3A59719A3F7A1C" localSheetId="4" hidden="1">[10]Giaitrinh!#REF!</definedName>
    <definedName name="BOF982D863C97441DE8C3A59719A3F7A1C" hidden="1">[10]Giaitrinh!#REF!</definedName>
    <definedName name="BOF988328A7F834104BBD14188E005B28F" localSheetId="5" hidden="1">#REF!</definedName>
    <definedName name="BOF988328A7F834104BBD14188E005B28F" localSheetId="4" hidden="1">#REF!</definedName>
    <definedName name="BOF988328A7F834104BBD14188E005B28F" hidden="1">#REF!</definedName>
    <definedName name="BOF991385FBFDD4DD7AD5E7F1640C78BB8" localSheetId="5" hidden="1">[9]xml!#REF!</definedName>
    <definedName name="BOF991385FBFDD4DD7AD5E7F1640C78BB8" localSheetId="4" hidden="1">[9]xml!#REF!</definedName>
    <definedName name="BOF991385FBFDD4DD7AD5E7F1640C78BB8" hidden="1">[9]xml!#REF!</definedName>
    <definedName name="BOF9958D4FBFBF40E68FCC6DC7A805A18F" localSheetId="5" hidden="1">#REF!</definedName>
    <definedName name="BOF9958D4FBFBF40E68FCC6DC7A805A18F" localSheetId="4" hidden="1">#REF!</definedName>
    <definedName name="BOF9958D4FBFBF40E68FCC6DC7A805A18F" hidden="1">#REF!</definedName>
    <definedName name="BOF9A45AB7B2A9448590E895C700767392" localSheetId="5" hidden="1">#REF!</definedName>
    <definedName name="BOF9A45AB7B2A9448590E895C700767392" localSheetId="4" hidden="1">#REF!</definedName>
    <definedName name="BOF9A45AB7B2A9448590E895C700767392" hidden="1">#REF!</definedName>
    <definedName name="BOF9A745490A1F4A0695067659AAAB07E4" localSheetId="5" hidden="1">#REF!</definedName>
    <definedName name="BOF9A745490A1F4A0695067659AAAB07E4" localSheetId="4" hidden="1">#REF!</definedName>
    <definedName name="BOF9A745490A1F4A0695067659AAAB07E4" hidden="1">#REF!</definedName>
    <definedName name="BOF9B94F5DA17443B6A4C8EFC4C72F7800" localSheetId="5" hidden="1">#REF!</definedName>
    <definedName name="BOF9B94F5DA17443B6A4C8EFC4C72F7800" localSheetId="4" hidden="1">#REF!</definedName>
    <definedName name="BOF9B94F5DA17443B6A4C8EFC4C72F7800" hidden="1">#REF!</definedName>
    <definedName name="BOF9CCA466DDE34243A28BEC11EA7696FC" localSheetId="5" hidden="1">#REF!</definedName>
    <definedName name="BOF9CCA466DDE34243A28BEC11EA7696FC" localSheetId="4" hidden="1">#REF!</definedName>
    <definedName name="BOF9CCA466DDE34243A28BEC11EA7696FC" hidden="1">#REF!</definedName>
    <definedName name="BOF9D0F7B0FC8745ADA15A7F51ACA86046" localSheetId="5" hidden="1">#REF!</definedName>
    <definedName name="BOF9D0F7B0FC8745ADA15A7F51ACA86046" localSheetId="4" hidden="1">#REF!</definedName>
    <definedName name="BOF9D0F7B0FC8745ADA15A7F51ACA86046" hidden="1">#REF!</definedName>
    <definedName name="BOF9E3ACA774784CC185178823C21D0683" localSheetId="5" hidden="1">#REF!</definedName>
    <definedName name="BOF9E3ACA774784CC185178823C21D0683" localSheetId="4" hidden="1">#REF!</definedName>
    <definedName name="BOF9E3ACA774784CC185178823C21D0683" hidden="1">#REF!</definedName>
    <definedName name="BOF9E4F58BD63540A68A019559C64FCADD" localSheetId="5" hidden="1">#REF!</definedName>
    <definedName name="BOF9E4F58BD63540A68A019559C64FCADD" localSheetId="4" hidden="1">#REF!</definedName>
    <definedName name="BOF9E4F58BD63540A68A019559C64FCADD" hidden="1">#REF!</definedName>
    <definedName name="BOF9F15082364A4134B98686203548E9D2" localSheetId="5" hidden="1">#REF!</definedName>
    <definedName name="BOF9F15082364A4134B98686203548E9D2" localSheetId="4" hidden="1">#REF!</definedName>
    <definedName name="BOF9F15082364A4134B98686203548E9D2" hidden="1">#REF!</definedName>
    <definedName name="BOF9F2E505E437475E8029DC8D894C88D9" localSheetId="5" hidden="1">#REF!</definedName>
    <definedName name="BOF9F2E505E437475E8029DC8D894C88D9" localSheetId="4" hidden="1">#REF!</definedName>
    <definedName name="BOF9F2E505E437475E8029DC8D894C88D9" hidden="1">#REF!</definedName>
    <definedName name="BOF9F503D5C8DC4F159CA92378C6C2F165" localSheetId="5" hidden="1">#REF!</definedName>
    <definedName name="BOF9F503D5C8DC4F159CA92378C6C2F165" localSheetId="4" hidden="1">#REF!</definedName>
    <definedName name="BOF9F503D5C8DC4F159CA92378C6C2F165" hidden="1">#REF!</definedName>
    <definedName name="BOFA14A2D8CB234719B612B2CD55B5C9B9" localSheetId="5" hidden="1">#REF!</definedName>
    <definedName name="BOFA14A2D8CB234719B612B2CD55B5C9B9" localSheetId="4" hidden="1">#REF!</definedName>
    <definedName name="BOFA14A2D8CB234719B612B2CD55B5C9B9" hidden="1">#REF!</definedName>
    <definedName name="BOFA189D6399D741059121AB58C4681E1B" localSheetId="5" hidden="1">#REF!</definedName>
    <definedName name="BOFA189D6399D741059121AB58C4681E1B" localSheetId="4" hidden="1">#REF!</definedName>
    <definedName name="BOFA189D6399D741059121AB58C4681E1B" hidden="1">#REF!</definedName>
    <definedName name="BOFA2E4C0C11F94E2B84554B33EB6B97A8" localSheetId="5" hidden="1">#REF!</definedName>
    <definedName name="BOFA2E4C0C11F94E2B84554B33EB6B97A8" localSheetId="4" hidden="1">#REF!</definedName>
    <definedName name="BOFA2E4C0C11F94E2B84554B33EB6B97A8" hidden="1">#REF!</definedName>
    <definedName name="BOFA2EA8565515456BB492A0487B3028BB" localSheetId="5" hidden="1">#REF!</definedName>
    <definedName name="BOFA2EA8565515456BB492A0487B3028BB" localSheetId="4" hidden="1">#REF!</definedName>
    <definedName name="BOFA2EA8565515456BB492A0487B3028BB" hidden="1">#REF!</definedName>
    <definedName name="BOFA2F87762DFD484D94075FC95CB64240" localSheetId="5" hidden="1">#REF!</definedName>
    <definedName name="BOFA2F87762DFD484D94075FC95CB64240" localSheetId="4" hidden="1">#REF!</definedName>
    <definedName name="BOFA2F87762DFD484D94075FC95CB64240" hidden="1">#REF!</definedName>
    <definedName name="BOFA6FBCF148F348859DF1A84441CCBAE5" localSheetId="5" hidden="1">#REF!</definedName>
    <definedName name="BOFA6FBCF148F348859DF1A84441CCBAE5" localSheetId="4" hidden="1">#REF!</definedName>
    <definedName name="BOFA6FBCF148F348859DF1A84441CCBAE5" hidden="1">#REF!</definedName>
    <definedName name="BOFA8184CFE1FC4338A3A88450CE7FBCDE" localSheetId="5" hidden="1">#REF!</definedName>
    <definedName name="BOFA8184CFE1FC4338A3A88450CE7FBCDE" localSheetId="4" hidden="1">#REF!</definedName>
    <definedName name="BOFA8184CFE1FC4338A3A88450CE7FBCDE" hidden="1">#REF!</definedName>
    <definedName name="BOFA864009E0984036BEA4C678AD54A99F" localSheetId="5" hidden="1">#REF!</definedName>
    <definedName name="BOFA864009E0984036BEA4C678AD54A99F" localSheetId="4" hidden="1">#REF!</definedName>
    <definedName name="BOFA864009E0984036BEA4C678AD54A99F" hidden="1">#REF!</definedName>
    <definedName name="BOFAABE7614B284661B98C71FC73AF5357" localSheetId="5" hidden="1">#REF!</definedName>
    <definedName name="BOFAABE7614B284661B98C71FC73AF5357" localSheetId="4" hidden="1">#REF!</definedName>
    <definedName name="BOFAABE7614B284661B98C71FC73AF5357" hidden="1">#REF!</definedName>
    <definedName name="BOFAAF7563489F4EBB846DBD7F7F25745D" localSheetId="5" hidden="1">#REF!</definedName>
    <definedName name="BOFAAF7563489F4EBB846DBD7F7F25745D" localSheetId="4" hidden="1">#REF!</definedName>
    <definedName name="BOFAAF7563489F4EBB846DBD7F7F25745D" hidden="1">#REF!</definedName>
    <definedName name="BOFABF281E7BCD4437A50537084E3DF70B" localSheetId="5" hidden="1">#REF!</definedName>
    <definedName name="BOFABF281E7BCD4437A50537084E3DF70B" localSheetId="4" hidden="1">#REF!</definedName>
    <definedName name="BOFABF281E7BCD4437A50537084E3DF70B" hidden="1">#REF!</definedName>
    <definedName name="BOFAC709B4C59A409D8062E376F00BEAEB" localSheetId="5" hidden="1">#REF!</definedName>
    <definedName name="BOFAC709B4C59A409D8062E376F00BEAEB" localSheetId="4" hidden="1">#REF!</definedName>
    <definedName name="BOFAC709B4C59A409D8062E376F00BEAEB" hidden="1">#REF!</definedName>
    <definedName name="BOFAD762ED2D514C759268845816353004" localSheetId="5" hidden="1">#REF!</definedName>
    <definedName name="BOFAD762ED2D514C759268845816353004" localSheetId="4" hidden="1">#REF!</definedName>
    <definedName name="BOFAD762ED2D514C759268845816353004" hidden="1">#REF!</definedName>
    <definedName name="BOFADB24AA3390485390007D2B3F839443" localSheetId="5" hidden="1">#REF!</definedName>
    <definedName name="BOFADB24AA3390485390007D2B3F839443" localSheetId="4" hidden="1">#REF!</definedName>
    <definedName name="BOFADB24AA3390485390007D2B3F839443" hidden="1">#REF!</definedName>
    <definedName name="BOFADCBEB7759F40CA91F6F631953F161A" localSheetId="5" hidden="1">#REF!</definedName>
    <definedName name="BOFADCBEB7759F40CA91F6F631953F161A" localSheetId="4" hidden="1">#REF!</definedName>
    <definedName name="BOFADCBEB7759F40CA91F6F631953F161A" hidden="1">#REF!</definedName>
    <definedName name="BOFADD414F69F540FF8B531AF652DF4925" localSheetId="5" hidden="1">#REF!</definedName>
    <definedName name="BOFADD414F69F540FF8B531AF652DF4925" localSheetId="4" hidden="1">#REF!</definedName>
    <definedName name="BOFADD414F69F540FF8B531AF652DF4925" hidden="1">#REF!</definedName>
    <definedName name="BOFAE7E4251410458986CD581678A37D58" localSheetId="5" hidden="1">#REF!</definedName>
    <definedName name="BOFAE7E4251410458986CD581678A37D58" localSheetId="4" hidden="1">#REF!</definedName>
    <definedName name="BOFAE7E4251410458986CD581678A37D58" hidden="1">#REF!</definedName>
    <definedName name="BOFAF108511F4F4BAEA60AD9274BE9D23E" localSheetId="5" hidden="1">#REF!</definedName>
    <definedName name="BOFAF108511F4F4BAEA60AD9274BE9D23E" localSheetId="4" hidden="1">#REF!</definedName>
    <definedName name="BOFAF108511F4F4BAEA60AD9274BE9D23E" hidden="1">#REF!</definedName>
    <definedName name="BOFB0ED15CCAEE44CC83241EE8F264C79F" localSheetId="5" hidden="1">#REF!</definedName>
    <definedName name="BOFB0ED15CCAEE44CC83241EE8F264C79F" localSheetId="4" hidden="1">#REF!</definedName>
    <definedName name="BOFB0ED15CCAEE44CC83241EE8F264C79F" hidden="1">#REF!</definedName>
    <definedName name="BOFB0EFF5180C64CC58011020FA1EED728" localSheetId="5" hidden="1">#REF!</definedName>
    <definedName name="BOFB0EFF5180C64CC58011020FA1EED728" localSheetId="4" hidden="1">#REF!</definedName>
    <definedName name="BOFB0EFF5180C64CC58011020FA1EED728" hidden="1">#REF!</definedName>
    <definedName name="BOFB1C41C30B6E4FDDB1D2E412168345EA" localSheetId="5" hidden="1">#REF!</definedName>
    <definedName name="BOFB1C41C30B6E4FDDB1D2E412168345EA" localSheetId="4" hidden="1">#REF!</definedName>
    <definedName name="BOFB1C41C30B6E4FDDB1D2E412168345EA" hidden="1">#REF!</definedName>
    <definedName name="BOFB23DD2B62EB470992A82EC97423E4B4" localSheetId="5" hidden="1">#REF!</definedName>
    <definedName name="BOFB23DD2B62EB470992A82EC97423E4B4" localSheetId="4" hidden="1">#REF!</definedName>
    <definedName name="BOFB23DD2B62EB470992A82EC97423E4B4" hidden="1">#REF!</definedName>
    <definedName name="BOFB24A1F273BD4AAB9F0EB3D97D98BE90" localSheetId="5" hidden="1">#REF!</definedName>
    <definedName name="BOFB24A1F273BD4AAB9F0EB3D97D98BE90" localSheetId="4" hidden="1">#REF!</definedName>
    <definedName name="BOFB24A1F273BD4AAB9F0EB3D97D98BE90" hidden="1">#REF!</definedName>
    <definedName name="BOFB336458987A4A00A14567345C5A3BC3" localSheetId="5" hidden="1">#REF!</definedName>
    <definedName name="BOFB336458987A4A00A14567345C5A3BC3" localSheetId="4" hidden="1">#REF!</definedName>
    <definedName name="BOFB336458987A4A00A14567345C5A3BC3" hidden="1">#REF!</definedName>
    <definedName name="BOFB38EB43E6304712AF177DBDED21937E" localSheetId="5" hidden="1">#REF!</definedName>
    <definedName name="BOFB38EB43E6304712AF177DBDED21937E" localSheetId="4" hidden="1">#REF!</definedName>
    <definedName name="BOFB38EB43E6304712AF177DBDED21937E" hidden="1">#REF!</definedName>
    <definedName name="BOFB61BAF274A844AA886C85D6CD7CC1BD" localSheetId="5" hidden="1">#REF!</definedName>
    <definedName name="BOFB61BAF274A844AA886C85D6CD7CC1BD" localSheetId="4" hidden="1">#REF!</definedName>
    <definedName name="BOFB61BAF274A844AA886C85D6CD7CC1BD" hidden="1">#REF!</definedName>
    <definedName name="BOFB68B3AB13A949D6B91D57867C55ACBD" localSheetId="5" hidden="1">#REF!</definedName>
    <definedName name="BOFB68B3AB13A949D6B91D57867C55ACBD" localSheetId="4" hidden="1">#REF!</definedName>
    <definedName name="BOFB68B3AB13A949D6B91D57867C55ACBD" hidden="1">#REF!</definedName>
    <definedName name="BOFB8FF5299BAC4A3980A0C9D97B2C2A8F" localSheetId="5" hidden="1">#REF!</definedName>
    <definedName name="BOFB8FF5299BAC4A3980A0C9D97B2C2A8F" localSheetId="4" hidden="1">#REF!</definedName>
    <definedName name="BOFB8FF5299BAC4A3980A0C9D97B2C2A8F" hidden="1">#REF!</definedName>
    <definedName name="BOFB968A6400F743F4854F733F192BCE8B" localSheetId="5" hidden="1">#REF!</definedName>
    <definedName name="BOFB968A6400F743F4854F733F192BCE8B" localSheetId="4" hidden="1">#REF!</definedName>
    <definedName name="BOFB968A6400F743F4854F733F192BCE8B" hidden="1">#REF!</definedName>
    <definedName name="BOFBD1BBF7BCC14007A52AFA1AC14DFD90" localSheetId="5" hidden="1">#REF!</definedName>
    <definedName name="BOFBD1BBF7BCC14007A52AFA1AC14DFD90" localSheetId="4" hidden="1">#REF!</definedName>
    <definedName name="BOFBD1BBF7BCC14007A52AFA1AC14DFD90" hidden="1">#REF!</definedName>
    <definedName name="BOFBFA26DFEF144767B8A3C37E2B38B6F9" localSheetId="5" hidden="1">#REF!</definedName>
    <definedName name="BOFBFA26DFEF144767B8A3C37E2B38B6F9" localSheetId="4" hidden="1">#REF!</definedName>
    <definedName name="BOFBFA26DFEF144767B8A3C37E2B38B6F9" hidden="1">#REF!</definedName>
    <definedName name="BOFC008101E26942739BCE45A22FDC1809" localSheetId="5" hidden="1">#REF!</definedName>
    <definedName name="BOFC008101E26942739BCE45A22FDC1809" localSheetId="4" hidden="1">#REF!</definedName>
    <definedName name="BOFC008101E26942739BCE45A22FDC1809" hidden="1">#REF!</definedName>
    <definedName name="BOFC045940DE784286BED8F1C82FAE062C" localSheetId="5" hidden="1">#REF!</definedName>
    <definedName name="BOFC045940DE784286BED8F1C82FAE062C" localSheetId="4" hidden="1">#REF!</definedName>
    <definedName name="BOFC045940DE784286BED8F1C82FAE062C" hidden="1">#REF!</definedName>
    <definedName name="BOFC0AD63A8DF04E2694B0F8B680580A51" localSheetId="5" hidden="1">#REF!</definedName>
    <definedName name="BOFC0AD63A8DF04E2694B0F8B680580A51" localSheetId="4" hidden="1">#REF!</definedName>
    <definedName name="BOFC0AD63A8DF04E2694B0F8B680580A51" hidden="1">#REF!</definedName>
    <definedName name="BOFC101594CCBD46F69B92FD32FB5B2967" localSheetId="5" hidden="1">#REF!</definedName>
    <definedName name="BOFC101594CCBD46F69B92FD32FB5B2967" localSheetId="4" hidden="1">#REF!</definedName>
    <definedName name="BOFC101594CCBD46F69B92FD32FB5B2967" hidden="1">#REF!</definedName>
    <definedName name="BOFC20CB619321432096E32CF8510489B8" localSheetId="5" hidden="1">#REF!</definedName>
    <definedName name="BOFC20CB619321432096E32CF8510489B8" localSheetId="4" hidden="1">#REF!</definedName>
    <definedName name="BOFC20CB619321432096E32CF8510489B8" hidden="1">#REF!</definedName>
    <definedName name="BOFC33C63EDBAF47EB8A640EEA56C78CFD" localSheetId="5" hidden="1">#REF!</definedName>
    <definedName name="BOFC33C63EDBAF47EB8A640EEA56C78CFD" localSheetId="4" hidden="1">#REF!</definedName>
    <definedName name="BOFC33C63EDBAF47EB8A640EEA56C78CFD" hidden="1">#REF!</definedName>
    <definedName name="BOFC3CE9B777E942BF8427BC366D3B0A70" localSheetId="5" hidden="1">[7]lailo!#REF!</definedName>
    <definedName name="BOFC3CE9B777E942BF8427BC366D3B0A70" localSheetId="4" hidden="1">[7]lailo!#REF!</definedName>
    <definedName name="BOFC3CE9B777E942BF8427BC366D3B0A70" hidden="1">[7]lailo!#REF!</definedName>
    <definedName name="BOFC4D075129CE42B6A11BB16DE21CCC94" localSheetId="5" hidden="1">#REF!</definedName>
    <definedName name="BOFC4D075129CE42B6A11BB16DE21CCC94" localSheetId="4" hidden="1">#REF!</definedName>
    <definedName name="BOFC4D075129CE42B6A11BB16DE21CCC94" hidden="1">#REF!</definedName>
    <definedName name="BOFC57A9C3720F428986EA4B1EC7CA21AB" localSheetId="5" hidden="1">#REF!</definedName>
    <definedName name="BOFC57A9C3720F428986EA4B1EC7CA21AB" localSheetId="4" hidden="1">#REF!</definedName>
    <definedName name="BOFC57A9C3720F428986EA4B1EC7CA21AB" hidden="1">#REF!</definedName>
    <definedName name="BOFC5BF5B340284577A6C0DA03F1824FF8" localSheetId="5" hidden="1">#REF!</definedName>
    <definedName name="BOFC5BF5B340284577A6C0DA03F1824FF8" localSheetId="4" hidden="1">#REF!</definedName>
    <definedName name="BOFC5BF5B340284577A6C0DA03F1824FF8" hidden="1">#REF!</definedName>
    <definedName name="BOFC63B121E6E140ADA0046BB9BE7A9060" localSheetId="5" hidden="1">#REF!</definedName>
    <definedName name="BOFC63B121E6E140ADA0046BB9BE7A9060" localSheetId="4" hidden="1">#REF!</definedName>
    <definedName name="BOFC63B121E6E140ADA0046BB9BE7A9060" hidden="1">#REF!</definedName>
    <definedName name="BOFC6609E556BD4F95B45D1F09F1AEA6EE" localSheetId="5" hidden="1">#REF!</definedName>
    <definedName name="BOFC6609E556BD4F95B45D1F09F1AEA6EE" localSheetId="4" hidden="1">#REF!</definedName>
    <definedName name="BOFC6609E556BD4F95B45D1F09F1AEA6EE" hidden="1">#REF!</definedName>
    <definedName name="BOFC691235AADD4AF99E5F69CD249F2546" localSheetId="5" hidden="1">#REF!</definedName>
    <definedName name="BOFC691235AADD4AF99E5F69CD249F2546" localSheetId="4" hidden="1">#REF!</definedName>
    <definedName name="BOFC691235AADD4AF99E5F69CD249F2546" hidden="1">#REF!</definedName>
    <definedName name="BOFC6F26D94F9449DDB7564BA7882684D4" localSheetId="5" hidden="1">#REF!</definedName>
    <definedName name="BOFC6F26D94F9449DDB7564BA7882684D4" localSheetId="4" hidden="1">#REF!</definedName>
    <definedName name="BOFC6F26D94F9449DDB7564BA7882684D4" hidden="1">#REF!</definedName>
    <definedName name="BOFC779837E3E04A1985835E5DF253266E" localSheetId="5" hidden="1">[9]xml!#REF!</definedName>
    <definedName name="BOFC779837E3E04A1985835E5DF253266E" localSheetId="4" hidden="1">[9]xml!#REF!</definedName>
    <definedName name="BOFC779837E3E04A1985835E5DF253266E" hidden="1">[9]xml!#REF!</definedName>
    <definedName name="BOFC7F5101C80E4CB49BB40D848A9BC45C" localSheetId="5" hidden="1">#REF!</definedName>
    <definedName name="BOFC7F5101C80E4CB49BB40D848A9BC45C" localSheetId="4" hidden="1">#REF!</definedName>
    <definedName name="BOFC7F5101C80E4CB49BB40D848A9BC45C" hidden="1">#REF!</definedName>
    <definedName name="BOFC8258CEE69144D39FFA958E0FC3F2A7" localSheetId="5" hidden="1">#REF!</definedName>
    <definedName name="BOFC8258CEE69144D39FFA958E0FC3F2A7" localSheetId="4" hidden="1">#REF!</definedName>
    <definedName name="BOFC8258CEE69144D39FFA958E0FC3F2A7" hidden="1">#REF!</definedName>
    <definedName name="BOFC9287FB937E45768ACB07545CEEA2D9" localSheetId="5" hidden="1">#REF!</definedName>
    <definedName name="BOFC9287FB937E45768ACB07545CEEA2D9" localSheetId="4" hidden="1">#REF!</definedName>
    <definedName name="BOFC9287FB937E45768ACB07545CEEA2D9" hidden="1">#REF!</definedName>
    <definedName name="BOFCAD2E401667477E9D464FB1AA22C096" localSheetId="5" hidden="1">#REF!</definedName>
    <definedName name="BOFCAD2E401667477E9D464FB1AA22C096" localSheetId="4" hidden="1">#REF!</definedName>
    <definedName name="BOFCAD2E401667477E9D464FB1AA22C096" hidden="1">#REF!</definedName>
    <definedName name="BOFCB243D312254A6495E9987C2B550B68" localSheetId="5" hidden="1">#REF!</definedName>
    <definedName name="BOFCB243D312254A6495E9987C2B550B68" localSheetId="4" hidden="1">#REF!</definedName>
    <definedName name="BOFCB243D312254A6495E9987C2B550B68" hidden="1">#REF!</definedName>
    <definedName name="BOFCBB253B873A4BF4812203F3D9F1159E" localSheetId="5" hidden="1">#REF!</definedName>
    <definedName name="BOFCBB253B873A4BF4812203F3D9F1159E" localSheetId="4" hidden="1">#REF!</definedName>
    <definedName name="BOFCBB253B873A4BF4812203F3D9F1159E" hidden="1">#REF!</definedName>
    <definedName name="BOFCBD10D75B584C3B8A3E8226942B145A" localSheetId="5" hidden="1">#REF!</definedName>
    <definedName name="BOFCBD10D75B584C3B8A3E8226942B145A" localSheetId="4" hidden="1">#REF!</definedName>
    <definedName name="BOFCBD10D75B584C3B8A3E8226942B145A" hidden="1">#REF!</definedName>
    <definedName name="BOFCD34CDD80394B87AEAC50BECDC201A3" localSheetId="5" hidden="1">#REF!</definedName>
    <definedName name="BOFCD34CDD80394B87AEAC50BECDC201A3" localSheetId="4" hidden="1">#REF!</definedName>
    <definedName name="BOFCD34CDD80394B87AEAC50BECDC201A3" hidden="1">#REF!</definedName>
    <definedName name="BOFCDFF25E56A14D89BFF3E1405350803E" localSheetId="5" hidden="1">#REF!</definedName>
    <definedName name="BOFCDFF25E56A14D89BFF3E1405350803E" localSheetId="4" hidden="1">#REF!</definedName>
    <definedName name="BOFCDFF25E56A14D89BFF3E1405350803E" hidden="1">#REF!</definedName>
    <definedName name="BOFCED67DF69DE4476812BDAF010897053" localSheetId="5" hidden="1">#REF!</definedName>
    <definedName name="BOFCED67DF69DE4476812BDAF010897053" localSheetId="4" hidden="1">#REF!</definedName>
    <definedName name="BOFCED67DF69DE4476812BDAF010897053" hidden="1">#REF!</definedName>
    <definedName name="BOFCF51C93505B48AC82B9911B1E5E5C72" localSheetId="5" hidden="1">#REF!</definedName>
    <definedName name="BOFCF51C93505B48AC82B9911B1E5E5C72" localSheetId="4" hidden="1">#REF!</definedName>
    <definedName name="BOFCF51C93505B48AC82B9911B1E5E5C72" hidden="1">#REF!</definedName>
    <definedName name="BOFCF5F88759524BD49F9A58056E524EC0" localSheetId="5" hidden="1">#REF!</definedName>
    <definedName name="BOFCF5F88759524BD49F9A58056E524EC0" localSheetId="4" hidden="1">#REF!</definedName>
    <definedName name="BOFCF5F88759524BD49F9A58056E524EC0" hidden="1">#REF!</definedName>
    <definedName name="BOFD09022DAC094A40B6A03F0E06944AFA" localSheetId="5" hidden="1">#REF!</definedName>
    <definedName name="BOFD09022DAC094A40B6A03F0E06944AFA" localSheetId="4" hidden="1">#REF!</definedName>
    <definedName name="BOFD09022DAC094A40B6A03F0E06944AFA" hidden="1">#REF!</definedName>
    <definedName name="BOFD35A9EBC9AF4FBEBE5A0479FE5879B2" localSheetId="5" hidden="1">#REF!</definedName>
    <definedName name="BOFD35A9EBC9AF4FBEBE5A0479FE5879B2" localSheetId="4" hidden="1">#REF!</definedName>
    <definedName name="BOFD35A9EBC9AF4FBEBE5A0479FE5879B2" hidden="1">#REF!</definedName>
    <definedName name="BOFD529BCDFD5B4DC1A3A3F2BB939D10F7" localSheetId="5" hidden="1">[8]Ketqua!#REF!</definedName>
    <definedName name="BOFD529BCDFD5B4DC1A3A3F2BB939D10F7" localSheetId="4" hidden="1">[8]Ketqua!#REF!</definedName>
    <definedName name="BOFD529BCDFD5B4DC1A3A3F2BB939D10F7" hidden="1">[8]Ketqua!#REF!</definedName>
    <definedName name="BOFD5E2143B12F483587A09AD3B288A61C" localSheetId="5" hidden="1">#REF!</definedName>
    <definedName name="BOFD5E2143B12F483587A09AD3B288A61C" localSheetId="4" hidden="1">#REF!</definedName>
    <definedName name="BOFD5E2143B12F483587A09AD3B288A61C" hidden="1">#REF!</definedName>
    <definedName name="BOFD79C7BF9A1346D0A685FB6DB1AADE0A" localSheetId="5" hidden="1">#REF!</definedName>
    <definedName name="BOFD79C7BF9A1346D0A685FB6DB1AADE0A" localSheetId="4" hidden="1">#REF!</definedName>
    <definedName name="BOFD79C7BF9A1346D0A685FB6DB1AADE0A" hidden="1">#REF!</definedName>
    <definedName name="BOFD82A95F5FB94E42A8A06E3851F79812" localSheetId="5" hidden="1">#REF!</definedName>
    <definedName name="BOFD82A95F5FB94E42A8A06E3851F79812" localSheetId="4" hidden="1">#REF!</definedName>
    <definedName name="BOFD82A95F5FB94E42A8A06E3851F79812" hidden="1">#REF!</definedName>
    <definedName name="BOFD874DA25FE34C4491FF7FD101BDB413" localSheetId="5" hidden="1">#REF!</definedName>
    <definedName name="BOFD874DA25FE34C4491FF7FD101BDB413" localSheetId="4" hidden="1">#REF!</definedName>
    <definedName name="BOFD874DA25FE34C4491FF7FD101BDB413" hidden="1">#REF!</definedName>
    <definedName name="BOFD8DF3176E384B91BF0EC93EA8ADD67B" localSheetId="5" hidden="1">#REF!</definedName>
    <definedName name="BOFD8DF3176E384B91BF0EC93EA8ADD67B" localSheetId="4" hidden="1">#REF!</definedName>
    <definedName name="BOFD8DF3176E384B91BF0EC93EA8ADD67B" hidden="1">#REF!</definedName>
    <definedName name="BOFDCC656927E84A0FADEE4B8B6A1DF3D9" localSheetId="5" hidden="1">#REF!</definedName>
    <definedName name="BOFDCC656927E84A0FADEE4B8B6A1DF3D9" localSheetId="4" hidden="1">#REF!</definedName>
    <definedName name="BOFDCC656927E84A0FADEE4B8B6A1DF3D9" hidden="1">#REF!</definedName>
    <definedName name="BOFDD38408EFBA4E48B1BF3BB4C93F7722" localSheetId="5" hidden="1">#REF!</definedName>
    <definedName name="BOFDD38408EFBA4E48B1BF3BB4C93F7722" localSheetId="4" hidden="1">#REF!</definedName>
    <definedName name="BOFDD38408EFBA4E48B1BF3BB4C93F7722" hidden="1">#REF!</definedName>
    <definedName name="BOFDE93B5065FB45D986A9CD4335AFE32A" localSheetId="5" hidden="1">#REF!</definedName>
    <definedName name="BOFDE93B5065FB45D986A9CD4335AFE32A" localSheetId="4" hidden="1">#REF!</definedName>
    <definedName name="BOFDE93B5065FB45D986A9CD4335AFE32A" hidden="1">#REF!</definedName>
    <definedName name="BOFE00DF51A0EB49A7A34E8FA3390A298A" localSheetId="5" hidden="1">#REF!</definedName>
    <definedName name="BOFE00DF51A0EB49A7A34E8FA3390A298A" localSheetId="4" hidden="1">#REF!</definedName>
    <definedName name="BOFE00DF51A0EB49A7A34E8FA3390A298A" hidden="1">#REF!</definedName>
    <definedName name="BOFE0305390B704C48BA2EC4A05D8EC976" localSheetId="5" hidden="1">#REF!</definedName>
    <definedName name="BOFE0305390B704C48BA2EC4A05D8EC976" localSheetId="4" hidden="1">#REF!</definedName>
    <definedName name="BOFE0305390B704C48BA2EC4A05D8EC976" hidden="1">#REF!</definedName>
    <definedName name="BOFE0FFADB41B0470093CD34743DAA5984" localSheetId="5" hidden="1">#REF!</definedName>
    <definedName name="BOFE0FFADB41B0470093CD34743DAA5984" localSheetId="4" hidden="1">#REF!</definedName>
    <definedName name="BOFE0FFADB41B0470093CD34743DAA5984" hidden="1">#REF!</definedName>
    <definedName name="BOFE104079BCB74F42AC8C73CF51936A57" localSheetId="5" hidden="1">#REF!</definedName>
    <definedName name="BOFE104079BCB74F42AC8C73CF51936A57" localSheetId="4" hidden="1">#REF!</definedName>
    <definedName name="BOFE104079BCB74F42AC8C73CF51936A57" hidden="1">#REF!</definedName>
    <definedName name="BOFE2C082080CE48AA8E4C30C2B75D5825" localSheetId="5" hidden="1">#REF!</definedName>
    <definedName name="BOFE2C082080CE48AA8E4C30C2B75D5825" localSheetId="4" hidden="1">#REF!</definedName>
    <definedName name="BOFE2C082080CE48AA8E4C30C2B75D5825" hidden="1">#REF!</definedName>
    <definedName name="BOFE2E98B7B96147599125BD16B196EA9A" localSheetId="5" hidden="1">#REF!</definedName>
    <definedName name="BOFE2E98B7B96147599125BD16B196EA9A" localSheetId="4" hidden="1">#REF!</definedName>
    <definedName name="BOFE2E98B7B96147599125BD16B196EA9A" hidden="1">#REF!</definedName>
    <definedName name="BOFE41334C9AD242EEA312F0B97D8E3059" localSheetId="5" hidden="1">#REF!</definedName>
    <definedName name="BOFE41334C9AD242EEA312F0B97D8E3059" localSheetId="4" hidden="1">#REF!</definedName>
    <definedName name="BOFE41334C9AD242EEA312F0B97D8E3059" hidden="1">#REF!</definedName>
    <definedName name="BOFE459DCF30C94B4DACF4260619CAA431" localSheetId="5" hidden="1">#REF!</definedName>
    <definedName name="BOFE459DCF30C94B4DACF4260619CAA431" localSheetId="4" hidden="1">#REF!</definedName>
    <definedName name="BOFE459DCF30C94B4DACF4260619CAA431" hidden="1">#REF!</definedName>
    <definedName name="BOFE4D5636C6C1455EB8E15538F807A9DF" localSheetId="5" hidden="1">#REF!</definedName>
    <definedName name="BOFE4D5636C6C1455EB8E15538F807A9DF" localSheetId="4" hidden="1">#REF!</definedName>
    <definedName name="BOFE4D5636C6C1455EB8E15538F807A9DF" hidden="1">#REF!</definedName>
    <definedName name="BOFE80B2BAD5AA490FB1090A0F5A6B2D3E" localSheetId="5" hidden="1">#REF!</definedName>
    <definedName name="BOFE80B2BAD5AA490FB1090A0F5A6B2D3E" localSheetId="4" hidden="1">#REF!</definedName>
    <definedName name="BOFE80B2BAD5AA490FB1090A0F5A6B2D3E" hidden="1">#REF!</definedName>
    <definedName name="BOFEA2179B495045B3A4AEF004A8395435" localSheetId="5" hidden="1">#REF!</definedName>
    <definedName name="BOFEA2179B495045B3A4AEF004A8395435" localSheetId="4" hidden="1">#REF!</definedName>
    <definedName name="BOFEA2179B495045B3A4AEF004A8395435" hidden="1">#REF!</definedName>
    <definedName name="BOFEA268FA880B4422B6FC7D3D19D7E134" localSheetId="5" hidden="1">#REF!</definedName>
    <definedName name="BOFEA268FA880B4422B6FC7D3D19D7E134" localSheetId="4" hidden="1">#REF!</definedName>
    <definedName name="BOFEA268FA880B4422B6FC7D3D19D7E134" hidden="1">#REF!</definedName>
    <definedName name="BOFEA5122D1E64440F99EE2A3A11DF2E00" localSheetId="5" hidden="1">#REF!</definedName>
    <definedName name="BOFEA5122D1E64440F99EE2A3A11DF2E00" localSheetId="4" hidden="1">#REF!</definedName>
    <definedName name="BOFEA5122D1E64440F99EE2A3A11DF2E00" hidden="1">#REF!</definedName>
    <definedName name="BOFEA6BEA308954340BEC08D6EE88D6232" localSheetId="5" hidden="1">#REF!</definedName>
    <definedName name="BOFEA6BEA308954340BEC08D6EE88D6232" localSheetId="4" hidden="1">#REF!</definedName>
    <definedName name="BOFEA6BEA308954340BEC08D6EE88D6232" hidden="1">#REF!</definedName>
    <definedName name="BOFEBB355536364ED8B2C1BF3DA875F9C0" localSheetId="5" hidden="1">#REF!</definedName>
    <definedName name="BOFEBB355536364ED8B2C1BF3DA875F9C0" localSheetId="4" hidden="1">#REF!</definedName>
    <definedName name="BOFEBB355536364ED8B2C1BF3DA875F9C0" hidden="1">#REF!</definedName>
    <definedName name="BOFECBA6BF0DDF47A399CF8EFFFD2E6585" localSheetId="5" hidden="1">#REF!</definedName>
    <definedName name="BOFECBA6BF0DDF47A399CF8EFFFD2E6585" localSheetId="4" hidden="1">#REF!</definedName>
    <definedName name="BOFECBA6BF0DDF47A399CF8EFFFD2E6585" hidden="1">#REF!</definedName>
    <definedName name="BOFEEA8528210641EAAB5BD7AF7B5A478A" localSheetId="5" hidden="1">[8]Ketqua!#REF!</definedName>
    <definedName name="BOFEEA8528210641EAAB5BD7AF7B5A478A" localSheetId="4" hidden="1">[8]Ketqua!#REF!</definedName>
    <definedName name="BOFEEA8528210641EAAB5BD7AF7B5A478A" hidden="1">[8]Ketqua!#REF!</definedName>
    <definedName name="BOFEEC3A32A9914EA8B78F465349332185" localSheetId="5" hidden="1">#REF!</definedName>
    <definedName name="BOFEEC3A32A9914EA8B78F465349332185" localSheetId="4" hidden="1">#REF!</definedName>
    <definedName name="BOFEEC3A32A9914EA8B78F465349332185" hidden="1">#REF!</definedName>
    <definedName name="BOFF2E1E2C77F74388A8E5E3760D657FFD" hidden="1">[8]Ketqua!$I$16:$U$16</definedName>
    <definedName name="BOFF32ED69DF574CE1B5269D9FDC3CA006" localSheetId="5" hidden="1">#REF!</definedName>
    <definedName name="BOFF32ED69DF574CE1B5269D9FDC3CA006" localSheetId="4" hidden="1">#REF!</definedName>
    <definedName name="BOFF32ED69DF574CE1B5269D9FDC3CA006" hidden="1">#REF!</definedName>
    <definedName name="BOFF3F97E7FAA347979ACC7B2E0F8F09D1" localSheetId="5" hidden="1">#REF!</definedName>
    <definedName name="BOFF3F97E7FAA347979ACC7B2E0F8F09D1" localSheetId="4" hidden="1">#REF!</definedName>
    <definedName name="BOFF3F97E7FAA347979ACC7B2E0F8F09D1" hidden="1">#REF!</definedName>
    <definedName name="BOFF458E10C67C4BAB8744461B7772FA47" localSheetId="5" hidden="1">#REF!</definedName>
    <definedName name="BOFF458E10C67C4BAB8744461B7772FA47" localSheetId="4" hidden="1">#REF!</definedName>
    <definedName name="BOFF458E10C67C4BAB8744461B7772FA47" hidden="1">#REF!</definedName>
    <definedName name="BOFF4D952AA1C249788BD8E15A5BF80074" localSheetId="5" hidden="1">[9]xml!#REF!</definedName>
    <definedName name="BOFF4D952AA1C249788BD8E15A5BF80074" localSheetId="4" hidden="1">[9]xml!#REF!</definedName>
    <definedName name="BOFF4D952AA1C249788BD8E15A5BF80074" hidden="1">[9]xml!#REF!</definedName>
    <definedName name="BOFF5152834B86472C8425B2909C1A43A0" localSheetId="5" hidden="1">#REF!</definedName>
    <definedName name="BOFF5152834B86472C8425B2909C1A43A0" localSheetId="4" hidden="1">#REF!</definedName>
    <definedName name="BOFF5152834B86472C8425B2909C1A43A0" hidden="1">#REF!</definedName>
    <definedName name="BOFF5544F0476F470FA140C6EE947E013F" localSheetId="5" hidden="1">#REF!</definedName>
    <definedName name="BOFF5544F0476F470FA140C6EE947E013F" localSheetId="4" hidden="1">#REF!</definedName>
    <definedName name="BOFF5544F0476F470FA140C6EE947E013F" hidden="1">#REF!</definedName>
    <definedName name="BOFF61E3DC87BE4E8894E44CFB42BEB0B5" localSheetId="5" hidden="1">#REF!</definedName>
    <definedName name="BOFF61E3DC87BE4E8894E44CFB42BEB0B5" localSheetId="4" hidden="1">#REF!</definedName>
    <definedName name="BOFF61E3DC87BE4E8894E44CFB42BEB0B5" hidden="1">#REF!</definedName>
    <definedName name="BOFF7354F4CFE744118927DE3AC1F26857" localSheetId="5" hidden="1">#REF!</definedName>
    <definedName name="BOFF7354F4CFE744118927DE3AC1F26857" localSheetId="4" hidden="1">#REF!</definedName>
    <definedName name="BOFF7354F4CFE744118927DE3AC1F26857" hidden="1">#REF!</definedName>
    <definedName name="BOFF7CC3ACE061481A91BF100123E466EF" localSheetId="5" hidden="1">#REF!</definedName>
    <definedName name="BOFF7CC3ACE061481A91BF100123E466EF" localSheetId="4" hidden="1">#REF!</definedName>
    <definedName name="BOFF7CC3ACE061481A91BF100123E466EF" hidden="1">#REF!</definedName>
    <definedName name="BOFF87B8F6B5864EECBDE77815553155A1" localSheetId="5" hidden="1">#REF!</definedName>
    <definedName name="BOFF87B8F6B5864EECBDE77815553155A1" localSheetId="4" hidden="1">#REF!</definedName>
    <definedName name="BOFF87B8F6B5864EECBDE77815553155A1" hidden="1">#REF!</definedName>
    <definedName name="BOFFAD1CB3BE7244B592EB425A803DEA0A" localSheetId="5" hidden="1">#REF!</definedName>
    <definedName name="BOFFAD1CB3BE7244B592EB425A803DEA0A" localSheetId="4" hidden="1">#REF!</definedName>
    <definedName name="BOFFAD1CB3BE7244B592EB425A803DEA0A" hidden="1">#REF!</definedName>
    <definedName name="BOFFB810C12CDE4118959DABB722F07483" localSheetId="5" hidden="1">#REF!</definedName>
    <definedName name="BOFFB810C12CDE4118959DABB722F07483" localSheetId="4" hidden="1">#REF!</definedName>
    <definedName name="BOFFB810C12CDE4118959DABB722F07483" hidden="1">#REF!</definedName>
    <definedName name="BOFFC6A738E872423F9F535B7F1AC62C55" localSheetId="5" hidden="1">#REF!</definedName>
    <definedName name="BOFFC6A738E872423F9F535B7F1AC62C55" localSheetId="4" hidden="1">#REF!</definedName>
    <definedName name="BOFFC6A738E872423F9F535B7F1AC62C55" hidden="1">#REF!</definedName>
    <definedName name="BOFFC7E6E57EB640D7BEF9BDA03B1F0924" localSheetId="5" hidden="1">#REF!</definedName>
    <definedName name="BOFFC7E6E57EB640D7BEF9BDA03B1F0924" localSheetId="4" hidden="1">#REF!</definedName>
    <definedName name="BOFFC7E6E57EB640D7BEF9BDA03B1F0924" hidden="1">#REF!</definedName>
    <definedName name="BOFFD8B225E60E4EF78F585F6FA950656C" localSheetId="5" hidden="1">#REF!</definedName>
    <definedName name="BOFFD8B225E60E4EF78F585F6FA950656C" localSheetId="4" hidden="1">#REF!</definedName>
    <definedName name="BOFFD8B225E60E4EF78F585F6FA950656C" hidden="1">#REF!</definedName>
    <definedName name="BOFFE294C8BEC14E96831F290FF84C2EFA" localSheetId="5" hidden="1">#REF!</definedName>
    <definedName name="BOFFE294C8BEC14E96831F290FF84C2EFA" localSheetId="4" hidden="1">#REF!</definedName>
    <definedName name="BOFFE294C8BEC14E96831F290FF84C2EFA" hidden="1">#REF!</definedName>
    <definedName name="BOFFFD3BC2598042B6B6D7E8BEE0BC46D2" localSheetId="5" hidden="1">#REF!</definedName>
    <definedName name="BOFFFD3BC2598042B6B6D7E8BEE0BC46D2" localSheetId="4" hidden="1">#REF!</definedName>
    <definedName name="BOFFFD3BC2598042B6B6D7E8BEE0BC46D2" hidden="1">#REF!</definedName>
    <definedName name="boonthak" localSheetId="5" hidden="1">{"'ตัวอย่าง'!$A$1:$O$21"}</definedName>
    <definedName name="boonthak" hidden="1">{"'ตัวอย่าง'!$A$1:$O$21"}</definedName>
    <definedName name="bs" localSheetId="5" hidden="1">{#N/A,#N/A,FALSE,"BBPREP"}</definedName>
    <definedName name="bs" hidden="1">{#N/A,#N/A,FALSE,"BBPREP"}</definedName>
    <definedName name="btdc2" localSheetId="5" hidden="1">#REF!</definedName>
    <definedName name="btdc2" localSheetId="4" hidden="1">#REF!</definedName>
    <definedName name="btdc2" hidden="1">#REF!</definedName>
    <definedName name="btl" localSheetId="5" hidden="1">{"'Sheet1'!$L$16"}</definedName>
    <definedName name="btl" hidden="1">{"'Sheet1'!$L$16"}</definedName>
    <definedName name="btoan" localSheetId="5" hidden="1">{"'Sheet1'!$L$16"}</definedName>
    <definedName name="btoan" hidden="1">{"'Sheet1'!$L$16"}</definedName>
    <definedName name="bvieb" localSheetId="5" hidden="1">{"'Sheet1'!$L$16"}</definedName>
    <definedName name="bvieb" hidden="1">{"'Sheet1'!$L$16"}</definedName>
    <definedName name="bvnn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localSheetId="5" hidden="1">{#N/A,#N/A,FALSE,"Earn'gs &amp; Val'n";#N/A,#N/A,FALSE,"Interim"}</definedName>
    <definedName name="BYD" hidden="1">{#N/A,#N/A,FALSE,"Earn'gs &amp; Val'n";#N/A,#N/A,FALSE,"Interim"}</definedName>
    <definedName name="bygrade" localSheetId="5" hidden="1">{"income",#N/A,FALSE,"INCOME"}</definedName>
    <definedName name="bygrade" hidden="1">{"income",#N/A,FALSE,"INCOME"}</definedName>
    <definedName name="BYx78U8iii" localSheetId="5" hidden="1">Stat Key #REF!</definedName>
    <definedName name="BYx78U8iii" localSheetId="4" hidden="1">Stat Key #REF!</definedName>
    <definedName name="BYx78U8iii" hidden="1">Stat Key #REF!</definedName>
    <definedName name="CA_FY07" localSheetId="5" hidden="1">{"'1-TheatreBkgs'!$A$1:$L$102"}</definedName>
    <definedName name="CA_FY07" hidden="1">{"'1-TheatreBkgs'!$A$1:$L$102"}</definedName>
    <definedName name="caccccc" localSheetId="5" hidden="1">{"'Sheet1'!$L$16"}</definedName>
    <definedName name="caccccc" hidden="1">{"'Sheet1'!$L$16"}</definedName>
    <definedName name="cádf" localSheetId="5" hidden="1">{#N/A,#N/A,TRUE,"Cover sheet";#N/A,#N/A,TRUE,"DCF analysis";#N/A,#N/A,TRUE,"WACC calculation"}</definedName>
    <definedName name="cádf" hidden="1">{#N/A,#N/A,TRUE,"Cover sheet";#N/A,#N/A,TRUE,"DCF analysis";#N/A,#N/A,TRUE,"WACC calculation"}</definedName>
    <definedName name="cấdwqdas" localSheetId="5" hidden="1">{"'Sheet1'!$L$16"}</definedName>
    <definedName name="cấdwqdas" hidden="1">{"'Sheet1'!$L$16"}</definedName>
    <definedName name="caigi" localSheetId="5" hidden="1">{"'Sheet1'!$L$16"}</definedName>
    <definedName name="caigi" hidden="1">{"'Sheet1'!$L$16"}</definedName>
    <definedName name="Calculation_Exparts" localSheetId="5" hidden="1">{"'Sheet1'!$L$16"}</definedName>
    <definedName name="Calculation_Exparts" hidden="1">{"'Sheet1'!$L$16"}</definedName>
    <definedName name="Calendar" localSheetId="5">#REF!</definedName>
    <definedName name="Calendar" localSheetId="4">#REF!</definedName>
    <definedName name="Calendar">#REF!</definedName>
    <definedName name="cap" localSheetId="5" hidden="1">{"lev1bt",#N/A,FALSE,"1_LEVB-T"}</definedName>
    <definedName name="cap" hidden="1">{"lev1bt",#N/A,FALSE,"1_LEVB-T"}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localSheetId="5" hidden="1">{"'ตัวอย่าง'!$A$1:$O$21"}</definedName>
    <definedName name="capacity" hidden="1">{"'ตัวอย่าง'!$A$1:$O$21"}</definedName>
    <definedName name="Catalogue_xls" localSheetId="5">#REF!</definedName>
    <definedName name="Catalogue_xls" localSheetId="4">#REF!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localSheetId="5" hidden="1">{"PRINT_EST",#N/A,FALSE,"ESTMON"}</definedName>
    <definedName name="ccc" hidden="1">{"PRINT_EST",#N/A,FALSE,"ESTMON"}</definedName>
    <definedName name="CCCC" localSheetId="5" hidden="1">{"'Bidfailed'!$D$2:$AB$14","'Bidfailed'!$D$4:$AB$4"}</definedName>
    <definedName name="CCCC" hidden="1">{"'Bidfailed'!$D$2:$AB$14","'Bidfailed'!$D$4:$AB$4"}</definedName>
    <definedName name="CCD" localSheetId="5" hidden="1">#REF!</definedName>
    <definedName name="CCD" localSheetId="4" hidden="1">#REF!</definedName>
    <definedName name="CCD" hidden="1">#REF!</definedName>
    <definedName name="ccfds" localSheetId="5" hidden="1">{"'Sheet1'!$L$16"}</definedName>
    <definedName name="ccfds" hidden="1">{"'Sheet1'!$L$16"}</definedName>
    <definedName name="ccghdfg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localSheetId="5" hidden="1">{"'Sheet1'!$L$16"}</definedName>
    <definedName name="CCÑCangdung10.2" hidden="1">{"'Sheet1'!$L$16"}</definedName>
    <definedName name="ccr" localSheetId="5" hidden="1">{"'ตัวอย่าง'!$A$1:$O$21"}</definedName>
    <definedName name="ccr" hidden="1">{"'ตัวอย่าง'!$A$1:$O$21"}</definedName>
    <definedName name="CD" localSheetId="5" hidden="1">#REF!</definedName>
    <definedName name="CD" localSheetId="4" hidden="1">#REF!</definedName>
    <definedName name="CD" hidden="1">#REF!</definedName>
    <definedName name="cdf" localSheetId="5" hidden="1">{"'매출계획'!$D$2"}</definedName>
    <definedName name="cdf" hidden="1">{"'매출계획'!$D$2"}</definedName>
    <definedName name="CDSLQ1" localSheetId="5" hidden="1">{"'Sheet1'!$L$16"}</definedName>
    <definedName name="CDSLQ1" hidden="1">{"'Sheet1'!$L$16"}</definedName>
    <definedName name="C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localSheetId="5" hidden="1">{#N/A,#N/A,FALSE,"CCTV"}</definedName>
    <definedName name="cfjdf" hidden="1">{#N/A,#N/A,FALSE,"CCTV"}</definedName>
    <definedName name="cg" localSheetId="5" hidden="1">{"'Sheet1'!$L$16"}</definedName>
    <definedName name="cg" hidden="1">{"'Sheet1'!$L$16"}</definedName>
    <definedName name="chamcongt3" localSheetId="5" hidden="1">{"'Sheet1'!$L$16"}</definedName>
    <definedName name="chamcongt3" hidden="1">{"'Sheet1'!$L$16"}</definedName>
    <definedName name="Chart3" localSheetId="5" hidden="1">{"'Sheet1'!$L$16"}</definedName>
    <definedName name="Chart3" hidden="1">{"'Sheet1'!$L$16"}</definedName>
    <definedName name="check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localSheetId="5" hidden="1">{"'Sheet1'!$L$16"}</definedName>
    <definedName name="chi" hidden="1">{"'Sheet1'!$L$16"}</definedName>
    <definedName name="chilk" localSheetId="5" hidden="1">{"'Sheet1'!$L$16"}</definedName>
    <definedName name="chilk" hidden="1">{"'Sheet1'!$L$16"}</definedName>
    <definedName name="Chiphi" localSheetId="5" hidden="1">{"'Sheet1'!$L$16"}</definedName>
    <definedName name="Chiphi" hidden="1">{"'Sheet1'!$L$16"}</definedName>
    <definedName name="chitietbgiang2" localSheetId="5" hidden="1">{"'Sheet1'!$L$16"}</definedName>
    <definedName name="chitietbgiang2" hidden="1">{"'Sheet1'!$L$16"}</definedName>
    <definedName name="chuyen" localSheetId="5" hidden="1">{"'Sheet1'!$L$16"}</definedName>
    <definedName name="chuyen" hidden="1">{"'Sheet1'!$L$16"}</definedName>
    <definedName name="ci" localSheetId="5" hidden="1">{"'照明目录'!$A$1:$H$31"}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localSheetId="5" hidden="1">{"'Sheet1'!$L$16"}</definedName>
    <definedName name="cjb9e" hidden="1">{"'Sheet1'!$L$16"}</definedName>
    <definedName name="cjhjkkfkl" localSheetId="5" hidden="1">{"'Sheet1'!$L$16"}</definedName>
    <definedName name="cjhjkkfkl" hidden="1">{"'Sheet1'!$L$16"}</definedName>
    <definedName name="cl" localSheetId="5" hidden="1">{"'照明目录'!$A$1:$H$31"}</definedName>
    <definedName name="cl" hidden="1">{"'照明目录'!$A$1:$H$31"}</definedName>
    <definedName name="cnclathe" localSheetId="5" hidden="1">{"'Bidfailed'!$D$2:$AB$14","'Bidfailed'!$D$4:$AB$4"}</definedName>
    <definedName name="cnclathe" hidden="1">{"'Bidfailed'!$D$2:$AB$14","'Bidfailed'!$D$4:$AB$4"}</definedName>
    <definedName name="cncmilling6000" localSheetId="5" hidden="1">{"'Bidfailed'!$D$2:$AB$14","'Bidfailed'!$D$4:$AB$4"}</definedName>
    <definedName name="cncmilling6000" hidden="1">{"'Bidfailed'!$D$2:$AB$14","'Bidfailed'!$D$4:$AB$4"}</definedName>
    <definedName name="coating" localSheetId="5" hidden="1">{"hilight3",#N/A,FALSE,"HILIGHT3"}</definedName>
    <definedName name="coating" hidden="1">{"hilight3",#N/A,FALSE,"HILIGHT3"}</definedName>
    <definedName name="Code" localSheetId="5" hidden="1">#REF!</definedName>
    <definedName name="Code" localSheetId="4" hidden="1">#REF!</definedName>
    <definedName name="Code" hidden="1">#REF!</definedName>
    <definedName name="color" localSheetId="5" hidden="1">{#N/A,#N/A,FALSE,"m66";#N/A,#N/A,FALSE,"m66"}</definedName>
    <definedName name="color" hidden="1">{#N/A,#N/A,FALSE,"m66";#N/A,#N/A,FALSE,"m66"}</definedName>
    <definedName name="Columns" localSheetId="5" hidden="1">#REF!</definedName>
    <definedName name="Columns" localSheetId="4" hidden="1">#REF!</definedName>
    <definedName name="Columns" hidden="1">#REF!</definedName>
    <definedName name="com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localSheetId="5" hidden="1">{#N/A,#N/A,FALSE,"BBPREP"}</definedName>
    <definedName name="comm" hidden="1">{#N/A,#N/A,FALSE,"BBPREP"}</definedName>
    <definedName name="Commentary1" localSheetId="5" hidden="1">{#N/A,#N/A,FALSE,"BBPREP"}</definedName>
    <definedName name="Commentary1" hidden="1">{#N/A,#N/A,FALSE,"BBPREP"}</definedName>
    <definedName name="comments" localSheetId="5" hidden="1">{#N/A,#N/A,FALSE,"BBPREP"}</definedName>
    <definedName name="comments" hidden="1">{#N/A,#N/A,FALSE,"BBPREP"}</definedName>
    <definedName name="CompanyCode">[11]CompanyCode!$A$2:$A$5</definedName>
    <definedName name="complete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localSheetId="5" hidden="1">{"'Sheet1'!$L$16"}</definedName>
    <definedName name="congty" hidden="1">{"'Sheet1'!$L$16"}</definedName>
    <definedName name="Contractingdiv" localSheetId="5">#REF!</definedName>
    <definedName name="Contractingdiv" localSheetId="4">#REF!</definedName>
    <definedName name="Contractingdiv">#REF!</definedName>
    <definedName name="control" localSheetId="5" hidden="1">{"'Sheet1'!$L$16"}</definedName>
    <definedName name="control" hidden="1">{"'Sheet1'!$L$16"}</definedName>
    <definedName name="control_1" localSheetId="5" hidden="1">{"'Sheet1'!$L$16"}</definedName>
    <definedName name="control_1" hidden="1">{"'Sheet1'!$L$16"}</definedName>
    <definedName name="control_1_1" localSheetId="5" hidden="1">{"'Sheet1'!$L$16"}</definedName>
    <definedName name="control_1_1" hidden="1">{"'Sheet1'!$L$16"}</definedName>
    <definedName name="control_1_1_1" localSheetId="5" hidden="1">{"'Sheet1'!$L$16"}</definedName>
    <definedName name="control_1_1_1" hidden="1">{"'Sheet1'!$L$16"}</definedName>
    <definedName name="control_1_1_2" localSheetId="5" hidden="1">{"'Sheet1'!$L$16"}</definedName>
    <definedName name="control_1_1_2" hidden="1">{"'Sheet1'!$L$16"}</definedName>
    <definedName name="control_1_2" localSheetId="5" hidden="1">{"'Sheet1'!$L$16"}</definedName>
    <definedName name="control_1_2" hidden="1">{"'Sheet1'!$L$16"}</definedName>
    <definedName name="control_1_3" localSheetId="5" hidden="1">{"'Sheet1'!$L$16"}</definedName>
    <definedName name="control_1_3" hidden="1">{"'Sheet1'!$L$16"}</definedName>
    <definedName name="control_2" localSheetId="5" hidden="1">{"'Sheet1'!$L$16"}</definedName>
    <definedName name="control_2" hidden="1">{"'Sheet1'!$L$16"}</definedName>
    <definedName name="control_2_1" localSheetId="5" hidden="1">{"'Sheet1'!$L$16"}</definedName>
    <definedName name="control_2_1" hidden="1">{"'Sheet1'!$L$16"}</definedName>
    <definedName name="control_2_2" localSheetId="5" hidden="1">{"'Sheet1'!$L$16"}</definedName>
    <definedName name="control_2_2" hidden="1">{"'Sheet1'!$L$16"}</definedName>
    <definedName name="control_3" localSheetId="5" hidden="1">{"'Sheet1'!$L$16"}</definedName>
    <definedName name="control_3" hidden="1">{"'Sheet1'!$L$16"}</definedName>
    <definedName name="control_4" localSheetId="5" hidden="1">{"'Sheet1'!$L$16"}</definedName>
    <definedName name="control_4" hidden="1">{"'Sheet1'!$L$16"}</definedName>
    <definedName name="control1" localSheetId="5" hidden="1">{"'Sheet1'!$L$16"}</definedName>
    <definedName name="control1" hidden="1">{"'Sheet1'!$L$16"}</definedName>
    <definedName name="control1_1" localSheetId="5" hidden="1">{"'Sheet1'!$L$16"}</definedName>
    <definedName name="control1_1" hidden="1">{"'Sheet1'!$L$16"}</definedName>
    <definedName name="control1_1_1" localSheetId="5" hidden="1">{"'Sheet1'!$L$16"}</definedName>
    <definedName name="control1_1_1" hidden="1">{"'Sheet1'!$L$16"}</definedName>
    <definedName name="control1_1_1_1" localSheetId="5" hidden="1">{"'Sheet1'!$L$16"}</definedName>
    <definedName name="control1_1_1_1" hidden="1">{"'Sheet1'!$L$16"}</definedName>
    <definedName name="control1_1_1_2" localSheetId="5" hidden="1">{"'Sheet1'!$L$16"}</definedName>
    <definedName name="control1_1_1_2" hidden="1">{"'Sheet1'!$L$16"}</definedName>
    <definedName name="control1_1_2" localSheetId="5" hidden="1">{"'Sheet1'!$L$16"}</definedName>
    <definedName name="control1_1_2" hidden="1">{"'Sheet1'!$L$16"}</definedName>
    <definedName name="control1_1_3" localSheetId="5" hidden="1">{"'Sheet1'!$L$16"}</definedName>
    <definedName name="control1_1_3" hidden="1">{"'Sheet1'!$L$16"}</definedName>
    <definedName name="control1_2" localSheetId="5" hidden="1">{"'Sheet1'!$L$16"}</definedName>
    <definedName name="control1_2" hidden="1">{"'Sheet1'!$L$16"}</definedName>
    <definedName name="control1_2_1" localSheetId="5" hidden="1">{"'Sheet1'!$L$16"}</definedName>
    <definedName name="control1_2_1" hidden="1">{"'Sheet1'!$L$16"}</definedName>
    <definedName name="control1_2_2" localSheetId="5" hidden="1">{"'Sheet1'!$L$16"}</definedName>
    <definedName name="control1_2_2" hidden="1">{"'Sheet1'!$L$16"}</definedName>
    <definedName name="control1_3" localSheetId="5" hidden="1">{"'Sheet1'!$L$16"}</definedName>
    <definedName name="control1_3" hidden="1">{"'Sheet1'!$L$16"}</definedName>
    <definedName name="control1_4" localSheetId="5" hidden="1">{"'Sheet1'!$L$16"}</definedName>
    <definedName name="control1_4" hidden="1">{"'Sheet1'!$L$16"}</definedName>
    <definedName name="conty" localSheetId="5" hidden="1">{"'Sheet1'!$L$16"}</definedName>
    <definedName name="conty" hidden="1">{"'Sheet1'!$L$16"}</definedName>
    <definedName name="corporate_affairs" localSheetId="5">#REF!</definedName>
    <definedName name="corporate_affairs" localSheetId="4">#REF!</definedName>
    <definedName name="corporate_affairs">#REF!</definedName>
    <definedName name="CP" localSheetId="5" hidden="1">{"'Sheet1'!$L$16"}</definedName>
    <definedName name="CP" hidden="1">{"'Sheet1'!$L$16"}</definedName>
    <definedName name="csc" localSheetId="5" hidden="1">Sales #REF!</definedName>
    <definedName name="csc" localSheetId="4" hidden="1">Sales #REF!</definedName>
    <definedName name="csc" hidden="1">Sales #REF!</definedName>
    <definedName name="CSODJWO" localSheetId="5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5" hidden="1">{#N/A,#N/A,TRUE,"BT M200 da 10x20"}</definedName>
    <definedName name="CT" hidden="1">{#N/A,#N/A,TRUE,"BT M200 da 10x20"}</definedName>
    <definedName name="ctbbt" localSheetId="5" hidden="1">{"'Sheet1'!$L$16"}</definedName>
    <definedName name="ctbbt" hidden="1">{"'Sheet1'!$L$16"}</definedName>
    <definedName name="CTCT1" localSheetId="5" hidden="1">{"'Sheet1'!$L$16"}</definedName>
    <definedName name="CTCT1" hidden="1">{"'Sheet1'!$L$16"}</definedName>
    <definedName name="CTCT1_1" localSheetId="5" hidden="1">{"'Sheet1'!$L$16"}</definedName>
    <definedName name="CTCT1_1" hidden="1">{"'Sheet1'!$L$16"}</definedName>
    <definedName name="CTCT1_1_1" localSheetId="5" hidden="1">{"'Sheet1'!$L$16"}</definedName>
    <definedName name="CTCT1_1_1" hidden="1">{"'Sheet1'!$L$16"}</definedName>
    <definedName name="CTCT1_1_1_1" localSheetId="5" hidden="1">{"'Sheet1'!$L$16"}</definedName>
    <definedName name="CTCT1_1_1_1" hidden="1">{"'Sheet1'!$L$16"}</definedName>
    <definedName name="CTCT1_1_1_2" localSheetId="5" hidden="1">{"'Sheet1'!$L$16"}</definedName>
    <definedName name="CTCT1_1_1_2" hidden="1">{"'Sheet1'!$L$16"}</definedName>
    <definedName name="CTCT1_1_2" localSheetId="5" hidden="1">{"'Sheet1'!$L$16"}</definedName>
    <definedName name="CTCT1_1_2" hidden="1">{"'Sheet1'!$L$16"}</definedName>
    <definedName name="CTCT1_1_3" localSheetId="5" hidden="1">{"'Sheet1'!$L$16"}</definedName>
    <definedName name="CTCT1_1_3" hidden="1">{"'Sheet1'!$L$16"}</definedName>
    <definedName name="CTCT1_2" localSheetId="5" hidden="1">{"'Sheet1'!$L$16"}</definedName>
    <definedName name="CTCT1_2" hidden="1">{"'Sheet1'!$L$16"}</definedName>
    <definedName name="CTCT1_2_1" localSheetId="5" hidden="1">{"'Sheet1'!$L$16"}</definedName>
    <definedName name="CTCT1_2_1" hidden="1">{"'Sheet1'!$L$16"}</definedName>
    <definedName name="CTCT1_2_2" localSheetId="5" hidden="1">{"'Sheet1'!$L$16"}</definedName>
    <definedName name="CTCT1_2_2" hidden="1">{"'Sheet1'!$L$16"}</definedName>
    <definedName name="CTCT1_3" localSheetId="5" hidden="1">{"'Sheet1'!$L$16"}</definedName>
    <definedName name="CTCT1_3" hidden="1">{"'Sheet1'!$L$16"}</definedName>
    <definedName name="CTCT1_4" localSheetId="5" hidden="1">{"'Sheet1'!$L$16"}</definedName>
    <definedName name="CTCT1_4" hidden="1">{"'Sheet1'!$L$16"}</definedName>
    <definedName name="CTY">'[12]0.CTY'!$D:$D</definedName>
    <definedName name="cva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localSheetId="5" hidden="1">{#N/A,#N/A,FALSE,"Sheet1"}</definedName>
    <definedName name="CVCV" hidden="1">{#N/A,#N/A,FALSE,"Sheet1"}</definedName>
    <definedName name="CVGLJKF" localSheetId="5" hidden="1">{#N/A,#N/A,FALSE,"CCTV"}</definedName>
    <definedName name="CVGLJKF" hidden="1">{#N/A,#N/A,FALSE,"CCTV"}</definedName>
    <definedName name="cx" localSheetId="5" hidden="1">{"hilight2",#N/A,FALSE,"HILIGHT2"}</definedName>
    <definedName name="cx" hidden="1">{"hilight2",#N/A,FALSE,"HILIGHT2"}</definedName>
    <definedName name="CXFB" localSheetId="5" hidden="1">{"'매출계획'!$D$2"}</definedName>
    <definedName name="CXFB" hidden="1">{"'매출계획'!$D$2"}</definedName>
    <definedName name="cxsxxxxxxxxxxxxxxxxxxxxxxxxxxx" localSheetId="5" hidden="1">{"'Sheet1'!$L$16"}</definedName>
    <definedName name="cxsxxxxxxxxxxxxxxxxxxxxxxxxxxx" hidden="1">{"'Sheet1'!$L$16"}</definedName>
    <definedName name="d" localSheetId="5" hidden="1">#REF!</definedName>
    <definedName name="d" localSheetId="4" hidden="1">#REF!</definedName>
    <definedName name="d" hidden="1">#REF!</definedName>
    <definedName name="da" localSheetId="5" hidden="1">{"'Sheet1'!$L$16"}</definedName>
    <definedName name="da" hidden="1">{"'Sheet1'!$L$16"}</definedName>
    <definedName name="đà" localSheetId="5" hidden="1">#REF!</definedName>
    <definedName name="đà" localSheetId="4" hidden="1">#REF!</definedName>
    <definedName name="đà" hidden="1">#REF!</definedName>
    <definedName name="dad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localSheetId="5" hidden="1">#REF!</definedName>
    <definedName name="dada" localSheetId="4" hidden="1">#REF!</definedName>
    <definedName name="dada" hidden="1">#REF!</definedName>
    <definedName name="dadfa" localSheetId="5" hidden="1">{"'Sheet1'!$L$16"}</definedName>
    <definedName name="dadfa" hidden="1">{"'Sheet1'!$L$16"}</definedName>
    <definedName name="dagda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localSheetId="5" hidden="1">{"PRINT_EST",#N/A,FALSE,"ESTMON"}</definedName>
    <definedName name="daggG" hidden="1">{"PRINT_EST",#N/A,FALSE,"ESTMON"}</definedName>
    <definedName name="DAKDFSLJFLAJDFL" localSheetId="5" hidden="1">{"'Sheet1'!$L$16"}</definedName>
    <definedName name="DAKDFSLJFLAJDFL" hidden="1">{"'Sheet1'!$L$16"}</definedName>
    <definedName name="dasdas" localSheetId="5" hidden="1">{#N/A,#N/A,FALSE,"Gesamt";#N/A,#N/A,FALSE,"Ree KG";#N/A,#N/A,FALSE,"Ree Inter";#N/A,#N/A,FALSE,"BTM";#N/A,#N/A,FALSE,"GmbH";#N/A,#N/A,FALSE,"Sonstige"}</definedName>
    <definedName name="dasdas" hidden="1">{#N/A,#N/A,FALSE,"Gesamt";#N/A,#N/A,FALSE,"Ree KG";#N/A,#N/A,FALSE,"Ree Inter";#N/A,#N/A,FALSE,"BTM";#N/A,#N/A,FALSE,"GmbH";#N/A,#N/A,FALSE,"Sonstige"}</definedName>
    <definedName name="dasdasdsd" localSheetId="5" hidden="1">{"'Sheet1'!$L$16"}</definedName>
    <definedName name="dasdasdsd" hidden="1">{"'Sheet1'!$L$16"}</definedName>
    <definedName name="dasf" localSheetId="5" hidden="1">{0,#N/A,FALSE,0}</definedName>
    <definedName name="dasf" hidden="1">{0,#N/A,FALSE,0}</definedName>
    <definedName name="dasrwre234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localSheetId="4" hidden="1">OFFSET([13]!Data.Top.Left,1,0)</definedName>
    <definedName name="Data.Dump" hidden="1">OFFSET([13]!Data.Top.Left,1,0)</definedName>
    <definedName name="DATA_01" hidden="1">'[14]Sales Seasonality by Month'!$B$4</definedName>
    <definedName name="DATA_02" hidden="1">'[14]Sales Seasonality by Month'!$B$9</definedName>
    <definedName name="DATA_03" hidden="1">'[14]Sales Seasonality by Month'!$C$9:$C$20</definedName>
    <definedName name="DATA_04" hidden="1">'[14]Sales Seasonality by Month'!$F$9:$F$20</definedName>
    <definedName name="DATA_05" localSheetId="5" hidden="1">'[15]Breakeven Analysis'!#REF!</definedName>
    <definedName name="DATA_05" localSheetId="4" hidden="1">'[15]Breakeven Analysis'!#REF!</definedName>
    <definedName name="DATA_05" hidden="1">'[15]Breakeven Analysis'!#REF!</definedName>
    <definedName name="DATA_07" localSheetId="5" hidden="1">'[15]Breakeven Analysis'!#REF!</definedName>
    <definedName name="DATA_07" localSheetId="4" hidden="1">'[15]Breakeven Analysis'!#REF!</definedName>
    <definedName name="DATA_07" hidden="1">'[15]Breakeven Analysis'!#REF!</definedName>
    <definedName name="Data_Values">'[16]Single Measure Analysis'!$B$29:$M$30</definedName>
    <definedName name="data1" localSheetId="5" hidden="1">#REF!</definedName>
    <definedName name="data1" localSheetId="4" hidden="1">#REF!</definedName>
    <definedName name="data1" hidden="1">#REF!</definedName>
    <definedName name="DATA13" localSheetId="5">'[17]2.1Raw material_details'!#REF!</definedName>
    <definedName name="DATA13" localSheetId="4">'[17]2.1Raw material_details'!#REF!</definedName>
    <definedName name="DATA13">'[17]2.1Raw material_details'!#REF!</definedName>
    <definedName name="DATA14" localSheetId="5">'[17]2.1Raw material_details'!#REF!</definedName>
    <definedName name="DATA14" localSheetId="4">'[17]2.1Raw material_details'!#REF!</definedName>
    <definedName name="DATA14">'[17]2.1Raw material_details'!#REF!</definedName>
    <definedName name="DATA15" localSheetId="5">'[17]2.1Raw material_details'!#REF!</definedName>
    <definedName name="DATA15" localSheetId="4">'[17]2.1Raw material_details'!#REF!</definedName>
    <definedName name="DATA15">'[17]2.1Raw material_details'!#REF!</definedName>
    <definedName name="DATA16" localSheetId="5">'[17]2.1Raw material_details'!#REF!</definedName>
    <definedName name="DATA16" localSheetId="4">'[17]2.1Raw material_details'!#REF!</definedName>
    <definedName name="DATA16">'[17]2.1Raw material_details'!#REF!</definedName>
    <definedName name="DATA17" localSheetId="5">'[17]2.1Raw material_details'!#REF!</definedName>
    <definedName name="DATA17" localSheetId="4">'[17]2.1Raw material_details'!#REF!</definedName>
    <definedName name="DATA17">'[17]2.1Raw material_details'!#REF!</definedName>
    <definedName name="DATA18" localSheetId="5">'[17]2.1Raw material_details'!#REF!</definedName>
    <definedName name="DATA18" localSheetId="4">'[17]2.1Raw material_details'!#REF!</definedName>
    <definedName name="DATA18">'[17]2.1Raw material_details'!#REF!</definedName>
    <definedName name="DATA19" localSheetId="5">'[17]2.1Raw material_details'!#REF!</definedName>
    <definedName name="DATA19" localSheetId="4">'[17]2.1Raw material_details'!#REF!</definedName>
    <definedName name="DATA19">'[17]2.1Raw material_details'!#REF!</definedName>
    <definedName name="data2" localSheetId="5" hidden="1">#REF!</definedName>
    <definedName name="data2" localSheetId="4" hidden="1">#REF!</definedName>
    <definedName name="data2" hidden="1">#REF!</definedName>
    <definedName name="DATA20" localSheetId="5">'[17]2.1Raw material_details'!#REF!</definedName>
    <definedName name="DATA20" localSheetId="4">'[17]2.1Raw material_details'!#REF!</definedName>
    <definedName name="DATA20">'[17]2.1Raw material_details'!#REF!</definedName>
    <definedName name="DATA21" localSheetId="5">'[17]2.1Raw material_details'!#REF!</definedName>
    <definedName name="DATA21" localSheetId="4">'[17]2.1Raw material_details'!#REF!</definedName>
    <definedName name="DATA21">'[17]2.1Raw material_details'!#REF!</definedName>
    <definedName name="DATA22" localSheetId="5">'[17]2.1Raw material_details'!#REF!</definedName>
    <definedName name="DATA22" localSheetId="4">'[17]2.1Raw material_details'!#REF!</definedName>
    <definedName name="DATA22">'[17]2.1Raw material_details'!#REF!</definedName>
    <definedName name="DATA23" localSheetId="5">'[17]2.1Raw material_details'!#REF!</definedName>
    <definedName name="DATA23" localSheetId="4">'[17]2.1Raw material_details'!#REF!</definedName>
    <definedName name="DATA23">'[17]2.1Raw material_details'!#REF!</definedName>
    <definedName name="DATA24" localSheetId="5">'[17]2.1Raw material_details'!#REF!</definedName>
    <definedName name="DATA24" localSheetId="4">'[17]2.1Raw material_details'!#REF!</definedName>
    <definedName name="DATA24">'[17]2.1Raw material_details'!#REF!</definedName>
    <definedName name="DATA25" localSheetId="5">'[17]2.1Raw material_details'!#REF!</definedName>
    <definedName name="DATA25" localSheetId="4">'[17]2.1Raw material_details'!#REF!</definedName>
    <definedName name="DATA25">'[17]2.1Raw material_details'!#REF!</definedName>
    <definedName name="DATA26" localSheetId="5">'[17]2.1Raw material_details'!#REF!</definedName>
    <definedName name="DATA26" localSheetId="4">'[17]2.1Raw material_details'!#REF!</definedName>
    <definedName name="DATA26">'[17]2.1Raw material_details'!#REF!</definedName>
    <definedName name="DATA27" localSheetId="5">'[17]2.1Raw material_details'!#REF!</definedName>
    <definedName name="DATA27" localSheetId="4">'[17]2.1Raw material_details'!#REF!</definedName>
    <definedName name="DATA27">'[17]2.1Raw material_details'!#REF!</definedName>
    <definedName name="DATA28" localSheetId="5">'[17]2.1Raw material_details'!#REF!</definedName>
    <definedName name="DATA28" localSheetId="4">'[17]2.1Raw material_details'!#REF!</definedName>
    <definedName name="DATA28">'[17]2.1Raw material_details'!#REF!</definedName>
    <definedName name="DATA29" localSheetId="5">'[17]2.1Raw material_details'!#REF!</definedName>
    <definedName name="DATA29" localSheetId="4">'[17]2.1Raw material_details'!#REF!</definedName>
    <definedName name="DATA29">'[17]2.1Raw material_details'!#REF!</definedName>
    <definedName name="data3" localSheetId="5" hidden="1">#REF!</definedName>
    <definedName name="data3" localSheetId="4" hidden="1">#REF!</definedName>
    <definedName name="data3" hidden="1">#REF!</definedName>
    <definedName name="DATA30" localSheetId="5">'[17]2.1Raw material_details'!#REF!</definedName>
    <definedName name="DATA30" localSheetId="4">'[17]2.1Raw material_details'!#REF!</definedName>
    <definedName name="DATA30">'[17]2.1Raw material_details'!#REF!</definedName>
    <definedName name="DATA31" localSheetId="5">'[17]2.1Raw material_details'!#REF!</definedName>
    <definedName name="DATA31" localSheetId="4">'[17]2.1Raw material_details'!#REF!</definedName>
    <definedName name="DATA31">'[17]2.1Raw material_details'!#REF!</definedName>
    <definedName name="DATA32" localSheetId="5">'[17]2.1Raw material_details'!#REF!</definedName>
    <definedName name="DATA32" localSheetId="4">'[17]2.1Raw material_details'!#REF!</definedName>
    <definedName name="DATA32">'[17]2.1Raw material_details'!#REF!</definedName>
    <definedName name="DATA33" localSheetId="5">'[17]2.1Raw material_details'!#REF!</definedName>
    <definedName name="DATA33" localSheetId="4">'[17]2.1Raw material_details'!#REF!</definedName>
    <definedName name="DATA33">'[17]2.1Raw material_details'!#REF!</definedName>
    <definedName name="DATA34" localSheetId="5">'[17]2.1Raw material_details'!#REF!</definedName>
    <definedName name="DATA34" localSheetId="4">'[17]2.1Raw material_details'!#REF!</definedName>
    <definedName name="DATA34">'[17]2.1Raw material_details'!#REF!</definedName>
    <definedName name="DATA35" localSheetId="5">'[17]2.1Raw material_details'!#REF!</definedName>
    <definedName name="DATA35" localSheetId="4">'[17]2.1Raw material_details'!#REF!</definedName>
    <definedName name="DATA35">'[17]2.1Raw material_details'!#REF!</definedName>
    <definedName name="DATA36" localSheetId="5">'[17]2.1Raw material_details'!#REF!</definedName>
    <definedName name="DATA36" localSheetId="4">'[17]2.1Raw material_details'!#REF!</definedName>
    <definedName name="DATA36">'[17]2.1Raw material_details'!#REF!</definedName>
    <definedName name="DATA37" localSheetId="5">'[17]2.1Raw material_details'!#REF!</definedName>
    <definedName name="DATA37" localSheetId="4">'[17]2.1Raw material_details'!#REF!</definedName>
    <definedName name="DATA37">'[17]2.1Raw material_details'!#REF!</definedName>
    <definedName name="_xlnm.Database" localSheetId="5">#REF!</definedName>
    <definedName name="_xlnm.Database" localSheetId="4">#REF!</definedName>
    <definedName name="_xlnm.Database">#REF!</definedName>
    <definedName name="Database.File" localSheetId="5" hidden="1">#REF!</definedName>
    <definedName name="Database.File" localSheetId="4" hidden="1">#REF!</definedName>
    <definedName name="Database.File" hidden="1">#REF!</definedName>
    <definedName name="Date_of_separation" localSheetId="5">#REF!</definedName>
    <definedName name="Date_of_separation" localSheetId="4">#REF!</definedName>
    <definedName name="Date_of_separation">#REF!</definedName>
    <definedName name="dbc" localSheetId="5" hidden="1">{#N/A,#N/A,FALSE,"Chi tiÆt"}</definedName>
    <definedName name="dbc" hidden="1">{#N/A,#N/A,FALSE,"Chi tiÆt"}</definedName>
    <definedName name="dbnd" localSheetId="5" hidden="1">{#N/A,#N/A,FALSE,"CCTV"}</definedName>
    <definedName name="dbnd" hidden="1">{#N/A,#N/A,FALSE,"CCTV"}</definedName>
    <definedName name="dc" localSheetId="5" hidden="1">{"hilight3",#N/A,FALSE,"HILIGHT3"}</definedName>
    <definedName name="dc" hidden="1">{"hilight3",#N/A,FALSE,"HILIGHT3"}</definedName>
    <definedName name="DCDF" localSheetId="5" hidden="1">{"index",#N/A,FALSE,"INDEX"}</definedName>
    <definedName name="DCDF" hidden="1">{"index",#N/A,FALSE,"INDEX"}</definedName>
    <definedName name="DCF" localSheetId="5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vs" localSheetId="5" hidden="1">{"cashflow",#N/A,FALSE,"CASHFLOW "}</definedName>
    <definedName name="dcvs" hidden="1">{"cashflow",#N/A,FALSE,"CASHFLOW "}</definedName>
    <definedName name="dd" localSheetId="5" hidden="1">{"'ตัวอย่าง'!$A$1:$O$21"}</definedName>
    <definedName name="dd" hidden="1">{"'ตัวอย่าง'!$A$1:$O$21"}</definedName>
    <definedName name="ddads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localSheetId="5" hidden="1">{"index",#N/A,FALSE,"INDEX"}</definedName>
    <definedName name="ddd" hidden="1">{"index",#N/A,FALSE,"INDEX"}</definedName>
    <definedName name="ddd_1" localSheetId="5" hidden="1">{"'Sheet1'!$L$16"}</definedName>
    <definedName name="ddd_1" hidden="1">{"'Sheet1'!$L$16"}</definedName>
    <definedName name="dddd" localSheetId="5" hidden="1">{"index",#N/A,FALSE,"INDEX"}</definedName>
    <definedName name="dddd" hidden="1">{"index",#N/A,FALSE,"INDEX"}</definedName>
    <definedName name="ddddd" localSheetId="5" hidden="1">{"Tages_D",#N/A,FALSE,"Tagesbericht";"Tages_PL",#N/A,FALSE,"Tagesbericht"}</definedName>
    <definedName name="ddddd" hidden="1">{"Tages_D",#N/A,FALSE,"Tagesbericht";"Tages_PL",#N/A,FALSE,"Tagesbericht"}</definedName>
    <definedName name="dddddd" localSheetId="5" hidden="1">Sales #REF!</definedName>
    <definedName name="dddddd" localSheetId="4" hidden="1">Sales #REF!</definedName>
    <definedName name="dddddd" hidden="1">Sales #REF!</definedName>
    <definedName name="DDF" localSheetId="5" hidden="1">{#N/A,#N/A,FALSE,"CCTV"}</definedName>
    <definedName name="DDF" hidden="1">{#N/A,#N/A,FALSE,"CCTV"}</definedName>
    <definedName name="DDFD" localSheetId="5" hidden="1">{#N/A,#N/A,FALSE,"CCTV"}</definedName>
    <definedName name="DDFD" hidden="1">{#N/A,#N/A,FALSE,"CCTV"}</definedName>
    <definedName name="ddm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localSheetId="5" hidden="1">#REF!</definedName>
    <definedName name="ddsg" localSheetId="4" hidden="1">#REF!</definedName>
    <definedName name="ddsg" hidden="1">#REF!</definedName>
    <definedName name="Dealer" localSheetId="5" hidden="1">{"'Model'!$A$1:$N$53"}</definedName>
    <definedName name="Dealer" hidden="1">{"'Model'!$A$1:$N$53"}</definedName>
    <definedName name="deb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localSheetId="5" hidden="1">{#N/A,#N/A,FALSE,"Gesamt";#N/A,#N/A,FALSE,"Ree KG";#N/A,#N/A,FALSE,"Ree Inter";#N/A,#N/A,FALSE,"BTM";#N/A,#N/A,FALSE,"GmbH";#N/A,#N/A,FALSE,"Sonstige"}</definedName>
    <definedName name="Deferred" hidden="1">{#N/A,#N/A,FALSE,"Gesamt";#N/A,#N/A,FALSE,"Ree KG";#N/A,#N/A,FALSE,"Ree Inter";#N/A,#N/A,FALSE,"BTM";#N/A,#N/A,FALSE,"GmbH";#N/A,#N/A,FALSE,"Sonstige"}</definedName>
    <definedName name="del" localSheetId="5" hidden="1">{"level1",#N/A,FALSE,"1_LEV";"LEVEL1",#N/A,FALSE,"1_LEV"}</definedName>
    <definedName name="del" hidden="1">{"level1",#N/A,FALSE,"1_LEV";"LEVEL1",#N/A,FALSE,"1_LEV"}</definedName>
    <definedName name="Delfzi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localSheetId="5" hidden="1">{"'TOTAL'!$A$1:$AG$20"}</definedName>
    <definedName name="den" hidden="1">{"'TOTAL'!$A$1:$AG$20"}</definedName>
    <definedName name="DenDK" localSheetId="5" hidden="1">{"'Sheet1'!$L$16"}</definedName>
    <definedName name="DenDK" hidden="1">{"'Sheet1'!$L$16"}</definedName>
    <definedName name="DeptCode" localSheetId="5">#REF!</definedName>
    <definedName name="DeptCode" localSheetId="4">#REF!</definedName>
    <definedName name="DeptCode">#REF!</definedName>
    <definedName name="deryhrfm" localSheetId="5" hidden="1">{"'Sheet1'!$L$16"}</definedName>
    <definedName name="deryhrfm" hidden="1">{"'Sheet1'!$L$16"}</definedName>
    <definedName name="detail" localSheetId="5" hidden="1">{"index",#N/A,FALSE,"INDEX"}</definedName>
    <definedName name="detail" hidden="1">{"index",#N/A,FALSE,"INDEX"}</definedName>
    <definedName name="devl" localSheetId="5" hidden="1">{"'Bidfailed'!$D$2:$AB$14","'Bidfailed'!$D$4:$AB$4"}</definedName>
    <definedName name="devl" hidden="1">{"'Bidfailed'!$D$2:$AB$14","'Bidfailed'!$D$4:$AB$4"}</definedName>
    <definedName name="DEW" localSheetId="5" hidden="1">{"'매출계획'!$D$2"}</definedName>
    <definedName name="DEW" hidden="1">{"'매출계획'!$D$2"}</definedName>
    <definedName name="DEWSLDW" localSheetId="5" hidden="1">{#N/A,#N/A,TRUE,"SUM";#N/A,#N/A,TRUE,"EE";#N/A,#N/A,TRUE,"AC";#N/A,#N/A,TRUE,"SN"}</definedName>
    <definedName name="DEWSLDW" hidden="1">{#N/A,#N/A,TRUE,"SUM";#N/A,#N/A,TRUE,"EE";#N/A,#N/A,TRUE,"AC";#N/A,#N/A,TRUE,"SN"}</definedName>
    <definedName name="df" localSheetId="5" hidden="1">#REF!</definedName>
    <definedName name="df" localSheetId="4" hidden="1">#REF!</definedName>
    <definedName name="df" hidden="1">#REF!</definedName>
    <definedName name="dfa" localSheetId="5" hidden="1">{"index",#N/A,FALSE,"INDEX"}</definedName>
    <definedName name="dfa" hidden="1">{"index",#N/A,FALSE,"INDEX"}</definedName>
    <definedName name="dfa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localSheetId="5" hidden="1">Main.SAPF4Help()</definedName>
    <definedName name="dfafa" localSheetId="4" hidden="1">Main.SAPF4Help()</definedName>
    <definedName name="dfafa" hidden="1">Main.SAPF4Help()</definedName>
    <definedName name="dfasfs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localSheetId="5" hidden="1">{0,#N/A,FALSE,0}</definedName>
    <definedName name="dfd" hidden="1">{0,#N/A,FALSE,0}</definedName>
    <definedName name="dfdfad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localSheetId="5" hidden="1">{"'Sheet1'!$L$16"}</definedName>
    <definedName name="dfdfd" hidden="1">{"'Sheet1'!$L$16"}</definedName>
    <definedName name="DFDFFD" localSheetId="5" hidden="1">{#N/A,#N/A,FALSE,"CCTV"}</definedName>
    <definedName name="DFDFFD" hidden="1">{#N/A,#N/A,FALSE,"CCTV"}</definedName>
    <definedName name="dfdhh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localSheetId="5" hidden="1">{"index",#N/A,FALSE,"INDEX"}</definedName>
    <definedName name="dfdsa" hidden="1">{"index",#N/A,FALSE,"INDEX"}</definedName>
    <definedName name="dfdsfsdfds" localSheetId="5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fsdfds" localSheetId="5" hidden="1">{"lev2mon",#N/A,FALSE,"2_levmon"}</definedName>
    <definedName name="dffsdfds" hidden="1">{"lev2mon",#N/A,FALSE,"2_levmon"}</definedName>
    <definedName name="DFG" localSheetId="5" hidden="1">{"'매출계획'!$D$2"}</definedName>
    <definedName name="DFG" hidden="1">{"'매출계획'!$D$2"}</definedName>
    <definedName name="dfga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localSheetId="5" hidden="1">{"index",#N/A,FALSE,"INDEX"}</definedName>
    <definedName name="dfgd" hidden="1">{"index",#N/A,FALSE,"INDEX"}</definedName>
    <definedName name="DFG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localSheetId="5" hidden="1">{#N/A,#N/A,FALSE,"TL";#N/A,#N/A,FALSE,"KK";#N/A,#N/A,FALSE,"TS";#N/A,#N/A,FALSE,"KW";#N/A,#N/A,FALSE,"LP";#N/A,#N/A,FALSE,"DC"}</definedName>
    <definedName name="dfghj" hidden="1">{#N/A,#N/A,FALSE,"TL";#N/A,#N/A,FALSE,"KK";#N/A,#N/A,FALSE,"TS";#N/A,#N/A,FALSE,"KW";#N/A,#N/A,FALSE,"LP";#N/A,#N/A,FALSE,"DC"}</definedName>
    <definedName name="df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localSheetId="5" hidden="1">{"'Sheet1'!$L$16"}</definedName>
    <definedName name="DFHADHA" hidden="1">{"'Sheet1'!$L$16"}</definedName>
    <definedName name="dfhkjdgkh" localSheetId="5" hidden="1">{#N/A,#N/A,FALSE,"CCTV"}</definedName>
    <definedName name="dfhkjdgkh" hidden="1">{#N/A,#N/A,FALSE,"CCTV"}</definedName>
    <definedName name="dfhset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localSheetId="5" hidden="1">{#N/A,#N/A,FALSE,"CCTV"}</definedName>
    <definedName name="dfj" hidden="1">{#N/A,#N/A,FALSE,"CCTV"}</definedName>
    <definedName name="dfjdfj" localSheetId="5" hidden="1">{#N/A,#N/A,FALSE,"CCTV"}</definedName>
    <definedName name="dfjdfj" hidden="1">{#N/A,#N/A,FALSE,"CCTV"}</definedName>
    <definedName name="dfjdj" localSheetId="5" hidden="1">{#N/A,#N/A,FALSE,"CCTV"}</definedName>
    <definedName name="dfjdj" hidden="1">{#N/A,#N/A,FALSE,"CCTV"}</definedName>
    <definedName name="dfjdtj" localSheetId="5" hidden="1">{#N/A,#N/A,FALSE,"CCTV"}</definedName>
    <definedName name="dfjdtj" hidden="1">{#N/A,#N/A,FALSE,"CCTV"}</definedName>
    <definedName name="dfjdy" localSheetId="5" hidden="1">{#N/A,#N/A,FALSE,"CCTV"}</definedName>
    <definedName name="dfjdy" hidden="1">{#N/A,#N/A,FALSE,"CCTV"}</definedName>
    <definedName name="DFL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localSheetId="5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localSheetId="5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" localSheetId="5" hidden="1">{#N/A,#N/A,FALSE,"CCTV"}</definedName>
    <definedName name="dfsdf" hidden="1">{#N/A,#N/A,FALSE,"CCTV"}</definedName>
    <definedName name="dfsdfsdf" localSheetId="5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localSheetId="5" hidden="1">{"cashflow",#N/A,FALSE,"CASHFLOW "}</definedName>
    <definedName name="dfsgds" hidden="1">{"cashflow",#N/A,FALSE,"CASHFLOW "}</definedName>
    <definedName name="dfwseygsegseges4t" localSheetId="5" hidden="1">#REF!</definedName>
    <definedName name="dfwseygsegseges4t" localSheetId="4" hidden="1">#REF!</definedName>
    <definedName name="dfwseygsegseges4t" hidden="1">#REF!</definedName>
    <definedName name="DG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localSheetId="5" hidden="1">{"'Sheet1'!$L$16"}</definedName>
    <definedName name="dgesd" hidden="1">{"'Sheet1'!$L$16"}</definedName>
    <definedName name="DGFDGJEROYTMHTRH" localSheetId="5" hidden="1">{#N/A,#N/A,TRUE,"BT M200 da 10x20"}</definedName>
    <definedName name="DGFDGJEROYTMHTRH" hidden="1">{#N/A,#N/A,TRUE,"BT M200 da 10x20"}</definedName>
    <definedName name="dgfgjgj" localSheetId="5" hidden="1">{#N/A,#N/A,FALSE,"CCTV"}</definedName>
    <definedName name="dgfgjgj" hidden="1">{#N/A,#N/A,FALSE,"CCTV"}</definedName>
    <definedName name="DGH" localSheetId="5" hidden="1">{"'매출계획'!$D$2"}</definedName>
    <definedName name="DGH" hidden="1">{"'매출계획'!$D$2"}</definedName>
    <definedName name="dgsd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localSheetId="5" hidden="1">{"revsale",#N/A,FALSE,"REV-ยุพดี"}</definedName>
    <definedName name="dgttry" hidden="1">{"revsale",#N/A,FALSE,"REV-ยุพดี"}</definedName>
    <definedName name="DHADHA" localSheetId="5" hidden="1">{#N/A,#N/A,FALSE,"CCTV"}</definedName>
    <definedName name="DHADHA" hidden="1">{#N/A,#N/A,FALSE,"CCTV"}</definedName>
    <definedName name="dh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localSheetId="5" hidden="1">{"'매출계획'!$D$2"}</definedName>
    <definedName name="DHG" hidden="1">{"'매출계획'!$D$2"}</definedName>
    <definedName name="Diag_DCF" localSheetId="5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5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 localSheetId="5">#REF!</definedName>
    <definedName name="dinhbien2021" localSheetId="4">#REF!</definedName>
    <definedName name="dinhbien2021">#REF!</definedName>
    <definedName name="Discount" localSheetId="5" hidden="1">#REF!</definedName>
    <definedName name="Discount" localSheetId="4" hidden="1">#REF!</definedName>
    <definedName name="Discount" hidden="1">#REF!</definedName>
    <definedName name="display_area_2" localSheetId="5" hidden="1">#REF!</definedName>
    <definedName name="display_area_2" localSheetId="4" hidden="1">#REF!</definedName>
    <definedName name="display_area_2" hidden="1">#REF!</definedName>
    <definedName name="DivisionCode" localSheetId="5">#REF!</definedName>
    <definedName name="DivisionCode" localSheetId="4">#REF!</definedName>
    <definedName name="DivisionCode">#REF!</definedName>
    <definedName name="djd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localSheetId="5" hidden="1">{"'Sheet1'!$L$16"}</definedName>
    <definedName name="djt" hidden="1">{"'Sheet1'!$L$16"}</definedName>
    <definedName name="dkfgklef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localSheetId="5" hidden="1">{"'Sheet1'!$L$16"}</definedName>
    <definedName name="dkfhbdjmnet" hidden="1">{"'Sheet1'!$L$16"}</definedName>
    <definedName name="dkflw" localSheetId="5" hidden="1">{#N/A,#N/A,FALSE,"Gesamt";#N/A,#N/A,FALSE,"Ree KG";#N/A,#N/A,FALSE,"Ree Inter";#N/A,#N/A,FALSE,"BTM";#N/A,#N/A,FALSE,"GmbH";#N/A,#N/A,FALSE,"Sonstige"}</definedName>
    <definedName name="dkflw" hidden="1">{#N/A,#N/A,FALSE,"Gesamt";#N/A,#N/A,FALSE,"Ree KG";#N/A,#N/A,FALSE,"Ree Inter";#N/A,#N/A,FALSE,"BTM";#N/A,#N/A,FALSE,"GmbH";#N/A,#N/A,FALSE,"Sonstige"}</definedName>
    <definedName name="dkjfklg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localSheetId="5" hidden="1">OFFSET(#REF!,0,0,COUNTA(#REF!))</definedName>
    <definedName name="dmKH" localSheetId="4" hidden="1">OFFSET(#REF!,0,0,COUNTA(#REF!))</definedName>
    <definedName name="dmKH" hidden="1">OFFSET(#REF!,0,0,COUNTA(#REF!))</definedName>
    <definedName name="dmKHLoai" localSheetId="5" hidden="1">OFFSET(#REF!,0,0,COUNTA(#REF!))</definedName>
    <definedName name="dmKHLoai" localSheetId="4" hidden="1">OFFSET(#REF!,0,0,COUNTA(#REF!))</definedName>
    <definedName name="dmKHLoai" hidden="1">OFFSET(#REF!,0,0,COUNTA(#REF!))</definedName>
    <definedName name="dmMaKH" localSheetId="5" hidden="1">OFFSET(#REF!,0,0,COUNTA(#REF!))</definedName>
    <definedName name="dmMaKH" localSheetId="4" hidden="1">OFFSET(#REF!,0,0,COUNTA(#REF!))</definedName>
    <definedName name="dmMaKH" hidden="1">OFFSET(#REF!,0,0,COUNTA(#REF!))</definedName>
    <definedName name="dmMaVV" localSheetId="5" hidden="1">OFFSET(#REF!,0,0,COUNTA(#REF!))</definedName>
    <definedName name="dmMaVV" localSheetId="4" hidden="1">OFFSET(#REF!,0,0,COUNTA(#REF!))</definedName>
    <definedName name="dmMaVV" hidden="1">OFFSET(#REF!,0,0,COUNTA(#REF!))</definedName>
    <definedName name="dmObject" localSheetId="5" hidden="1">OFFSET(dmObj,0,0,COUNTA(dmObj))</definedName>
    <definedName name="dmObject" localSheetId="4" hidden="1">OFFSET(dmObj,0,0,COUNTA(dmObj))</definedName>
    <definedName name="dmObject" hidden="1">OFFSET(dmObj,0,0,COUNTA(dmObj))</definedName>
    <definedName name="dmTKObj" localSheetId="5" hidden="1">#REF!</definedName>
    <definedName name="dmTKObj" localSheetId="4" hidden="1">#REF!</definedName>
    <definedName name="dmTKObj" hidden="1">#REF!</definedName>
    <definedName name="DN" localSheetId="5" hidden="1">#REF!</definedName>
    <definedName name="DN" localSheetId="4" hidden="1">#REF!</definedName>
    <definedName name="DN" hidden="1">#REF!</definedName>
    <definedName name="DO" localSheetId="5" hidden="1">{"'Sheet1'!$L$16"}</definedName>
    <definedName name="DO" hidden="1">{"'Sheet1'!$L$16"}</definedName>
    <definedName name="doamEucaluptus" localSheetId="5" hidden="1">{"'Sheet1'!$L$16"}</definedName>
    <definedName name="doamEucaluptus" hidden="1">{"'Sheet1'!$L$16"}</definedName>
    <definedName name="doamEucalyptus1" localSheetId="5" hidden="1">{#N/A,#N/A,TRUE,"BT M200 da 10x20"}</definedName>
    <definedName name="doamEucalyptus1" hidden="1">{#N/A,#N/A,TRUE,"BT M200 da 10x20"}</definedName>
    <definedName name="Docs" hidden="1">"AS2DocumentBrowse"</definedName>
    <definedName name="dölgfklöejr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w" localSheetId="5">#REF!</definedName>
    <definedName name="dow" localSheetId="4">#REF!</definedName>
    <definedName name="dow">#REF!</definedName>
    <definedName name="DPFLSDPFL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localSheetId="5" hidden="1">{"'Sheet1'!$L$16"}</definedName>
    <definedName name="dqweqwer" hidden="1">{"'Sheet1'!$L$16"}</definedName>
    <definedName name="ds" localSheetId="5" hidden="1">{"cashflow",#N/A,FALSE,"CASHFLOW "}</definedName>
    <definedName name="ds" hidden="1">{"cashflow",#N/A,FALSE,"CASHFLOW "}</definedName>
    <definedName name="ds\" localSheetId="5" hidden="1">#REF!</definedName>
    <definedName name="ds\" localSheetId="4" hidden="1">#REF!</definedName>
    <definedName name="ds\" hidden="1">#REF!</definedName>
    <definedName name="dsa" localSheetId="5" hidden="1">{"PRINT_EST",#N/A,FALSE,"ESTMON"}</definedName>
    <definedName name="dsa" hidden="1">{"PRINT_EST",#N/A,FALSE,"ESTMON"}</definedName>
    <definedName name="dsad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localSheetId="5" hidden="1">{"hilight3",#N/A,FALSE,"HILIGHT3"}</definedName>
    <definedName name="dsafds" hidden="1">{"hilight3",#N/A,FALSE,"HILIGHT3"}</definedName>
    <definedName name="dsaffds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localSheetId="5" hidden="1">{"lev2monbt",#N/A,FALSE,"2_levmonB-T"}</definedName>
    <definedName name="DSAFSA" hidden="1">{"lev2monbt",#N/A,FALSE,"2_levmonB-T"}</definedName>
    <definedName name="dsd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localSheetId="5" hidden="1">{"'Sheet1'!$L$16"}</definedName>
    <definedName name="DSDL" hidden="1">{"'Sheet1'!$L$16"}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localSheetId="5" hidden="1">{"revable",#N/A,FALSE,"REVABLE"}</definedName>
    <definedName name="dsf" hidden="1">{"revable",#N/A,FALSE,"REVABLE"}</definedName>
    <definedName name="dsfa" localSheetId="5" hidden="1">{"hilight1",#N/A,FALSE,"HILIGHT1"}</definedName>
    <definedName name="dsfa" hidden="1">{"hilight1",#N/A,FALSE,"HILIGHT1"}</definedName>
    <definedName name="dsfadfda" localSheetId="5" hidden="1">{"PRINT_EST",#N/A,FALSE,"ESTMON"}</definedName>
    <definedName name="dsfadfda" hidden="1">{"PRINT_EST",#N/A,FALSE,"ESTMON"}</definedName>
    <definedName name="dsfaf" localSheetId="5" hidden="1">{"revsale",#N/A,FALSE,"REV-ยุพดี"}</definedName>
    <definedName name="dsfaf" hidden="1">{"revsale",#N/A,FALSE,"REV-ยุพดี"}</definedName>
    <definedName name="DSFAR" localSheetId="5" hidden="1">{#N/A,#N/A,FALSE,"CCTV"}</definedName>
    <definedName name="DSFAR" hidden="1">{#N/A,#N/A,FALSE,"CCTV"}</definedName>
    <definedName name="dsfawe" localSheetId="5" hidden="1">{"hilight3",#N/A,FALSE,"HILIGHT3"}</definedName>
    <definedName name="dsfawe" hidden="1">{"hilight3",#N/A,FALSE,"HILIGHT3"}</definedName>
    <definedName name="dsfd" localSheetId="5" hidden="1">{"revable",#N/A,FALSE,"REVABLE"}</definedName>
    <definedName name="dsfd" hidden="1">{"revable",#N/A,FALSE,"REVABLE"}</definedName>
    <definedName name="dsfdas" localSheetId="5" hidden="1">{0,#N/A,FALSE,0}</definedName>
    <definedName name="dsfdas" hidden="1">{0,#N/A,FALSE,0}</definedName>
    <definedName name="dsff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localSheetId="5" hidden="1">{"'Sheet1'!$L$16"}</definedName>
    <definedName name="dsfghty" hidden="1">{"'Sheet1'!$L$16"}</definedName>
    <definedName name="dsfkljsd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localSheetId="5" hidden="1">{"hilight3",#N/A,FALSE,"HILIGHT3"}</definedName>
    <definedName name="dsfs" hidden="1">{"hilight3",#N/A,FALSE,"HILIGHT3"}</definedName>
    <definedName name="ds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localSheetId="5" hidden="1">#REF!</definedName>
    <definedName name="dsggggggggggggggg" localSheetId="4" hidden="1">#REF!</definedName>
    <definedName name="dsggggggggggggggg" hidden="1">#REF!</definedName>
    <definedName name="dsgsdgsd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localSheetId="5" hidden="1">{#N/A,#N/A,TRUE,"SUM";#N/A,#N/A,TRUE,"EE";#N/A,#N/A,TRUE,"AC";#N/A,#N/A,TRUE,"SN"}</definedName>
    <definedName name="DSJKLDE" hidden="1">{#N/A,#N/A,TRUE,"SUM";#N/A,#N/A,TRUE,"EE";#N/A,#N/A,TRUE,"AC";#N/A,#N/A,TRUE,"SN"}</definedName>
    <definedName name="dsovd" localSheetId="5" hidden="1">{"'Sheet1'!$L$16"}</definedName>
    <definedName name="dsovd" hidden="1">{"'Sheet1'!$L$16"}</definedName>
    <definedName name="dssa" localSheetId="5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 localSheetId="5">#REF!</definedName>
    <definedName name="DT" localSheetId="4">#REF!</definedName>
    <definedName name="DT">#REF!</definedName>
    <definedName name="DTA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localSheetId="5" hidden="1">{"'Sheet1'!$L$16"}</definedName>
    <definedName name="dtctnd" hidden="1">{"'Sheet1'!$L$16"}</definedName>
    <definedName name="DTI" localSheetId="5" hidden="1">{#N/A,#N/A,FALSE,"CCTV"}</definedName>
    <definedName name="DTI" hidden="1">{#N/A,#N/A,FALSE,"CCTV"}</definedName>
    <definedName name="dtrr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localSheetId="5" hidden="1">{#N/A,#N/A,FALSE,"CCTV"}</definedName>
    <definedName name="DTYUDTUI" hidden="1">{#N/A,#N/A,FALSE,"CCTV"}</definedName>
    <definedName name="DVB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localSheetId="5" hidden="1">[18]Quantity!#REF!</definedName>
    <definedName name="DWPRICE" localSheetId="4" hidden="1">[18]Quantity!#REF!</definedName>
    <definedName name="DWPRICE" hidden="1">[18]Quantity!#REF!</definedName>
    <definedName name="DXFTH" localSheetId="5" hidden="1">{"'매출계획'!$D$2"}</definedName>
    <definedName name="DXFTH" hidden="1">{"'매출계획'!$D$2"}</definedName>
    <definedName name="dxsa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localSheetId="5" hidden="1">{#N/A,#N/A,FALSE,"Chung"}</definedName>
    <definedName name="dyrrrr" hidden="1">{#N/A,#N/A,FALSE,"Chung"}</definedName>
    <definedName name="DZHADH" localSheetId="5" hidden="1">{"'Sheet1'!$L$16"}</definedName>
    <definedName name="DZHADH" hidden="1">{"'Sheet1'!$L$16"}</definedName>
    <definedName name="e" localSheetId="5" hidden="1">{"'Sheet1'!$L$16"}</definedName>
    <definedName name="e" hidden="1">{"'Sheet1'!$L$16"}</definedName>
    <definedName name="e?rr" localSheetId="5" hidden="1">{#N/A,#N/A,FALSE,"Chi tiÆt"}</definedName>
    <definedName name="e?rr" hidden="1">{#N/A,#N/A,FALSE,"Chi tiÆt"}</definedName>
    <definedName name="e4t3t34t43" localSheetId="5" hidden="1">{#N/A,#N/A,FALSE,"Gesamt";#N/A,#N/A,FALSE,"Ree KG";#N/A,#N/A,FALSE,"Ree Inter";#N/A,#N/A,FALSE,"BTM";#N/A,#N/A,FALSE,"GmbH";#N/A,#N/A,FALSE,"Sonstige"}</definedName>
    <definedName name="e4t3t34t43" hidden="1">{#N/A,#N/A,FALSE,"Gesamt";#N/A,#N/A,FALSE,"Ree KG";#N/A,#N/A,FALSE,"Ree Inter";#N/A,#N/A,FALSE,"BTM";#N/A,#N/A,FALSE,"GmbH";#N/A,#N/A,FALSE,"Sonstige"}</definedName>
    <definedName name="ear" localSheetId="5" hidden="1">#REF!</definedName>
    <definedName name="ear" localSheetId="4" hidden="1">#REF!</definedName>
    <definedName name="ear" hidden="1">#REF!</definedName>
    <definedName name="EARF" localSheetId="5" hidden="1">{"'매출계획'!$D$2"}</definedName>
    <definedName name="EARF" hidden="1">{"'매출계획'!$D$2"}</definedName>
    <definedName name="EASRYG" localSheetId="5" hidden="1">{"'매출계획'!$D$2"}</definedName>
    <definedName name="EASRYG" hidden="1">{"'매출계획'!$D$2"}</definedName>
    <definedName name="edewr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localSheetId="5" hidden="1">#REF!</definedName>
    <definedName name="edqseqweqwe" localSheetId="4" hidden="1">#REF!</definedName>
    <definedName name="edqseqweqwe" hidden="1">#REF!</definedName>
    <definedName name="ee" localSheetId="5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localSheetId="5" hidden="1">{"revsale",#N/A,FALSE,"REV-ยุพดี"}</definedName>
    <definedName name="eee" hidden="1">{"revsale",#N/A,FALSE,"REV-ยุพดี"}</definedName>
    <definedName name="eee.exe" localSheetId="5" hidden="1">{#N/A,#N/A,FALSE,"Chi tiÆt"}</definedName>
    <definedName name="eee.exe" hidden="1">{#N/A,#N/A,FALSE,"Chi tiÆt"}</definedName>
    <definedName name="eeeeeeeeeee" localSheetId="5" hidden="1">{"'Feb 99'!$A$1:$G$30"}</definedName>
    <definedName name="eeeeeeeeeee" hidden="1">{"'Feb 99'!$A$1:$G$30"}</definedName>
    <definedName name="EEEEEEEEEEEEEEEEEE" localSheetId="5" hidden="1">{"'Feb 99'!$A$1:$G$30"}</definedName>
    <definedName name="EEEEEEEEEEEEEEEEEE" hidden="1">{"'Feb 99'!$A$1:$G$30"}</definedName>
    <definedName name="eeeeeeeeeeeeeeeeeee" localSheetId="5" hidden="1">{#VALUE!,#N/A,FALSE,0}</definedName>
    <definedName name="eeeeeeeeeeeeeeeeeee" hidden="1">{#VALUE!,#N/A,FALSE,0}</definedName>
    <definedName name="eeeetwrwrqR" localSheetId="5" hidden="1">#REF!</definedName>
    <definedName name="eeeetwrwrqR" localSheetId="4" hidden="1">#REF!</definedName>
    <definedName name="eeeetwrwrqR" hidden="1">#REF!</definedName>
    <definedName name="eer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localSheetId="5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gew4gq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localSheetId="5" hidden="1">{"'Sheet1'!$L$16"}</definedName>
    <definedName name="egsf" hidden="1">{"'Sheet1'!$L$16"}</definedName>
    <definedName name="egtewt4qetq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localSheetId="5" hidden="1">{#N/A,#N/A,FALSE,"Gesamt";#N/A,#N/A,FALSE,"Ree KG";#N/A,#N/A,FALSE,"Ree Inter";#N/A,#N/A,FALSE,"BTM";#N/A,#N/A,FALSE,"GmbH";#N/A,#N/A,FALSE,"Sonstige"}</definedName>
    <definedName name="egtt" hidden="1">{#N/A,#N/A,FALSE,"Gesamt";#N/A,#N/A,FALSE,"Ree KG";#N/A,#N/A,FALSE,"Ree Inter";#N/A,#N/A,FALSE,"BTM";#N/A,#N/A,FALSE,"GmbH";#N/A,#N/A,FALSE,"Sonstige"}</definedName>
    <definedName name="eoue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localSheetId="5" hidden="1">{"'Sheet1'!$L$16"}</definedName>
    <definedName name="eqeq" hidden="1">{"'Sheet1'!$L$16"}</definedName>
    <definedName name="eqeqe" localSheetId="5" hidden="1">#REF!</definedName>
    <definedName name="eqeqe" localSheetId="4" hidden="1">#REF!</definedName>
    <definedName name="eqeqe" hidden="1">#REF!</definedName>
    <definedName name="eqtw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localSheetId="5" hidden="1">{#N/A,#N/A,FALSE,"CCTV"}</definedName>
    <definedName name="ER" hidden="1">{#N/A,#N/A,FALSE,"CCTV"}</definedName>
    <definedName name="erjgioseru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 localSheetId="5">#REF!</definedName>
    <definedName name="ERP" localSheetId="4">#REF!</definedName>
    <definedName name="ERP">#REF!</definedName>
    <definedName name="erre" localSheetId="5" hidden="1">{"weichwaren",#N/A,FALSE,"Liste 1";"hartwaren",#N/A,FALSE,"Liste 1";"food",#N/A,FALSE,"Liste 1";"fleisch",#N/A,FALSE,"Liste 1"}</definedName>
    <definedName name="erre" hidden="1">{"weichwaren",#N/A,FALSE,"Liste 1";"hartwaren",#N/A,FALSE,"Liste 1";"food",#N/A,FALSE,"Liste 1";"fleisch",#N/A,FALSE,"Liste 1"}</definedName>
    <definedName name="errr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localSheetId="5" hidden="1">{"'매출계획'!$D$2"}</definedName>
    <definedName name="ERTG" hidden="1">{"'매출계획'!$D$2"}</definedName>
    <definedName name="ertt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localSheetId="5" hidden="1">{"cashflow",#N/A,FALSE,"CASHFLOW "}</definedName>
    <definedName name="erwerw" hidden="1">{"cashflow",#N/A,FALSE,"CASHFLOW "}</definedName>
    <definedName name="eryasery" localSheetId="5" hidden="1">{#N/A,#N/A,FALSE,"CCTV"}</definedName>
    <definedName name="eryasery" hidden="1">{#N/A,#N/A,FALSE,"CCTV"}</definedName>
    <definedName name="erye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localSheetId="5" hidden="1">{"hilight1",#N/A,FALSE,"HILIGHT1"}</definedName>
    <definedName name="es" hidden="1">{"hilight1",#N/A,FALSE,"HILIGHT1"}</definedName>
    <definedName name="et4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localSheetId="5" hidden="1">{#N/A,#N/A,FALSE,"Gesamt";#N/A,#N/A,FALSE,"Ree KG";#N/A,#N/A,FALSE,"Ree Inter";#N/A,#N/A,FALSE,"BTM";#N/A,#N/A,FALSE,"GmbH";#N/A,#N/A,FALSE,"Sonstige"}</definedName>
    <definedName name="etetteet" hidden="1">{#N/A,#N/A,FALSE,"Gesamt";#N/A,#N/A,FALSE,"Ree KG";#N/A,#N/A,FALSE,"Ree Inter";#N/A,#N/A,FALSE,"BTM";#N/A,#N/A,FALSE,"GmbH";#N/A,#N/A,FALSE,"Sonstige"}</definedName>
    <definedName name="etetteet_1" localSheetId="5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localSheetId="5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localSheetId="5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localSheetId="5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localSheetId="5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localSheetId="5" hidden="1">{"'Sheet1'!$L$16"}</definedName>
    <definedName name="etewtwt" hidden="1">{"'Sheet1'!$L$16"}</definedName>
    <definedName name="etw4t4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localSheetId="5" hidden="1">{#N/A,#N/A,FALSE,"Chi tiÆt"}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localSheetId="5" hidden="1">{"revable",#N/A,FALSE,"REVABLE"}</definedName>
    <definedName name="ew" hidden="1">{"revable",#N/A,FALSE,"REVABLE"}</definedName>
    <definedName name="EWADAGDDS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localSheetId="5" hidden="1">{"'ตัวอย่าง'!$A$1:$O$21"}</definedName>
    <definedName name="ewe" hidden="1">{"'ตัวอย่าง'!$A$1:$O$21"}</definedName>
    <definedName name="eweqw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localSheetId="5" hidden="1">{"'Sheet1'!$L$16"}</definedName>
    <definedName name="ewetwq" hidden="1">{"'Sheet1'!$L$16"}</definedName>
    <definedName name="ewtqw3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 localSheetId="5">#REF!</definedName>
    <definedName name="Excise" localSheetId="4">#REF!</definedName>
    <definedName name="Excise">#REF!</definedName>
    <definedName name="Expectations" localSheetId="5">#REF!</definedName>
    <definedName name="Expectations" localSheetId="4">#REF!</definedName>
    <definedName name="Expectations">#REF!</definedName>
    <definedName name="Expenses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localSheetId="5" hidden="1">{"'ตัวอย่าง'!$A$1:$O$21"}</definedName>
    <definedName name="EXPORT_รายหน่วยงาน" hidden="1">{"'ตัวอย่าง'!$A$1:$O$21"}</definedName>
    <definedName name="EXR" localSheetId="5">#REF!</definedName>
    <definedName name="EXR" localSheetId="4">#REF!</definedName>
    <definedName name="EXR">#REF!</definedName>
    <definedName name="EY" localSheetId="5" hidden="1">{"'Feb 99'!$A$1:$G$30"}</definedName>
    <definedName name="EY" hidden="1">{"'Feb 99'!$A$1:$G$30"}</definedName>
    <definedName name="eyteyt" localSheetId="5" hidden="1">{#N/A,#N/A,FALSE,"CCTV"}</definedName>
    <definedName name="eyteyt" hidden="1">{#N/A,#N/A,FALSE,"CCTV"}</definedName>
    <definedName name="eytre" localSheetId="5" hidden="1">{#N/A,#N/A,FALSE,"CCTV"}</definedName>
    <definedName name="eytre" hidden="1">{#N/A,#N/A,FALSE,"CCTV"}</definedName>
    <definedName name="F" localSheetId="5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." localSheetId="5" hidden="1">Stat Key #REF!</definedName>
    <definedName name="F." localSheetId="4" hidden="1">Stat Key #REF!</definedName>
    <definedName name="F." hidden="1">Stat Key #REF!</definedName>
    <definedName name="F6A" localSheetId="5" hidden="1">{"'Sheet1'!$L$16"}</definedName>
    <definedName name="F6A" hidden="1">{"'Sheet1'!$L$16"}</definedName>
    <definedName name="F6B" localSheetId="5" hidden="1">{"'Sheet1'!$L$16"}</definedName>
    <definedName name="F6B" hidden="1">{"'Sheet1'!$L$16"}</definedName>
    <definedName name="fabr" localSheetId="5" hidden="1">{"'Bidfailed'!$D$2:$AB$14","'Bidfailed'!$D$4:$AB$4"}</definedName>
    <definedName name="fabr" hidden="1">{"'Bidfailed'!$D$2:$AB$14","'Bidfailed'!$D$4:$AB$4"}</definedName>
    <definedName name="FACTORY" localSheetId="5" hidden="1">{#N/A,#N/A,TRUE,"SUM";#N/A,#N/A,TRUE,"EE";#N/A,#N/A,TRUE,"AC";#N/A,#N/A,TRUE,"SN"}</definedName>
    <definedName name="FACTORY" hidden="1">{#N/A,#N/A,TRUE,"SUM";#N/A,#N/A,TRUE,"EE";#N/A,#N/A,TRUE,"AC";#N/A,#N/A,TRUE,"SN"}</definedName>
    <definedName name="FADS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localSheetId="5" hidden="1">{"'Sheet1'!$L$16"}</definedName>
    <definedName name="fagsgkgdyhg" hidden="1">{"'Sheet1'!$L$16"}</definedName>
    <definedName name="fas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localSheetId="5" hidden="1">{#N/A,#N/A,FALSE,"CCTV"}</definedName>
    <definedName name="fasfs" hidden="1">{#N/A,#N/A,FALSE,"CCTV"}</definedName>
    <definedName name="fbj" localSheetId="5" hidden="1">{#N/A,#N/A,FALSE,"CCTV"}</definedName>
    <definedName name="fbj" hidden="1">{#N/A,#N/A,FALSE,"CCTV"}</definedName>
    <definedName name="fc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localSheetId="5" hidden="1">#REF!</definedName>
    <definedName name="FCode" localSheetId="4" hidden="1">#REF!</definedName>
    <definedName name="FCode" hidden="1">#REF!</definedName>
    <definedName name="fd" localSheetId="5" hidden="1">{0,#N/A,FALSE,0}</definedName>
    <definedName name="fd" hidden="1">{0,#N/A,FALSE,0}</definedName>
    <definedName name="fdasfds" localSheetId="5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5" hidden="1">{#N/A,#N/A,FALSE,"CCTV"}</definedName>
    <definedName name="fddfhdfhdgh" hidden="1">{#N/A,#N/A,FALSE,"CCTV"}</definedName>
    <definedName name="fddss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localSheetId="5" hidden="1">{#N/A,#N/A,FALSE,"CCTV"}</definedName>
    <definedName name="fdf" hidden="1">{#N/A,#N/A,FALSE,"CCTV"}</definedName>
    <definedName name="fdfdf" localSheetId="5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[19]!MeasureList</definedName>
    <definedName name="fdgjf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localSheetId="5" hidden="1">{"cashflow",#N/A,FALSE,"CASHFLOW "}</definedName>
    <definedName name="fds" hidden="1">{"cashflow",#N/A,FALSE,"CASHFLOW "}</definedName>
    <definedName name="fdsaf" localSheetId="5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ASDF" localSheetId="5" hidden="1">{#N/A,#N/A,FALSE,"CCTV"}</definedName>
    <definedName name="FDSFASDF" hidden="1">{#N/A,#N/A,FALSE,"CCTV"}</definedName>
    <definedName name="FDTYIDTIY" localSheetId="5" hidden="1">{#N/A,#N/A,FALSE,"CCTV"}</definedName>
    <definedName name="FDTYIDTIY" hidden="1">{#N/A,#N/A,FALSE,"CCTV"}</definedName>
    <definedName name="fdvjsidf" localSheetId="5" hidden="1">{"'Sheet1'!$L$16"}</definedName>
    <definedName name="fdvjsidf" hidden="1">{"'Sheet1'!$L$16"}</definedName>
    <definedName name="f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localSheetId="5" hidden="1">{"fleisch",#N/A,FALSE,"WG HK";"food",#N/A,FALSE,"WG HK";"hartwaren",#N/A,FALSE,"WG HK";"weichwaren",#N/A,FALSE,"WG HK"}</definedName>
    <definedName name="feineer" hidden="1">{"fleisch",#N/A,FALSE,"WG HK";"food",#N/A,FALSE,"WG HK";"hartwaren",#N/A,FALSE,"WG HK";"weichwaren",#N/A,FALSE,"WG HK"}</definedName>
    <definedName name="feuille" localSheetId="5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localSheetId="5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localSheetId="5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localSheetId="5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localSheetId="5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localSheetId="5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localSheetId="5" hidden="1">{"'ตัวอย่าง'!$A$1:$O$21"}</definedName>
    <definedName name="ff" hidden="1">{"'ตัวอย่าง'!$A$1:$O$21"}</definedName>
    <definedName name="ffdgg" localSheetId="5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5" hidden="1">{"'매출계획'!$D$2"}</definedName>
    <definedName name="fff" hidden="1">{"'매출계획'!$D$2"}</definedName>
    <definedName name="fff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localSheetId="5" hidden="1">{#N/A,#N/A,TRUE,"SUM";#N/A,#N/A,TRUE,"EE";#N/A,#N/A,TRUE,"AC";#N/A,#N/A,TRUE,"SN"}</definedName>
    <definedName name="ffffd" hidden="1">{#N/A,#N/A,TRUE,"SUM";#N/A,#N/A,TRUE,"EE";#N/A,#N/A,TRUE,"AC";#N/A,#N/A,TRUE,"SN"}</definedName>
    <definedName name="ffffff" localSheetId="5" hidden="1">{#N/A,#N/A,FALSE,"CCTV"}</definedName>
    <definedName name="ffffff" hidden="1">{#N/A,#N/A,FALSE,"CCTV"}</definedName>
    <definedName name="fffffffffffff" localSheetId="5" hidden="1">Cost #REF!</definedName>
    <definedName name="fffffffffffff" localSheetId="4" hidden="1">Cost #REF!</definedName>
    <definedName name="fffffffffffff" hidden="1">Cost #REF!</definedName>
    <definedName name="fg" localSheetId="5" hidden="1">{"'Sheet1'!$L$16"}</definedName>
    <definedName name="fg" hidden="1">{"'Sheet1'!$L$16"}</definedName>
    <definedName name="fgafg" localSheetId="5" hidden="1">#REF!</definedName>
    <definedName name="fgafg" localSheetId="4" hidden="1">#REF!</definedName>
    <definedName name="fgafg" hidden="1">#REF!</definedName>
    <definedName name="fgdf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localSheetId="5" hidden="1">{#N/A,#N/A,FALSE,"Admin";#N/A,#N/A,FALSE,"Other"}</definedName>
    <definedName name="fgdtrff" hidden="1">{#N/A,#N/A,FALSE,"Admin";#N/A,#N/A,FALSE,"Other"}</definedName>
    <definedName name="FGF" localSheetId="5" hidden="1">{#N/A,#N/A,FALSE,"CCTV"}</definedName>
    <definedName name="FGF" hidden="1">{#N/A,#N/A,FALSE,"CCTV"}</definedName>
    <definedName name="fgfgfgfg" localSheetId="5" hidden="1">#REF!</definedName>
    <definedName name="fgfgfgfg" localSheetId="4" hidden="1">#REF!</definedName>
    <definedName name="fgfgfgfg" hidden="1">#REF!</definedName>
    <definedName name="fggdfg" localSheetId="5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GGHJ" localSheetId="5" hidden="1">{#N/A,#N/A,FALSE,"CCTV"}</definedName>
    <definedName name="FGGHJ" hidden="1">{#N/A,#N/A,FALSE,"CCTV"}</definedName>
    <definedName name="fggjdfg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localSheetId="5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gh" localSheetId="5" hidden="1">{"'매출계획'!$D$2"}</definedName>
    <definedName name="fgh" hidden="1">{"'매출계획'!$D$2"}</definedName>
    <definedName name="FGHD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localSheetId="5" hidden="1">{#N/A,#N/A,FALSE,"CCTV"}</definedName>
    <definedName name="fghdgh" hidden="1">{#N/A,#N/A,FALSE,"CCTV"}</definedName>
    <definedName name="fgh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localSheetId="5" hidden="1">{"'매출계획'!$D$2"}</definedName>
    <definedName name="FGHFG" hidden="1">{"'매출계획'!$D$2"}</definedName>
    <definedName name="fghgfh" localSheetId="5" hidden="1">{"'Sheet1'!$L$16"}</definedName>
    <definedName name="fghgfh" hidden="1">{"'Sheet1'!$L$16"}</definedName>
    <definedName name="FGHGS" localSheetId="5" hidden="1">{"'매출계획'!$D$2"}</definedName>
    <definedName name="FGHGS" hidden="1">{"'매출계획'!$D$2"}</definedName>
    <definedName name="fghkfghk" localSheetId="5" hidden="1">{#N/A,#N/A,FALSE,"CCTV"}</definedName>
    <definedName name="fghkfghk" hidden="1">{#N/A,#N/A,FALSE,"CCTV"}</definedName>
    <definedName name="fghkk" localSheetId="5" hidden="1">{#N/A,#N/A,FALSE,"CCTV"}</definedName>
    <definedName name="fghkk" hidden="1">{#N/A,#N/A,FALSE,"CCTV"}</definedName>
    <definedName name="FGJFJ" localSheetId="5" hidden="1">{#N/A,#N/A,FALSE,"CCTV"}</definedName>
    <definedName name="FGJFJ" hidden="1">{#N/A,#N/A,FALSE,"CCTV"}</definedName>
    <definedName name="fgjhhj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localSheetId="5" hidden="1">{#N/A,#N/A,FALSE,"CCTV"}</definedName>
    <definedName name="fgkdghk" hidden="1">{#N/A,#N/A,FALSE,"CCTV"}</definedName>
    <definedName name="fgngndnfdifndhdvnhfdiujfidjf" localSheetId="5" hidden="1">{#N/A,#N/A,FALSE,"Aging Summary";#N/A,#N/A,FALSE,"Ratio Analysis";#N/A,#N/A,FALSE,"Test 120 Day Accts";#N/A,#N/A,FALSE,"Tickmarks"}</definedName>
    <definedName name="fgngndnfdifndhdvnhfdiujfidjf" hidden="1">{#N/A,#N/A,FALSE,"Aging Summary";#N/A,#N/A,FALSE,"Ratio Analysis";#N/A,#N/A,FALSE,"Test 120 Day Accts";#N/A,#N/A,FALSE,"Tickmarks"}</definedName>
    <definedName name="fgsfgsdg" localSheetId="5" hidden="1">{#N/A,#N/A,FALSE,"Gesamt";#N/A,#N/A,FALSE,"Ree KG";#N/A,#N/A,FALSE,"Ree Inter";#N/A,#N/A,FALSE,"BTM";#N/A,#N/A,FALSE,"GmbH";#N/A,#N/A,FALSE,"Sonstige"}</definedName>
    <definedName name="fgsfgsdg" hidden="1">{#N/A,#N/A,FALSE,"Gesamt";#N/A,#N/A,FALSE,"Ree KG";#N/A,#N/A,FALSE,"Ree Inter";#N/A,#N/A,FALSE,"BTM";#N/A,#N/A,FALSE,"GmbH";#N/A,#N/A,FALSE,"Sonstige"}</definedName>
    <definedName name="fgtry" localSheetId="5" hidden="1">{"'Shipments'!$A$1:$DA$45"}</definedName>
    <definedName name="fgtry" hidden="1">{"'Shipments'!$A$1:$DA$45"}</definedName>
    <definedName name="fh" localSheetId="5" hidden="1">{"revsale",#N/A,FALSE,"REV-ยุพดี"}</definedName>
    <definedName name="fh" hidden="1">{"revsale",#N/A,FALSE,"REV-ยุพดี"}</definedName>
    <definedName name="fhdfh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localSheetId="5" hidden="1">{"revable",#N/A,FALSE,"REVABLE"}</definedName>
    <definedName name="fhgfhgh" hidden="1">{"revable",#N/A,FALSE,"REVABLE"}</definedName>
    <definedName name="fhgjfghfghgf" localSheetId="5" hidden="1">{#N/A,#N/A,FALSE,"CCTV"}</definedName>
    <definedName name="fhgjfghfghgf" hidden="1">{#N/A,#N/A,FALSE,"CCTV"}</definedName>
    <definedName name="fhjl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localSheetId="5" hidden="1">{#N/A,#N/A,FALSE,"CCTV"}</definedName>
    <definedName name="FHKF" hidden="1">{#N/A,#N/A,FALSE,"CCTV"}</definedName>
    <definedName name="FHKFHK" localSheetId="5" hidden="1">{#N/A,#N/A,FALSE,"Chi tiÆt"}</definedName>
    <definedName name="FHKFHK" hidden="1">{#N/A,#N/A,FALSE,"Chi tiÆt"}</definedName>
    <definedName name="fhrh" localSheetId="5" hidden="1">{"level1",#N/A,FALSE,"1_LEV";"LEVEL1",#N/A,FALSE,"1_LEV"}</definedName>
    <definedName name="fhrh" hidden="1">{"level1",#N/A,FALSE,"1_LEV";"LEVEL1",#N/A,FALSE,"1_LEV"}</definedName>
    <definedName name="FHSD" localSheetId="5" hidden="1">{"'매출계획'!$D$2"}</definedName>
    <definedName name="FHSD" hidden="1">{"'매출계획'!$D$2"}</definedName>
    <definedName name="FiCo" localSheetId="5" hidden="1">#REF!</definedName>
    <definedName name="FiCo" localSheetId="4" hidden="1">#REF!</definedName>
    <definedName name="FiCo" hidden="1">#REF!</definedName>
    <definedName name="File.Type" localSheetId="5" hidden="1">#REF!</definedName>
    <definedName name="File.Type" localSheetId="4" hidden="1">#REF!</definedName>
    <definedName name="File.Type" hidden="1">#REF!</definedName>
    <definedName name="Fill" localSheetId="5" hidden="1">#REF!</definedName>
    <definedName name="Fill" localSheetId="4" hidden="1">#REF!</definedName>
    <definedName name="Fill" hidden="1">#REF!</definedName>
    <definedName name="Finanacialsys" localSheetId="5">#REF!</definedName>
    <definedName name="Finanacialsys" localSheetId="4">#REF!</definedName>
    <definedName name="Finanacialsys">#REF!</definedName>
    <definedName name="Financialsys" localSheetId="5">#REF!</definedName>
    <definedName name="Financialsys" localSheetId="4">#REF!</definedName>
    <definedName name="Financialsys">#REF!</definedName>
    <definedName name="FiveYPLN" localSheetId="5" hidden="1">{"'Bidfailed'!$D$2:$AB$14","'Bidfailed'!$D$4:$AB$4"}</definedName>
    <definedName name="FiveYPLN" hidden="1">{"'Bidfailed'!$D$2:$AB$14","'Bidfailed'!$D$4:$AB$4"}</definedName>
    <definedName name="Fixedoverhea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localSheetId="5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gjd" localSheetId="5" hidden="1">{#N/A,#N/A,FALSE,"CCTV"}</definedName>
    <definedName name="fjdgjd" hidden="1">{#N/A,#N/A,FALSE,"CCTV"}</definedName>
    <definedName name="FJHGJ" localSheetId="5" hidden="1">{#N/A,#N/A,FALSE,"CCTV"}</definedName>
    <definedName name="FJHGJ" hidden="1">{#N/A,#N/A,FALSE,"CCTV"}</definedName>
    <definedName name="fjladjfla" hidden="1">5</definedName>
    <definedName name="fjl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localSheetId="5" hidden="1">{"'Sheet1'!$L$16"}</definedName>
    <definedName name="FJY" hidden="1">{"'Sheet1'!$L$16"}</definedName>
    <definedName name="fkfgk" localSheetId="5" hidden="1">{#N/A,#N/A,FALSE,"CCTV"}</definedName>
    <definedName name="fkfgk" hidden="1">{#N/A,#N/A,FALSE,"CCTV"}</definedName>
    <definedName name="fkijgitjgtigjmrkfeofkoekfrjfrijfrfjr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H2006" localSheetId="5" hidden="1">{#N/A,#N/A,FALSE,"TL";#N/A,#N/A,FALSE,"KK";#N/A,#N/A,FALSE,"TS";#N/A,#N/A,FALSE,"KW";#N/A,#N/A,FALSE,"LP";#N/A,#N/A,FALSE,"DC"}</definedName>
    <definedName name="FOH2006" hidden="1">{#N/A,#N/A,FALSE,"TL";#N/A,#N/A,FALSE,"KK";#N/A,#N/A,FALSE,"TS";#N/A,#N/A,FALSE,"KW";#N/A,#N/A,FALSE,"LP";#N/A,#N/A,FALSE,"DC"}</definedName>
    <definedName name="FOR" localSheetId="5" hidden="1">{#N/A,#N/A,FALSE,"CCTV"}</definedName>
    <definedName name="FOR" hidden="1">{#N/A,#N/A,FALSE,"CCTV"}</definedName>
    <definedName name="FOREVER" localSheetId="5" hidden="1">{#N/A,#N/A,FALSE,"Chi tiÆt"}</definedName>
    <definedName name="FOREVER" hidden="1">{#N/A,#N/A,FALSE,"Chi tiÆt"}</definedName>
    <definedName name="FORMAT" localSheetId="5" hidden="1">{#N/A,#N/A,FALSE,"CCTV"}</definedName>
    <definedName name="FORMAT" hidden="1">{#N/A,#N/A,FALSE,"CCTV"}</definedName>
    <definedName name="FPTsubsidaries" localSheetId="5" hidden="1">{#N/A,#N/A,FALSE,"Chi tiÆt"}</definedName>
    <definedName name="FPTsubsidaries" hidden="1">{#N/A,#N/A,FALSE,"Chi tiÆt"}</definedName>
    <definedName name="fr" localSheetId="5" hidden="1">{"'Sheet1'!$A$1:$H$145"}</definedName>
    <definedName name="fr" hidden="1">{"'Sheet1'!$A$1:$H$145"}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localSheetId="5" hidden="1">{"'Sheet1'!$L$16"}</definedName>
    <definedName name="frtyiri" hidden="1">{"'Sheet1'!$L$16"}</definedName>
    <definedName name="fs" localSheetId="5" hidden="1">{#N/A,#N/A,FALSE,"CCTV"}</definedName>
    <definedName name="fs" hidden="1">{#N/A,#N/A,FALSE,"CCTV"}</definedName>
    <definedName name="fsdfdsf" localSheetId="5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sfwsrf" localSheetId="5" hidden="1">#REF!</definedName>
    <definedName name="fsfwsrf" localSheetId="4" hidden="1">#REF!</definedName>
    <definedName name="fsfwsrf" hidden="1">#REF!</definedName>
    <definedName name="ftgh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localSheetId="5" hidden="1">{#N/A,#N/A,FALSE,"CCTV"}</definedName>
    <definedName name="FTIDTI" hidden="1">{#N/A,#N/A,FALSE,"CCTV"}</definedName>
    <definedName name="FTYIDTYI" localSheetId="5" hidden="1">{#N/A,#N/A,FALSE,"CCTV"}</definedName>
    <definedName name="FTYIDTYI" hidden="1">{#N/A,#N/A,FALSE,"CCTV"}</definedName>
    <definedName name="ftyiryiu" localSheetId="5" hidden="1">{"'Sheet1'!$L$16"}</definedName>
    <definedName name="ftyiryiu" hidden="1">{"'Sheet1'!$L$16"}</definedName>
    <definedName name="fyukoyui" localSheetId="5" hidden="1">{#N/A,#N/A,FALSE,"CCTV"}</definedName>
    <definedName name="fyukoyui" hidden="1">{#N/A,#N/A,FALSE,"CCTV"}</definedName>
    <definedName name="g" localSheetId="5" hidden="1">{"'매출계획'!$D$2"}</definedName>
    <definedName name="g" hidden="1">{"'매출계획'!$D$2"}</definedName>
    <definedName name="G.EX" localSheetId="5" hidden="1">{#N/A,#N/A,FALSE,"CCTV"}</definedName>
    <definedName name="G.EX" hidden="1">{#N/A,#N/A,FALSE,"CCTV"}</definedName>
    <definedName name="ga" localSheetId="5" hidden="1">{#N/A,#N/A,FALSE,"SPLIT1";#N/A,#N/A,FALSE,"SPLIT2";#N/A,#N/A,FALSE,"TELEX";#N/A,#N/A,FALSE,"TELEX"}</definedName>
    <definedName name="ga" hidden="1">{#N/A,#N/A,FALSE,"SPLIT1";#N/A,#N/A,FALSE,"SPLIT2";#N/A,#N/A,FALSE,"TELEX";#N/A,#N/A,FALSE,"TELEX"}</definedName>
    <definedName name="GAAP" localSheetId="5" hidden="1">{#N/A,#N/A,FALSE,"Assessment";#N/A,#N/A,FALSE,"Staffing";#N/A,#N/A,FALSE,"Hires";#N/A,#N/A,FALSE,"Assumptions"}</definedName>
    <definedName name="GAAP" hidden="1">{#N/A,#N/A,FALSE,"Assessment";#N/A,#N/A,FALSE,"Staffing";#N/A,#N/A,FALSE,"Hires";#N/A,#N/A,FALSE,"Assumptions"}</definedName>
    <definedName name="gads" localSheetId="5" hidden="1">{#N/A,#N/A,FALSE,"CCTV"}</definedName>
    <definedName name="gads" hidden="1">{#N/A,#N/A,FALSE,"CCTV"}</definedName>
    <definedName name="GAFG" localSheetId="5" hidden="1">{"'매출계획'!$D$2"}</definedName>
    <definedName name="GAFG" hidden="1">{"'매출계획'!$D$2"}</definedName>
    <definedName name="ga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localSheetId="5" hidden="1">{"'매출계획'!$D$2"}</definedName>
    <definedName name="GB" hidden="1">{"'매출계획'!$D$2"}</definedName>
    <definedName name="GDE" localSheetId="5" hidden="1">{"'매출계획'!$D$2"}</definedName>
    <definedName name="GDE" hidden="1">{"'매출계획'!$D$2"}</definedName>
    <definedName name="GD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localSheetId="5" hidden="1">{"PRINT_EST",#N/A,FALSE,"ESTMON"}</definedName>
    <definedName name="gdgd" hidden="1">{"PRINT_EST",#N/A,FALSE,"ESTMON"}</definedName>
    <definedName name="gdh" localSheetId="5" hidden="1">{#N/A,#N/A,FALSE,"CCTV"}</definedName>
    <definedName name="gdh" hidden="1">{#N/A,#N/A,FALSE,"CCTV"}</definedName>
    <definedName name="GDHJN" localSheetId="5" hidden="1">{"'매출계획'!$D$2"}</definedName>
    <definedName name="GDHJN" hidden="1">{"'매출계획'!$D$2"}</definedName>
    <definedName name="gehe" localSheetId="5" hidden="1">{"Tages_D",#N/A,FALSE,"Tagesbericht";"Tages_PL",#N/A,FALSE,"Tagesbericht"}</definedName>
    <definedName name="gehe" hidden="1">{"Tages_D",#N/A,FALSE,"Tagesbericht";"Tages_PL",#N/A,FALSE,"Tagesbericht"}</definedName>
    <definedName name="GENERAL" localSheetId="5">#REF!,#REF!,#REF!,#REF!,#REF!,#REF!,#REF!</definedName>
    <definedName name="GENERAL" localSheetId="4">#REF!,#REF!,#REF!,#REF!,#REF!,#REF!,#REF!</definedName>
    <definedName name="GENERAL">#REF!,#REF!,#REF!,#REF!,#REF!,#REF!,#REF!</definedName>
    <definedName name="geresdsd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localSheetId="5" hidden="1">{"'매출계획'!$D$2"}</definedName>
    <definedName name="GF" hidden="1">{"'매출계획'!$D$2"}</definedName>
    <definedName name="gfdsfgdsg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5" hidden="1">{"'매출계획'!$D$2"}</definedName>
    <definedName name="GFH" hidden="1">{"'매출계획'!$D$2"}</definedName>
    <definedName name="GFHJH" localSheetId="5" hidden="1">{#N/A,#N/A,FALSE,"CCTV"}</definedName>
    <definedName name="GFHJH" hidden="1">{#N/A,#N/A,FALSE,"CCTV"}</definedName>
    <definedName name="gfjgfh" localSheetId="5" hidden="1">{#N/A,#N/A,FALSE,"CCTV"}</definedName>
    <definedName name="gfjgfh" hidden="1">{#N/A,#N/A,FALSE,"CCTV"}</definedName>
    <definedName name="gfjgfhfg" localSheetId="5" hidden="1">{#N/A,#N/A,FALSE,"CCTV"}</definedName>
    <definedName name="gfjgfhfg" hidden="1">{#N/A,#N/A,FALSE,"CCTV"}</definedName>
    <definedName name="GFKGF" localSheetId="5" hidden="1">{#N/A,#N/A,FALSE,"CCTV"}</definedName>
    <definedName name="GFKGF" hidden="1">{#N/A,#N/A,FALSE,"CCTV"}</definedName>
    <definedName name="gfs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localSheetId="5" hidden="1">{"'ตัวอย่าง'!$A$1:$O$21"}</definedName>
    <definedName name="gg" hidden="1">{"'ตัวอย่าง'!$A$1:$O$21"}</definedName>
    <definedName name="gg_1" localSheetId="5" hidden="1">{"'Sheet1'!$L$16"}</definedName>
    <definedName name="gg_1" hidden="1">{"'Sheet1'!$L$16"}</definedName>
    <definedName name="gg_1_1" localSheetId="5" hidden="1">{"'Sheet1'!$L$16"}</definedName>
    <definedName name="gg_1_1" hidden="1">{"'Sheet1'!$L$16"}</definedName>
    <definedName name="gg_1_1_1" localSheetId="5" hidden="1">{"'Sheet1'!$L$16"}</definedName>
    <definedName name="gg_1_1_1" hidden="1">{"'Sheet1'!$L$16"}</definedName>
    <definedName name="gg_1_1_2" localSheetId="5" hidden="1">{"'Sheet1'!$L$16"}</definedName>
    <definedName name="gg_1_1_2" hidden="1">{"'Sheet1'!$L$16"}</definedName>
    <definedName name="gg_1_2" localSheetId="5" hidden="1">{"'Sheet1'!$L$16"}</definedName>
    <definedName name="gg_1_2" hidden="1">{"'Sheet1'!$L$16"}</definedName>
    <definedName name="gg_1_3" localSheetId="5" hidden="1">{"'Sheet1'!$L$16"}</definedName>
    <definedName name="gg_1_3" hidden="1">{"'Sheet1'!$L$16"}</definedName>
    <definedName name="gg_2" localSheetId="5" hidden="1">{"'Sheet1'!$L$16"}</definedName>
    <definedName name="gg_2" hidden="1">{"'Sheet1'!$L$16"}</definedName>
    <definedName name="gg_2_1" localSheetId="5" hidden="1">{"'Sheet1'!$L$16"}</definedName>
    <definedName name="gg_2_1" hidden="1">{"'Sheet1'!$L$16"}</definedName>
    <definedName name="gg_2_2" localSheetId="5" hidden="1">{"'Sheet1'!$L$16"}</definedName>
    <definedName name="gg_2_2" hidden="1">{"'Sheet1'!$L$16"}</definedName>
    <definedName name="gg_3" localSheetId="5" hidden="1">{"'Sheet1'!$L$16"}</definedName>
    <definedName name="gg_3" hidden="1">{"'Sheet1'!$L$16"}</definedName>
    <definedName name="gg_4" localSheetId="5" hidden="1">{"'Sheet1'!$L$16"}</definedName>
    <definedName name="gg_4" hidden="1">{"'Sheet1'!$L$16"}</definedName>
    <definedName name="GGF" localSheetId="5" hidden="1">{#N/A,#N/A,FALSE,"CCTV"}</definedName>
    <definedName name="GGF" hidden="1">{#N/A,#N/A,FALSE,"CCTV"}</definedName>
    <definedName name="GGG" localSheetId="5" hidden="1">{"'매출계획'!$D$2"}</definedName>
    <definedName name="GGG" hidden="1">{"'매출계획'!$D$2"}</definedName>
    <definedName name="ggg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localSheetId="5" hidden="1">{"'매출계획'!$D$2"}</definedName>
    <definedName name="GGGG" hidden="1">{"'매출계획'!$D$2"}</definedName>
    <definedName name="ggggg" localSheetId="5" hidden="1">{#N/A,#N/A,FALSE,"Gesamt";#N/A,#N/A,FALSE,"Ree KG";#N/A,#N/A,FALSE,"Ree Inter";#N/A,#N/A,FALSE,"BTM";#N/A,#N/A,FALSE,"GmbH";#N/A,#N/A,FALSE,"Sonstige"}</definedName>
    <definedName name="ggggg" hidden="1">{#N/A,#N/A,FALSE,"Gesamt";#N/A,#N/A,FALSE,"Ree KG";#N/A,#N/A,FALSE,"Ree Inter";#N/A,#N/A,FALSE,"BTM";#N/A,#N/A,FALSE,"GmbH";#N/A,#N/A,FALSE,"Sonstige"}</definedName>
    <definedName name="ggggggggg" localSheetId="5" hidden="1">{#N/A,#N/A,FALSE,"Sheet1"}</definedName>
    <definedName name="ggggggggg" hidden="1">{#N/A,#N/A,FALSE,"Sheet1"}</definedName>
    <definedName name="ggggggggggggggggg" localSheetId="5" hidden="1">{#N/A,#N/A,FALSE,"Sheet1"}</definedName>
    <definedName name="ggggggggggggggggg" hidden="1">{#N/A,#N/A,FALSE,"Sheet1"}</definedName>
    <definedName name="ggh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localSheetId="5" hidden="1">{"revsale",#N/A,FALSE,"REV-ยุพดี"}</definedName>
    <definedName name="gh" hidden="1">{"revsale",#N/A,FALSE,"REV-ยุพดี"}</definedName>
    <definedName name="ghd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localSheetId="5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DJN" localSheetId="5" hidden="1">{"'매출계획'!$D$2"}</definedName>
    <definedName name="GHDJN" hidden="1">{"'매출계획'!$D$2"}</definedName>
    <definedName name="GHF" localSheetId="5" hidden="1">{#N/A,#N/A,FALSE,"sum";#N/A,#N/A,FALSE,"MARTV";#N/A,#N/A,FALSE,"APRTV"}</definedName>
    <definedName name="GHF" hidden="1">{#N/A,#N/A,FALSE,"sum";#N/A,#N/A,FALSE,"MARTV";#N/A,#N/A,FALSE,"APRTV"}</definedName>
    <definedName name="ghfg" localSheetId="5" hidden="1">{#N/A,#N/A,FALSE,"CCTV"}</definedName>
    <definedName name="ghfg" hidden="1">{#N/A,#N/A,FALSE,"CCTV"}</definedName>
    <definedName name="GHG" localSheetId="5" hidden="1">{"'매출계획'!$D$2"}</definedName>
    <definedName name="GHG" hidden="1">{"'매출계획'!$D$2"}</definedName>
    <definedName name="ghghjg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localSheetId="5" hidden="1">{"'Sheet1'!$L$16"}</definedName>
    <definedName name="GHHHS" hidden="1">{"'Sheet1'!$L$16"}</definedName>
    <definedName name="ghiug" localSheetId="5" hidden="1">{"'Sheet1'!$L$16"}</definedName>
    <definedName name="ghiug" hidden="1">{"'Sheet1'!$L$16"}</definedName>
    <definedName name="GHJDM" localSheetId="5" hidden="1">{"'매출계획'!$D$2"}</definedName>
    <definedName name="GHJDM" hidden="1">{"'매출계획'!$D$2"}</definedName>
    <definedName name="ghjf" localSheetId="5" hidden="1">{#N/A,#N/A,FALSE,"Chi tiÆt"}</definedName>
    <definedName name="ghjf" hidden="1">{#N/A,#N/A,FALSE,"Chi tiÆt"}</definedName>
    <definedName name="ghjh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localSheetId="5" hidden="1">{#N/A,#N/A,FALSE,"CCTV"}</definedName>
    <definedName name="GHKCD" hidden="1">{#N/A,#N/A,FALSE,"CCTV"}</definedName>
    <definedName name="GHM" localSheetId="5" hidden="1">{"'매출계획'!$D$2"}</definedName>
    <definedName name="GHM" hidden="1">{"'매출계획'!$D$2"}</definedName>
    <definedName name="ghnnn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localSheetId="5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jdjhfdj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localSheetId="5" hidden="1">{#N/A,#N/A,FALSE,"CCTV"}</definedName>
    <definedName name="gjh" hidden="1">{#N/A,#N/A,FALSE,"CCTV"}</definedName>
    <definedName name="GJVIF" localSheetId="5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k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localSheetId="5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localSheetId="5" hidden="1">{#N/A,#N/A,FALSE,"CCTV"}</definedName>
    <definedName name="GKVHK" hidden="1">{#N/A,#N/A,FALSE,"CCTV"}</definedName>
    <definedName name="glgh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localSheetId="5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NJ" localSheetId="5" hidden="1">{"'매출계획'!$D$2"}</definedName>
    <definedName name="GNJ" hidden="1">{"'매출계획'!$D$2"}</definedName>
    <definedName name="Goh" localSheetId="5" hidden="1">#REF!</definedName>
    <definedName name="Goh" localSheetId="4" hidden="1">#REF!</definedName>
    <definedName name="Goh" hidden="1">#REF!</definedName>
    <definedName name="GohLi" localSheetId="5" hidden="1">#REF!</definedName>
    <definedName name="GohLi" localSheetId="4" hidden="1">#REF!</definedName>
    <definedName name="GohLi" hidden="1">#REF!</definedName>
    <definedName name="GP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 localSheetId="5">#REF!</definedName>
    <definedName name="GrossUp" localSheetId="4">#REF!</definedName>
    <definedName name="GrossUp">#REF!</definedName>
    <definedName name="group_matters" localSheetId="5">#REF!</definedName>
    <definedName name="group_matters" localSheetId="4">#REF!</definedName>
    <definedName name="group_matters">#REF!</definedName>
    <definedName name="grtrff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localSheetId="5" hidden="1">{"'Sheet1'!$L$16"}</definedName>
    <definedName name="gsrgwrg" hidden="1">{"'Sheet1'!$L$16"}</definedName>
    <definedName name="GTH" localSheetId="5" hidden="1">{"'매출계획'!$D$2"}</definedName>
    <definedName name="GTH" hidden="1">{"'매출계획'!$D$2"}</definedName>
    <definedName name="gthhj" localSheetId="5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localSheetId="5" hidden="1">{"'Sheet1'!$L$16"}</definedName>
    <definedName name="GTM" hidden="1">{"'Sheet1'!$L$16"}</definedName>
    <definedName name="gtrg" localSheetId="5" hidden="1">{#N/A,#N/A,FALSE,"Gesamt";#N/A,#N/A,FALSE,"Ree KG";#N/A,#N/A,FALSE,"Ree Inter";#N/A,#N/A,FALSE,"BTM";#N/A,#N/A,FALSE,"GmbH";#N/A,#N/A,FALSE,"Sonstige"}</definedName>
    <definedName name="gtrg" hidden="1">{#N/A,#N/A,FALSE,"Gesamt";#N/A,#N/A,FALSE,"Ree KG";#N/A,#N/A,FALSE,"Ree Inter";#N/A,#N/A,FALSE,"BTM";#N/A,#N/A,FALSE,"GmbH";#N/A,#N/A,FALSE,"Sonstige"}</definedName>
    <definedName name="gtt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localSheetId="5" hidden="1">{"'Bidfailed'!$D$2:$AB$14","'Bidfailed'!$D$4:$AB$4"}</definedName>
    <definedName name="guide" hidden="1">{"'Bidfailed'!$D$2:$AB$14","'Bidfailed'!$D$4:$AB$4"}</definedName>
    <definedName name="GV" localSheetId="5" hidden="1">{#N/A,#N/A,FALSE,"CCTV"}</definedName>
    <definedName name="GV" hidden="1">{#N/A,#N/A,FALSE,"CCTV"}</definedName>
    <definedName name="gwegte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localSheetId="5" hidden="1">{"'Sheet1'!$L$16"}</definedName>
    <definedName name="h" hidden="1">{"'Sheet1'!$L$16"}</definedName>
    <definedName name="h_1" localSheetId="5" hidden="1">{"'Sheet1'!$L$16"}</definedName>
    <definedName name="h_1" hidden="1">{"'Sheet1'!$L$16"}</definedName>
    <definedName name="h_1_1" localSheetId="5" hidden="1">{"'Sheet1'!$L$16"}</definedName>
    <definedName name="h_1_1" hidden="1">{"'Sheet1'!$L$16"}</definedName>
    <definedName name="h_1_1_1" localSheetId="5" hidden="1">{"'Sheet1'!$L$16"}</definedName>
    <definedName name="h_1_1_1" hidden="1">{"'Sheet1'!$L$16"}</definedName>
    <definedName name="h_1_1_2" localSheetId="5" hidden="1">{"'Sheet1'!$L$16"}</definedName>
    <definedName name="h_1_1_2" hidden="1">{"'Sheet1'!$L$16"}</definedName>
    <definedName name="h_2_1" localSheetId="5" hidden="1">{"'Sheet1'!$L$16"}</definedName>
    <definedName name="h_2_1" hidden="1">{"'Sheet1'!$L$16"}</definedName>
    <definedName name="h_2_1_1" localSheetId="5" hidden="1">{"'Sheet1'!$L$16"}</definedName>
    <definedName name="h_2_1_1" hidden="1">{"'Sheet1'!$L$16"}</definedName>
    <definedName name="h_2_1_2" localSheetId="5" hidden="1">{"'Sheet1'!$L$16"}</definedName>
    <definedName name="h_2_1_2" hidden="1">{"'Sheet1'!$L$16"}</definedName>
    <definedName name="h_4" localSheetId="5" hidden="1">{"'Sheet1'!$L$16"}</definedName>
    <definedName name="h_4" hidden="1">{"'Sheet1'!$L$16"}</definedName>
    <definedName name="h_4_1" localSheetId="5" hidden="1">{"'Sheet1'!$L$16"}</definedName>
    <definedName name="h_4_1" hidden="1">{"'Sheet1'!$L$16"}</definedName>
    <definedName name="h_4_2" localSheetId="5" hidden="1">{"'Sheet1'!$L$16"}</definedName>
    <definedName name="h_4_2" hidden="1">{"'Sheet1'!$L$16"}</definedName>
    <definedName name="h_5" localSheetId="5" hidden="1">{"'Sheet1'!$L$16"}</definedName>
    <definedName name="h_5" hidden="1">{"'Sheet1'!$L$16"}</definedName>
    <definedName name="H1_05" localSheetId="5" hidden="1">{"PAGE 1",#N/A,FALSE,"หน้า 1,2,3";"PAGE 2",#N/A,FALSE,"หน้า 1,2,3";"PAGE 3",#N/A,FALSE,"หน้า 1,2,3"}</definedName>
    <definedName name="H1_05" hidden="1">{"PAGE 1",#N/A,FALSE,"หน้า 1,2,3";"PAGE 2",#N/A,FALSE,"หน้า 1,2,3";"PAGE 3",#N/A,FALSE,"หน้า 1,2,3"}</definedName>
    <definedName name="h9eruh" localSheetId="5" hidden="1">{"'Sheet1'!$L$16"}</definedName>
    <definedName name="h9eruh" hidden="1">{"'Sheet1'!$L$16"}</definedName>
    <definedName name="ha" localSheetId="5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ha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localSheetId="5" hidden="1">{"'Sheet1'!$L$16"}</definedName>
    <definedName name="hanh" hidden="1">{"'Sheet1'!$L$16"}</definedName>
    <definedName name="Hạnh" localSheetId="5" hidden="1">{"'Sheet1'!$L$16"}</definedName>
    <definedName name="Hạnh" hidden="1">{"'Sheet1'!$L$16"}</definedName>
    <definedName name="HANHNHAN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localSheetId="5" hidden="1">{"'Sheet1'!$L$16"}</definedName>
    <definedName name="Hậu" hidden="1">{"'Sheet1'!$L$16"}</definedName>
    <definedName name="hbbbbbb" localSheetId="5" hidden="1">{"'Sheet1'!$L$16"}</definedName>
    <definedName name="hbbbbbb" hidden="1">{"'Sheet1'!$L$16"}</definedName>
    <definedName name="HDB" localSheetId="5" hidden="1">#REF!</definedName>
    <definedName name="HDB" localSheetId="4" hidden="1">#REF!</definedName>
    <definedName name="HDB" hidden="1">#REF!</definedName>
    <definedName name="hedhfsd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localSheetId="5" hidden="1">{#N/A,#N/A,FALSE,"CCTV"}</definedName>
    <definedName name="hfdgfdg" hidden="1">{#N/A,#N/A,FALSE,"CCTV"}</definedName>
    <definedName name="hfgdas" localSheetId="5" hidden="1">#REF!</definedName>
    <definedName name="hfgdas" localSheetId="4" hidden="1">#REF!</definedName>
    <definedName name="hfgdas" hidden="1">#REF!</definedName>
    <definedName name="HFGHFG" localSheetId="5" hidden="1">{#N/A,#N/A,FALSE,"CCTV"}</definedName>
    <definedName name="HFGHFG" hidden="1">{#N/A,#N/A,FALSE,"CCTV"}</definedName>
    <definedName name="hfhf" localSheetId="5" hidden="1">{"level1",#N/A,FALSE,"1_LEV";"LEVEL1",#N/A,FALSE,"1_LEV"}</definedName>
    <definedName name="hfhf" hidden="1">{"level1",#N/A,FALSE,"1_LEV";"LEVEL1",#N/A,FALSE,"1_LEV"}</definedName>
    <definedName name="hfhfj" localSheetId="5" hidden="1">{"income",#N/A,FALSE,"INCOME"}</definedName>
    <definedName name="hfhfj" hidden="1">{"income",#N/A,FALSE,"INCOME"}</definedName>
    <definedName name="hfjh" localSheetId="5" hidden="1">{#N/A,#N/A,FALSE,"CCTV"}</definedName>
    <definedName name="hfjh" hidden="1">{#N/A,#N/A,FALSE,"CCTV"}</definedName>
    <definedName name="hfjhhjj" localSheetId="5" hidden="1">{#N/A,#N/A,FALSE,"CCTV"}</definedName>
    <definedName name="hfjhhjj" hidden="1">{#N/A,#N/A,FALSE,"CCTV"}</definedName>
    <definedName name="hfjjgjgjg" localSheetId="5" hidden="1">{"'Sheet1'!$L$16"}</definedName>
    <definedName name="hfjjgjgjg" hidden="1">{"'Sheet1'!$L$16"}</definedName>
    <definedName name="hfs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localSheetId="5" hidden="1">{#N/A,#N/A,FALSE,"CCTV"}</definedName>
    <definedName name="HGF" hidden="1">{#N/A,#N/A,FALSE,"CCTV"}</definedName>
    <definedName name="HGFD" localSheetId="5" hidden="1">{"'매출계획'!$D$2"}</definedName>
    <definedName name="HGFD" hidden="1">{"'매출계획'!$D$2"}</definedName>
    <definedName name="hgh" localSheetId="5" hidden="1">{"'TOTAL'!$A$1:$AG$20"}</definedName>
    <definedName name="hgh" hidden="1">{"'TOTAL'!$A$1:$AG$20"}</definedName>
    <definedName name="hghghg" localSheetId="5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5" hidden="1">{"'Sheet1'!$L$16"}</definedName>
    <definedName name="hghghghg" hidden="1">{"'Sheet1'!$L$16"}</definedName>
    <definedName name="hghjg" localSheetId="5" hidden="1">{"'Sheet1'!$L$16"}</definedName>
    <definedName name="hghjg" hidden="1">{"'Sheet1'!$L$16"}</definedName>
    <definedName name="hgh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localSheetId="5" hidden="1">{#N/A,#N/A,FALSE,"CCTV"}</definedName>
    <definedName name="hgjfgh" hidden="1">{#N/A,#N/A,FALSE,"CCTV"}</definedName>
    <definedName name="hgjgfhgh" localSheetId="5" hidden="1">{#N/A,#N/A,FALSE,"CCTV"}</definedName>
    <definedName name="hgjgfhgh" hidden="1">{#N/A,#N/A,FALSE,"CCTV"}</definedName>
    <definedName name="hglkl" localSheetId="5" hidden="1">{#N/A,#N/A,FALSE,"CCTV"}</definedName>
    <definedName name="hglkl" hidden="1">{#N/A,#N/A,FALSE,"CCTV"}</definedName>
    <definedName name="hh" localSheetId="5" hidden="1">{"'Sheet1'!$L$16"}</definedName>
    <definedName name="hh" hidden="1">{"'Sheet1'!$L$16"}</definedName>
    <definedName name="hh_1" localSheetId="5" hidden="1">{"'Sheet1'!$L$16"}</definedName>
    <definedName name="hh_1" hidden="1">{"'Sheet1'!$L$16"}</definedName>
    <definedName name="hh_1_1" localSheetId="5" hidden="1">{"'Sheet1'!$L$16"}</definedName>
    <definedName name="hh_1_1" hidden="1">{"'Sheet1'!$L$16"}</definedName>
    <definedName name="hh_1_1_1" localSheetId="5" hidden="1">{"'Sheet1'!$L$16"}</definedName>
    <definedName name="hh_1_1_1" hidden="1">{"'Sheet1'!$L$16"}</definedName>
    <definedName name="hh_1_1_2" localSheetId="5" hidden="1">{"'Sheet1'!$L$16"}</definedName>
    <definedName name="hh_1_1_2" hidden="1">{"'Sheet1'!$L$16"}</definedName>
    <definedName name="hh_1_2" localSheetId="5" hidden="1">{"'Sheet1'!$L$16"}</definedName>
    <definedName name="hh_1_2" hidden="1">{"'Sheet1'!$L$16"}</definedName>
    <definedName name="hh_1_3" localSheetId="5" hidden="1">{"'Sheet1'!$L$16"}</definedName>
    <definedName name="hh_1_3" hidden="1">{"'Sheet1'!$L$16"}</definedName>
    <definedName name="hh_2" localSheetId="5" hidden="1">{"'Sheet1'!$L$16"}</definedName>
    <definedName name="hh_2" hidden="1">{"'Sheet1'!$L$16"}</definedName>
    <definedName name="hh_2_1" localSheetId="5" hidden="1">{"'Sheet1'!$L$16"}</definedName>
    <definedName name="hh_2_1" hidden="1">{"'Sheet1'!$L$16"}</definedName>
    <definedName name="hh_2_2" localSheetId="5" hidden="1">{"'Sheet1'!$L$16"}</definedName>
    <definedName name="hh_2_2" hidden="1">{"'Sheet1'!$L$16"}</definedName>
    <definedName name="hh_3" localSheetId="5" hidden="1">{"'Sheet1'!$L$16"}</definedName>
    <definedName name="hh_3" hidden="1">{"'Sheet1'!$L$16"}</definedName>
    <definedName name="hh_4" localSheetId="5" hidden="1">{"'Sheet1'!$L$16"}</definedName>
    <definedName name="hh_4" hidden="1">{"'Sheet1'!$L$16"}</definedName>
    <definedName name="hhh" localSheetId="5" hidden="1">{"'Sheet1'!$L$16"}</definedName>
    <definedName name="hhh" hidden="1">{"'Sheet1'!$L$16"}</definedName>
    <definedName name="hhh_1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localSheetId="5" hidden="1">{"'Sheet1'!$L$16"}</definedName>
    <definedName name="hhhh" hidden="1">{"'Sheet1'!$L$16"}</definedName>
    <definedName name="hhhhh" localSheetId="5" hidden="1">{"'Sheet1'!$L$16"}</definedName>
    <definedName name="hhhhh" hidden="1">{"'Sheet1'!$L$16"}</definedName>
    <definedName name="hhhhhh" localSheetId="5" hidden="1">{"'Sheet1'!$L$16"}</definedName>
    <definedName name="hhhhhh" hidden="1">{"'Sheet1'!$L$16"}</definedName>
    <definedName name="HHJH" localSheetId="5" hidden="1">{#N/A,#N/A,FALSE,"CCTV"}</definedName>
    <definedName name="HHJH" hidden="1">{#N/A,#N/A,FALSE,"CCTV"}</definedName>
    <definedName name="hht" localSheetId="5" hidden="1">#REF!</definedName>
    <definedName name="hht" localSheetId="4" hidden="1">#REF!</definedName>
    <definedName name="hht" hidden="1">#REF!</definedName>
    <definedName name="Hi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localSheetId="5" hidden="1">#REF!</definedName>
    <definedName name="HiddenRows" localSheetId="4" hidden="1">#REF!</definedName>
    <definedName name="HiddenRows" hidden="1">#REF!</definedName>
    <definedName name="hiep" localSheetId="5" hidden="1">{"'Sheet1'!$L$16"}</definedName>
    <definedName name="hiep" hidden="1">{"'Sheet1'!$L$16"}</definedName>
    <definedName name="HIEU" localSheetId="5" hidden="1">{"'Sheet1'!$L$16"}</definedName>
    <definedName name="HIEU" hidden="1">{"'Sheet1'!$L$16"}</definedName>
    <definedName name="hire" localSheetId="5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U" localSheetId="5" hidden="1">{"F3 detail",#N/A,FALSE,"F1";"F3 Presentation",#N/A,FALSE,"F3 "}</definedName>
    <definedName name="HIU" hidden="1">{"F3 detail",#N/A,FALSE,"F1";"F3 Presentation",#N/A,FALSE,"F3 "}</definedName>
    <definedName name="hj" localSheetId="5" hidden="1">{"hilight3",#N/A,FALSE,"HILIGHT3"}</definedName>
    <definedName name="hj" hidden="1">{"hilight3",#N/A,FALSE,"HILIGHT3"}</definedName>
    <definedName name="hjd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localSheetId="5" hidden="1">{"'Sheet1'!$L$16"}</definedName>
    <definedName name="hjjkl" hidden="1">{"'Sheet1'!$L$16"}</definedName>
    <definedName name="hjk" localSheetId="5" hidden="1">{"'Sheet1'!$L$16"}</definedName>
    <definedName name="hjk" hidden="1">{"'Sheet1'!$L$16"}</definedName>
    <definedName name="hjkgjh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localSheetId="5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localSheetId="5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localSheetId="5" hidden="1">{"revable",#N/A,FALSE,"REVABLE"}</definedName>
    <definedName name="hklk" hidden="1">{"revable",#N/A,FALSE,"REVABLE"}</definedName>
    <definedName name="hkö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localSheetId="5" hidden="1">{"income",#N/A,FALSE,"INCOME"}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localSheetId="5" hidden="1">{"'Sheet1'!$L$16"}</definedName>
    <definedName name="hoa" hidden="1">{"'Sheet1'!$L$16"}</definedName>
    <definedName name="hoangthiviet" localSheetId="5" hidden="1">{"'Sheet1'!$L$16"}</definedName>
    <definedName name="hoangthiviet" hidden="1">{"'Sheet1'!$L$16"}</definedName>
    <definedName name="hong" localSheetId="5" hidden="1">{"'Sheet1'!$L$16"}</definedName>
    <definedName name="hong" hidden="1">{"'Sheet1'!$L$16"}</definedName>
    <definedName name="hong_1" localSheetId="5" hidden="1">{"'Sheet1'!$L$16"}</definedName>
    <definedName name="hong_1" hidden="1">{"'Sheet1'!$L$16"}</definedName>
    <definedName name="HOUY" localSheetId="5" hidden="1">{#N/A,#N/A,FALSE,"CCTV"}</definedName>
    <definedName name="HOUY" hidden="1">{#N/A,#N/A,FALSE,"CCTV"}</definedName>
    <definedName name="hp" localSheetId="5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q" localSheetId="5" hidden="1">{"'Sheet1'!$L$16"}</definedName>
    <definedName name="hq" hidden="1">{"'Sheet1'!$L$16"}</definedName>
    <definedName name="HRF" localSheetId="5" hidden="1">{"'매출계획'!$D$2"}</definedName>
    <definedName name="HRF" hidden="1">{"'매출계획'!$D$2"}</definedName>
    <definedName name="hrgjh" localSheetId="5" hidden="1">{"'Sheet1'!$L$16"}</definedName>
    <definedName name="hrgjh" hidden="1">{"'Sheet1'!$L$16"}</definedName>
    <definedName name="hs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localSheetId="5" hidden="1">{"'Sheet1'!$L$16"}</definedName>
    <definedName name="hsvgr7tvgb" hidden="1">{"'Sheet1'!$L$16"}</definedName>
    <definedName name="htg" localSheetId="5" hidden="1">{#N/A,#N/A,TRUE,"BT M200 da 10x20"}</definedName>
    <definedName name="htg" hidden="1">{#N/A,#N/A,TRUE,"BT M200 da 10x20"}</definedName>
    <definedName name="html" localSheetId="5" hidden="1">{"'Sheet1'!$L$16"}</definedName>
    <definedName name="html" hidden="1">{"'Sheet1'!$L$16"}</definedName>
    <definedName name="HTML_CodePage" hidden="1">874</definedName>
    <definedName name="HTML_Control" localSheetId="5" hidden="1">{"'Model'!$A$1:$N$53"}</definedName>
    <definedName name="HTML_Control" hidden="1">{"'Model'!$A$1:$N$53"}</definedName>
    <definedName name="HTML_Control_1" localSheetId="5" hidden="1">{"'Sheet1'!$L$16"}</definedName>
    <definedName name="HTML_Control_1" hidden="1">{"'Sheet1'!$L$16"}</definedName>
    <definedName name="HTML_Control_1_1" localSheetId="5" hidden="1">{"'Sheet1'!$L$16"}</definedName>
    <definedName name="HTML_Control_1_1" hidden="1">{"'Sheet1'!$L$16"}</definedName>
    <definedName name="HTML_Control_1_1_1" localSheetId="5" hidden="1">{"'Sheet1'!$L$16"}</definedName>
    <definedName name="HTML_Control_1_1_1" hidden="1">{"'Sheet1'!$L$16"}</definedName>
    <definedName name="HTML_Control_1_1_1_1" localSheetId="5" hidden="1">{"'Sheet1'!$L$16"}</definedName>
    <definedName name="HTML_Control_1_1_1_1" hidden="1">{"'Sheet1'!$L$16"}</definedName>
    <definedName name="HTML_Control_1_1_1_1_1" localSheetId="5" hidden="1">{"'Sheet1'!$L$16"}</definedName>
    <definedName name="HTML_Control_1_1_1_1_1" hidden="1">{"'Sheet1'!$L$16"}</definedName>
    <definedName name="HTML_Control_1_1_1_1_2" localSheetId="5" hidden="1">{"'Sheet1'!$L$16"}</definedName>
    <definedName name="HTML_Control_1_1_1_1_2" hidden="1">{"'Sheet1'!$L$16"}</definedName>
    <definedName name="HTML_Control_1_1_1_2" localSheetId="5" hidden="1">{"'Sheet1'!$L$16"}</definedName>
    <definedName name="HTML_Control_1_1_1_2" hidden="1">{"'Sheet1'!$L$16"}</definedName>
    <definedName name="HTML_Control_1_1_1_3" localSheetId="5" hidden="1">{"'Sheet1'!$L$16"}</definedName>
    <definedName name="HTML_Control_1_1_1_3" hidden="1">{"'Sheet1'!$L$16"}</definedName>
    <definedName name="HTML_Control_1_1_2" localSheetId="5" hidden="1">{"'Sheet1'!$L$16"}</definedName>
    <definedName name="HTML_Control_1_1_2" hidden="1">{"'Sheet1'!$L$16"}</definedName>
    <definedName name="HTML_Control_1_1_2_1" localSheetId="5" hidden="1">{"'Sheet1'!$L$16"}</definedName>
    <definedName name="HTML_Control_1_1_2_1" hidden="1">{"'Sheet1'!$L$16"}</definedName>
    <definedName name="HTML_Control_1_1_2_2" localSheetId="5" hidden="1">{"'Sheet1'!$L$16"}</definedName>
    <definedName name="HTML_Control_1_1_2_2" hidden="1">{"'Sheet1'!$L$16"}</definedName>
    <definedName name="HTML_Control_1_1_3" localSheetId="5" hidden="1">{"'Sheet1'!$L$16"}</definedName>
    <definedName name="HTML_Control_1_1_3" hidden="1">{"'Sheet1'!$L$16"}</definedName>
    <definedName name="HTML_Control_1_1_3_1" localSheetId="5" hidden="1">{"'Sheet1'!$L$16"}</definedName>
    <definedName name="HTML_Control_1_1_3_1" hidden="1">{"'Sheet1'!$L$16"}</definedName>
    <definedName name="HTML_Control_1_1_3_2" localSheetId="5" hidden="1">{"'Sheet1'!$L$16"}</definedName>
    <definedName name="HTML_Control_1_1_3_2" hidden="1">{"'Sheet1'!$L$16"}</definedName>
    <definedName name="HTML_Control_1_1_4" localSheetId="5" hidden="1">{"'Sheet1'!$L$16"}</definedName>
    <definedName name="HTML_Control_1_1_4" hidden="1">{"'Sheet1'!$L$16"}</definedName>
    <definedName name="HTML_Control_1_1_5" localSheetId="5" hidden="1">{"'Sheet1'!$L$16"}</definedName>
    <definedName name="HTML_Control_1_1_5" hidden="1">{"'Sheet1'!$L$16"}</definedName>
    <definedName name="HTML_Control_1_2" localSheetId="5" hidden="1">{"'Sheet1'!$L$16"}</definedName>
    <definedName name="HTML_Control_1_2" hidden="1">{"'Sheet1'!$L$16"}</definedName>
    <definedName name="HTML_Control_1_2_1" localSheetId="5" hidden="1">{"'Sheet1'!$L$16"}</definedName>
    <definedName name="HTML_Control_1_2_1" hidden="1">{"'Sheet1'!$L$16"}</definedName>
    <definedName name="HTML_Control_1_2_2" localSheetId="5" hidden="1">{"'Sheet1'!$L$16"}</definedName>
    <definedName name="HTML_Control_1_2_2" hidden="1">{"'Sheet1'!$L$16"}</definedName>
    <definedName name="HTML_Control_1_3" localSheetId="5" hidden="1">{"'Sheet1'!$L$16"}</definedName>
    <definedName name="HTML_Control_1_3" hidden="1">{"'Sheet1'!$L$16"}</definedName>
    <definedName name="HTML_Control_1_3_1" localSheetId="5" hidden="1">{"'Sheet1'!$L$16"}</definedName>
    <definedName name="HTML_Control_1_3_1" hidden="1">{"'Sheet1'!$L$16"}</definedName>
    <definedName name="HTML_Control_1_3_2" localSheetId="5" hidden="1">{"'Sheet1'!$L$16"}</definedName>
    <definedName name="HTML_Control_1_3_2" hidden="1">{"'Sheet1'!$L$16"}</definedName>
    <definedName name="HTML_Control_1_4" localSheetId="5" hidden="1">{"'Sheet1'!$L$16"}</definedName>
    <definedName name="HTML_Control_1_4" hidden="1">{"'Sheet1'!$L$16"}</definedName>
    <definedName name="HTML_Control_1_5" localSheetId="5" hidden="1">{"'Sheet1'!$L$16"}</definedName>
    <definedName name="HTML_Control_1_5" hidden="1">{"'Sheet1'!$L$16"}</definedName>
    <definedName name="HTML_Control_2" localSheetId="5" hidden="1">{"'Sheet1'!$L$16"}</definedName>
    <definedName name="HTML_Control_2" hidden="1">{"'Sheet1'!$L$16"}</definedName>
    <definedName name="HTML_Control_2_1" localSheetId="5" hidden="1">{"'Sheet1'!$L$16"}</definedName>
    <definedName name="HTML_Control_2_1" hidden="1">{"'Sheet1'!$L$16"}</definedName>
    <definedName name="HTML_Control_2_2" localSheetId="5" hidden="1">{"'Sheet1'!$L$16"}</definedName>
    <definedName name="HTML_Control_2_2" hidden="1">{"'Sheet1'!$L$16"}</definedName>
    <definedName name="HTML_Control_3" localSheetId="5" hidden="1">{"'Sheet1'!$L$16"}</definedName>
    <definedName name="HTML_Control_3" hidden="1">{"'Sheet1'!$L$16"}</definedName>
    <definedName name="HTML_Control_3_1" localSheetId="5" hidden="1">{"'Sheet1'!$L$16"}</definedName>
    <definedName name="HTML_Control_3_1" hidden="1">{"'Sheet1'!$L$16"}</definedName>
    <definedName name="HTML_Control_3_2" localSheetId="5" hidden="1">{"'Sheet1'!$L$16"}</definedName>
    <definedName name="HTML_Control_3_2" hidden="1">{"'Sheet1'!$L$16"}</definedName>
    <definedName name="HTML_Control_4" localSheetId="5" hidden="1">{"'Sheet1'!$L$16"}</definedName>
    <definedName name="HTML_Control_4" hidden="1">{"'Sheet1'!$L$16"}</definedName>
    <definedName name="HTML_Control_4_1" localSheetId="5" hidden="1">{"'Sheet1'!$L$16"}</definedName>
    <definedName name="HTML_Control_4_1" hidden="1">{"'Sheet1'!$L$16"}</definedName>
    <definedName name="HTML_Control_4_2" localSheetId="5" hidden="1">{"'Sheet1'!$L$16"}</definedName>
    <definedName name="HTML_Control_4_2" hidden="1">{"'Sheet1'!$L$16"}</definedName>
    <definedName name="HTML_Control_5" localSheetId="5" hidden="1">{"'Sheet1'!$L$16"}</definedName>
    <definedName name="HTML_Control_5" hidden="1">{"'Sheet1'!$L$16"}</definedName>
    <definedName name="HTML_Control_5_1" localSheetId="5" hidden="1">{"'Sheet1'!$L$16"}</definedName>
    <definedName name="HTML_Control_5_1" hidden="1">{"'Sheet1'!$L$16"}</definedName>
    <definedName name="HTML_Control_5_2" localSheetId="5" hidden="1">{"'Sheet1'!$L$16"}</definedName>
    <definedName name="HTML_Control_5_2" hidden="1">{"'Sheet1'!$L$16"}</definedName>
    <definedName name="HTML_Control1" localSheetId="5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localSheetId="5" hidden="1">{"'Sheet1'!$L$16"}</definedName>
    <definedName name="htmll" hidden="1">{"'Sheet1'!$L$16"}</definedName>
    <definedName name="hu" localSheetId="5" hidden="1">{"'Sheet1'!$L$16"}</definedName>
    <definedName name="hu" hidden="1">{"'Sheet1'!$L$16"}</definedName>
    <definedName name="hun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localSheetId="5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localSheetId="5" hidden="1">{"level1",#N/A,FALSE,"1_LEV";"LEVEL1",#N/A,FALSE,"1_LEV"}</definedName>
    <definedName name="huuui7" hidden="1">{"level1",#N/A,FALSE,"1_LEV";"LEVEL1",#N/A,FALSE,"1_LEV"}</definedName>
    <definedName name="huy" localSheetId="5" hidden="1">{"'Sheet1'!$L$16"}</definedName>
    <definedName name="huy" hidden="1">{"'Sheet1'!$L$16"}</definedName>
    <definedName name="huy_1" localSheetId="5" hidden="1">{"'Sheet1'!$L$16"}</definedName>
    <definedName name="huy_1" hidden="1">{"'Sheet1'!$L$16"}</definedName>
    <definedName name="huy_1_1" localSheetId="5" hidden="1">{"'Sheet1'!$L$16"}</definedName>
    <definedName name="huy_1_1" hidden="1">{"'Sheet1'!$L$16"}</definedName>
    <definedName name="huy_1_1_1" localSheetId="5" hidden="1">{"'Sheet1'!$L$16"}</definedName>
    <definedName name="huy_1_1_1" hidden="1">{"'Sheet1'!$L$16"}</definedName>
    <definedName name="huy_1_1_1_1" localSheetId="5" hidden="1">{"'Sheet1'!$L$16"}</definedName>
    <definedName name="huy_1_1_1_1" hidden="1">{"'Sheet1'!$L$16"}</definedName>
    <definedName name="huy_1_1_1_1_1" localSheetId="5" hidden="1">{"'Sheet1'!$L$16"}</definedName>
    <definedName name="huy_1_1_1_1_1" hidden="1">{"'Sheet1'!$L$16"}</definedName>
    <definedName name="huy_1_1_1_1_2" localSheetId="5" hidden="1">{"'Sheet1'!$L$16"}</definedName>
    <definedName name="huy_1_1_1_1_2" hidden="1">{"'Sheet1'!$L$16"}</definedName>
    <definedName name="huy_1_1_1_2" localSheetId="5" hidden="1">{"'Sheet1'!$L$16"}</definedName>
    <definedName name="huy_1_1_1_2" hidden="1">{"'Sheet1'!$L$16"}</definedName>
    <definedName name="huy_1_1_1_3" localSheetId="5" hidden="1">{"'Sheet1'!$L$16"}</definedName>
    <definedName name="huy_1_1_1_3" hidden="1">{"'Sheet1'!$L$16"}</definedName>
    <definedName name="huy_1_1_2" localSheetId="5" hidden="1">{"'Sheet1'!$L$16"}</definedName>
    <definedName name="huy_1_1_2" hidden="1">{"'Sheet1'!$L$16"}</definedName>
    <definedName name="huy_1_1_2_1" localSheetId="5" hidden="1">{"'Sheet1'!$L$16"}</definedName>
    <definedName name="huy_1_1_2_1" hidden="1">{"'Sheet1'!$L$16"}</definedName>
    <definedName name="huy_1_1_2_2" localSheetId="5" hidden="1">{"'Sheet1'!$L$16"}</definedName>
    <definedName name="huy_1_1_2_2" hidden="1">{"'Sheet1'!$L$16"}</definedName>
    <definedName name="huy_1_1_3" localSheetId="5" hidden="1">{"'Sheet1'!$L$16"}</definedName>
    <definedName name="huy_1_1_3" hidden="1">{"'Sheet1'!$L$16"}</definedName>
    <definedName name="huy_1_1_3_1" localSheetId="5" hidden="1">{"'Sheet1'!$L$16"}</definedName>
    <definedName name="huy_1_1_3_1" hidden="1">{"'Sheet1'!$L$16"}</definedName>
    <definedName name="huy_1_1_3_2" localSheetId="5" hidden="1">{"'Sheet1'!$L$16"}</definedName>
    <definedName name="huy_1_1_3_2" hidden="1">{"'Sheet1'!$L$16"}</definedName>
    <definedName name="huy_1_1_4" localSheetId="5" hidden="1">{"'Sheet1'!$L$16"}</definedName>
    <definedName name="huy_1_1_4" hidden="1">{"'Sheet1'!$L$16"}</definedName>
    <definedName name="huy_1_1_5" localSheetId="5" hidden="1">{"'Sheet1'!$L$16"}</definedName>
    <definedName name="huy_1_1_5" hidden="1">{"'Sheet1'!$L$16"}</definedName>
    <definedName name="huy_1_2" localSheetId="5" hidden="1">{"'Sheet1'!$L$16"}</definedName>
    <definedName name="huy_1_2" hidden="1">{"'Sheet1'!$L$16"}</definedName>
    <definedName name="huy_1_2_1" localSheetId="5" hidden="1">{"'Sheet1'!$L$16"}</definedName>
    <definedName name="huy_1_2_1" hidden="1">{"'Sheet1'!$L$16"}</definedName>
    <definedName name="huy_1_2_2" localSheetId="5" hidden="1">{"'Sheet1'!$L$16"}</definedName>
    <definedName name="huy_1_2_2" hidden="1">{"'Sheet1'!$L$16"}</definedName>
    <definedName name="huy_1_3" localSheetId="5" hidden="1">{"'Sheet1'!$L$16"}</definedName>
    <definedName name="huy_1_3" hidden="1">{"'Sheet1'!$L$16"}</definedName>
    <definedName name="huy_1_3_1" localSheetId="5" hidden="1">{"'Sheet1'!$L$16"}</definedName>
    <definedName name="huy_1_3_1" hidden="1">{"'Sheet1'!$L$16"}</definedName>
    <definedName name="huy_1_3_2" localSheetId="5" hidden="1">{"'Sheet1'!$L$16"}</definedName>
    <definedName name="huy_1_3_2" hidden="1">{"'Sheet1'!$L$16"}</definedName>
    <definedName name="huy_1_4" localSheetId="5" hidden="1">{"'Sheet1'!$L$16"}</definedName>
    <definedName name="huy_1_4" hidden="1">{"'Sheet1'!$L$16"}</definedName>
    <definedName name="huy_1_5" localSheetId="5" hidden="1">{"'Sheet1'!$L$16"}</definedName>
    <definedName name="huy_1_5" hidden="1">{"'Sheet1'!$L$16"}</definedName>
    <definedName name="huy_2" localSheetId="5" hidden="1">{"'Sheet1'!$L$16"}</definedName>
    <definedName name="huy_2" hidden="1">{"'Sheet1'!$L$16"}</definedName>
    <definedName name="huy_2_1" localSheetId="5" hidden="1">{"'Sheet1'!$L$16"}</definedName>
    <definedName name="huy_2_1" hidden="1">{"'Sheet1'!$L$16"}</definedName>
    <definedName name="huy_2_2" localSheetId="5" hidden="1">{"'Sheet1'!$L$16"}</definedName>
    <definedName name="huy_2_2" hidden="1">{"'Sheet1'!$L$16"}</definedName>
    <definedName name="huy_3" localSheetId="5" hidden="1">{"'Sheet1'!$L$16"}</definedName>
    <definedName name="huy_3" hidden="1">{"'Sheet1'!$L$16"}</definedName>
    <definedName name="huy_3_1" localSheetId="5" hidden="1">{"'Sheet1'!$L$16"}</definedName>
    <definedName name="huy_3_1" hidden="1">{"'Sheet1'!$L$16"}</definedName>
    <definedName name="huy_3_2" localSheetId="5" hidden="1">{"'Sheet1'!$L$16"}</definedName>
    <definedName name="huy_3_2" hidden="1">{"'Sheet1'!$L$16"}</definedName>
    <definedName name="huy_4" localSheetId="5" hidden="1">{"'Sheet1'!$L$16"}</definedName>
    <definedName name="huy_4" hidden="1">{"'Sheet1'!$L$16"}</definedName>
    <definedName name="huy_4_1" localSheetId="5" hidden="1">{"'Sheet1'!$L$16"}</definedName>
    <definedName name="huy_4_1" hidden="1">{"'Sheet1'!$L$16"}</definedName>
    <definedName name="huy_4_2" localSheetId="5" hidden="1">{"'Sheet1'!$L$16"}</definedName>
    <definedName name="huy_4_2" hidden="1">{"'Sheet1'!$L$16"}</definedName>
    <definedName name="huy_5" localSheetId="5" hidden="1">{"'Sheet1'!$L$16"}</definedName>
    <definedName name="huy_5" hidden="1">{"'Sheet1'!$L$16"}</definedName>
    <definedName name="huy_5_1" localSheetId="5" hidden="1">{"'Sheet1'!$L$16"}</definedName>
    <definedName name="huy_5_1" hidden="1">{"'Sheet1'!$L$16"}</definedName>
    <definedName name="huy_5_2" localSheetId="5" hidden="1">{"'Sheet1'!$L$16"}</definedName>
    <definedName name="huy_5_2" hidden="1">{"'Sheet1'!$L$16"}</definedName>
    <definedName name="huye" localSheetId="5" hidden="1">{"'Sheet1'!$L$16"}</definedName>
    <definedName name="huye" hidden="1">{"'Sheet1'!$L$16"}</definedName>
    <definedName name="huyy" localSheetId="5" hidden="1">{"'Sheet1'!$L$16"}</definedName>
    <definedName name="huyy" hidden="1">{"'Sheet1'!$L$16"}</definedName>
    <definedName name="huyyy" localSheetId="5" hidden="1">{"'Sheet1'!$L$16"}</definedName>
    <definedName name="huyyy" hidden="1">{"'Sheet1'!$L$16"}</definedName>
    <definedName name="hvac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localSheetId="5" hidden="1">{"'Sheet1'!$L$16"}</definedName>
    <definedName name="hyu" hidden="1">{"'Sheet1'!$L$16"}</definedName>
    <definedName name="Hyundai" localSheetId="5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5" hidden="1">{"'매출계획'!$D$2"}</definedName>
    <definedName name="I" hidden="1">{"'매출계획'!$D$2"}</definedName>
    <definedName name="iä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localSheetId="5" hidden="1">{"weichwaren",#N/A,FALSE,"Liste 1";"hartwaren",#N/A,FALSE,"Liste 1";"food",#N/A,FALSE,"Liste 1";"fleisch",#N/A,FALSE,"Liste 1"}</definedName>
    <definedName name="ierj" hidden="1">{"weichwaren",#N/A,FALSE,"Liste 1";"hartwaren",#N/A,FALSE,"Liste 1";"food",#N/A,FALSE,"Liste 1";"fleisch",#N/A,FALSE,"Liste 1"}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5" hidden="1">{"'매출계획'!$D$2"}</definedName>
    <definedName name="III" hidden="1">{"'매출계획'!$D$2"}</definedName>
    <definedName name="IIII" localSheetId="5" hidden="1">{"'매출계획'!$D$2"}</definedName>
    <definedName name="IIII" hidden="1">{"'매출계획'!$D$2"}</definedName>
    <definedName name="iiiii" localSheetId="5" hidden="1">{"Tages_D",#N/A,FALSE,"Tagesbericht";"Tages_PL",#N/A,FALSE,"Tagesbericht"}</definedName>
    <definedName name="iiiii" hidden="1">{"Tages_D",#N/A,FALSE,"Tagesbericht";"Tages_PL",#N/A,FALSE,"Tagesbericht"}</definedName>
    <definedName name="iiiiiiiiiii" localSheetId="5" hidden="1">{"'Feb 99'!$A$1:$G$30"}</definedName>
    <definedName name="iiiiiiiiiii" hidden="1">{"'Feb 99'!$A$1:$G$30"}</definedName>
    <definedName name="iiiiiiiiiiiiiiiiiiiiiiiiiiiiiiii" localSheetId="5" hidden="1">{"'Feb 99'!$A$1:$G$30"}</definedName>
    <definedName name="iiiiiiiiiiiiiiiiiiiiiiiiiiiiiiii" hidden="1">{"'Feb 99'!$A$1:$G$30"}</definedName>
    <definedName name="iiiiiiiiiiiiiiiiiiiiiiiiiiiiiiiiiiiiiiiiiiiii" localSheetId="5" hidden="1">{"'Feb 99'!$A$1:$G$30"}</definedName>
    <definedName name="iiiiiiiiiiiiiiiiiiiiiiiiiiiiiiiiiiiiiiiiiiiii" hidden="1">{"'Feb 99'!$A$1:$G$30"}</definedName>
    <definedName name="iiiiiiiiiiiiiiiiiiiiiiiiiiiiiiiiiiiiiiiiiiiiii" localSheetId="5" hidden="1">{#N/A,#N/A,FALSE,"Sheet1"}</definedName>
    <definedName name="iiiiiiiiiiiiiiiiiiiiiiiiiiiiiiiiiiiiiiiiiiiiii" hidden="1">{#N/A,#N/A,FALSE,"Sheet1"}</definedName>
    <definedName name="iiin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localSheetId="5" hidden="1">{#N/A,#N/A,FALSE,"CCTV"}</definedName>
    <definedName name="iiouolkll" hidden="1">{#N/A,#N/A,FALSE,"CCTV"}</definedName>
    <definedName name="iir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localSheetId="5" hidden="1">{"'Model'!$A$1:$N$53"}</definedName>
    <definedName name="ijjoip" hidden="1">{"'Model'!$A$1:$N$53"}</definedName>
    <definedName name="IK" localSheetId="5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k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 localSheetId="5">#REF!</definedName>
    <definedName name="IMpact" localSheetId="4">#REF!</definedName>
    <definedName name="IMpact">#REF!</definedName>
    <definedName name="in" localSheetId="5" hidden="1">#REF!</definedName>
    <definedName name="in" localSheetId="4" hidden="1">#REF!</definedName>
    <definedName name="in" hidden="1">#REF!</definedName>
    <definedName name="INCOME_TAX" localSheetId="5">#REF!</definedName>
    <definedName name="INCOME_TAX" localSheetId="4">#REF!</definedName>
    <definedName name="INCOME_TAX">#REF!</definedName>
    <definedName name="info2" localSheetId="5" hidden="1">{"level1",#N/A,FALSE,"1_LEV";"LEVEL1",#N/A,FALSE,"1_LEV"}</definedName>
    <definedName name="info2" hidden="1">{"level1",#N/A,FALSE,"1_LEV";"LEVEL1",#N/A,FALSE,"1_LEV"}</definedName>
    <definedName name="inpu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localSheetId="5" hidden="1">{"Jan-June",#N/A,FALSE,"Sheet4";"Jul-Dec",#N/A,FALSE,"Sheet4"}</definedName>
    <definedName name="inputvatcopy" hidden="1">{"Jan-June",#N/A,FALSE,"Sheet4";"Jul-Dec",#N/A,FALSE,"Sheet4"}</definedName>
    <definedName name="inputvatthat" localSheetId="5" hidden="1">{"Jan-June",#N/A,FALSE,"Sheet4";"Jul-Dec",#N/A,FALSE,"Sheet4"}</definedName>
    <definedName name="inputvatthat" hidden="1">{"Jan-June",#N/A,FALSE,"Sheet4";"Jul-Dec",#N/A,FALSE,"Sheet4"}</definedName>
    <definedName name="ins" localSheetId="5" hidden="1">{#N/A,#N/A,FALSE,"Assessment";#N/A,#N/A,FALSE,"Staffing";#N/A,#N/A,FALSE,"Hires";#N/A,#N/A,FALSE,"Assumptions"}</definedName>
    <definedName name="ins" hidden="1">{#N/A,#N/A,FALSE,"Assessment";#N/A,#N/A,FALSE,"Staffing";#N/A,#N/A,FALSE,"Hires";#N/A,#N/A,FALSE,"Assumptions"}</definedName>
    <definedName name="in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localSheetId="5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 localSheetId="5">#REF!</definedName>
    <definedName name="Internalaudit" localSheetId="4">#REF!</definedName>
    <definedName name="Internalaudit">#REF!</definedName>
    <definedName name="IntroPrintArea" localSheetId="5" hidden="1">#REF!</definedName>
    <definedName name="IntroPrintArea" localSheetId="4" hidden="1">#REF!</definedName>
    <definedName name="IntroPrintArea" hidden="1">#REF!</definedName>
    <definedName name="INVENT" localSheetId="5" hidden="1">{#N/A,#N/A,FALSE,"Aging Summary";#N/A,#N/A,FALSE,"Ratio Analysis";#N/A,#N/A,FALSE,"Test 120 Day Accts";#N/A,#N/A,FALSE,"Tickmarks"}</definedName>
    <definedName name="INVENT" hidden="1">{#N/A,#N/A,FALSE,"Aging Summary";#N/A,#N/A,FALSE,"Ratio Analysis";#N/A,#N/A,FALSE,"Test 120 Day Accts";#N/A,#N/A,FALSE,"Tickmarks"}</definedName>
    <definedName name="Inventory" localSheetId="5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localSheetId="5" hidden="1">{"'Bidfailed'!$D$2:$AB$14","'Bidfailed'!$D$4:$AB$4"}</definedName>
    <definedName name="Investment" hidden="1">{"'Bidfailed'!$D$2:$AB$14","'Bidfailed'!$D$4:$AB$4"}</definedName>
    <definedName name="i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localSheetId="5" hidden="1">#REF!</definedName>
    <definedName name="IQB_BOOKMARK_LOCATION_0" localSheetId="4" hidden="1">#REF!</definedName>
    <definedName name="IQB_BOOKMARK_LOCATION_0" hidden="1">#REF!</definedName>
    <definedName name="IQB_BOOKMARK_LOCATION_1" localSheetId="5" hidden="1">#REF!</definedName>
    <definedName name="IQB_BOOKMARK_LOCATION_1" localSheetId="4" hidden="1">#REF!</definedName>
    <definedName name="IQB_BOOKMARK_LOCATION_1" hidden="1">#REF!</definedName>
    <definedName name="IQB_CURRENT_BOOKMARK" hidden="1">0</definedName>
    <definedName name="IQRScreeningD62" localSheetId="5" hidden="1">#REF!</definedName>
    <definedName name="IQRScreeningD62" localSheetId="4" hidden="1">#REF!</definedName>
    <definedName name="IQRScreeningD62" hidden="1">#REF!</definedName>
    <definedName name="iQShowHideColumns" hidden="1">"iQShowQuarterlyAnnual"</definedName>
    <definedName name="IS" localSheetId="5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localSheetId="5" hidden="1">{"level1",#N/A,FALSE,"1_LEV";"LEVEL1",#N/A,FALSE,"1_LEV"}</definedName>
    <definedName name="iutit6i" hidden="1">{"level1",#N/A,FALSE,"1_LEV";"LEVEL1",#N/A,FALSE,"1_LEV"}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localSheetId="5" hidden="1">#REF!</definedName>
    <definedName name="J_WT" localSheetId="4" hidden="1">#REF!</definedName>
    <definedName name="J_WT" hidden="1">#REF!</definedName>
    <definedName name="jaljfidfjiofjioa" localSheetId="5" hidden="1">{"'Sheet1'!$L$16"}</definedName>
    <definedName name="jaljfidfjiofjioa" hidden="1">{"'Sheet1'!$L$16"}</definedName>
    <definedName name="Jas" localSheetId="5" hidden="1">{"'Feb 99'!$A$1:$G$30"}</definedName>
    <definedName name="Jas" hidden="1">{"'Feb 99'!$A$1:$G$30"}</definedName>
    <definedName name="JE" localSheetId="5" hidden="1">{#N/A,#N/A,FALSE,"Aging Summary";#N/A,#N/A,FALSE,"Ratio Analysis";#N/A,#N/A,FALSE,"Test 120 Day Accts";#N/A,#N/A,FALSE,"Tickmarks"}</definedName>
    <definedName name="JE" hidden="1">{#N/A,#N/A,FALSE,"Aging Summary";#N/A,#N/A,FALSE,"Ratio Analysis";#N/A,#N/A,FALSE,"Test 120 Day Accts";#N/A,#N/A,FALSE,"Tickmarks"}</definedName>
    <definedName name="jefferies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localSheetId="5" hidden="1">{"Tages_D",#N/A,FALSE,"Tagesbericht";"Tages_PL",#N/A,FALSE,"Tagesbericht"}</definedName>
    <definedName name="jeine" hidden="1">{"Tages_D",#N/A,FALSE,"Tagesbericht";"Tages_PL",#N/A,FALSE,"Tagesbericht"}</definedName>
    <definedName name="jeroen" localSheetId="5" hidden="1">#REF!</definedName>
    <definedName name="jeroen" localSheetId="4" hidden="1">#REF!</definedName>
    <definedName name="jeroen" hidden="1">#REF!</definedName>
    <definedName name="jffh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localSheetId="5" hidden="1">{"'매출계획'!$D$2"}</definedName>
    <definedName name="JGH" hidden="1">{"'매출계획'!$D$2"}</definedName>
    <definedName name="JH" localSheetId="5" hidden="1">{"'매출계획'!$D$2"}</definedName>
    <definedName name="JH" hidden="1">{"'매출계획'!$D$2"}</definedName>
    <definedName name="jhgfdfgh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localSheetId="5" hidden="1">{0}</definedName>
    <definedName name="jhgjf" hidden="1">{0}</definedName>
    <definedName name="jhhhh" localSheetId="5" hidden="1">{#N/A,#N/A,FALSE,"CCTV"}</definedName>
    <definedName name="jhhhh" hidden="1">{#N/A,#N/A,FALSE,"CCTV"}</definedName>
    <definedName name="jhjh" localSheetId="5" hidden="1">{"Offgrid",#N/A,FALSE,"OFFGRID";"Region",#N/A,FALSE,"REGION";"Offgrid -2",#N/A,FALSE,"OFFGRID";"WTP",#N/A,FALSE,"WTP";"WTP -2",#N/A,FALSE,"WTP";"Project",#N/A,FALSE,"PROJECT";"Summary -2",#N/A,FALSE,"SUMMARY"}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localSheetId="5" hidden="1">#REF!</definedName>
    <definedName name="jhwcjkhqwejckhqckje" localSheetId="4" hidden="1">#REF!</definedName>
    <definedName name="jhwcjkhqwejckhqckje" hidden="1">#REF!</definedName>
    <definedName name="JIJIIIJ" localSheetId="5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localSheetId="5" hidden="1">{"'Sheet1'!$L$16"}</definedName>
    <definedName name="jjhg" hidden="1">{"'Sheet1'!$L$16"}</definedName>
    <definedName name="jjj" localSheetId="5" hidden="1">{"'Sheet1'!$L$16"}</definedName>
    <definedName name="jjj" hidden="1">{"'Sheet1'!$L$16"}</definedName>
    <definedName name="jjj_1" localSheetId="5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localSheetId="5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localSheetId="5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localSheetId="5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localSheetId="5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localSheetId="5" hidden="1">{"cashflow",#N/A,FALSE,"CASHFLOW "}</definedName>
    <definedName name="jjjjjjj" hidden="1">{"cashflow",#N/A,FALSE,"CASHFLOW "}</definedName>
    <definedName name="jjjklll" localSheetId="5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localSheetId="5" hidden="1">{"'Sheet1'!$L$16"}</definedName>
    <definedName name="jjkljl" hidden="1">{"'Sheet1'!$L$16"}</definedName>
    <definedName name="JKDFSJCSDKJ" localSheetId="5" hidden="1">{#N/A,#N/A,TRUE,"SUM";#N/A,#N/A,TRUE,"EE";#N/A,#N/A,TRUE,"AC";#N/A,#N/A,TRUE,"SN"}</definedName>
    <definedName name="JKDFSJCSDKJ" hidden="1">{#N/A,#N/A,TRUE,"SUM";#N/A,#N/A,TRUE,"EE";#N/A,#N/A,TRUE,"AC";#N/A,#N/A,TRUE,"SN"}</definedName>
    <definedName name="jkjhk" localSheetId="5" hidden="1">{"'Sheet1'!$L$16"}</definedName>
    <definedName name="jkjhk" hidden="1">{"'Sheet1'!$L$16"}</definedName>
    <definedName name="jkjk" localSheetId="5" hidden="1">{"'Sheet1'!$L$16"}</definedName>
    <definedName name="jkjk" hidden="1">{"'Sheet1'!$L$16"}</definedName>
    <definedName name="JKKIO" localSheetId="5" hidden="1">{#N/A,#N/A,FALSE,"CCTV"}</definedName>
    <definedName name="JKKIO" hidden="1">{#N/A,#N/A,FALSE,"CCTV"}</definedName>
    <definedName name="jkläol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localSheetId="5" hidden="1">{"'Sheet1'!$L$16"}</definedName>
    <definedName name="jkldsjkl" hidden="1">{"'Sheet1'!$L$16"}</definedName>
    <definedName name="jklhgj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 localSheetId="5">#REF!</definedName>
    <definedName name="JobTileCode" localSheetId="4">#REF!</definedName>
    <definedName name="JobTileCode">#REF!</definedName>
    <definedName name="joh" localSheetId="5" hidden="1">#REF!</definedName>
    <definedName name="joh" localSheetId="4" hidden="1">#REF!</definedName>
    <definedName name="joh" hidden="1">#REF!</definedName>
    <definedName name="jrfu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localSheetId="5" hidden="1">{"revsale",#N/A,FALSE,"REV-ยุพดี"}</definedName>
    <definedName name="jti" hidden="1">{"revsale",#N/A,FALSE,"REV-ยุพดี"}</definedName>
    <definedName name="ju" localSheetId="5" hidden="1">{"'Sheet1'!$L$16"}</definedName>
    <definedName name="ju" hidden="1">{"'Sheet1'!$L$16"}</definedName>
    <definedName name="july" localSheetId="5" hidden="1">{"'ตัวอย่าง'!$A$1:$O$21"}</definedName>
    <definedName name="july" hidden="1">{"'ตัวอย่าง'!$A$1:$O$21"}</definedName>
    <definedName name="jxcnvin" localSheetId="5" hidden="1">{"'Sheet1'!$L$16"}</definedName>
    <definedName name="jxcnvin" hidden="1">{"'Sheet1'!$L$16"}</definedName>
    <definedName name="jz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localSheetId="5" hidden="1">{"'Sheet1'!$L$16"}</definedName>
    <definedName name="K" hidden="1">{"'Sheet1'!$L$16"}</definedName>
    <definedName name="k_1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localSheetId="5" hidden="1">{#N/A,#N/A,FALSE,"Sheet1"}</definedName>
    <definedName name="K2a" hidden="1">{#N/A,#N/A,FALSE,"Sheet1"}</definedName>
    <definedName name="K301A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localSheetId="5" hidden="1">{#N/A,#N/A,FALSE,"Sheet1"}</definedName>
    <definedName name="KAA" hidden="1">{#N/A,#N/A,FALSE,"Sheet1"}</definedName>
    <definedName name="kaitoon" localSheetId="5" hidden="1">{"PRINT_EST",#N/A,FALSE,"ESTMON"}</definedName>
    <definedName name="kaitoon" hidden="1">{"PRINT_EST",#N/A,FALSE,"ESTMON"}</definedName>
    <definedName name="kathleen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localSheetId="5" hidden="1">{#N/A,#N/A,FALSE,"Sheet1"}</definedName>
    <definedName name="KB" hidden="1">{#N/A,#N/A,FALSE,"Sheet1"}</definedName>
    <definedName name="kdjklge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localSheetId="5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localSheetId="5" hidden="1">{#N/A,#N/A,FALSE,"CCTV"}</definedName>
    <definedName name="kghlgh" hidden="1">{#N/A,#N/A,FALSE,"CCTV"}</definedName>
    <definedName name="KH" localSheetId="5">#REF!</definedName>
    <definedName name="KH" localSheetId="4">#REF!</definedName>
    <definedName name="KH">#REF!</definedName>
    <definedName name="KHJF" localSheetId="5" hidden="1">{#N/A,#N/A,FALSE,"CCTV"}</definedName>
    <definedName name="KHJF" hidden="1">{#N/A,#N/A,FALSE,"CCTV"}</definedName>
    <definedName name="khjkhj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localSheetId="5" hidden="1">{"Offgrid",#N/A,FALSE,"OFFGRID";"Region",#N/A,FALSE,"REGION";"Offgrid -2",#N/A,FALSE,"OFFGRID";"WTP",#N/A,FALSE,"WTP";"WTP -2",#N/A,FALSE,"WTP";"Project",#N/A,FALSE,"PROJECT";"Summary -2",#N/A,FALSE,"SUMMARY"}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localSheetId="5" hidden="1">{"'Sheet1'!$L$16"}</definedName>
    <definedName name="KHO152.2.12" hidden="1">{"'Sheet1'!$L$16"}</definedName>
    <definedName name="kho1531.12" localSheetId="5" hidden="1">{"'Sheet1'!$L$16"}</definedName>
    <definedName name="kho1531.12" hidden="1">{"'Sheet1'!$L$16"}</definedName>
    <definedName name="khoi" localSheetId="5" hidden="1">{"'Sheet1'!$L$16"}</definedName>
    <definedName name="khoi" hidden="1">{"'Sheet1'!$L$16"}</definedName>
    <definedName name="khongtruotgia" localSheetId="5" hidden="1">{"'Sheet1'!$L$16"}</definedName>
    <definedName name="khongtruotgia" hidden="1">{"'Sheet1'!$L$16"}</definedName>
    <definedName name="KHSX" localSheetId="5" hidden="1">{"'Sheet1'!$L$16"}</definedName>
    <definedName name="KHSX" hidden="1">{"'Sheet1'!$L$16"}</definedName>
    <definedName name="Khu" localSheetId="5" hidden="1">{#N/A,#N/A,FALSE,"Chi tiÆt"}</definedName>
    <definedName name="Khu" hidden="1">{#N/A,#N/A,FALSE,"Chi tiÆt"}</definedName>
    <definedName name="khung" localSheetId="5" hidden="1">{"Tages_D",#N/A,FALSE,"Tagesbericht";"Tages_PL",#N/A,FALSE,"Tagesbericht"}</definedName>
    <definedName name="khung" hidden="1">{"Tages_D",#N/A,FALSE,"Tagesbericht";"Tages_PL",#N/A,FALSE,"Tagesbericht"}</definedName>
    <definedName name="khuy" localSheetId="5" hidden="1">{"'Sheet1'!$L$16"}</definedName>
    <definedName name="khuy" hidden="1">{"'Sheet1'!$L$16"}</definedName>
    <definedName name="khuyenkh" localSheetId="5" hidden="1">{"'Sheet1'!$L$16"}</definedName>
    <definedName name="khuyenkh" hidden="1">{"'Sheet1'!$L$16"}</definedName>
    <definedName name="ki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localSheetId="5" hidden="1">{#N/A,#N/A,FALSE,"m66";#N/A,#N/A,FALSE,"m66"}</definedName>
    <definedName name="kien" hidden="1">{#N/A,#N/A,FALSE,"m66";#N/A,#N/A,FALSE,"m66"}</definedName>
    <definedName name="kiulil" localSheetId="5" hidden="1">{#N/A,#N/A,FALSE,"CCTV"}</definedName>
    <definedName name="kiulil" hidden="1">{#N/A,#N/A,FALSE,"CCTV"}</definedName>
    <definedName name="kjasdf" localSheetId="5" hidden="1">{"hilight1",#N/A,FALSE,"HILIGHT1"}</definedName>
    <definedName name="kjasdf" hidden="1">{"hilight1",#N/A,FALSE,"HILIGHT1"}</definedName>
    <definedName name="kjh" localSheetId="5" hidden="1">{"'Sheet1'!$L$16"}</definedName>
    <definedName name="kjh" hidden="1">{"'Sheet1'!$L$16"}</definedName>
    <definedName name="kjhkj" localSheetId="5" hidden="1">{"'TOTAL'!$A$1:$AG$20"}</definedName>
    <definedName name="kjhkj" hidden="1">{"'TOTAL'!$A$1:$AG$20"}</definedName>
    <definedName name="kjhlh" localSheetId="5" hidden="1">{#N/A,#N/A,FALSE,"CCTV"}</definedName>
    <definedName name="kjhlh" hidden="1">{#N/A,#N/A,FALSE,"CCTV"}</definedName>
    <definedName name="kjhljhk" localSheetId="5" hidden="1">{#N/A,#N/A,FALSE,"CCTV"}</definedName>
    <definedName name="kjhljhk" hidden="1">{#N/A,#N/A,FALSE,"CCTV"}</definedName>
    <definedName name="kjjj" localSheetId="5" hidden="1">{#N/A,#N/A,FALSE,"Chi tiÆt"}</definedName>
    <definedName name="kjjj" hidden="1">{#N/A,#N/A,FALSE,"Chi tiÆt"}</definedName>
    <definedName name="kjk" localSheetId="5" hidden="1">{"'Sheet1'!$L$16"}</definedName>
    <definedName name="kjk" hidden="1">{"'Sheet1'!$L$16"}</definedName>
    <definedName name="kjljk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localSheetId="5" hidden="1">#REF!</definedName>
    <definedName name="kk" localSheetId="4" hidden="1">#REF!</definedName>
    <definedName name="kk" hidden="1">#REF!</definedName>
    <definedName name="kkjkk" localSheetId="5" hidden="1">{#N/A,#N/A,FALSE,"Sheet2"}</definedName>
    <definedName name="kkjkk" hidden="1">{#N/A,#N/A,FALSE,"Sheet2"}</definedName>
    <definedName name="KKK" localSheetId="5" hidden="1">{"'매출계획'!$D$2"}</definedName>
    <definedName name="KKK" hidden="1">{"'매출계획'!$D$2"}</definedName>
    <definedName name="KKKK" localSheetId="5" hidden="1">{"'매출계획'!$D$2"}</definedName>
    <definedName name="KKKK" hidden="1">{"'매출계획'!$D$2"}</definedName>
    <definedName name="kklk" localSheetId="5" hidden="1">{"F3 detail",#N/A,FALSE,"F1";"F3 Presentation",#N/A,FALSE,"F3 "}</definedName>
    <definedName name="kklk" hidden="1">{"F3 detail",#N/A,FALSE,"F1";"F3 Presentation",#N/A,FALSE,"F3 "}</definedName>
    <definedName name="kklleinene" localSheetId="5" hidden="1">{"Tages_D",#N/A,FALSE,"Tagesbericht";"Tages_PL",#N/A,FALSE,"Tagesbericht"}</definedName>
    <definedName name="kklleinene" hidden="1">{"Tages_D",#N/A,FALSE,"Tagesbericht";"Tages_PL",#N/A,FALSE,"Tagesbericht"}</definedName>
    <definedName name="kkzc" localSheetId="5" hidden="1">{#N/A,#N/A,FALSE,"Sheet1"}</definedName>
    <definedName name="kkzc" hidden="1">{#N/A,#N/A,FALSE,"Sheet1"}</definedName>
    <definedName name="kl" localSheetId="5" hidden="1">{"revsale",#N/A,FALSE,"REV-ยุพดี"}</definedName>
    <definedName name="kl" hidden="1">{"revsale",#N/A,FALSE,"REV-ยุพดี"}</definedName>
    <definedName name="klcmhioesnmh" localSheetId="5" hidden="1">{"'Sheet1'!$L$16"}</definedName>
    <definedName name="klcmhioesnmh" hidden="1">{"'Sheet1'!$L$16"}</definedName>
    <definedName name="klein1" localSheetId="5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localSheetId="5" hidden="1">{"TAG1AGMS",#N/A,FALSE,"TAG 1A"}</definedName>
    <definedName name="kleine" hidden="1">{"TAG1AGMS",#N/A,FALSE,"TAG 1A"}</definedName>
    <definedName name="kli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localSheetId="5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localSheetId="5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localSheetId="5" hidden="1">#REF!</definedName>
    <definedName name="klok" localSheetId="4" hidden="1">#REF!</definedName>
    <definedName name="klok" hidden="1">#REF!</definedName>
    <definedName name="KM" localSheetId="5" hidden="1">{"'매출계획'!$D$2"}</definedName>
    <definedName name="KM" hidden="1">{"'매출계획'!$D$2"}</definedName>
    <definedName name="knong" localSheetId="5" hidden="1">{"'Sheet1'!$L$16"}</definedName>
    <definedName name="knong" hidden="1">{"'Sheet1'!$L$16"}</definedName>
    <definedName name="KPIs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localSheetId="5" hidden="1">{"'Sheet1'!$L$16"}</definedName>
    <definedName name="ksbn" hidden="1">{"'Sheet1'!$L$16"}</definedName>
    <definedName name="kshn" localSheetId="5" hidden="1">{"'Sheet1'!$L$16"}</definedName>
    <definedName name="kshn" hidden="1">{"'Sheet1'!$L$16"}</definedName>
    <definedName name="KSJBDJHAS" localSheetId="5" hidden="1">{"'Sheet1'!$L$16"}</definedName>
    <definedName name="KSJBDJHAS" hidden="1">{"'Sheet1'!$L$16"}</definedName>
    <definedName name="ksls" localSheetId="5" hidden="1">{"'Sheet1'!$L$16"}</definedName>
    <definedName name="ksls" hidden="1">{"'Sheet1'!$L$16"}</definedName>
    <definedName name="kt" localSheetId="5" hidden="1">#REF!</definedName>
    <definedName name="kt" localSheetId="4" hidden="1">#REF!</definedName>
    <definedName name="kt" hidden="1">#REF!</definedName>
    <definedName name="KU" localSheetId="5" hidden="1">{"'Sheet1'!$L$16"}</definedName>
    <definedName name="KU" hidden="1">{"'Sheet1'!$L$16"}</definedName>
    <definedName name="kung" localSheetId="5" hidden="1">{"Tages_D",#N/A,FALSE,"Tagesbericht";"Tages_PL",#N/A,FALSE,"Tagesbericht"}</definedName>
    <definedName name="kung" hidden="1">{"Tages_D",#N/A,FALSE,"Tagesbericht";"Tages_PL",#N/A,FALSE,"Tagesbericht"}</definedName>
    <definedName name="kuzz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hidden="1">'[20]TM1 FC2'!$B$5</definedName>
    <definedName name="kyd.CounterLimitCell.01." hidden="1">"x"</definedName>
    <definedName name="kyd.Dim.01." hidden="1">"UNISONUS:M-2003"</definedName>
    <definedName name="kyd.ElementList.01." localSheetId="5" hidden="1">[21]Insight!#REF!</definedName>
    <definedName name="kyd.ElementList.01." localSheetId="4" hidden="1">[21]Insight!#REF!</definedName>
    <definedName name="kyd.ElementList.01." hidden="1">[21]Insight!#REF!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localSheetId="5" hidden="1">#REF!</definedName>
    <definedName name="kyd.PrintStdAlertCell." localSheetId="4" hidden="1">#REF!</definedName>
    <definedName name="kyd.PrintStdAlertCell." hidden="1">#REF!</definedName>
    <definedName name="kyd.SelectString.01." hidden="1">"*"</definedName>
    <definedName name="kyd.ServerCell." localSheetId="5" hidden="1">#REF!</definedName>
    <definedName name="kyd.ServerCell." localSheetId="4" hidden="1">#REF!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localSheetId="5" hidden="1">{"'매출계획'!$D$2"}</definedName>
    <definedName name="L" hidden="1">{"'매출계획'!$D$2"}</definedName>
    <definedName name="LABOR_TAX" hidden="1">'[22]Service Invoice'!$G$15</definedName>
    <definedName name="Lai" localSheetId="5" hidden="1">{"'Sheet1'!$L$16"}</definedName>
    <definedName name="Lai" hidden="1">{"'Sheet1'!$L$16"}</definedName>
    <definedName name="LAM" localSheetId="5" hidden="1">{#N/A,#N/A,TRUE,"BT M200 da 10x20"}</definedName>
    <definedName name="LAM" hidden="1">{#N/A,#N/A,TRUE,"BT M200 da 10x20"}</definedName>
    <definedName name="lan" localSheetId="5" hidden="1">{#N/A,#N/A,TRUE,"BT M200 da 10x20"}</definedName>
    <definedName name="lan" hidden="1">{#N/A,#N/A,TRUE,"BT M200 da 10x20"}</definedName>
    <definedName name="langson" localSheetId="5" hidden="1">{"'Sheet1'!$L$16"}</definedName>
    <definedName name="langson" hidden="1">{"'Sheet1'!$L$16"}</definedName>
    <definedName name="LC" localSheetId="5" hidden="1">{"'Sheet1'!$L$16"}</definedName>
    <definedName name="LC" hidden="1">{"'Sheet1'!$L$16"}</definedName>
    <definedName name="ldc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 localSheetId="5">#REF!</definedName>
    <definedName name="legal" localSheetId="4">#REF!</definedName>
    <definedName name="legal">#REF!</definedName>
    <definedName name="leien" localSheetId="5" hidden="1">{"fleisch",#N/A,FALSE,"WG HK";"food",#N/A,FALSE,"WG HK";"hartwaren",#N/A,FALSE,"WG HK";"weichwaren",#N/A,FALSE,"WG HK"}</definedName>
    <definedName name="leien" hidden="1">{"fleisch",#N/A,FALSE,"WG HK";"food",#N/A,FALSE,"WG HK";"hartwaren",#N/A,FALSE,"WG HK";"weichwaren",#N/A,FALSE,"WG HK"}</definedName>
    <definedName name="LFKFJFO" localSheetId="5" hidden="1">{#N/A,#N/A,FALSE,"CCTV"}</definedName>
    <definedName name="LFKFJFO" hidden="1">{#N/A,#N/A,FALSE,"CCTV"}</definedName>
    <definedName name="lig" localSheetId="5" hidden="1">{"'1-TheatreBkgs'!$A$1:$L$102"}</definedName>
    <definedName name="lig" hidden="1">{"'1-TheatreBkgs'!$A$1:$L$102"}</definedName>
    <definedName name="limcount" hidden="1">1</definedName>
    <definedName name="Lina" localSheetId="5" hidden="1">{#N/A,#N/A,TRUE,"BT M200 da 10x20"}</definedName>
    <definedName name="Lina" hidden="1">{#N/A,#N/A,TRUE,"BT M200 da 10x20"}</definedName>
    <definedName name="liza" localSheetId="5" hidden="1">{"level1",#N/A,FALSE,"1_LEV";"LEVEL1",#N/A,FALSE,"1_LEV"}</definedName>
    <definedName name="liza" hidden="1">{"level1",#N/A,FALSE,"1_LEV";"LEVEL1",#N/A,FALSE,"1_LEV"}</definedName>
    <definedName name="lk" localSheetId="5" hidden="1">{#N/A,#N/A,FALSE,"CCTV"}</definedName>
    <definedName name="lk" hidden="1">{#N/A,#N/A,FALSE,"CCTV"}</definedName>
    <definedName name="LKJHKU" localSheetId="5" hidden="1">{#N/A,#N/A,FALSE,"CCTV"}</definedName>
    <definedName name="LKJHKU" hidden="1">{#N/A,#N/A,FALSE,"CCTV"}</definedName>
    <definedName name="lklhlkjl" localSheetId="5" hidden="1">{#N/A,#N/A,FALSE,"CCTV"}</definedName>
    <definedName name="lklhlkjl" hidden="1">{#N/A,#N/A,FALSE,"CCTV"}</definedName>
    <definedName name="LKLJH" localSheetId="5" hidden="1">{#N/A,#N/A,FALSE,"CCTV"}</definedName>
    <definedName name="LKLJH" hidden="1">{#N/A,#N/A,FALSE,"CCTV"}</definedName>
    <definedName name="ll" localSheetId="5" hidden="1">{"cashflow",#N/A,FALSE,"CASHFLOW "}</definedName>
    <definedName name="ll" hidden="1">{"cashflow",#N/A,FALSE,"CASHFLOW "}</definedName>
    <definedName name="lll" localSheetId="5" hidden="1">{"sales",#N/A,FALSE,"SALES"}</definedName>
    <definedName name="lll" hidden="1">{"sales",#N/A,FALSE,"SALES"}</definedName>
    <definedName name="LLLL" localSheetId="5" hidden="1">{#N/A,#N/A,FALSE,"Chi tiÆt"}</definedName>
    <definedName name="LLLL" hidden="1">{#N/A,#N/A,FALSE,"Chi tiÆt"}</definedName>
    <definedName name="LLLLL" localSheetId="5" hidden="1">{#N/A,#N/A,FALSE,"Chi tiÆt"}</definedName>
    <definedName name="LLLLL" hidden="1">{#N/A,#N/A,FALSE,"Chi tiÆt"}</definedName>
    <definedName name="lllzil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localSheetId="5" hidden="1">{"revsale",#N/A,FALSE,"REV-ยุพดี"}</definedName>
    <definedName name="llolo" hidden="1">{"revsale",#N/A,FALSE,"REV-ยุพดี"}</definedName>
    <definedName name="l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localSheetId="5" hidden="1">{"'매출계획'!$D$2"}</definedName>
    <definedName name="LOAD" hidden="1">{"'매출계획'!$D$2"}</definedName>
    <definedName name="LOAD1" localSheetId="5" hidden="1">{"'매출계획'!$D$2"}</definedName>
    <definedName name="LOAD1" hidden="1">{"'매출계획'!$D$2"}</definedName>
    <definedName name="LOAD2" localSheetId="5" hidden="1">{"'매출계획'!$D$2"}</definedName>
    <definedName name="LOAD2" hidden="1">{"'매출계획'!$D$2"}</definedName>
    <definedName name="LOAD3" localSheetId="5" hidden="1">{"'매출계획'!$D$2"}</definedName>
    <definedName name="LOAD3" hidden="1">{"'매출계획'!$D$2"}</definedName>
    <definedName name="LOADDD" localSheetId="5" hidden="1">{"'매출계획'!$D$2"}</definedName>
    <definedName name="LOADDD" hidden="1">{"'매출계획'!$D$2"}</definedName>
    <definedName name="Loan" localSheetId="5" hidden="1">#REF!</definedName>
    <definedName name="Loan" localSheetId="4" hidden="1">#REF!</definedName>
    <definedName name="Loan" hidden="1">#REF!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 localSheetId="5">#REF!</definedName>
    <definedName name="LocalPGrossUp" localSheetId="4">#REF!</definedName>
    <definedName name="LocalPGrossUp">#REF!</definedName>
    <definedName name="Localpit" localSheetId="5">#REF!</definedName>
    <definedName name="Localpit" localSheetId="4">#REF!</definedName>
    <definedName name="Localpit">#REF!</definedName>
    <definedName name="LocalProposePit" localSheetId="5">#REF!</definedName>
    <definedName name="LocalProposePit" localSheetId="4">#REF!</definedName>
    <definedName name="LocalProposePit">#REF!</definedName>
    <definedName name="LocCtu" localSheetId="5" hidden="1">OFFSET(#REF!,0,0,COUNTA(#REF!))</definedName>
    <definedName name="LocCtu" localSheetId="4" hidden="1">OFFSET(#REF!,0,0,COUNTA(#REF!))</definedName>
    <definedName name="LocCtu" hidden="1">OFFSET(#REF!,0,0,COUNTA(#REF!))</definedName>
    <definedName name="lokk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localSheetId="5" hidden="1">{"'Sheet1'!$L$16"}</definedName>
    <definedName name="lsdfkas" hidden="1">{"'Sheet1'!$L$16"}</definedName>
    <definedName name="luan" localSheetId="5" hidden="1">{"'Sheet1'!$L$16"}</definedName>
    <definedName name="luan" hidden="1">{"'Sheet1'!$L$16"}</definedName>
    <definedName name="lui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localSheetId="5" hidden="1">{"'Sheet1'!$L$16"}</definedName>
    <definedName name="luuu" hidden="1">{"'Sheet1'!$L$16"}</definedName>
    <definedName name="M_PlaceofPath" hidden="1">"F:\danders\COMPANY\HET\HET_VDF.XLS"</definedName>
    <definedName name="M10." localSheetId="5" hidden="1">{"'Sheet1'!$L$16"}</definedName>
    <definedName name="M10." hidden="1">{"'Sheet1'!$L$16"}</definedName>
    <definedName name="M12aE" localSheetId="5" hidden="1">{"'照明目录'!$A$1:$H$31"}</definedName>
    <definedName name="M12aE" hidden="1">{"'照明目录'!$A$1:$H$31"}</definedName>
    <definedName name="MÂM" localSheetId="5" hidden="1">{"'Sheet1'!$L$16"}</definedName>
    <definedName name="MÂM" hidden="1">{"'Sheet1'!$L$16"}</definedName>
    <definedName name="Mar" localSheetId="5" hidden="1">{"hilight3",#N/A,FALSE,"HILIGHT3"}</definedName>
    <definedName name="Mar" hidden="1">{"hilight3",#N/A,FALSE,"HILIGHT3"}</definedName>
    <definedName name="marc" localSheetId="5">#REF!</definedName>
    <definedName name="marc" localSheetId="4">#REF!</definedName>
    <definedName name="marc">#REF!</definedName>
    <definedName name="marce" localSheetId="5">#REF!</definedName>
    <definedName name="marce" localSheetId="4">#REF!</definedName>
    <definedName name="marce">#REF!</definedName>
    <definedName name="may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localSheetId="5" hidden="1">{"'Sheet1'!$L$16"}</definedName>
    <definedName name="mco" hidden="1">{"'Sheet1'!$L$16"}</definedName>
    <definedName name="mdfhjr" localSheetId="5" hidden="1">{"'Sheet1'!$L$16"}</definedName>
    <definedName name="mdfhjr" hidden="1">{"'Sheet1'!$L$16"}</definedName>
    <definedName name="MeasureListbox">[23]!MeasureList</definedName>
    <definedName name="MeetingRoomWP" localSheetId="5" hidden="1">{"index",#N/A,FALSE,"INDEX"}</definedName>
    <definedName name="MeetingRoomWP" hidden="1">{"index",#N/A,FALSE,"INDEX"}</definedName>
    <definedName name="Mer" localSheetId="5" hidden="1">{"'Sheet1'!$L$16"}</definedName>
    <definedName name="Mer" hidden="1">{"'Sheet1'!$L$16"}</definedName>
    <definedName name="MET" localSheetId="5" hidden="1">{"'Sheet1'!$L$16"}</definedName>
    <definedName name="MET" hidden="1">{"'Sheet1'!$L$16"}</definedName>
    <definedName name="MEWarning" hidden="1">1</definedName>
    <definedName name="mfigjh" localSheetId="5" hidden="1">{"'Sheet1'!$L$16"}</definedName>
    <definedName name="mfigjh" hidden="1">{"'Sheet1'!$L$16"}</definedName>
    <definedName name="mg" localSheetId="5" hidden="1">{#N/A,#N/A,FALSE,"Chi tiÆt"}</definedName>
    <definedName name="mg" hidden="1">{#N/A,#N/A,FALSE,"Chi tiÆt"}</definedName>
    <definedName name="MGM" localSheetId="5" hidden="1">{#N/A,#N/A,FALSE,"CCTV"}</definedName>
    <definedName name="MGM" hidden="1">{#N/A,#N/A,FALSE,"CCTV"}</definedName>
    <definedName name="MH" localSheetId="5" hidden="1">{"'매출계획'!$D$2"}</definedName>
    <definedName name="MH" hidden="1">{"'매출계획'!$D$2"}</definedName>
    <definedName name="MHD" localSheetId="5" hidden="1">{"'매출계획'!$D$2"}</definedName>
    <definedName name="MHD" hidden="1">{"'매출계획'!$D$2"}</definedName>
    <definedName name="mhm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localSheetId="5" hidden="1">{"'매출계획'!$D$2"}</definedName>
    <definedName name="MHY" hidden="1">{"'매출계획'!$D$2"}</definedName>
    <definedName name="miko" localSheetId="5" hidden="1">#REF!</definedName>
    <definedName name="miko" localSheetId="4" hidden="1">#REF!</definedName>
    <definedName name="miko" hidden="1">#REF!</definedName>
    <definedName name="min" localSheetId="5" hidden="1">{"'Feb 99'!$A$1:$G$30"}</definedName>
    <definedName name="min" hidden="1">{"'Feb 99'!$A$1:$G$30"}</definedName>
    <definedName name="mis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localSheetId="5" hidden="1">#REF!</definedName>
    <definedName name="MKT" localSheetId="4" hidden="1">#REF!</definedName>
    <definedName name="MKT" hidden="1">#REF!</definedName>
    <definedName name="MKU" localSheetId="5" hidden="1">{"'매출계획'!$D$2"}</definedName>
    <definedName name="MKU" hidden="1">{"'매출계획'!$D$2"}</definedName>
    <definedName name="mm" localSheetId="5" hidden="1">{"'Sheet1'!$L$16"}</definedName>
    <definedName name="mm" hidden="1">{"'Sheet1'!$L$16"}</definedName>
    <definedName name="MMJJKK" localSheetId="5" hidden="1">{"Jan-June",#N/A,FALSE,"Sheet4";"Jul-Dec",#N/A,FALSE,"Sheet4"}</definedName>
    <definedName name="MMJJKK" hidden="1">{"Jan-June",#N/A,FALSE,"Sheet4";"Jul-Dec",#N/A,FALSE,"Sheet4"}</definedName>
    <definedName name="MMM" localSheetId="5" hidden="1">{#N/A,#N/A,FALSE,"CCTV"}</definedName>
    <definedName name="MMM" hidden="1">{#N/A,#N/A,FALSE,"CCTV"}</definedName>
    <definedName name="mmmmm" localSheetId="5" hidden="1">{#N/A,#N/A,FALSE,"CCTV"}</definedName>
    <definedName name="mmmmm" hidden="1">{#N/A,#N/A,FALSE,"CCTV"}</definedName>
    <definedName name="MMMMMMMMMMM" localSheetId="5" hidden="1">{"'Sheet1'!$L$16"}</definedName>
    <definedName name="MMMMMMMMMMM" hidden="1">{"'Sheet1'!$L$16"}</definedName>
    <definedName name="mnjnm" localSheetId="5" hidden="1">#REF!</definedName>
    <definedName name="mnjnm" localSheetId="4" hidden="1">#REF!</definedName>
    <definedName name="mnjnm" hidden="1">#REF!</definedName>
    <definedName name="mnth" localSheetId="5">#REF!</definedName>
    <definedName name="mnth" localSheetId="4">#REF!</definedName>
    <definedName name="mnth">#REF!</definedName>
    <definedName name="mnth_tab" localSheetId="5">#REF!</definedName>
    <definedName name="mnth_tab" localSheetId="4">#REF!</definedName>
    <definedName name="mnth_tab">#REF!</definedName>
    <definedName name="moi" localSheetId="5" hidden="1">{"'Sheet1'!$L$16"}</definedName>
    <definedName name="moi" hidden="1">{"'Sheet1'!$L$16"}</definedName>
    <definedName name="MP" localSheetId="5" hidden="1">{#N/A,#N/A,FALSE,"CCTV"}</definedName>
    <definedName name="MP" hidden="1">{#N/A,#N/A,FALSE,"CCTV"}</definedName>
    <definedName name="mrn.inv._.budget" localSheetId="5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TY" localSheetId="5" hidden="1">{"'매출계획'!$D$2"}</definedName>
    <definedName name="MTY" hidden="1">{"'매출계획'!$D$2"}</definedName>
    <definedName name="mua" localSheetId="5" hidden="1">{"'Sheet1'!$L$16"}</definedName>
    <definedName name="mua" hidden="1">{"'Sheet1'!$L$16"}</definedName>
    <definedName name="my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localSheetId="5" hidden="1">{"'Model'!$A$1:$N$53"}</definedName>
    <definedName name="Myanmar_3T" hidden="1">{"'Model'!$A$1:$N$53"}</definedName>
    <definedName name="n" localSheetId="5" hidden="1">{"F3 detail",#N/A,FALSE,"F1";"F3 Presentation",#N/A,FALSE,"F3 "}</definedName>
    <definedName name="n" hidden="1">{"F3 detail",#N/A,FALSE,"F1";"F3 Presentation",#N/A,FALSE,"F3 "}</definedName>
    <definedName name="Nam" hidden="1">#N/A</definedName>
    <definedName name="nat" localSheetId="5" hidden="1">{#N/A,#N/A,FALSE,"Assessment";#N/A,#N/A,FALSE,"Staffing";#N/A,#N/A,FALSE,"Hires";#N/A,#N/A,FALSE,"Assumptions"}</definedName>
    <definedName name="nat" hidden="1">{#N/A,#N/A,FALSE,"Assessment";#N/A,#N/A,FALSE,"Staffing";#N/A,#N/A,FALSE,"Hires";#N/A,#N/A,FALSE,"Assumptions"}</definedName>
    <definedName name="NBNM" localSheetId="5" hidden="1">{"'Sheet1'!$L$16"}</definedName>
    <definedName name="NBNM" hidden="1">{"'Sheet1'!$L$16"}</definedName>
    <definedName name="nbxnx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localSheetId="5" hidden="1">{"'매출계획'!$D$2"}</definedName>
    <definedName name="ND" hidden="1">{"'매출계획'!$D$2"}</definedName>
    <definedName name="ndf0hten" localSheetId="5" hidden="1">{"'Sheet1'!$L$16"}</definedName>
    <definedName name="ndf0hten" hidden="1">{"'Sheet1'!$L$16"}</definedName>
    <definedName name="new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localSheetId="5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n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localSheetId="5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localSheetId="4" hidden="1">OFFSET([13]!Data.Top.Left,1,0)</definedName>
    <definedName name="neww" hidden="1">OFFSET([13]!Data.Top.Left,1,0)</definedName>
    <definedName name="newww" localSheetId="5">#REF!</definedName>
    <definedName name="newww" localSheetId="4">#REF!</definedName>
    <definedName name="newww">#REF!</definedName>
    <definedName name="NFG" localSheetId="5" hidden="1">{"'매출계획'!$D$2"}</definedName>
    <definedName name="NFG" hidden="1">{"'매출계획'!$D$2"}</definedName>
    <definedName name="n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localSheetId="5" hidden="1">{"'Sheet1'!$L$16"}</definedName>
    <definedName name="ngay23" hidden="1">{"'Sheet1'!$L$16"}</definedName>
    <definedName name="NGF" localSheetId="5" hidden="1">{"'매출계획'!$D$2"}</definedName>
    <definedName name="NGF" hidden="1">{"'매출계획'!$D$2"}</definedName>
    <definedName name="ngoc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 localSheetId="5">#REF!</definedName>
    <definedName name="ngonngu" localSheetId="4">#REF!</definedName>
    <definedName name="ngonngu">#REF!</definedName>
    <definedName name="ngothithanhthuy" localSheetId="5" hidden="1">{"'Sheet1'!$L$16"}</definedName>
    <definedName name="ngothithanhthuy" hidden="1">{"'Sheet1'!$L$16"}</definedName>
    <definedName name="nhu" localSheetId="5" hidden="1">{"'Sheet1'!$L$16"}</definedName>
    <definedName name="nhu" hidden="1">{"'Sheet1'!$L$16"}</definedName>
    <definedName name="nil" localSheetId="5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localSheetId="5" hidden="1">{"'Sheet1'!$L$16"}</definedName>
    <definedName name="ninhson" hidden="1">{"'Sheet1'!$L$16"}</definedName>
    <definedName name="NKKN" localSheetId="5" hidden="1">{"'Sheet1'!$L$16"}</definedName>
    <definedName name="NKKN" hidden="1">{"'Sheet1'!$L$16"}</definedName>
    <definedName name="nkknk" localSheetId="5" hidden="1">{#N/A,#N/A,FALSE,"CCTV"}</definedName>
    <definedName name="nkknk" hidden="1">{#N/A,#N/A,FALSE,"CCTV"}</definedName>
    <definedName name="nll" localSheetId="5" hidden="1">{"'Sheet1'!$L$16"}</definedName>
    <definedName name="nll" hidden="1">{"'Sheet1'!$L$16"}</definedName>
    <definedName name="nn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 localSheetId="5">#REF!</definedName>
    <definedName name="Nomination" localSheetId="4">#REF!</definedName>
    <definedName name="Nomination">#REF!</definedName>
    <definedName name="NotUse" localSheetId="5" hidden="1">{"'ตัวอย่าง'!$A$1:$O$21"}</definedName>
    <definedName name="NotUse" hidden="1">{"'ตัวอย่าง'!$A$1:$O$21"}</definedName>
    <definedName name="NPP" localSheetId="5" hidden="1">#REF!</definedName>
    <definedName name="NPP" localSheetId="4" hidden="1">#REF!</definedName>
    <definedName name="NPP" hidden="1">#REF!</definedName>
    <definedName name="nrwe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localSheetId="5" hidden="1">{"'Sheet1'!$L$16"}</definedName>
    <definedName name="NSOO" hidden="1">{"'Sheet1'!$L$16"}</definedName>
    <definedName name="ntzhn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localSheetId="5" hidden="1">{"'Sheet1'!$L$16"}</definedName>
    <definedName name="nwe" hidden="1">{"'Sheet1'!$L$16"}</definedName>
    <definedName name="ny" localSheetId="5" hidden="1">{"'Sheet1'!$L$16"}</definedName>
    <definedName name="ny" hidden="1">{"'Sheet1'!$L$16"}</definedName>
    <definedName name="O" localSheetId="5">#REF!</definedName>
    <definedName name="O" localSheetId="4">#REF!</definedName>
    <definedName name="O">#REF!</definedName>
    <definedName name="o_1" localSheetId="5" hidden="1">{"'Sheet1'!$L$16"}</definedName>
    <definedName name="o_1" hidden="1">{"'Sheet1'!$L$16"}</definedName>
    <definedName name="od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localSheetId="5" hidden="1">{#N/A,#N/A,FALSE,"CCTV"}</definedName>
    <definedName name="oi" hidden="1">{#N/A,#N/A,FALSE,"CCTV"}</definedName>
    <definedName name="oikk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localSheetId="5" hidden="1">{#N/A,#N/A,FALSE,"CCTV"}</definedName>
    <definedName name="oililui" hidden="1">{#N/A,#N/A,FALSE,"CCTV"}</definedName>
    <definedName name="öio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localSheetId="5" hidden="1">{"'Sheet1'!$L$16"}</definedName>
    <definedName name="okkkk" hidden="1">{"'Sheet1'!$L$16"}</definedName>
    <definedName name="okoo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localSheetId="5" hidden="1">{"revable",#N/A,FALSE,"REVABLE"}</definedName>
    <definedName name="ol" hidden="1">{"revable",#N/A,FALSE,"REVABLE"}</definedName>
    <definedName name="olio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localSheetId="5" hidden="1">{"'Bidfailed'!$D$2:$AB$14","'Bidfailed'!$D$4:$AB$4"}</definedName>
    <definedName name="omm" hidden="1">{"'Bidfailed'!$D$2:$AB$14","'Bidfailed'!$D$4:$AB$4"}</definedName>
    <definedName name="OO" localSheetId="5" hidden="1">{"'매출계획'!$D$2"}</definedName>
    <definedName name="OO" hidden="1">{"'매출계획'!$D$2"}</definedName>
    <definedName name="OOO" localSheetId="5" hidden="1">{"'매출계획'!$D$2"}</definedName>
    <definedName name="OOO" hidden="1">{"'매출계획'!$D$2"}</definedName>
    <definedName name="öo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localSheetId="5" hidden="1">{"'매출계획'!$D$2"}</definedName>
    <definedName name="OOOO" hidden="1">{"'매출계획'!$D$2"}</definedName>
    <definedName name="ooooo" localSheetId="5" hidden="1">{"'connew '!$C$40:$C$60"}</definedName>
    <definedName name="ooooo" hidden="1">{"'connew '!$C$40:$C$60"}</definedName>
    <definedName name="oooooooooooo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localSheetId="5" hidden="1">#REF!</definedName>
    <definedName name="OrderTable" localSheetId="4" hidden="1">#REF!</definedName>
    <definedName name="OrderTable" hidden="1">#REF!</definedName>
    <definedName name="orgn_issues" localSheetId="5">#REF!</definedName>
    <definedName name="orgn_issues" localSheetId="4">#REF!</definedName>
    <definedName name="orgn_issues">#REF!</definedName>
    <definedName name="OrgUnitList" localSheetId="5">#REF!</definedName>
    <definedName name="OrgUnitList" localSheetId="4">#REF!</definedName>
    <definedName name="OrgUnitList">#REF!</definedName>
    <definedName name="ote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localSheetId="5" hidden="1">{#VALUE!,#N/A,FALSE,0}</definedName>
    <definedName name="ots" hidden="1">{#VALUE!,#N/A,FALSE,0}</definedName>
    <definedName name="öui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localSheetId="4" hidden="1">OFFSET([13]!Data.Top.Left,1,0)</definedName>
    <definedName name="Ownership" hidden="1">OFFSET([13]!Data.Top.Left,1,0)</definedName>
    <definedName name="p" localSheetId="5" hidden="1">{"'ตัวอย่าง'!$A$1:$O$21"}</definedName>
    <definedName name="p" hidden="1">{"'ตัวอย่าง'!$A$1:$O$21"}</definedName>
    <definedName name="PARTS_TAX" hidden="1">'[22]Service Invoice'!$D$15</definedName>
    <definedName name="payabl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localSheetId="5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 localSheetId="5">#REF!</definedName>
    <definedName name="pending_settlement" localSheetId="4">#REF!</definedName>
    <definedName name="pending_settlement">#REF!</definedName>
    <definedName name="Pending_Settlements___Employees_who_have_left_and_F_F_papers_are_yet_to_come_to_payroll" localSheetId="5">#REF!</definedName>
    <definedName name="Pending_Settlements___Employees_who_have_left_and_F_F_papers_are_yet_to_come_to_payroll" localSheetId="4">#REF!</definedName>
    <definedName name="Pending_Settlements___Employees_who_have_left_and_F_F_papers_are_yet_to_come_to_payroll">#REF!</definedName>
    <definedName name="PeriodListbox">[23]!PeriodList</definedName>
    <definedName name="PGV" localSheetId="5" hidden="1">#REF!</definedName>
    <definedName name="PGV" localSheetId="4" hidden="1">#REF!</definedName>
    <definedName name="PGV" hidden="1">#REF!</definedName>
    <definedName name="PHAN" localSheetId="5" hidden="1">{#N/A,#N/A,FALSE,"CCTV"}</definedName>
    <definedName name="PHAN" hidden="1">{#N/A,#N/A,FALSE,"CCTV"}</definedName>
    <definedName name="PHAT" localSheetId="5" hidden="1">{#N/A,#N/A,FALSE,"CCTV"}</definedName>
    <definedName name="PHAT" hidden="1">{#N/A,#N/A,FALSE,"CCTV"}</definedName>
    <definedName name="Phil" localSheetId="5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localSheetId="5" hidden="1">{"'Sheet1'!$L$16"}</definedName>
    <definedName name="phogn" hidden="1">{"'Sheet1'!$L$16"}</definedName>
    <definedName name="PHUONG" localSheetId="5" hidden="1">{#N/A,#N/A,TRUE,"BT M200 da 10x20"}</definedName>
    <definedName name="PHUONG" hidden="1">{#N/A,#N/A,TRUE,"BT M200 da 10x20"}</definedName>
    <definedName name="pison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 localSheetId="5">#REF!</definedName>
    <definedName name="pit" localSheetId="4">#REF!</definedName>
    <definedName name="pit">#REF!</definedName>
    <definedName name="pitch" localSheetId="5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KTN." localSheetId="5" hidden="1">{"'Sheet1'!$L$16"}</definedName>
    <definedName name="PKTN." hidden="1">{"'Sheet1'!$L$16"}</definedName>
    <definedName name="PKTNN" localSheetId="5" hidden="1">{"'Sheet1'!$L$16"}</definedName>
    <definedName name="PKTNN" hidden="1">{"'Sheet1'!$L$16"}</definedName>
    <definedName name="pl" localSheetId="5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localSheetId="5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localSheetId="5" hidden="1">{#N/A,#N/A,FALSE,"CCTV"}</definedName>
    <definedName name="PLK" hidden="1">{#N/A,#N/A,FALSE,"CCTV"}</definedName>
    <definedName name="PO" localSheetId="5" hidden="1">#REF!</definedName>
    <definedName name="PO" localSheetId="4" hidden="1">#REF!</definedName>
    <definedName name="PO" hidden="1">#REF!</definedName>
    <definedName name="PONL" localSheetId="5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pCache_FA_MASS_ADDITIONS_AMORTIZE_NBV_FLAG" localSheetId="5" hidden="1">#REF!</definedName>
    <definedName name="PopCache_FA_MASS_ADDITIONS_AMORTIZE_NBV_FLAG" localSheetId="4" hidden="1">#REF!</definedName>
    <definedName name="PopCache_FA_MASS_ADDITIONS_AMORTIZE_NBV_FLAG" hidden="1">#REF!</definedName>
    <definedName name="PopCache_FA_MASS_ADDITIONS_ASSET_TYPE" localSheetId="5" hidden="1">#REF!</definedName>
    <definedName name="PopCache_FA_MASS_ADDITIONS_ASSET_TYPE" localSheetId="4" hidden="1">#REF!</definedName>
    <definedName name="PopCache_FA_MASS_ADDITIONS_ASSET_TYPE" hidden="1">#REF!</definedName>
    <definedName name="PopCache_FA_MASS_ADDITIONS_DEPRECIATE_FLAG" localSheetId="5" hidden="1">#REF!</definedName>
    <definedName name="PopCache_FA_MASS_ADDITIONS_DEPRECIATE_FLAG" localSheetId="4" hidden="1">#REF!</definedName>
    <definedName name="PopCache_FA_MASS_ADDITIONS_DEPRECIATE_FLAG" hidden="1">#REF!</definedName>
    <definedName name="Popn" localSheetId="5" hidden="1">{"'Sheet1'!$L$16"}</definedName>
    <definedName name="Popn" hidden="1">{"'Sheet1'!$L$16"}</definedName>
    <definedName name="PP" localSheetId="5" hidden="1">{"'Model'!$A$1:$N$53"}</definedName>
    <definedName name="PP" hidden="1">{"'Model'!$A$1:$N$53"}</definedName>
    <definedName name="PPLSP403" localSheetId="5" hidden="1">{"'Sheet1'!$L$16"}</definedName>
    <definedName name="PPLSP403" hidden="1">{"'Sheet1'!$L$16"}</definedName>
    <definedName name="ppp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localSheetId="5" hidden="1">{"'매출계획'!$D$2"}</definedName>
    <definedName name="PPPP" hidden="1">{"'매출계획'!$D$2"}</definedName>
    <definedName name="ppppppppppppppp" localSheetId="5" hidden="1">{#N/A,#N/A,FALSE,"Sheet1"}</definedName>
    <definedName name="ppppppppppppppp" hidden="1">{#N/A,#N/A,FALSE,"Sheet1"}</definedName>
    <definedName name="pppppppppppppppppppppppp" localSheetId="5" hidden="1">{#N/A,#N/A,FALSE,"Sheet1"}</definedName>
    <definedName name="pppppppppppppppppppppppp" hidden="1">{#N/A,#N/A,FALSE,"Sheet1"}</definedName>
    <definedName name="pppppppppppppppppppppppppppppppppp" localSheetId="5" hidden="1">{"'Feb 99'!$A$1:$G$30"}</definedName>
    <definedName name="pppppppppppppppppppppppppppppppppp" hidden="1">{"'Feb 99'!$A$1:$G$30"}</definedName>
    <definedName name="Prepayments" localSheetId="5" hidden="1">{"'Sheet1'!$L$16"}</definedName>
    <definedName name="Prepayments" hidden="1">{"'Sheet1'!$L$16"}</definedName>
    <definedName name="Pre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[24]Index!$A$30</definedName>
    <definedName name="pro" localSheetId="5" hidden="1">{"revable",#N/A,FALSE,"REVABLE"}</definedName>
    <definedName name="pro" hidden="1">{"revable",#N/A,FALSE,"REVABLE"}</definedName>
    <definedName name="Process" localSheetId="5">#REF!</definedName>
    <definedName name="Process" localSheetId="4">#REF!</definedName>
    <definedName name="Process">#REF!</definedName>
    <definedName name="ProdForm" localSheetId="5" hidden="1">#REF!</definedName>
    <definedName name="ProdForm" localSheetId="4" hidden="1">#REF!</definedName>
    <definedName name="ProdForm" hidden="1">#REF!</definedName>
    <definedName name="Product" localSheetId="5" hidden="1">#REF!</definedName>
    <definedName name="Product" localSheetId="4" hidden="1">#REF!</definedName>
    <definedName name="Product" hidden="1">#REF!</definedName>
    <definedName name="prolinks_3778d6323f894a8f971c957d55cde273" localSheetId="5" hidden="1">#REF!</definedName>
    <definedName name="prolinks_3778d6323f894a8f971c957d55cde273" localSheetId="4" hidden="1">#REF!</definedName>
    <definedName name="prolinks_3778d6323f894a8f971c957d55cde273" hidden="1">#REF!</definedName>
    <definedName name="prolinks_6e0a8d1a68ad47a7b8d317bf6622980f" localSheetId="5" hidden="1">#REF!</definedName>
    <definedName name="prolinks_6e0a8d1a68ad47a7b8d317bf6622980f" localSheetId="4" hidden="1">#REF!</definedName>
    <definedName name="prolinks_6e0a8d1a68ad47a7b8d317bf6622980f" hidden="1">#REF!</definedName>
    <definedName name="prolinks_6e699c4ed9124ce7acd9be4eeb206984" localSheetId="5" hidden="1">#REF!</definedName>
    <definedName name="prolinks_6e699c4ed9124ce7acd9be4eeb206984" localSheetId="4" hidden="1">#REF!</definedName>
    <definedName name="prolinks_6e699c4ed9124ce7acd9be4eeb206984" hidden="1">#REF!</definedName>
    <definedName name="prolinks_745b4aee80f44ea3a0ec6374896d845f" localSheetId="5" hidden="1">#REF!</definedName>
    <definedName name="prolinks_745b4aee80f44ea3a0ec6374896d845f" localSheetId="4" hidden="1">#REF!</definedName>
    <definedName name="prolinks_745b4aee80f44ea3a0ec6374896d845f" hidden="1">#REF!</definedName>
    <definedName name="prolinks_9fe00f4d9e5e425f835b1b55a3d853c6" localSheetId="5" hidden="1">#REF!</definedName>
    <definedName name="prolinks_9fe00f4d9e5e425f835b1b55a3d853c6" localSheetId="4" hidden="1">#REF!</definedName>
    <definedName name="prolinks_9fe00f4d9e5e425f835b1b55a3d853c6" hidden="1">#REF!</definedName>
    <definedName name="prolinks_eefcaca52667481a9a1173a148bf2466" localSheetId="5" hidden="1">#REF!</definedName>
    <definedName name="prolinks_eefcaca52667481a9a1173a148bf2466" localSheetId="4" hidden="1">#REF!</definedName>
    <definedName name="prolinks_eefcaca52667481a9a1173a148bf2466" hidden="1">#REF!</definedName>
    <definedName name="prolinks_ffdd085da0de44b891084f32dde300ee" localSheetId="5" hidden="1">#REF!</definedName>
    <definedName name="prolinks_ffdd085da0de44b891084f32dde300ee" localSheetId="4" hidden="1">#REF!</definedName>
    <definedName name="prolinks_ffdd085da0de44b891084f32dde300ee" hidden="1">#REF!</definedName>
    <definedName name="pt" localSheetId="5" hidden="1">{#N/A,#N/A,FALSE,"CCTV"}</definedName>
    <definedName name="pt" hidden="1">{#N/A,#N/A,FALSE,"CCTV"}</definedName>
    <definedName name="ptdm1" localSheetId="5" hidden="1">{#N/A,#N/A,FALSE,"CCTV"}</definedName>
    <definedName name="ptdm1" hidden="1">{#N/A,#N/A,FALSE,"CCTV"}</definedName>
    <definedName name="ptich" localSheetId="5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UserID" hidden="1">"MAYERX"</definedName>
    <definedName name="PUTA" localSheetId="5" hidden="1">{"revsale",#N/A,FALSE,"REV-ยุพดี"}</definedName>
    <definedName name="PUTA" hidden="1">{"revsale",#N/A,FALSE,"REV-ยุพดี"}</definedName>
    <definedName name="PV140_All" localSheetId="5">#REF!</definedName>
    <definedName name="PV140_All" localSheetId="4">#REF!</definedName>
    <definedName name="PV140_All">#REF!</definedName>
    <definedName name="PV140_BP" localSheetId="5">#REF!</definedName>
    <definedName name="PV140_BP" localSheetId="4">#REF!</definedName>
    <definedName name="PV140_BP">#REF!</definedName>
    <definedName name="PV140_ColRef" localSheetId="5">#REF!</definedName>
    <definedName name="PV140_ColRef" localSheetId="4">#REF!</definedName>
    <definedName name="PV140_ColRef">#REF!</definedName>
    <definedName name="PV140_FC" localSheetId="5">#REF!</definedName>
    <definedName name="PV140_FC" localSheetId="4">#REF!</definedName>
    <definedName name="PV140_FC">#REF!</definedName>
    <definedName name="PV140_NS" localSheetId="5">#REF!</definedName>
    <definedName name="PV140_NS" localSheetId="4">#REF!</definedName>
    <definedName name="PV140_NS">#REF!</definedName>
    <definedName name="PV140_RowRef" localSheetId="5">#REF!</definedName>
    <definedName name="PV140_RowRef" localSheetId="4">#REF!</definedName>
    <definedName name="PV140_RowRef">#REF!</definedName>
    <definedName name="PV140_RowRef_Extra" localSheetId="5">#REF!</definedName>
    <definedName name="PV140_RowRef_Extra" localSheetId="4">#REF!</definedName>
    <definedName name="PV140_RowRef_Extra">#REF!</definedName>
    <definedName name="PV140_RowRef_Extra_2" localSheetId="5">#REF!</definedName>
    <definedName name="PV140_RowRef_Extra_2" localSheetId="4">#REF!</definedName>
    <definedName name="PV140_RowRef_Extra_2">#REF!</definedName>
    <definedName name="PV140_SAP" localSheetId="5">#REF!</definedName>
    <definedName name="PV140_SAP" localSheetId="4">#REF!</definedName>
    <definedName name="PV140_SAP">#REF!</definedName>
    <definedName name="PV140_TH2020" localSheetId="5">#REF!</definedName>
    <definedName name="PV140_TH2020" localSheetId="4">#REF!</definedName>
    <definedName name="PV140_TH2020">#REF!</definedName>
    <definedName name="PV140_Total_FC" localSheetId="5">#REF!</definedName>
    <definedName name="PV140_Total_FC" localSheetId="4">#REF!</definedName>
    <definedName name="PV140_Total_FC">#REF!</definedName>
    <definedName name="PV140_Total_NS" localSheetId="5">#REF!</definedName>
    <definedName name="PV140_Total_NS" localSheetId="4">#REF!</definedName>
    <definedName name="PV140_Total_NS">#REF!</definedName>
    <definedName name="PV140_Value" localSheetId="5">#REF!</definedName>
    <definedName name="PV140_Value" localSheetId="4">#REF!</definedName>
    <definedName name="PV140_Value">#REF!</definedName>
    <definedName name="PV140_ValueExtra" localSheetId="5">#REF!</definedName>
    <definedName name="PV140_ValueExtra" localSheetId="4">#REF!</definedName>
    <definedName name="PV140_ValueExtra">#REF!</definedName>
    <definedName name="PVDep_ColRef" localSheetId="5">#REF!</definedName>
    <definedName name="PVDep_ColRef" localSheetId="4">#REF!</definedName>
    <definedName name="PVDep_ColRef">#REF!</definedName>
    <definedName name="PVDep_RowRef" localSheetId="5">#REF!</definedName>
    <definedName name="PVDep_RowRef" localSheetId="4">#REF!</definedName>
    <definedName name="PVDep_RowRef">#REF!</definedName>
    <definedName name="PVDep_RowRef_1" localSheetId="5">#REF!</definedName>
    <definedName name="PVDep_RowRef_1" localSheetId="4">#REF!</definedName>
    <definedName name="PVDep_RowRef_1">#REF!</definedName>
    <definedName name="PVDep_RowRef_2" localSheetId="5">#REF!</definedName>
    <definedName name="PVDep_RowRef_2" localSheetId="4">#REF!</definedName>
    <definedName name="PVDep_RowRef_2">#REF!</definedName>
    <definedName name="PVDep_Total_FC" localSheetId="5">#REF!</definedName>
    <definedName name="PVDep_Total_FC" localSheetId="4">#REF!</definedName>
    <definedName name="PVDep_Total_FC">#REF!</definedName>
    <definedName name="PVDep_Total_NS" localSheetId="5">#REF!</definedName>
    <definedName name="PVDep_Total_NS" localSheetId="4">#REF!</definedName>
    <definedName name="PVDep_Total_NS">#REF!</definedName>
    <definedName name="PVDep_Value_All" localSheetId="5">#REF!</definedName>
    <definedName name="PVDep_Value_All" localSheetId="4">#REF!</definedName>
    <definedName name="PVDep_Value_All">#REF!</definedName>
    <definedName name="PVDep_Value_NS" localSheetId="5">#REF!</definedName>
    <definedName name="PVDep_Value_NS" localSheetId="4">#REF!</definedName>
    <definedName name="PVDep_Value_NS">#REF!</definedName>
    <definedName name="q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localSheetId="5" hidden="1">{"PAGE 1",#N/A,FALSE,"หน้า 1,2,3";"PAGE 2",#N/A,FALSE,"หน้า 1,2,3";"PAGE 3",#N/A,FALSE,"หน้า 1,2,3"}</definedName>
    <definedName name="q1_05" hidden="1">{"PAGE 1",#N/A,FALSE,"หน้า 1,2,3";"PAGE 2",#N/A,FALSE,"หน้า 1,2,3";"PAGE 3",#N/A,FALSE,"หน้า 1,2,3"}</definedName>
    <definedName name="Q2_05" localSheetId="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localSheetId="5" hidden="1">{"PAGE 1",#N/A,FALSE,"หน้า 1,2,3";"PAGE 2",#N/A,FALSE,"หน้า 1,2,3";"PAGE 3",#N/A,FALSE,"หน้า 1,2,3"}</definedName>
    <definedName name="Q3_05" hidden="1">{"PAGE 1",#N/A,FALSE,"หน้า 1,2,3";"PAGE 2",#N/A,FALSE,"หน้า 1,2,3";"PAGE 3",#N/A,FALSE,"หน้า 1,2,3"}</definedName>
    <definedName name="qa" localSheetId="5" hidden="1">{#N/A,#N/A,FALSE,"Monthly Rate By Activity";#N/A,#N/A,FALSE,"Hourly Rate By Activity";#N/A,#N/A,FALSE,"Monthly Rate By Custom Resource";#N/A,#N/A,FALSE,"Hourly Rate By Custom Resource"}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localSheetId="5" hidden="1">{"'Sheet1'!$L$16"}</definedName>
    <definedName name="qeqe" hidden="1">{"'Sheet1'!$L$16"}</definedName>
    <definedName name="qeqweq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localSheetId="5" hidden="1">{"'Sheet1'!$L$16"}</definedName>
    <definedName name="qẽrwdsfdfwfwdfw" hidden="1">{"'Sheet1'!$L$16"}</definedName>
    <definedName name="qetqwt3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localSheetId="5" hidden="1">{#N/A,#N/A,FALSE,"Gesamt";#N/A,#N/A,FALSE,"Ree KG";#N/A,#N/A,FALSE,"Ree Inter";#N/A,#N/A,FALSE,"BTM";#N/A,#N/A,FALSE,"GmbH";#N/A,#N/A,FALSE,"Sonstige"}</definedName>
    <definedName name="qewqeqw" hidden="1">{#N/A,#N/A,FALSE,"Gesamt";#N/A,#N/A,FALSE,"Ree KG";#N/A,#N/A,FALSE,"Ree Inter";#N/A,#N/A,FALSE,"BTM";#N/A,#N/A,FALSE,"GmbH";#N/A,#N/A,FALSE,"Sonstige"}</definedName>
    <definedName name="qq" localSheetId="5" hidden="1">{"'ตัวอย่าง'!$A$1:$O$21"}</definedName>
    <definedName name="qq" hidden="1">{"'ตัวอย่าง'!$A$1:$O$21"}</definedName>
    <definedName name="qqq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localSheetId="5" hidden="1">#REF!</definedName>
    <definedName name="qqqq" localSheetId="4" hidden="1">#REF!</definedName>
    <definedName name="qqqq" hidden="1">#REF!</definedName>
    <definedName name="QQQQQ" localSheetId="5" hidden="1">#REF!</definedName>
    <definedName name="QQQQQ" localSheetId="4" hidden="1">#REF!</definedName>
    <definedName name="QQQQQ" hidden="1">#REF!</definedName>
    <definedName name="qqqqqq" localSheetId="5" hidden="1">#REF!</definedName>
    <definedName name="qqqqqq" localSheetId="4" hidden="1">#REF!</definedName>
    <definedName name="qqqqqq" hidden="1">#REF!</definedName>
    <definedName name="qqqqqqqq" localSheetId="5" hidden="1">#REF!</definedName>
    <definedName name="qqqqqqqq" localSheetId="4" hidden="1">#REF!</definedName>
    <definedName name="qqqqqqqq" hidden="1">#REF!</definedName>
    <definedName name="qqqqqqqqqq" hidden="1">71</definedName>
    <definedName name="qqqqqqqqqqqq" localSheetId="5" hidden="1">#REF!</definedName>
    <definedName name="qqqqqqqqqqqq" localSheetId="4" hidden="1">#REF!</definedName>
    <definedName name="qqqqqqqqqqqq" hidden="1">#REF!</definedName>
    <definedName name="qqqqqqqqqqqqqqq" localSheetId="5" hidden="1">#REF!</definedName>
    <definedName name="qqqqqqqqqqqqqqq" localSheetId="4" hidden="1">#REF!</definedName>
    <definedName name="qqqqqqqqqqqqqqq" hidden="1">#REF!</definedName>
    <definedName name="qqqqqqqqqqqqqqqq" localSheetId="5" hidden="1">#REF!</definedName>
    <definedName name="qqqqqqqqqqqqqqqq" localSheetId="4" hidden="1">#REF!</definedName>
    <definedName name="qqqqqqqqqqqqqqqq" hidden="1">#REF!</definedName>
    <definedName name="qqqqqqqqqqqqqqqqq" localSheetId="5" hidden="1">#REF!</definedName>
    <definedName name="qqqqqqqqqqqqqqqqq" localSheetId="4" hidden="1">#REF!</definedName>
    <definedName name="qqqqqqqqqqqqqqqqq" hidden="1">#REF!</definedName>
    <definedName name="qqqqqqqqqqqqqqqqqqqq" localSheetId="5" hidden="1">#REF!</definedName>
    <definedName name="qqqqqqqqqqqqqqqqqqqq" localSheetId="4" hidden="1">#REF!</definedName>
    <definedName name="qqqqqqqqqqqqqqqqqqqq" hidden="1">#REF!</definedName>
    <definedName name="qqqqqqqqqqqqqqqqqqqqqq" localSheetId="5" hidden="1">#REF!</definedName>
    <definedName name="qqqqqqqqqqqqqqqqqqqqqq" localSheetId="4" hidden="1">#REF!</definedName>
    <definedName name="qqqqqqqqqqqqqqqqqqqqqq" hidden="1">#REF!</definedName>
    <definedName name="qqqqqqqqqqqqqqqqqqqqqqqqô" localSheetId="5" hidden="1">{"'Sheet1'!$L$16"}</definedName>
    <definedName name="qqqqqqqqqqqqqqqqqqqqqqqqô" hidden="1">{"'Sheet1'!$L$16"}</definedName>
    <definedName name="qrtq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localSheetId="5" hidden="1">{"PRINT_EST",#N/A,FALSE,"ESTMON"}</definedName>
    <definedName name="qs" hidden="1">{"PRINT_EST",#N/A,FALSE,"ESTMON"}</definedName>
    <definedName name="qt243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localSheetId="5" hidden="1">{"'Sheet1'!$L$16"}</definedName>
    <definedName name="quoctuyen" hidden="1">{"'Sheet1'!$L$16"}</definedName>
    <definedName name="qwe" localSheetId="5" hidden="1">{#N/A,#N/A,FALSE,"SPLIT1";#N/A,#N/A,FALSE,"SPLIT2";#N/A,#N/A,FALSE,"TELEX";#N/A,#N/A,FALSE,"TELEX"}</definedName>
    <definedName name="qwe" hidden="1">{#N/A,#N/A,FALSE,"SPLIT1";#N/A,#N/A,FALSE,"SPLIT2";#N/A,#N/A,FALSE,"TELEX";#N/A,#N/A,FALSE,"TELEX"}</definedName>
    <definedName name="qweqwerqwer" localSheetId="5" hidden="1">#REF!</definedName>
    <definedName name="qweqwerqwer" localSheetId="4" hidden="1">#REF!</definedName>
    <definedName name="qweqwerqwer" hidden="1">#REF!</definedName>
    <definedName name="qwer" localSheetId="5" hidden="1">#REF!</definedName>
    <definedName name="qwer" localSheetId="4" hidden="1">#REF!</definedName>
    <definedName name="qwer" hidden="1">#REF!</definedName>
    <definedName name="qwewret" localSheetId="5" hidden="1">#REF!</definedName>
    <definedName name="qwewret" localSheetId="4" hidden="1">#REF!</definedName>
    <definedName name="qwewret" hidden="1">#REF!</definedName>
    <definedName name="qwewrtetyrd" localSheetId="5" hidden="1">#REF!</definedName>
    <definedName name="qwewrtetyrd" localSheetId="4" hidden="1">#REF!</definedName>
    <definedName name="qwewrtetyrd" hidden="1">#REF!</definedName>
    <definedName name="qwqwwqwq" localSheetId="5" hidden="1">{#N/A,#N/A,TRUE,"BT M200 da 10x20"}</definedName>
    <definedName name="qwqwwqwq" hidden="1">{#N/A,#N/A,TRUE,"BT M200 da 10x20"}</definedName>
    <definedName name="ram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localSheetId="5" hidden="1">{#N/A,#N/A,FALSE,"CCTV"}</definedName>
    <definedName name="rarewt" hidden="1">{#N/A,#N/A,FALSE,"CCTV"}</definedName>
    <definedName name="RCArea" localSheetId="5" hidden="1">#REF!</definedName>
    <definedName name="RCArea" localSheetId="4" hidden="1">#REF!</definedName>
    <definedName name="RCArea" hidden="1">#REF!</definedName>
    <definedName name="rd" localSheetId="5" hidden="1">{"'ตัวอย่าง'!$A$1:$O$21"}</definedName>
    <definedName name="rd" hidden="1">{"'ตัวอย่าง'!$A$1:$O$21"}</definedName>
    <definedName name="RDF" localSheetId="5" hidden="1">{"'매출계획'!$D$2"}</definedName>
    <definedName name="RDF" hidden="1">{"'매출계획'!$D$2"}</definedName>
    <definedName name="re" localSheetId="5" hidden="1">{"'Sheet1'!$L$16"}</definedName>
    <definedName name="re" hidden="1">{"'Sheet1'!$L$16"}</definedName>
    <definedName name="Reasonableness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localSheetId="5" hidden="1">{"Jan-June",#N/A,FALSE,"Sheet4";"Jul-Dec",#N/A,FALSE,"Sheet4"}</definedName>
    <definedName name="reconcile.in" hidden="1">{"Jan-June",#N/A,FALSE,"Sheet4";"Jul-Dec",#N/A,FALSE,"Sheet4"}</definedName>
    <definedName name="ree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localSheetId="5" hidden="1">{"hilight2",#N/A,FALSE,"HILIGHT2"}</definedName>
    <definedName name="ref" hidden="1">{"hilight2",#N/A,FALSE,"HILIGHT2"}</definedName>
    <definedName name="refg" localSheetId="5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povh" localSheetId="5" hidden="1">{"'Bidfailed'!$D$2:$AB$14","'Bidfailed'!$D$4:$AB$4"}</definedName>
    <definedName name="repovh" hidden="1">{"'Bidfailed'!$D$2:$AB$14","'Bidfailed'!$D$4:$AB$4"}</definedName>
    <definedName name="rer" localSheetId="5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ẻr34rwer" localSheetId="5" hidden="1">{"HK PR",#N/A,FALSE,"HK";"SUMMARY",#N/A,FALSE,"PAYROLL";"SUMMARY",#N/A,FALSE,"PAYROLL";"HK PR",#N/A,FALSE,"HK"}</definedName>
    <definedName name="rẻr34rwer" hidden="1">{"HK PR",#N/A,FALSE,"HK";"SUMMARY",#N/A,FALSE,"PAYROLL";"SUMMARY",#N/A,FALSE,"PAYROLL";"HK PR",#N/A,FALSE,"HK"}</definedName>
    <definedName name="re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localSheetId="5" hidden="1">{#N/A,#N/A,FALSE,"CCTV"}</definedName>
    <definedName name="rety" hidden="1">{#N/A,#N/A,FALSE,"CCTV"}</definedName>
    <definedName name="REYT" localSheetId="5" hidden="1">{#N/A,#N/A,FALSE,"CCTV"}</definedName>
    <definedName name="REYT" hidden="1">{#N/A,#N/A,FALSE,"CCTV"}</definedName>
    <definedName name="RF" localSheetId="5" hidden="1">{#N/A,#N/A,FALSE,"CCTV"}</definedName>
    <definedName name="RF" hidden="1">{#N/A,#N/A,FALSE,"CCTV"}</definedName>
    <definedName name="rfju" localSheetId="5" hidden="1">{"'Sheet1'!$L$16"}</definedName>
    <definedName name="rfju" hidden="1">{"'Sheet1'!$L$16"}</definedName>
    <definedName name="RGD" localSheetId="5" hidden="1">{#N/A,#N/A,FALSE,"CCTV"}</definedName>
    <definedName name="RGD" hidden="1">{#N/A,#N/A,FALSE,"CCTV"}</definedName>
    <definedName name="rgf4r5345" localSheetId="5" hidden="1">Sales #REF!</definedName>
    <definedName name="rgf4r5345" localSheetId="4" hidden="1">Sales #REF!</definedName>
    <definedName name="rgf4r5345" hidden="1">Sales #REF!</definedName>
    <definedName name="rgff" localSheetId="5" hidden="1">{"lev2ytd",#N/A,FALSE,"2_LEVYTD"}</definedName>
    <definedName name="rgff" hidden="1">{"lev2ytd",#N/A,FALSE,"2_LEVYTD"}</definedName>
    <definedName name="rgr" localSheetId="5" hidden="1">{"income",#N/A,FALSE,"INCOME"}</definedName>
    <definedName name="rgr" hidden="1">{"income",#N/A,FALSE,"INCOME"}</definedName>
    <definedName name="rg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localSheetId="5" hidden="1">{"'Sheet1'!$L$16"}</definedName>
    <definedName name="rgwgyh" hidden="1">{"'Sheet1'!$L$16"}</definedName>
    <definedName name="RH" localSheetId="5" hidden="1">{"'매출계획'!$D$2"}</definedName>
    <definedName name="RH" hidden="1">{"'매출계획'!$D$2"}</definedName>
    <definedName name="rhtr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localSheetId="5" hidden="1">{"'Sheet1'!$L$16"}</definedName>
    <definedName name="RI" hidden="1">{"'Sheet1'!$L$16"}</definedName>
    <definedName name="RJE" localSheetId="5" hidden="1">{#N/A,#N/A,FALSE,"Sheet1"}</definedName>
    <definedName name="RJE" hidden="1">{#N/A,#N/A,FALSE,"Sheet1"}</definedName>
    <definedName name="rkd" localSheetId="5" hidden="1">{#N/A,#N/A,FALSE,"CCTV"}</definedName>
    <definedName name="rkd" hidden="1">{#N/A,#N/A,FALSE,"CCTV"}</definedName>
    <definedName name="RKSK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localSheetId="5" hidden="1">{"'Bidfailed'!$D$2:$AB$14","'Bidfailed'!$D$4:$AB$4"}</definedName>
    <definedName name="rol" hidden="1">{"'Bidfailed'!$D$2:$AB$14","'Bidfailed'!$D$4:$AB$4"}</definedName>
    <definedName name="RPTs1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localSheetId="5" hidden="1">#REF!</definedName>
    <definedName name="rqwerwer" localSheetId="4" hidden="1">#REF!</definedName>
    <definedName name="rqwerwer" hidden="1">#REF!</definedName>
    <definedName name="rr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localSheetId="5" hidden="1">{"Tages_D",#N/A,FALSE,"Tagesbericht";"Tages_PL",#N/A,FALSE,"Tagesbericht"}</definedName>
    <definedName name="rrehe" hidden="1">{"Tages_D",#N/A,FALSE,"Tagesbericht";"Tages_PL",#N/A,FALSE,"Tagesbericht"}</definedName>
    <definedName name="rrer" localSheetId="5" hidden="1">{"'ตัวอย่าง'!$A$1:$O$21"}</definedName>
    <definedName name="rrer" hidden="1">{"'ตัวอย่าง'!$A$1:$O$21"}</definedName>
    <definedName name="rrrr" localSheetId="5" hidden="1">{"'ตัวอย่าง'!$A$1:$O$21"}</definedName>
    <definedName name="rrrr" hidden="1">{"'ตัวอย่าง'!$A$1:$O$21"}</definedName>
    <definedName name="rrrr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localSheetId="5" hidden="1">{#N/A,#N/A,FALSE,"CCTV"}</definedName>
    <definedName name="rsdtusryu" hidden="1">{#N/A,#N/A,FALSE,"CCTV"}</definedName>
    <definedName name="rt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localSheetId="5" hidden="1">{#N/A,#N/A,FALSE,"sum";#N/A,#N/A,FALSE,"MARTV";#N/A,#N/A,FALSE,"APRTV"}</definedName>
    <definedName name="rter" hidden="1">{#N/A,#N/A,FALSE,"sum";#N/A,#N/A,FALSE,"MARTV";#N/A,#N/A,FALSE,"APRTV"}</definedName>
    <definedName name="rtht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localSheetId="5" hidden="1">{"Tages_D",#N/A,FALSE,"Tagesbericht";"Tages_PL",#N/A,FALSE,"Tagesbericht"}</definedName>
    <definedName name="rtrr" hidden="1">{"Tages_D",#N/A,FALSE,"Tagesbericht";"Tages_PL",#N/A,FALSE,"Tagesbericht"}</definedName>
    <definedName name="rtuetu" localSheetId="5" hidden="1">{#N/A,#N/A,FALSE,"CCTV"}</definedName>
    <definedName name="rtuetu" hidden="1">{#N/A,#N/A,FALSE,"CCTV"}</definedName>
    <definedName name="rtyweryer" localSheetId="5" hidden="1">{"index",#N/A,FALSE,"INDEX"}</definedName>
    <definedName name="rtyweryer" hidden="1">{"index",#N/A,FALSE,"INDEX"}</definedName>
    <definedName name="rtzert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localSheetId="5" hidden="1">{"'Sheet1'!$L$16"}</definedName>
    <definedName name="ru" hidden="1">{"'Sheet1'!$L$16"}</definedName>
    <definedName name="rung" hidden="1">"sci"</definedName>
    <definedName name="rwtszr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localSheetId="5" hidden="1">{#N/A,#N/A,FALSE,"CCTV"}</definedName>
    <definedName name="rwuswrtu" hidden="1">{#N/A,#N/A,FALSE,"CCTV"}</definedName>
    <definedName name="rwwrrww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localSheetId="5" hidden="1">{#N/A,#N/A,FALSE,"CCTV"}</definedName>
    <definedName name="rwyswy" hidden="1">{#N/A,#N/A,FALSE,"CCTV"}</definedName>
    <definedName name="ry" localSheetId="5" hidden="1">{"hilight1",#N/A,FALSE,"HILIGHT1"}</definedName>
    <definedName name="ry" hidden="1">{"hilight1",#N/A,FALSE,"HILIGHT1"}</definedName>
    <definedName name="ryswty" localSheetId="5" hidden="1">{#N/A,#N/A,FALSE,"CCTV"}</definedName>
    <definedName name="ryswty" hidden="1">{#N/A,#N/A,FALSE,"CCTV"}</definedName>
    <definedName name="rytiryi" localSheetId="5" hidden="1">{#N/A,#N/A,FALSE,"CCTV"}</definedName>
    <definedName name="rytiryi" hidden="1">{#N/A,#N/A,FALSE,"CCTV"}</definedName>
    <definedName name="S" localSheetId="5" hidden="1">{"'Sheet1'!$L$16"}</definedName>
    <definedName name="S" hidden="1">{"'Sheet1'!$L$16"}</definedName>
    <definedName name="sa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localSheetId="5" hidden="1">{"Teacher",#N/A,FALSE,"Summary";"Teacher",#N/A,FALSE,"Assumptions";"Teacher",#N/A,FALSE,"Buildup";"Teacher",#N/A,FALSE,"Financials";"Teacher",#N/A,FALSE,"Debt &amp; Other"}</definedName>
    <definedName name="sá" hidden="1">{"Teacher",#N/A,FALSE,"Summary";"Teacher",#N/A,FALSE,"Assumptions";"Teacher",#N/A,FALSE,"Buildup";"Teacher",#N/A,FALSE,"Financials";"Teacher",#N/A,FALSE,"Debt &amp; Other"}</definedName>
    <definedName name="sa0" localSheetId="5" hidden="1">{"'Sheet1'!$L$16"}</definedName>
    <definedName name="sa0" hidden="1">{"'Sheet1'!$L$16"}</definedName>
    <definedName name="sacas" localSheetId="5" hidden="1">{"'Bidfailed'!$D$2:$AB$14","'Bidfailed'!$D$4:$AB$4"}</definedName>
    <definedName name="sacas" hidden="1">{"'Bidfailed'!$D$2:$AB$14","'Bidfailed'!$D$4:$AB$4"}</definedName>
    <definedName name="sad" localSheetId="5" hidden="1">{0}</definedName>
    <definedName name="sad" hidden="1">{0}</definedName>
    <definedName name="sadasdsad" localSheetId="5" hidden="1">#REF!</definedName>
    <definedName name="sadasdsad" localSheetId="4" hidden="1">#REF!</definedName>
    <definedName name="sadasdsad" hidden="1">#REF!</definedName>
    <definedName name="sadf" localSheetId="5" hidden="1">{"hilight1",#N/A,FALSE,"HILIGHT1"}</definedName>
    <definedName name="sadf" hidden="1">{"hilight1",#N/A,FALSE,"HILIGHT1"}</definedName>
    <definedName name="sadfds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localSheetId="5" hidden="1">{#N/A,#N/A,FALSE,"CCTV"}</definedName>
    <definedName name="saf" hidden="1">{#N/A,#N/A,FALSE,"CCTV"}</definedName>
    <definedName name="SALES_TAX" localSheetId="5">#REF!</definedName>
    <definedName name="SALES_TAX" localSheetId="4">#REF!</definedName>
    <definedName name="SALES_TAX">#REF!</definedName>
    <definedName name="SANG" localSheetId="5" hidden="1">{#N/A,#N/A,FALSE,"sum";#N/A,#N/A,FALSE,"MARTV";#N/A,#N/A,FALSE,"APRTV"}</definedName>
    <definedName name="SANG" hidden="1">{#N/A,#N/A,FALSE,"sum";#N/A,#N/A,FALSE,"MARTV";#N/A,#N/A,FALSE,"APRTV"}</definedName>
    <definedName name="saø" localSheetId="5" hidden="1">{"'Sheet1'!$L$16"}</definedName>
    <definedName name="saø" hidden="1">{"'Sheet1'!$L$16"}</definedName>
    <definedName name="sáoaosao" localSheetId="5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hidden="1">2</definedName>
    <definedName name="SAPBEXsysID" hidden="1">"BWP"</definedName>
    <definedName name="SAPBEXwbID" hidden="1">"45TSOG149EJ5R0N9HDKCO6BXG"</definedName>
    <definedName name="SAPFuncF4Help" localSheetId="5" hidden="1">Main.SAPF4Help()</definedName>
    <definedName name="SAPFuncF4Help" localSheetId="4" hidden="1">Main.SAPF4Help()</definedName>
    <definedName name="SAPFuncF4Help" hidden="1">Main.SAPF4Help()</definedName>
    <definedName name="sas" localSheetId="5" hidden="1">{"'ตัวอย่าง'!$A$1:$O$21"}</definedName>
    <definedName name="sas" hidden="1">{"'ตัวอย่าง'!$A$1:$O$21"}</definedName>
    <definedName name="SC" localSheetId="5" hidden="1">{"'Sheet1'!$L$16"}</definedName>
    <definedName name="SC" hidden="1">{"'Sheet1'!$L$16"}</definedName>
    <definedName name="SCMT" localSheetId="5" hidden="1">{"'connew '!$C$40:$C$60"}</definedName>
    <definedName name="SCMT" hidden="1">{"'connew '!$C$40:$C$60"}</definedName>
    <definedName name="sd" localSheetId="5" hidden="1">{"cashflow",#N/A,FALSE,"CASHFLOW "}</definedName>
    <definedName name="sd" hidden="1">{"cashflow",#N/A,FALSE,"CASHFLOW "}</definedName>
    <definedName name="SD_ColRef_SLB" localSheetId="5">#REF!</definedName>
    <definedName name="SD_ColRef_SLB" localSheetId="4">#REF!</definedName>
    <definedName name="SD_ColRef_SLB">#REF!</definedName>
    <definedName name="SD_ColRefExtra_SLB" localSheetId="5">#REF!</definedName>
    <definedName name="SD_ColRefExtra_SLB" localSheetId="4">#REF!</definedName>
    <definedName name="SD_ColRefExtra_SLB">#REF!</definedName>
    <definedName name="SD_DT_GDT_TT2020" localSheetId="5">#REF!</definedName>
    <definedName name="SD_DT_GDT_TT2020" localSheetId="4">#REF!</definedName>
    <definedName name="SD_DT_GDT_TT2020">#REF!</definedName>
    <definedName name="SD_DT_Other" localSheetId="5">#REF!</definedName>
    <definedName name="SD_DT_Other" localSheetId="4">#REF!</definedName>
    <definedName name="SD_DT_Other">#REF!</definedName>
    <definedName name="SD_Period_DB" localSheetId="5">#REF!</definedName>
    <definedName name="SD_Period_DB" localSheetId="4">#REF!</definedName>
    <definedName name="SD_Period_DB">#REF!</definedName>
    <definedName name="SD_Period_NS" localSheetId="5">#REF!</definedName>
    <definedName name="SD_Period_NS" localSheetId="4">#REF!</definedName>
    <definedName name="SD_Period_NS">#REF!</definedName>
    <definedName name="SD_Period_TT" localSheetId="5">#REF!</definedName>
    <definedName name="SD_Period_TT" localSheetId="4">#REF!</definedName>
    <definedName name="SD_Period_TT">#REF!</definedName>
    <definedName name="SD_Period_TT2020" localSheetId="5">#REF!</definedName>
    <definedName name="SD_Period_TT2020" localSheetId="4">#REF!</definedName>
    <definedName name="SD_Period_TT2020">#REF!</definedName>
    <definedName name="SD_RowRef_DT" localSheetId="5">#REF!</definedName>
    <definedName name="SD_RowRef_DT" localSheetId="4">#REF!</definedName>
    <definedName name="SD_RowRef_DT">#REF!</definedName>
    <definedName name="SD_RowRef_SLB" localSheetId="5">#REF!</definedName>
    <definedName name="SD_RowRef_SLB" localSheetId="4">#REF!</definedName>
    <definedName name="SD_RowRef_SLB">#REF!</definedName>
    <definedName name="SD_RowRef_SX" localSheetId="5">#REF!</definedName>
    <definedName name="SD_RowRef_SX" localSheetId="4">#REF!</definedName>
    <definedName name="SD_RowRef_SX">#REF!</definedName>
    <definedName name="SD_SLB_GDT_DB" localSheetId="5">#REF!</definedName>
    <definedName name="SD_SLB_GDT_DB" localSheetId="4">#REF!</definedName>
    <definedName name="SD_SLB_GDT_DB">#REF!</definedName>
    <definedName name="SD_SLB_GDT_NS" localSheetId="5">#REF!</definedName>
    <definedName name="SD_SLB_GDT_NS" localSheetId="4">#REF!</definedName>
    <definedName name="SD_SLB_GDT_NS">#REF!</definedName>
    <definedName name="SD_SLB_GDT_TT" localSheetId="5">#REF!</definedName>
    <definedName name="SD_SLB_GDT_TT" localSheetId="4">#REF!</definedName>
    <definedName name="SD_SLB_GDT_TT">#REF!</definedName>
    <definedName name="SD_SLB_GDT_TT2020" localSheetId="5">#REF!</definedName>
    <definedName name="SD_SLB_GDT_TT2020" localSheetId="4">#REF!</definedName>
    <definedName name="SD_SLB_GDT_TT2020">#REF!</definedName>
    <definedName name="SD_SLSX_GDT_DB" localSheetId="5">#REF!</definedName>
    <definedName name="SD_SLSX_GDT_DB" localSheetId="4">#REF!</definedName>
    <definedName name="SD_SLSX_GDT_DB">#REF!</definedName>
    <definedName name="SD_SLSX_GDT_NS" localSheetId="5">#REF!</definedName>
    <definedName name="SD_SLSX_GDT_NS" localSheetId="4">#REF!</definedName>
    <definedName name="SD_SLSX_GDT_NS">#REF!</definedName>
    <definedName name="SD_SLSX_GDT_TT" localSheetId="5">#REF!</definedName>
    <definedName name="SD_SLSX_GDT_TT" localSheetId="4">#REF!</definedName>
    <definedName name="SD_SLSX_GDT_TT">#REF!</definedName>
    <definedName name="SD_SLSX_GDT_TT2020" localSheetId="5">#REF!</definedName>
    <definedName name="SD_SLSX_GDT_TT2020" localSheetId="4">#REF!</definedName>
    <definedName name="SD_SLSX_GDT_TT2020">#REF!</definedName>
    <definedName name="SD_SLSX_HHL" localSheetId="5">#REF!</definedName>
    <definedName name="SD_SLSX_HHL" localSheetId="4">#REF!</definedName>
    <definedName name="SD_SLSX_HHL">#REF!</definedName>
    <definedName name="SD_SLSX_HHL_DB" localSheetId="5">#REF!</definedName>
    <definedName name="SD_SLSX_HHL_DB" localSheetId="4">#REF!</definedName>
    <definedName name="SD_SLSX_HHL_DB">#REF!</definedName>
    <definedName name="SD_SLSX_HHL_NS" localSheetId="5">#REF!</definedName>
    <definedName name="SD_SLSX_HHL_NS" localSheetId="4">#REF!</definedName>
    <definedName name="SD_SLSX_HHL_NS">#REF!</definedName>
    <definedName name="SD_SLSX_HHL_TT" localSheetId="5">#REF!</definedName>
    <definedName name="SD_SLSX_HHL_TT" localSheetId="4">#REF!</definedName>
    <definedName name="SD_SLSX_HHL_TT">#REF!</definedName>
    <definedName name="SD_SLSX_HHL_TT2019" localSheetId="5">#REF!</definedName>
    <definedName name="SD_SLSX_HHL_TT2019" localSheetId="4">#REF!</definedName>
    <definedName name="SD_SLSX_HHL_TT2019">#REF!</definedName>
    <definedName name="SD_SLSX_HHL_TT2020" localSheetId="5">#REF!</definedName>
    <definedName name="SD_SLSX_HHL_TT2020" localSheetId="4">#REF!</definedName>
    <definedName name="SD_SLSX_HHL_TT2020">#REF!</definedName>
    <definedName name="SD_SLSX_Other" localSheetId="5">#REF!</definedName>
    <definedName name="SD_SLSX_Other" localSheetId="4">#REF!</definedName>
    <definedName name="SD_SLSX_Other">#REF!</definedName>
    <definedName name="SD_SLSX_Other_DB" localSheetId="5">#REF!</definedName>
    <definedName name="SD_SLSX_Other_DB" localSheetId="4">#REF!</definedName>
    <definedName name="SD_SLSX_Other_DB">#REF!</definedName>
    <definedName name="SD_SLSX_Other_NS" localSheetId="5">#REF!</definedName>
    <definedName name="SD_SLSX_Other_NS" localSheetId="4">#REF!</definedName>
    <definedName name="SD_SLSX_Other_NS">#REF!</definedName>
    <definedName name="SD_SLSX_Other_TT" localSheetId="5">#REF!</definedName>
    <definedName name="SD_SLSX_Other_TT" localSheetId="4">#REF!</definedName>
    <definedName name="SD_SLSX_Other_TT">#REF!</definedName>
    <definedName name="SD_SLSX_Other_TT2019" localSheetId="5">#REF!</definedName>
    <definedName name="SD_SLSX_Other_TT2019" localSheetId="4">#REF!</definedName>
    <definedName name="SD_SLSX_Other_TT2019">#REF!</definedName>
    <definedName name="SD_SLSX_Other_TT2020" localSheetId="5">#REF!</definedName>
    <definedName name="SD_SLSX_Other_TT2020" localSheetId="4">#REF!</definedName>
    <definedName name="SD_SLSX_Other_TT2020">#REF!</definedName>
    <definedName name="SD_Total_DT" localSheetId="5">#REF!</definedName>
    <definedName name="SD_Total_DT" localSheetId="4">#REF!</definedName>
    <definedName name="SD_Total_DT">#REF!</definedName>
    <definedName name="SD_Total_SLB" localSheetId="5">#REF!</definedName>
    <definedName name="SD_Total_SLB" localSheetId="4">#REF!</definedName>
    <definedName name="SD_Total_SLB">#REF!</definedName>
    <definedName name="SD_Total_SLSX" localSheetId="5">#REF!</definedName>
    <definedName name="SD_Total_SLSX" localSheetId="4">#REF!</definedName>
    <definedName name="SD_Total_SLSX">#REF!</definedName>
    <definedName name="SD_TotalDT_DB" localSheetId="5">#REF!</definedName>
    <definedName name="SD_TotalDT_DB" localSheetId="4">#REF!</definedName>
    <definedName name="SD_TotalDT_DB">#REF!</definedName>
    <definedName name="SD_TotalDT_NS" localSheetId="5">#REF!</definedName>
    <definedName name="SD_TotalDT_NS" localSheetId="4">#REF!</definedName>
    <definedName name="SD_TotalDT_NS">#REF!</definedName>
    <definedName name="SD_TotalDT_TT" localSheetId="5">#REF!</definedName>
    <definedName name="SD_TotalDT_TT" localSheetId="4">#REF!</definedName>
    <definedName name="SD_TotalDT_TT">#REF!</definedName>
    <definedName name="SD_TotalSLSX_HHL_DB" localSheetId="5">#REF!</definedName>
    <definedName name="SD_TotalSLSX_HHL_DB" localSheetId="4">#REF!</definedName>
    <definedName name="SD_TotalSLSX_HHL_DB">#REF!</definedName>
    <definedName name="SD_TotalSLSX_HHL_NS" localSheetId="5">#REF!</definedName>
    <definedName name="SD_TotalSLSX_HHL_NS" localSheetId="4">#REF!</definedName>
    <definedName name="SD_TotalSLSX_HHL_NS">#REF!</definedName>
    <definedName name="SD_TotalSLSX_HHL_TT" localSheetId="5">#REF!</definedName>
    <definedName name="SD_TotalSLSX_HHL_TT" localSheetId="4">#REF!</definedName>
    <definedName name="SD_TotalSLSX_HHL_TT">#REF!</definedName>
    <definedName name="SD_TotalSLSX_Other_DB" localSheetId="5">#REF!</definedName>
    <definedName name="SD_TotalSLSX_Other_DB" localSheetId="4">#REF!</definedName>
    <definedName name="SD_TotalSLSX_Other_DB">#REF!</definedName>
    <definedName name="SD_TotalSLSX_Other_NS" localSheetId="5">#REF!</definedName>
    <definedName name="SD_TotalSLSX_Other_NS" localSheetId="4">#REF!</definedName>
    <definedName name="SD_TotalSLSX_Other_NS">#REF!</definedName>
    <definedName name="SD_TotalSLSX_Other_TT" localSheetId="5">#REF!</definedName>
    <definedName name="SD_TotalSLSX_Other_TT" localSheetId="4">#REF!</definedName>
    <definedName name="SD_TotalSLSX_Other_TT">#REF!</definedName>
    <definedName name="SD_Value_SLB" localSheetId="5">#REF!</definedName>
    <definedName name="SD_Value_SLB" localSheetId="4">#REF!</definedName>
    <definedName name="SD_Value_SLB">#REF!</definedName>
    <definedName name="SDA" localSheetId="5" hidden="1">{"'매출계획'!$D$2"}</definedName>
    <definedName name="SDA" hidden="1">{"'매출계획'!$D$2"}</definedName>
    <definedName name="sdad" localSheetId="5" hidden="1">#REF!</definedName>
    <definedName name="sdad" localSheetId="4" hidden="1">#REF!</definedName>
    <definedName name="sdad" hidden="1">#REF!</definedName>
    <definedName name="sdad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localSheetId="5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a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localSheetId="5" hidden="1">{"revable",#N/A,FALSE,"REVABLE"}</definedName>
    <definedName name="sdasd" hidden="1">{"revable",#N/A,FALSE,"REVABLE"}</definedName>
    <definedName name="sdasdasd" localSheetId="5" hidden="1">#REF!</definedName>
    <definedName name="sdasdasd" localSheetId="4" hidden="1">#REF!</definedName>
    <definedName name="sdasdasd" hidden="1">#REF!</definedName>
    <definedName name="sdasdasds" localSheetId="5" hidden="1">#REF!</definedName>
    <definedName name="sdasdasds" localSheetId="4" hidden="1">#REF!</definedName>
    <definedName name="sdasdasds" hidden="1">#REF!</definedName>
    <definedName name="sdasfafdf" localSheetId="5" hidden="1">#REF!</definedName>
    <definedName name="sdasfafdf" localSheetId="4" hidden="1">#REF!</definedName>
    <definedName name="sdasfafdf" hidden="1">#REF!</definedName>
    <definedName name="sdd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localSheetId="5" hidden="1">{"'ตัวอย่าง'!$A$1:$O$21"}</definedName>
    <definedName name="sdf" hidden="1">{"'ตัวอย่าง'!$A$1:$O$21"}</definedName>
    <definedName name="sdfas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localSheetId="5" hidden="1">{#N/A,#N/A,FALSE,"SPLIT1";#N/A,#N/A,FALSE,"SPLIT2";#N/A,#N/A,FALSE,"TELEX";#N/A,#N/A,FALSE,"TELEX"}</definedName>
    <definedName name="sdfasdf" hidden="1">{#N/A,#N/A,FALSE,"SPLIT1";#N/A,#N/A,FALSE,"SPLIT2";#N/A,#N/A,FALSE,"TELEX";#N/A,#N/A,FALSE,"TELEX"}</definedName>
    <definedName name="sdfdsgdgs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localSheetId="5" hidden="1">{"'Sheet1'!$L$16"}</definedName>
    <definedName name="sdffgd" hidden="1">{"'Sheet1'!$L$16"}</definedName>
    <definedName name="SDFG" localSheetId="5" hidden="1">{"'매출계획'!$D$2"}</definedName>
    <definedName name="SDFG" hidden="1">{"'매출계획'!$D$2"}</definedName>
    <definedName name="sdfghj" localSheetId="5" hidden="1">#REF!</definedName>
    <definedName name="sdfghj" localSheetId="4" hidden="1">#REF!</definedName>
    <definedName name="sdfghj" hidden="1">#REF!</definedName>
    <definedName name="sdfghjk" localSheetId="5" hidden="1">#REF!</definedName>
    <definedName name="sdfghjk" localSheetId="4" hidden="1">#REF!</definedName>
    <definedName name="sdfghjk" hidden="1">#REF!</definedName>
    <definedName name="sdfghkjl" localSheetId="5" hidden="1">{"sales",#N/A,FALSE,"SALES"}</definedName>
    <definedName name="sdfghkjl" hidden="1">{"sales",#N/A,FALSE,"SALES"}</definedName>
    <definedName name="sdfs" localSheetId="5" hidden="1">{"'Sheet1'!$L$16"}</definedName>
    <definedName name="sdfs" hidden="1">{"'Sheet1'!$L$16"}</definedName>
    <definedName name="sdfw" localSheetId="5" hidden="1">{"'Sheet1'!$L$16"}</definedName>
    <definedName name="sdfw" hidden="1">{"'Sheet1'!$L$16"}</definedName>
    <definedName name="sd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localSheetId="5" hidden="1">{#N/A,#N/A,FALSE,"CCTV"}</definedName>
    <definedName name="SDGHADH" hidden="1">{#N/A,#N/A,FALSE,"CCTV"}</definedName>
    <definedName name="sdgrh" localSheetId="5" hidden="1">{"'Sheet1'!$L$16"}</definedName>
    <definedName name="sdgrh" hidden="1">{"'Sheet1'!$L$16"}</definedName>
    <definedName name="sdjh0et" localSheetId="5" hidden="1">{"'Sheet1'!$L$16"}</definedName>
    <definedName name="sdjh0et" hidden="1">{"'Sheet1'!$L$16"}</definedName>
    <definedName name="sdlfkdklsf" localSheetId="5" hidden="1">{"'Sheet1'!$L$16"}</definedName>
    <definedName name="sdlfkdklsf" hidden="1">{"'Sheet1'!$L$16"}</definedName>
    <definedName name="SDRH" localSheetId="5" hidden="1">{"'매출계획'!$D$2"}</definedName>
    <definedName name="SDRH" hidden="1">{"'매출계획'!$D$2"}</definedName>
    <definedName name="sdrhsdfh" localSheetId="5" hidden="1">{#N/A,#N/A,FALSE,"CCTV"}</definedName>
    <definedName name="sdrhsdfh" hidden="1">{#N/A,#N/A,FALSE,"CCTV"}</definedName>
    <definedName name="sdrjtdfyj" localSheetId="5" hidden="1">{#N/A,#N/A,FALSE,"CCTV"}</definedName>
    <definedName name="sdrjtdfyj" hidden="1">{#N/A,#N/A,FALSE,"CCTV"}</definedName>
    <definedName name="SDSA" localSheetId="5" hidden="1">{"hilight3",#N/A,FALSE,"HILIGHT3"}</definedName>
    <definedName name="SDSA" hidden="1">{"hilight3",#N/A,FALSE,"HILIGHT3"}</definedName>
    <definedName name="sdsd" localSheetId="5" hidden="1">{#N/A,#N/A,FALSE,"CCTV"}</definedName>
    <definedName name="sdsd" hidden="1">{#N/A,#N/A,FALSE,"CCTV"}</definedName>
    <definedName name="sdsdasd" localSheetId="5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localSheetId="5" hidden="1">{#N/A,#N/A,FALSE,"TAX COMPUTATION";#N/A,#N/A,FALSE,"TAX SCHEDULE";#N/A,#N/A,FALSE,"ADDITIONS";#N/A,#N/A,FALSE,"W &amp; T"}</definedName>
    <definedName name="se" hidden="1">{#N/A,#N/A,FALSE,"TAX COMPUTATION";#N/A,#N/A,FALSE,"TAX SCHEDULE";#N/A,#N/A,FALSE,"ADDITIONS";#N/A,#N/A,FALSE,"W &amp; T"}</definedName>
    <definedName name="SectionCode" localSheetId="5">#REF!</definedName>
    <definedName name="SectionCode" localSheetId="4">#REF!</definedName>
    <definedName name="SectionCode">#REF!</definedName>
    <definedName name="sedf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localSheetId="5" hidden="1">{#N/A,#N/A,FALSE,"Gesamt";#N/A,#N/A,FALSE,"Ree KG";#N/A,#N/A,FALSE,"Ree Inter";#N/A,#N/A,FALSE,"BTM";#N/A,#N/A,FALSE,"GmbH";#N/A,#N/A,FALSE,"Sonstige"}</definedName>
    <definedName name="sell" hidden="1">{#N/A,#N/A,FALSE,"Gesamt";#N/A,#N/A,FALSE,"Ree KG";#N/A,#N/A,FALSE,"Ree Inter";#N/A,#N/A,FALSE,"BTM";#N/A,#N/A,FALSE,"GmbH";#N/A,#N/A,FALSE,"Sonstige"}</definedName>
    <definedName name="Selling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localSheetId="5" hidden="1">{"'Sheet1'!$L$16"}</definedName>
    <definedName name="sen" hidden="1">{"'Sheet1'!$L$16"}</definedName>
    <definedName name="sen_1" localSheetId="5" hidden="1">{"'Sheet1'!$L$16"}</definedName>
    <definedName name="sen_1" hidden="1">{"'Sheet1'!$L$16"}</definedName>
    <definedName name="sencount" hidden="1">1</definedName>
    <definedName name="sep" localSheetId="5" hidden="1">{"level1",#N/A,FALSE,"1_LEV";"LEVEL1",#N/A,FALSE,"1_LEV"}</definedName>
    <definedName name="sep" hidden="1">{"level1",#N/A,FALSE,"1_LEV";"LEVEL1",#N/A,FALSE,"1_LEV"}</definedName>
    <definedName name="SEPFIX01" localSheetId="5" hidden="1">{"income",#N/A,FALSE,"INCOME"}</definedName>
    <definedName name="SEPFIX01" hidden="1">{"income",#N/A,FALSE,"INCOME"}</definedName>
    <definedName name="SERG" localSheetId="5" hidden="1">{"'매출계획'!$D$2"}</definedName>
    <definedName name="SERG" hidden="1">{"'매출계획'!$D$2"}</definedName>
    <definedName name="sergewrgtw" localSheetId="5" hidden="1">{"'Sheet1'!$L$16"}</definedName>
    <definedName name="sergewrgtw" hidden="1">{"'Sheet1'!$L$16"}</definedName>
    <definedName name="Settlement_pending_on_account_of_recovery" localSheetId="5">'[25]pending settlement'!#REF!</definedName>
    <definedName name="Settlement_pending_on_account_of_recovery" localSheetId="4">'[25]pending settlement'!#REF!</definedName>
    <definedName name="Settlement_pending_on_account_of_recovery">'[25]pending settlement'!#REF!</definedName>
    <definedName name="SEVE" localSheetId="5" hidden="1">#REF!</definedName>
    <definedName name="SEVE" localSheetId="4" hidden="1">#REF!</definedName>
    <definedName name="SEVE" hidden="1">#REF!</definedName>
    <definedName name="seysety" localSheetId="5" hidden="1">{"'Sheet1'!$L$16"}</definedName>
    <definedName name="seysety" hidden="1">{"'Sheet1'!$L$16"}</definedName>
    <definedName name="sf" localSheetId="5" hidden="1">{"'Sheet1'!$L$16"}</definedName>
    <definedName name="sf" hidden="1">{"'Sheet1'!$L$16"}</definedName>
    <definedName name="sfd" localSheetId="5" hidden="1">{"hilight3",#N/A,FALSE,"HILIGHT3"}</definedName>
    <definedName name="sfd" hidden="1">{"hilight3",#N/A,FALSE,"HILIGHT3"}</definedName>
    <definedName name="sfdf" localSheetId="5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localSheetId="5" hidden="1">{"'ตัวอย่าง'!$A$1:$O$21"}</definedName>
    <definedName name="sfe" hidden="1">{"'ตัวอย่าง'!$A$1:$O$21"}</definedName>
    <definedName name="sff" localSheetId="5" hidden="1">{"'Sheet1'!$L$16"}</definedName>
    <definedName name="sff" hidden="1">{"'Sheet1'!$L$16"}</definedName>
    <definedName name="sf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localSheetId="5" hidden="1">{"'매출계획'!$D$2"}</definedName>
    <definedName name="SFGDF" hidden="1">{"'매출계획'!$D$2"}</definedName>
    <definedName name="sfgrgew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localSheetId="5" hidden="1">{#N/A,#N/A,FALSE,"Gesamt";#N/A,#N/A,FALSE,"Ree KG";#N/A,#N/A,FALSE,"Ree Inter";#N/A,#N/A,FALSE,"BTM";#N/A,#N/A,FALSE,"GmbH";#N/A,#N/A,FALSE,"Sonstige"}</definedName>
    <definedName name="sfr" hidden="1">{#N/A,#N/A,FALSE,"Gesamt";#N/A,#N/A,FALSE,"Ree KG";#N/A,#N/A,FALSE,"Ree Inter";#N/A,#N/A,FALSE,"BTM";#N/A,#N/A,FALSE,"GmbH";#N/A,#N/A,FALSE,"Sonstige"}</definedName>
    <definedName name="sfsf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localSheetId="5" hidden="1">{"'Sheet1'!$L$16"}</definedName>
    <definedName name="sfsgsfhg" hidden="1">{"'Sheet1'!$L$16"}</definedName>
    <definedName name="sfutsu" localSheetId="5" hidden="1">{#N/A,#N/A,FALSE,"CCTV"}</definedName>
    <definedName name="sfutsu" hidden="1">{#N/A,#N/A,FALSE,"CCTV"}</definedName>
    <definedName name="SG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localSheetId="5" hidden="1">#REF!</definedName>
    <definedName name="sgfg" localSheetId="4" hidden="1">#REF!</definedName>
    <definedName name="sgfg" hidden="1">#REF!</definedName>
    <definedName name="SGR" localSheetId="5" hidden="1">{"'매출계획'!$D$2"}</definedName>
    <definedName name="SGR" hidden="1">{"'매출계획'!$D$2"}</definedName>
    <definedName name="sgsg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localSheetId="5" hidden="1">{#N/A,#N/A,FALSE,"CCTV"}</definedName>
    <definedName name="ShA" hidden="1">{#N/A,#N/A,FALSE,"CCTV"}</definedName>
    <definedName name="shas" localSheetId="5" hidden="1">{"F3 detail",#N/A,FALSE,"F1";"F3 Presentation",#N/A,FALSE,"F3 "}</definedName>
    <definedName name="shas" hidden="1">{"F3 detail",#N/A,FALSE,"F1";"F3 Presentation",#N/A,FALSE,"F3 "}</definedName>
    <definedName name="sheet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5" hidden="1">{"balance",#N/A,FALSE,"BALANCE"}</definedName>
    <definedName name="sheet1" hidden="1">{"balance",#N/A,FALSE,"BALANCE"}</definedName>
    <definedName name="Sheet1_BNE_MESSAGES" localSheetId="5" hidden="1">#REF!</definedName>
    <definedName name="Sheet1_BNE_MESSAGES" localSheetId="4" hidden="1">#REF!</definedName>
    <definedName name="Sheet1_BNE_MESSAGES" hidden="1">#REF!</definedName>
    <definedName name="Sheet1_BNE_MESSAGES_HIDDEN" localSheetId="5" hidden="1">#REF!</definedName>
    <definedName name="Sheet1_BNE_MESSAGES_HIDDEN" localSheetId="4" hidden="1">#REF!</definedName>
    <definedName name="Sheet1_BNE_MESSAGES_HIDDEN" hidden="1">#REF!</definedName>
    <definedName name="Sheet1_BNE_MESSAGES_LAMP" localSheetId="5" hidden="1">#REF!</definedName>
    <definedName name="Sheet1_BNE_MESSAGES_LAMP" localSheetId="4" hidden="1">#REF!</definedName>
    <definedName name="Sheet1_BNE_MESSAGES_LAMP" hidden="1">#REF!</definedName>
    <definedName name="Sheet1_BNE_UPLOAD" localSheetId="5" hidden="1">#REF!</definedName>
    <definedName name="Sheet1_BNE_UPLOAD" localSheetId="4" hidden="1">#REF!</definedName>
    <definedName name="Sheet1_BNE_UPLOAD" hidden="1">#REF!</definedName>
    <definedName name="Sheet1_GL_INTERFACE_ACCOUNTED_CR" localSheetId="5" hidden="1">#REF!</definedName>
    <definedName name="Sheet1_GL_INTERFACE_ACCOUNTED_CR" localSheetId="4" hidden="1">#REF!</definedName>
    <definedName name="Sheet1_GL_INTERFACE_ACCOUNTED_CR" hidden="1">#REF!</definedName>
    <definedName name="Sheet1_GL_INTERFACE_ACCOUNTED_DR" localSheetId="5" hidden="1">#REF!</definedName>
    <definedName name="Sheet1_GL_INTERFACE_ACCOUNTED_DR" localSheetId="4" hidden="1">#REF!</definedName>
    <definedName name="Sheet1_GL_INTERFACE_ACCOUNTED_DR" hidden="1">#REF!</definedName>
    <definedName name="Sheet1_GL_INTERFACE_ACCOUNTING_DATE" localSheetId="5" hidden="1">#REF!</definedName>
    <definedName name="Sheet1_GL_INTERFACE_ACCOUNTING_DATE" localSheetId="4" hidden="1">#REF!</definedName>
    <definedName name="Sheet1_GL_INTERFACE_ACCOUNTING_DATE" hidden="1">#REF!</definedName>
    <definedName name="Sheet1_GL_INTERFACE_ACTUAL_FLAG" localSheetId="5" hidden="1">#REF!</definedName>
    <definedName name="Sheet1_GL_INTERFACE_ACTUAL_FLAG" localSheetId="4" hidden="1">#REF!</definedName>
    <definedName name="Sheet1_GL_INTERFACE_ACTUAL_FLAG" hidden="1">#REF!</definedName>
    <definedName name="Sheet1_GL_INTERFACE_CONTEXT" localSheetId="5" hidden="1">#REF!</definedName>
    <definedName name="Sheet1_GL_INTERFACE_CONTEXT" localSheetId="4" hidden="1">#REF!</definedName>
    <definedName name="Sheet1_GL_INTERFACE_CONTEXT" hidden="1">#REF!</definedName>
    <definedName name="Sheet1_GL_INTERFACE_CURRENCY_CODE" localSheetId="5" hidden="1">#REF!</definedName>
    <definedName name="Sheet1_GL_INTERFACE_CURRENCY_CODE" localSheetId="4" hidden="1">#REF!</definedName>
    <definedName name="Sheet1_GL_INTERFACE_CURRENCY_CODE" hidden="1">#REF!</definedName>
    <definedName name="Sheet1_GL_INTERFACE_CURRENCY_CONVERSION_DATE" localSheetId="5" hidden="1">#REF!</definedName>
    <definedName name="Sheet1_GL_INTERFACE_CURRENCY_CONVERSION_DATE" localSheetId="4" hidden="1">#REF!</definedName>
    <definedName name="Sheet1_GL_INTERFACE_CURRENCY_CONVERSION_DATE" hidden="1">#REF!</definedName>
    <definedName name="Sheet1_GL_INTERFACE_CURRENCY_CONVERSION_RATE" localSheetId="5" hidden="1">#REF!</definedName>
    <definedName name="Sheet1_GL_INTERFACE_CURRENCY_CONVERSION_RATE" localSheetId="4" hidden="1">#REF!</definedName>
    <definedName name="Sheet1_GL_INTERFACE_CURRENCY_CONVERSION_RATE" hidden="1">#REF!</definedName>
    <definedName name="Sheet1_GL_INTERFACE_DATABASE" localSheetId="5" hidden="1">#REF!</definedName>
    <definedName name="Sheet1_GL_INTERFACE_DATABASE" localSheetId="4" hidden="1">#REF!</definedName>
    <definedName name="Sheet1_GL_INTERFACE_DATABASE" hidden="1">#REF!</definedName>
    <definedName name="Sheet1_GL_INTERFACE_ENTERED_CR" localSheetId="5" hidden="1">#REF!</definedName>
    <definedName name="Sheet1_GL_INTERFACE_ENTERED_CR" localSheetId="4" hidden="1">#REF!</definedName>
    <definedName name="Sheet1_GL_INTERFACE_ENTERED_CR" hidden="1">#REF!</definedName>
    <definedName name="Sheet1_GL_INTERFACE_ENTERED_DR" localSheetId="5" hidden="1">#REF!</definedName>
    <definedName name="Sheet1_GL_INTERFACE_ENTERED_DR" localSheetId="4" hidden="1">#REF!</definedName>
    <definedName name="Sheet1_GL_INTERFACE_ENTERED_DR" hidden="1">#REF!</definedName>
    <definedName name="Sheet1_GL_INTERFACE_JOURNAL_LINE_DFF" localSheetId="5" hidden="1">#REF!</definedName>
    <definedName name="Sheet1_GL_INTERFACE_JOURNAL_LINE_DFF" localSheetId="4" hidden="1">#REF!</definedName>
    <definedName name="Sheet1_GL_INTERFACE_JOURNAL_LINE_DFF" hidden="1">#REF!</definedName>
    <definedName name="Sheet1_GL_INTERFACE_REFERENCE1" localSheetId="5" hidden="1">#REF!</definedName>
    <definedName name="Sheet1_GL_INTERFACE_REFERENCE1" localSheetId="4" hidden="1">#REF!</definedName>
    <definedName name="Sheet1_GL_INTERFACE_REFERENCE1" hidden="1">#REF!</definedName>
    <definedName name="Sheet1_GL_INTERFACE_REFERENCE10" localSheetId="5" hidden="1">#REF!</definedName>
    <definedName name="Sheet1_GL_INTERFACE_REFERENCE10" localSheetId="4" hidden="1">#REF!</definedName>
    <definedName name="Sheet1_GL_INTERFACE_REFERENCE10" hidden="1">#REF!</definedName>
    <definedName name="Sheet1_GL_INTERFACE_REFERENCE2" localSheetId="5" hidden="1">#REF!</definedName>
    <definedName name="Sheet1_GL_INTERFACE_REFERENCE2" localSheetId="4" hidden="1">#REF!</definedName>
    <definedName name="Sheet1_GL_INTERFACE_REFERENCE2" hidden="1">#REF!</definedName>
    <definedName name="Sheet1_GL_INTERFACE_REFERENCE25" localSheetId="5" hidden="1">#REF!</definedName>
    <definedName name="Sheet1_GL_INTERFACE_REFERENCE25" localSheetId="4" hidden="1">#REF!</definedName>
    <definedName name="Sheet1_GL_INTERFACE_REFERENCE25" hidden="1">#REF!</definedName>
    <definedName name="Sheet1_GL_INTERFACE_REFERENCE4" localSheetId="5" hidden="1">#REF!</definedName>
    <definedName name="Sheet1_GL_INTERFACE_REFERENCE4" localSheetId="4" hidden="1">#REF!</definedName>
    <definedName name="Sheet1_GL_INTERFACE_REFERENCE4" hidden="1">#REF!</definedName>
    <definedName name="Sheet1_GL_INTERFACE_REFERENCE5" localSheetId="5" hidden="1">#REF!</definedName>
    <definedName name="Sheet1_GL_INTERFACE_REFERENCE5" localSheetId="4" hidden="1">#REF!</definedName>
    <definedName name="Sheet1_GL_INTERFACE_REFERENCE5" hidden="1">#REF!</definedName>
    <definedName name="Sheet1_GL_INTERFACE_SEGMENT1" localSheetId="5" hidden="1">#REF!</definedName>
    <definedName name="Sheet1_GL_INTERFACE_SEGMENT1" localSheetId="4" hidden="1">#REF!</definedName>
    <definedName name="Sheet1_GL_INTERFACE_SEGMENT1" hidden="1">#REF!</definedName>
    <definedName name="Sheet1_GL_INTERFACE_SEGMENT2" localSheetId="5" hidden="1">#REF!</definedName>
    <definedName name="Sheet1_GL_INTERFACE_SEGMENT2" localSheetId="4" hidden="1">#REF!</definedName>
    <definedName name="Sheet1_GL_INTERFACE_SEGMENT2" hidden="1">#REF!</definedName>
    <definedName name="Sheet1_GL_INTERFACE_SEGMENT3" localSheetId="5" hidden="1">#REF!</definedName>
    <definedName name="Sheet1_GL_INTERFACE_SEGMENT3" localSheetId="4" hidden="1">#REF!</definedName>
    <definedName name="Sheet1_GL_INTERFACE_SEGMENT3" hidden="1">#REF!</definedName>
    <definedName name="Sheet1_GL_INTERFACE_SEGMENT4" localSheetId="5" hidden="1">#REF!</definedName>
    <definedName name="Sheet1_GL_INTERFACE_SEGMENT4" localSheetId="4" hidden="1">#REF!</definedName>
    <definedName name="Sheet1_GL_INTERFACE_SEGMENT4" hidden="1">#REF!</definedName>
    <definedName name="Sheet1_GL_INTERFACE_SEGMENT5" localSheetId="5" hidden="1">#REF!</definedName>
    <definedName name="Sheet1_GL_INTERFACE_SEGMENT5" localSheetId="4" hidden="1">#REF!</definedName>
    <definedName name="Sheet1_GL_INTERFACE_SEGMENT5" hidden="1">#REF!</definedName>
    <definedName name="Sheet1_GL_INTERFACE_SEGMENT6" localSheetId="5" hidden="1">#REF!</definedName>
    <definedName name="Sheet1_GL_INTERFACE_SEGMENT6" localSheetId="4" hidden="1">#REF!</definedName>
    <definedName name="Sheet1_GL_INTERFACE_SEGMENT6" hidden="1">#REF!</definedName>
    <definedName name="Sheet1_GL_INTERFACE_SEGMENT7" localSheetId="5" hidden="1">#REF!</definedName>
    <definedName name="Sheet1_GL_INTERFACE_SEGMENT7" localSheetId="4" hidden="1">#REF!</definedName>
    <definedName name="Sheet1_GL_INTERFACE_SEGMENT7" hidden="1">#REF!</definedName>
    <definedName name="Sheet1_GL_INTERFACE_SEGMENT8" localSheetId="5" hidden="1">#REF!</definedName>
    <definedName name="Sheet1_GL_INTERFACE_SEGMENT8" localSheetId="4" hidden="1">#REF!</definedName>
    <definedName name="Sheet1_GL_INTERFACE_SEGMENT8" hidden="1">#REF!</definedName>
    <definedName name="Sheet1_GL_INTERFACE_SET_OF_BOOKS_ID" localSheetId="5" hidden="1">#REF!</definedName>
    <definedName name="Sheet1_GL_INTERFACE_SET_OF_BOOKS_ID" localSheetId="4" hidden="1">#REF!</definedName>
    <definedName name="Sheet1_GL_INTERFACE_SET_OF_BOOKS_ID" hidden="1">#REF!</definedName>
    <definedName name="Sheet1_GL_INTERFACE_USER_CURRENCY_CONVERSION_TYPE" localSheetId="5" hidden="1">#REF!</definedName>
    <definedName name="Sheet1_GL_INTERFACE_USER_CURRENCY_CONVERSION_TYPE" localSheetId="4" hidden="1">#REF!</definedName>
    <definedName name="Sheet1_GL_INTERFACE_USER_CURRENCY_CONVERSION_TYPE" hidden="1">#REF!</definedName>
    <definedName name="Sheet1_GL_INTERFACE_USER_JE_CATEGORY_NAME" localSheetId="5" hidden="1">#REF!</definedName>
    <definedName name="Sheet1_GL_INTERFACE_USER_JE_CATEGORY_NAME" localSheetId="4" hidden="1">#REF!</definedName>
    <definedName name="Sheet1_GL_INTERFACE_USER_JE_CATEGORY_NAME" hidden="1">#REF!</definedName>
    <definedName name="Sheet1_GL_INTERFACE_USER_JE_SOURCE_NAME" localSheetId="5" hidden="1">#REF!</definedName>
    <definedName name="Sheet1_GL_INTERFACE_USER_JE_SOURCE_NAME" localSheetId="4" hidden="1">#REF!</definedName>
    <definedName name="Sheet1_GL_INTERFACE_USER_JE_SOURCE_NAME" hidden="1">#REF!</definedName>
    <definedName name="Sheet2" localSheetId="5" hidden="1">{#N/A,#N/A,FALSE,"CCTV"}</definedName>
    <definedName name="Sheet2" hidden="1">{#N/A,#N/A,FALSE,"CCTV"}</definedName>
    <definedName name="sheetnew" localSheetId="5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localSheetId="5" hidden="1">#REF!</definedName>
    <definedName name="Show.Acct.Update.Warning" localSheetId="4" hidden="1">#REF!</definedName>
    <definedName name="Show.Acct.Update.Warning" hidden="1">#REF!</definedName>
    <definedName name="Show.MDB.Update.Warning" localSheetId="5" hidden="1">#REF!</definedName>
    <definedName name="Show.MDB.Update.Warning" localSheetId="4" hidden="1">#REF!</definedName>
    <definedName name="Show.MDB.Update.Warning" hidden="1">#REF!</definedName>
    <definedName name="shs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localSheetId="5" hidden="1">#REF!</definedName>
    <definedName name="sklfhkls" localSheetId="4" hidden="1">#REF!</definedName>
    <definedName name="sklfhkls" hidden="1">#REF!</definedName>
    <definedName name="SL" localSheetId="5" hidden="1">{"Profit",#N/A,FALSE,"Cisco4500";"Capital",#N/A,FALSE,"Cisco4500"}</definedName>
    <definedName name="SL" hidden="1">{"Profit",#N/A,FALSE,"Cisco4500";"Capital",#N/A,FALSE,"Cisco4500"}</definedName>
    <definedName name="SMT_Owner_1" localSheetId="5">#REF!</definedName>
    <definedName name="SMT_Owner_1" localSheetId="4">#REF!</definedName>
    <definedName name="SMT_Owner_1">#REF!</definedName>
    <definedName name="snohdtsp" localSheetId="5" hidden="1">{"'Sheet1'!$L$16"}</definedName>
    <definedName name="snohdtsp" hidden="1">{"'Sheet1'!$L$16"}</definedName>
    <definedName name="sns" localSheetId="5" hidden="1">{"'Bidfailed'!$D$2:$AB$14","'Bidfailed'!$D$4:$AB$4"}</definedName>
    <definedName name="sns" hidden="1">{"'Bidfailed'!$D$2:$AB$14","'Bidfailed'!$D$4:$AB$4"}</definedName>
    <definedName name="solver_adj" localSheetId="5" hidden="1">[5]DIL4!#REF!</definedName>
    <definedName name="solver_adj" localSheetId="4" hidden="1">[5]DIL4!#REF!</definedName>
    <definedName name="solver_adj" hidden="1">[5]DIL4!#REF!</definedName>
    <definedName name="solver_lhs1" localSheetId="5" hidden="1">[5]DIL4!#REF!</definedName>
    <definedName name="solver_lhs1" localSheetId="4" hidden="1">[5]DIL4!#REF!</definedName>
    <definedName name="solver_lhs1" hidden="1">[5]DIL4!#REF!</definedName>
    <definedName name="solver_lin" hidden="1">0</definedName>
    <definedName name="solver_num" hidden="1">1</definedName>
    <definedName name="solver_opt" localSheetId="5" hidden="1">[5]DIL4!#REF!</definedName>
    <definedName name="solver_opt" localSheetId="4" hidden="1">[5]DIL4!#REF!</definedName>
    <definedName name="solver_opt" hidden="1">[5]DIL4!#REF!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localSheetId="5" hidden="1">#REF!</definedName>
    <definedName name="sor" localSheetId="4" hidden="1">#REF!</definedName>
    <definedName name="sor" hidden="1">#REF!</definedName>
    <definedName name="SpecialPrice" localSheetId="5" hidden="1">#REF!</definedName>
    <definedName name="SpecialPrice" localSheetId="4" hidden="1">#REF!</definedName>
    <definedName name="SpecialPrice" hidden="1">#REF!</definedName>
    <definedName name="sr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localSheetId="5" hidden="1">{#N/A,#N/A,FALSE,"CCTV"}</definedName>
    <definedName name="SRGDSG" hidden="1">{#N/A,#N/A,FALSE,"CCTV"}</definedName>
    <definedName name="srgsaergfsergaerg" localSheetId="5" hidden="1">{"month_a",#N/A,FALSE,"ACTUALS";"ytd_a",#N/A,FALSE,"ACTUALS"}</definedName>
    <definedName name="srgsaergfsergaerg" hidden="1">{"month_a",#N/A,FALSE,"ACTUALS";"ytd_a",#N/A,FALSE,"ACTUALS"}</definedName>
    <definedName name="srr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localSheetId="5" hidden="1">{#N/A,#N/A,FALSE,"CCTV"}</definedName>
    <definedName name="sruysrt" hidden="1">{#N/A,#N/A,FALSE,"CCTV"}</definedName>
    <definedName name="SS" localSheetId="5" hidden="1">{"'Sheet1'!$L$16"}</definedName>
    <definedName name="SS" hidden="1">{"'Sheet1'!$L$16"}</definedName>
    <definedName name="sss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5" hidden="1">{"'ตัวอย่าง'!$A$1:$O$21"}</definedName>
    <definedName name="ssss" hidden="1">{"'ตัวอย่าง'!$A$1:$O$21"}</definedName>
    <definedName name="ssssdsd" localSheetId="5" hidden="1">#REF!</definedName>
    <definedName name="ssssdsd" localSheetId="4" hidden="1">#REF!</definedName>
    <definedName name="ssssdsd" hidden="1">#REF!</definedName>
    <definedName name="sssss" localSheetId="5" hidden="1">{"'ตัวอย่าง'!$A$1:$O$21"}</definedName>
    <definedName name="sssss" hidden="1">{"'ตัวอย่าง'!$A$1:$O$21"}</definedName>
    <definedName name="sssssss" localSheetId="5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localSheetId="5" hidden="1">{"'Sheet1'!$L$16"}</definedName>
    <definedName name="ssssssss" hidden="1">{"'Sheet1'!$L$16"}</definedName>
    <definedName name="ssxsdcdsfcdsf" localSheetId="5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ffing2" localSheetId="5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localSheetId="5" hidden="1">{"Jan-June",#N/A,FALSE,"Sheet4";"Jul-Dec",#N/A,FALSE,"Sheet4"}</definedName>
    <definedName name="STOCK" hidden="1">{"Jan-June",#N/A,FALSE,"Sheet4";"Jul-Dec",#N/A,FALSE,"Sheet4"}</definedName>
    <definedName name="stock1" localSheetId="5" hidden="1">{"Jan-June",#N/A,FALSE,"Sheet4";"Jul-Dec",#N/A,FALSE,"Sheet4"}</definedName>
    <definedName name="stock1" hidden="1">{"Jan-June",#N/A,FALSE,"Sheet4";"Jul-Dec",#N/A,FALSE,"Sheet4"}</definedName>
    <definedName name="Subandit" localSheetId="5" hidden="1">{"'ตัวอย่าง'!$A$1:$O$21"}</definedName>
    <definedName name="Subandit" hidden="1">{"'ตัวอย่าง'!$A$1:$O$21"}</definedName>
    <definedName name="Sum_Ce48_Ref" localSheetId="5">#REF!</definedName>
    <definedName name="Sum_Ce48_Ref" localSheetId="4">#REF!</definedName>
    <definedName name="Sum_Ce48_Ref">#REF!</definedName>
    <definedName name="Sum_Ce48_SLSX" localSheetId="5">#REF!</definedName>
    <definedName name="Sum_Ce48_SLSX" localSheetId="4">#REF!</definedName>
    <definedName name="Sum_Ce48_SLSX">#REF!</definedName>
    <definedName name="Sum_TCdata" localSheetId="5">#REF!</definedName>
    <definedName name="Sum_TCdata" localSheetId="4">#REF!</definedName>
    <definedName name="Sum_TCdata">#REF!</definedName>
    <definedName name="summary" localSheetId="5">#REF!</definedName>
    <definedName name="summary" localSheetId="4">#REF!</definedName>
    <definedName name="summary">#REF!</definedName>
    <definedName name="Summary_Of_Activities__July_2000" localSheetId="5">#REF!</definedName>
    <definedName name="Summary_Of_Activities__July_2000" localSheetId="4">#REF!</definedName>
    <definedName name="Summary_Of_Activities__July_2000">#REF!</definedName>
    <definedName name="SuperUser" hidden="1">FALSE</definedName>
    <definedName name="svsv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localSheetId="5" hidden="1">{#N/A,#N/A,FALSE,"CCTV"}</definedName>
    <definedName name="swtgzd" hidden="1">{#N/A,#N/A,FALSE,"CCTV"}</definedName>
    <definedName name="swww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localSheetId="5" hidden="1">{"'매출계획'!$D$2"}</definedName>
    <definedName name="SY" hidden="1">{"'매출계획'!$D$2"}</definedName>
    <definedName name="SZ" localSheetId="5" hidden="1">{"'매출계획'!$D$2"}</definedName>
    <definedName name="SZ" hidden="1">{"'매출계획'!$D$2"}</definedName>
    <definedName name="szdhxgfj" localSheetId="5" hidden="1">{"F3 Presentation",#N/A,FALSE,"F3 ";"F3 detail",#N/A,FALSE,"F3 "}</definedName>
    <definedName name="szdhxgfj" hidden="1">{"F3 Presentation",#N/A,FALSE,"F3 ";"F3 detail",#N/A,FALSE,"F3 "}</definedName>
    <definedName name="t" localSheetId="5" hidden="1">{"F3 Presentation",#N/A,FALSE,"F3 ";"F3 detail",#N/A,FALSE,"F3 "}</definedName>
    <definedName name="t" hidden="1">{"F3 Presentation",#N/A,FALSE,"F3 ";"F3 detail",#N/A,FALSE,"F3 "}</definedName>
    <definedName name="t_1" localSheetId="5" hidden="1">{"'Sheet1'!$L$16"}</definedName>
    <definedName name="t_1" hidden="1">{"'Sheet1'!$L$16"}</definedName>
    <definedName name="t12ki1" localSheetId="5" hidden="1">{"'Sheet1'!$L$16"}</definedName>
    <definedName name="t12ki1" hidden="1">{"'Sheet1'!$L$16"}</definedName>
    <definedName name="ta" localSheetId="5" hidden="1">{"'Sheet1'!$L$16"}</definedName>
    <definedName name="ta" hidden="1">{"'Sheet1'!$L$16"}</definedName>
    <definedName name="taisan" localSheetId="5" hidden="1">{"'Sheet1'!$L$16"}</definedName>
    <definedName name="taisan" hidden="1">{"'Sheet1'!$L$16"}</definedName>
    <definedName name="tamluong" localSheetId="5" hidden="1">{"'Sheet1'!$L$16"}</definedName>
    <definedName name="tamluong" hidden="1">{"'Sheet1'!$L$16"}</definedName>
    <definedName name="Tan" localSheetId="5" hidden="1">{"'Sheet1'!$L$16"}</definedName>
    <definedName name="Tan" hidden="1">{"'Sheet1'!$L$16"}</definedName>
    <definedName name="tast" localSheetId="5" hidden="1">{"'connew '!$C$40:$C$60"}</definedName>
    <definedName name="tast" hidden="1">{"'connew '!$C$40:$C$60"}</definedName>
    <definedName name="tax" localSheetId="5" hidden="1">{"level1",#N/A,FALSE,"1_LEV";"LEVEL1",#N/A,FALSE,"1_LEV"}</definedName>
    <definedName name="tax" hidden="1">{"level1",#N/A,FALSE,"1_LEV";"LEVEL1",#N/A,FALSE,"1_LEV"}</definedName>
    <definedName name="tbl_ProdInfo" localSheetId="5" hidden="1">#REF!</definedName>
    <definedName name="tbl_ProdInfo" localSheetId="4" hidden="1">#REF!</definedName>
    <definedName name="tbl_ProdInfo" hidden="1">#REF!</definedName>
    <definedName name="TCI_Carton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localSheetId="5" hidden="1">{#N/A,#N/A,FALSE,"CCTV"}</definedName>
    <definedName name="tdutyu" hidden="1">{#N/A,#N/A,FALSE,"CCTV"}</definedName>
    <definedName name="tedd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localSheetId="5" hidden="1">#REF!</definedName>
    <definedName name="temm" localSheetId="4" hidden="1">#REF!</definedName>
    <definedName name="temm" hidden="1">#REF!</definedName>
    <definedName name="Temp_2" localSheetId="5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localSheetId="5" hidden="1">{"'ตัวอย่าง'!$A$1:$O$21"}</definedName>
    <definedName name="test" hidden="1">{"'ตัวอย่าง'!$A$1:$O$21"}</definedName>
    <definedName name="test77" localSheetId="5" hidden="1">{"'ตัวอย่าง'!$A$1:$O$21"}</definedName>
    <definedName name="test77" hidden="1">{"'ตัวอย่าง'!$A$1:$O$21"}</definedName>
    <definedName name="test8888" localSheetId="5" hidden="1">{"'ตัวอย่าง'!$A$1:$O$21"}</definedName>
    <definedName name="test8888" hidden="1">{"'ตัวอย่าง'!$A$1:$O$21"}</definedName>
    <definedName name="testa" localSheetId="5" hidden="1">{"'ตัวอย่าง'!$A$1:$O$21"}</definedName>
    <definedName name="testa" hidden="1">{"'ตัวอย่าง'!$A$1:$O$21"}</definedName>
    <definedName name="tew" localSheetId="5" hidden="1">{#N/A,#N/A,FALSE,"Gesamt";#N/A,#N/A,FALSE,"Ree KG";#N/A,#N/A,FALSE,"Ree Inter";#N/A,#N/A,FALSE,"BTM";#N/A,#N/A,FALSE,"GmbH";#N/A,#N/A,FALSE,"Sonstige"}</definedName>
    <definedName name="tew" hidden="1">{#N/A,#N/A,FALSE,"Gesamt";#N/A,#N/A,FALSE,"Ree KG";#N/A,#N/A,FALSE,"Ree Inter";#N/A,#N/A,FALSE,"BTM";#N/A,#N/A,FALSE,"GmbH";#N/A,#N/A,FALSE,"Sonstige"}</definedName>
    <definedName name="TextRefCopyRangeCount" hidden="1">5</definedName>
    <definedName name="TH" localSheetId="5" hidden="1">{"'Sheet1'!$L$16"}</definedName>
    <definedName name="TH" hidden="1">{"'Sheet1'!$L$16"}</definedName>
    <definedName name="TH_1" localSheetId="5" hidden="1">{"'Sheet1'!$L$16"}</definedName>
    <definedName name="TH_1" hidden="1">{"'Sheet1'!$L$16"}</definedName>
    <definedName name="tha" localSheetId="5" hidden="1">{"'Sheet1'!$L$16"}</definedName>
    <definedName name="tha" hidden="1">{"'Sheet1'!$L$16"}</definedName>
    <definedName name="THAN" localSheetId="5" hidden="1">{"'Sheet1'!$L$16"}</definedName>
    <definedName name="THAN" hidden="1">{"'Sheet1'!$L$16"}</definedName>
    <definedName name="thang10" localSheetId="5" hidden="1">{"'Sheet1'!$L$16"}</definedName>
    <definedName name="thang10" hidden="1">{"'Sheet1'!$L$16"}</definedName>
    <definedName name="Thang11" localSheetId="5" hidden="1">{#N/A,#N/A,TRUE,"BT M200 da 10x20"}</definedName>
    <definedName name="Thang11" hidden="1">{#N/A,#N/A,TRUE,"BT M200 da 10x20"}</definedName>
    <definedName name="thang13" localSheetId="5" hidden="1">{"'Sheet1'!$L$16"}</definedName>
    <definedName name="thang13" hidden="1">{"'Sheet1'!$L$16"}</definedName>
    <definedName name="thang13_1" localSheetId="5" hidden="1">{"'Sheet1'!$L$16"}</definedName>
    <definedName name="thang13_1" hidden="1">{"'Sheet1'!$L$16"}</definedName>
    <definedName name="thanh" localSheetId="5" hidden="1">{"'Sheet1'!$L$16"}</definedName>
    <definedName name="thanh" hidden="1">{"'Sheet1'!$L$16"}</definedName>
    <definedName name="thanhthao" localSheetId="5" hidden="1">{#N/A,#N/A,FALSE,"Chi tiÆt"}</definedName>
    <definedName name="thanhthao" hidden="1">{#N/A,#N/A,FALSE,"Chi tiÆt"}</definedName>
    <definedName name="Thao" localSheetId="5" hidden="1">{"'Sheet1'!$L$16"}</definedName>
    <definedName name="Thao" hidden="1">{"'Sheet1'!$L$16"}</definedName>
    <definedName name="THCP2" localSheetId="5" hidden="1">{"'Sheet1'!$L$16"}</definedName>
    <definedName name="THCP2" hidden="1">{"'Sheet1'!$L$16"}</definedName>
    <definedName name="THCPCTD" localSheetId="5" hidden="1">{"'Sheet1'!$L$16"}</definedName>
    <definedName name="THCPCTD" hidden="1">{"'Sheet1'!$L$16"}</definedName>
    <definedName name="thephinh" localSheetId="5" hidden="1">{#N/A,#N/A,FALSE,"CCTV"}</definedName>
    <definedName name="thephinh" hidden="1">{#N/A,#N/A,FALSE,"CCTV"}</definedName>
    <definedName name="Thepsan" localSheetId="5" hidden="1">{"'Sheet1'!$L$16"}</definedName>
    <definedName name="Thepsan" hidden="1">{"'Sheet1'!$L$16"}</definedName>
    <definedName name="thepsan2" localSheetId="5" hidden="1">{"'Sheet1'!$L$16"}</definedName>
    <definedName name="thepsan2" hidden="1">{"'Sheet1'!$L$16"}</definedName>
    <definedName name="thieu" localSheetId="5" hidden="1">{#N/A,#N/A,FALSE,"m66";#N/A,#N/A,FALSE,"m66"}</definedName>
    <definedName name="thieu" hidden="1">{#N/A,#N/A,FALSE,"m66";#N/A,#N/A,FALSE,"m66"}</definedName>
    <definedName name="THJ" localSheetId="5" hidden="1">{"'매출계획'!$D$2"}</definedName>
    <definedName name="THJ" hidden="1">{"'매출계획'!$D$2"}</definedName>
    <definedName name="THKP7YT" localSheetId="5" hidden="1">{"'Sheet1'!$L$16"}</definedName>
    <definedName name="THKP7YT" hidden="1">{"'Sheet1'!$L$16"}</definedName>
    <definedName name="thpp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localSheetId="5" hidden="1">{"'Sheet1'!$L$16"}</definedName>
    <definedName name="thu" hidden="1">{"'Sheet1'!$L$16"}</definedName>
    <definedName name="thu_1" localSheetId="5" hidden="1">{"'Sheet1'!$L$16"}</definedName>
    <definedName name="thu_1" hidden="1">{"'Sheet1'!$L$16"}</definedName>
    <definedName name="thu_1_1" localSheetId="5" hidden="1">{"'Sheet1'!$L$16"}</definedName>
    <definedName name="thu_1_1" hidden="1">{"'Sheet1'!$L$16"}</definedName>
    <definedName name="thu_1_1_1" localSheetId="5" hidden="1">{"'Sheet1'!$L$16"}</definedName>
    <definedName name="thu_1_1_1" hidden="1">{"'Sheet1'!$L$16"}</definedName>
    <definedName name="thu_1_1_2" localSheetId="5" hidden="1">{"'Sheet1'!$L$16"}</definedName>
    <definedName name="thu_1_1_2" hidden="1">{"'Sheet1'!$L$16"}</definedName>
    <definedName name="thu_1_2" localSheetId="5" hidden="1">{"'Sheet1'!$L$16"}</definedName>
    <definedName name="thu_1_2" hidden="1">{"'Sheet1'!$L$16"}</definedName>
    <definedName name="thu_1_3" localSheetId="5" hidden="1">{"'Sheet1'!$L$16"}</definedName>
    <definedName name="thu_1_3" hidden="1">{"'Sheet1'!$L$16"}</definedName>
    <definedName name="thu_2" localSheetId="5" hidden="1">{"'Sheet1'!$L$16"}</definedName>
    <definedName name="thu_2" hidden="1">{"'Sheet1'!$L$16"}</definedName>
    <definedName name="thu_2_1" localSheetId="5" hidden="1">{"'Sheet1'!$L$16"}</definedName>
    <definedName name="thu_2_1" hidden="1">{"'Sheet1'!$L$16"}</definedName>
    <definedName name="thu_2_2" localSheetId="5" hidden="1">{"'Sheet1'!$L$16"}</definedName>
    <definedName name="thu_2_2" hidden="1">{"'Sheet1'!$L$16"}</definedName>
    <definedName name="thu_3" localSheetId="5" hidden="1">{"'Sheet1'!$L$16"}</definedName>
    <definedName name="thu_3" hidden="1">{"'Sheet1'!$L$16"}</definedName>
    <definedName name="thu_4" localSheetId="5" hidden="1">{"'Sheet1'!$L$16"}</definedName>
    <definedName name="thu_4" hidden="1">{"'Sheet1'!$L$16"}</definedName>
    <definedName name="thu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localSheetId="5" hidden="1">{"'Sheet1'!$L$16"}</definedName>
    <definedName name="thut" hidden="1">{"'Sheet1'!$L$16"}</definedName>
    <definedName name="thut_1" localSheetId="5" hidden="1">{"'Sheet1'!$L$16"}</definedName>
    <definedName name="thut_1" hidden="1">{"'Sheet1'!$L$16"}</definedName>
    <definedName name="thut_1_1" localSheetId="5" hidden="1">{"'Sheet1'!$L$16"}</definedName>
    <definedName name="thut_1_1" hidden="1">{"'Sheet1'!$L$16"}</definedName>
    <definedName name="thut_1_1_1" localSheetId="5" hidden="1">{"'Sheet1'!$L$16"}</definedName>
    <definedName name="thut_1_1_1" hidden="1">{"'Sheet1'!$L$16"}</definedName>
    <definedName name="thut_1_1_2" localSheetId="5" hidden="1">{"'Sheet1'!$L$16"}</definedName>
    <definedName name="thut_1_1_2" hidden="1">{"'Sheet1'!$L$16"}</definedName>
    <definedName name="thut_1_2" localSheetId="5" hidden="1">{"'Sheet1'!$L$16"}</definedName>
    <definedName name="thut_1_2" hidden="1">{"'Sheet1'!$L$16"}</definedName>
    <definedName name="thut_1_3" localSheetId="5" hidden="1">{"'Sheet1'!$L$16"}</definedName>
    <definedName name="thut_1_3" hidden="1">{"'Sheet1'!$L$16"}</definedName>
    <definedName name="thut_2" localSheetId="5" hidden="1">{"'Sheet1'!$L$16"}</definedName>
    <definedName name="thut_2" hidden="1">{"'Sheet1'!$L$16"}</definedName>
    <definedName name="thut_2_1" localSheetId="5" hidden="1">{"'Sheet1'!$L$16"}</definedName>
    <definedName name="thut_2_1" hidden="1">{"'Sheet1'!$L$16"}</definedName>
    <definedName name="thut_2_2" localSheetId="5" hidden="1">{"'Sheet1'!$L$16"}</definedName>
    <definedName name="thut_2_2" hidden="1">{"'Sheet1'!$L$16"}</definedName>
    <definedName name="thut_3" localSheetId="5" hidden="1">{"'Sheet1'!$L$16"}</definedName>
    <definedName name="thut_3" hidden="1">{"'Sheet1'!$L$16"}</definedName>
    <definedName name="thut_4" localSheetId="5" hidden="1">{"'Sheet1'!$L$16"}</definedName>
    <definedName name="thut_4" hidden="1">{"'Sheet1'!$L$16"}</definedName>
    <definedName name="thuy" localSheetId="5" hidden="1">{#N/A,#N/A,FALSE,"Chung"}</definedName>
    <definedName name="thuy" hidden="1">{#N/A,#N/A,FALSE,"Chung"}</definedName>
    <definedName name="thuy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localSheetId="5" hidden="1">{"'Sheet1'!$L$16"}</definedName>
    <definedName name="thvt" hidden="1">{"'Sheet1'!$L$16"}</definedName>
    <definedName name="TI" hidden="1">#N/A</definedName>
    <definedName name="Tien" localSheetId="5" hidden="1">{"'Sheet1'!$L$16"}</definedName>
    <definedName name="Tien" hidden="1">{"'Sheet1'!$L$16"}</definedName>
    <definedName name="tio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localSheetId="5" hidden="1">{"'Sheet1'!$L$16"}</definedName>
    <definedName name="TM" hidden="1">{"'Sheet1'!$L$16"}</definedName>
    <definedName name="TOANCAU" localSheetId="5" hidden="1">{"'Sheet1'!$L$16"}</definedName>
    <definedName name="TOANCAU" hidden="1">{"'Sheet1'!$L$16"}</definedName>
    <definedName name="Tonghop" localSheetId="5" hidden="1">{"'Sheet1'!$L$16"}</definedName>
    <definedName name="Tonghop" hidden="1">{"'Sheet1'!$L$16"}</definedName>
    <definedName name="TOUT" localSheetId="5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localSheetId="5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localSheetId="5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localSheetId="5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localSheetId="5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localSheetId="5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localSheetId="5" hidden="1">{"'Sheet1'!$L$16"}</definedName>
    <definedName name="TQ" hidden="1">{"'Sheet1'!$L$16"}</definedName>
    <definedName name="TQM_SK" localSheetId="5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localSheetId="5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localSheetId="5" hidden="1">{"'Sheet1'!$L$16"}</definedName>
    <definedName name="TRANG" hidden="1">{"'Sheet1'!$L$16"}</definedName>
    <definedName name="tre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localSheetId="5" hidden="1">{"'Sheet1'!$L$16"}</definedName>
    <definedName name="truc" hidden="1">{"'Sheet1'!$L$16"}</definedName>
    <definedName name="trygmdgdh" localSheetId="5" hidden="1">{"'Sheet1'!$L$16"}</definedName>
    <definedName name="trygmdgdh" hidden="1">{"'Sheet1'!$L$16"}</definedName>
    <definedName name="tryijtryi" localSheetId="5" hidden="1">{"'Sheet1'!$L$16"}</definedName>
    <definedName name="tryijtryi" hidden="1">{"'Sheet1'!$L$16"}</definedName>
    <definedName name="ts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localSheetId="5" hidden="1">{"'Sheet1'!$L$16"}</definedName>
    <definedName name="TSCDVH" hidden="1">{"'Sheet1'!$L$16"}</definedName>
    <definedName name="tt" localSheetId="5" hidden="1">{"'connew '!$C$40:$C$60"}</definedName>
    <definedName name="tt" hidden="1">{"'connew '!$C$40:$C$60"}</definedName>
    <definedName name="TTE" localSheetId="5" hidden="1">{"'ตัวอย่าง'!$A$1:$O$21"}</definedName>
    <definedName name="TTE" hidden="1">{"'ตัวอย่าง'!$A$1:$O$21"}</definedName>
    <definedName name="ttr" localSheetId="5" hidden="1">{#N/A,#N/A,FALSE,"CCTV"}</definedName>
    <definedName name="ttr" hidden="1">{#N/A,#N/A,FALSE,"CCTV"}</definedName>
    <definedName name="ttrr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localSheetId="5" hidden="1">{"'Sheet1'!$L$16"}</definedName>
    <definedName name="TTSC" hidden="1">{"'Sheet1'!$L$16"}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eer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localSheetId="5" hidden="1">#REF!</definedName>
    <definedName name="tttt" localSheetId="4" hidden="1">#REF!</definedName>
    <definedName name="tttt" hidden="1">#REF!</definedName>
    <definedName name="ttttt" localSheetId="5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localSheetId="5" hidden="1">{"'Sheet1'!$L$16"}</definedName>
    <definedName name="tuanh" hidden="1">{"'Sheet1'!$L$16"}</definedName>
    <definedName name="tupi" localSheetId="5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localSheetId="5" hidden="1">{"'Sheet1'!$L$16"}</definedName>
    <definedName name="tuy" hidden="1">{"'Sheet1'!$L$16"}</definedName>
    <definedName name="TUYET" localSheetId="5" hidden="1">{"'Sheet1'!$L$16"}</definedName>
    <definedName name="TUYET" hidden="1">{"'Sheet1'!$L$16"}</definedName>
    <definedName name="tuyps" localSheetId="5" hidden="1">{"'Sheet1'!$L$16"}</definedName>
    <definedName name="tuyps" hidden="1">{"'Sheet1'!$L$16"}</definedName>
    <definedName name="tw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localSheetId="5" hidden="1">#REF!</definedName>
    <definedName name="Types" localSheetId="4" hidden="1">#REF!</definedName>
    <definedName name="Types" hidden="1">#REF!</definedName>
    <definedName name="tziuo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localSheetId="5" hidden="1">#REF!</definedName>
    <definedName name="U30_FSA" localSheetId="4" hidden="1">#REF!</definedName>
    <definedName name="U30_FSA" hidden="1">#REF!</definedName>
    <definedName name="ưeg" localSheetId="5" hidden="1">{"F3 detail",#N/A,FALSE,"F1";"F3 Presentation",#N/A,FALSE,"F3 "}</definedName>
    <definedName name="ưeg" hidden="1">{"F3 detail",#N/A,FALSE,"F1";"F3 Presentation",#N/A,FALSE,"F3 "}</definedName>
    <definedName name="UGVG" localSheetId="5" hidden="1">{#N/A,#N/A,TRUE,"BT M200 da 10x20"}</definedName>
    <definedName name="UGVG" hidden="1">{#N/A,#N/A,TRUE,"BT M200 da 10x20"}</definedName>
    <definedName name="UH" localSheetId="5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ühjkgh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 localSheetId="5">#REF!</definedName>
    <definedName name="unfair_comp" localSheetId="4">#REF!</definedName>
    <definedName name="unfair_comp">#REF!</definedName>
    <definedName name="ungT3" localSheetId="5" hidden="1">{"'Sheet1'!$L$16"}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'[16]Single Measure Analysis'!$P$22</definedName>
    <definedName name="unsafe" localSheetId="5" hidden="1">{"'TOTAL'!$A$1:$AG$20"}</definedName>
    <definedName name="unsafe" hidden="1">{"'TOTAL'!$A$1:$AG$20"}</definedName>
    <definedName name="uöuö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localSheetId="5" hidden="1">{"PRINT_EST",#N/A,FALSE,"ESTMON"}</definedName>
    <definedName name="utu" hidden="1">{"PRINT_EST",#N/A,FALSE,"ESTMON"}</definedName>
    <definedName name="ututu" localSheetId="5" hidden="1">{"index",#N/A,FALSE,"INDEX"}</definedName>
    <definedName name="ututu" hidden="1">{"index",#N/A,FALSE,"INDEX"}</definedName>
    <definedName name="uu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localSheetId="5" hidden="1">{#N/A,#N/A,FALSE,"CCTV"}</definedName>
    <definedName name="UUU" hidden="1">{#N/A,#N/A,FALSE,"CCTV"}</definedName>
    <definedName name="üüü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localSheetId="5" hidden="1">{"'Sheet1'!$L$16"}</definedName>
    <definedName name="uy" hidden="1">{"'Sheet1'!$L$16"}</definedName>
    <definedName name="uyen" localSheetId="5" hidden="1">{#N/A,#N/A,TRUE,"BT M200 da 10x20"}</definedName>
    <definedName name="uyen" hidden="1">{#N/A,#N/A,TRUE,"BT M200 da 10x20"}</definedName>
    <definedName name="UYI" localSheetId="5" hidden="1">{#N/A,#N/A,FALSE,"CCTV"}</definedName>
    <definedName name="UYI" hidden="1">{#N/A,#N/A,FALSE,"CCTV"}</definedName>
    <definedName name="UYT" localSheetId="5" hidden="1">{#N/A,#N/A,FALSE,"CCTV"}</definedName>
    <definedName name="UYT" hidden="1">{#N/A,#N/A,FALSE,"CCTV"}</definedName>
    <definedName name="uyyy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localSheetId="5" hidden="1">{"'매출계획'!$D$2"}</definedName>
    <definedName name="V" hidden="1">{"'매출계획'!$D$2"}</definedName>
    <definedName name="va" localSheetId="5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localSheetId="5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n" localSheetId="5" hidden="1">{"'Sheet1'!$L$16"}</definedName>
    <definedName name="van" hidden="1">{"'Sheet1'!$L$16"}</definedName>
    <definedName name="VATinput" localSheetId="5" hidden="1">{"Jan-June",#N/A,FALSE,"Sheet4";"Jul-Dec",#N/A,FALSE,"Sheet4"}</definedName>
    <definedName name="VATinput" hidden="1">{"Jan-June",#N/A,FALSE,"Sheet4";"Jul-Dec",#N/A,FALSE,"Sheet4"}</definedName>
    <definedName name="VATM" localSheetId="5" hidden="1">{"'Sheet1'!$L$16"}</definedName>
    <definedName name="VATM" hidden="1">{"'Sheet1'!$L$16"}</definedName>
    <definedName name="vay" localSheetId="5" hidden="1">{"'Sheet1'!$L$16"}</definedName>
    <definedName name="vay" hidden="1">{"'Sheet1'!$L$16"}</definedName>
    <definedName name="VB" localSheetId="5" hidden="1">{"'매출계획'!$D$2"}</definedName>
    <definedName name="VB" hidden="1">{"'매출계획'!$D$2"}</definedName>
    <definedName name="vbjfgh" localSheetId="5" hidden="1">{#N/A,#N/A,FALSE,"CCTV"}</definedName>
    <definedName name="vbjfgh" hidden="1">{#N/A,#N/A,FALSE,"CCTV"}</definedName>
    <definedName name="vbx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localSheetId="5" hidden="1">{"'Sheet1'!$L$16"}</definedName>
    <definedName name="vccv" hidden="1">{"'Sheet1'!$L$16"}</definedName>
    <definedName name="VCMX" localSheetId="5" hidden="1">{#N/A,#N/A,FALSE,"CCTV"}</definedName>
    <definedName name="VCMX" hidden="1">{#N/A,#N/A,FALSE,"CCTV"}</definedName>
    <definedName name="vcoto" localSheetId="5" hidden="1">{"'Sheet1'!$L$16"}</definedName>
    <definedName name="vcoto" hidden="1">{"'Sheet1'!$L$16"}</definedName>
    <definedName name="vcvvvv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localSheetId="5" hidden="1">{#N/A,#N/A,FALSE,"CCTV"}</definedName>
    <definedName name="vfhkfhk" hidden="1">{#N/A,#N/A,FALSE,"CCTV"}</definedName>
    <definedName name="vfrd" localSheetId="5" hidden="1">{"'ตัวอย่าง'!$A$1:$O$21"}</definedName>
    <definedName name="vfrd" hidden="1">{"'ตัวอย่าง'!$A$1:$O$21"}</definedName>
    <definedName name="vg" localSheetId="5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khjfg" localSheetId="5" hidden="1">{#N/A,#N/A,FALSE,"Chi tiÆt"}</definedName>
    <definedName name="vgkhjfg" hidden="1">{#N/A,#N/A,FALSE,"Chi tiÆt"}</definedName>
    <definedName name="vhjh" localSheetId="5" hidden="1">{#N/A,#N/A,FALSE,"CCTV"}</definedName>
    <definedName name="vhjh" hidden="1">{#N/A,#N/A,FALSE,"CCTV"}</definedName>
    <definedName name="vhxfj" localSheetId="5" hidden="1">{"'Sheet1'!$L$16"}</definedName>
    <definedName name="vhxfj" hidden="1">{"'Sheet1'!$L$16"}</definedName>
    <definedName name="VIET" localSheetId="5" hidden="1">{#N/A,#N/A,FALSE,"m66";#N/A,#N/A,FALSE,"m66"}</definedName>
    <definedName name="VIET" hidden="1">{#N/A,#N/A,FALSE,"m66";#N/A,#N/A,FALSE,"m66"}</definedName>
    <definedName name="vmh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localSheetId="5" hidden="1">{#N/A,#N/A,FALSE,"CCTV"}</definedName>
    <definedName name="VNJ" hidden="1">{#N/A,#N/A,FALSE,"CCTV"}</definedName>
    <definedName name="VRERE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localSheetId="5" hidden="1">{"'Feb 99'!$A$1:$G$30"}</definedName>
    <definedName name="VRP" hidden="1">{"'Feb 99'!$A$1:$G$30"}</definedName>
    <definedName name="VS" localSheetId="5" hidden="1">{"'매출계획'!$D$2"}</definedName>
    <definedName name="VS" hidden="1">{"'매출계획'!$D$2"}</definedName>
    <definedName name="vssvsvsv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localSheetId="5" hidden="1">#REF!</definedName>
    <definedName name="VTM_1" localSheetId="4" hidden="1">#REF!</definedName>
    <definedName name="VTM_1" hidden="1">#REF!</definedName>
    <definedName name="VTM_2" localSheetId="5" hidden="1">#REF!</definedName>
    <definedName name="VTM_2" localSheetId="4" hidden="1">#REF!</definedName>
    <definedName name="VTM_2" hidden="1">#REF!</definedName>
    <definedName name="VTM_3" localSheetId="5" hidden="1">#REF!</definedName>
    <definedName name="VTM_3" localSheetId="4" hidden="1">#REF!</definedName>
    <definedName name="VTM_3" hidden="1">#REF!</definedName>
    <definedName name="VTN_8888" localSheetId="5" hidden="1">#REF!</definedName>
    <definedName name="VTN_8888" localSheetId="4" hidden="1">#REF!</definedName>
    <definedName name="VTN_8888" hidden="1">#REF!</definedName>
    <definedName name="vv" localSheetId="5" hidden="1">{"cashflow",#N/A,FALSE,"CASHFLOW "}</definedName>
    <definedName name="vv" hidden="1">{"cashflow",#N/A,FALSE,"CASHFLOW "}</definedName>
    <definedName name="VVV" localSheetId="5" hidden="1">{"USD",#N/A,FALSE,"Dec 96 "}</definedName>
    <definedName name="VVV" hidden="1">{"USD",#N/A,FALSE,"Dec 96 "}</definedName>
    <definedName name="VVVV" localSheetId="5" hidden="1">{#N/A,#N/A,FALSE,"CCTV"}</definedName>
    <definedName name="VVVV" hidden="1">{#N/A,#N/A,FALSE,"CCTV"}</definedName>
    <definedName name="VVVVVV" localSheetId="5" hidden="1">{"'Sheet1'!$L$16"}</definedName>
    <definedName name="VVVVVV" hidden="1">{"'Sheet1'!$L$16"}</definedName>
    <definedName name="vvvvvvv" localSheetId="5" hidden="1">{#N/A,#N/A,FALSE,"CCTV"}</definedName>
    <definedName name="vvvvvvv" hidden="1">{#N/A,#N/A,FALSE,"CCTV"}</definedName>
    <definedName name="w" localSheetId="5" hidden="1">{#N/A,#N/A,FALSE,"Sheet2"}</definedName>
    <definedName name="w" hidden="1">{#N/A,#N/A,FALSE,"Sheet2"}</definedName>
    <definedName name="wdeqkwrjqekr" localSheetId="5" hidden="1">#REF!</definedName>
    <definedName name="wdeqkwrjqekr" localSheetId="4" hidden="1">#REF!</definedName>
    <definedName name="wdeqkwrjqekr" hidden="1">#REF!</definedName>
    <definedName name="wdwq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localSheetId="5" hidden="1">#REF!</definedName>
    <definedName name="we" localSheetId="4" hidden="1">#REF!</definedName>
    <definedName name="we" hidden="1">#REF!</definedName>
    <definedName name="WEE" localSheetId="5" hidden="1">{"'ตัวอย่าง'!$A$1:$O$21"}</definedName>
    <definedName name="WEE" hidden="1">{"'ตัวอย่าง'!$A$1:$O$21"}</definedName>
    <definedName name="wef" localSheetId="5" hidden="1">{"'Feb 99'!$A$1:$G$30"}</definedName>
    <definedName name="wef" hidden="1">{"'Feb 99'!$A$1:$G$30"}</definedName>
    <definedName name="wegewg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localSheetId="5" hidden="1">{"'Sheet1'!$L$16"}</definedName>
    <definedName name="wegrg" hidden="1">{"'Sheet1'!$L$16"}</definedName>
    <definedName name="weqewq" localSheetId="5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rtsw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localSheetId="5" hidden="1">{"'Sheet1'!$L$16"}</definedName>
    <definedName name="werwer" hidden="1">{"'Sheet1'!$L$16"}</definedName>
    <definedName name="WERWERWER" localSheetId="5" hidden="1">#REF!</definedName>
    <definedName name="WERWERWER" localSheetId="4" hidden="1">#REF!</definedName>
    <definedName name="WERWERWER" hidden="1">#REF!</definedName>
    <definedName name="wetew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localSheetId="5" hidden="1">{"'Sheet1'!$L$16"}</definedName>
    <definedName name="wewrtw" hidden="1">{"'Sheet1'!$L$16"}</definedName>
    <definedName name="wf" localSheetId="5" hidden="1">[26]T.Tinh!#REF!</definedName>
    <definedName name="wf" localSheetId="4" hidden="1">[26]T.Tinh!#REF!</definedName>
    <definedName name="wf" hidden="1">[26]T.Tinh!#REF!</definedName>
    <definedName name="wha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localSheetId="5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localSheetId="5" hidden="1">{#N/A,#N/A,FALSE,"Sheet1"}</definedName>
    <definedName name="woan" hidden="1">{#N/A,#N/A,FALSE,"Sheet1"}</definedName>
    <definedName name="WP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localSheetId="5" hidden="1">#REF!</definedName>
    <definedName name="wqe" localSheetId="4" hidden="1">#REF!</definedName>
    <definedName name="wqe" hidden="1">#REF!</definedName>
    <definedName name="wqeqe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localSheetId="5" hidden="1">{"'ตัวอย่าง'!$A$1:$O$21"}</definedName>
    <definedName name="wqwqw" hidden="1">{"'ตัวอย่าง'!$A$1:$O$21"}</definedName>
    <definedName name="wr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localSheetId="5" hidden="1">{"Tages_D",#N/A,FALSE,"Tagesbericht";"Tages_PL",#N/A,FALSE,"Tagesbericht"}</definedName>
    <definedName name="wrg.Tages" hidden="1">{"Tages_D",#N/A,FALSE,"Tagesbericht";"Tages_PL",#N/A,FALSE,"Tagesbericht"}</definedName>
    <definedName name="WRITE" localSheetId="5" hidden="1">{#N/A,#N/A,FALSE,"CCTV"}</definedName>
    <definedName name="WRITE" hidden="1">{#N/A,#N/A,FALSE,"CCTV"}</definedName>
    <definedName name="wrn" localSheetId="5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5" hidden="1">{#N/A,#N/A,FALSE,"Sheet2"}</definedName>
    <definedName name="wrn.1." hidden="1">{#N/A,#N/A,FALSE,"Sheet2"}</definedName>
    <definedName name="wrn.1_lev." localSheetId="5" hidden="1">{"level1",#N/A,FALSE,"1_LEV";"LEVEL1",#N/A,FALSE,"1_LEV"}</definedName>
    <definedName name="wrn.1_lev." hidden="1">{"level1",#N/A,FALSE,"1_LEV";"LEVEL1",#N/A,FALSE,"1_LEV"}</definedName>
    <definedName name="wrn.1_levbt." localSheetId="5" hidden="1">{"lev1bt",#N/A,FALSE,"1_LEVB-T"}</definedName>
    <definedName name="wrn.1_levbt." hidden="1">{"lev1bt",#N/A,FALSE,"1_LEVB-T"}</definedName>
    <definedName name="wrn.2_levmon." localSheetId="5" hidden="1">{"lev2mon",#N/A,FALSE,"2_levmon"}</definedName>
    <definedName name="wrn.2_levmon." hidden="1">{"lev2mon",#N/A,FALSE,"2_levmon"}</definedName>
    <definedName name="wrn.2_levmonbt." localSheetId="5" hidden="1">{"lev2monbt",#N/A,FALSE,"2_levmonB-T"}</definedName>
    <definedName name="wrn.2_levmonbt." hidden="1">{"lev2monbt",#N/A,FALSE,"2_levmonB-T"}</definedName>
    <definedName name="wrn.2_levytd." localSheetId="5" hidden="1">{"lev2ytd",#N/A,FALSE,"2_LEVYTD"}</definedName>
    <definedName name="wrn.2_levytd." hidden="1">{"lev2ytd",#N/A,FALSE,"2_LEVYTD"}</definedName>
    <definedName name="wrn.2_levytdbt." localSheetId="5" hidden="1">{"lev2tytbt",#N/A,FALSE,"2_LEVYTDB-T"}</definedName>
    <definedName name="wrn.2_levytdbt." hidden="1">{"lev2tytbt",#N/A,FALSE,"2_LEVYTDB-T"}</definedName>
    <definedName name="wrn.3LEVEL." localSheetId="5" hidden="1">{#N/A,#N/A,FALSE,"SALE1";#N/A,#N/A,FALSE,"DOMEST1";#N/A,#N/A,FALSE,"PD";#N/A,#N/A,FALSE,"PRODUCT";#N/A,#N/A,FALSE,"PDFAC1";#N/A,#N/A,FALSE,"3LEVEL1";#N/A,#N/A,FALSE,"3LVYTD09"}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localSheetId="5" hidden="1">{"Profit",#N/A,FALSE,"448k";"Capital",#N/A,FALSE,"448k"}</definedName>
    <definedName name="wrn.448k." hidden="1">{"Profit",#N/A,FALSE,"448k";"Capital",#N/A,FALSE,"448k"}</definedName>
    <definedName name="wrn.4500_4P." localSheetId="5" hidden="1">{"Profit",#N/A,FALSE,"4500(4P)";"Capital",#N/A,FALSE,"4500(4P)"}</definedName>
    <definedName name="wrn.4500_4P." hidden="1">{"Profit",#N/A,FALSE,"4500(4P)";"Capital",#N/A,FALSE,"4500(4P)"}</definedName>
    <definedName name="wrn.4500_6P." localSheetId="5" hidden="1">{"Profit",#N/A,FALSE,"4500(6P)";"Capital",#N/A,FALSE,"4500(6P)"}</definedName>
    <definedName name="wrn.4500_6P." hidden="1">{"Profit",#N/A,FALSE,"4500(6P)";"Capital",#N/A,FALSE,"4500(6P)"}</definedName>
    <definedName name="wrn.4500_8P." localSheetId="5" hidden="1">{"Profit",#N/A,FALSE,"4500(8P)";"Capital",#N/A,FALSE,"4500(8P)"}</definedName>
    <definedName name="wrn.4500_8P." hidden="1">{"Profit",#N/A,FALSE,"4500(8P)";"Capital",#N/A,FALSE,"4500(8P)"}</definedName>
    <definedName name="wrn.800bsh." localSheetId="5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localSheetId="5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localSheetId="5" hidden="1">{#N/A,#N/A,FALSE,"Sheet1";#N/A,#N/A,FALSE,"Sheet1";#N/A,#N/A,FALSE,"Sheet1"}</definedName>
    <definedName name="wrn.aaa." hidden="1">{#N/A,#N/A,FALSE,"Sheet1";#N/A,#N/A,FALSE,"Sheet1";#N/A,#N/A,FALSE,"Sheet1"}</definedName>
    <definedName name="wrn.ACCRUE._.PAYROLL." localSheetId="5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5" hidden="1">{"Acq_matrix",#N/A,FALSE,"Acquisition Matrix"}</definedName>
    <definedName name="wrn.Acquisition_matrix." hidden="1">{"Acq_matrix",#N/A,FALSE,"Acquisition Matrix"}</definedName>
    <definedName name="wrn.adj95." localSheetId="5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5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localSheetId="5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NG." localSheetId="5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localSheetId="5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5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5" hidden="1">{"balance",#N/A,FALSE,"BALANCE"}</definedName>
    <definedName name="wrn.BALANCE." hidden="1">{"balance",#N/A,FALSE,"BALANCE"}</definedName>
    <definedName name="wrn.Bao._.Cao." localSheetId="5" hidden="1">{#N/A,#N/A,FALSE,"Sheet1"}</definedName>
    <definedName name="wrn.Bao._.Cao." hidden="1">{#N/A,#N/A,FALSE,"Sheet1"}</definedName>
    <definedName name="wrn.BAOCAO." localSheetId="5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5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localSheetId="5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5" hidden="1">{#N/A,#N/A,FALSE,"CCTV"}</definedName>
    <definedName name="wrn.BM." hidden="1">{#N/A,#N/A,FALSE,"CCTV"}</definedName>
    <definedName name="wrn.BOOK11." localSheetId="5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localSheetId="5" hidden="1">{#N/A,"BRÅNEMARK",FALSE,"C1000BAS";#N/A,"PROCERA",FALSE,"C1000BAS"}</definedName>
    <definedName name="wrn.C1000BAS." hidden="1">{#N/A,"BRÅNEMARK",FALSE,"C1000BAS";#N/A,"PROCERA",FALSE,"C1000BAS"}</definedName>
    <definedName name="wrn.C1000BAS._1" localSheetId="5" hidden="1">{#N/A,"BRÅNEMARK",FALSE,"C1000BAS";#N/A,"PROCERA",FALSE,"C1000BAS"}</definedName>
    <definedName name="wrn.C1000BAS._1" hidden="1">{#N/A,"BRÅNEMARK",FALSE,"C1000BAS";#N/A,"PROCERA",FALSE,"C1000BAS"}</definedName>
    <definedName name="wrn.Capex.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localSheetId="5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5" hidden="1">{"cashflow",#N/A,FALSE,"CASHFLOW "}</definedName>
    <definedName name="wrn.cashflow." hidden="1">{"cashflow",#N/A,FALSE,"CASHFLOW "}</definedName>
    <definedName name="wrn.CBA.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5" hidden="1">{#N/A,#N/A,FALSE,"Chi tiÆt"}</definedName>
    <definedName name="wrn.chi._.tiÆt." hidden="1">{#N/A,#N/A,FALSE,"Chi tiÆt"}</definedName>
    <definedName name="wrn.chi._.tiÆt._1" localSheetId="5" hidden="1">{#N/A,#N/A,FALSE,"Chi tiÆt"}</definedName>
    <definedName name="wrn.chi._.tiÆt._1" hidden="1">{#N/A,#N/A,FALSE,"Chi tiÆt"}</definedName>
    <definedName name="wrn.chi._.tiÆt._1_1" localSheetId="5" hidden="1">{#N/A,#N/A,FALSE,"Chi tiÆt"}</definedName>
    <definedName name="wrn.chi._.tiÆt._1_1" hidden="1">{#N/A,#N/A,FALSE,"Chi tiÆt"}</definedName>
    <definedName name="wrn.chi._.tiÆt._1_1_1" localSheetId="5" hidden="1">{#N/A,#N/A,FALSE,"Chi tiÆt"}</definedName>
    <definedName name="wrn.chi._.tiÆt._1_1_1" hidden="1">{#N/A,#N/A,FALSE,"Chi tiÆt"}</definedName>
    <definedName name="wrn.chi._.tiÆt._1_1_2" localSheetId="5" hidden="1">{#N/A,#N/A,FALSE,"Chi tiÆt"}</definedName>
    <definedName name="wrn.chi._.tiÆt._1_1_2" hidden="1">{#N/A,#N/A,FALSE,"Chi tiÆt"}</definedName>
    <definedName name="wrn.chi._.tiÆt._1_2" localSheetId="5" hidden="1">{#N/A,#N/A,FALSE,"Chi tiÆt"}</definedName>
    <definedName name="wrn.chi._.tiÆt._1_2" hidden="1">{#N/A,#N/A,FALSE,"Chi tiÆt"}</definedName>
    <definedName name="wrn.chi._.tiÆt._1_3" localSheetId="5" hidden="1">{#N/A,#N/A,FALSE,"Chi tiÆt"}</definedName>
    <definedName name="wrn.chi._.tiÆt._1_3" hidden="1">{#N/A,#N/A,FALSE,"Chi tiÆt"}</definedName>
    <definedName name="wrn.chi._.tiÆt._2" localSheetId="5" hidden="1">{#N/A,#N/A,FALSE,"Chi tiÆt"}</definedName>
    <definedName name="wrn.chi._.tiÆt._2" hidden="1">{#N/A,#N/A,FALSE,"Chi tiÆt"}</definedName>
    <definedName name="wrn.chi._.tiÆt._2_1" localSheetId="5" hidden="1">{#N/A,#N/A,FALSE,"Chi tiÆt"}</definedName>
    <definedName name="wrn.chi._.tiÆt._2_1" hidden="1">{#N/A,#N/A,FALSE,"Chi tiÆt"}</definedName>
    <definedName name="wrn.chi._.tiÆt._2_2" localSheetId="5" hidden="1">{#N/A,#N/A,FALSE,"Chi tiÆt"}</definedName>
    <definedName name="wrn.chi._.tiÆt._2_2" hidden="1">{#N/A,#N/A,FALSE,"Chi tiÆt"}</definedName>
    <definedName name="wrn.chi._.tiÆt._3" localSheetId="5" hidden="1">{#N/A,#N/A,FALSE,"Chi tiÆt"}</definedName>
    <definedName name="wrn.chi._.tiÆt._3" hidden="1">{#N/A,#N/A,FALSE,"Chi tiÆt"}</definedName>
    <definedName name="wrn.chi._.tiÆt._4" localSheetId="5" hidden="1">{#N/A,#N/A,FALSE,"Chi tiÆt"}</definedName>
    <definedName name="wrn.chi._.tiÆt._4" hidden="1">{#N/A,#N/A,FALSE,"Chi tiÆt"}</definedName>
    <definedName name="wrn.cisco2501." localSheetId="5" hidden="1">{"Profit",#N/A,FALSE,"cisco2501";"Capital",#N/A,FALSE,"cisco2501"}</definedName>
    <definedName name="wrn.cisco2501." hidden="1">{"Profit",#N/A,FALSE,"cisco2501";"Capital",#N/A,FALSE,"cisco2501"}</definedName>
    <definedName name="wrn.cisco2501a." localSheetId="5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5" hidden="1">{"Profit",#N/A,FALSE,"Cisco2514";"Capital",#N/A,FALSE,"Cisco2514"}</definedName>
    <definedName name="wrn.cisco2514." hidden="1">{"Profit",#N/A,FALSE,"Cisco2514";"Capital",#N/A,FALSE,"Cisco2514"}</definedName>
    <definedName name="wrn.cisco4000." localSheetId="5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5" hidden="1">{"Profit",#N/A,FALSE,"Cisco4500";"Capital",#N/A,FALSE,"Cisco4500"}</definedName>
    <definedName name="wrn.cisco4500." hidden="1">{"Profit",#N/A,FALSE,"Cisco4500";"Capital",#N/A,FALSE,"Cisco4500"}</definedName>
    <definedName name="wrn.Cisco4500p." localSheetId="5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5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5" hidden="1">{"Profit",#N/A,FALSE,"ciscoags+";"Capital",#N/A,FALSE,"ciscoags+"}</definedName>
    <definedName name="wrn.CiscoAGS." hidden="1">{"Profit",#N/A,FALSE,"ciscoags+";"Capital",#N/A,FALSE,"ciscoags+"}</definedName>
    <definedName name="wrn.CMGREY2." localSheetId="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localSheetId="5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5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localSheetId="5" hidden="1">{#N/A,#N/A,FALSE,"Sheet1"}</definedName>
    <definedName name="wrn.cong." hidden="1">{#N/A,#N/A,FALSE,"Sheet1"}</definedName>
    <definedName name="wrn.COST._.REPORT." localSheetId="5" hidden="1">{#N/A,#N/A,FALSE,"ACVPM_12";#N/A,#N/A,FALSE,"ACCON_12";#N/A,#N/A,FALSE,"VARI_12"}</definedName>
    <definedName name="wrn.COST._.REPORT." hidden="1">{#N/A,#N/A,FALSE,"ACVPM_12";#N/A,#N/A,FALSE,"ACCON_12";#N/A,#N/A,FALSE,"VARI_12"}</definedName>
    <definedName name="wrn.CustomPrice." localSheetId="5" hidden="1">{"PLCustom",#N/A,FALSE,"P&amp;L summary"}</definedName>
    <definedName name="wrn.CustomPrice." hidden="1">{"PLCustom",#N/A,FALSE,"P&amp;L summary"}</definedName>
    <definedName name="wrn.CVP." localSheetId="5" hidden="1">{#N/A,#N/A,FALSE,"Vic. Total"}</definedName>
    <definedName name="wrn.CVP." hidden="1">{#N/A,#N/A,FALSE,"Vic. Total"}</definedName>
    <definedName name="wrn.DCF." localSheetId="5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5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5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5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5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5" hidden="1">{"Depn",#N/A,TRUE,"Equipt Input"}</definedName>
    <definedName name="wrn.Depn." hidden="1">{"Depn",#N/A,TRUE,"Equipt Input"}</definedName>
    <definedName name="wrn.Economic._.Value._.Added._.Analysis." localSheetId="5" hidden="1">{"EVA",#N/A,FALSE,"EVA";"WACC",#N/A,FALSE,"WACC"}</definedName>
    <definedName name="wrn.Economic._.Value._.Added._.Analysis." hidden="1">{"EVA",#N/A,FALSE,"EVA";"WACC",#N/A,FALSE,"WACC"}</definedName>
    <definedName name="wrn.EX_Cover." localSheetId="5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localSheetId="5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localSheetId="5" hidden="1">{"Profit",#N/A,FALSE,"extn_2501";"Capital",#N/A,FALSE,"extn_2501"}</definedName>
    <definedName name="wrn.extn_2501." hidden="1">{"Profit",#N/A,FALSE,"extn_2501";"Capital",#N/A,FALSE,"extn_2501"}</definedName>
    <definedName name="wrn.Financials." localSheetId="5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5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5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IXED._.ASSETS._.REGISTER." localSheetId="5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localSheetId="5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localSheetId="5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localSheetId="5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localSheetId="5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localSheetId="5" hidden="1">{"fleisch",#N/A,FALSE,"WG HK";"food",#N/A,FALSE,"WG HK";"hartwaren",#N/A,FALSE,"WG HK";"weichwaren",#N/A,FALSE,"WG HK"}</definedName>
    <definedName name="wrn.Grup" hidden="1">{"fleisch",#N/A,FALSE,"WG HK";"food",#N/A,FALSE,"WG HK";"hartwaren",#N/A,FALSE,"WG HK";"weichwaren",#N/A,FALSE,"WG HK"}</definedName>
    <definedName name="wrn.HDD._.Business._.Plan." localSheetId="5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5" hidden="1">{"hilight1",#N/A,FALSE,"HILIGHT1"}</definedName>
    <definedName name="wrn.hilight1." hidden="1">{"hilight1",#N/A,FALSE,"HILIGHT1"}</definedName>
    <definedName name="wrn.hilight2." localSheetId="5" hidden="1">{"hilight2",#N/A,FALSE,"HILIGHT2"}</definedName>
    <definedName name="wrn.hilight2." hidden="1">{"hilight2",#N/A,FALSE,"HILIGHT2"}</definedName>
    <definedName name="wrn.hilight3." localSheetId="5" hidden="1">{"hilight3",#N/A,FALSE,"HILIGHT3"}</definedName>
    <definedName name="wrn.hilight3." hidden="1">{"hilight3",#N/A,FALSE,"HILIGHT3"}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5" hidden="1">{"income",#N/A,FALSE,"INCOME"}</definedName>
    <definedName name="wrn.income." hidden="1">{"income",#N/A,FALSE,"INCOME"}</definedName>
    <definedName name="wrn.index." localSheetId="5" hidden="1">{"index",#N/A,FALSE,"INDEX"}</definedName>
    <definedName name="wrn.index." hidden="1">{"index",#N/A,FALSE,"INDEX"}</definedName>
    <definedName name="wrn.Inputs." localSheetId="5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localSheetId="5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Inventory._.Reporting." localSheetId="5" hidden="1">{#N/A,#N/A,FALSE,"Inventory Summary";#N/A,#N/A,FALSE,"Pathlight Stock ";#N/A,#N/A,FALSE,"Vicom Stock ";#N/A,#N/A,FALSE,"Purchases "}</definedName>
    <definedName name="wrn.Inventory._.Reporting." hidden="1">{#N/A,#N/A,FALSE,"Inventory Summary";#N/A,#N/A,FALSE,"Pathlight Stock ";#N/A,#N/A,FALSE,"Vicom Stock ";#N/A,#N/A,FALSE,"Purchases "}</definedName>
    <definedName name="wrn.Jury." localSheetId="5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localSheetId="5" hidden="1">{"KWG Current month TB. &amp; B / T",#N/A,FALSE,"DOMESTIC &amp; EXPORT_KWG";"KWG YTD TB. &amp; B / T",#N/A,FALSE,"DOMESTIC &amp; EXPORT_KWG"}</definedName>
    <definedName name="wrn.KWG._.Plant." hidden="1">{"KWG Current month TB. &amp; B / T",#N/A,FALSE,"DOMESTIC &amp; EXPORT_KWG";"KWG YTD TB. &amp; B / T",#N/A,FALSE,"DOMESTIC &amp; EXPORT_KWG"}</definedName>
    <definedName name="wrn.list" localSheetId="5" hidden="1">{"weichwaren",#N/A,FALSE,"Liste 1";"hartwaren",#N/A,FALSE,"Liste 1";"food",#N/A,FALSE,"Liste 1";"fleisch",#N/A,FALSE,"Liste 1"}</definedName>
    <definedName name="wrn.list" hidden="1">{"weichwaren",#N/A,FALSE,"Liste 1";"hartwaren",#N/A,FALSE,"Liste 1";"food",#N/A,FALSE,"Liste 1";"fleisch",#N/A,FALSE,"Liste 1"}</definedName>
    <definedName name="wrn.LISTE." localSheetId="5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localSheetId="5" hidden="1">{"month_a",#N/A,FALSE,"ACTUALS";"ytd_a",#N/A,FALSE,"ACTUALS"}</definedName>
    <definedName name="wrn.MONTH._.YTD." hidden="1">{"month_a",#N/A,FALSE,"ACTUALS";"ytd_a",#N/A,FALSE,"ACTUALS"}</definedName>
    <definedName name="wrn.MONTHLY.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5" hidden="1">{#N/A,#N/A,FALSE,"Tabelle2";#N/A,#N/A,FALSE,"Tabelle1"}</definedName>
    <definedName name="wrn.Monthly._.Statement." hidden="1">{#N/A,#N/A,FALSE,"Tabelle2";#N/A,#N/A,FALSE,"Tabelle1"}</definedName>
    <definedName name="wrn.mortassetplan.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localSheetId="5" hidden="1">{#N/A,#N/A,FALSE,"Sheet1"}</definedName>
    <definedName name="wrn.MPLTC." hidden="1">{#N/A,#N/A,FALSE,"Sheet1"}</definedName>
    <definedName name="wrn.Net._.Sales._.en._.FF_Dec." localSheetId="5" hidden="1">{"FF",#N/A,FALSE,"Dec 96 "}</definedName>
    <definedName name="wrn.Net._.Sales._.en._.FF_Dec." hidden="1">{"FF",#N/A,FALSE,"Dec 96 "}</definedName>
    <definedName name="wrn.Net._.Sales._.en._.FF_janv." localSheetId="5" hidden="1">{"FF",#N/A,FALSE,"Janv 97"}</definedName>
    <definedName name="wrn.Net._.Sales._.en._.FF_janv." hidden="1">{"FF",#N/A,FALSE,"Janv 97"}</definedName>
    <definedName name="wrn.Net._.Sales._.en._.USD_Dec." localSheetId="5" hidden="1">{"USD",#N/A,FALSE,"Dec 96 "}</definedName>
    <definedName name="wrn.Net._.Sales._.en._.USD_Dec." hidden="1">{"USD",#N/A,FALSE,"Dec 96 "}</definedName>
    <definedName name="wrn.Net._.Sales._.en._.USD_janv." localSheetId="5" hidden="1">{"USD",#N/A,FALSE,"Janv 97"}</definedName>
    <definedName name="wrn.Net._.Sales._.en._.USD_janv." hidden="1">{"USD",#N/A,FALSE,"Janv 97"}</definedName>
    <definedName name="wrn.NonPay." localSheetId="5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5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5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RTNERSHIP." localSheetId="5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localSheetId="5" hidden="1">{#N/A,#N/A,TRUE,"Tæng hîp"}</definedName>
    <definedName name="wrn.phak." hidden="1">{#N/A,#N/A,TRUE,"Tæng hîp"}</definedName>
    <definedName name="wrn.PL." localSheetId="5" hidden="1">{#N/A,#N/A,FALSE,"SPLIT1";#N/A,#N/A,FALSE,"SPLIT2";#N/A,#N/A,FALSE,"TELEX";#N/A,#N/A,FALSE,"TELEX"}</definedName>
    <definedName name="wrn.PL." hidden="1">{#N/A,#N/A,FALSE,"SPLIT1";#N/A,#N/A,FALSE,"SPLIT2";#N/A,#N/A,FALSE,"TELEX";#N/A,#N/A,FALSE,"TELEX"}</definedName>
    <definedName name="wrn.PL._.trend." localSheetId="5" hidden="1">{"Jan-June",#N/A,FALSE,"Sheet4";"Jul-Dec",#N/A,FALSE,"Sheet4"}</definedName>
    <definedName name="wrn.PL._.trend." hidden="1">{"Jan-June",#N/A,FALSE,"Sheet4";"Jul-Dec",#N/A,FALSE,"Sheet4"}</definedName>
    <definedName name="wrn.PMDEPAER2." localSheetId="5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5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5" hidden="1">{#N/A,#N/A,FALSE,"Admin";#N/A,#N/A,FALSE,"Other"}</definedName>
    <definedName name="wrn.print." hidden="1">{#N/A,#N/A,FALSE,"Admin";#N/A,#N/A,FALSE,"Other"}</definedName>
    <definedName name="wrn.printout." localSheetId="5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localSheetId="5" hidden="1">{"FF",#N/A,FALSE,"Projection"}</definedName>
    <definedName name="wrn.Projection._.en._.FF." hidden="1">{"FF",#N/A,FALSE,"Projection"}</definedName>
    <definedName name="wrn.QAPU.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localSheetId="5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localSheetId="5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isekosten._.und._.Timesheet." localSheetId="5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localSheetId="5" hidden="1">{#N/A,#N/A,FALSE,"DK1VER";#N/A,#N/A,FALSE,"DK1VER"}</definedName>
    <definedName name="wrn.Reisekosten._.und._.Timesheets." hidden="1">{#N/A,#N/A,FALSE,"DK1VER";#N/A,#N/A,FALSE,"DK1VER"}</definedName>
    <definedName name="wrn.Report.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5" hidden="1">{"PRINT_EST",#N/A,FALSE,"ESTMON"}</definedName>
    <definedName name="wrn.REPORT_EST." hidden="1">{"PRINT_EST",#N/A,FALSE,"ESTMON"}</definedName>
    <definedName name="wrn.rev_sale._.report." localSheetId="5" hidden="1">{"revsale",#N/A,FALSE,"REV-ยุพดี"}</definedName>
    <definedName name="wrn.rev_sale._.report." hidden="1">{"revsale",#N/A,FALSE,"REV-ยุพดี"}</definedName>
    <definedName name="wrn.revable." localSheetId="5" hidden="1">{"revable",#N/A,FALSE,"REVABLE"}</definedName>
    <definedName name="wrn.revable." hidden="1">{"revable",#N/A,FALSE,"REVABLE"}</definedName>
    <definedName name="wrn.Rippert." localSheetId="5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localSheetId="5" hidden="1">{#N/A,#N/A,FALSE,"Sheet1"}</definedName>
    <definedName name="wrn.RPT1." hidden="1">{#N/A,#N/A,FALSE,"Sheet1"}</definedName>
    <definedName name="wrn.RUN1." localSheetId="5" hidden="1">{"PAGE 1",#N/A,FALSE,"หน้า 1,2,3";"PAGE 2",#N/A,FALSE,"หน้า 1,2,3";"PAGE 3",#N/A,FALSE,"หน้า 1,2,3"}</definedName>
    <definedName name="wrn.RUN1." hidden="1">{"PAGE 1",#N/A,FALSE,"หน้า 1,2,3";"PAGE 2",#N/A,FALSE,"หน้า 1,2,3";"PAGE 3",#N/A,FALSE,"หน้า 1,2,3"}</definedName>
    <definedName name="wrn.SACTG." localSheetId="5" hidden="1">{"Page 1",#N/A,FALSE,"หน้า 1";"PAGE 2",#N/A,FALSE,"หน้า 2";"PAGE 3",#N/A,FALSE,"หน้า 3";"PAGE4",#N/A,FALSE,"หน้า 4"}</definedName>
    <definedName name="wrn.SACTG." hidden="1">{"Page 1",#N/A,FALSE,"หน้า 1";"PAGE 2",#N/A,FALSE,"หน้า 2";"PAGE 3",#N/A,FALSE,"หน้า 3";"PAGE4",#N/A,FALSE,"หน้า 4"}</definedName>
    <definedName name="wrn.sales._.report." localSheetId="5" hidden="1">{"sales",#N/A,FALSE,"SALES"}</definedName>
    <definedName name="wrn.sales._.report." hidden="1">{"sales",#N/A,FALSE,"SALES"}</definedName>
    <definedName name="wrn.SOCIEDAD.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localSheetId="5" hidden="1">{#N/A,#N/A,FALSE,"soquy"}</definedName>
    <definedName name="wrn.SQ." hidden="1">{#N/A,#N/A,FALSE,"soquy"}</definedName>
    <definedName name="wrn.SSA._.Stock." localSheetId="5" hidden="1">{#N/A,#N/A,FALSE,"SSA Stock"}</definedName>
    <definedName name="wrn.SSA._.Stock." hidden="1">{#N/A,#N/A,FALSE,"SSA Stock"}</definedName>
    <definedName name="wrn.Staffing." localSheetId="5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5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L." localSheetId="5" hidden="1">{"STL Current month TB. &amp; B / T",#N/A,FALSE,"DOMESTIC &amp; EXPORT_TL&amp;KWG (SAP)";"STL YTD TB. &amp; B / T",#N/A,FALSE,"DOMESTIC &amp; EXPORT_TL&amp;KWG (SAP)"}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localSheetId="5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localSheetId="5" hidden="1">{#N/A,#N/A,FALSE,"M1";#N/A,#N/A,FALSE,"K7";#N/A,#N/A,FALSE,"K6";#N/A,#N/A,FALSE,"K5";#N/A,#N/A,FALSE,"K4";#N/A,#N/A,FALSE,"K3";#N/A,#N/A,FALSE,"K2";#N/A,#N/A,FALSE,"K1"}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localSheetId="5" hidden="1">{"Header",#N/A,TRUE,"Summary";"ProjectInfo",#N/A,TRUE,"Total Value"}</definedName>
    <definedName name="wrn.SummaryReport." hidden="1">{"Header",#N/A,TRUE,"Summary";"ProjectInfo",#N/A,TRUE,"Total Value"}</definedName>
    <definedName name="wrn.Supplemental._.Information." localSheetId="5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witched._.date." localSheetId="5" hidden="1">{#N/A,#N/A,FALSE,"m66";#N/A,#N/A,FALSE,"m66"}</definedName>
    <definedName name="wrn.switched._.date." hidden="1">{#N/A,#N/A,FALSE,"m66";#N/A,#N/A,FALSE,"m66"}</definedName>
    <definedName name="wrn.Synt_dec." localSheetId="5" hidden="1">{"Synthese",#N/A,FALSE,"Dec 96 (2)"}</definedName>
    <definedName name="wrn.Synt_dec." hidden="1">{"Synthese",#N/A,FALSE,"Dec 96 (2)"}</definedName>
    <definedName name="wrn.Synt_janv." localSheetId="5" hidden="1">{"Syn_janv",#N/A,FALSE,"Janv 97"}</definedName>
    <definedName name="wrn.Synt_janv." hidden="1">{"Syn_janv",#N/A,FALSE,"Janv 97"}</definedName>
    <definedName name="wrn.TAG." localSheetId="5" hidden="1">{"TAG1AGMS",#N/A,FALSE,"TAG 1A"}</definedName>
    <definedName name="wrn.TAG." hidden="1">{"TAG1AGMS",#N/A,FALSE,"TAG 1A"}</definedName>
    <definedName name="wrn.Tages" localSheetId="5" hidden="1">{"Tages_D",#N/A,FALSE,"Tagesbericht";"Tages_PL",#N/A,FALSE,"Tagesbericht"}</definedName>
    <definedName name="wrn.Tages" hidden="1">{"Tages_D",#N/A,FALSE,"Tagesbericht";"Tages_PL",#N/A,FALSE,"Tagesbericht"}</definedName>
    <definedName name="wrn.Tagesbericht." localSheetId="5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localSheetId="5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5" hidden="1">{"F3 Presentation",#N/A,FALSE,"F3 ";"F3 detail",#N/A,FALSE,"F3 "}</definedName>
    <definedName name="wrn.test." hidden="1">{"F3 Presentation",#N/A,FALSE,"F3 ";"F3 detail",#N/A,FALSE,"F3 "}</definedName>
    <definedName name="wrn.test1." localSheetId="5" hidden="1">{#N/A,#N/A,FALSE,"Earn'gs &amp; Val'n";#N/A,#N/A,FALSE,"Interim"}</definedName>
    <definedName name="wrn.test1." hidden="1">{#N/A,#N/A,FALSE,"Earn'gs &amp; Val'n";#N/A,#N/A,FALSE,"Interim"}</definedName>
    <definedName name="wrn.test2." localSheetId="5" hidden="1">{"F3 detail",#N/A,FALSE,"F3 ";"F3 Presentation",#N/A,FALSE,"F3 "}</definedName>
    <definedName name="wrn.test2." hidden="1">{"F3 detail",#N/A,FALSE,"F3 ";"F3 Presentation",#N/A,FALSE,"F3 "}</definedName>
    <definedName name="wrn.test3." localSheetId="5" hidden="1">{"F3 detail",#N/A,FALSE,"F1";"F3 Presentation",#N/A,FALSE,"F3 "}</definedName>
    <definedName name="wrn.test3." hidden="1">{"F3 detail",#N/A,FALSE,"F1";"F3 Presentation",#N/A,FALSE,"F3 "}</definedName>
    <definedName name="wrn.thu." localSheetId="5" hidden="1">{#N/A,#N/A,FALSE,"Chung"}</definedName>
    <definedName name="wrn.thu." hidden="1">{#N/A,#N/A,FALSE,"Chung"}</definedName>
    <definedName name="wrn.TL._.Plant." localSheetId="5" hidden="1">{"TL Current month TB. &amp; B / T",#N/A,FALSE,"DOMESTIC &amp; EXPORT_TL";"TL YTD TB. &amp; B / T",#N/A,FALSE,"DOMESTIC &amp; EXPORT_TL"}</definedName>
    <definedName name="wrn.TL._.Plant." hidden="1">{"TL Current month TB. &amp; B / T",#N/A,FALSE,"DOMESTIC &amp; EXPORT_TL";"TL YTD TB. &amp; B / T",#N/A,FALSE,"DOMESTIC &amp; EXPORT_TL"}</definedName>
    <definedName name="wrn.Total.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localSheetId="5" hidden="1">{#N/A,#N/A,FALSE,"Container details"}</definedName>
    <definedName name="wrn.Total._.view._.of._.shipped._.products." hidden="1">{#N/A,#N/A,FALSE,"Container details"}</definedName>
    <definedName name="wrn.Total.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localSheetId="5" hidden="1">{#N/A,#N/A,FALSE,"I_S";#N/A,#N/A,FALSE,"B_S";#N/A,#N/A,FALSE,"F_F"}</definedName>
    <definedName name="wrn.tout." hidden="1">{#N/A,#N/A,FALSE,"I_S";#N/A,#N/A,FALSE,"B_S";#N/A,#N/A,FALSE,"F_F"}</definedName>
    <definedName name="wrn.tout._1" localSheetId="5" hidden="1">{#N/A,#N/A,FALSE,"I_S";#N/A,#N/A,FALSE,"B_S";#N/A,#N/A,FALSE,"F_F"}</definedName>
    <definedName name="wrn.tout._1" hidden="1">{#N/A,#N/A,FALSE,"I_S";#N/A,#N/A,FALSE,"B_S";#N/A,#N/A,FALSE,"F_F"}</definedName>
    <definedName name="wrn.tout._1_1" localSheetId="5" hidden="1">{#N/A,#N/A,FALSE,"I_S";#N/A,#N/A,FALSE,"B_S";#N/A,#N/A,FALSE,"F_F"}</definedName>
    <definedName name="wrn.tout._1_1" hidden="1">{#N/A,#N/A,FALSE,"I_S";#N/A,#N/A,FALSE,"B_S";#N/A,#N/A,FALSE,"F_F"}</definedName>
    <definedName name="wrn.tout._1_2" localSheetId="5" hidden="1">{#N/A,#N/A,FALSE,"I_S";#N/A,#N/A,FALSE,"B_S";#N/A,#N/A,FALSE,"F_F"}</definedName>
    <definedName name="wrn.tout._1_2" hidden="1">{#N/A,#N/A,FALSE,"I_S";#N/A,#N/A,FALSE,"B_S";#N/A,#N/A,FALSE,"F_F"}</definedName>
    <definedName name="wrn.tout._2" localSheetId="5" hidden="1">{#N/A,#N/A,FALSE,"I_S";#N/A,#N/A,FALSE,"B_S";#N/A,#N/A,FALSE,"F_F"}</definedName>
    <definedName name="wrn.tout._2" hidden="1">{#N/A,#N/A,FALSE,"I_S";#N/A,#N/A,FALSE,"B_S";#N/A,#N/A,FALSE,"F_F"}</definedName>
    <definedName name="wrn.tout._3" localSheetId="5" hidden="1">{#N/A,#N/A,FALSE,"I_S";#N/A,#N/A,FALSE,"B_S";#N/A,#N/A,FALSE,"F_F"}</definedName>
    <definedName name="wrn.tout._3" hidden="1">{#N/A,#N/A,FALSE,"I_S";#N/A,#N/A,FALSE,"B_S";#N/A,#N/A,FALSE,"F_F"}</definedName>
    <definedName name="wrn.tuan." localSheetId="5" hidden="1">{#N/A,#N/A,FALSE,"LEDGERSUMARY"}</definedName>
    <definedName name="wrn.tuan." hidden="1">{#N/A,#N/A,FALSE,"LEDGERSUMARY"}</definedName>
    <definedName name="wrn.TUIVARINCE." localSheetId="5" hidden="1">{"AMT",#N/A,FALSE,"DW";"PER",#N/A,FALSE,"DW";"AMT",#N/A,FALSE,"WR";"PER",#N/A,FALSE,"WR";"AMT",#N/A,FALSE,"WT";"PER",#N/A,FALSE,"WT";"FG",#N/A,FALSE,"PB";"PER",#N/A,FALSE,"PB";"AMT",#N/A,FALSE,"PK";"PER",#N/A,FALSE,"PK"}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localSheetId="5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localSheetId="5" hidden="1">{#N/A,#N/A,FALSE,"SPLIT1";#N/A,#N/A,FALSE,"SPLIT2";#N/A,#N/A,FALSE,"TELEX";#N/A,#N/A,FALSE,"TELEX";#N/A,#N/A,FALSE,"VCB";#N/A,#N/A,FALSE,"VCB"}</definedName>
    <definedName name="wrn.VCB." hidden="1">{#N/A,#N/A,FALSE,"SPLIT1";#N/A,#N/A,FALSE,"SPLIT2";#N/A,#N/A,FALSE,"TELEX";#N/A,#N/A,FALSE,"TELEX";#N/A,#N/A,FALSE,"VCB";#N/A,#N/A,FALSE,"VCB"}</definedName>
    <definedName name="wrn.vd." localSheetId="5" hidden="1">{#N/A,#N/A,TRUE,"BT M200 da 10x20"}</definedName>
    <definedName name="wrn.vd." hidden="1">{#N/A,#N/A,TRUE,"BT M200 da 10x20"}</definedName>
    <definedName name="wrn.WeeklyReport." localSheetId="5" hidden="1">{#N/A,#N/A,FALSE,"Week 2002";#N/A,#N/A,FALSE,"YTD 2002";#N/A,#N/A,FALSE,"Quarterly Trend(Q3)"}</definedName>
    <definedName name="wrn.WeeklyReport." hidden="1">{#N/A,#N/A,FALSE,"Week 2002";#N/A,#N/A,FALSE,"YTD 2002";#N/A,#N/A,FALSE,"Quarterly Trend(Q3)"}</definedName>
    <definedName name="wrn.WGR" localSheetId="5" hidden="1">{"fleisch",#N/A,FALSE,"WG HK";"food",#N/A,FALSE,"WG HK";"hartwaren",#N/A,FALSE,"WG HK";"weichwaren",#N/A,FALSE,"WG HK"}</definedName>
    <definedName name="wrn.WGR" hidden="1">{"fleisch",#N/A,FALSE,"WG HK";"food",#N/A,FALSE,"WG HK";"hartwaren",#N/A,FALSE,"WG HK";"weichwaren",#N/A,FALSE,"WG HK"}</definedName>
    <definedName name="wrn.WGRUPPEN." localSheetId="5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localSheetId="5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localSheetId="5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localSheetId="5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localSheetId="5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localSheetId="5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localSheetId="5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5" hidden="1">{#N/A,#N/A,FALSE,"Sheet1";#N/A,#N/A,FALSE,"Sheet2";#N/A,#N/A,FALSE,"TAB96-1"}</definedName>
    <definedName name="wrn.견적." hidden="1">{#N/A,#N/A,FALSE,"Sheet1";#N/A,#N/A,FALSE,"Sheet2";#N/A,#N/A,FALSE,"TAB96-1"}</definedName>
    <definedName name="wrn1.dcf." localSheetId="5" hidden="1">{"mgmt forecast",#N/A,FALSE,"Mgmt Forecast";"dcf table",#N/A,FALSE,"Mgmt Forecast";"sensitivity",#N/A,FALSE,"Mgmt Forecast";"table inputs",#N/A,FALSE,"Mgmt Forecast";"calculations",#N/A,FALSE,"Mgmt Forecast"}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localSheetId="5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localSheetId="5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localSheetId="5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localSheetId="5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localSheetId="5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localSheetId="5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localSheetId="5" hidden="1">{"'Bidfailed'!$D$2:$AB$14","'Bidfailed'!$D$4:$AB$4"}</definedName>
    <definedName name="wsaFasfASFasf" hidden="1">{"'Bidfailed'!$D$2:$AB$14","'Bidfailed'!$D$4:$AB$4"}</definedName>
    <definedName name="wtaet" localSheetId="5" hidden="1">{#N/A,#N/A,FALSE,"CCTV"}</definedName>
    <definedName name="wtaet" hidden="1">{#N/A,#N/A,FALSE,"CCTV"}</definedName>
    <definedName name="wtwet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localSheetId="5" hidden="1">#REF!</definedName>
    <definedName name="WW37543162d5eb45d4879340a0d317623d_C83C" localSheetId="4" hidden="1">#REF!</definedName>
    <definedName name="WW37543162d5eb45d4879340a0d317623d_C83C" hidden="1">#REF!</definedName>
    <definedName name="www" localSheetId="5" hidden="1">{"'ตัวอย่าง'!$A$1:$O$21"}</definedName>
    <definedName name="www" hidden="1">{"'ตัวอย่าง'!$A$1:$O$21"}</definedName>
    <definedName name="www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localSheetId="5" hidden="1">{"'ตัวอย่าง'!$A$1:$O$21"}</definedName>
    <definedName name="wwwewe" hidden="1">{"'ตัวอย่าง'!$A$1:$O$21"}</definedName>
    <definedName name="wwww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localSheetId="5" hidden="1">{#N/A,#N/A,FALSE,"CCTV"}</definedName>
    <definedName name="wwwww" hidden="1">{#N/A,#N/A,FALSE,"CCTV"}</definedName>
    <definedName name="x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localSheetId="5" hidden="1">#REF!</definedName>
    <definedName name="Xadas" localSheetId="4" hidden="1">#REF!</definedName>
    <definedName name="Xadas" hidden="1">#REF!</definedName>
    <definedName name="xads" localSheetId="5" hidden="1">#REF!</definedName>
    <definedName name="xads" localSheetId="4" hidden="1">#REF!</definedName>
    <definedName name="xads" hidden="1">#REF!</definedName>
    <definedName name="XC" localSheetId="5" hidden="1">{"'매출계획'!$D$2"}</definedName>
    <definedName name="XC" hidden="1">{"'매출계획'!$D$2"}</definedName>
    <definedName name="XCBXCG" localSheetId="5" hidden="1">{#N/A,#N/A,FALSE,"CCTV"}</definedName>
    <definedName name="XCBXCG" hidden="1">{#N/A,#N/A,FALSE,"CCTV"}</definedName>
    <definedName name="XCC" localSheetId="5" hidden="1">{#N/A,#N/A,FALSE,"CCTV"}</definedName>
    <definedName name="XCC" hidden="1">{#N/A,#N/A,FALSE,"CCTV"}</definedName>
    <definedName name="XCGJ" localSheetId="5" hidden="1">{#N/A,#N/A,FALSE,"CCTV"}</definedName>
    <definedName name="XCGJ" hidden="1">{#N/A,#N/A,FALSE,"CCTV"}</definedName>
    <definedName name="XCHX" localSheetId="5" hidden="1">{#N/A,#N/A,FALSE,"CCTV"}</definedName>
    <definedName name="XCHX" hidden="1">{#N/A,#N/A,FALSE,"CCTV"}</definedName>
    <definedName name="XD" localSheetId="5" hidden="1">{"'Sheet1'!$L$16"}</definedName>
    <definedName name="XD" hidden="1">{"'Sheet1'!$L$16"}</definedName>
    <definedName name="xdfgsg" localSheetId="5" hidden="1">{"Profit",#N/A,FALSE,"Cisco7000a";"Capital",#N/A,FALSE,"Cisco7000a"}</definedName>
    <definedName name="xdfgsg" hidden="1">{"Profit",#N/A,FALSE,"Cisco7000a";"Capital",#N/A,FALSE,"Cisco7000a"}</definedName>
    <definedName name="xfgjxfgj" localSheetId="5" hidden="1">{"'Sheet1'!$L$16"}</definedName>
    <definedName name="xfgjxfgj" hidden="1">{"'Sheet1'!$L$16"}</definedName>
    <definedName name="xfgyxsf" localSheetId="5" hidden="1">{#N/A,#N/A,FALSE,"CCTV"}</definedName>
    <definedName name="xfgyxsf" hidden="1">{#N/A,#N/A,FALSE,"CCTV"}</definedName>
    <definedName name="XFJ" localSheetId="5" hidden="1">{#N/A,#N/A,FALSE,"CCTV"}</definedName>
    <definedName name="XFJ" hidden="1">{#N/A,#N/A,FALSE,"CCTV"}</definedName>
    <definedName name="XFJCXMK" localSheetId="5" hidden="1">{#N/A,#N/A,FALSE,"CCTV"}</definedName>
    <definedName name="XFJCXMK" hidden="1">{#N/A,#N/A,FALSE,"CCTV"}</definedName>
    <definedName name="xfjxsgfj" localSheetId="5" hidden="1">{#N/A,#N/A,FALSE,"CCTV"}</definedName>
    <definedName name="xfjxsgfj" hidden="1">{#N/A,#N/A,FALSE,"CCTV"}</definedName>
    <definedName name="XGXCFHJ" localSheetId="5" hidden="1">{#N/A,#N/A,FALSE,"CCTV"}</definedName>
    <definedName name="XGXCFHJ" hidden="1">{#N/A,#N/A,FALSE,"CCTV"}</definedName>
    <definedName name="xhx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localSheetId="5" hidden="1">{#N/A,#N/A,FALSE,"CCTV"}</definedName>
    <definedName name="XJGMKK" hidden="1">{#N/A,#N/A,FALSE,"CCTV"}</definedName>
    <definedName name="xkeogjana" localSheetId="5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5" hidden="1">{"F3 detail",#N/A,FALSE,"F1";"F3 Presentation",#N/A,FALSE,"F3 "}</definedName>
    <definedName name="xls" hidden="1">{"F3 detail",#N/A,FALSE,"F1";"F3 Presentation",#N/A,FALSE,"F3 "}</definedName>
    <definedName name="xlttbninh" localSheetId="5" hidden="1">{"'Sheet1'!$L$16"}</definedName>
    <definedName name="xlttbninh" hidden="1">{"'Sheet1'!$L$16"}</definedName>
    <definedName name="XNJHXVJH" localSheetId="5" hidden="1">{#N/A,#N/A,FALSE,"CCTV"}</definedName>
    <definedName name="XNJHXVJH" hidden="1">{#N/A,#N/A,FALSE,"CCTV"}</definedName>
    <definedName name="xnkhung" localSheetId="5" hidden="1">{#N/A,#N/A,FALSE,"Chung"}</definedName>
    <definedName name="xnkhung" hidden="1">{#N/A,#N/A,FALSE,"Chung"}</definedName>
    <definedName name="XREF_COLUMN_1" localSheetId="5" hidden="1">#REF!</definedName>
    <definedName name="XREF_COLUMN_1" localSheetId="4" hidden="1">#REF!</definedName>
    <definedName name="XREF_COLUMN_1" hidden="1">#REF!</definedName>
    <definedName name="XREF_COLUMN_10" localSheetId="5" hidden="1">#REF!</definedName>
    <definedName name="XREF_COLUMN_10" localSheetId="4" hidden="1">#REF!</definedName>
    <definedName name="XREF_COLUMN_10" hidden="1">#REF!</definedName>
    <definedName name="XREF_COLUMN_11" localSheetId="5" hidden="1">#REF!</definedName>
    <definedName name="XREF_COLUMN_11" localSheetId="4" hidden="1">#REF!</definedName>
    <definedName name="XREF_COLUMN_11" hidden="1">#REF!</definedName>
    <definedName name="XREF_COLUMN_12" localSheetId="5" hidden="1">#REF!</definedName>
    <definedName name="XREF_COLUMN_12" localSheetId="4" hidden="1">#REF!</definedName>
    <definedName name="XREF_COLUMN_12" hidden="1">#REF!</definedName>
    <definedName name="XREF_COLUMN_13" localSheetId="5" hidden="1">#REF!</definedName>
    <definedName name="XREF_COLUMN_13" localSheetId="4" hidden="1">#REF!</definedName>
    <definedName name="XREF_COLUMN_13" hidden="1">#REF!</definedName>
    <definedName name="XREF_COLUMN_14" localSheetId="5" hidden="1">#REF!</definedName>
    <definedName name="XREF_COLUMN_14" localSheetId="4" hidden="1">#REF!</definedName>
    <definedName name="XREF_COLUMN_14" hidden="1">#REF!</definedName>
    <definedName name="XREF_COLUMN_15" localSheetId="5" hidden="1">#REF!</definedName>
    <definedName name="XREF_COLUMN_15" localSheetId="4" hidden="1">#REF!</definedName>
    <definedName name="XREF_COLUMN_15" hidden="1">#REF!</definedName>
    <definedName name="XREF_COLUMN_16" localSheetId="5" hidden="1">#REF!</definedName>
    <definedName name="XREF_COLUMN_16" localSheetId="4" hidden="1">#REF!</definedName>
    <definedName name="XREF_COLUMN_16" hidden="1">#REF!</definedName>
    <definedName name="XREF_COLUMN_17" localSheetId="5" hidden="1">#REF!</definedName>
    <definedName name="XREF_COLUMN_17" localSheetId="4" hidden="1">#REF!</definedName>
    <definedName name="XREF_COLUMN_17" hidden="1">#REF!</definedName>
    <definedName name="XREF_COLUMN_18" localSheetId="5" hidden="1">#REF!</definedName>
    <definedName name="XREF_COLUMN_18" localSheetId="4" hidden="1">#REF!</definedName>
    <definedName name="XREF_COLUMN_18" hidden="1">#REF!</definedName>
    <definedName name="XREF_COLUMN_19" localSheetId="5" hidden="1">#REF!</definedName>
    <definedName name="XREF_COLUMN_19" localSheetId="4" hidden="1">#REF!</definedName>
    <definedName name="XREF_COLUMN_19" hidden="1">#REF!</definedName>
    <definedName name="XREF_COLUMN_2" localSheetId="5" hidden="1">#REF!</definedName>
    <definedName name="XREF_COLUMN_2" localSheetId="4" hidden="1">#REF!</definedName>
    <definedName name="XREF_COLUMN_2" hidden="1">#REF!</definedName>
    <definedName name="XREF_COLUMN_20" localSheetId="5" hidden="1">#REF!</definedName>
    <definedName name="XREF_COLUMN_20" localSheetId="4" hidden="1">#REF!</definedName>
    <definedName name="XREF_COLUMN_20" hidden="1">#REF!</definedName>
    <definedName name="XREF_COLUMN_3" localSheetId="5" hidden="1">#REF!</definedName>
    <definedName name="XREF_COLUMN_3" localSheetId="4" hidden="1">#REF!</definedName>
    <definedName name="XREF_COLUMN_3" hidden="1">#REF!</definedName>
    <definedName name="XREF_COLUMN_4" localSheetId="5" hidden="1">#REF!</definedName>
    <definedName name="XREF_COLUMN_4" localSheetId="4" hidden="1">#REF!</definedName>
    <definedName name="XREF_COLUMN_4" hidden="1">#REF!</definedName>
    <definedName name="XREF_COLUMN_5" localSheetId="5" hidden="1">#REF!</definedName>
    <definedName name="XREF_COLUMN_5" localSheetId="4" hidden="1">#REF!</definedName>
    <definedName name="XREF_COLUMN_5" hidden="1">#REF!</definedName>
    <definedName name="XREF_COLUMN_6" localSheetId="5" hidden="1">#REF!</definedName>
    <definedName name="XREF_COLUMN_6" localSheetId="4" hidden="1">#REF!</definedName>
    <definedName name="XREF_COLUMN_6" hidden="1">#REF!</definedName>
    <definedName name="XREF_COLUMN_7" localSheetId="5" hidden="1">#REF!</definedName>
    <definedName name="XREF_COLUMN_7" localSheetId="4" hidden="1">#REF!</definedName>
    <definedName name="XREF_COLUMN_7" hidden="1">#REF!</definedName>
    <definedName name="XREF_COLUMN_8" localSheetId="5" hidden="1">#REF!</definedName>
    <definedName name="XREF_COLUMN_8" localSheetId="4" hidden="1">#REF!</definedName>
    <definedName name="XREF_COLUMN_8" hidden="1">#REF!</definedName>
    <definedName name="XREF_COLUMN_9" localSheetId="5" hidden="1">#REF!</definedName>
    <definedName name="XREF_COLUMN_9" localSheetId="4" hidden="1">#REF!</definedName>
    <definedName name="XREF_COLUMN_9" hidden="1">#REF!</definedName>
    <definedName name="XRefActiveRow" localSheetId="5" hidden="1">#REF!</definedName>
    <definedName name="XRefActiveRow" localSheetId="4" hidden="1">#REF!</definedName>
    <definedName name="XRefActiveRow" hidden="1">#REF!</definedName>
    <definedName name="XRefColumnsCount" hidden="1">4</definedName>
    <definedName name="XRefCopy1" localSheetId="5" hidden="1">#REF!</definedName>
    <definedName name="XRefCopy1" localSheetId="4" hidden="1">#REF!</definedName>
    <definedName name="XRefCopy1" hidden="1">#REF!</definedName>
    <definedName name="XRefCopy10" localSheetId="5" hidden="1">#REF!</definedName>
    <definedName name="XRefCopy10" localSheetId="4" hidden="1">#REF!</definedName>
    <definedName name="XRefCopy10" hidden="1">#REF!</definedName>
    <definedName name="XRefCopy10Row" localSheetId="5" hidden="1">#REF!</definedName>
    <definedName name="XRefCopy10Row" localSheetId="4" hidden="1">#REF!</definedName>
    <definedName name="XRefCopy10Row" hidden="1">#REF!</definedName>
    <definedName name="XRefCopy11" localSheetId="5" hidden="1">#REF!</definedName>
    <definedName name="XRefCopy11" localSheetId="4" hidden="1">#REF!</definedName>
    <definedName name="XRefCopy11" hidden="1">#REF!</definedName>
    <definedName name="XRefCopy11Row" localSheetId="5" hidden="1">#REF!</definedName>
    <definedName name="XRefCopy11Row" localSheetId="4" hidden="1">#REF!</definedName>
    <definedName name="XRefCopy11Row" hidden="1">#REF!</definedName>
    <definedName name="XRefCopy12" localSheetId="5" hidden="1">#REF!</definedName>
    <definedName name="XRefCopy12" localSheetId="4" hidden="1">#REF!</definedName>
    <definedName name="XRefCopy12" hidden="1">#REF!</definedName>
    <definedName name="XRefCopy12Row" localSheetId="5" hidden="1">#REF!</definedName>
    <definedName name="XRefCopy12Row" localSheetId="4" hidden="1">#REF!</definedName>
    <definedName name="XRefCopy12Row" hidden="1">#REF!</definedName>
    <definedName name="XRefCopy13" localSheetId="5" hidden="1">#REF!</definedName>
    <definedName name="XRefCopy13" localSheetId="4" hidden="1">#REF!</definedName>
    <definedName name="XRefCopy13" hidden="1">#REF!</definedName>
    <definedName name="XRefCopy14" localSheetId="5" hidden="1">#REF!</definedName>
    <definedName name="XRefCopy14" localSheetId="4" hidden="1">#REF!</definedName>
    <definedName name="XRefCopy14" hidden="1">#REF!</definedName>
    <definedName name="XRefCopy15" localSheetId="5" hidden="1">#REF!</definedName>
    <definedName name="XRefCopy15" localSheetId="4" hidden="1">#REF!</definedName>
    <definedName name="XRefCopy15" hidden="1">#REF!</definedName>
    <definedName name="XRefCopy16" localSheetId="5" hidden="1">#REF!</definedName>
    <definedName name="XRefCopy16" localSheetId="4" hidden="1">#REF!</definedName>
    <definedName name="XRefCopy16" hidden="1">#REF!</definedName>
    <definedName name="XRefCopy17" localSheetId="5" hidden="1">#REF!</definedName>
    <definedName name="XRefCopy17" localSheetId="4" hidden="1">#REF!</definedName>
    <definedName name="XRefCopy17" hidden="1">#REF!</definedName>
    <definedName name="XRefCopy18" localSheetId="5" hidden="1">#REF!</definedName>
    <definedName name="XRefCopy18" localSheetId="4" hidden="1">#REF!</definedName>
    <definedName name="XRefCopy18" hidden="1">#REF!</definedName>
    <definedName name="XRefCopy19" localSheetId="5" hidden="1">#REF!</definedName>
    <definedName name="XRefCopy19" localSheetId="4" hidden="1">#REF!</definedName>
    <definedName name="XRefCopy19" hidden="1">#REF!</definedName>
    <definedName name="XRefCopy1Row" localSheetId="5" hidden="1">#REF!</definedName>
    <definedName name="XRefCopy1Row" localSheetId="4" hidden="1">#REF!</definedName>
    <definedName name="XRefCopy1Row" hidden="1">#REF!</definedName>
    <definedName name="XRefCopy2" localSheetId="5" hidden="1">#REF!</definedName>
    <definedName name="XRefCopy2" localSheetId="4" hidden="1">#REF!</definedName>
    <definedName name="XRefCopy2" hidden="1">#REF!</definedName>
    <definedName name="XRefCopy20" localSheetId="5" hidden="1">#REF!</definedName>
    <definedName name="XRefCopy20" localSheetId="4" hidden="1">#REF!</definedName>
    <definedName name="XRefCopy20" hidden="1">#REF!</definedName>
    <definedName name="XRefCopy21" localSheetId="5" hidden="1">#REF!</definedName>
    <definedName name="XRefCopy21" localSheetId="4" hidden="1">#REF!</definedName>
    <definedName name="XRefCopy21" hidden="1">#REF!</definedName>
    <definedName name="XRefCopy22" localSheetId="5" hidden="1">#REF!</definedName>
    <definedName name="XRefCopy22" localSheetId="4" hidden="1">#REF!</definedName>
    <definedName name="XRefCopy22" hidden="1">#REF!</definedName>
    <definedName name="XRefCopy23" localSheetId="5" hidden="1">#REF!</definedName>
    <definedName name="XRefCopy23" localSheetId="4" hidden="1">#REF!</definedName>
    <definedName name="XRefCopy23" hidden="1">#REF!</definedName>
    <definedName name="XRefCopy24" localSheetId="5" hidden="1">#REF!</definedName>
    <definedName name="XRefCopy24" localSheetId="4" hidden="1">#REF!</definedName>
    <definedName name="XRefCopy24" hidden="1">#REF!</definedName>
    <definedName name="XRefCopy25" localSheetId="5" hidden="1">#REF!</definedName>
    <definedName name="XRefCopy25" localSheetId="4" hidden="1">#REF!</definedName>
    <definedName name="XRefCopy25" hidden="1">#REF!</definedName>
    <definedName name="XRefCopy26" localSheetId="5" hidden="1">#REF!</definedName>
    <definedName name="XRefCopy26" localSheetId="4" hidden="1">#REF!</definedName>
    <definedName name="XRefCopy26" hidden="1">#REF!</definedName>
    <definedName name="XRefCopy27" localSheetId="5" hidden="1">#REF!</definedName>
    <definedName name="XRefCopy27" localSheetId="4" hidden="1">#REF!</definedName>
    <definedName name="XRefCopy27" hidden="1">#REF!</definedName>
    <definedName name="XRefCopy28" localSheetId="5" hidden="1">#REF!</definedName>
    <definedName name="XRefCopy28" localSheetId="4" hidden="1">#REF!</definedName>
    <definedName name="XRefCopy28" hidden="1">#REF!</definedName>
    <definedName name="XRefCopy29" localSheetId="5" hidden="1">#REF!</definedName>
    <definedName name="XRefCopy29" localSheetId="4" hidden="1">#REF!</definedName>
    <definedName name="XRefCopy29" hidden="1">#REF!</definedName>
    <definedName name="XRefCopy2Row" localSheetId="5" hidden="1">#REF!</definedName>
    <definedName name="XRefCopy2Row" localSheetId="4" hidden="1">#REF!</definedName>
    <definedName name="XRefCopy2Row" hidden="1">#REF!</definedName>
    <definedName name="XRefCopy3" localSheetId="5" hidden="1">#REF!</definedName>
    <definedName name="XRefCopy3" localSheetId="4" hidden="1">#REF!</definedName>
    <definedName name="XRefCopy3" hidden="1">#REF!</definedName>
    <definedName name="XRefCopy30" localSheetId="5" hidden="1">#REF!</definedName>
    <definedName name="XRefCopy30" localSheetId="4" hidden="1">#REF!</definedName>
    <definedName name="XRefCopy30" hidden="1">#REF!</definedName>
    <definedName name="XRefCopy31" localSheetId="5" hidden="1">#REF!</definedName>
    <definedName name="XRefCopy31" localSheetId="4" hidden="1">#REF!</definedName>
    <definedName name="XRefCopy31" hidden="1">#REF!</definedName>
    <definedName name="XRefCopy32" localSheetId="5" hidden="1">#REF!</definedName>
    <definedName name="XRefCopy32" localSheetId="4" hidden="1">#REF!</definedName>
    <definedName name="XRefCopy32" hidden="1">#REF!</definedName>
    <definedName name="XRefCopy33" localSheetId="5" hidden="1">#REF!</definedName>
    <definedName name="XRefCopy33" localSheetId="4" hidden="1">#REF!</definedName>
    <definedName name="XRefCopy33" hidden="1">#REF!</definedName>
    <definedName name="XRefCopy34" localSheetId="5" hidden="1">#REF!</definedName>
    <definedName name="XRefCopy34" localSheetId="4" hidden="1">#REF!</definedName>
    <definedName name="XRefCopy34" hidden="1">#REF!</definedName>
    <definedName name="XRefCopy35" localSheetId="5" hidden="1">#REF!</definedName>
    <definedName name="XRefCopy35" localSheetId="4" hidden="1">#REF!</definedName>
    <definedName name="XRefCopy35" hidden="1">#REF!</definedName>
    <definedName name="XRefCopy36" localSheetId="5" hidden="1">#REF!</definedName>
    <definedName name="XRefCopy36" localSheetId="4" hidden="1">#REF!</definedName>
    <definedName name="XRefCopy36" hidden="1">#REF!</definedName>
    <definedName name="XRefCopy37" localSheetId="5" hidden="1">#REF!</definedName>
    <definedName name="XRefCopy37" localSheetId="4" hidden="1">#REF!</definedName>
    <definedName name="XRefCopy37" hidden="1">#REF!</definedName>
    <definedName name="XRefCopy38" localSheetId="5" hidden="1">#REF!</definedName>
    <definedName name="XRefCopy38" localSheetId="4" hidden="1">#REF!</definedName>
    <definedName name="XRefCopy38" hidden="1">#REF!</definedName>
    <definedName name="XRefCopy39" localSheetId="5" hidden="1">#REF!</definedName>
    <definedName name="XRefCopy39" localSheetId="4" hidden="1">#REF!</definedName>
    <definedName name="XRefCopy39" hidden="1">#REF!</definedName>
    <definedName name="XRefCopy3Row" localSheetId="5" hidden="1">#REF!</definedName>
    <definedName name="XRefCopy3Row" localSheetId="4" hidden="1">#REF!</definedName>
    <definedName name="XRefCopy3Row" hidden="1">#REF!</definedName>
    <definedName name="XRefCopy4" localSheetId="5" hidden="1">#REF!</definedName>
    <definedName name="XRefCopy4" localSheetId="4" hidden="1">#REF!</definedName>
    <definedName name="XRefCopy4" hidden="1">#REF!</definedName>
    <definedName name="XRefCopy4Row" localSheetId="5" hidden="1">#REF!</definedName>
    <definedName name="XRefCopy4Row" localSheetId="4" hidden="1">#REF!</definedName>
    <definedName name="XRefCopy4Row" hidden="1">#REF!</definedName>
    <definedName name="XRefCopy5" localSheetId="5" hidden="1">#REF!</definedName>
    <definedName name="XRefCopy5" localSheetId="4" hidden="1">#REF!</definedName>
    <definedName name="XRefCopy5" hidden="1">#REF!</definedName>
    <definedName name="XRefCopy5Row" localSheetId="5" hidden="1">#REF!</definedName>
    <definedName name="XRefCopy5Row" localSheetId="4" hidden="1">#REF!</definedName>
    <definedName name="XRefCopy5Row" hidden="1">#REF!</definedName>
    <definedName name="XRefCopy6" localSheetId="5" hidden="1">#REF!</definedName>
    <definedName name="XRefCopy6" localSheetId="4" hidden="1">#REF!</definedName>
    <definedName name="XRefCopy6" hidden="1">#REF!</definedName>
    <definedName name="XRefCopy6Row" localSheetId="5" hidden="1">#REF!</definedName>
    <definedName name="XRefCopy6Row" localSheetId="4" hidden="1">#REF!</definedName>
    <definedName name="XRefCopy6Row" hidden="1">#REF!</definedName>
    <definedName name="XRefCopy7" localSheetId="5" hidden="1">#REF!</definedName>
    <definedName name="XRefCopy7" localSheetId="4" hidden="1">#REF!</definedName>
    <definedName name="XRefCopy7" hidden="1">#REF!</definedName>
    <definedName name="XRefCopy7Row" localSheetId="5" hidden="1">#REF!</definedName>
    <definedName name="XRefCopy7Row" localSheetId="4" hidden="1">#REF!</definedName>
    <definedName name="XRefCopy7Row" hidden="1">#REF!</definedName>
    <definedName name="XRefCopy8" localSheetId="5" hidden="1">#REF!</definedName>
    <definedName name="XRefCopy8" localSheetId="4" hidden="1">#REF!</definedName>
    <definedName name="XRefCopy8" hidden="1">#REF!</definedName>
    <definedName name="XRefCopy8Row" localSheetId="5" hidden="1">#REF!</definedName>
    <definedName name="XRefCopy8Row" localSheetId="4" hidden="1">#REF!</definedName>
    <definedName name="XRefCopy8Row" hidden="1">#REF!</definedName>
    <definedName name="XRefCopy9" localSheetId="5" hidden="1">#REF!</definedName>
    <definedName name="XRefCopy9" localSheetId="4" hidden="1">#REF!</definedName>
    <definedName name="XRefCopy9" hidden="1">#REF!</definedName>
    <definedName name="XRefCopy9Row" localSheetId="5" hidden="1">#REF!</definedName>
    <definedName name="XRefCopy9Row" localSheetId="4" hidden="1">#REF!</definedName>
    <definedName name="XRefCopy9Row" hidden="1">#REF!</definedName>
    <definedName name="XRefCopyRangeCount" hidden="1">39</definedName>
    <definedName name="XRefPaste1" localSheetId="5" hidden="1">#REF!</definedName>
    <definedName name="XRefPaste1" localSheetId="4" hidden="1">#REF!</definedName>
    <definedName name="XRefPaste1" hidden="1">#REF!</definedName>
    <definedName name="XRefPaste10" localSheetId="5" hidden="1">#REF!</definedName>
    <definedName name="XRefPaste10" localSheetId="4" hidden="1">#REF!</definedName>
    <definedName name="XRefPaste10" hidden="1">#REF!</definedName>
    <definedName name="XRefPaste10Row" localSheetId="5" hidden="1">#REF!</definedName>
    <definedName name="XRefPaste10Row" localSheetId="4" hidden="1">#REF!</definedName>
    <definedName name="XRefPaste10Row" hidden="1">#REF!</definedName>
    <definedName name="XRefPaste11" localSheetId="5" hidden="1">#REF!</definedName>
    <definedName name="XRefPaste11" localSheetId="4" hidden="1">#REF!</definedName>
    <definedName name="XRefPaste11" hidden="1">#REF!</definedName>
    <definedName name="XRefPaste11Row" localSheetId="5" hidden="1">#REF!</definedName>
    <definedName name="XRefPaste11Row" localSheetId="4" hidden="1">#REF!</definedName>
    <definedName name="XRefPaste11Row" hidden="1">#REF!</definedName>
    <definedName name="XRefPaste12" localSheetId="5" hidden="1">#REF!</definedName>
    <definedName name="XRefPaste12" localSheetId="4" hidden="1">#REF!</definedName>
    <definedName name="XRefPaste12" hidden="1">#REF!</definedName>
    <definedName name="XRefPaste12Row" localSheetId="5" hidden="1">#REF!</definedName>
    <definedName name="XRefPaste12Row" localSheetId="4" hidden="1">#REF!</definedName>
    <definedName name="XRefPaste12Row" hidden="1">#REF!</definedName>
    <definedName name="XRefPaste13" localSheetId="5" hidden="1">#REF!</definedName>
    <definedName name="XRefPaste13" localSheetId="4" hidden="1">#REF!</definedName>
    <definedName name="XRefPaste13" hidden="1">#REF!</definedName>
    <definedName name="XRefPaste13Row" localSheetId="5" hidden="1">#REF!</definedName>
    <definedName name="XRefPaste13Row" localSheetId="4" hidden="1">#REF!</definedName>
    <definedName name="XRefPaste13Row" hidden="1">#REF!</definedName>
    <definedName name="XRefPaste14" localSheetId="5" hidden="1">#REF!</definedName>
    <definedName name="XRefPaste14" localSheetId="4" hidden="1">#REF!</definedName>
    <definedName name="XRefPaste14" hidden="1">#REF!</definedName>
    <definedName name="XRefPaste15" localSheetId="5" hidden="1">#REF!</definedName>
    <definedName name="XRefPaste15" localSheetId="4" hidden="1">#REF!</definedName>
    <definedName name="XRefPaste15" hidden="1">#REF!</definedName>
    <definedName name="XRefPaste16" localSheetId="5" hidden="1">#REF!</definedName>
    <definedName name="XRefPaste16" localSheetId="4" hidden="1">#REF!</definedName>
    <definedName name="XRefPaste16" hidden="1">#REF!</definedName>
    <definedName name="XRefPaste1Row" localSheetId="5" hidden="1">#REF!</definedName>
    <definedName name="XRefPaste1Row" localSheetId="4" hidden="1">#REF!</definedName>
    <definedName name="XRefPaste1Row" hidden="1">#REF!</definedName>
    <definedName name="XRefPaste2" localSheetId="5" hidden="1">#REF!</definedName>
    <definedName name="XRefPaste2" localSheetId="4" hidden="1">#REF!</definedName>
    <definedName name="XRefPaste2" hidden="1">#REF!</definedName>
    <definedName name="XRefPaste2Row" localSheetId="5" hidden="1">#REF!</definedName>
    <definedName name="XRefPaste2Row" localSheetId="4" hidden="1">#REF!</definedName>
    <definedName name="XRefPaste2Row" hidden="1">#REF!</definedName>
    <definedName name="XRefPaste3" localSheetId="5" hidden="1">#REF!</definedName>
    <definedName name="XRefPaste3" localSheetId="4" hidden="1">#REF!</definedName>
    <definedName name="XRefPaste3" hidden="1">#REF!</definedName>
    <definedName name="XRefPaste3Row" localSheetId="5" hidden="1">#REF!</definedName>
    <definedName name="XRefPaste3Row" localSheetId="4" hidden="1">#REF!</definedName>
    <definedName name="XRefPaste3Row" hidden="1">#REF!</definedName>
    <definedName name="XRefPaste4" localSheetId="5" hidden="1">#REF!</definedName>
    <definedName name="XRefPaste4" localSheetId="4" hidden="1">#REF!</definedName>
    <definedName name="XRefPaste4" hidden="1">#REF!</definedName>
    <definedName name="XRefPaste4Row" localSheetId="5" hidden="1">#REF!</definedName>
    <definedName name="XRefPaste4Row" localSheetId="4" hidden="1">#REF!</definedName>
    <definedName name="XRefPaste4Row" hidden="1">#REF!</definedName>
    <definedName name="XRefPaste5" localSheetId="5" hidden="1">#REF!</definedName>
    <definedName name="XRefPaste5" localSheetId="4" hidden="1">#REF!</definedName>
    <definedName name="XRefPaste5" hidden="1">#REF!</definedName>
    <definedName name="XRefPaste5Row" localSheetId="5" hidden="1">#REF!</definedName>
    <definedName name="XRefPaste5Row" localSheetId="4" hidden="1">#REF!</definedName>
    <definedName name="XRefPaste5Row" hidden="1">#REF!</definedName>
    <definedName name="XRefPaste6" localSheetId="5" hidden="1">#REF!</definedName>
    <definedName name="XRefPaste6" localSheetId="4" hidden="1">#REF!</definedName>
    <definedName name="XRefPaste6" hidden="1">#REF!</definedName>
    <definedName name="XRefPaste6Row" localSheetId="5" hidden="1">#REF!</definedName>
    <definedName name="XRefPaste6Row" localSheetId="4" hidden="1">#REF!</definedName>
    <definedName name="XRefPaste6Row" hidden="1">#REF!</definedName>
    <definedName name="XRefPaste7" localSheetId="5" hidden="1">#REF!</definedName>
    <definedName name="XRefPaste7" localSheetId="4" hidden="1">#REF!</definedName>
    <definedName name="XRefPaste7" hidden="1">#REF!</definedName>
    <definedName name="XRefPaste7Row" localSheetId="5" hidden="1">#REF!</definedName>
    <definedName name="XRefPaste7Row" localSheetId="4" hidden="1">#REF!</definedName>
    <definedName name="XRefPaste7Row" hidden="1">#REF!</definedName>
    <definedName name="XRefPaste8" localSheetId="5" hidden="1">#REF!</definedName>
    <definedName name="XRefPaste8" localSheetId="4" hidden="1">#REF!</definedName>
    <definedName name="XRefPaste8" hidden="1">#REF!</definedName>
    <definedName name="XRefPaste8Row" localSheetId="5" hidden="1">#REF!</definedName>
    <definedName name="XRefPaste8Row" localSheetId="4" hidden="1">#REF!</definedName>
    <definedName name="XRefPaste8Row" hidden="1">#REF!</definedName>
    <definedName name="XRefPaste9" localSheetId="5" hidden="1">#REF!</definedName>
    <definedName name="XRefPaste9" localSheetId="4" hidden="1">#REF!</definedName>
    <definedName name="XRefPaste9" hidden="1">#REF!</definedName>
    <definedName name="XRefPaste9Row" localSheetId="5" hidden="1">#REF!</definedName>
    <definedName name="XRefPaste9Row" localSheetId="4" hidden="1">#REF!</definedName>
    <definedName name="XRefPaste9Row" hidden="1">#REF!</definedName>
    <definedName name="XRefPasteRangeCount" hidden="1">12</definedName>
    <definedName name="xs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localSheetId="5" hidden="1">#REF!</definedName>
    <definedName name="xx" localSheetId="4" hidden="1">#REF!</definedName>
    <definedName name="xx" hidden="1">#REF!</definedName>
    <definedName name="xxx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localSheetId="5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localSheetId="5" hidden="1">{"'Feb 99'!$A$1:$G$30"}</definedName>
    <definedName name="YE" hidden="1">{"'Feb 99'!$A$1:$G$30"}</definedName>
    <definedName name="yen" localSheetId="5" hidden="1">{#N/A,#N/A,FALSE,"Chi tiÆt"}</definedName>
    <definedName name="yen" hidden="1">{#N/A,#N/A,FALSE,"Chi tiÆt"}</definedName>
    <definedName name="yhjilyi" localSheetId="5" hidden="1">{#N/A,#N/A,FALSE,"CCTV"}</definedName>
    <definedName name="yhjilyi" hidden="1">{#N/A,#N/A,FALSE,"CCTV"}</definedName>
    <definedName name="yj" localSheetId="5" hidden="1">{"hilight2",#N/A,FALSE,"HILIGHT2"}</definedName>
    <definedName name="yj" hidden="1">{"hilight2",#N/A,FALSE,"HILIGHT2"}</definedName>
    <definedName name="yrdtytyt" localSheetId="5" hidden="1">{#N/A,#N/A,FALSE,"CCTV"}</definedName>
    <definedName name="yrdtytyt" hidden="1">{#N/A,#N/A,FALSE,"CCTV"}</definedName>
    <definedName name="ytty" localSheetId="5" hidden="1">{"'Sheet1'!$L$16"}</definedName>
    <definedName name="ytty" hidden="1">{"'Sheet1'!$L$16"}</definedName>
    <definedName name="YU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localSheetId="5" hidden="1">{#N/A,#N/A,FALSE,"CCTV"}</definedName>
    <definedName name="yuoryo" hidden="1">{#N/A,#N/A,FALSE,"CCTV"}</definedName>
    <definedName name="yurt" localSheetId="5" hidden="1">{#N/A,#N/A,FALSE,"CCTV"}</definedName>
    <definedName name="yurt" hidden="1">{#N/A,#N/A,FALSE,"CCTV"}</definedName>
    <definedName name="yuyt" localSheetId="5" hidden="1">{#N/A,#N/A,FALSE,"CCTV"}</definedName>
    <definedName name="yuyt" hidden="1">{#N/A,#N/A,FALSE,"CCTV"}</definedName>
    <definedName name="yvy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localSheetId="5">#REF!</definedName>
    <definedName name="yyyy" localSheetId="4">#REF!</definedName>
    <definedName name="yyyy">#REF!</definedName>
    <definedName name="yyyyy" localSheetId="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5" hidden="1">{"'ตัวอย่าง'!$A$1:$O$21"}</definedName>
    <definedName name="z" hidden="1">{"'ตัวอย่าง'!$A$1:$O$21"}</definedName>
    <definedName name="Z_2AD71782_13C6_11D6_A210_0000E8DA5A4F_.wvu.FilterData" localSheetId="5" hidden="1">#REF!</definedName>
    <definedName name="Z_2AD71782_13C6_11D6_A210_0000E8DA5A4F_.wvu.FilterData" localSheetId="4" hidden="1">#REF!</definedName>
    <definedName name="Z_2AD71782_13C6_11D6_A210_0000E8DA5A4F_.wvu.FilterData" hidden="1">#REF!</definedName>
    <definedName name="Z_344D8229_C927_11D5_A210_0000E8DA5A4F_.wvu.FilterData" localSheetId="5" hidden="1">#REF!</definedName>
    <definedName name="Z_344D8229_C927_11D5_A210_0000E8DA5A4F_.wvu.FilterData" localSheetId="4" hidden="1">#REF!</definedName>
    <definedName name="Z_344D8229_C927_11D5_A210_0000E8DA5A4F_.wvu.FilterData" hidden="1">#REF!</definedName>
    <definedName name="Z_3507F3CB_00E6_11D6_A210_0000E8DA5A4F_.wvu.Cols" localSheetId="5" hidden="1">#REF!</definedName>
    <definedName name="Z_3507F3CB_00E6_11D6_A210_0000E8DA5A4F_.wvu.Cols" localSheetId="4" hidden="1">#REF!</definedName>
    <definedName name="Z_3507F3CB_00E6_11D6_A210_0000E8DA5A4F_.wvu.Cols" hidden="1">#REF!</definedName>
    <definedName name="Z_351C250E_CF83_11D5_A210_0000E8DA5A4F_.wvu.FilterData" localSheetId="5" hidden="1">#REF!</definedName>
    <definedName name="Z_351C250E_CF83_11D5_A210_0000E8DA5A4F_.wvu.FilterData" localSheetId="4" hidden="1">#REF!</definedName>
    <definedName name="Z_351C250E_CF83_11D5_A210_0000E8DA5A4F_.wvu.FilterData" hidden="1">#REF!</definedName>
    <definedName name="Z_39BC5E81_0594_11D1_8C74_006097B34275_.wvu.FilterData" localSheetId="5" hidden="1">#REF!</definedName>
    <definedName name="Z_39BC5E81_0594_11D1_8C74_006097B34275_.wvu.FilterData" localSheetId="4" hidden="1">#REF!</definedName>
    <definedName name="Z_39BC5E81_0594_11D1_8C74_006097B34275_.wvu.FilterData" hidden="1">#REF!</definedName>
    <definedName name="Z_39BC5E82_0594_11D1_8C74_006097B34275_.wvu.FilterData" localSheetId="5" hidden="1">#REF!</definedName>
    <definedName name="Z_39BC5E82_0594_11D1_8C74_006097B34275_.wvu.FilterData" localSheetId="4" hidden="1">#REF!</definedName>
    <definedName name="Z_39BC5E82_0594_11D1_8C74_006097B34275_.wvu.FilterData" hidden="1">#REF!</definedName>
    <definedName name="Z_446B9FEB_D1FE_11D5_A210_0000E8DA5A4F_.wvu.FilterData" localSheetId="5" hidden="1">#REF!</definedName>
    <definedName name="Z_446B9FEB_D1FE_11D5_A210_0000E8DA5A4F_.wvu.FilterData" localSheetId="4" hidden="1">#REF!</definedName>
    <definedName name="Z_446B9FEB_D1FE_11D5_A210_0000E8DA5A4F_.wvu.FilterData" hidden="1">#REF!</definedName>
    <definedName name="Z_4B5573A2_25FD_11D1_8C74_006097B34275_.wvu.FilterData" localSheetId="5" hidden="1">#REF!</definedName>
    <definedName name="Z_4B5573A2_25FD_11D1_8C74_006097B34275_.wvu.FilterData" localSheetId="4" hidden="1">#REF!</definedName>
    <definedName name="Z_4B5573A2_25FD_11D1_8C74_006097B34275_.wvu.FilterData" hidden="1">#REF!</definedName>
    <definedName name="Z_4B5573A3_25FD_11D1_8C74_006097B34275_.wvu.FilterData" localSheetId="5" hidden="1">#REF!</definedName>
    <definedName name="Z_4B5573A3_25FD_11D1_8C74_006097B34275_.wvu.FilterData" localSheetId="4" hidden="1">#REF!</definedName>
    <definedName name="Z_4B5573A3_25FD_11D1_8C74_006097B34275_.wvu.FilterData" hidden="1">#REF!</definedName>
    <definedName name="Z_4C289101_0FD6_11D1_A510_006097B38048_.wvu.FilterData" localSheetId="5" hidden="1">#REF!</definedName>
    <definedName name="Z_4C289101_0FD6_11D1_A510_006097B38048_.wvu.FilterData" localSheetId="4" hidden="1">#REF!</definedName>
    <definedName name="Z_4C289101_0FD6_11D1_A510_006097B38048_.wvu.FilterData" hidden="1">#REF!</definedName>
    <definedName name="Z_4C854AA2_3991_11D1_8C74_006097B34275_.wvu.FilterData" localSheetId="5" hidden="1">#REF!</definedName>
    <definedName name="Z_4C854AA2_3991_11D1_8C74_006097B34275_.wvu.FilterData" localSheetId="4" hidden="1">#REF!</definedName>
    <definedName name="Z_4C854AA2_3991_11D1_8C74_006097B34275_.wvu.FilterData" hidden="1">#REF!</definedName>
    <definedName name="Z_4E9FC601_CB8F_11D0_8C74_006097B34275_.wvu.FilterData" localSheetId="5" hidden="1">#REF!</definedName>
    <definedName name="Z_4E9FC601_CB8F_11D0_8C74_006097B34275_.wvu.FilterData" localSheetId="4" hidden="1">#REF!</definedName>
    <definedName name="Z_4E9FC601_CB8F_11D0_8C74_006097B34275_.wvu.FilterData" hidden="1">#REF!</definedName>
    <definedName name="Z_5B0390EB_D420_11D5_A210_0000E8DA5A4F_.wvu.FilterData" localSheetId="5" hidden="1">#REF!</definedName>
    <definedName name="Z_5B0390EB_D420_11D5_A210_0000E8DA5A4F_.wvu.FilterData" localSheetId="4" hidden="1">#REF!</definedName>
    <definedName name="Z_5B0390EB_D420_11D5_A210_0000E8DA5A4F_.wvu.FilterData" hidden="1">#REF!</definedName>
    <definedName name="Z_5B0390EE_D420_11D5_A210_0000E8DA5A4F_.wvu.FilterData" localSheetId="5" hidden="1">#REF!</definedName>
    <definedName name="Z_5B0390EE_D420_11D5_A210_0000E8DA5A4F_.wvu.FilterData" localSheetId="4" hidden="1">#REF!</definedName>
    <definedName name="Z_5B0390EE_D420_11D5_A210_0000E8DA5A4F_.wvu.FilterData" hidden="1">#REF!</definedName>
    <definedName name="Z_5B0390F4_D420_11D5_A210_0000E8DA5A4F_.wvu.FilterData" localSheetId="5" hidden="1">#REF!</definedName>
    <definedName name="Z_5B0390F4_D420_11D5_A210_0000E8DA5A4F_.wvu.FilterData" localSheetId="4" hidden="1">#REF!</definedName>
    <definedName name="Z_5B0390F4_D420_11D5_A210_0000E8DA5A4F_.wvu.FilterData" hidden="1">#REF!</definedName>
    <definedName name="Z_5BF7A5D4_C926_11D5_AFB4_0000E8DA5A50_.wvu.FilterData" localSheetId="5" hidden="1">#REF!</definedName>
    <definedName name="Z_5BF7A5D4_C926_11D5_AFB4_0000E8DA5A50_.wvu.FilterData" localSheetId="4" hidden="1">#REF!</definedName>
    <definedName name="Z_5BF7A5D4_C926_11D5_AFB4_0000E8DA5A50_.wvu.FilterData" hidden="1">#REF!</definedName>
    <definedName name="Z_674301AC_C86E_11D5_A210_0000E8DA5A4F_.wvu.FilterData" localSheetId="5" hidden="1">#REF!</definedName>
    <definedName name="Z_674301AC_C86E_11D5_A210_0000E8DA5A4F_.wvu.FilterData" localSheetId="4" hidden="1">#REF!</definedName>
    <definedName name="Z_674301AC_C86E_11D5_A210_0000E8DA5A4F_.wvu.FilterData" hidden="1">#REF!</definedName>
    <definedName name="Z_674301B0_C86E_11D5_A210_0000E8DA5A4F_.wvu.FilterData" localSheetId="5" hidden="1">#REF!</definedName>
    <definedName name="Z_674301B0_C86E_11D5_A210_0000E8DA5A4F_.wvu.FilterData" localSheetId="4" hidden="1">#REF!</definedName>
    <definedName name="Z_674301B0_C86E_11D5_A210_0000E8DA5A4F_.wvu.FilterData" hidden="1">#REF!</definedName>
    <definedName name="Z_674301B5_C86E_11D5_A210_0000E8DA5A4F_.wvu.FilterData" localSheetId="5" hidden="1">#REF!</definedName>
    <definedName name="Z_674301B5_C86E_11D5_A210_0000E8DA5A4F_.wvu.FilterData" localSheetId="4" hidden="1">#REF!</definedName>
    <definedName name="Z_674301B5_C86E_11D5_A210_0000E8DA5A4F_.wvu.FilterData" hidden="1">#REF!</definedName>
    <definedName name="Z_674301B7_C86E_11D5_A210_0000E8DA5A4F_.wvu.FilterData" localSheetId="5" hidden="1">#REF!</definedName>
    <definedName name="Z_674301B7_C86E_11D5_A210_0000E8DA5A4F_.wvu.FilterData" localSheetId="4" hidden="1">#REF!</definedName>
    <definedName name="Z_674301B7_C86E_11D5_A210_0000E8DA5A4F_.wvu.FilterData" hidden="1">#REF!</definedName>
    <definedName name="Z_69241FD2_0E61_11D6_BC55_0000E8DD881D_.wvu.FilterData" localSheetId="5" hidden="1">#REF!</definedName>
    <definedName name="Z_69241FD2_0E61_11D6_BC55_0000E8DD881D_.wvu.FilterData" localSheetId="4" hidden="1">#REF!</definedName>
    <definedName name="Z_69241FD2_0E61_11D6_BC55_0000E8DD881D_.wvu.FilterData" hidden="1">#REF!</definedName>
    <definedName name="Z_6E0ADC42_F22D_11D0_8C74_006097B34275_.wvu.FilterData" localSheetId="5" hidden="1">#REF!</definedName>
    <definedName name="Z_6E0ADC42_F22D_11D0_8C74_006097B34275_.wvu.FilterData" localSheetId="4" hidden="1">#REF!</definedName>
    <definedName name="Z_6E0ADC42_F22D_11D0_8C74_006097B34275_.wvu.FilterData" hidden="1">#REF!</definedName>
    <definedName name="Z_6F27534C_00E4_11D6_BC55_0000E8DD881D_.wvu.FilterData" localSheetId="5" hidden="1">#REF!</definedName>
    <definedName name="Z_6F27534C_00E4_11D6_BC55_0000E8DD881D_.wvu.FilterData" localSheetId="4" hidden="1">#REF!</definedName>
    <definedName name="Z_6F27534C_00E4_11D6_BC55_0000E8DD881D_.wvu.FilterData" hidden="1">#REF!</definedName>
    <definedName name="Z_73AB618A_D291_11D5_9D56_000021CF477C_.wvu.FilterData" localSheetId="5" hidden="1">#REF!</definedName>
    <definedName name="Z_73AB618A_D291_11D5_9D56_000021CF477C_.wvu.FilterData" localSheetId="4" hidden="1">#REF!</definedName>
    <definedName name="Z_73AB618A_D291_11D5_9D56_000021CF477C_.wvu.FilterData" hidden="1">#REF!</definedName>
    <definedName name="Z_75DB6D8D_EA22_11D5_A210_0000E8DA5A4F_.wvu.FilterData" localSheetId="5" hidden="1">#REF!</definedName>
    <definedName name="Z_75DB6D8D_EA22_11D5_A210_0000E8DA5A4F_.wvu.FilterData" localSheetId="4" hidden="1">#REF!</definedName>
    <definedName name="Z_75DB6D8D_EA22_11D5_A210_0000E8DA5A4F_.wvu.FilterData" hidden="1">#REF!</definedName>
    <definedName name="Z_7AF9055E_0655_4111_A637_B53B24197F3F_.wvu.Rows" localSheetId="5" hidden="1">#REF!</definedName>
    <definedName name="Z_7AF9055E_0655_4111_A637_B53B24197F3F_.wvu.Rows" localSheetId="4" hidden="1">#REF!</definedName>
    <definedName name="Z_7AF9055E_0655_4111_A637_B53B24197F3F_.wvu.Rows" hidden="1">#REF!</definedName>
    <definedName name="Z_7E0A45E1_0993_11D1_8C74_006097B34275_.wvu.FilterData" localSheetId="5" hidden="1">#REF!</definedName>
    <definedName name="Z_7E0A45E1_0993_11D1_8C74_006097B34275_.wvu.FilterData" localSheetId="4" hidden="1">#REF!</definedName>
    <definedName name="Z_7E0A45E1_0993_11D1_8C74_006097B34275_.wvu.FilterData" hidden="1">#REF!</definedName>
    <definedName name="Z_82212322_246D_11D1_8C74_006097B34275_.wvu.FilterData" localSheetId="5" hidden="1">#REF!</definedName>
    <definedName name="Z_82212322_246D_11D1_8C74_006097B34275_.wvu.FilterData" localSheetId="4" hidden="1">#REF!</definedName>
    <definedName name="Z_82212322_246D_11D1_8C74_006097B34275_.wvu.FilterData" hidden="1">#REF!</definedName>
    <definedName name="Z_86ABA799_0F13_11D6_9259_0040953083C3_.wvu.FilterData" localSheetId="5" hidden="1">#REF!</definedName>
    <definedName name="Z_86ABA799_0F13_11D6_9259_0040953083C3_.wvu.FilterData" localSheetId="4" hidden="1">#REF!</definedName>
    <definedName name="Z_86ABA799_0F13_11D6_9259_0040953083C3_.wvu.FilterData" hidden="1">#REF!</definedName>
    <definedName name="Z_86ABA79C_0F13_11D6_9259_0040953083C3_.wvu.FilterData" localSheetId="5" hidden="1">#REF!</definedName>
    <definedName name="Z_86ABA79C_0F13_11D6_9259_0040953083C3_.wvu.FilterData" localSheetId="4" hidden="1">#REF!</definedName>
    <definedName name="Z_86ABA79C_0F13_11D6_9259_0040953083C3_.wvu.FilterData" hidden="1">#REF!</definedName>
    <definedName name="Z_B8175DE2_E97C_11D0_8C74_006097B34275_.wvu.FilterData" localSheetId="5" hidden="1">#REF!</definedName>
    <definedName name="Z_B8175DE2_E97C_11D0_8C74_006097B34275_.wvu.FilterData" localSheetId="4" hidden="1">#REF!</definedName>
    <definedName name="Z_B8175DE2_E97C_11D0_8C74_006097B34275_.wvu.FilterData" hidden="1">#REF!</definedName>
    <definedName name="Z_DA6D18CB_CF6F_11D5_BC57_0000E8DD881D_.wvu.FilterData" localSheetId="5" hidden="1">#REF!</definedName>
    <definedName name="Z_DA6D18CB_CF6F_11D5_BC57_0000E8DD881D_.wvu.FilterData" localSheetId="4" hidden="1">#REF!</definedName>
    <definedName name="Z_DA6D18CB_CF6F_11D5_BC57_0000E8DD881D_.wvu.FilterData" hidden="1">#REF!</definedName>
    <definedName name="Z_DA6D18CE_CF6F_11D5_BC57_0000E8DD881D_.wvu.FilterData" localSheetId="5" hidden="1">#REF!</definedName>
    <definedName name="Z_DA6D18CE_CF6F_11D5_BC57_0000E8DD881D_.wvu.FilterData" localSheetId="4" hidden="1">#REF!</definedName>
    <definedName name="Z_DA6D18CE_CF6F_11D5_BC57_0000E8DD881D_.wvu.FilterData" hidden="1">#REF!</definedName>
    <definedName name="Z_DCA8D884_2605_11D1_A510_006097B38048_.wvu.FilterData" localSheetId="5" hidden="1">#REF!</definedName>
    <definedName name="Z_DCA8D884_2605_11D1_A510_006097B38048_.wvu.FilterData" localSheetId="4" hidden="1">#REF!</definedName>
    <definedName name="Z_DCA8D884_2605_11D1_A510_006097B38048_.wvu.FilterData" hidden="1">#REF!</definedName>
    <definedName name="Z_E2699901_D040_11D0_A510_006097B38048_.wvu.FilterData" localSheetId="5" hidden="1">#REF!</definedName>
    <definedName name="Z_E2699901_D040_11D0_A510_006097B38048_.wvu.FilterData" localSheetId="4" hidden="1">#REF!</definedName>
    <definedName name="Z_E2699901_D040_11D0_A510_006097B38048_.wvu.FilterData" hidden="1">#REF!</definedName>
    <definedName name="Z_ECD86340_00F5_11D6_9D56_000021CF477C_.wvu.Cols" localSheetId="5" hidden="1">#REF!</definedName>
    <definedName name="Z_ECD86340_00F5_11D6_9D56_000021CF477C_.wvu.Cols" localSheetId="4" hidden="1">#REF!</definedName>
    <definedName name="Z_ECD86340_00F5_11D6_9D56_000021CF477C_.wvu.Cols" hidden="1">#REF!</definedName>
    <definedName name="Z_F4AAFAEB_D28F_11D5_A210_0000E8DA5A4F_.wvu.FilterData" localSheetId="5" hidden="1">#REF!</definedName>
    <definedName name="Z_F4AAFAEB_D28F_11D5_A210_0000E8DA5A4F_.wvu.FilterData" localSheetId="4" hidden="1">#REF!</definedName>
    <definedName name="Z_F4AAFAEB_D28F_11D5_A210_0000E8DA5A4F_.wvu.FilterData" hidden="1">#REF!</definedName>
    <definedName name="Z_F4AAFAED_D28F_11D5_A210_0000E8DA5A4F_.wvu.FilterData" localSheetId="5" hidden="1">#REF!</definedName>
    <definedName name="Z_F4AAFAED_D28F_11D5_A210_0000E8DA5A4F_.wvu.FilterData" localSheetId="4" hidden="1">#REF!</definedName>
    <definedName name="Z_F4AAFAED_D28F_11D5_A210_0000E8DA5A4F_.wvu.FilterData" hidden="1">#REF!</definedName>
    <definedName name="zdfhzdh" localSheetId="5" hidden="1">{#N/A,#N/A,FALSE,"CCTV"}</definedName>
    <definedName name="zdfhzdh" hidden="1">{#N/A,#N/A,FALSE,"CCTV"}</definedName>
    <definedName name="zdnfhioesjn" localSheetId="5" hidden="1">{"'Sheet1'!$L$16"}</definedName>
    <definedName name="zdnfhioesjn" hidden="1">{"'Sheet1'!$L$16"}</definedName>
    <definedName name="zdsg" localSheetId="5" hidden="1">{"F3 detail",#N/A,FALSE,"F1";"F3 Presentation",#N/A,FALSE,"F3 "}</definedName>
    <definedName name="zdsg" hidden="1">{"F3 detail",#N/A,FALSE,"F1";"F3 Presentation",#N/A,FALSE,"F3 "}</definedName>
    <definedName name="ZDWWAA" localSheetId="5" hidden="1">{#N/A,#N/A,TRUE,"Data Elements-Staffing";#N/A,#N/A,TRUE,"Data Elements-Exp Driv &amp; Assump";#N/A,#N/A,TRUE,"Staffing Sheet";#N/A,#N/A,TRUE,"Income";#N/A,#N/A,TRUE,"Income Summary";#N/A,#N/A,TRUE,"Staffing Summary"}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localSheetId="5" hidden="1">{"'Sheet1'!$L$16"}</definedName>
    <definedName name="zdyhdh" hidden="1">{"'Sheet1'!$L$16"}</definedName>
    <definedName name="zezuje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localSheetId="5" hidden="1">{#N/A,#N/A,FALSE,"CCTV"}</definedName>
    <definedName name="ZGCH" hidden="1">{#N/A,#N/A,FALSE,"CCTV"}</definedName>
    <definedName name="zirtzi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localSheetId="5" hidden="1">{"F3 detail",#N/A,FALSE,"F1";"F3 Presentation",#N/A,FALSE,"F3 "}</definedName>
    <definedName name="zsv" hidden="1">{"F3 detail",#N/A,FALSE,"F1";"F3 Presentation",#N/A,FALSE,"F3 "}</definedName>
    <definedName name="zueu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5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localSheetId="5" hidden="1">{"'매출계획'!$D$2"}</definedName>
    <definedName name="ZXC" hidden="1">{"'매출계획'!$D$2"}</definedName>
    <definedName name="zz" localSheetId="5" hidden="1">{"cashflow",#N/A,FALSE,"CASHFLOW "}</definedName>
    <definedName name="zz" hidden="1">{"cashflow",#N/A,FALSE,"CASHFLOW "}</definedName>
    <definedName name="zzz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localSheetId="5" hidden="1">{"TAG1AGMS",#N/A,FALSE,"TAG 1A"}</definedName>
    <definedName name="zzzzz" hidden="1">{"TAG1AGMS",#N/A,FALSE,"TAG 1A"}</definedName>
    <definedName name="zzzzzzzz" localSheetId="5" hidden="1">{"'ตัวอย่าง'!$A$1:$O$21"}</definedName>
    <definedName name="zzzzzzzz" hidden="1">{"'ตัวอย่าง'!$A$1:$O$21"}</definedName>
    <definedName name="まとめ2" localSheetId="5" hidden="1">#REF!</definedName>
    <definedName name="まとめ2" localSheetId="4" hidden="1">#REF!</definedName>
    <definedName name="まとめ2" hidden="1">#REF!</definedName>
    <definedName name="เก่าSkK" localSheetId="5" hidden="1">{"'ตัวอย่าง'!$A$1:$O$21"}</definedName>
    <definedName name="เก่าSkK" hidden="1">{"'ตัวอย่าง'!$A$1:$O$21"}</definedName>
    <definedName name="เด่น" localSheetId="5" hidden="1">{"'TOTAL'!$A$1:$AG$20"}</definedName>
    <definedName name="เด่น" hidden="1">{"'TOTAL'!$A$1:$AG$20"}</definedName>
    <definedName name="เม.ย" localSheetId="5" hidden="1">{"'ตัวอย่าง'!$A$1:$O$21"}</definedName>
    <definedName name="เม.ย" hidden="1">{"'ตัวอย่าง'!$A$1:$O$21"}</definedName>
    <definedName name="เมษายน" localSheetId="5" hidden="1">{"'ตัวอย่าง'!$A$1:$O$21"}</definedName>
    <definedName name="เมษายน" hidden="1">{"'ตัวอย่าง'!$A$1:$O$21"}</definedName>
    <definedName name="เมษายน๑" localSheetId="5" hidden="1">{"'ตัวอย่าง'!$A$1:$O$21"}</definedName>
    <definedName name="เมษายน๑" hidden="1">{"'ตัวอย่าง'!$A$1:$O$21"}</definedName>
    <definedName name="เอกสารแนบ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localSheetId="5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localSheetId="5" hidden="1">{"TL Current month TB. &amp; B / T",#N/A,FALSE,"DOMESTIC &amp; EXPORT_TL";"TL YTD TB. &amp; B / T",#N/A,FALSE,"DOMESTIC &amp; EXPORT_TL"}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localSheetId="5" hidden="1">{#N/A,#N/A,FALSE,"TL";#N/A,#N/A,FALSE,"KK";#N/A,#N/A,FALSE,"TS";#N/A,#N/A,FALSE,"KW";#N/A,#N/A,FALSE,"LP";#N/A,#N/A,FALSE,"DC"}</definedName>
    <definedName name="เอกสารแนบ8" hidden="1">{#N/A,#N/A,FALSE,"TL";#N/A,#N/A,FALSE,"KK";#N/A,#N/A,FALSE,"TS";#N/A,#N/A,FALSE,"KW";#N/A,#N/A,FALSE,"LP";#N/A,#N/A,FALSE,"DC"}</definedName>
    <definedName name="แ" localSheetId="5" hidden="1">{"'ตัวอย่าง'!$A$1:$O$21"}</definedName>
    <definedName name="แ" hidden="1">{"'ตัวอย่าง'!$A$1:$O$21"}</definedName>
    <definedName name="แนบ" localSheetId="5" hidden="1">{"PRINT_EST",#N/A,FALSE,"ESTMON"}</definedName>
    <definedName name="แนบ" hidden="1">{"PRINT_EST",#N/A,FALSE,"ESTMON"}</definedName>
    <definedName name="ใ" localSheetId="5" hidden="1">{"'TOTAL'!$A$1:$AG$20"}</definedName>
    <definedName name="ใ" hidden="1">{"'TOTAL'!$A$1:$AG$20"}</definedName>
    <definedName name="ก" localSheetId="5" hidden="1">{"index",#N/A,FALSE,"INDEX"}</definedName>
    <definedName name="ก" hidden="1">{"index",#N/A,FALSE,"INDEX"}</definedName>
    <definedName name="กก" localSheetId="5" hidden="1">{"revsale",#N/A,FALSE,"REV-ยุพดี"}</definedName>
    <definedName name="กก" hidden="1">{"revsale",#N/A,FALSE,"REV-ยุพดี"}</definedName>
    <definedName name="กกกกกก" localSheetId="5" hidden="1">{"PRINT_EST",#N/A,FALSE,"ESTMON"}</definedName>
    <definedName name="กกกกกก" hidden="1">{"PRINT_EST",#N/A,FALSE,"ESTMON"}</definedName>
    <definedName name="กดฟหกด" localSheetId="5" hidden="1">{"'ตัวอย่าง'!$A$1:$O$21"}</definedName>
    <definedName name="กดฟหกด" hidden="1">{"'ตัวอย่าง'!$A$1:$O$21"}</definedName>
    <definedName name="กหดฟห" localSheetId="5" hidden="1">{"cashflow",#N/A,FALSE,"CASHFLOW "}</definedName>
    <definedName name="กหดฟห" hidden="1">{"cashflow",#N/A,FALSE,"CASHFLOW "}</definedName>
    <definedName name="กิจกรรม" localSheetId="5" hidden="1">{"'TOTAL'!$A$1:$AG$20"}</definedName>
    <definedName name="กิจกรรม" hidden="1">{"'TOTAL'!$A$1:$AG$20"}</definedName>
    <definedName name="กิจกรรมคปภ.ก.ย.51" localSheetId="5" hidden="1">{"'TOTAL'!$A$1:$AG$20"}</definedName>
    <definedName name="กิจกรรมคปภ.ก.ย.51" hidden="1">{"'TOTAL'!$A$1:$AG$20"}</definedName>
    <definedName name="คีรี" localSheetId="5" hidden="1">{"'TOTAL'!$A$1:$AG$20"}</definedName>
    <definedName name="คีรี" hidden="1">{"'TOTAL'!$A$1:$AG$20"}</definedName>
    <definedName name="คึรึ" localSheetId="5" hidden="1">{"'TOTAL'!$A$1:$AG$20"}</definedName>
    <definedName name="คึรึ" hidden="1">{"'TOTAL'!$A$1:$AG$20"}</definedName>
    <definedName name="งงงง" localSheetId="5" hidden="1">{"'ตัวอย่าง'!$A$1:$O$21"}</definedName>
    <definedName name="งงงง" hidden="1">{"'ตัวอย่าง'!$A$1:$O$21"}</definedName>
    <definedName name="งบลงทุน50" localSheetId="5" hidden="1">{"cashflow",#N/A,FALSE,"CASHFLOW "}</definedName>
    <definedName name="งบลงทุน50" hidden="1">{"cashflow",#N/A,FALSE,"CASHFLOW "}</definedName>
    <definedName name="ชัยเจริญมารีน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localSheetId="5" hidden="1">{#N/A,#N/A,FALSE,"PM1";#N/A,#N/A,FALSE,"PM2";#N/A,#N/A,FALSE,"PM3";#N/A,#N/A,FALSE,"PM4";#N/A,#N/A,FALSE,"PM5";#N/A,#N/A,FALSE,"PM6";#N/A,#N/A,FALSE,"CM1"}</definedName>
    <definedName name="ฏะฟรส" hidden="1">{#N/A,#N/A,FALSE,"PM1";#N/A,#N/A,FALSE,"PM2";#N/A,#N/A,FALSE,"PM3";#N/A,#N/A,FALSE,"PM4";#N/A,#N/A,FALSE,"PM5";#N/A,#N/A,FALSE,"PM6";#N/A,#N/A,FALSE,"CM1"}</definedName>
    <definedName name="ด" localSheetId="5" hidden="1">{"'ตัวอย่าง'!$A$1:$O$21"}</definedName>
    <definedName name="ด" hidden="1">{"'ตัวอย่าง'!$A$1:$O$21"}</definedName>
    <definedName name="ดด" localSheetId="5" hidden="1">{"'ตัวอย่าง'!$A$1:$O$21"}</definedName>
    <definedName name="ดด" hidden="1">{"'ตัวอย่าง'!$A$1:$O$21"}</definedName>
    <definedName name="ดา" localSheetId="5" hidden="1">{"'ตัวอย่าง'!$A$1:$O$21"}</definedName>
    <definedName name="ดา" hidden="1">{"'ตัวอย่าง'!$A$1:$O$21"}</definedName>
    <definedName name="ดารา" localSheetId="5" hidden="1">{"'ตัวอย่าง'!$A$1:$O$21"}</definedName>
    <definedName name="ดารา" hidden="1">{"'ตัวอย่าง'!$A$1:$O$21"}</definedName>
    <definedName name="ทท" localSheetId="5" hidden="1">{"'Bidfailed'!$D$2:$AB$14","'Bidfailed'!$D$4:$AB$4"}</definedName>
    <definedName name="ทท" hidden="1">{"'Bidfailed'!$D$2:$AB$14","'Bidfailed'!$D$4:$AB$4"}</definedName>
    <definedName name="ปั๊มดูดน้ำมันเก่าเข้า" localSheetId="5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5" hidden="1">{"'ตัวอย่าง'!$A$1:$O$21"}</definedName>
    <definedName name="ปั๊มน้ำท้าย" hidden="1">{"'ตัวอย่าง'!$A$1:$O$21"}</definedName>
    <definedName name="ปืน" localSheetId="5" hidden="1">{"'ตัวอย่าง'!$A$1:$O$21"}</definedName>
    <definedName name="ปืน" hidden="1">{"'ตัวอย่าง'!$A$1:$O$21"}</definedName>
    <definedName name="พ" localSheetId="5" hidden="1">{"'ตัวอย่าง'!$A$1:$O$21"}</definedName>
    <definedName name="พ" hidden="1">{"'ตัวอย่าง'!$A$1:$O$21"}</definedName>
    <definedName name="พ.ค." localSheetId="5" hidden="1">{"'ตัวอย่าง'!$A$1:$O$21"}</definedName>
    <definedName name="พ.ค." hidden="1">{"'ตัวอย่าง'!$A$1:$O$21"}</definedName>
    <definedName name="พด" localSheetId="5" hidden="1">{"'ตัวอย่าง'!$A$1:$O$21"}</definedName>
    <definedName name="พด" hidden="1">{"'ตัวอย่าง'!$A$1:$O$21"}</definedName>
    <definedName name="พฤษภาคม" localSheetId="5" hidden="1">{"'ตัวอย่าง'!$A$1:$O$21"}</definedName>
    <definedName name="พฤษภาคม" hidden="1">{"'ตัวอย่าง'!$A$1:$O$21"}</definedName>
    <definedName name="ฟ" localSheetId="5" hidden="1">{"hilight2",#N/A,FALSE,"HILIGHT2"}</definedName>
    <definedName name="ฟ" hidden="1">{"hilight2",#N/A,FALSE,"HILIGHT2"}</definedName>
    <definedName name="ฟฟ" localSheetId="5" hidden="1">{"'Bidfailed'!$D$2:$AB$14","'Bidfailed'!$D$4:$AB$4"}</definedName>
    <definedName name="ฟฟ" hidden="1">{"'Bidfailed'!$D$2:$AB$14","'Bidfailed'!$D$4:$AB$4"}</definedName>
    <definedName name="ฟฟฟ" localSheetId="5" hidden="1">{"'TOTAL'!$A$1:$AG$20"}</definedName>
    <definedName name="ฟฟฟ" hidden="1">{"'TOTAL'!$A$1:$AG$20"}</definedName>
    <definedName name="ฟฟฟฟฟ" localSheetId="5" hidden="1">{"'ตัวอย่าง'!$A$1:$O$21"}</definedName>
    <definedName name="ฟฟฟฟฟ" hidden="1">{"'ตัวอย่าง'!$A$1:$O$21"}</definedName>
    <definedName name="ฟภ" localSheetId="5" hidden="1">{"index",#N/A,FALSE,"INDEX"}</definedName>
    <definedName name="ฟภ" hidden="1">{"index",#N/A,FALSE,"INDEX"}</definedName>
    <definedName name="ฟหด" localSheetId="5" hidden="1">{"'ตัวอย่าง'!$A$1:$O$21"}</definedName>
    <definedName name="ฟหด" hidden="1">{"'ตัวอย่าง'!$A$1:$O$21"}</definedName>
    <definedName name="ฟำ" localSheetId="5" hidden="1">{"'ตัวอย่าง'!$A$1:$O$21"}</definedName>
    <definedName name="ฟำ" hidden="1">{"'ตัวอย่าง'!$A$1:$O$21"}</definedName>
    <definedName name="ฟำดฟำ" localSheetId="5" hidden="1">{"'ตัวอย่าง'!$A$1:$O$21"}</definedName>
    <definedName name="ฟำดฟำ" hidden="1">{"'ตัวอย่าง'!$A$1:$O$21"}</definedName>
    <definedName name="ม.ค.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localSheetId="5" hidden="1">{"'ตัวอย่าง'!$A$1:$O$21"}</definedName>
    <definedName name="ยยยยยยยยยยยย" hidden="1">{"'ตัวอย่าง'!$A$1:$O$21"}</definedName>
    <definedName name="รง." localSheetId="5" hidden="1">{"'TOTAL'!$A$1:$AG$20"}</definedName>
    <definedName name="รง." hidden="1">{"'TOTAL'!$A$1:$AG$20"}</definedName>
    <definedName name="รรีร" localSheetId="5" hidden="1">{"'TOTAL'!$A$1:$AG$20"}</definedName>
    <definedName name="รรีร" hidden="1">{"'TOTAL'!$A$1:$AG$20"}</definedName>
    <definedName name="ระบบโฟม" localSheetId="5" hidden="1">{"'ตัวอย่าง'!$A$1:$O$21"}</definedName>
    <definedName name="ระบบโฟม" hidden="1">{"'ตัวอย่าง'!$A$1:$O$21"}</definedName>
    <definedName name="ววว" localSheetId="5" hidden="1">{"'TOTAL'!$A$1:$AG$20"}</definedName>
    <definedName name="ววว" hidden="1">{"'TOTAL'!$A$1:$AG$20"}</definedName>
    <definedName name="ศูนย์พัฒนา" localSheetId="5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5" hidden="1">{"'ตัวอย่าง'!$A$1:$O$21"}</definedName>
    <definedName name="ห" hidden="1">{"'ตัวอย่าง'!$A$1:$O$21"}</definedName>
    <definedName name="หนองคาย" localSheetId="5" hidden="1">{"'TOTAL'!$A$1:$AG$20"}</definedName>
    <definedName name="หนองคาย" hidden="1">{"'TOTAL'!$A$1:$AG$20"}</definedName>
    <definedName name="ห้าปี" localSheetId="5" hidden="1">{"'Bidfailed'!$D$2:$AB$14","'Bidfailed'!$D$4:$AB$4"}</definedName>
    <definedName name="ห้าปี" hidden="1">{"'Bidfailed'!$D$2:$AB$14","'Bidfailed'!$D$4:$AB$4"}</definedName>
    <definedName name="ๆๆๆๆๆ" localSheetId="5" hidden="1">{"'ตัวอย่าง'!$A$1:$O$21"}</definedName>
    <definedName name="ๆๆๆๆๆ" hidden="1">{"'ตัวอย่าง'!$A$1:$O$21"}</definedName>
    <definedName name="가공" localSheetId="5" hidden="1">{"'매출계획'!$D$2"}</definedName>
    <definedName name="가공" hidden="1">{"'매출계획'!$D$2"}</definedName>
    <definedName name="간지" localSheetId="5" hidden="1">{#N/A,#N/A,FALSE,"CCTV"}</definedName>
    <definedName name="간지" hidden="1">{#N/A,#N/A,FALSE,"CCTV"}</definedName>
    <definedName name="갑지" localSheetId="5" hidden="1">{#N/A,#N/A,FALSE,"CCTV"}</definedName>
    <definedName name="갑지" hidden="1">{#N/A,#N/A,FALSE,"CCTV"}</definedName>
    <definedName name="강안" localSheetId="5" hidden="1">{"'매출계획'!$D$2"}</definedName>
    <definedName name="강안" hidden="1">{"'매출계획'!$D$2"}</definedName>
    <definedName name="건조과" localSheetId="5" hidden="1">{"'매출계획'!$D$2"}</definedName>
    <definedName name="건조과" hidden="1">{"'매출계획'!$D$2"}</definedName>
    <definedName name="견적" localSheetId="5" hidden="1">{#N/A,#N/A,FALSE,"CCTV"}</definedName>
    <definedName name="견적" hidden="1">{#N/A,#N/A,FALSE,"CCTV"}</definedName>
    <definedName name="견적2" localSheetId="5" hidden="1">{#N/A,#N/A,FALSE,"CCTV"}</definedName>
    <definedName name="견적2" hidden="1">{#N/A,#N/A,FALSE,"CCTV"}</definedName>
    <definedName name="견적SHEET" localSheetId="5" hidden="1">{#N/A,#N/A,FALSE,"CCTV"}</definedName>
    <definedName name="견적SHEET" hidden="1">{#N/A,#N/A,FALSE,"CCTV"}</definedName>
    <definedName name="그래" localSheetId="5" hidden="1">{"'매출계획'!$D$2"}</definedName>
    <definedName name="그래" hidden="1">{"'매출계획'!$D$2"}</definedName>
    <definedName name="기성보고" localSheetId="5" hidden="1">{#N/A,#N/A,FALSE,"CCTV"}</definedName>
    <definedName name="기성보고" hidden="1">{#N/A,#N/A,FALSE,"CCTV"}</definedName>
    <definedName name="ㄴㄴㄴ" localSheetId="5" hidden="1">{"'매출계획'!$D$2"}</definedName>
    <definedName name="ㄴㄴㄴ" hidden="1">{"'매출계획'!$D$2"}</definedName>
    <definedName name="ㄴㄷㄳ" localSheetId="5" hidden="1">{"'매출계획'!$D$2"}</definedName>
    <definedName name="ㄴㄷㄳ" hidden="1">{"'매출계획'!$D$2"}</definedName>
    <definedName name="ㄴ석ㅎ" localSheetId="5" hidden="1">{"'매출계획'!$D$2"}</definedName>
    <definedName name="ㄴ석ㅎ" hidden="1">{"'매출계획'!$D$2"}</definedName>
    <definedName name="ㄴㅇㄹ호" localSheetId="5" hidden="1">{"'매출계획'!$D$2"}</definedName>
    <definedName name="ㄴㅇㄹ호" hidden="1">{"'매출계획'!$D$2"}</definedName>
    <definedName name="ㄴㅇ론ㄹ" localSheetId="5" hidden="1">{"'매출계획'!$D$2"}</definedName>
    <definedName name="ㄴㅇ론ㄹ" hidden="1">{"'매출계획'!$D$2"}</definedName>
    <definedName name="ㄴㅇㅀ" localSheetId="5" hidden="1">{"'매출계획'!$D$2"}</definedName>
    <definedName name="ㄴㅇㅀ" hidden="1">{"'매출계획'!$D$2"}</definedName>
    <definedName name="ㄴㅇㅁ" localSheetId="5" hidden="1">{"'매출계획'!$D$2"}</definedName>
    <definedName name="ㄴㅇㅁ" hidden="1">{"'매출계획'!$D$2"}</definedName>
    <definedName name="ㄴㅇㅁㅁㄴ" localSheetId="5" hidden="1">{"'매출계획'!$D$2"}</definedName>
    <definedName name="ㄴㅇㅁㅁㄴ" hidden="1">{"'매출계획'!$D$2"}</definedName>
    <definedName name="ㄴㅇㅁㅇㅁㄴ" localSheetId="5" hidden="1">{"'매출계획'!$D$2"}</definedName>
    <definedName name="ㄴㅇㅁㅇㅁㄴ" hidden="1">{"'매출계획'!$D$2"}</definedName>
    <definedName name="ㄴㅇㅎ" localSheetId="5" hidden="1">{"'매출계획'!$D$2"}</definedName>
    <definedName name="ㄴㅇㅎ" hidden="1">{"'매출계획'!$D$2"}</definedName>
    <definedName name="ㄷㄳ" localSheetId="5" hidden="1">{"'매출계획'!$D$2"}</definedName>
    <definedName name="ㄷㄳ" hidden="1">{"'매출계획'!$D$2"}</definedName>
    <definedName name="도장" localSheetId="5" hidden="1">{"'매출계획'!$D$2"}</definedName>
    <definedName name="도장" hidden="1">{"'매출계획'!$D$2"}</definedName>
    <definedName name="도장151" localSheetId="5" hidden="1">{"'매출계획'!$D$2"}</definedName>
    <definedName name="도장151" hidden="1">{"'매출계획'!$D$2"}</definedName>
    <definedName name="도장152" localSheetId="5" hidden="1">{"'매출계획'!$D$2"}</definedName>
    <definedName name="도장152" hidden="1">{"'매출계획'!$D$2"}</definedName>
    <definedName name="도장신" localSheetId="5" hidden="1">{"'매출계획'!$D$2"}</definedName>
    <definedName name="도장신" hidden="1">{"'매출계획'!$D$2"}</definedName>
    <definedName name="ㄹㄹ" localSheetId="5" hidden="1">{"'매출계획'!$D$2"}</definedName>
    <definedName name="ㄹㄹ" hidden="1">{"'매출계획'!$D$2"}</definedName>
    <definedName name="ㄹㄹㄹ" localSheetId="5" hidden="1">{"'매출계획'!$D$2"}</definedName>
    <definedName name="ㄹㄹㄹ" hidden="1">{"'매출계획'!$D$2"}</definedName>
    <definedName name="ㄹ호" localSheetId="5" hidden="1">{"'매출계획'!$D$2"}</definedName>
    <definedName name="ㄹ호" hidden="1">{"'매출계획'!$D$2"}</definedName>
    <definedName name="래그" localSheetId="5" hidden="1">{#N/A,#N/A,FALSE,"CCTV"}</definedName>
    <definedName name="래그" hidden="1">{#N/A,#N/A,FALSE,"CCTV"}</definedName>
    <definedName name="롷" localSheetId="5" hidden="1">{"'매출계획'!$D$2"}</definedName>
    <definedName name="롷" hidden="1">{"'매출계획'!$D$2"}</definedName>
    <definedName name="ㅁ" localSheetId="5" hidden="1">{#N/A,#N/A,FALSE,"CCTV"}</definedName>
    <definedName name="ㅁ" hidden="1">{#N/A,#N/A,FALSE,"CCTV"}</definedName>
    <definedName name="ㅁㄴ" localSheetId="5" hidden="1">{"'매출계획'!$D$2"}</definedName>
    <definedName name="ㅁㄴ" hidden="1">{"'매출계획'!$D$2"}</definedName>
    <definedName name="ㅁㄴㅁㄴㅇ" localSheetId="5" hidden="1">{"'매출계획'!$D$2"}</definedName>
    <definedName name="ㅁㄴㅁㄴㅇ" hidden="1">{"'매출계획'!$D$2"}</definedName>
    <definedName name="ㅁㄹㅇ" localSheetId="5" hidden="1">{"'매출계획'!$D$2"}</definedName>
    <definedName name="ㅁㄹㅇ" hidden="1">{"'매출계획'!$D$2"}</definedName>
    <definedName name="ㅁㅁㅁ" localSheetId="5" hidden="1">{"'매출계획'!$D$2"}</definedName>
    <definedName name="ㅁㅁㅁ" hidden="1">{"'매출계획'!$D$2"}</definedName>
    <definedName name="ㅁㅅ" localSheetId="5" hidden="1">{"'매출계획'!$D$2"}</definedName>
    <definedName name="ㅁㅅ" hidden="1">{"'매출계획'!$D$2"}</definedName>
    <definedName name="ㅁㅇ" localSheetId="5" hidden="1">{"'매출계획'!$D$2"}</definedName>
    <definedName name="ㅁㅇ" hidden="1">{"'매출계획'!$D$2"}</definedName>
    <definedName name="몰라" localSheetId="5" hidden="1">{"'매출계획'!$D$2"}</definedName>
    <definedName name="몰라" hidden="1">{"'매출계획'!$D$2"}</definedName>
    <definedName name="물랭집계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localSheetId="5" hidden="1">{"'매출계획'!$D$2"}</definedName>
    <definedName name="뭐고" hidden="1">{"'매출계획'!$D$2"}</definedName>
    <definedName name="ㅂㅂㅂ" localSheetId="5" hidden="1">{"'매출계획'!$D$2"}</definedName>
    <definedName name="ㅂㅂㅂ" hidden="1">{"'매출계획'!$D$2"}</definedName>
    <definedName name="ㅂㅈㄷ" localSheetId="5" hidden="1">{"'매출계획'!$D$2"}</definedName>
    <definedName name="ㅂㅈㄷ" hidden="1">{"'매출계획'!$D$2"}</definedName>
    <definedName name="법인세4.6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localSheetId="5" hidden="1">{"'매출계획'!$D$2"}</definedName>
    <definedName name="보고333" hidden="1">{"'매출계획'!$D$2"}</definedName>
    <definedName name="보고3333" localSheetId="5" hidden="1">{"'매출계획'!$D$2"}</definedName>
    <definedName name="보고3333" hidden="1">{"'매출계획'!$D$2"}</definedName>
    <definedName name="사내추가" localSheetId="5" hidden="1">{"'매출계획'!$D$2"}</definedName>
    <definedName name="사내추가" hidden="1">{"'매출계획'!$D$2"}</definedName>
    <definedName name="상각비2" localSheetId="5" hidden="1">#REF!</definedName>
    <definedName name="상각비2" localSheetId="4" hidden="1">#REF!</definedName>
    <definedName name="상각비2" hidden="1">#REF!</definedName>
    <definedName name="샘풀카피" localSheetId="5" hidden="1">{#N/A,#N/A,FALSE,"CCTV"}</definedName>
    <definedName name="샘풀카피" hidden="1">{#N/A,#N/A,FALSE,"CCTV"}</definedName>
    <definedName name="샘플카피2" localSheetId="5" hidden="1">{#N/A,#N/A,FALSE,"CCTV"}</definedName>
    <definedName name="샘플카피2" hidden="1">{#N/A,#N/A,FALSE,"CCTV"}</definedName>
    <definedName name="샘플카피3" localSheetId="5" hidden="1">{#N/A,#N/A,FALSE,"CCTV"}</definedName>
    <definedName name="샘플카피3" hidden="1">{#N/A,#N/A,FALSE,"CCTV"}</definedName>
    <definedName name="생산능력" localSheetId="5" hidden="1">{"'매출계획'!$D$2"}</definedName>
    <definedName name="생산능력" hidden="1">{"'매출계획'!$D$2"}</definedName>
    <definedName name="신조매출" localSheetId="5" hidden="1">{"'매출계획'!$D$2"}</definedName>
    <definedName name="신조매출" hidden="1">{"'매출계획'!$D$2"}</definedName>
    <definedName name="ㅇㅇㅇ" localSheetId="5" hidden="1">{"'매출계획'!$D$2"}</definedName>
    <definedName name="ㅇㅇㅇ" hidden="1">{"'매출계획'!$D$2"}</definedName>
    <definedName name="양" localSheetId="5" hidden="1">{#N/A,#N/A,FALSE,"CCTV"}</definedName>
    <definedName name="양" hidden="1">{#N/A,#N/A,FALSE,"CCTV"}</definedName>
    <definedName name="연습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localSheetId="5" hidden="1">{"'매출계획'!$D$2"}</definedName>
    <definedName name="예산" hidden="1">{"'매출계획'!$D$2"}</definedName>
    <definedName name="ㅈㅂㄷㅈ" localSheetId="5" hidden="1">{"'매출계획'!$D$2"}</definedName>
    <definedName name="ㅈㅂㄷㅈ" hidden="1">{"'매출계획'!$D$2"}</definedName>
    <definedName name="ㅈㅈ" localSheetId="5" hidden="1">{"'매출계획'!$D$2"}</definedName>
    <definedName name="ㅈㅈ" hidden="1">{"'매출계획'!$D$2"}</definedName>
    <definedName name="조건2" localSheetId="5" hidden="1">{#N/A,#N/A,FALSE,"CCTV"}</definedName>
    <definedName name="조건2" hidden="1">{#N/A,#N/A,FALSE,"CCTV"}</definedName>
    <definedName name="조립LOAD" localSheetId="5" hidden="1">{"'매출계획'!$D$2"}</definedName>
    <definedName name="조립LOAD" hidden="1">{"'매출계획'!$D$2"}</definedName>
    <definedName name="조정" localSheetId="5" hidden="1">{"'매출계획'!$D$2"}</definedName>
    <definedName name="조정" hidden="1">{"'매출계획'!$D$2"}</definedName>
    <definedName name="증가공수" localSheetId="5" hidden="1">{"'매출계획'!$D$2"}</definedName>
    <definedName name="증가공수" hidden="1">{"'매출계획'!$D$2"}</definedName>
    <definedName name="지ㅣ지" localSheetId="5" hidden="1">{"'매출계획'!$D$2"}</definedName>
    <definedName name="지ㅣ지" hidden="1">{"'매출계획'!$D$2"}</definedName>
    <definedName name="ㅊ퓨" localSheetId="5" hidden="1">{"'매출계획'!$D$2"}</definedName>
    <definedName name="ㅊ퓨" hidden="1">{"'매출계획'!$D$2"}</definedName>
    <definedName name="ㅊ호" localSheetId="5" hidden="1">{"'매출계획'!$D$2"}</definedName>
    <definedName name="ㅊ호" hidden="1">{"'매출계획'!$D$2"}</definedName>
    <definedName name="추가공수" localSheetId="5" hidden="1">{"'매출계획'!$D$2"}</definedName>
    <definedName name="추가공수" hidden="1">{"'매출계획'!$D$2"}</definedName>
    <definedName name="탑재" localSheetId="5" hidden="1">{"'매출계획'!$D$2"}</definedName>
    <definedName name="탑재" hidden="1">{"'매출계획'!$D$2"}</definedName>
    <definedName name="태안도장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localSheetId="5" hidden="1">{"'매출계획'!$D$2"}</definedName>
    <definedName name="ㅎㅇㅀㄴㅇㅎ" hidden="1">{"'매출계획'!$D$2"}</definedName>
    <definedName name="ㅎㅎㅎ" localSheetId="5" hidden="1">{"'매출계획'!$D$2"}</definedName>
    <definedName name="ㅎㅎㅎ" hidden="1">{"'매출계획'!$D$2"}</definedName>
    <definedName name="호호" localSheetId="5" hidden="1">{"'매출계획'!$D$2"}</definedName>
    <definedName name="호호" hidden="1">{"'매출계획'!$D$2"}</definedName>
    <definedName name="ㅏㅏㅏ" localSheetId="5" hidden="1">{"'매출계획'!$D$2"}</definedName>
    <definedName name="ㅏㅏㅏ" hidden="1">{"'매출계획'!$D$2"}</definedName>
    <definedName name="ㅓㅓㅓ" localSheetId="5" hidden="1">{"'매출계획'!$D$2"}</definedName>
    <definedName name="ㅓㅓㅓ" hidden="1">{"'매출계획'!$D$2"}</definedName>
    <definedName name="ㅗㅗㅗㅗ" localSheetId="5" hidden="1">{"'매출계획'!$D$2"}</definedName>
    <definedName name="ㅗㅗㅗㅗ" hidden="1">{"'매출계획'!$D$2"}</definedName>
    <definedName name="ㅛ샤" localSheetId="5" hidden="1">{"'매출계획'!$D$2"}</definedName>
    <definedName name="ㅛ샤" hidden="1">{"'매출계획'!$D$2"}</definedName>
    <definedName name="ㅛㅏㄹ" localSheetId="5" hidden="1">{"'매출계획'!$D$2"}</definedName>
    <definedName name="ㅛㅏㄹ" hidden="1">{"'매출계획'!$D$2"}</definedName>
    <definedName name="ㅠ" localSheetId="5" hidden="1">{#N/A,#N/A,FALSE,"CCTV"}</definedName>
    <definedName name="ㅠ" hidden="1">{#N/A,#N/A,FALSE,"CCTV"}</definedName>
    <definedName name="土建" localSheetId="5" hidden="1">{"'照明目录'!$A$1:$H$31"}</definedName>
    <definedName name="土建" hidden="1">{"'照明目录'!$A$1:$H$31"}</definedName>
    <definedName name="土建2" localSheetId="5" hidden="1">{"'照明目录'!$A$1:$H$31"}</definedName>
    <definedName name="土建2" hidden="1">{"'照明目录'!$A$1:$H$31"}</definedName>
    <definedName name="好听" localSheetId="5" hidden="1">{"'照明目录'!$A$1:$H$31"}</definedName>
    <definedName name="好听" hidden="1">{"'照明目录'!$A$1:$H$31"}</definedName>
    <definedName name="才了" localSheetId="5" hidden="1">{"'照明目录'!$A$1:$H$31"}</definedName>
    <definedName name="才了" hidden="1">{"'照明目录'!$A$1:$H$31"}</definedName>
    <definedName name="新" localSheetId="5" hidden="1">{#N/A,#N/A,FALSE,"m66";#N/A,#N/A,FALSE,"m66"}</definedName>
    <definedName name="新" hidden="1">{#N/A,#N/A,FALSE,"m66";#N/A,#N/A,FALSE,"m66"}</definedName>
    <definedName name="春" localSheetId="5" hidden="1">{"'照明目录'!$A$1:$H$31"}</definedName>
    <definedName name="春" hidden="1">{"'照明目录'!$A$1:$H$31"}</definedName>
    <definedName name="汇编" localSheetId="5" hidden="1">{"'照明目录'!$A$1:$H$31"}</definedName>
    <definedName name="汇编" hidden="1">{"'照明目录'!$A$1:$H$31"}</definedName>
    <definedName name="汇编1" localSheetId="5" hidden="1">{"'照明目录'!$A$1:$H$31"}</definedName>
    <definedName name="汇编1" hidden="1">{"'照明目录'!$A$1:$H$31"}</definedName>
    <definedName name="石膏破碎及输送" localSheetId="5" hidden="1">{"'照明目录'!$A$1:$H$31"}</definedName>
    <definedName name="石膏破碎及输送" hidden="1">{"'照明目录'!$A$1:$H$31"}</definedName>
    <definedName name="自动空气开关" localSheetId="5" hidden="1">{"'照明目录'!$A$1:$H$31"}</definedName>
    <definedName name="自动空气开关" hidden="1">{"'照明目录'!$A$1:$H$31"}</definedName>
    <definedName name="阿嫂" localSheetId="5" hidden="1">{"'照明目录'!$A$1:$H$31"}</definedName>
    <definedName name="阿嫂" hidden="1">{"'照明目录'!$A$1:$H$31"}</definedName>
    <definedName name="阿瑟" localSheetId="5" hidden="1">{"'照明目录'!$A$1:$H$31"}</definedName>
    <definedName name="阿瑟" hidden="1">{"'照明目录'!$A$1:$H$31"}</definedName>
    <definedName name="随机配套" localSheetId="5" hidden="1">{"'照明目录'!$A$1:$H$31"}</definedName>
    <definedName name="随机配套" hidden="1">{"'照明目录'!$A$1:$H$31"}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2" i="81" l="1"/>
  <c r="AN32" i="81"/>
  <c r="AM32" i="81"/>
  <c r="AL32" i="81"/>
  <c r="AK32" i="81"/>
  <c r="AJ32" i="81"/>
  <c r="AS31" i="81"/>
  <c r="AS32" i="81" s="1"/>
  <c r="AR31" i="81"/>
  <c r="AR32" i="81" s="1"/>
  <c r="AQ31" i="81"/>
  <c r="AQ32" i="81" s="1"/>
  <c r="AP31" i="81"/>
  <c r="AP32" i="81" s="1"/>
  <c r="AO31" i="81"/>
  <c r="AN31" i="81"/>
  <c r="AM31" i="81"/>
  <c r="AL31" i="81"/>
  <c r="AK31" i="81"/>
  <c r="AJ31" i="81"/>
  <c r="AI32" i="81"/>
  <c r="AI31" i="81"/>
  <c r="K15" i="47"/>
  <c r="I10" i="47" l="1"/>
  <c r="I6" i="47"/>
  <c r="G4" i="47"/>
  <c r="G21" i="47"/>
  <c r="G20" i="47"/>
  <c r="G18" i="47"/>
  <c r="I15" i="47"/>
  <c r="K6" i="52" l="1"/>
  <c r="AO18" i="88" l="1"/>
  <c r="AM18" i="88"/>
  <c r="AJ18" i="88"/>
  <c r="AI18" i="88"/>
  <c r="AH18" i="88"/>
  <c r="AG18" i="88"/>
  <c r="AF18" i="88"/>
  <c r="AE18" i="88"/>
  <c r="AD18" i="88"/>
  <c r="AC18" i="88"/>
  <c r="AB18" i="88"/>
  <c r="AA18" i="88"/>
  <c r="Z18" i="88"/>
  <c r="Y18" i="88"/>
  <c r="W18" i="88"/>
  <c r="V18" i="88"/>
  <c r="U18" i="88"/>
  <c r="T18" i="88"/>
  <c r="S18" i="88"/>
  <c r="R18" i="88"/>
  <c r="Q18" i="88"/>
  <c r="P18" i="88"/>
  <c r="O18" i="88"/>
  <c r="N18" i="88"/>
  <c r="M18" i="88"/>
  <c r="L18" i="88"/>
  <c r="K18" i="88"/>
  <c r="J18" i="88"/>
  <c r="AK17" i="88"/>
  <c r="AQ17" i="88" s="1"/>
  <c r="AK16" i="88"/>
  <c r="AQ16" i="88" s="1"/>
  <c r="AO12" i="88"/>
  <c r="AM12" i="88"/>
  <c r="AJ12" i="88"/>
  <c r="AI12" i="88"/>
  <c r="AH12" i="88"/>
  <c r="AG12" i="88"/>
  <c r="AF12" i="88"/>
  <c r="AE12" i="88"/>
  <c r="AD12" i="88"/>
  <c r="AC12" i="88"/>
  <c r="AB12" i="88"/>
  <c r="AA12" i="88"/>
  <c r="Z12" i="88"/>
  <c r="Y12" i="88"/>
  <c r="J12" i="88"/>
  <c r="W11" i="88"/>
  <c r="AR11" i="88" s="1"/>
  <c r="AK5" i="88"/>
  <c r="AK12" i="88" s="1"/>
  <c r="AQ11" i="88" l="1"/>
  <c r="AR16" i="88"/>
  <c r="AR17" i="88"/>
  <c r="AK18" i="88"/>
  <c r="AR18" i="88" s="1"/>
  <c r="AQ18" i="88"/>
  <c r="J28" i="87"/>
  <c r="J58" i="87" s="1"/>
  <c r="J5" i="87"/>
  <c r="L12" i="39"/>
  <c r="M12" i="39"/>
  <c r="N12" i="39"/>
  <c r="O12" i="39"/>
  <c r="P12" i="39"/>
  <c r="Q12" i="39"/>
  <c r="R12" i="39"/>
  <c r="S12" i="39"/>
  <c r="K12" i="39"/>
  <c r="G22" i="47"/>
  <c r="L20" i="39"/>
  <c r="M20" i="39"/>
  <c r="N20" i="39"/>
  <c r="O20" i="39"/>
  <c r="P20" i="39"/>
  <c r="Q20" i="39"/>
  <c r="R20" i="39"/>
  <c r="S20" i="39"/>
  <c r="K20" i="39"/>
  <c r="O41" i="84" l="1"/>
  <c r="P41" i="84"/>
  <c r="Q41" i="84"/>
  <c r="R41" i="84"/>
  <c r="S41" i="84"/>
  <c r="T41" i="84"/>
  <c r="U41" i="84"/>
  <c r="V41" i="84"/>
  <c r="N41" i="84"/>
  <c r="AO19" i="86" l="1"/>
  <c r="AM19" i="86"/>
  <c r="AJ19" i="86"/>
  <c r="AI19" i="86"/>
  <c r="AH19" i="86"/>
  <c r="AG19" i="86"/>
  <c r="AF19" i="86"/>
  <c r="AE19" i="86"/>
  <c r="AD19" i="86"/>
  <c r="AC19" i="86"/>
  <c r="AB19" i="86"/>
  <c r="AA19" i="86"/>
  <c r="Z19" i="86"/>
  <c r="Y19" i="86"/>
  <c r="W19" i="86"/>
  <c r="V19" i="86"/>
  <c r="U19" i="86"/>
  <c r="T19" i="86"/>
  <c r="S19" i="86"/>
  <c r="R19" i="86"/>
  <c r="Q19" i="86"/>
  <c r="P19" i="86"/>
  <c r="O19" i="86"/>
  <c r="N19" i="86"/>
  <c r="M19" i="86"/>
  <c r="L19" i="86"/>
  <c r="K19" i="86"/>
  <c r="J19" i="86"/>
  <c r="AK18" i="86"/>
  <c r="AQ18" i="86" s="1"/>
  <c r="AK17" i="86"/>
  <c r="AR17" i="86" s="1"/>
  <c r="AO13" i="86"/>
  <c r="AM13" i="86"/>
  <c r="AJ13" i="86"/>
  <c r="AI13" i="86"/>
  <c r="AH13" i="86"/>
  <c r="AG13" i="86"/>
  <c r="AF13" i="86"/>
  <c r="AE13" i="86"/>
  <c r="AD13" i="86"/>
  <c r="AC13" i="86"/>
  <c r="AB13" i="86"/>
  <c r="AA13" i="86"/>
  <c r="Z13" i="86"/>
  <c r="Y13" i="86"/>
  <c r="J13" i="86"/>
  <c r="AK6" i="86"/>
  <c r="AK5" i="86"/>
  <c r="AK13" i="86" s="1"/>
  <c r="AQ17" i="86" l="1"/>
  <c r="W11" i="86"/>
  <c r="AR11" i="86" s="1"/>
  <c r="W6" i="86"/>
  <c r="AR6" i="86" s="1"/>
  <c r="W12" i="86"/>
  <c r="AR12" i="86" s="1"/>
  <c r="AR18" i="86"/>
  <c r="AK19" i="86"/>
  <c r="AQ11" i="86" l="1"/>
  <c r="AQ12" i="86"/>
  <c r="AQ6" i="86"/>
  <c r="AR19" i="86"/>
  <c r="AQ19" i="86"/>
  <c r="F17" i="47" l="1"/>
  <c r="G17" i="47" s="1"/>
  <c r="J5" i="38"/>
  <c r="K5" i="38"/>
  <c r="L5" i="38"/>
  <c r="M5" i="38"/>
  <c r="N5" i="38"/>
  <c r="O5" i="38"/>
  <c r="P5" i="38"/>
  <c r="Q5" i="38"/>
  <c r="J6" i="38"/>
  <c r="K6" i="38"/>
  <c r="L6" i="38"/>
  <c r="M6" i="38"/>
  <c r="N6" i="38"/>
  <c r="O6" i="38"/>
  <c r="P6" i="38"/>
  <c r="Q6" i="38"/>
  <c r="J7" i="38"/>
  <c r="K7" i="38"/>
  <c r="L7" i="38"/>
  <c r="M7" i="38"/>
  <c r="N7" i="38"/>
  <c r="O7" i="38"/>
  <c r="P7" i="38"/>
  <c r="Q7" i="38"/>
  <c r="J8" i="38"/>
  <c r="K8" i="38"/>
  <c r="L8" i="38"/>
  <c r="M8" i="38"/>
  <c r="N8" i="38"/>
  <c r="O8" i="38"/>
  <c r="P8" i="38"/>
  <c r="Q8" i="38"/>
  <c r="I6" i="38"/>
  <c r="I7" i="38"/>
  <c r="I8" i="38"/>
  <c r="I5" i="38"/>
  <c r="G19" i="47"/>
  <c r="R6" i="38" l="1"/>
  <c r="R8" i="38"/>
  <c r="R7" i="38"/>
  <c r="E14" i="47"/>
  <c r="AI9" i="81" l="1"/>
  <c r="AI10" i="81"/>
  <c r="AJ10" i="81"/>
  <c r="AK10" i="81"/>
  <c r="AL10" i="81"/>
  <c r="AM10" i="81"/>
  <c r="AN10" i="81"/>
  <c r="AO10" i="81"/>
  <c r="AP10" i="81"/>
  <c r="AQ10" i="81"/>
  <c r="AI11" i="81"/>
  <c r="AJ11" i="81"/>
  <c r="AK11" i="81"/>
  <c r="AL11" i="81"/>
  <c r="AM11" i="81"/>
  <c r="AN11" i="81"/>
  <c r="AO11" i="81"/>
  <c r="AP11" i="81"/>
  <c r="AQ11" i="81"/>
  <c r="AI12" i="81"/>
  <c r="AJ12" i="81"/>
  <c r="AK12" i="81"/>
  <c r="AL12" i="81"/>
  <c r="AM12" i="81"/>
  <c r="AN12" i="81"/>
  <c r="AO12" i="81"/>
  <c r="AP12" i="81"/>
  <c r="AQ12" i="81"/>
  <c r="AI13" i="81"/>
  <c r="AJ13" i="81"/>
  <c r="AK13" i="81"/>
  <c r="AL13" i="81"/>
  <c r="AM13" i="81"/>
  <c r="AN13" i="81"/>
  <c r="AO13" i="81"/>
  <c r="AP13" i="81"/>
  <c r="AQ13" i="81"/>
  <c r="AI14" i="81"/>
  <c r="AJ14" i="81"/>
  <c r="AK14" i="81"/>
  <c r="AL14" i="81"/>
  <c r="AM14" i="81"/>
  <c r="AN14" i="81"/>
  <c r="AO14" i="81"/>
  <c r="AP14" i="81"/>
  <c r="AQ14" i="81"/>
  <c r="AI15" i="81"/>
  <c r="AJ15" i="81"/>
  <c r="AK15" i="81"/>
  <c r="AL15" i="81"/>
  <c r="AM15" i="81"/>
  <c r="AN15" i="81"/>
  <c r="AO15" i="81"/>
  <c r="AP15" i="81"/>
  <c r="AQ15" i="81"/>
  <c r="AI16" i="81"/>
  <c r="AJ16" i="81"/>
  <c r="AK16" i="81"/>
  <c r="AL16" i="81"/>
  <c r="AM16" i="81"/>
  <c r="AN16" i="81"/>
  <c r="AO16" i="81"/>
  <c r="AP16" i="81"/>
  <c r="AQ16" i="81"/>
  <c r="AI17" i="81"/>
  <c r="AJ17" i="81"/>
  <c r="AK17" i="81"/>
  <c r="AL17" i="81"/>
  <c r="AM17" i="81"/>
  <c r="AN17" i="81"/>
  <c r="AO17" i="81"/>
  <c r="AP17" i="81"/>
  <c r="AQ17" i="81"/>
  <c r="AI18" i="81"/>
  <c r="AJ18" i="81"/>
  <c r="AK18" i="81"/>
  <c r="AL18" i="81"/>
  <c r="AM18" i="81"/>
  <c r="AN18" i="81"/>
  <c r="AO18" i="81"/>
  <c r="AP18" i="81"/>
  <c r="AQ18" i="81"/>
  <c r="AJ9" i="81"/>
  <c r="AK9" i="81"/>
  <c r="AL9" i="81"/>
  <c r="AM9" i="81"/>
  <c r="AN9" i="81"/>
  <c r="AO9" i="81"/>
  <c r="AP9" i="81"/>
  <c r="AQ9" i="81"/>
  <c r="AC19" i="81"/>
  <c r="AL19" i="81" s="1"/>
  <c r="AD20" i="81"/>
  <c r="W7" i="84"/>
  <c r="W8" i="84"/>
  <c r="W9" i="84"/>
  <c r="W10" i="84"/>
  <c r="W12" i="84"/>
  <c r="W13" i="84"/>
  <c r="W14" i="84"/>
  <c r="W15" i="84"/>
  <c r="W16" i="84"/>
  <c r="W17" i="84"/>
  <c r="W19" i="84"/>
  <c r="W20" i="84"/>
  <c r="W55" i="84"/>
  <c r="W54" i="84"/>
  <c r="W53" i="84"/>
  <c r="W52" i="84"/>
  <c r="W51" i="84"/>
  <c r="W50" i="84"/>
  <c r="W49" i="84"/>
  <c r="W48" i="84"/>
  <c r="W47" i="84"/>
  <c r="W46" i="84"/>
  <c r="W45" i="84"/>
  <c r="W44" i="84"/>
  <c r="W43" i="84"/>
  <c r="W42" i="84"/>
  <c r="W41" i="84"/>
  <c r="W40" i="84"/>
  <c r="W39" i="84"/>
  <c r="W38" i="84"/>
  <c r="W37" i="84"/>
  <c r="W36" i="84"/>
  <c r="W35" i="84"/>
  <c r="W33" i="84"/>
  <c r="W32" i="84"/>
  <c r="W31" i="84"/>
  <c r="W30" i="84"/>
  <c r="P48" i="85"/>
  <c r="P46" i="85"/>
  <c r="P45" i="85"/>
  <c r="P44" i="85"/>
  <c r="P42" i="85"/>
  <c r="P41" i="85"/>
  <c r="P40" i="85"/>
  <c r="P39" i="85"/>
  <c r="O37" i="85"/>
  <c r="N37" i="85"/>
  <c r="M37" i="85"/>
  <c r="L37" i="85"/>
  <c r="K37" i="85"/>
  <c r="J37" i="85"/>
  <c r="I37" i="85"/>
  <c r="H37" i="85"/>
  <c r="G37" i="85"/>
  <c r="F37" i="85"/>
  <c r="E37" i="85"/>
  <c r="D37" i="85"/>
  <c r="P36" i="85"/>
  <c r="O28" i="85"/>
  <c r="N28" i="85"/>
  <c r="M28" i="85"/>
  <c r="L28" i="85"/>
  <c r="K28" i="85"/>
  <c r="J28" i="85"/>
  <c r="I28" i="85"/>
  <c r="H28" i="85"/>
  <c r="G28" i="85"/>
  <c r="F28" i="85"/>
  <c r="E28" i="85"/>
  <c r="D28" i="85"/>
  <c r="P27" i="85"/>
  <c r="P16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P11" i="85"/>
  <c r="P7" i="85"/>
  <c r="R15" i="40"/>
  <c r="J28" i="84"/>
  <c r="J5" i="84"/>
  <c r="AQ19" i="81" l="1"/>
  <c r="AQ8" i="81" s="1"/>
  <c r="AQ23" i="81" s="1"/>
  <c r="AJ19" i="81"/>
  <c r="AJ8" i="81" s="1"/>
  <c r="AJ23" i="81" s="1"/>
  <c r="AI19" i="81"/>
  <c r="AI8" i="81" s="1"/>
  <c r="AI23" i="81" s="1"/>
  <c r="AC8" i="81"/>
  <c r="AE8" i="81" s="1"/>
  <c r="AL8" i="81"/>
  <c r="AL23" i="81" s="1"/>
  <c r="AE19" i="81"/>
  <c r="AD19" i="81" s="1"/>
  <c r="AK19" i="81"/>
  <c r="AK8" i="81" s="1"/>
  <c r="AK23" i="81" s="1"/>
  <c r="AP19" i="81"/>
  <c r="AP8" i="81" s="1"/>
  <c r="AP23" i="81" s="1"/>
  <c r="AO19" i="81"/>
  <c r="AO8" i="81" s="1"/>
  <c r="AO23" i="81" s="1"/>
  <c r="AN19" i="81"/>
  <c r="AN8" i="81" s="1"/>
  <c r="AN23" i="81" s="1"/>
  <c r="AM19" i="81"/>
  <c r="AM8" i="81" s="1"/>
  <c r="AM23" i="81" s="1"/>
  <c r="J58" i="84"/>
  <c r="P37" i="85"/>
  <c r="P15" i="85"/>
  <c r="P28" i="85"/>
  <c r="E9" i="47" l="1"/>
  <c r="E16" i="47"/>
  <c r="E21" i="52" l="1"/>
  <c r="L21" i="52" s="1"/>
  <c r="R9" i="38"/>
  <c r="R10" i="38"/>
  <c r="R5" i="38"/>
  <c r="J16" i="38"/>
  <c r="K16" i="38"/>
  <c r="L16" i="38"/>
  <c r="M16" i="38"/>
  <c r="N16" i="38"/>
  <c r="O16" i="38"/>
  <c r="P16" i="38"/>
  <c r="Q16" i="38"/>
  <c r="J17" i="38"/>
  <c r="K17" i="38"/>
  <c r="L17" i="38"/>
  <c r="M17" i="38"/>
  <c r="N17" i="38"/>
  <c r="O17" i="38"/>
  <c r="P17" i="38"/>
  <c r="Q17" i="38"/>
  <c r="J18" i="38"/>
  <c r="K18" i="38"/>
  <c r="L18" i="38"/>
  <c r="M18" i="38"/>
  <c r="N18" i="38"/>
  <c r="O18" i="38"/>
  <c r="P18" i="38"/>
  <c r="Q18" i="38"/>
  <c r="J19" i="38"/>
  <c r="K19" i="38"/>
  <c r="L19" i="38"/>
  <c r="M19" i="38"/>
  <c r="N19" i="38"/>
  <c r="O19" i="38"/>
  <c r="P19" i="38"/>
  <c r="Q19" i="38"/>
  <c r="I17" i="38"/>
  <c r="I18" i="38"/>
  <c r="I19" i="38"/>
  <c r="I16" i="38"/>
  <c r="I20" i="38"/>
  <c r="J20" i="38"/>
  <c r="K20" i="38"/>
  <c r="L20" i="38"/>
  <c r="M20" i="38"/>
  <c r="N20" i="38"/>
  <c r="O20" i="38"/>
  <c r="P20" i="38"/>
  <c r="Q20" i="38"/>
  <c r="I30" i="38"/>
  <c r="J30" i="38"/>
  <c r="K30" i="38"/>
  <c r="L30" i="38"/>
  <c r="M30" i="38"/>
  <c r="N30" i="38"/>
  <c r="O30" i="38"/>
  <c r="P30" i="38"/>
  <c r="Q30" i="38"/>
  <c r="I31" i="38"/>
  <c r="J31" i="38"/>
  <c r="K31" i="38"/>
  <c r="L31" i="38"/>
  <c r="M31" i="38"/>
  <c r="N31" i="38"/>
  <c r="O31" i="38"/>
  <c r="P31" i="38"/>
  <c r="Q31" i="38"/>
  <c r="I32" i="38"/>
  <c r="J32" i="38"/>
  <c r="K32" i="38"/>
  <c r="L32" i="38"/>
  <c r="M32" i="38"/>
  <c r="N32" i="38"/>
  <c r="O32" i="38"/>
  <c r="P32" i="38"/>
  <c r="Q32" i="38"/>
  <c r="I33" i="38"/>
  <c r="J33" i="38"/>
  <c r="K33" i="38"/>
  <c r="L33" i="38"/>
  <c r="M33" i="38"/>
  <c r="N33" i="38"/>
  <c r="O33" i="38"/>
  <c r="P33" i="38"/>
  <c r="Q33" i="38"/>
  <c r="J29" i="38"/>
  <c r="K29" i="38"/>
  <c r="L29" i="38"/>
  <c r="M29" i="38"/>
  <c r="N29" i="38"/>
  <c r="O29" i="38"/>
  <c r="P29" i="38"/>
  <c r="Q29" i="38"/>
  <c r="I29" i="38"/>
  <c r="E35" i="38"/>
  <c r="H31" i="39"/>
  <c r="H4" i="39"/>
  <c r="T20" i="39"/>
  <c r="T19" i="39"/>
  <c r="J18" i="39"/>
  <c r="I18" i="39"/>
  <c r="H18" i="39"/>
  <c r="L18" i="39"/>
  <c r="M18" i="39"/>
  <c r="N18" i="39"/>
  <c r="O18" i="39"/>
  <c r="P18" i="39"/>
  <c r="Q18" i="39"/>
  <c r="R18" i="39"/>
  <c r="S18" i="39"/>
  <c r="K18" i="39"/>
  <c r="S14" i="39"/>
  <c r="R14" i="39"/>
  <c r="Q14" i="39"/>
  <c r="P14" i="39"/>
  <c r="O14" i="39"/>
  <c r="N14" i="39"/>
  <c r="M14" i="39"/>
  <c r="L14" i="39"/>
  <c r="K14" i="39"/>
  <c r="K31" i="39" s="1"/>
  <c r="R17" i="38" l="1"/>
  <c r="R19" i="38"/>
  <c r="R18" i="38"/>
  <c r="R16" i="38"/>
  <c r="R20" i="38"/>
  <c r="O21" i="52"/>
  <c r="K21" i="52"/>
  <c r="I21" i="52"/>
  <c r="J21" i="52"/>
  <c r="P21" i="52"/>
  <c r="Q21" i="52"/>
  <c r="M21" i="52"/>
  <c r="N21" i="52"/>
  <c r="J6" i="52" l="1"/>
  <c r="J9" i="52"/>
  <c r="K9" i="52" s="1"/>
  <c r="J8" i="52"/>
  <c r="I15" i="39" l="1"/>
  <c r="J15" i="39"/>
  <c r="K15" i="39"/>
  <c r="L15" i="39"/>
  <c r="M15" i="39"/>
  <c r="N15" i="39"/>
  <c r="O15" i="39"/>
  <c r="P15" i="39"/>
  <c r="Q15" i="39"/>
  <c r="R15" i="39"/>
  <c r="S15" i="39"/>
  <c r="H15" i="39"/>
  <c r="BC6" i="81" l="1"/>
  <c r="AM29" i="81" l="1"/>
  <c r="AE29" i="81"/>
  <c r="AD21" i="81"/>
  <c r="AE18" i="81"/>
  <c r="AD18" i="81" s="1"/>
  <c r="AE17" i="81"/>
  <c r="AD17" i="81" s="1"/>
  <c r="AE16" i="81"/>
  <c r="AD16" i="81" s="1"/>
  <c r="AE15" i="81"/>
  <c r="AD15" i="81" s="1"/>
  <c r="AE14" i="81"/>
  <c r="AD14" i="81" s="1"/>
  <c r="AE13" i="81"/>
  <c r="AD13" i="81" s="1"/>
  <c r="AE12" i="81"/>
  <c r="AD12" i="81" s="1"/>
  <c r="AE11" i="81"/>
  <c r="AD11" i="81" s="1"/>
  <c r="AE10" i="81"/>
  <c r="AD10" i="81" s="1"/>
  <c r="AE9" i="81"/>
  <c r="AD9" i="81" s="1"/>
  <c r="AE27" i="81"/>
  <c r="O8" i="81"/>
  <c r="AQ29" i="81"/>
  <c r="AP29" i="81"/>
  <c r="AO29" i="81"/>
  <c r="AN29" i="81"/>
  <c r="AL29" i="81"/>
  <c r="AK29" i="81"/>
  <c r="AJ29" i="81"/>
  <c r="AI29" i="81"/>
  <c r="AH29" i="81"/>
  <c r="AG29" i="81"/>
  <c r="AD29" i="81"/>
  <c r="AC29" i="81"/>
  <c r="AN27" i="81" l="1"/>
  <c r="S56" i="84" s="1"/>
  <c r="AP27" i="81"/>
  <c r="U56" i="84" s="1"/>
  <c r="AJ27" i="81"/>
  <c r="O56" i="84" s="1"/>
  <c r="AL27" i="81"/>
  <c r="Q56" i="84" s="1"/>
  <c r="AK27" i="81"/>
  <c r="P56" i="84" s="1"/>
  <c r="AI27" i="81"/>
  <c r="N56" i="84" s="1"/>
  <c r="G29" i="85" s="1"/>
  <c r="AQ27" i="81"/>
  <c r="V56" i="84" s="1"/>
  <c r="AC23" i="81"/>
  <c r="AC30" i="81" s="1"/>
  <c r="AM27" i="81"/>
  <c r="R56" i="84" s="1"/>
  <c r="AO27" i="81"/>
  <c r="T56" i="84" s="1"/>
  <c r="AF29" i="81"/>
  <c r="AR29" i="81"/>
  <c r="AS29" i="81" s="1"/>
  <c r="AC27" i="81"/>
  <c r="AD8" i="81"/>
  <c r="AD27" i="81" s="1"/>
  <c r="I29" i="85" l="1"/>
  <c r="J29" i="85"/>
  <c r="O29" i="85"/>
  <c r="H29" i="85"/>
  <c r="G51" i="85"/>
  <c r="M29" i="85"/>
  <c r="N29" i="85"/>
  <c r="K29" i="85"/>
  <c r="L29" i="85"/>
  <c r="AO30" i="81"/>
  <c r="AM30" i="81"/>
  <c r="AD23" i="81"/>
  <c r="AD30" i="81" s="1"/>
  <c r="AE23" i="81"/>
  <c r="AE30" i="81" s="1"/>
  <c r="AL30" i="81"/>
  <c r="AS28" i="81"/>
  <c r="N51" i="85" l="1"/>
  <c r="M51" i="85"/>
  <c r="O51" i="85"/>
  <c r="L51" i="85"/>
  <c r="J51" i="85"/>
  <c r="H51" i="85"/>
  <c r="K51" i="85"/>
  <c r="I51" i="85"/>
  <c r="AI30" i="81"/>
  <c r="AN30" i="81"/>
  <c r="AJ30" i="81"/>
  <c r="AP30" i="81"/>
  <c r="AK30" i="81"/>
  <c r="AQ30" i="81"/>
  <c r="E21" i="47" l="1"/>
  <c r="H25" i="39" l="1"/>
  <c r="I4" i="39" l="1"/>
  <c r="E11" i="38" l="1"/>
  <c r="D15" i="52" s="1"/>
  <c r="F14" i="47" l="1"/>
  <c r="G8" i="39" l="1"/>
  <c r="G7" i="39"/>
  <c r="E27" i="39" l="1"/>
  <c r="E9" i="39"/>
  <c r="F27" i="39"/>
  <c r="F9" i="39"/>
  <c r="AF7" i="37" l="1"/>
  <c r="AE10" i="37"/>
  <c r="W10" i="37"/>
  <c r="Z10" i="37" l="1"/>
  <c r="X10" i="37"/>
  <c r="Y10" i="37"/>
  <c r="AA10" i="37"/>
  <c r="AF9" i="37"/>
  <c r="T10" i="37"/>
  <c r="AB10" i="37"/>
  <c r="AF6" i="37"/>
  <c r="U10" i="37"/>
  <c r="AC10" i="37"/>
  <c r="V10" i="37"/>
  <c r="AD10" i="37"/>
  <c r="AF8" i="37"/>
  <c r="AF10" i="37" l="1"/>
  <c r="T18" i="37"/>
  <c r="V18" i="37"/>
  <c r="AF16" i="37" l="1"/>
  <c r="AF15" i="37"/>
  <c r="AF17" i="37"/>
  <c r="W18" i="37"/>
  <c r="AF14" i="37"/>
  <c r="AC18" i="37"/>
  <c r="AB18" i="37"/>
  <c r="AA18" i="37"/>
  <c r="U18" i="37"/>
  <c r="X18" i="37"/>
  <c r="Y18" i="37"/>
  <c r="AD18" i="37"/>
  <c r="Z18" i="37"/>
  <c r="AE18" i="37"/>
  <c r="AF18" i="37" l="1"/>
  <c r="V19" i="40" l="1"/>
  <c r="U19" i="40"/>
  <c r="V18" i="40"/>
  <c r="U18" i="40"/>
  <c r="V17" i="40"/>
  <c r="U17" i="40"/>
  <c r="V16" i="40"/>
  <c r="U16" i="40"/>
  <c r="V15" i="40"/>
  <c r="U15" i="40"/>
  <c r="T14" i="39" l="1"/>
  <c r="Q21" i="38" l="1"/>
  <c r="P21" i="38"/>
  <c r="O21" i="38"/>
  <c r="N21" i="38"/>
  <c r="N22" i="38" s="1"/>
  <c r="M21" i="38"/>
  <c r="L21" i="38"/>
  <c r="K21" i="38"/>
  <c r="J21" i="38"/>
  <c r="I21" i="38"/>
  <c r="R21" i="38" l="1"/>
  <c r="I22" i="38"/>
  <c r="Q22" i="38"/>
  <c r="J22" i="38"/>
  <c r="K22" i="38"/>
  <c r="M22" i="38"/>
  <c r="L22" i="38"/>
  <c r="P22" i="38"/>
  <c r="O22" i="38"/>
  <c r="R22" i="38" l="1"/>
  <c r="Q35" i="38"/>
  <c r="P35" i="38"/>
  <c r="O35" i="38"/>
  <c r="N35" i="38"/>
  <c r="M35" i="38"/>
  <c r="L35" i="38"/>
  <c r="K35" i="38"/>
  <c r="J35" i="38"/>
  <c r="I35" i="38"/>
  <c r="H35" i="38"/>
  <c r="G35" i="38"/>
  <c r="F35" i="38"/>
  <c r="Q11" i="38"/>
  <c r="P11" i="38"/>
  <c r="O11" i="38"/>
  <c r="N11" i="38"/>
  <c r="M11" i="38"/>
  <c r="L11" i="38"/>
  <c r="K11" i="38"/>
  <c r="J11" i="38"/>
  <c r="I11" i="38"/>
  <c r="E14" i="52" l="1"/>
  <c r="E29" i="52" l="1"/>
  <c r="L8" i="37"/>
  <c r="L16" i="37" s="1"/>
  <c r="L6" i="37"/>
  <c r="L14" i="37" s="1"/>
  <c r="L7" i="37"/>
  <c r="L15" i="37" s="1"/>
  <c r="L9" i="37"/>
  <c r="L17" i="37" s="1"/>
  <c r="F14" i="52"/>
  <c r="J29" i="52" l="1"/>
  <c r="P29" i="52"/>
  <c r="Q29" i="52"/>
  <c r="I29" i="52"/>
  <c r="L29" i="52"/>
  <c r="M29" i="52"/>
  <c r="N29" i="52"/>
  <c r="O29" i="52"/>
  <c r="K29" i="52"/>
  <c r="H14" i="52"/>
  <c r="G14" i="52"/>
  <c r="E32" i="52" s="1"/>
  <c r="I32" i="52" s="1"/>
  <c r="O32" i="52" l="1"/>
  <c r="P32" i="52"/>
  <c r="Q32" i="52"/>
  <c r="N32" i="52"/>
  <c r="J32" i="52"/>
  <c r="L32" i="39" s="1"/>
  <c r="K32" i="52"/>
  <c r="L32" i="52"/>
  <c r="M32" i="52"/>
  <c r="R29" i="52"/>
  <c r="I14" i="52"/>
  <c r="E22" i="52"/>
  <c r="F32" i="52"/>
  <c r="L22" i="52" l="1"/>
  <c r="J22" i="52"/>
  <c r="K22" i="52"/>
  <c r="O22" i="52"/>
  <c r="P22" i="52"/>
  <c r="I22" i="52"/>
  <c r="N22" i="52"/>
  <c r="M22" i="52"/>
  <c r="Q22" i="52"/>
  <c r="H32" i="52"/>
  <c r="G32" i="52"/>
  <c r="R32" i="52" s="1"/>
  <c r="P32" i="39"/>
  <c r="O32" i="39"/>
  <c r="Q32" i="39"/>
  <c r="R32" i="39"/>
  <c r="M32" i="39"/>
  <c r="S32" i="39"/>
  <c r="N32" i="39"/>
  <c r="T32" i="39" l="1"/>
  <c r="K8" i="52" l="1"/>
  <c r="G9" i="39" l="1"/>
  <c r="E10" i="37"/>
  <c r="E13" i="52" l="1"/>
  <c r="F13" i="52" l="1"/>
  <c r="T26" i="39" l="1"/>
  <c r="N25" i="39"/>
  <c r="T18" i="39"/>
  <c r="G27" i="39"/>
  <c r="E27" i="40" l="1"/>
  <c r="E11" i="40"/>
  <c r="R11" i="38"/>
  <c r="E15" i="52" l="1"/>
  <c r="E16" i="52" l="1"/>
  <c r="G14" i="47" s="1"/>
  <c r="F15" i="52"/>
  <c r="H15" i="52" s="1"/>
  <c r="G15" i="52"/>
  <c r="I15" i="52" s="1"/>
  <c r="F16" i="52" l="1"/>
  <c r="G16" i="52" s="1"/>
  <c r="G16" i="47"/>
  <c r="G15" i="47"/>
  <c r="E30" i="52"/>
  <c r="E17" i="52"/>
  <c r="F17" i="52" s="1"/>
  <c r="H17" i="52" s="1"/>
  <c r="G11" i="47" l="1"/>
  <c r="G8" i="47"/>
  <c r="G12" i="47"/>
  <c r="G13" i="47"/>
  <c r="G9" i="47"/>
  <c r="I16" i="52"/>
  <c r="E33" i="52"/>
  <c r="E36" i="52" s="1"/>
  <c r="E35" i="52" s="1"/>
  <c r="L30" i="52"/>
  <c r="I30" i="52"/>
  <c r="O30" i="52"/>
  <c r="M30" i="52"/>
  <c r="P30" i="52"/>
  <c r="N30" i="52"/>
  <c r="J30" i="52"/>
  <c r="K30" i="52"/>
  <c r="Q30" i="52"/>
  <c r="H16" i="52"/>
  <c r="E23" i="52"/>
  <c r="G17" i="52"/>
  <c r="I17" i="52" s="1"/>
  <c r="O33" i="52" l="1"/>
  <c r="O36" i="52" s="1"/>
  <c r="P33" i="52"/>
  <c r="P36" i="52" s="1"/>
  <c r="Q33" i="52"/>
  <c r="Q36" i="52" s="1"/>
  <c r="L33" i="52"/>
  <c r="L36" i="52" s="1"/>
  <c r="J33" i="52"/>
  <c r="J36" i="52" s="1"/>
  <c r="I33" i="52"/>
  <c r="I36" i="52" s="1"/>
  <c r="I35" i="52" s="1"/>
  <c r="K33" i="52"/>
  <c r="K36" i="52" s="1"/>
  <c r="M33" i="52"/>
  <c r="M36" i="52" s="1"/>
  <c r="N33" i="52"/>
  <c r="N36" i="52" s="1"/>
  <c r="P23" i="52"/>
  <c r="Q23" i="52"/>
  <c r="J23" i="52"/>
  <c r="I23" i="52"/>
  <c r="K23" i="52"/>
  <c r="N23" i="52"/>
  <c r="L23" i="52"/>
  <c r="M23" i="52"/>
  <c r="O23" i="52"/>
  <c r="R30" i="52"/>
  <c r="F33" i="52"/>
  <c r="H33" i="52"/>
  <c r="G33" i="52"/>
  <c r="R36" i="52" l="1"/>
  <c r="R33" i="52"/>
  <c r="N35" i="52"/>
  <c r="P35" i="52"/>
  <c r="J35" i="52"/>
  <c r="M35" i="52"/>
  <c r="O35" i="52"/>
  <c r="K35" i="52"/>
  <c r="L35" i="52"/>
  <c r="Q35" i="52"/>
  <c r="R35" i="52" l="1"/>
  <c r="S31" i="39" l="1"/>
  <c r="Q31" i="39"/>
  <c r="O31" i="39"/>
  <c r="R31" i="39"/>
  <c r="N31" i="39"/>
  <c r="P31" i="39"/>
  <c r="O4" i="39"/>
  <c r="N4" i="39"/>
  <c r="Q4" i="39" l="1"/>
  <c r="P4" i="39"/>
  <c r="S4" i="39"/>
  <c r="R4" i="39"/>
  <c r="P9" i="37"/>
  <c r="P17" i="37" s="1"/>
  <c r="P7" i="37"/>
  <c r="P15" i="37" s="1"/>
  <c r="P8" i="37"/>
  <c r="P16" i="37" s="1"/>
  <c r="P6" i="37"/>
  <c r="P14" i="37" s="1"/>
  <c r="R25" i="39"/>
  <c r="M8" i="37"/>
  <c r="M16" i="37" s="1"/>
  <c r="M6" i="37"/>
  <c r="M14" i="37" s="1"/>
  <c r="M7" i="37"/>
  <c r="M15" i="37" s="1"/>
  <c r="M9" i="37"/>
  <c r="M17" i="37" s="1"/>
  <c r="O25" i="39"/>
  <c r="Q9" i="37"/>
  <c r="Q17" i="37" s="1"/>
  <c r="Q7" i="37"/>
  <c r="Q15" i="37" s="1"/>
  <c r="Q8" i="37"/>
  <c r="Q16" i="37" s="1"/>
  <c r="Q6" i="37"/>
  <c r="Q14" i="37" s="1"/>
  <c r="S25" i="39"/>
  <c r="N8" i="37"/>
  <c r="N16" i="37" s="1"/>
  <c r="N6" i="37"/>
  <c r="N14" i="37" s="1"/>
  <c r="N9" i="37"/>
  <c r="N17" i="37" s="1"/>
  <c r="N7" i="37"/>
  <c r="N15" i="37" s="1"/>
  <c r="P25" i="39"/>
  <c r="O6" i="37"/>
  <c r="O14" i="37" s="1"/>
  <c r="O7" i="37"/>
  <c r="O15" i="37" s="1"/>
  <c r="O9" i="37"/>
  <c r="O17" i="37" s="1"/>
  <c r="O8" i="37"/>
  <c r="O16" i="37" s="1"/>
  <c r="Q25" i="39"/>
  <c r="S27" i="39" l="1"/>
  <c r="O14" i="85" s="1"/>
  <c r="Q27" i="39"/>
  <c r="M14" i="85" s="1"/>
  <c r="O10" i="37"/>
  <c r="T24" i="84" s="1"/>
  <c r="P10" i="37"/>
  <c r="U24" i="84" s="1"/>
  <c r="L10" i="37"/>
  <c r="Q24" i="84" s="1"/>
  <c r="R27" i="39"/>
  <c r="N14" i="85" s="1"/>
  <c r="O27" i="39"/>
  <c r="K14" i="85" s="1"/>
  <c r="N27" i="39"/>
  <c r="J14" i="85" s="1"/>
  <c r="M10" i="37"/>
  <c r="R24" i="84" s="1"/>
  <c r="Q10" i="37"/>
  <c r="V24" i="84" s="1"/>
  <c r="N10" i="37"/>
  <c r="S24" i="84" s="1"/>
  <c r="P27" i="39"/>
  <c r="L14" i="85" s="1"/>
  <c r="Q22" i="84" l="1"/>
  <c r="Q23" i="84"/>
  <c r="Q21" i="84"/>
  <c r="J22" i="85"/>
  <c r="Q26" i="84"/>
  <c r="Q18" i="84"/>
  <c r="J19" i="85" s="1"/>
  <c r="Q25" i="84"/>
  <c r="Q34" i="84"/>
  <c r="Q29" i="84"/>
  <c r="Q11" i="84"/>
  <c r="Q6" i="84"/>
  <c r="T21" i="84"/>
  <c r="T22" i="84"/>
  <c r="T23" i="84"/>
  <c r="M22" i="85"/>
  <c r="T18" i="84"/>
  <c r="M19" i="85" s="1"/>
  <c r="T25" i="84"/>
  <c r="T26" i="84"/>
  <c r="T6" i="84"/>
  <c r="T11" i="84"/>
  <c r="T34" i="84"/>
  <c r="T29" i="84"/>
  <c r="U23" i="84"/>
  <c r="U21" i="84"/>
  <c r="U22" i="84"/>
  <c r="N22" i="85"/>
  <c r="U18" i="84"/>
  <c r="N19" i="85" s="1"/>
  <c r="U25" i="84"/>
  <c r="U26" i="84"/>
  <c r="U29" i="84"/>
  <c r="U6" i="84"/>
  <c r="U11" i="84"/>
  <c r="U34" i="84"/>
  <c r="S22" i="84"/>
  <c r="S21" i="84"/>
  <c r="S23" i="84"/>
  <c r="L22" i="85"/>
  <c r="S26" i="84"/>
  <c r="S18" i="84"/>
  <c r="L19" i="85" s="1"/>
  <c r="S25" i="84"/>
  <c r="S11" i="84"/>
  <c r="S34" i="84"/>
  <c r="S29" i="84"/>
  <c r="S6" i="84"/>
  <c r="V23" i="84"/>
  <c r="V21" i="84"/>
  <c r="V22" i="84"/>
  <c r="O22" i="85"/>
  <c r="V18" i="84"/>
  <c r="O19" i="85" s="1"/>
  <c r="V26" i="84"/>
  <c r="V25" i="84"/>
  <c r="V29" i="84"/>
  <c r="V34" i="84"/>
  <c r="V6" i="84"/>
  <c r="V11" i="84"/>
  <c r="R22" i="84"/>
  <c r="R23" i="84"/>
  <c r="R21" i="84"/>
  <c r="K22" i="85"/>
  <c r="R25" i="84"/>
  <c r="R26" i="84"/>
  <c r="R18" i="84"/>
  <c r="K19" i="85" s="1"/>
  <c r="R34" i="84"/>
  <c r="R11" i="84"/>
  <c r="R29" i="84"/>
  <c r="R6" i="84"/>
  <c r="L8" i="40"/>
  <c r="L24" i="40" s="1"/>
  <c r="M10" i="40"/>
  <c r="M26" i="40" s="1"/>
  <c r="S21" i="39"/>
  <c r="N21" i="39"/>
  <c r="Q21" i="39"/>
  <c r="P21" i="39"/>
  <c r="O21" i="39"/>
  <c r="R21" i="39"/>
  <c r="K18" i="85" l="1"/>
  <c r="K20" i="85"/>
  <c r="R5" i="84"/>
  <c r="L20" i="85"/>
  <c r="S5" i="84"/>
  <c r="M26" i="85"/>
  <c r="M25" i="85" s="1"/>
  <c r="T28" i="84"/>
  <c r="M20" i="85"/>
  <c r="T5" i="84"/>
  <c r="M18" i="85"/>
  <c r="L26" i="85"/>
  <c r="L25" i="85" s="1"/>
  <c r="S28" i="84"/>
  <c r="J20" i="85"/>
  <c r="Q5" i="84"/>
  <c r="L18" i="85"/>
  <c r="O20" i="85"/>
  <c r="V5" i="84"/>
  <c r="J18" i="85"/>
  <c r="O18" i="85"/>
  <c r="N20" i="85"/>
  <c r="U5" i="84"/>
  <c r="N18" i="85"/>
  <c r="J26" i="85"/>
  <c r="J25" i="85" s="1"/>
  <c r="Q28" i="84"/>
  <c r="K26" i="85"/>
  <c r="K25" i="85" s="1"/>
  <c r="R28" i="84"/>
  <c r="O26" i="85"/>
  <c r="O25" i="85" s="1"/>
  <c r="V28" i="84"/>
  <c r="N26" i="85"/>
  <c r="N25" i="85" s="1"/>
  <c r="U28" i="84"/>
  <c r="N10" i="40"/>
  <c r="N26" i="40" s="1"/>
  <c r="O10" i="40"/>
  <c r="O26" i="40" s="1"/>
  <c r="O8" i="40"/>
  <c r="O24" i="40" s="1"/>
  <c r="M8" i="40"/>
  <c r="L9" i="40"/>
  <c r="L25" i="40" s="1"/>
  <c r="M9" i="40"/>
  <c r="Q10" i="40"/>
  <c r="Q26" i="40" s="1"/>
  <c r="P10" i="40"/>
  <c r="P26" i="40" s="1"/>
  <c r="N8" i="40"/>
  <c r="N24" i="40" s="1"/>
  <c r="N9" i="40"/>
  <c r="N25" i="40" s="1"/>
  <c r="L10" i="40"/>
  <c r="P8" i="40"/>
  <c r="U58" i="84" l="1"/>
  <c r="R58" i="84"/>
  <c r="L13" i="85"/>
  <c r="N13" i="85"/>
  <c r="K13" i="85"/>
  <c r="Q58" i="84"/>
  <c r="T58" i="84"/>
  <c r="S58" i="84"/>
  <c r="V58" i="84"/>
  <c r="O13" i="85"/>
  <c r="J13" i="85"/>
  <c r="M13" i="85"/>
  <c r="Q9" i="40"/>
  <c r="Q25" i="40" s="1"/>
  <c r="Q8" i="40"/>
  <c r="Q24" i="40" s="1"/>
  <c r="P9" i="40"/>
  <c r="P25" i="40" s="1"/>
  <c r="O9" i="40"/>
  <c r="O25" i="40" s="1"/>
  <c r="L26" i="40"/>
  <c r="M24" i="40"/>
  <c r="M25" i="40"/>
  <c r="P24" i="40" l="1"/>
  <c r="L4" i="39" l="1"/>
  <c r="K4" i="39"/>
  <c r="L31" i="39"/>
  <c r="J31" i="39"/>
  <c r="I31" i="39"/>
  <c r="M31" i="39"/>
  <c r="M4" i="39" l="1"/>
  <c r="J4" i="39"/>
  <c r="K6" i="37"/>
  <c r="K14" i="37" s="1"/>
  <c r="K8" i="37"/>
  <c r="K16" i="37" s="1"/>
  <c r="K7" i="37"/>
  <c r="K15" i="37" s="1"/>
  <c r="K9" i="37"/>
  <c r="K17" i="37" s="1"/>
  <c r="M25" i="39"/>
  <c r="F8" i="37"/>
  <c r="F16" i="37" s="1"/>
  <c r="F7" i="37"/>
  <c r="F15" i="37" s="1"/>
  <c r="F9" i="37"/>
  <c r="F17" i="37" s="1"/>
  <c r="F6" i="37"/>
  <c r="F14" i="37" s="1"/>
  <c r="G9" i="37"/>
  <c r="G17" i="37" s="1"/>
  <c r="G6" i="37"/>
  <c r="G14" i="37" s="1"/>
  <c r="G8" i="37"/>
  <c r="G16" i="37" s="1"/>
  <c r="G7" i="37"/>
  <c r="G15" i="37" s="1"/>
  <c r="I25" i="39"/>
  <c r="J9" i="37"/>
  <c r="J17" i="37" s="1"/>
  <c r="J7" i="37"/>
  <c r="J15" i="37" s="1"/>
  <c r="J6" i="37"/>
  <c r="J14" i="37" s="1"/>
  <c r="J8" i="37"/>
  <c r="J16" i="37" s="1"/>
  <c r="L25" i="39"/>
  <c r="I9" i="37"/>
  <c r="I17" i="37" s="1"/>
  <c r="I7" i="37"/>
  <c r="I15" i="37" s="1"/>
  <c r="I6" i="37"/>
  <c r="I14" i="37" s="1"/>
  <c r="I8" i="37"/>
  <c r="I16" i="37" s="1"/>
  <c r="K25" i="39"/>
  <c r="H9" i="37"/>
  <c r="H17" i="37" s="1"/>
  <c r="H7" i="37"/>
  <c r="H15" i="37" s="1"/>
  <c r="H8" i="37"/>
  <c r="H16" i="37" s="1"/>
  <c r="H6" i="37"/>
  <c r="H14" i="37" s="1"/>
  <c r="J25" i="39"/>
  <c r="T12" i="39"/>
  <c r="T31" i="39"/>
  <c r="J9" i="40" l="1"/>
  <c r="J25" i="40" s="1"/>
  <c r="J27" i="39"/>
  <c r="F14" i="85" s="1"/>
  <c r="T25" i="39"/>
  <c r="R7" i="37"/>
  <c r="L27" i="39"/>
  <c r="H14" i="85" s="1"/>
  <c r="F10" i="37"/>
  <c r="R8" i="37"/>
  <c r="I27" i="39"/>
  <c r="E14" i="85" s="1"/>
  <c r="R9" i="37"/>
  <c r="K27" i="39"/>
  <c r="G14" i="85" s="1"/>
  <c r="H10" i="37"/>
  <c r="K10" i="37"/>
  <c r="P24" i="84" s="1"/>
  <c r="R6" i="37"/>
  <c r="G10" i="37"/>
  <c r="J10" i="37"/>
  <c r="O24" i="84" s="1"/>
  <c r="I10" i="37"/>
  <c r="N24" i="84" s="1"/>
  <c r="M27" i="39"/>
  <c r="I14" i="85" s="1"/>
  <c r="K24" i="87" l="1"/>
  <c r="K21" i="87"/>
  <c r="K23" i="87"/>
  <c r="K25" i="87"/>
  <c r="K22" i="87"/>
  <c r="K26" i="87"/>
  <c r="K6" i="87"/>
  <c r="K11" i="87"/>
  <c r="K34" i="87"/>
  <c r="K29" i="87"/>
  <c r="K18" i="87"/>
  <c r="M24" i="87"/>
  <c r="M29" i="87"/>
  <c r="M26" i="87"/>
  <c r="M6" i="87"/>
  <c r="M25" i="87"/>
  <c r="M22" i="87"/>
  <c r="M34" i="87"/>
  <c r="M11" i="87"/>
  <c r="M23" i="87"/>
  <c r="M21" i="87"/>
  <c r="M18" i="87"/>
  <c r="L21" i="87"/>
  <c r="L29" i="87"/>
  <c r="L26" i="87"/>
  <c r="L18" i="87"/>
  <c r="L25" i="87"/>
  <c r="L22" i="87"/>
  <c r="L34" i="87"/>
  <c r="L11" i="87"/>
  <c r="L6" i="87"/>
  <c r="L23" i="87"/>
  <c r="L24" i="87"/>
  <c r="L21" i="84"/>
  <c r="L23" i="84"/>
  <c r="L22" i="84"/>
  <c r="L24" i="84"/>
  <c r="E22" i="85"/>
  <c r="L25" i="84"/>
  <c r="L18" i="84"/>
  <c r="E19" i="85" s="1"/>
  <c r="L26" i="84"/>
  <c r="L11" i="84"/>
  <c r="L34" i="84"/>
  <c r="L29" i="84"/>
  <c r="L6" i="84"/>
  <c r="O23" i="84"/>
  <c r="O21" i="84"/>
  <c r="O22" i="84"/>
  <c r="H22" i="85"/>
  <c r="O26" i="84"/>
  <c r="O25" i="84"/>
  <c r="O18" i="84"/>
  <c r="H19" i="85" s="1"/>
  <c r="O6" i="84"/>
  <c r="O29" i="84"/>
  <c r="O34" i="84"/>
  <c r="O11" i="84"/>
  <c r="K23" i="84"/>
  <c r="K22" i="84"/>
  <c r="K21" i="84"/>
  <c r="K24" i="84"/>
  <c r="K25" i="84"/>
  <c r="K18" i="84"/>
  <c r="K26" i="84"/>
  <c r="K11" i="84"/>
  <c r="K6" i="84"/>
  <c r="K34" i="84"/>
  <c r="K29" i="84"/>
  <c r="P23" i="84"/>
  <c r="P21" i="84"/>
  <c r="P22" i="84"/>
  <c r="I22" i="85"/>
  <c r="P25" i="84"/>
  <c r="P18" i="84"/>
  <c r="I19" i="85" s="1"/>
  <c r="P26" i="84"/>
  <c r="P11" i="84"/>
  <c r="P6" i="84"/>
  <c r="P34" i="84"/>
  <c r="P29" i="84"/>
  <c r="M21" i="84"/>
  <c r="M23" i="84"/>
  <c r="M22" i="84"/>
  <c r="M24" i="84"/>
  <c r="F22" i="85"/>
  <c r="M26" i="84"/>
  <c r="M18" i="84"/>
  <c r="F19" i="85" s="1"/>
  <c r="M25" i="84"/>
  <c r="M29" i="84"/>
  <c r="M34" i="84"/>
  <c r="M6" i="84"/>
  <c r="M11" i="84"/>
  <c r="N23" i="84"/>
  <c r="N21" i="84"/>
  <c r="N22" i="84"/>
  <c r="G22" i="85"/>
  <c r="N26" i="84"/>
  <c r="N25" i="84"/>
  <c r="N18" i="84"/>
  <c r="G19" i="85" s="1"/>
  <c r="N6" i="84"/>
  <c r="N29" i="84"/>
  <c r="N11" i="84"/>
  <c r="N34" i="84"/>
  <c r="L21" i="39"/>
  <c r="K21" i="39"/>
  <c r="G9" i="40"/>
  <c r="G25" i="40" s="1"/>
  <c r="H9" i="40"/>
  <c r="H25" i="40" s="1"/>
  <c r="J10" i="40"/>
  <c r="J26" i="40" s="1"/>
  <c r="J7" i="40"/>
  <c r="I7" i="40"/>
  <c r="H7" i="40"/>
  <c r="G7" i="40"/>
  <c r="K9" i="40"/>
  <c r="K25" i="40" s="1"/>
  <c r="K8" i="40"/>
  <c r="K24" i="40" s="1"/>
  <c r="R10" i="37"/>
  <c r="I9" i="40"/>
  <c r="I25" i="40" s="1"/>
  <c r="J8" i="40"/>
  <c r="J24" i="40" s="1"/>
  <c r="M21" i="39"/>
  <c r="F26" i="85" l="1"/>
  <c r="F25" i="85" s="1"/>
  <c r="E26" i="85"/>
  <c r="E25" i="85" s="1"/>
  <c r="M5" i="87"/>
  <c r="K5" i="87"/>
  <c r="L5" i="87"/>
  <c r="I26" i="85"/>
  <c r="I25" i="85" s="1"/>
  <c r="P28" i="84"/>
  <c r="W26" i="84"/>
  <c r="D19" i="85"/>
  <c r="P19" i="85" s="1"/>
  <c r="W18" i="84"/>
  <c r="I18" i="85"/>
  <c r="W25" i="84"/>
  <c r="H26" i="85"/>
  <c r="H25" i="85" s="1"/>
  <c r="O28" i="84"/>
  <c r="H18" i="85"/>
  <c r="G6" i="85"/>
  <c r="G5" i="85" s="1"/>
  <c r="I23" i="40"/>
  <c r="J23" i="40"/>
  <c r="H6" i="85"/>
  <c r="H5" i="85" s="1"/>
  <c r="G20" i="85"/>
  <c r="N5" i="84"/>
  <c r="D22" i="85"/>
  <c r="H20" i="85"/>
  <c r="O5" i="84"/>
  <c r="G26" i="85"/>
  <c r="G25" i="85" s="1"/>
  <c r="N28" i="84"/>
  <c r="D26" i="85"/>
  <c r="W29" i="84"/>
  <c r="W24" i="84"/>
  <c r="E20" i="85"/>
  <c r="L5" i="84"/>
  <c r="W34" i="84"/>
  <c r="D18" i="85"/>
  <c r="W21" i="84"/>
  <c r="I20" i="85"/>
  <c r="P5" i="84"/>
  <c r="F20" i="85"/>
  <c r="M5" i="84"/>
  <c r="G23" i="40"/>
  <c r="E6" i="85"/>
  <c r="E5" i="85" s="1"/>
  <c r="D20" i="85"/>
  <c r="W6" i="84"/>
  <c r="K5" i="84"/>
  <c r="W22" i="84"/>
  <c r="G18" i="85"/>
  <c r="H23" i="40"/>
  <c r="F6" i="85"/>
  <c r="F5" i="85" s="1"/>
  <c r="F18" i="85"/>
  <c r="W11" i="84"/>
  <c r="W23" i="84"/>
  <c r="E18" i="85"/>
  <c r="I10" i="40"/>
  <c r="I26" i="40" s="1"/>
  <c r="K10" i="40"/>
  <c r="K26" i="40" s="1"/>
  <c r="H10" i="40"/>
  <c r="H26" i="40" s="1"/>
  <c r="G10" i="40"/>
  <c r="G26" i="40" s="1"/>
  <c r="I8" i="40"/>
  <c r="G8" i="40"/>
  <c r="F13" i="85" l="1"/>
  <c r="I13" i="85"/>
  <c r="E13" i="85"/>
  <c r="G13" i="85"/>
  <c r="W5" i="84"/>
  <c r="P22" i="85"/>
  <c r="H13" i="85"/>
  <c r="P26" i="85"/>
  <c r="D25" i="85"/>
  <c r="P25" i="85" s="1"/>
  <c r="O58" i="84"/>
  <c r="P58" i="84"/>
  <c r="P20" i="85"/>
  <c r="P18" i="85"/>
  <c r="N58" i="84"/>
  <c r="J27" i="40"/>
  <c r="J18" i="37"/>
  <c r="J19" i="37" s="1"/>
  <c r="G18" i="37"/>
  <c r="G19" i="37" s="1"/>
  <c r="I18" i="37"/>
  <c r="I19" i="37" s="1"/>
  <c r="H8" i="40"/>
  <c r="H18" i="37"/>
  <c r="H19" i="37" s="1"/>
  <c r="J11" i="40"/>
  <c r="G24" i="40"/>
  <c r="G27" i="40" s="1"/>
  <c r="G11" i="40"/>
  <c r="I24" i="40"/>
  <c r="L5" i="86" l="1"/>
  <c r="E21" i="85" s="1"/>
  <c r="E12" i="85" s="1"/>
  <c r="L5" i="88"/>
  <c r="L9" i="88"/>
  <c r="L6" i="88"/>
  <c r="L8" i="88"/>
  <c r="L7" i="88"/>
  <c r="O10" i="88"/>
  <c r="O53" i="87"/>
  <c r="O30" i="87"/>
  <c r="O38" i="87"/>
  <c r="O31" i="87"/>
  <c r="O39" i="87"/>
  <c r="O47" i="87"/>
  <c r="O55" i="87"/>
  <c r="O32" i="87"/>
  <c r="O40" i="87"/>
  <c r="O48" i="87"/>
  <c r="O56" i="87"/>
  <c r="O33" i="87"/>
  <c r="O41" i="87"/>
  <c r="O42" i="87"/>
  <c r="O50" i="87"/>
  <c r="O35" i="87"/>
  <c r="O43" i="87"/>
  <c r="O51" i="87"/>
  <c r="O36" i="87"/>
  <c r="O44" i="87"/>
  <c r="O52" i="87"/>
  <c r="O37" i="87"/>
  <c r="O45" i="87"/>
  <c r="O46" i="87"/>
  <c r="O54" i="87"/>
  <c r="O49" i="87"/>
  <c r="O24" i="87"/>
  <c r="O29" i="87"/>
  <c r="O34" i="87"/>
  <c r="O5" i="86"/>
  <c r="O5" i="88" s="1"/>
  <c r="O21" i="87"/>
  <c r="O14" i="87"/>
  <c r="O22" i="87"/>
  <c r="O7" i="87"/>
  <c r="O15" i="87"/>
  <c r="O23" i="87"/>
  <c r="O8" i="87"/>
  <c r="O16" i="87"/>
  <c r="O19" i="87"/>
  <c r="O9" i="87"/>
  <c r="O17" i="87"/>
  <c r="O25" i="87"/>
  <c r="O10" i="87"/>
  <c r="O18" i="87"/>
  <c r="O6" i="87"/>
  <c r="O26" i="87"/>
  <c r="O11" i="87"/>
  <c r="O12" i="87"/>
  <c r="O20" i="87"/>
  <c r="O13" i="87"/>
  <c r="E9" i="85"/>
  <c r="E8" i="85" s="1"/>
  <c r="L8" i="86"/>
  <c r="L10" i="86"/>
  <c r="L9" i="86"/>
  <c r="L7" i="86"/>
  <c r="E34" i="85" s="1"/>
  <c r="H21" i="85"/>
  <c r="H12" i="85" s="1"/>
  <c r="H9" i="85"/>
  <c r="H8" i="85" s="1"/>
  <c r="O7" i="86"/>
  <c r="O8" i="86"/>
  <c r="O7" i="88" s="1"/>
  <c r="O10" i="86"/>
  <c r="O9" i="88" s="1"/>
  <c r="O9" i="86"/>
  <c r="O8" i="88" s="1"/>
  <c r="I11" i="40"/>
  <c r="I27" i="40"/>
  <c r="H11" i="40"/>
  <c r="H24" i="40"/>
  <c r="H27" i="40" s="1"/>
  <c r="J19" i="40"/>
  <c r="G19" i="40"/>
  <c r="N10" i="88" l="1"/>
  <c r="N38" i="87"/>
  <c r="N31" i="87"/>
  <c r="N39" i="87"/>
  <c r="N32" i="87"/>
  <c r="N40" i="87"/>
  <c r="N48" i="87"/>
  <c r="N56" i="87"/>
  <c r="N33" i="87"/>
  <c r="N41" i="87"/>
  <c r="N49" i="87"/>
  <c r="N42" i="87"/>
  <c r="N35" i="87"/>
  <c r="N43" i="87"/>
  <c r="N51" i="87"/>
  <c r="N36" i="87"/>
  <c r="N44" i="87"/>
  <c r="N52" i="87"/>
  <c r="N37" i="87"/>
  <c r="N45" i="87"/>
  <c r="N53" i="87"/>
  <c r="N30" i="87"/>
  <c r="N46" i="87"/>
  <c r="N54" i="87"/>
  <c r="N50" i="87"/>
  <c r="N47" i="87"/>
  <c r="N55" i="87"/>
  <c r="N24" i="87"/>
  <c r="N34" i="87"/>
  <c r="N29" i="87"/>
  <c r="M5" i="86"/>
  <c r="F21" i="85" s="1"/>
  <c r="F12" i="85" s="1"/>
  <c r="M5" i="88"/>
  <c r="O28" i="87"/>
  <c r="H34" i="85"/>
  <c r="O6" i="88"/>
  <c r="O12" i="88" s="1"/>
  <c r="L12" i="88"/>
  <c r="M6" i="88"/>
  <c r="M8" i="88"/>
  <c r="M7" i="88"/>
  <c r="M9" i="88"/>
  <c r="E17" i="85"/>
  <c r="E38" i="85"/>
  <c r="H17" i="85"/>
  <c r="H38" i="85"/>
  <c r="L13" i="86"/>
  <c r="N5" i="86"/>
  <c r="N5" i="88" s="1"/>
  <c r="N7" i="87"/>
  <c r="N15" i="87"/>
  <c r="N8" i="87"/>
  <c r="N16" i="87"/>
  <c r="N9" i="87"/>
  <c r="N17" i="87"/>
  <c r="N25" i="87"/>
  <c r="N20" i="87"/>
  <c r="N10" i="87"/>
  <c r="N18" i="87"/>
  <c r="N26" i="87"/>
  <c r="N11" i="87"/>
  <c r="N19" i="87"/>
  <c r="N6" i="87"/>
  <c r="N12" i="87"/>
  <c r="N13" i="87"/>
  <c r="N21" i="87"/>
  <c r="N14" i="87"/>
  <c r="N22" i="87"/>
  <c r="N23" i="87"/>
  <c r="E23" i="85"/>
  <c r="E24" i="85" s="1"/>
  <c r="O5" i="87"/>
  <c r="O58" i="87" s="1"/>
  <c r="H35" i="85"/>
  <c r="G21" i="85"/>
  <c r="G12" i="85" s="1"/>
  <c r="O13" i="86"/>
  <c r="H23" i="85"/>
  <c r="H24" i="85" s="1"/>
  <c r="F9" i="85"/>
  <c r="F8" i="85" s="1"/>
  <c r="M8" i="86"/>
  <c r="M10" i="86"/>
  <c r="M9" i="86"/>
  <c r="M7" i="86"/>
  <c r="F34" i="85" s="1"/>
  <c r="E35" i="85"/>
  <c r="E32" i="85" s="1"/>
  <c r="E33" i="85" s="1"/>
  <c r="G9" i="85"/>
  <c r="G8" i="85" s="1"/>
  <c r="N7" i="86"/>
  <c r="N8" i="86"/>
  <c r="N7" i="88" s="1"/>
  <c r="N10" i="86"/>
  <c r="N9" i="88" s="1"/>
  <c r="N9" i="86"/>
  <c r="N8" i="88" s="1"/>
  <c r="I19" i="40"/>
  <c r="H19" i="40"/>
  <c r="N28" i="87" l="1"/>
  <c r="G34" i="85"/>
  <c r="N6" i="88"/>
  <c r="H32" i="85"/>
  <c r="H33" i="85" s="1"/>
  <c r="M12" i="88"/>
  <c r="N5" i="87"/>
  <c r="F17" i="85"/>
  <c r="F38" i="85"/>
  <c r="G17" i="85"/>
  <c r="G38" i="85"/>
  <c r="G35" i="85"/>
  <c r="H30" i="85"/>
  <c r="H31" i="85" s="1"/>
  <c r="F35" i="85"/>
  <c r="F32" i="85" s="1"/>
  <c r="F33" i="85" s="1"/>
  <c r="F23" i="85"/>
  <c r="F24" i="85" s="1"/>
  <c r="M13" i="86"/>
  <c r="N13" i="86"/>
  <c r="G23" i="85"/>
  <c r="G24" i="85" s="1"/>
  <c r="M7" i="40"/>
  <c r="K6" i="85" s="1"/>
  <c r="K5" i="85" s="1"/>
  <c r="K18" i="37"/>
  <c r="K19" i="37" s="1"/>
  <c r="L18" i="37"/>
  <c r="L19" i="37" s="1"/>
  <c r="N7" i="40"/>
  <c r="L6" i="85" s="1"/>
  <c r="L5" i="85" s="1"/>
  <c r="P18" i="37"/>
  <c r="P19" i="37" s="1"/>
  <c r="P7" i="40"/>
  <c r="N6" i="85" s="1"/>
  <c r="N5" i="85" s="1"/>
  <c r="N58" i="87" l="1"/>
  <c r="N12" i="88"/>
  <c r="G32" i="85"/>
  <c r="G33" i="85" s="1"/>
  <c r="H43" i="85"/>
  <c r="H47" i="85" s="1"/>
  <c r="H49" i="85" s="1"/>
  <c r="H50" i="85" s="1"/>
  <c r="G30" i="85"/>
  <c r="G31" i="85" s="1"/>
  <c r="L7" i="40"/>
  <c r="O7" i="40"/>
  <c r="M6" i="85" s="1"/>
  <c r="M5" i="85" s="1"/>
  <c r="Q7" i="40"/>
  <c r="O6" i="85" s="1"/>
  <c r="O5" i="85" s="1"/>
  <c r="N18" i="37"/>
  <c r="N19" i="37" s="1"/>
  <c r="K7" i="40"/>
  <c r="P11" i="40"/>
  <c r="P23" i="40"/>
  <c r="P27" i="40" s="1"/>
  <c r="N11" i="40"/>
  <c r="N23" i="40"/>
  <c r="N27" i="40" s="1"/>
  <c r="M18" i="37"/>
  <c r="M19" i="37" s="1"/>
  <c r="S10" i="88" l="1"/>
  <c r="S42" i="87"/>
  <c r="S35" i="87"/>
  <c r="S43" i="87"/>
  <c r="S51" i="87"/>
  <c r="S36" i="87"/>
  <c r="S44" i="87"/>
  <c r="S52" i="87"/>
  <c r="S37" i="87"/>
  <c r="S30" i="87"/>
  <c r="S38" i="87"/>
  <c r="S46" i="87"/>
  <c r="S54" i="87"/>
  <c r="S31" i="87"/>
  <c r="S39" i="87"/>
  <c r="S47" i="87"/>
  <c r="S55" i="87"/>
  <c r="S32" i="87"/>
  <c r="S40" i="87"/>
  <c r="S48" i="87"/>
  <c r="S56" i="87"/>
  <c r="S33" i="87"/>
  <c r="S41" i="87"/>
  <c r="S49" i="87"/>
  <c r="S50" i="87"/>
  <c r="S53" i="87"/>
  <c r="S45" i="87"/>
  <c r="S24" i="87"/>
  <c r="S34" i="87"/>
  <c r="S29" i="87"/>
  <c r="U10" i="88"/>
  <c r="U32" i="87"/>
  <c r="U40" i="87"/>
  <c r="U33" i="87"/>
  <c r="U41" i="87"/>
  <c r="U49" i="87"/>
  <c r="U42" i="87"/>
  <c r="U50" i="87"/>
  <c r="U35" i="87"/>
  <c r="U43" i="87"/>
  <c r="U36" i="87"/>
  <c r="U44" i="87"/>
  <c r="U52" i="87"/>
  <c r="U37" i="87"/>
  <c r="U45" i="87"/>
  <c r="U53" i="87"/>
  <c r="U30" i="87"/>
  <c r="U38" i="87"/>
  <c r="U46" i="87"/>
  <c r="U54" i="87"/>
  <c r="U31" i="87"/>
  <c r="U39" i="87"/>
  <c r="U47" i="87"/>
  <c r="U55" i="87"/>
  <c r="U56" i="87"/>
  <c r="U51" i="87"/>
  <c r="U48" i="87"/>
  <c r="U24" i="87"/>
  <c r="U34" i="87"/>
  <c r="U29" i="87"/>
  <c r="H52" i="85"/>
  <c r="H53" i="85" s="1"/>
  <c r="G43" i="85"/>
  <c r="G47" i="85" s="1"/>
  <c r="G49" i="85" s="1"/>
  <c r="G50" i="85" s="1"/>
  <c r="S5" i="86"/>
  <c r="S5" i="88" s="1"/>
  <c r="S10" i="87"/>
  <c r="S18" i="87"/>
  <c r="S6" i="87"/>
  <c r="S11" i="87"/>
  <c r="S19" i="87"/>
  <c r="S12" i="87"/>
  <c r="S20" i="87"/>
  <c r="S13" i="87"/>
  <c r="S21" i="87"/>
  <c r="S14" i="87"/>
  <c r="S22" i="87"/>
  <c r="S7" i="87"/>
  <c r="S15" i="87"/>
  <c r="S23" i="87"/>
  <c r="S8" i="87"/>
  <c r="S16" i="87"/>
  <c r="S9" i="87"/>
  <c r="S17" i="87"/>
  <c r="S25" i="87"/>
  <c r="S26" i="87"/>
  <c r="U5" i="86"/>
  <c r="U8" i="87"/>
  <c r="U16" i="87"/>
  <c r="U9" i="87"/>
  <c r="U17" i="87"/>
  <c r="U25" i="87"/>
  <c r="U10" i="87"/>
  <c r="U18" i="87"/>
  <c r="U26" i="87"/>
  <c r="U6" i="87"/>
  <c r="U11" i="87"/>
  <c r="U19" i="87"/>
  <c r="U12" i="87"/>
  <c r="U20" i="87"/>
  <c r="U21" i="87"/>
  <c r="U13" i="87"/>
  <c r="U14" i="87"/>
  <c r="U22" i="87"/>
  <c r="U7" i="87"/>
  <c r="U15" i="87"/>
  <c r="U23" i="87"/>
  <c r="L9" i="85"/>
  <c r="L8" i="85" s="1"/>
  <c r="S10" i="86"/>
  <c r="S9" i="88" s="1"/>
  <c r="S9" i="86"/>
  <c r="S8" i="88" s="1"/>
  <c r="S7" i="86"/>
  <c r="S8" i="86"/>
  <c r="S7" i="88" s="1"/>
  <c r="N9" i="85"/>
  <c r="N8" i="85" s="1"/>
  <c r="U8" i="86"/>
  <c r="U7" i="88" s="1"/>
  <c r="U10" i="86"/>
  <c r="U9" i="88" s="1"/>
  <c r="U9" i="86"/>
  <c r="U8" i="88" s="1"/>
  <c r="U7" i="86"/>
  <c r="K23" i="40"/>
  <c r="K27" i="40" s="1"/>
  <c r="I6" i="85"/>
  <c r="I5" i="85" s="1"/>
  <c r="L11" i="40"/>
  <c r="J6" i="85"/>
  <c r="J5" i="85" s="1"/>
  <c r="L23" i="40"/>
  <c r="L27" i="40" s="1"/>
  <c r="K11" i="40"/>
  <c r="Q18" i="37"/>
  <c r="Q19" i="37" s="1"/>
  <c r="P19" i="40"/>
  <c r="N19" i="40"/>
  <c r="Q11" i="40"/>
  <c r="Q23" i="40"/>
  <c r="Q27" i="40" s="1"/>
  <c r="O18" i="37"/>
  <c r="O19" i="37" s="1"/>
  <c r="M23" i="40"/>
  <c r="M27" i="40" s="1"/>
  <c r="M11" i="40"/>
  <c r="U28" i="87" l="1"/>
  <c r="N21" i="85"/>
  <c r="N12" i="85" s="1"/>
  <c r="U5" i="88"/>
  <c r="L34" i="85"/>
  <c r="S6" i="88"/>
  <c r="S12" i="88" s="1"/>
  <c r="Q10" i="88"/>
  <c r="Q36" i="87"/>
  <c r="Q37" i="87"/>
  <c r="Q45" i="87"/>
  <c r="Q53" i="87"/>
  <c r="Q30" i="87"/>
  <c r="Q38" i="87"/>
  <c r="Q46" i="87"/>
  <c r="Q54" i="87"/>
  <c r="Q31" i="87"/>
  <c r="Q39" i="87"/>
  <c r="Q32" i="87"/>
  <c r="Q40" i="87"/>
  <c r="Q48" i="87"/>
  <c r="Q56" i="87"/>
  <c r="Q33" i="87"/>
  <c r="Q41" i="87"/>
  <c r="Q49" i="87"/>
  <c r="Q42" i="87"/>
  <c r="Q50" i="87"/>
  <c r="Q35" i="87"/>
  <c r="Q43" i="87"/>
  <c r="Q51" i="87"/>
  <c r="Q47" i="87"/>
  <c r="Q44" i="87"/>
  <c r="Q55" i="87"/>
  <c r="Q52" i="87"/>
  <c r="Q24" i="87"/>
  <c r="Q34" i="87"/>
  <c r="Q29" i="87"/>
  <c r="S28" i="87"/>
  <c r="V10" i="88"/>
  <c r="V46" i="87"/>
  <c r="V54" i="87"/>
  <c r="V31" i="87"/>
  <c r="V39" i="87"/>
  <c r="V32" i="87"/>
  <c r="V40" i="87"/>
  <c r="V48" i="87"/>
  <c r="V56" i="87"/>
  <c r="V33" i="87"/>
  <c r="V41" i="87"/>
  <c r="V49" i="87"/>
  <c r="V42" i="87"/>
  <c r="V35" i="87"/>
  <c r="V43" i="87"/>
  <c r="V51" i="87"/>
  <c r="V36" i="87"/>
  <c r="V44" i="87"/>
  <c r="V52" i="87"/>
  <c r="V37" i="87"/>
  <c r="V45" i="87"/>
  <c r="V53" i="87"/>
  <c r="V30" i="87"/>
  <c r="V38" i="87"/>
  <c r="V50" i="87"/>
  <c r="V47" i="87"/>
  <c r="V55" i="87"/>
  <c r="V24" i="87"/>
  <c r="V34" i="87"/>
  <c r="V29" i="87"/>
  <c r="R10" i="88"/>
  <c r="R50" i="87"/>
  <c r="R35" i="87"/>
  <c r="R36" i="87"/>
  <c r="R44" i="87"/>
  <c r="R52" i="87"/>
  <c r="R37" i="87"/>
  <c r="R45" i="87"/>
  <c r="R53" i="87"/>
  <c r="R30" i="87"/>
  <c r="R38" i="87"/>
  <c r="R31" i="87"/>
  <c r="R39" i="87"/>
  <c r="R47" i="87"/>
  <c r="R55" i="87"/>
  <c r="R32" i="87"/>
  <c r="R40" i="87"/>
  <c r="R48" i="87"/>
  <c r="R56" i="87"/>
  <c r="R33" i="87"/>
  <c r="R41" i="87"/>
  <c r="R49" i="87"/>
  <c r="R42" i="87"/>
  <c r="R54" i="87"/>
  <c r="R43" i="87"/>
  <c r="R51" i="87"/>
  <c r="R46" i="87"/>
  <c r="R24" i="87"/>
  <c r="R34" i="87"/>
  <c r="R29" i="87"/>
  <c r="N34" i="85"/>
  <c r="U6" i="88"/>
  <c r="P10" i="88"/>
  <c r="P37" i="87"/>
  <c r="P30" i="87"/>
  <c r="P38" i="87"/>
  <c r="P46" i="87"/>
  <c r="P54" i="87"/>
  <c r="P31" i="87"/>
  <c r="P39" i="87"/>
  <c r="P55" i="87"/>
  <c r="P47" i="87"/>
  <c r="P32" i="87"/>
  <c r="P40" i="87"/>
  <c r="P33" i="87"/>
  <c r="P41" i="87"/>
  <c r="P49" i="87"/>
  <c r="P42" i="87"/>
  <c r="P50" i="87"/>
  <c r="P35" i="87"/>
  <c r="P43" i="87"/>
  <c r="P51" i="87"/>
  <c r="P36" i="87"/>
  <c r="P44" i="87"/>
  <c r="P52" i="87"/>
  <c r="P53" i="87"/>
  <c r="P56" i="87"/>
  <c r="P48" i="87"/>
  <c r="P45" i="87"/>
  <c r="P24" i="87"/>
  <c r="P34" i="87"/>
  <c r="P29" i="87"/>
  <c r="L21" i="85"/>
  <c r="L12" i="85" s="1"/>
  <c r="L23" i="85" s="1"/>
  <c r="L24" i="85" s="1"/>
  <c r="G52" i="85"/>
  <c r="G53" i="85" s="1"/>
  <c r="N17" i="85"/>
  <c r="N38" i="85"/>
  <c r="L17" i="85"/>
  <c r="L38" i="85"/>
  <c r="P5" i="86"/>
  <c r="P5" i="88" s="1"/>
  <c r="P13" i="87"/>
  <c r="P21" i="87"/>
  <c r="P14" i="87"/>
  <c r="P22" i="87"/>
  <c r="P7" i="87"/>
  <c r="P15" i="87"/>
  <c r="P23" i="87"/>
  <c r="P26" i="87"/>
  <c r="P6" i="87"/>
  <c r="P8" i="87"/>
  <c r="P16" i="87"/>
  <c r="P9" i="87"/>
  <c r="P17" i="87"/>
  <c r="P25" i="87"/>
  <c r="P10" i="87"/>
  <c r="P18" i="87"/>
  <c r="P11" i="87"/>
  <c r="P19" i="87"/>
  <c r="P12" i="87"/>
  <c r="P20" i="87"/>
  <c r="V5" i="86"/>
  <c r="V22" i="87"/>
  <c r="V23" i="87"/>
  <c r="V7" i="87"/>
  <c r="V15" i="87"/>
  <c r="V8" i="87"/>
  <c r="V16" i="87"/>
  <c r="V9" i="87"/>
  <c r="V17" i="87"/>
  <c r="V25" i="87"/>
  <c r="V12" i="87"/>
  <c r="V10" i="87"/>
  <c r="V18" i="87"/>
  <c r="V26" i="87"/>
  <c r="V6" i="87"/>
  <c r="V11" i="87"/>
  <c r="V19" i="87"/>
  <c r="V20" i="87"/>
  <c r="V13" i="87"/>
  <c r="V21" i="87"/>
  <c r="V14" i="87"/>
  <c r="S5" i="87"/>
  <c r="S58" i="87" s="1"/>
  <c r="U13" i="86"/>
  <c r="L35" i="85"/>
  <c r="U5" i="87"/>
  <c r="U58" i="87" s="1"/>
  <c r="R5" i="86"/>
  <c r="R5" i="88" s="1"/>
  <c r="R10" i="87"/>
  <c r="R18" i="87"/>
  <c r="R26" i="87"/>
  <c r="R11" i="87"/>
  <c r="R19" i="87"/>
  <c r="R12" i="87"/>
  <c r="R20" i="87"/>
  <c r="R13" i="87"/>
  <c r="R21" i="87"/>
  <c r="R16" i="87"/>
  <c r="R14" i="87"/>
  <c r="R22" i="87"/>
  <c r="R7" i="87"/>
  <c r="R15" i="87"/>
  <c r="R23" i="87"/>
  <c r="R8" i="87"/>
  <c r="R9" i="87"/>
  <c r="R17" i="87"/>
  <c r="R25" i="87"/>
  <c r="R6" i="87"/>
  <c r="Q5" i="86"/>
  <c r="Q5" i="88" s="1"/>
  <c r="Q20" i="87"/>
  <c r="Q12" i="87"/>
  <c r="Q13" i="87"/>
  <c r="Q21" i="87"/>
  <c r="Q14" i="87"/>
  <c r="Q22" i="87"/>
  <c r="Q9" i="87"/>
  <c r="Q7" i="87"/>
  <c r="Q15" i="87"/>
  <c r="Q23" i="87"/>
  <c r="Q8" i="87"/>
  <c r="Q16" i="87"/>
  <c r="Q17" i="87"/>
  <c r="Q25" i="87"/>
  <c r="Q10" i="87"/>
  <c r="Q18" i="87"/>
  <c r="Q26" i="87"/>
  <c r="Q6" i="87"/>
  <c r="Q11" i="87"/>
  <c r="Q19" i="87"/>
  <c r="I9" i="85"/>
  <c r="I8" i="85" s="1"/>
  <c r="P7" i="86"/>
  <c r="P8" i="86"/>
  <c r="P7" i="88" s="1"/>
  <c r="P10" i="86"/>
  <c r="P9" i="88" s="1"/>
  <c r="P9" i="86"/>
  <c r="J9" i="85"/>
  <c r="J8" i="85" s="1"/>
  <c r="Q9" i="86"/>
  <c r="Q8" i="88" s="1"/>
  <c r="Q7" i="86"/>
  <c r="Q8" i="86"/>
  <c r="Q7" i="88" s="1"/>
  <c r="Q10" i="86"/>
  <c r="Q9" i="88" s="1"/>
  <c r="O9" i="85"/>
  <c r="O8" i="85" s="1"/>
  <c r="V7" i="86"/>
  <c r="V8" i="86"/>
  <c r="V7" i="88" s="1"/>
  <c r="V10" i="86"/>
  <c r="V9" i="88" s="1"/>
  <c r="V9" i="86"/>
  <c r="V8" i="88" s="1"/>
  <c r="N23" i="85"/>
  <c r="N24" i="85" s="1"/>
  <c r="K21" i="85"/>
  <c r="K12" i="85" s="1"/>
  <c r="K9" i="85"/>
  <c r="K8" i="85" s="1"/>
  <c r="R9" i="86"/>
  <c r="R8" i="88" s="1"/>
  <c r="R7" i="86"/>
  <c r="R8" i="86"/>
  <c r="R7" i="88" s="1"/>
  <c r="R10" i="86"/>
  <c r="R9" i="88" s="1"/>
  <c r="S13" i="86"/>
  <c r="I21" i="85"/>
  <c r="I12" i="85" s="1"/>
  <c r="J21" i="85"/>
  <c r="J12" i="85" s="1"/>
  <c r="N35" i="85"/>
  <c r="L19" i="40"/>
  <c r="K19" i="40"/>
  <c r="Q19" i="40"/>
  <c r="M19" i="40"/>
  <c r="O23" i="40"/>
  <c r="O27" i="40" s="1"/>
  <c r="O11" i="40"/>
  <c r="N32" i="85" l="1"/>
  <c r="N33" i="85" s="1"/>
  <c r="P28" i="87"/>
  <c r="R28" i="87"/>
  <c r="I34" i="85"/>
  <c r="P6" i="88"/>
  <c r="V28" i="87"/>
  <c r="Q28" i="87"/>
  <c r="U12" i="88"/>
  <c r="O21" i="85"/>
  <c r="O12" i="85" s="1"/>
  <c r="V5" i="88"/>
  <c r="T10" i="88"/>
  <c r="T56" i="87"/>
  <c r="W56" i="87" s="1"/>
  <c r="T33" i="87"/>
  <c r="W33" i="87" s="1"/>
  <c r="T41" i="87"/>
  <c r="W41" i="87" s="1"/>
  <c r="T42" i="87"/>
  <c r="W42" i="87" s="1"/>
  <c r="T50" i="87"/>
  <c r="W50" i="87" s="1"/>
  <c r="T35" i="87"/>
  <c r="W35" i="87" s="1"/>
  <c r="T43" i="87"/>
  <c r="W43" i="87" s="1"/>
  <c r="T51" i="87"/>
  <c r="W51" i="87" s="1"/>
  <c r="T36" i="87"/>
  <c r="W36" i="87" s="1"/>
  <c r="T44" i="87"/>
  <c r="W44" i="87" s="1"/>
  <c r="T37" i="87"/>
  <c r="W37" i="87" s="1"/>
  <c r="T45" i="87"/>
  <c r="W45" i="87" s="1"/>
  <c r="T53" i="87"/>
  <c r="W53" i="87" s="1"/>
  <c r="T30" i="87"/>
  <c r="W30" i="87" s="1"/>
  <c r="T38" i="87"/>
  <c r="W38" i="87" s="1"/>
  <c r="T46" i="87"/>
  <c r="W46" i="87" s="1"/>
  <c r="T54" i="87"/>
  <c r="W54" i="87" s="1"/>
  <c r="T31" i="87"/>
  <c r="T39" i="87"/>
  <c r="W39" i="87" s="1"/>
  <c r="T47" i="87"/>
  <c r="W47" i="87" s="1"/>
  <c r="T55" i="87"/>
  <c r="W55" i="87" s="1"/>
  <c r="T32" i="87"/>
  <c r="W32" i="87" s="1"/>
  <c r="T40" i="87"/>
  <c r="W40" i="87" s="1"/>
  <c r="T48" i="87"/>
  <c r="W48" i="87" s="1"/>
  <c r="T49" i="87"/>
  <c r="W49" i="87" s="1"/>
  <c r="T52" i="87"/>
  <c r="W52" i="87" s="1"/>
  <c r="T24" i="87"/>
  <c r="W24" i="87" s="1"/>
  <c r="T34" i="87"/>
  <c r="W34" i="87" s="1"/>
  <c r="T29" i="87"/>
  <c r="W29" i="87" s="1"/>
  <c r="P13" i="86"/>
  <c r="P8" i="88"/>
  <c r="L32" i="85"/>
  <c r="L33" i="85" s="1"/>
  <c r="J34" i="85"/>
  <c r="Q6" i="88"/>
  <c r="K34" i="85"/>
  <c r="R6" i="88"/>
  <c r="R12" i="88" s="1"/>
  <c r="O34" i="85"/>
  <c r="V6" i="88"/>
  <c r="Q12" i="88"/>
  <c r="W10" i="88"/>
  <c r="J17" i="85"/>
  <c r="J38" i="85"/>
  <c r="O17" i="85"/>
  <c r="O38" i="85"/>
  <c r="K17" i="85"/>
  <c r="K38" i="85"/>
  <c r="I17" i="85"/>
  <c r="I38" i="85"/>
  <c r="I23" i="85"/>
  <c r="I24" i="85" s="1"/>
  <c r="R5" i="87"/>
  <c r="R58" i="87" s="1"/>
  <c r="V5" i="87"/>
  <c r="Q5" i="87"/>
  <c r="Q58" i="87" s="1"/>
  <c r="T5" i="86"/>
  <c r="T5" i="88" s="1"/>
  <c r="W5" i="88" s="1"/>
  <c r="T25" i="87"/>
  <c r="W25" i="87" s="1"/>
  <c r="T9" i="87"/>
  <c r="W9" i="87" s="1"/>
  <c r="T17" i="87"/>
  <c r="W17" i="87" s="1"/>
  <c r="T10" i="87"/>
  <c r="W10" i="87" s="1"/>
  <c r="T18" i="87"/>
  <c r="W18" i="87" s="1"/>
  <c r="T26" i="87"/>
  <c r="W26" i="87" s="1"/>
  <c r="T6" i="87"/>
  <c r="W6" i="87" s="1"/>
  <c r="T11" i="87"/>
  <c r="W11" i="87" s="1"/>
  <c r="T19" i="87"/>
  <c r="W19" i="87" s="1"/>
  <c r="T22" i="87"/>
  <c r="W22" i="87" s="1"/>
  <c r="T12" i="87"/>
  <c r="W12" i="87" s="1"/>
  <c r="T20" i="87"/>
  <c r="W20" i="87" s="1"/>
  <c r="T13" i="87"/>
  <c r="W13" i="87" s="1"/>
  <c r="T21" i="87"/>
  <c r="W21" i="87" s="1"/>
  <c r="T14" i="87"/>
  <c r="W14" i="87" s="1"/>
  <c r="T7" i="87"/>
  <c r="W7" i="87" s="1"/>
  <c r="T15" i="87"/>
  <c r="W15" i="87" s="1"/>
  <c r="T23" i="87"/>
  <c r="W23" i="87" s="1"/>
  <c r="T8" i="87"/>
  <c r="W8" i="87" s="1"/>
  <c r="T16" i="87"/>
  <c r="W16" i="87" s="1"/>
  <c r="P5" i="87"/>
  <c r="P58" i="87" s="1"/>
  <c r="Q13" i="86"/>
  <c r="K35" i="85"/>
  <c r="K32" i="85" s="1"/>
  <c r="K33" i="85" s="1"/>
  <c r="L30" i="85"/>
  <c r="L31" i="85" s="1"/>
  <c r="O23" i="85"/>
  <c r="O24" i="85" s="1"/>
  <c r="K23" i="85"/>
  <c r="K24" i="85" s="1"/>
  <c r="N30" i="85"/>
  <c r="N31" i="85" s="1"/>
  <c r="I35" i="85"/>
  <c r="J23" i="85"/>
  <c r="J24" i="85" s="1"/>
  <c r="J35" i="85"/>
  <c r="O35" i="85"/>
  <c r="O32" i="85" s="1"/>
  <c r="O33" i="85" s="1"/>
  <c r="V13" i="86"/>
  <c r="M9" i="85"/>
  <c r="M8" i="85" s="1"/>
  <c r="T8" i="86"/>
  <c r="T7" i="88" s="1"/>
  <c r="W7" i="88" s="1"/>
  <c r="T10" i="86"/>
  <c r="T9" i="88" s="1"/>
  <c r="W9" i="88" s="1"/>
  <c r="T9" i="86"/>
  <c r="T8" i="88" s="1"/>
  <c r="T7" i="86"/>
  <c r="R13" i="86"/>
  <c r="I30" i="85"/>
  <c r="I31" i="85" s="1"/>
  <c r="O19" i="40"/>
  <c r="W8" i="88" l="1"/>
  <c r="AQ8" i="88" s="1"/>
  <c r="I32" i="85"/>
  <c r="I33" i="85" s="1"/>
  <c r="V12" i="88"/>
  <c r="AR7" i="88"/>
  <c r="AQ7" i="88"/>
  <c r="AR9" i="88"/>
  <c r="AQ9" i="88"/>
  <c r="AR5" i="88"/>
  <c r="AQ5" i="88"/>
  <c r="V58" i="87"/>
  <c r="P12" i="88"/>
  <c r="W5" i="87"/>
  <c r="M34" i="85"/>
  <c r="T6" i="88"/>
  <c r="T12" i="88" s="1"/>
  <c r="AR10" i="88"/>
  <c r="AQ10" i="88"/>
  <c r="T28" i="87"/>
  <c r="W31" i="87"/>
  <c r="W28" i="87" s="1"/>
  <c r="J32" i="85"/>
  <c r="J33" i="85" s="1"/>
  <c r="M21" i="85"/>
  <c r="M12" i="85" s="1"/>
  <c r="M23" i="85" s="1"/>
  <c r="M24" i="85" s="1"/>
  <c r="M17" i="85"/>
  <c r="M38" i="85"/>
  <c r="N43" i="85"/>
  <c r="N47" i="85" s="1"/>
  <c r="N49" i="85" s="1"/>
  <c r="N50" i="85" s="1"/>
  <c r="O30" i="85"/>
  <c r="O31" i="85" s="1"/>
  <c r="L43" i="85"/>
  <c r="L47" i="85" s="1"/>
  <c r="L49" i="85" s="1"/>
  <c r="L50" i="85" s="1"/>
  <c r="T5" i="87"/>
  <c r="K30" i="85"/>
  <c r="K31" i="85" s="1"/>
  <c r="M35" i="85"/>
  <c r="J30" i="85"/>
  <c r="J31" i="85" s="1"/>
  <c r="T13" i="86"/>
  <c r="I43" i="85"/>
  <c r="I47" i="85" s="1"/>
  <c r="I49" i="85" s="1"/>
  <c r="I50" i="85" s="1"/>
  <c r="T13" i="39"/>
  <c r="W6" i="88" l="1"/>
  <c r="W12" i="88" s="1"/>
  <c r="O43" i="85"/>
  <c r="O47" i="85" s="1"/>
  <c r="O49" i="85" s="1"/>
  <c r="O50" i="85" s="1"/>
  <c r="AR8" i="88"/>
  <c r="W58" i="87"/>
  <c r="M32" i="85"/>
  <c r="M33" i="85" s="1"/>
  <c r="AR12" i="88"/>
  <c r="AQ12" i="88"/>
  <c r="AQ6" i="88"/>
  <c r="AR6" i="88"/>
  <c r="T58" i="87"/>
  <c r="L52" i="85"/>
  <c r="L53" i="85" s="1"/>
  <c r="N52" i="85"/>
  <c r="N53" i="85" s="1"/>
  <c r="M30" i="85"/>
  <c r="M31" i="85" s="1"/>
  <c r="K43" i="85"/>
  <c r="K47" i="85" s="1"/>
  <c r="K49" i="85" s="1"/>
  <c r="K50" i="85" s="1"/>
  <c r="J43" i="85"/>
  <c r="J47" i="85" s="1"/>
  <c r="J49" i="85" s="1"/>
  <c r="J50" i="85" s="1"/>
  <c r="I52" i="85"/>
  <c r="I53" i="85" s="1"/>
  <c r="O52" i="85"/>
  <c r="O53" i="85" s="1"/>
  <c r="H27" i="39"/>
  <c r="D14" i="85" s="1"/>
  <c r="M43" i="85" l="1"/>
  <c r="M47" i="85" s="1"/>
  <c r="M49" i="85" s="1"/>
  <c r="M50" i="85" s="1"/>
  <c r="K52" i="85"/>
  <c r="K53" i="85" s="1"/>
  <c r="J52" i="85"/>
  <c r="J53" i="85" s="1"/>
  <c r="P14" i="85"/>
  <c r="D13" i="85"/>
  <c r="M52" i="85"/>
  <c r="M53" i="85" s="1"/>
  <c r="R14" i="37"/>
  <c r="F7" i="40"/>
  <c r="D6" i="85" s="1"/>
  <c r="T27" i="39"/>
  <c r="P13" i="85" l="1"/>
  <c r="D5" i="85"/>
  <c r="P5" i="85" s="1"/>
  <c r="P6" i="85"/>
  <c r="R7" i="40"/>
  <c r="F23" i="40"/>
  <c r="R15" i="37"/>
  <c r="F8" i="40"/>
  <c r="F9" i="40" l="1"/>
  <c r="R16" i="37"/>
  <c r="R23" i="40"/>
  <c r="F10" i="40"/>
  <c r="R17" i="37"/>
  <c r="U7" i="40"/>
  <c r="V7" i="40"/>
  <c r="F24" i="40"/>
  <c r="R24" i="40" s="1"/>
  <c r="R8" i="40"/>
  <c r="F18" i="37"/>
  <c r="F19" i="37" s="1"/>
  <c r="R10" i="40" l="1"/>
  <c r="F26" i="40"/>
  <c r="R26" i="40" s="1"/>
  <c r="U24" i="40"/>
  <c r="V24" i="40"/>
  <c r="R18" i="37"/>
  <c r="V23" i="40"/>
  <c r="U23" i="40"/>
  <c r="F25" i="40"/>
  <c r="R25" i="40" s="1"/>
  <c r="R9" i="40"/>
  <c r="F11" i="40"/>
  <c r="U8" i="40"/>
  <c r="V8" i="40"/>
  <c r="K5" i="86" l="1"/>
  <c r="K5" i="88"/>
  <c r="D21" i="85"/>
  <c r="W5" i="86"/>
  <c r="U26" i="40"/>
  <c r="V26" i="40"/>
  <c r="R11" i="40"/>
  <c r="V10" i="40"/>
  <c r="U10" i="40"/>
  <c r="U9" i="40"/>
  <c r="V9" i="40"/>
  <c r="V25" i="40"/>
  <c r="U25" i="40"/>
  <c r="F27" i="40"/>
  <c r="K9" i="88" l="1"/>
  <c r="K6" i="88"/>
  <c r="K8" i="88"/>
  <c r="K7" i="88"/>
  <c r="K12" i="88" s="1"/>
  <c r="D9" i="85"/>
  <c r="P9" i="85" s="1"/>
  <c r="K10" i="86"/>
  <c r="W10" i="86" s="1"/>
  <c r="K9" i="86"/>
  <c r="W9" i="86" s="1"/>
  <c r="K7" i="86"/>
  <c r="K8" i="86"/>
  <c r="P21" i="85"/>
  <c r="D12" i="85"/>
  <c r="P12" i="85" s="1"/>
  <c r="AR5" i="86"/>
  <c r="AQ5" i="86"/>
  <c r="V11" i="40"/>
  <c r="U11" i="40"/>
  <c r="F19" i="40"/>
  <c r="R27" i="40"/>
  <c r="D8" i="85" l="1"/>
  <c r="D38" i="85" s="1"/>
  <c r="D17" i="85"/>
  <c r="D34" i="85"/>
  <c r="W7" i="86"/>
  <c r="K13" i="86"/>
  <c r="AR10" i="86"/>
  <c r="AQ10" i="86"/>
  <c r="D35" i="85"/>
  <c r="P35" i="85" s="1"/>
  <c r="W8" i="86"/>
  <c r="AR9" i="86"/>
  <c r="AQ9" i="86"/>
  <c r="P8" i="85"/>
  <c r="D23" i="85"/>
  <c r="D24" i="85" s="1"/>
  <c r="V27" i="40"/>
  <c r="U27" i="40"/>
  <c r="AH8" i="81"/>
  <c r="AH27" i="81" s="1"/>
  <c r="M56" i="84" l="1"/>
  <c r="M56" i="87"/>
  <c r="M28" i="87" s="1"/>
  <c r="M58" i="87" s="1"/>
  <c r="P17" i="85"/>
  <c r="P38" i="85"/>
  <c r="AR7" i="86"/>
  <c r="AQ7" i="86"/>
  <c r="W13" i="86"/>
  <c r="AR8" i="86"/>
  <c r="AQ8" i="86"/>
  <c r="P34" i="85"/>
  <c r="D32" i="85"/>
  <c r="P23" i="85"/>
  <c r="P24" i="85" s="1"/>
  <c r="M28" i="84"/>
  <c r="M58" i="84" s="1"/>
  <c r="F29" i="85"/>
  <c r="AH23" i="81"/>
  <c r="P32" i="85" l="1"/>
  <c r="P33" i="85" s="1"/>
  <c r="D33" i="85"/>
  <c r="AQ13" i="86"/>
  <c r="AR13" i="86"/>
  <c r="F51" i="85"/>
  <c r="F30" i="85"/>
  <c r="F31" i="85" s="1"/>
  <c r="AH30" i="81"/>
  <c r="AG8" i="81"/>
  <c r="AG27" i="81" s="1"/>
  <c r="L56" i="84" l="1"/>
  <c r="L56" i="87"/>
  <c r="L28" i="87" s="1"/>
  <c r="L58" i="87" s="1"/>
  <c r="L28" i="84"/>
  <c r="L58" i="84" s="1"/>
  <c r="E29" i="85"/>
  <c r="F43" i="85"/>
  <c r="F47" i="85" s="1"/>
  <c r="F49" i="85" s="1"/>
  <c r="F50" i="85" s="1"/>
  <c r="AG23" i="81"/>
  <c r="F52" i="85" l="1"/>
  <c r="F53" i="85" s="1"/>
  <c r="E51" i="85"/>
  <c r="E30" i="85"/>
  <c r="E31" i="85" s="1"/>
  <c r="AG30" i="81"/>
  <c r="AR9" i="81"/>
  <c r="AR13" i="81"/>
  <c r="AR21" i="81"/>
  <c r="AR20" i="81"/>
  <c r="AR19" i="81"/>
  <c r="AR18" i="81"/>
  <c r="AR16" i="81"/>
  <c r="AR17" i="81"/>
  <c r="AR15" i="81"/>
  <c r="AR12" i="81"/>
  <c r="AR11" i="81"/>
  <c r="AR14" i="81"/>
  <c r="AR10" i="81"/>
  <c r="AF8" i="81"/>
  <c r="AF27" i="81" s="1"/>
  <c r="K56" i="84" l="1"/>
  <c r="D29" i="85" s="1"/>
  <c r="K56" i="87"/>
  <c r="K28" i="87" s="1"/>
  <c r="K58" i="87" s="1"/>
  <c r="AR8" i="81"/>
  <c r="AR23" i="81" s="1"/>
  <c r="D51" i="85"/>
  <c r="P51" i="85" s="1"/>
  <c r="P29" i="85"/>
  <c r="D30" i="85"/>
  <c r="D31" i="85" s="1"/>
  <c r="E43" i="85"/>
  <c r="E47" i="85" s="1"/>
  <c r="E49" i="85" s="1"/>
  <c r="E50" i="85" s="1"/>
  <c r="W56" i="84"/>
  <c r="W28" i="84" s="1"/>
  <c r="W58" i="84" s="1"/>
  <c r="K28" i="84"/>
  <c r="K58" i="84" s="1"/>
  <c r="AS23" i="81"/>
  <c r="AS30" i="81" s="1"/>
  <c r="AR30" i="81"/>
  <c r="AR27" i="81"/>
  <c r="AS27" i="81" s="1"/>
  <c r="AF23" i="81"/>
  <c r="P30" i="85" l="1"/>
  <c r="P31" i="85" s="1"/>
  <c r="D43" i="85"/>
  <c r="E52" i="85"/>
  <c r="E53" i="85" s="1"/>
  <c r="AF30" i="81"/>
  <c r="AR22" i="81" s="1"/>
  <c r="AS22" i="81" s="1"/>
  <c r="D47" i="85" l="1"/>
  <c r="P43" i="85"/>
  <c r="D49" i="85" l="1"/>
  <c r="D50" i="85" s="1"/>
  <c r="P47" i="85"/>
  <c r="D52" i="85" l="1"/>
  <c r="D53" i="85" s="1"/>
  <c r="P49" i="85"/>
  <c r="P50" i="85" s="1"/>
  <c r="P52" i="85" l="1"/>
  <c r="P53" i="8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D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Cào hàng</t>
        </r>
      </text>
    </comment>
    <comment ref="D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Cào hàng</t>
        </r>
      </text>
    </comment>
    <comment ref="C2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2 chuyền /1 h
 ~ 1h chạy 2 ca</t>
        </r>
      </text>
    </comment>
    <comment ref="C3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2 chuyền/1h ~ 1h chạy 2 ca</t>
        </r>
      </text>
    </comment>
    <comment ref="C3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1 ca 8h
số giờ chạy máy: 7h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F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Đi ca 12 được 2 suất ăn</t>
        </r>
      </text>
    </comment>
    <comment ref="F1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Đi ca 12 được 2 suất ăn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  <author>Ngân, Lê Thùy</author>
  </authors>
  <commentList>
    <comment ref="E41" authorId="0" shapeId="0" xr:uid="{00000000-0006-0000-0300-000001000000}">
      <text>
        <r>
          <rPr>
            <b/>
            <sz val="9"/>
            <color indexed="81"/>
            <rFont val="Tahoma"/>
          </rPr>
          <t>Hương, Trần Thị:</t>
        </r>
        <r>
          <rPr>
            <sz val="9"/>
            <color indexed="81"/>
            <rFont val="Tahoma"/>
          </rPr>
          <t xml:space="preserve">
2 bộ lõi lọc: 750USD/bộ Sử dụng được 1 năm</t>
        </r>
      </text>
    </comment>
    <comment ref="D53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  <author>Ngân, Lê Thùy</author>
  </authors>
  <commentList>
    <comment ref="E41" authorId="0" shapeId="0" xr:uid="{00000000-0006-0000-0400-000001000000}">
      <text>
        <r>
          <rPr>
            <b/>
            <sz val="9"/>
            <color indexed="81"/>
            <rFont val="Tahoma"/>
          </rPr>
          <t>Hương, Trần Thị:</t>
        </r>
        <r>
          <rPr>
            <sz val="9"/>
            <color indexed="81"/>
            <rFont val="Tahoma"/>
          </rPr>
          <t xml:space="preserve">
2 bộ lõi lọc: 750USD/bộ Sử dụng được 1 năm</t>
        </r>
      </text>
    </comment>
    <comment ref="D53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tc={5DECF8F7-65EF-45E5-AA3D-1BB9AAFBC0D7}</author>
  </authors>
  <commentList>
    <comment ref="E6" authorId="0" shapeId="0" xr:uid="{5DECF8F7-65EF-45E5-AA3D-1BB9AAFBC0D7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thực tế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C2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Chi phí Nguyên vật liệu chính</t>
        </r>
      </text>
    </comment>
  </commentList>
</comments>
</file>

<file path=xl/sharedStrings.xml><?xml version="1.0" encoding="utf-8"?>
<sst xmlns="http://schemas.openxmlformats.org/spreadsheetml/2006/main" count="1507" uniqueCount="437">
  <si>
    <t>STT</t>
  </si>
  <si>
    <t>%</t>
  </si>
  <si>
    <t>II</t>
  </si>
  <si>
    <t>Năng suất lao động</t>
  </si>
  <si>
    <t>Chi phí thuê xưởng</t>
  </si>
  <si>
    <t>MỤC TIÊU KẾT QUẢ KINH DOANH NĂM 2026</t>
  </si>
  <si>
    <t>ĐVT: Triệu đồng</t>
  </si>
  <si>
    <t>Mục phí</t>
  </si>
  <si>
    <t>Thực tế năm 2024</t>
  </si>
  <si>
    <t>KQKD 2025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</si>
  <si>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</si>
  <si>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</si>
  <si>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</si>
  <si>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</si>
  <si>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</si>
  <si>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</si>
  <si>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</si>
  <si>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</si>
  <si>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</si>
  <si>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</si>
  <si>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</si>
  <si>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</si>
  <si>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Mục tiêu 2026</t>
  </si>
  <si>
    <t>1</t>
  </si>
  <si>
    <t>SẢN LƯỢNG BÁN (TẤN)</t>
  </si>
  <si>
    <t>1.1</t>
  </si>
  <si>
    <t>1.2</t>
  </si>
  <si>
    <t xml:space="preserve">DOANH THU </t>
  </si>
  <si>
    <t>2.1</t>
  </si>
  <si>
    <t>2.2</t>
  </si>
  <si>
    <t>2.4</t>
  </si>
  <si>
    <t>Khác</t>
  </si>
  <si>
    <t>BIẾN PHÍ</t>
  </si>
  <si>
    <t>BIẾN PHÍ SẢN XUẤT</t>
  </si>
  <si>
    <t>3.1.1</t>
  </si>
  <si>
    <t>Nguyên vật liệu chính (nhựa, gồm hao hụt)</t>
  </si>
  <si>
    <t>3.1.2</t>
  </si>
  <si>
    <t>Trong đó: i/ Hao hụt CĐ phân loại chai</t>
  </si>
  <si>
    <t xml:space="preserve">               ii/ Hao hụt CĐ băm vảy</t>
  </si>
  <si>
    <t>3.1.3</t>
  </si>
  <si>
    <t>% chi phí nguyên liệu/doanh thu</t>
  </si>
  <si>
    <t>3.1.4</t>
  </si>
  <si>
    <t>3.1.5</t>
  </si>
  <si>
    <t>Điện sản xuất</t>
  </si>
  <si>
    <t>3.1.6</t>
  </si>
  <si>
    <t>Nhân công trực tiếp</t>
  </si>
  <si>
    <t>BIẾN PHÍ BÁN HÀNG</t>
  </si>
  <si>
    <t>Chi phí vận chuyển</t>
  </si>
  <si>
    <t>LÃI SAU BIẾN PHÍ</t>
  </si>
  <si>
    <t>4.1</t>
  </si>
  <si>
    <t>% lãi biến phí/doanh thu</t>
  </si>
  <si>
    <t>CHI PHÍ SẢN XUẤT CHUNG</t>
  </si>
  <si>
    <t>Lương gián tiếp Sản xuất</t>
  </si>
  <si>
    <t>Chi phí sản xuất (Ngoài lương, BOM, thuê xưởng, khấu hao)</t>
  </si>
  <si>
    <t>CHI PHÍ KHẤU HAO, CCDC</t>
  </si>
  <si>
    <t>LỢI NHUẬN GỘP</t>
  </si>
  <si>
    <t>7.1</t>
  </si>
  <si>
    <t>% lãi gộp/doanh thu</t>
  </si>
  <si>
    <t>CHI PHÍ BÁN HÀNG &amp; MKT &amp; R&amp;D</t>
  </si>
  <si>
    <t>Lương</t>
  </si>
  <si>
    <t>Chi phí bán hàng (ngoài lương, khấu hao)</t>
  </si>
  <si>
    <t>Khấu hao tài sản</t>
  </si>
  <si>
    <t>CHI PHÍ QUẢN LÝ</t>
  </si>
  <si>
    <t>Chi phí quản lý (ngoài lương, khấu hao)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</si>
  <si>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</si>
  <si>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</si>
  <si>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</si>
  <si>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</si>
  <si>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</si>
  <si>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</si>
  <si>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</si>
  <si>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</si>
  <si>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16.1</t>
  </si>
  <si>
    <t>% LNST/doanh thu</t>
  </si>
  <si>
    <t>LỢI NHUẬN KHÔNG BAO GỒM KHẤU HAO, LÃI VAY</t>
  </si>
  <si>
    <t>18.1</t>
  </si>
  <si>
    <t>% LN không gồm khấu hao/doanh thu</t>
  </si>
  <si>
    <t>Thực tế năm 2023</t>
  </si>
  <si>
    <t>5.1</t>
  </si>
  <si>
    <t>5.2</t>
  </si>
  <si>
    <t>5.3</t>
  </si>
  <si>
    <t>8.1</t>
  </si>
  <si>
    <t>8.2</t>
  </si>
  <si>
    <t>8.3</t>
  </si>
  <si>
    <t>9.1</t>
  </si>
  <si>
    <t>9.2</t>
  </si>
  <si>
    <t>9.3</t>
  </si>
  <si>
    <t>13.1</t>
  </si>
  <si>
    <t>CÔNG SUẤT</t>
  </si>
  <si>
    <t>Công đoạn sản xuất</t>
  </si>
  <si>
    <t>Cấp liệu</t>
  </si>
  <si>
    <t>Công suất thành phẩm cả chuyền</t>
  </si>
  <si>
    <t>Năng suất THIẾT KẾ
(Kg NVL đầu vào / giờ)</t>
  </si>
  <si>
    <t>Năng suất ĐỊNH MỨC
(Kg NVL đầu vào / giờ)</t>
  </si>
  <si>
    <t>Diễn giải</t>
  </si>
  <si>
    <t>Chỉ tiêu định mức</t>
  </si>
  <si>
    <t>ĐVT</t>
  </si>
  <si>
    <t>ĐM 1 giờ</t>
  </si>
  <si>
    <t>ĐM 1 Ca8</t>
  </si>
  <si>
    <t>ĐM 1 Ca12</t>
  </si>
  <si>
    <t>ĐM 2 Ca8</t>
  </si>
  <si>
    <t>ĐM 2 Ca12</t>
  </si>
  <si>
    <t>Tổng nhân sự:</t>
  </si>
  <si>
    <t>Người</t>
  </si>
  <si>
    <t>Định mức NVL đầu vào:</t>
  </si>
  <si>
    <t>kg/giờ</t>
  </si>
  <si>
    <t>Hao hụt:</t>
  </si>
  <si>
    <t>Định mức thành phẩm:</t>
  </si>
  <si>
    <t>Định mức thành phẩm/người:</t>
  </si>
  <si>
    <t>kg/giờ/người</t>
  </si>
  <si>
    <t>VI - CÔNG SUẤT MÁY VÀ NĂNG SUẤT LAO ĐỘNG MỤC TIÊU</t>
  </si>
  <si>
    <t>Định mức</t>
  </si>
  <si>
    <t>a</t>
  </si>
  <si>
    <t>Số nhân sự/ chuyền/ ca</t>
  </si>
  <si>
    <t>b</t>
  </si>
  <si>
    <t>Công suất/ chuyền</t>
  </si>
  <si>
    <t>c</t>
  </si>
  <si>
    <t>VII - TỔNG CÔNG SUẤT MÁY PET và NĂNG SUẤT LAO ĐỘNG</t>
  </si>
  <si>
    <t>i</t>
  </si>
  <si>
    <t>Tổng công suất PET/giờ</t>
  </si>
  <si>
    <t>Công suất máy - Tính trên NVL đầu vào</t>
  </si>
  <si>
    <t>Tấn/giờ</t>
  </si>
  <si>
    <t>Công suất máy - Tính trên Thành phẩm SX</t>
  </si>
  <si>
    <t>ii</t>
  </si>
  <si>
    <t>kg/tháng</t>
  </si>
  <si>
    <t>Tấn/tháng</t>
  </si>
  <si>
    <t>iii</t>
  </si>
  <si>
    <t>Năng suất lao động (CNTT)</t>
  </si>
  <si>
    <t>Năng suất lao động - Tấn/người/ngày</t>
  </si>
  <si>
    <t>Tấn/người/ngày</t>
  </si>
  <si>
    <t>Năng suất lao động - Tấn/người/tháng</t>
  </si>
  <si>
    <t>Tấn/người/tháng</t>
  </si>
  <si>
    <t>ĐỊNH MỨC CHI PHÍ</t>
  </si>
  <si>
    <t>Đơn giá</t>
  </si>
  <si>
    <t>Chi phí/1kg thành phẩm</t>
  </si>
  <si>
    <t>LĐ định biên</t>
  </si>
  <si>
    <t>LĐ thời vụ</t>
  </si>
  <si>
    <t>Tiền ăn giữa Ca</t>
  </si>
  <si>
    <t>Đồng/người/ngày công</t>
  </si>
  <si>
    <t>Kw/1chuyền/1giờ hoạt động</t>
  </si>
  <si>
    <t>Dầu xe nâng</t>
  </si>
  <si>
    <t>Lít/giờ hoạt động</t>
  </si>
  <si>
    <t>Chuyến/9 tấn</t>
  </si>
  <si>
    <t>Ngày …</t>
  </si>
  <si>
    <t>Duyệt</t>
  </si>
  <si>
    <t>Xem xét</t>
  </si>
  <si>
    <t>Người lập</t>
  </si>
  <si>
    <t>GĐĐH DTR</t>
  </si>
  <si>
    <t>GĐTC DTR</t>
  </si>
  <si>
    <t>GĐ các trạm</t>
  </si>
  <si>
    <t>Trưởng Trạm</t>
  </si>
  <si>
    <t>Kế toán trưởng</t>
  </si>
  <si>
    <t>Phòng ban</t>
  </si>
  <si>
    <t>Ban giám đốc</t>
  </si>
  <si>
    <t>Phòng Hành chánh nhân sự</t>
  </si>
  <si>
    <t>Phòng Kế toán</t>
  </si>
  <si>
    <t>Ban dự án XDCB</t>
  </si>
  <si>
    <t>Phòng Kỹ thuật</t>
  </si>
  <si>
    <t>Phòng Sản xuất</t>
  </si>
  <si>
    <t>Phòng Kho vận</t>
  </si>
  <si>
    <t>TỔNG:</t>
  </si>
  <si>
    <t>Mã tài khoản (Mã Chi phí_L4)</t>
  </si>
  <si>
    <t>Tên tài khoản (Cost elements 2)</t>
  </si>
  <si>
    <t>Chi Phí_L5 (Cost Group 2)</t>
  </si>
  <si>
    <t>Chi phí lương chính - Gián tiếp</t>
  </si>
  <si>
    <t>Salary and Wages - Direct</t>
  </si>
  <si>
    <t>Chi phí lương T13, phép năm - Gián tiếp</t>
  </si>
  <si>
    <t>Salary and Wages - Support</t>
  </si>
  <si>
    <t>Chi phí khen thưởng - Gián tiếp</t>
  </si>
  <si>
    <t>Employee Welfare</t>
  </si>
  <si>
    <t>Chi phí khen thưởng, bồi dưỡng khác</t>
  </si>
  <si>
    <t>Tiền ăn giữa ca - Gián tiếp</t>
  </si>
  <si>
    <t>Phụ cấp ca đêm - Gián tiếp</t>
  </si>
  <si>
    <t>BHXH, BHYT, KPCĐ, BHTN - Gián tiếp</t>
  </si>
  <si>
    <t>Chi phí lương ngoài giờ - Gián tiếp</t>
  </si>
  <si>
    <t>Thưởng danh hiệu - Gián tiếp</t>
  </si>
  <si>
    <t>Chi phí lương chính - Trực tiếp</t>
  </si>
  <si>
    <t>Chi phí lương T13, phép năm - Trực tiếp</t>
  </si>
  <si>
    <t>Chi phí khen thưởng - Trực tiếp</t>
  </si>
  <si>
    <t>Thưởng danh hiệu - Trực tiếp</t>
  </si>
  <si>
    <t>Tiền ăn giữa ca - Trực tiếp</t>
  </si>
  <si>
    <t>Phụ cấp ca đêm - Trực tiếp</t>
  </si>
  <si>
    <t>BHXH, BHYT, KPCĐ, BHTN - Trực tiếp</t>
  </si>
  <si>
    <t>Chi phí lương ngoài giờ - Trực tiếp</t>
  </si>
  <si>
    <t>DOANH THU</t>
  </si>
  <si>
    <t>I - DOANH THU CHAI PET</t>
  </si>
  <si>
    <t>Thành phẩm (chai sau phân loại)</t>
  </si>
  <si>
    <t>Tỷ lệ</t>
  </si>
  <si>
    <t>+/- 2026 sv 2025</t>
  </si>
  <si>
    <t xml:space="preserve">+/- % </t>
  </si>
  <si>
    <t>Tấn</t>
  </si>
  <si>
    <t>Chai PET B1 Không Phân Loại</t>
  </si>
  <si>
    <t>Chai PET B1.3</t>
  </si>
  <si>
    <t>Chai PET B2.1</t>
  </si>
  <si>
    <t>Đồng/kg</t>
  </si>
  <si>
    <t>Giá bán Trung bình</t>
  </si>
  <si>
    <t>3. Doanh thu chai</t>
  </si>
  <si>
    <t>Triệu đ</t>
  </si>
  <si>
    <t>Logo CTY</t>
  </si>
  <si>
    <t>NHU CẦU MUA NGUYÊN VẬT LIỆU CHAI</t>
  </si>
  <si>
    <t>1. Số lượng</t>
  </si>
  <si>
    <t>Loại chai nguyên liệu</t>
  </si>
  <si>
    <t>i. Tỷ lệ chai</t>
  </si>
  <si>
    <t>Tổng:</t>
  </si>
  <si>
    <t>ii Số lượng chai</t>
  </si>
  <si>
    <t xml:space="preserve">&lt;= Nhập sản lượng </t>
  </si>
  <si>
    <t>2. Giá mua</t>
  </si>
  <si>
    <t>Chi phí mua (các chính sách mua hàng)</t>
  </si>
  <si>
    <t>Giá mua bình quân</t>
  </si>
  <si>
    <t>3. Tổng giá trị mua</t>
  </si>
  <si>
    <t>Tổng sản lượng chai mua vào</t>
  </si>
  <si>
    <t>Tổng công suất máy (NVL)</t>
  </si>
  <si>
    <t>Tạp chất (ly mũ, ống hút, PET màu, trắng sữa, chai dín nhớt, nylong ….: loại trên chuyền)</t>
  </si>
  <si>
    <t>Tổng</t>
  </si>
  <si>
    <t>Vảy - Băm B1</t>
  </si>
  <si>
    <t>Mấy kg</t>
  </si>
  <si>
    <t>Tổng hao hụt</t>
  </si>
  <si>
    <t>Tỷ lệ vảy thành phẩm</t>
  </si>
  <si>
    <t>III - TỶ LỆ THÀNH PHẨM SAU KHI PHÂN LOẠI CHAI PET</t>
  </si>
  <si>
    <r>
      <t xml:space="preserve">1. Sản xuất từ chai PET </t>
    </r>
    <r>
      <rPr>
        <b/>
        <sz val="10"/>
        <color rgb="FF0000FF"/>
        <rFont val="Arial"/>
        <family val="2"/>
      </rPr>
      <t>B0 - Xá tròn</t>
    </r>
  </si>
  <si>
    <t>I - THÀNH PHẨM SAU PHÂN LOẠI CHAI PET</t>
  </si>
  <si>
    <t>ĐVT: Tấn</t>
  </si>
  <si>
    <t>TỔNG</t>
  </si>
  <si>
    <t>I - CHI PHÍ SẢN XUẤT PET</t>
  </si>
  <si>
    <t>Dự phòng</t>
  </si>
  <si>
    <t>Chi tiết</t>
  </si>
  <si>
    <t>Tham chiếu</t>
  </si>
  <si>
    <t>% CP/DT 2026</t>
  </si>
  <si>
    <t>LUONG</t>
  </si>
  <si>
    <t>Chi phí đồng phục</t>
  </si>
  <si>
    <t>Phan bo</t>
  </si>
  <si>
    <t>Chi phí y tế, BH sức khỏe</t>
  </si>
  <si>
    <t>Chi Phí Y Tế, BH Sức Khỏe, BH 24/24</t>
  </si>
  <si>
    <t>Chi phí điện sản xuất</t>
  </si>
  <si>
    <t>Direct Cost of Goods sold</t>
  </si>
  <si>
    <t>Dinh muc</t>
  </si>
  <si>
    <t>Chi phí vật liệu phục vụ SX</t>
  </si>
  <si>
    <t>Operating Supplies</t>
  </si>
  <si>
    <t>Chi phí vật tư phân xưởng</t>
  </si>
  <si>
    <t>Chi phí xăng dầu xe du lịch, xe gắn máy, xe nâng</t>
  </si>
  <si>
    <t>Energy Expenses</t>
  </si>
  <si>
    <t xml:space="preserve">Xăng dầu xe nâng   </t>
  </si>
  <si>
    <t>Trường hợp sản xuất 2 công đoạn: Phân loại chai và băm vảy thì chỉ tính sản lượng chai dùng dây đai</t>
  </si>
  <si>
    <t>ĐỊNH PHÍ</t>
  </si>
  <si>
    <t>Chi phí công cụ dụng cụ phục vụ SX</t>
  </si>
  <si>
    <t>Tools and Equipments</t>
  </si>
  <si>
    <t>BP Phat sinh</t>
  </si>
  <si>
    <t>Chi phí nước sinh hoạt</t>
  </si>
  <si>
    <t>Tiền nước uống</t>
  </si>
  <si>
    <t>Miscellaneous Expenses</t>
  </si>
  <si>
    <t>Chi phí dịch vụ môi trường</t>
  </si>
  <si>
    <t>Environmental Expenses</t>
  </si>
  <si>
    <t>Chi phí thuê nhà, văn phòng, xưởng, kho</t>
  </si>
  <si>
    <t>Building and structures rent</t>
  </si>
  <si>
    <t>Chi phí bằng tiền khác</t>
  </si>
  <si>
    <t>Chi Phí Bảo Trì</t>
  </si>
  <si>
    <t>Repairs and Maintenance Expenses</t>
  </si>
  <si>
    <t>Chi phí bảo trì - Xuất vật tư</t>
  </si>
  <si>
    <t>6277004904</t>
  </si>
  <si>
    <t>Bảo trì IT</t>
  </si>
  <si>
    <t>Information Technology - IT</t>
  </si>
  <si>
    <t>Chi phí bảo trì - DV bên ngoài</t>
  </si>
  <si>
    <t>Xây Dựng, Sửa Chữa</t>
  </si>
  <si>
    <t>Chi phí xây dựng, sửa chữa nhà xưởng, văn phòng</t>
  </si>
  <si>
    <t>Chi phi sửa chữa</t>
  </si>
  <si>
    <t>Chi phí sửa chữa, bảo trì phương tiện vận tải</t>
  </si>
  <si>
    <t>Chi phí bảo hiểm tài sản</t>
  </si>
  <si>
    <t>Insurance Expenses</t>
  </si>
  <si>
    <t>Phân bổ công cụ dụng cụ</t>
  </si>
  <si>
    <t>Phí kiểm định kỹ thuật</t>
  </si>
  <si>
    <t>Calibration,Testing&amp;Quality Control Exp.</t>
  </si>
  <si>
    <t>Chi phí Khấu hao</t>
  </si>
  <si>
    <t>Depreciation</t>
  </si>
  <si>
    <t>Khau hao</t>
  </si>
  <si>
    <t>I+II</t>
  </si>
  <si>
    <t>Tổng CP_Sản xuất</t>
  </si>
  <si>
    <t>6277003101</t>
  </si>
  <si>
    <t>Công Ty TNHH Thu Mua Phế Liệu Đại Lộc</t>
  </si>
  <si>
    <t>KẾ HOẠCH NGÂN SÁCH 2026</t>
  </si>
  <si>
    <t>Tỷ giá</t>
  </si>
  <si>
    <t>Xem MD</t>
  </si>
  <si>
    <t>Xem DATA Phan bo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</si>
  <si>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</si>
  <si>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</si>
  <si>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</si>
  <si>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</si>
  <si>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</si>
  <si>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</si>
  <si>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</si>
  <si>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</si>
  <si>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</si>
  <si>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</si>
  <si>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</si>
  <si>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</si>
  <si>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</si>
  <si>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</si>
  <si>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</si>
  <si>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</si>
  <si>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</si>
  <si>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</si>
  <si>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</si>
  <si>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</si>
  <si>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</si>
  <si>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</si>
  <si>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Tên tài sản</t>
  </si>
  <si>
    <t>Nhóm tài khoản</t>
  </si>
  <si>
    <t>Giá trị nguyên giá</t>
  </si>
  <si>
    <t>Giá trị đã khấu hao</t>
  </si>
  <si>
    <t>Giá trị còn lại</t>
  </si>
  <si>
    <t>Giá trị còn lại cuối năm 2026</t>
  </si>
  <si>
    <t>BGD</t>
  </si>
  <si>
    <t>Cái</t>
  </si>
  <si>
    <t>Khấu hao máy móc thiết bị chính</t>
  </si>
  <si>
    <t>6272002201</t>
  </si>
  <si>
    <t>Chi phí sửa chữa nhỏ</t>
  </si>
  <si>
    <t>NGÂN SÁCH CAPEX VÀ XÂY DỰNG CƠ BẢN</t>
  </si>
  <si>
    <t>Depreciation-PPE-Machinery and equipment</t>
  </si>
  <si>
    <t>TSCĐ hữu hình</t>
  </si>
  <si>
    <t>Hệ thống điện</t>
  </si>
  <si>
    <t>Chuyên Dây Đai PET</t>
  </si>
  <si>
    <t>Nhập Khẩu</t>
  </si>
  <si>
    <t>JWELL</t>
  </si>
  <si>
    <t>JEWLL</t>
  </si>
  <si>
    <t>Tạo dây Dai PET</t>
  </si>
  <si>
    <t>Sesotec</t>
  </si>
  <si>
    <t>SESOTEC</t>
  </si>
  <si>
    <t>Dongguan</t>
  </si>
  <si>
    <t>Nội Địa</t>
  </si>
  <si>
    <t>Hoàng Tiến Phát</t>
  </si>
  <si>
    <t>Hoàng TIến Phát</t>
  </si>
  <si>
    <t>Thịnh Phát, AE</t>
  </si>
  <si>
    <t>Khang Thành, Lê Quốc</t>
  </si>
  <si>
    <t>Hệ thống hơi</t>
  </si>
  <si>
    <t>Hoàng Tấn An</t>
  </si>
  <si>
    <t>Kỹ Thuật</t>
  </si>
  <si>
    <t>TỔNG CỘNG KHẤU HAO TSCĐ_SX</t>
  </si>
  <si>
    <t>Khấu Hao chuyền Phân loại</t>
  </si>
  <si>
    <t>Khấu hao chuyền Băm PET</t>
  </si>
  <si>
    <t>Khấu hao chuyền Băm HD</t>
  </si>
  <si>
    <t>Khấu hao chuyền Dây Đai</t>
  </si>
  <si>
    <t>Khấu Hao xưởng</t>
  </si>
  <si>
    <t>TỔNG CỘNG KHẤU HAO TSCĐ_QL</t>
  </si>
  <si>
    <t>TỔNG CỘNG KHẤU HAO TSCĐ</t>
  </si>
  <si>
    <t>6220002901</t>
  </si>
  <si>
    <t>Chi phí trợ cấp thôi việc - Trực tiếp</t>
  </si>
  <si>
    <t>Employee Benefits Expenses</t>
  </si>
  <si>
    <t>Chuyên Dây Đai JWELL</t>
  </si>
  <si>
    <t>Máy tách kim loại SESOTEC Vario FS-100-PP</t>
  </si>
  <si>
    <t>Máy kiểm tra chất luongj dây đai thành phẩm</t>
  </si>
  <si>
    <t>Bồn trộn 10m3 (3.5 tấn vảy</t>
  </si>
  <si>
    <t>Hệ thống nước</t>
  </si>
  <si>
    <t>Chi phí lắp đăth</t>
  </si>
  <si>
    <t>Chi Phí chuyên gia</t>
  </si>
  <si>
    <t>Chi phí vận hành</t>
  </si>
  <si>
    <t>Chi Phí Bảo Trì.</t>
  </si>
  <si>
    <t>Chi phí sửa chữa máy móc giá trị nhỏ</t>
  </si>
  <si>
    <t>Time đã khấu hao</t>
  </si>
  <si>
    <t>Time còn lại</t>
  </si>
  <si>
    <t>ĐC time KH</t>
  </si>
  <si>
    <t>YEAR</t>
  </si>
  <si>
    <t>Time KH</t>
  </si>
  <si>
    <t>mounth</t>
  </si>
  <si>
    <t>Time KH còn lại đc</t>
  </si>
  <si>
    <t>KH 2026</t>
  </si>
  <si>
    <t>Định mức nhân công
(Số NV / Ca12)</t>
  </si>
  <si>
    <t>Dây Đai PET</t>
  </si>
  <si>
    <t>Định mức kỹ thuật vận hành
(Số NV / Ca12)</t>
  </si>
  <si>
    <t>I - CÔNG SUẤT CHUYỀN SẢN XUẤT DÂY ĐAI</t>
  </si>
  <si>
    <t>Giờ công/ca 12</t>
  </si>
  <si>
    <t>Vảy PET Dây Đai Mixed</t>
  </si>
  <si>
    <t>4. Hiệu suất máy (1ca 12giờ x 2ca 1 ngày x 30 ngày 1 tháng)</t>
  </si>
  <si>
    <t>Hao hụt vô hình (nước…)</t>
  </si>
  <si>
    <t>SẢN XUẤT DÂY ĐAI</t>
  </si>
  <si>
    <t>II - TỶ LỆ HAO HỤT DÂY ĐAI</t>
  </si>
  <si>
    <t>I - TỶ LỆ HAO HỤT DÂY ĐAI</t>
  </si>
  <si>
    <t>Định Mức</t>
  </si>
  <si>
    <t>Đầu Keo Dây Đai PET Chưa Băm</t>
  </si>
  <si>
    <t>Phó Sản PET HAD</t>
  </si>
  <si>
    <t>Phó Sản PET Bụi Vảy</t>
  </si>
  <si>
    <t>Phó Sản Dây Đai PET Chưa Băm</t>
  </si>
  <si>
    <t xml:space="preserve">Thành phẩm </t>
  </si>
  <si>
    <t>CHUYỀN DÂY ĐAI</t>
  </si>
  <si>
    <t>Tổng công suất PET/tháng (8hx2cax30 ngày)</t>
  </si>
  <si>
    <t>Nước đầu vào</t>
  </si>
  <si>
    <t>Nước đầu ra</t>
  </si>
  <si>
    <t>Lõi giấy Æ406</t>
  </si>
  <si>
    <t>Pallet rHD D4-0986 DTR</t>
  </si>
  <si>
    <t>I - ĐỊNH MỨC  SẢN XUẤT DÂY ĐAI</t>
  </si>
  <si>
    <t>m3/h</t>
  </si>
  <si>
    <t>Nhân sự gián tiếp sản xuất</t>
  </si>
  <si>
    <t>Nhân sự trực tiếp (CNSX)</t>
  </si>
  <si>
    <t>LĐ định biên - Kỹ Thuật</t>
  </si>
  <si>
    <t>LĐ định biên - QC</t>
  </si>
  <si>
    <t>Hạt màu</t>
  </si>
  <si>
    <t>Hiệu suất: 60%</t>
  </si>
  <si>
    <t>Dây đai rPET RPE1610</t>
  </si>
  <si>
    <t>1.1 Sản lượng sản xuất dây đai</t>
  </si>
  <si>
    <t>1.5 Thành phẩm Xuất bán</t>
  </si>
  <si>
    <t>1. Sản lượng bán dây đai</t>
  </si>
  <si>
    <t>2. Giá bán</t>
  </si>
  <si>
    <t>Máy vệ sinh lõi lọc</t>
  </si>
  <si>
    <t>Cp nước</t>
  </si>
  <si>
    <t>Cuộn màng PE/PVC (3kg)</t>
  </si>
  <si>
    <t>1 Cuộn sử dụng 1 lõi</t>
  </si>
  <si>
    <t>1 pallet chứa 40 cuộn</t>
  </si>
  <si>
    <t>Lõi giấy</t>
  </si>
  <si>
    <t>Cuộn Màng PE</t>
  </si>
  <si>
    <t>Lõi lọc - Màng …</t>
  </si>
  <si>
    <t>Dây đai rPET RPE1610 (Giá bán B&amp;B: Ck 10%)</t>
  </si>
  <si>
    <t>VTTH: Ron</t>
  </si>
  <si>
    <t>4h thay 1 bộ</t>
  </si>
  <si>
    <t>Bộ nhận diện thương hiệu, tem nhãn, sale kit, TDS, dây mẫu</t>
  </si>
  <si>
    <t>Lương KD, adm, nv giao hàng</t>
  </si>
  <si>
    <t>Chi phí hoa hồng bán hàng 5% doanh thu</t>
  </si>
  <si>
    <t>Chi phí chiết khấu bán hàng: 10% doanh thu</t>
  </si>
  <si>
    <t>Cp đội ngũ sale bán hàng: 10% Doanh thu</t>
  </si>
  <si>
    <t>Cp Maketing: 5% doanh thu</t>
  </si>
  <si>
    <t>I - CHI PHÍ BÁN HÀNG PET</t>
  </si>
  <si>
    <t>KQKD 2024</t>
  </si>
  <si>
    <t>KQKD 2023</t>
  </si>
  <si>
    <t>6417003602</t>
  </si>
  <si>
    <t>Thuê xe giao hàng</t>
  </si>
  <si>
    <t>Domestic Freight</t>
  </si>
  <si>
    <t>Thuê xe vận chuyển bán Chai PET</t>
  </si>
  <si>
    <t>Tổng CP_Bán hàng</t>
  </si>
  <si>
    <t>II - CHI PHÍ BÁN HÀNG HD</t>
  </si>
  <si>
    <t>Thuê xe vận chuyển bán vảy HD</t>
  </si>
  <si>
    <t>Cơ sở tính: tham chiếu CP chở chai tại trạm</t>
  </si>
  <si>
    <t xml:space="preserve">Nguyên vật liệu phụ (Lõi giấy, Màng PE, </t>
  </si>
  <si>
    <t>ĐVT: Đồng/kg</t>
  </si>
  <si>
    <t>% CPBH/doanh thu</t>
  </si>
  <si>
    <t>% CPQL/doanh thu</t>
  </si>
  <si>
    <t>1 cuộn SX 2.5 tấn</t>
  </si>
  <si>
    <t>Chi phí vật tư phân xưởng (ron)</t>
  </si>
  <si>
    <t>ĐVT: đồng/kg</t>
  </si>
  <si>
    <t>Tăng thêm 1 nhân sự: để vệ sinh lõi lọc so với ban đầu</t>
  </si>
  <si>
    <t xml:space="preserve">CP SX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</si>
</sst>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#,###,;\(#,###,\)"/>
    <numFmt numFmtId="173" formatCode="0.0%;\(0.0%\)"/>
    <numFmt numFmtId="174" formatCode="0%;\(0%\)"/>
    <numFmt numFmtId="175" formatCode="#,###.0,,"/>
    <numFmt numFmtId="176" formatCode="#,###.0,"/>
    <numFmt numFmtId="177" formatCode="#,###.000,"/>
    <numFmt numFmtId="178" formatCode="[$-101042A]&quot;T&quot;m\.yyyy;@"/>
    <numFmt numFmtId="179" formatCode="0.0000000000000000%"/>
    <numFmt numFmtId="180" formatCode="#,##0.0,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Calibri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sz val="12"/>
      <name val="Calibri"/>
      <family val="2"/>
      <scheme val="minor"/>
    </font>
    <font>
      <sz val="12"/>
      <color rgb="FF0000FF"/>
      <name val="Calibri Light"/>
      <family val="1"/>
      <scheme val="major"/>
    </font>
    <font>
      <b/>
      <sz val="14"/>
      <color rgb="FF00B050"/>
      <name val="Arial"/>
      <family val="2"/>
    </font>
    <font>
      <sz val="11"/>
      <color rgb="FF0000FF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Calibri Light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b/>
      <sz val="12"/>
      <color rgb="FF0000FF"/>
      <name val="Arial"/>
      <family val="2"/>
    </font>
    <font>
      <b/>
      <sz val="10"/>
      <name val="Arial"/>
      <family val="2"/>
    </font>
    <font>
      <sz val="12"/>
      <color rgb="FF0000FF"/>
      <name val="Arial"/>
      <family val="2"/>
    </font>
    <font>
      <sz val="14"/>
      <name val="CordiaUPC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119503"/>
      </right>
      <top/>
      <bottom style="dotted">
        <color theme="0" tint="-0.24994659260841701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</borders>
  <cellStyleXfs count="32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0" fontId="14" fillId="0" borderId="0" applyNumberFormat="0" applyFill="0" applyProtection="0">
      <alignment horizontal="left"/>
    </xf>
    <xf numFmtId="170" fontId="13" fillId="0" borderId="0" applyFont="0" applyFill="0" applyBorder="0" applyAlignment="0" applyProtection="0"/>
    <xf numFmtId="0" fontId="2" fillId="0" borderId="0"/>
    <xf numFmtId="0" fontId="28" fillId="0" borderId="0"/>
    <xf numFmtId="0" fontId="29" fillId="0" borderId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30" fillId="0" borderId="0"/>
    <xf numFmtId="170" fontId="3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2" fillId="0" borderId="0"/>
    <xf numFmtId="0" fontId="28" fillId="0" borderId="0"/>
    <xf numFmtId="43" fontId="32" fillId="0" borderId="0" applyFont="0" applyFill="0" applyBorder="0" applyAlignment="0" applyProtection="0"/>
    <xf numFmtId="0" fontId="28" fillId="0" borderId="0"/>
    <xf numFmtId="170" fontId="28" fillId="0" borderId="0" applyFont="0" applyFill="0" applyBorder="0" applyAlignment="0" applyProtection="0"/>
    <xf numFmtId="0" fontId="13" fillId="0" borderId="0"/>
    <xf numFmtId="170" fontId="4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5" fillId="0" borderId="0"/>
    <xf numFmtId="0" fontId="1" fillId="0" borderId="0"/>
  </cellStyleXfs>
  <cellXfs count="422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11" fillId="0" borderId="0" xfId="0" applyFont="1"/>
    <xf numFmtId="0" fontId="12" fillId="0" borderId="0" xfId="0" applyFont="1"/>
    <xf numFmtId="165" fontId="12" fillId="7" borderId="0" xfId="2" applyNumberFormat="1" applyFont="1" applyFill="1"/>
    <xf numFmtId="0" fontId="12" fillId="7" borderId="0" xfId="0" applyFont="1" applyFill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164" fontId="12" fillId="0" borderId="0" xfId="1" applyNumberFormat="1" applyFont="1"/>
    <xf numFmtId="164" fontId="12" fillId="0" borderId="0" xfId="1" applyNumberFormat="1" applyFont="1" applyAlignment="1">
      <alignment vertical="center"/>
    </xf>
    <xf numFmtId="164" fontId="11" fillId="0" borderId="0" xfId="1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1" applyNumberFormat="1" applyFont="1" applyBorder="1" applyAlignment="1">
      <alignment vertical="center" wrapText="1"/>
    </xf>
    <xf numFmtId="164" fontId="12" fillId="0" borderId="0" xfId="1" applyNumberFormat="1" applyFont="1" applyFill="1" applyBorder="1" applyAlignment="1">
      <alignment vertical="center"/>
    </xf>
    <xf numFmtId="164" fontId="12" fillId="0" borderId="0" xfId="1" applyNumberFormat="1" applyFont="1" applyAlignment="1">
      <alignment horizontal="left" vertical="center"/>
    </xf>
    <xf numFmtId="164" fontId="12" fillId="0" borderId="0" xfId="1" applyNumberFormat="1" applyFont="1" applyAlignment="1">
      <alignment vertical="center" wrapText="1"/>
    </xf>
    <xf numFmtId="171" fontId="12" fillId="0" borderId="0" xfId="1" applyNumberFormat="1" applyFont="1" applyAlignment="1">
      <alignment vertical="center"/>
    </xf>
    <xf numFmtId="171" fontId="12" fillId="0" borderId="0" xfId="0" applyNumberFormat="1" applyFont="1" applyAlignment="1">
      <alignment vertical="center"/>
    </xf>
    <xf numFmtId="49" fontId="11" fillId="0" borderId="0" xfId="1" applyNumberFormat="1" applyFont="1" applyFill="1" applyBorder="1" applyAlignment="1">
      <alignment vertical="center"/>
    </xf>
    <xf numFmtId="172" fontId="11" fillId="0" borderId="0" xfId="1" applyNumberFormat="1" applyFont="1" applyFill="1" applyBorder="1" applyAlignment="1">
      <alignment vertical="center"/>
    </xf>
    <xf numFmtId="172" fontId="11" fillId="0" borderId="5" xfId="1" applyNumberFormat="1" applyFont="1" applyBorder="1" applyAlignment="1" applyProtection="1">
      <alignment horizontal="left" vertical="center"/>
    </xf>
    <xf numFmtId="172" fontId="11" fillId="0" borderId="5" xfId="1" applyNumberFormat="1" applyFont="1" applyBorder="1" applyAlignment="1" applyProtection="1">
      <alignment horizontal="left" vertical="center" wrapText="1"/>
    </xf>
    <xf numFmtId="168" fontId="11" fillId="0" borderId="7" xfId="1" applyNumberFormat="1" applyFont="1" applyFill="1" applyBorder="1" applyAlignment="1">
      <alignment horizontal="right" vertical="center"/>
    </xf>
    <xf numFmtId="172" fontId="12" fillId="0" borderId="0" xfId="1" applyNumberFormat="1" applyFont="1" applyFill="1" applyBorder="1" applyAlignment="1">
      <alignment vertical="center"/>
    </xf>
    <xf numFmtId="172" fontId="12" fillId="0" borderId="5" xfId="1" applyNumberFormat="1" applyFont="1" applyBorder="1" applyAlignment="1" applyProtection="1">
      <alignment horizontal="left" vertical="center"/>
    </xf>
    <xf numFmtId="172" fontId="12" fillId="0" borderId="5" xfId="1" applyNumberFormat="1" applyFont="1" applyBorder="1" applyAlignment="1" applyProtection="1">
      <alignment horizontal="left" vertical="center" wrapText="1"/>
    </xf>
    <xf numFmtId="168" fontId="12" fillId="0" borderId="7" xfId="1" applyNumberFormat="1" applyFont="1" applyFill="1" applyBorder="1" applyAlignment="1">
      <alignment horizontal="right" vertical="center"/>
    </xf>
    <xf numFmtId="164" fontId="11" fillId="0" borderId="0" xfId="1" applyNumberFormat="1" applyFont="1" applyFill="1" applyBorder="1" applyAlignment="1">
      <alignment vertical="center"/>
    </xf>
    <xf numFmtId="0" fontId="11" fillId="0" borderId="4" xfId="1" applyNumberFormat="1" applyFont="1" applyFill="1" applyBorder="1" applyAlignment="1" applyProtection="1">
      <alignment horizontal="left" vertical="center"/>
    </xf>
    <xf numFmtId="0" fontId="11" fillId="0" borderId="4" xfId="1" applyNumberFormat="1" applyFont="1" applyFill="1" applyBorder="1" applyAlignment="1" applyProtection="1">
      <alignment horizontal="left" vertical="center" wrapText="1"/>
    </xf>
    <xf numFmtId="171" fontId="11" fillId="0" borderId="8" xfId="1" applyNumberFormat="1" applyFont="1" applyFill="1" applyBorder="1" applyAlignment="1" applyProtection="1">
      <alignment vertical="center"/>
    </xf>
    <xf numFmtId="169" fontId="12" fillId="0" borderId="4" xfId="9" applyNumberFormat="1" applyFont="1" applyBorder="1" applyAlignment="1">
      <alignment horizontal="left" vertical="center"/>
    </xf>
    <xf numFmtId="171" fontId="12" fillId="0" borderId="8" xfId="1" applyNumberFormat="1" applyFont="1" applyFill="1" applyBorder="1" applyAlignment="1" applyProtection="1">
      <alignment vertical="center"/>
    </xf>
    <xf numFmtId="0" fontId="12" fillId="0" borderId="4" xfId="1" applyNumberFormat="1" applyFont="1" applyFill="1" applyBorder="1" applyAlignment="1" applyProtection="1">
      <alignment horizontal="left" vertical="center" wrapText="1"/>
    </xf>
    <xf numFmtId="0" fontId="11" fillId="0" borderId="4" xfId="1" applyNumberFormat="1" applyFont="1" applyBorder="1" applyAlignment="1" applyProtection="1">
      <alignment horizontal="left" vertical="center"/>
    </xf>
    <xf numFmtId="0" fontId="11" fillId="0" borderId="4" xfId="1" applyNumberFormat="1" applyFont="1" applyBorder="1" applyAlignment="1" applyProtection="1">
      <alignment horizontal="left" vertical="center" wrapText="1"/>
    </xf>
    <xf numFmtId="0" fontId="12" fillId="0" borderId="4" xfId="1" applyNumberFormat="1" applyFont="1" applyBorder="1" applyAlignment="1" applyProtection="1">
      <alignment horizontal="left" vertical="center"/>
    </xf>
    <xf numFmtId="0" fontId="12" fillId="0" borderId="4" xfId="1" applyNumberFormat="1" applyFont="1" applyBorder="1" applyAlignment="1" applyProtection="1">
      <alignment horizontal="left" vertical="center" wrapText="1"/>
    </xf>
    <xf numFmtId="9" fontId="12" fillId="0" borderId="0" xfId="2" applyFont="1" applyFill="1" applyBorder="1" applyAlignment="1">
      <alignment vertical="center"/>
    </xf>
    <xf numFmtId="164" fontId="15" fillId="0" borderId="0" xfId="1" applyNumberFormat="1" applyFont="1" applyFill="1" applyBorder="1" applyAlignment="1">
      <alignment vertical="center"/>
    </xf>
    <xf numFmtId="0" fontId="15" fillId="0" borderId="4" xfId="1" applyNumberFormat="1" applyFont="1" applyBorder="1" applyAlignment="1" applyProtection="1">
      <alignment horizontal="left" vertical="center"/>
    </xf>
    <xf numFmtId="0" fontId="15" fillId="0" borderId="4" xfId="1" applyNumberFormat="1" applyFont="1" applyBorder="1" applyAlignment="1" applyProtection="1">
      <alignment horizontal="left" vertical="center" wrapText="1"/>
    </xf>
    <xf numFmtId="171" fontId="15" fillId="0" borderId="8" xfId="1" applyNumberFormat="1" applyFont="1" applyFill="1" applyBorder="1" applyAlignment="1" applyProtection="1">
      <alignment vertical="center"/>
    </xf>
    <xf numFmtId="9" fontId="15" fillId="0" borderId="0" xfId="2" applyFont="1" applyFill="1" applyBorder="1" applyAlignment="1">
      <alignment vertical="center"/>
    </xf>
    <xf numFmtId="9" fontId="15" fillId="0" borderId="6" xfId="2" applyFont="1" applyFill="1" applyBorder="1" applyAlignment="1" applyProtection="1">
      <alignment horizontal="left" vertical="center"/>
    </xf>
    <xf numFmtId="9" fontId="15" fillId="0" borderId="6" xfId="2" applyFont="1" applyFill="1" applyBorder="1" applyAlignment="1" applyProtection="1">
      <alignment horizontal="left" vertical="center" wrapText="1"/>
    </xf>
    <xf numFmtId="164" fontId="11" fillId="0" borderId="0" xfId="1" applyNumberFormat="1" applyFont="1" applyAlignment="1">
      <alignment horizontal="centerContinuous" vertical="center" wrapText="1"/>
    </xf>
    <xf numFmtId="164" fontId="11" fillId="0" borderId="0" xfId="1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1" fillId="10" borderId="4" xfId="1" applyNumberFormat="1" applyFont="1" applyFill="1" applyBorder="1" applyAlignment="1" applyProtection="1">
      <alignment horizontal="left" vertical="center"/>
    </xf>
    <xf numFmtId="0" fontId="11" fillId="10" borderId="4" xfId="1" applyNumberFormat="1" applyFont="1" applyFill="1" applyBorder="1" applyAlignment="1" applyProtection="1">
      <alignment horizontal="left" vertical="center" wrapText="1"/>
    </xf>
    <xf numFmtId="171" fontId="11" fillId="10" borderId="8" xfId="1" applyNumberFormat="1" applyFont="1" applyFill="1" applyBorder="1" applyAlignment="1" applyProtection="1">
      <alignment vertical="center"/>
    </xf>
    <xf numFmtId="173" fontId="20" fillId="0" borderId="4" xfId="2" applyNumberFormat="1" applyFont="1" applyFill="1" applyBorder="1" applyAlignment="1" applyProtection="1">
      <alignment horizontal="left" vertical="center"/>
    </xf>
    <xf numFmtId="174" fontId="20" fillId="0" borderId="4" xfId="2" applyNumberFormat="1" applyFont="1" applyFill="1" applyBorder="1" applyAlignment="1" applyProtection="1">
      <alignment horizontal="left" vertical="center" wrapText="1"/>
    </xf>
    <xf numFmtId="173" fontId="20" fillId="0" borderId="8" xfId="2" applyNumberFormat="1" applyFont="1" applyFill="1" applyBorder="1" applyAlignment="1" applyProtection="1">
      <alignment vertical="center"/>
    </xf>
    <xf numFmtId="173" fontId="20" fillId="0" borderId="0" xfId="2" applyNumberFormat="1" applyFont="1" applyFill="1" applyBorder="1" applyAlignment="1">
      <alignment vertical="center"/>
    </xf>
    <xf numFmtId="0" fontId="20" fillId="0" borderId="4" xfId="1" applyNumberFormat="1" applyFont="1" applyBorder="1" applyAlignment="1" applyProtection="1">
      <alignment horizontal="left" vertical="center"/>
    </xf>
    <xf numFmtId="174" fontId="20" fillId="0" borderId="0" xfId="2" applyNumberFormat="1" applyFont="1" applyFill="1" applyBorder="1" applyAlignment="1">
      <alignment vertical="center"/>
    </xf>
    <xf numFmtId="174" fontId="20" fillId="0" borderId="4" xfId="2" applyNumberFormat="1" applyFont="1" applyFill="1" applyBorder="1" applyAlignment="1" applyProtection="1">
      <alignment horizontal="left" vertical="center"/>
    </xf>
    <xf numFmtId="0" fontId="12" fillId="7" borderId="0" xfId="6" applyFont="1" applyFill="1" applyAlignment="1">
      <alignment horizontal="center" vertical="center" wrapText="1"/>
    </xf>
    <xf numFmtId="0" fontId="12" fillId="7" borderId="0" xfId="6" applyFont="1" applyFill="1" applyAlignment="1">
      <alignment horizontal="left" vertical="center" wrapText="1"/>
    </xf>
    <xf numFmtId="165" fontId="12" fillId="7" borderId="0" xfId="6" applyNumberFormat="1" applyFont="1" applyFill="1" applyAlignment="1">
      <alignment horizontal="center" vertical="center" wrapText="1"/>
    </xf>
    <xf numFmtId="164" fontId="12" fillId="7" borderId="0" xfId="1" quotePrefix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5" fontId="11" fillId="0" borderId="0" xfId="2" applyNumberFormat="1" applyFont="1" applyBorder="1" applyAlignment="1">
      <alignment vertical="center"/>
    </xf>
    <xf numFmtId="164" fontId="11" fillId="0" borderId="0" xfId="1" applyNumberFormat="1" applyFont="1" applyAlignment="1">
      <alignment horizontal="right"/>
    </xf>
    <xf numFmtId="165" fontId="11" fillId="7" borderId="0" xfId="2" applyNumberFormat="1" applyFont="1" applyFill="1"/>
    <xf numFmtId="168" fontId="12" fillId="7" borderId="0" xfId="8" quotePrefix="1" applyNumberFormat="1" applyFont="1" applyFill="1" applyBorder="1" applyAlignment="1">
      <alignment horizontal="center" vertical="center" wrapText="1"/>
    </xf>
    <xf numFmtId="168" fontId="11" fillId="7" borderId="0" xfId="8" quotePrefix="1" applyNumberFormat="1" applyFont="1" applyFill="1" applyBorder="1" applyAlignment="1">
      <alignment horizontal="center" vertical="center" wrapText="1"/>
    </xf>
    <xf numFmtId="164" fontId="21" fillId="0" borderId="0" xfId="1" applyNumberFormat="1" applyFont="1" applyAlignment="1">
      <alignment horizontal="left" vertical="center"/>
    </xf>
    <xf numFmtId="164" fontId="12" fillId="0" borderId="9" xfId="1" applyNumberFormat="1" applyFont="1" applyBorder="1" applyAlignment="1">
      <alignment vertical="center"/>
    </xf>
    <xf numFmtId="164" fontId="12" fillId="0" borderId="9" xfId="1" applyNumberFormat="1" applyFont="1" applyBorder="1" applyAlignment="1">
      <alignment horizontal="right" vertical="center"/>
    </xf>
    <xf numFmtId="164" fontId="12" fillId="0" borderId="9" xfId="1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164" fontId="12" fillId="0" borderId="9" xfId="1" applyNumberFormat="1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165" fontId="12" fillId="0" borderId="0" xfId="2" applyNumberFormat="1" applyFont="1"/>
    <xf numFmtId="164" fontId="11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1" fillId="7" borderId="0" xfId="0" applyFont="1" applyFill="1" applyAlignment="1">
      <alignment vertical="center"/>
    </xf>
    <xf numFmtId="0" fontId="12" fillId="0" borderId="9" xfId="0" quotePrefix="1" applyFont="1" applyBorder="1" applyAlignment="1">
      <alignment vertical="center" wrapText="1"/>
    </xf>
    <xf numFmtId="165" fontId="12" fillId="0" borderId="0" xfId="2" applyNumberFormat="1" applyFont="1" applyAlignment="1">
      <alignment vertical="center"/>
    </xf>
    <xf numFmtId="0" fontId="11" fillId="11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164" fontId="12" fillId="0" borderId="9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65" fontId="11" fillId="7" borderId="9" xfId="2" applyNumberFormat="1" applyFont="1" applyFill="1" applyBorder="1" applyAlignment="1">
      <alignment horizontal="center" vertical="center" wrapText="1"/>
    </xf>
    <xf numFmtId="0" fontId="12" fillId="7" borderId="9" xfId="6" applyFont="1" applyFill="1" applyBorder="1" applyAlignment="1">
      <alignment horizontal="center" vertical="center" wrapText="1"/>
    </xf>
    <xf numFmtId="0" fontId="12" fillId="7" borderId="9" xfId="6" applyFont="1" applyFill="1" applyBorder="1" applyAlignment="1">
      <alignment horizontal="left" vertical="center" wrapText="1"/>
    </xf>
    <xf numFmtId="165" fontId="12" fillId="7" borderId="9" xfId="6" applyNumberFormat="1" applyFont="1" applyFill="1" applyBorder="1" applyAlignment="1">
      <alignment horizontal="center" vertical="center" wrapText="1"/>
    </xf>
    <xf numFmtId="168" fontId="12" fillId="7" borderId="9" xfId="8" quotePrefix="1" applyNumberFormat="1" applyFont="1" applyFill="1" applyBorder="1" applyAlignment="1">
      <alignment horizontal="center" vertical="center" wrapText="1"/>
    </xf>
    <xf numFmtId="168" fontId="11" fillId="7" borderId="9" xfId="8" quotePrefix="1" applyNumberFormat="1" applyFont="1" applyFill="1" applyBorder="1" applyAlignment="1">
      <alignment horizontal="center" vertical="center" wrapText="1"/>
    </xf>
    <xf numFmtId="165" fontId="11" fillId="3" borderId="9" xfId="2" quotePrefix="1" applyNumberFormat="1" applyFont="1" applyFill="1" applyBorder="1" applyAlignment="1">
      <alignment horizontal="right" vertical="center" wrapText="1"/>
    </xf>
    <xf numFmtId="164" fontId="11" fillId="0" borderId="0" xfId="1" applyNumberFormat="1" applyFont="1" applyAlignment="1">
      <alignment horizontal="left" vertical="center"/>
    </xf>
    <xf numFmtId="164" fontId="11" fillId="0" borderId="0" xfId="2" applyNumberFormat="1" applyFont="1" applyAlignment="1">
      <alignment horizontal="center" vertical="center"/>
    </xf>
    <xf numFmtId="168" fontId="12" fillId="0" borderId="0" xfId="1" applyNumberFormat="1" applyFont="1" applyAlignment="1">
      <alignment vertical="center"/>
    </xf>
    <xf numFmtId="164" fontId="11" fillId="0" borderId="0" xfId="1" applyNumberFormat="1" applyFont="1" applyFill="1" applyBorder="1" applyAlignment="1">
      <alignment horizontal="center" vertical="center"/>
    </xf>
    <xf numFmtId="43" fontId="22" fillId="0" borderId="0" xfId="1" applyFont="1" applyAlignment="1">
      <alignment vertical="center"/>
    </xf>
    <xf numFmtId="164" fontId="12" fillId="0" borderId="0" xfId="0" applyNumberFormat="1" applyFont="1"/>
    <xf numFmtId="165" fontId="1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8" fontId="11" fillId="7" borderId="9" xfId="8" quotePrefix="1" applyNumberFormat="1" applyFont="1" applyFill="1" applyBorder="1" applyAlignment="1">
      <alignment horizontal="right" vertical="center" wrapText="1"/>
    </xf>
    <xf numFmtId="167" fontId="12" fillId="7" borderId="9" xfId="8" quotePrefix="1" applyNumberFormat="1" applyFont="1" applyFill="1" applyBorder="1" applyAlignment="1">
      <alignment horizontal="right" vertical="center" wrapText="1"/>
    </xf>
    <xf numFmtId="0" fontId="11" fillId="3" borderId="9" xfId="6" applyFont="1" applyFill="1" applyBorder="1" applyAlignment="1">
      <alignment horizontal="center" vertical="center" wrapText="1"/>
    </xf>
    <xf numFmtId="0" fontId="11" fillId="3" borderId="9" xfId="6" applyFont="1" applyFill="1" applyBorder="1" applyAlignment="1">
      <alignment horizontal="left" vertical="center" wrapText="1"/>
    </xf>
    <xf numFmtId="165" fontId="11" fillId="3" borderId="9" xfId="2" quotePrefix="1" applyNumberFormat="1" applyFont="1" applyFill="1" applyBorder="1" applyAlignment="1">
      <alignment horizontal="center" vertical="center" wrapText="1"/>
    </xf>
    <xf numFmtId="168" fontId="11" fillId="3" borderId="9" xfId="8" quotePrefix="1" applyNumberFormat="1" applyFont="1" applyFill="1" applyBorder="1" applyAlignment="1">
      <alignment horizontal="right" vertical="center" wrapText="1"/>
    </xf>
    <xf numFmtId="164" fontId="7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1" fillId="11" borderId="9" xfId="1" applyNumberFormat="1" applyFont="1" applyFill="1" applyBorder="1" applyAlignment="1">
      <alignment horizontal="center" vertical="center" wrapText="1"/>
    </xf>
    <xf numFmtId="0" fontId="31" fillId="2" borderId="9" xfId="14" applyFont="1" applyFill="1" applyBorder="1" applyAlignment="1">
      <alignment horizontal="center" vertical="center" wrapText="1"/>
    </xf>
    <xf numFmtId="0" fontId="5" fillId="2" borderId="9" xfId="14" applyFont="1" applyFill="1" applyBorder="1" applyAlignment="1">
      <alignment horizontal="center" vertical="center"/>
    </xf>
    <xf numFmtId="167" fontId="11" fillId="14" borderId="2" xfId="1" applyNumberFormat="1" applyFont="1" applyFill="1" applyBorder="1" applyAlignment="1">
      <alignment vertical="center"/>
    </xf>
    <xf numFmtId="43" fontId="12" fillId="0" borderId="9" xfId="0" applyNumberFormat="1" applyFont="1" applyBorder="1" applyAlignment="1">
      <alignment vertical="center"/>
    </xf>
    <xf numFmtId="0" fontId="11" fillId="11" borderId="11" xfId="6" applyFont="1" applyFill="1" applyBorder="1" applyAlignment="1">
      <alignment horizontal="center" vertical="center" wrapText="1"/>
    </xf>
    <xf numFmtId="167" fontId="6" fillId="0" borderId="3" xfId="1" applyNumberFormat="1" applyFont="1" applyFill="1" applyBorder="1" applyAlignment="1">
      <alignment vertical="center"/>
    </xf>
    <xf numFmtId="167" fontId="12" fillId="0" borderId="3" xfId="1" applyNumberFormat="1" applyFont="1" applyBorder="1" applyAlignment="1">
      <alignment vertical="center"/>
    </xf>
    <xf numFmtId="0" fontId="6" fillId="0" borderId="9" xfId="0" applyFont="1" applyBorder="1"/>
    <xf numFmtId="167" fontId="6" fillId="0" borderId="9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4" fontId="12" fillId="0" borderId="0" xfId="1" applyNumberFormat="1" applyFont="1" applyBorder="1" applyAlignment="1">
      <alignment vertical="center"/>
    </xf>
    <xf numFmtId="0" fontId="11" fillId="0" borderId="0" xfId="0" quotePrefix="1" applyFont="1"/>
    <xf numFmtId="0" fontId="6" fillId="0" borderId="0" xfId="20" applyFont="1"/>
    <xf numFmtId="0" fontId="37" fillId="0" borderId="0" xfId="20" applyFont="1" applyAlignment="1">
      <alignment vertical="top"/>
    </xf>
    <xf numFmtId="0" fontId="6" fillId="0" borderId="0" xfId="21" applyFont="1" applyAlignment="1">
      <alignment vertical="center"/>
    </xf>
    <xf numFmtId="2" fontId="6" fillId="0" borderId="0" xfId="20" applyNumberFormat="1" applyFont="1"/>
    <xf numFmtId="164" fontId="6" fillId="0" borderId="0" xfId="1" applyNumberFormat="1" applyFont="1"/>
    <xf numFmtId="0" fontId="11" fillId="0" borderId="0" xfId="20" applyFont="1" applyAlignment="1">
      <alignment vertical="top"/>
    </xf>
    <xf numFmtId="0" fontId="38" fillId="0" borderId="0" xfId="20" applyFont="1" applyAlignment="1">
      <alignment horizontal="left" vertical="top"/>
    </xf>
    <xf numFmtId="0" fontId="39" fillId="0" borderId="0" xfId="20" applyFont="1"/>
    <xf numFmtId="0" fontId="40" fillId="0" borderId="13" xfId="20" applyFont="1" applyBorder="1"/>
    <xf numFmtId="164" fontId="40" fillId="0" borderId="14" xfId="22" applyNumberFormat="1" applyFont="1" applyFill="1" applyBorder="1"/>
    <xf numFmtId="0" fontId="27" fillId="0" borderId="0" xfId="20" applyFont="1"/>
    <xf numFmtId="0" fontId="27" fillId="0" borderId="0" xfId="20" applyFont="1" applyAlignment="1">
      <alignment horizontal="center"/>
    </xf>
    <xf numFmtId="2" fontId="27" fillId="0" borderId="0" xfId="20" applyNumberFormat="1" applyFont="1" applyAlignment="1">
      <alignment horizontal="center"/>
    </xf>
    <xf numFmtId="164" fontId="27" fillId="0" borderId="0" xfId="1" applyNumberFormat="1" applyFont="1" applyAlignment="1">
      <alignment horizontal="center"/>
    </xf>
    <xf numFmtId="164" fontId="27" fillId="0" borderId="0" xfId="1" applyNumberFormat="1" applyFont="1"/>
    <xf numFmtId="0" fontId="6" fillId="0" borderId="3" xfId="20" applyFont="1" applyBorder="1" applyAlignment="1">
      <alignment horizontal="center"/>
    </xf>
    <xf numFmtId="0" fontId="7" fillId="0" borderId="10" xfId="14" applyFont="1" applyBorder="1" applyAlignment="1">
      <alignment horizontal="left" vertical="center"/>
    </xf>
    <xf numFmtId="0" fontId="6" fillId="0" borderId="0" xfId="20" applyFont="1" applyAlignment="1">
      <alignment horizontal="left"/>
    </xf>
    <xf numFmtId="0" fontId="6" fillId="0" borderId="15" xfId="20" applyFont="1" applyBorder="1" applyAlignment="1">
      <alignment horizontal="center"/>
    </xf>
    <xf numFmtId="0" fontId="6" fillId="0" borderId="15" xfId="20" applyFont="1" applyBorder="1"/>
    <xf numFmtId="0" fontId="7" fillId="0" borderId="12" xfId="14" applyFont="1" applyBorder="1" applyAlignment="1">
      <alignment horizontal="center" vertical="center"/>
    </xf>
    <xf numFmtId="0" fontId="7" fillId="0" borderId="12" xfId="14" applyFont="1" applyBorder="1" applyAlignment="1">
      <alignment horizontal="left" vertical="center"/>
    </xf>
    <xf numFmtId="0" fontId="7" fillId="0" borderId="12" xfId="14" applyFont="1" applyBorder="1" applyAlignment="1">
      <alignment vertical="center"/>
    </xf>
    <xf numFmtId="0" fontId="6" fillId="0" borderId="9" xfId="20" applyFont="1" applyBorder="1"/>
    <xf numFmtId="0" fontId="5" fillId="0" borderId="9" xfId="20" applyFont="1" applyBorder="1"/>
    <xf numFmtId="0" fontId="6" fillId="0" borderId="9" xfId="20" applyFont="1" applyBorder="1" applyAlignment="1">
      <alignment horizontal="left"/>
    </xf>
    <xf numFmtId="0" fontId="11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5" fontId="12" fillId="0" borderId="9" xfId="2" applyNumberFormat="1" applyFont="1" applyBorder="1" applyAlignment="1">
      <alignment horizontal="center" vertical="center"/>
    </xf>
    <xf numFmtId="165" fontId="11" fillId="0" borderId="9" xfId="2" applyNumberFormat="1" applyFont="1" applyBorder="1" applyAlignment="1">
      <alignment horizontal="center" vertical="center"/>
    </xf>
    <xf numFmtId="165" fontId="11" fillId="0" borderId="9" xfId="2" applyNumberFormat="1" applyFont="1" applyFill="1" applyBorder="1" applyAlignment="1">
      <alignment horizontal="center" vertical="center"/>
    </xf>
    <xf numFmtId="164" fontId="41" fillId="0" borderId="0" xfId="1" applyNumberFormat="1" applyFont="1" applyAlignment="1">
      <alignment horizontal="left" vertical="center"/>
    </xf>
    <xf numFmtId="164" fontId="42" fillId="8" borderId="9" xfId="8" quotePrefix="1" applyNumberFormat="1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/>
    </xf>
    <xf numFmtId="0" fontId="34" fillId="12" borderId="16" xfId="14" applyFont="1" applyFill="1" applyBorder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2" fillId="14" borderId="0" xfId="0" applyFont="1" applyFill="1" applyAlignment="1">
      <alignment vertical="center"/>
    </xf>
    <xf numFmtId="0" fontId="43" fillId="0" borderId="9" xfId="14" applyFont="1" applyBorder="1" applyAlignment="1">
      <alignment horizontal="center" vertical="center"/>
    </xf>
    <xf numFmtId="0" fontId="5" fillId="12" borderId="9" xfId="14" applyFont="1" applyFill="1" applyBorder="1" applyAlignment="1">
      <alignment horizontal="center" vertical="center"/>
    </xf>
    <xf numFmtId="164" fontId="5" fillId="12" borderId="9" xfId="1" applyNumberFormat="1" applyFont="1" applyFill="1" applyBorder="1" applyAlignment="1">
      <alignment horizontal="center" vertical="center"/>
    </xf>
    <xf numFmtId="0" fontId="33" fillId="15" borderId="9" xfId="0" applyFont="1" applyFill="1" applyBorder="1" applyAlignment="1">
      <alignment horizontal="center" vertical="center" wrapText="1"/>
    </xf>
    <xf numFmtId="167" fontId="11" fillId="13" borderId="9" xfId="1" applyNumberFormat="1" applyFont="1" applyFill="1" applyBorder="1" applyAlignment="1">
      <alignment vertical="center"/>
    </xf>
    <xf numFmtId="167" fontId="11" fillId="14" borderId="9" xfId="1" applyNumberFormat="1" applyFont="1" applyFill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vertical="center"/>
    </xf>
    <xf numFmtId="167" fontId="12" fillId="0" borderId="20" xfId="1" applyNumberFormat="1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7" borderId="21" xfId="0" applyFont="1" applyFill="1" applyBorder="1" applyAlignment="1">
      <alignment horizontal="left" vertical="center"/>
    </xf>
    <xf numFmtId="0" fontId="12" fillId="7" borderId="21" xfId="0" applyFont="1" applyFill="1" applyBorder="1" applyAlignment="1">
      <alignment vertical="center"/>
    </xf>
    <xf numFmtId="167" fontId="12" fillId="0" borderId="21" xfId="1" applyNumberFormat="1" applyFont="1" applyBorder="1" applyAlignment="1">
      <alignment vertical="center"/>
    </xf>
    <xf numFmtId="0" fontId="12" fillId="0" borderId="22" xfId="0" applyFont="1" applyBorder="1" applyAlignment="1">
      <alignment horizontal="center" vertical="center"/>
    </xf>
    <xf numFmtId="0" fontId="12" fillId="7" borderId="22" xfId="0" applyFont="1" applyFill="1" applyBorder="1" applyAlignment="1">
      <alignment horizontal="left" vertical="center"/>
    </xf>
    <xf numFmtId="0" fontId="12" fillId="7" borderId="22" xfId="0" applyFont="1" applyFill="1" applyBorder="1" applyAlignment="1">
      <alignment vertical="center"/>
    </xf>
    <xf numFmtId="167" fontId="12" fillId="0" borderId="22" xfId="1" applyNumberFormat="1" applyFont="1" applyBorder="1" applyAlignment="1">
      <alignment vertical="center"/>
    </xf>
    <xf numFmtId="0" fontId="1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11" fillId="14" borderId="0" xfId="0" applyFont="1" applyFill="1" applyAlignment="1">
      <alignment vertical="center"/>
    </xf>
    <xf numFmtId="0" fontId="12" fillId="7" borderId="20" xfId="6" applyFont="1" applyFill="1" applyBorder="1" applyAlignment="1">
      <alignment horizontal="center" vertical="center" wrapText="1"/>
    </xf>
    <xf numFmtId="0" fontId="12" fillId="7" borderId="20" xfId="6" applyFont="1" applyFill="1" applyBorder="1" applyAlignment="1">
      <alignment horizontal="left" vertical="center" wrapText="1"/>
    </xf>
    <xf numFmtId="168" fontId="11" fillId="7" borderId="20" xfId="8" quotePrefix="1" applyNumberFormat="1" applyFont="1" applyFill="1" applyBorder="1" applyAlignment="1">
      <alignment horizontal="right" vertical="center" wrapText="1"/>
    </xf>
    <xf numFmtId="168" fontId="12" fillId="7" borderId="20" xfId="8" quotePrefix="1" applyNumberFormat="1" applyFont="1" applyFill="1" applyBorder="1" applyAlignment="1">
      <alignment horizontal="right" vertical="center" wrapText="1"/>
    </xf>
    <xf numFmtId="0" fontId="12" fillId="7" borderId="21" xfId="6" applyFont="1" applyFill="1" applyBorder="1" applyAlignment="1">
      <alignment horizontal="center" vertical="center" wrapText="1"/>
    </xf>
    <xf numFmtId="0" fontId="12" fillId="7" borderId="21" xfId="6" applyFont="1" applyFill="1" applyBorder="1" applyAlignment="1">
      <alignment horizontal="left" vertical="center" wrapText="1"/>
    </xf>
    <xf numFmtId="168" fontId="11" fillId="7" borderId="21" xfId="8" quotePrefix="1" applyNumberFormat="1" applyFont="1" applyFill="1" applyBorder="1" applyAlignment="1">
      <alignment horizontal="right" vertical="center" wrapText="1"/>
    </xf>
    <xf numFmtId="168" fontId="12" fillId="7" borderId="21" xfId="8" quotePrefix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36" fillId="0" borderId="0" xfId="0" applyFont="1" applyAlignment="1">
      <alignment vertical="center"/>
    </xf>
    <xf numFmtId="0" fontId="12" fillId="0" borderId="15" xfId="14" applyFont="1" applyBorder="1" applyAlignment="1">
      <alignment vertical="center"/>
    </xf>
    <xf numFmtId="0" fontId="12" fillId="0" borderId="19" xfId="14" applyFont="1" applyBorder="1" applyAlignment="1">
      <alignment vertical="center"/>
    </xf>
    <xf numFmtId="0" fontId="33" fillId="15" borderId="9" xfId="20" applyFont="1" applyFill="1" applyBorder="1" applyAlignment="1">
      <alignment horizontal="center" vertical="center" wrapText="1"/>
    </xf>
    <xf numFmtId="0" fontId="5" fillId="18" borderId="9" xfId="20" applyFont="1" applyFill="1" applyBorder="1" applyAlignment="1">
      <alignment horizontal="center" vertical="center" wrapText="1"/>
    </xf>
    <xf numFmtId="2" fontId="33" fillId="15" borderId="9" xfId="20" applyNumberFormat="1" applyFont="1" applyFill="1" applyBorder="1" applyAlignment="1">
      <alignment horizontal="center" vertical="center" wrapText="1"/>
    </xf>
    <xf numFmtId="0" fontId="5" fillId="2" borderId="9" xfId="14" applyFont="1" applyFill="1" applyBorder="1" applyAlignment="1">
      <alignment horizontal="center" vertical="center" wrapText="1"/>
    </xf>
    <xf numFmtId="164" fontId="33" fillId="15" borderId="9" xfId="1" applyNumberFormat="1" applyFont="1" applyFill="1" applyBorder="1" applyAlignment="1">
      <alignment horizontal="center" vertical="center" wrapText="1"/>
    </xf>
    <xf numFmtId="164" fontId="5" fillId="12" borderId="9" xfId="1" applyNumberFormat="1" applyFont="1" applyFill="1" applyBorder="1" applyAlignment="1">
      <alignment horizontal="center" vertical="center" wrapText="1"/>
    </xf>
    <xf numFmtId="0" fontId="5" fillId="16" borderId="9" xfId="20" applyFont="1" applyFill="1" applyBorder="1" applyAlignment="1">
      <alignment horizontal="center" vertical="center" wrapText="1"/>
    </xf>
    <xf numFmtId="0" fontId="5" fillId="17" borderId="9" xfId="20" applyFont="1" applyFill="1" applyBorder="1" applyAlignment="1">
      <alignment horizontal="center" vertical="center" wrapText="1"/>
    </xf>
    <xf numFmtId="0" fontId="27" fillId="0" borderId="0" xfId="20" applyFont="1" applyAlignment="1">
      <alignment horizontal="center" wrapText="1"/>
    </xf>
    <xf numFmtId="10" fontId="12" fillId="0" borderId="0" xfId="2" applyNumberFormat="1" applyFont="1" applyAlignment="1">
      <alignment vertical="center"/>
    </xf>
    <xf numFmtId="0" fontId="12" fillId="0" borderId="0" xfId="0" applyFont="1" applyAlignment="1">
      <alignment wrapText="1"/>
    </xf>
    <xf numFmtId="164" fontId="44" fillId="0" borderId="9" xfId="1" quotePrefix="1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right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14" borderId="9" xfId="0" applyFont="1" applyFill="1" applyBorder="1" applyAlignment="1">
      <alignment horizontal="center" vertical="center" wrapText="1"/>
    </xf>
    <xf numFmtId="9" fontId="12" fillId="0" borderId="20" xfId="2" applyFont="1" applyBorder="1" applyAlignment="1">
      <alignment vertical="center"/>
    </xf>
    <xf numFmtId="0" fontId="11" fillId="12" borderId="9" xfId="0" applyFont="1" applyFill="1" applyBorder="1" applyAlignment="1">
      <alignment horizontal="center" vertical="center" wrapText="1"/>
    </xf>
    <xf numFmtId="9" fontId="11" fillId="12" borderId="9" xfId="2" applyFont="1" applyFill="1" applyBorder="1" applyAlignment="1">
      <alignment horizontal="center" vertical="center" wrapText="1"/>
    </xf>
    <xf numFmtId="0" fontId="11" fillId="14" borderId="9" xfId="0" applyFont="1" applyFill="1" applyBorder="1" applyAlignment="1">
      <alignment horizontal="center" vertical="center"/>
    </xf>
    <xf numFmtId="168" fontId="11" fillId="0" borderId="26" xfId="1" applyNumberFormat="1" applyFont="1" applyFill="1" applyBorder="1" applyAlignment="1">
      <alignment horizontal="right" vertical="center"/>
    </xf>
    <xf numFmtId="171" fontId="15" fillId="0" borderId="27" xfId="2" applyNumberFormat="1" applyFont="1" applyFill="1" applyBorder="1" applyAlignment="1" applyProtection="1">
      <alignment vertical="center"/>
    </xf>
    <xf numFmtId="171" fontId="15" fillId="0" borderId="28" xfId="2" applyNumberFormat="1" applyFont="1" applyFill="1" applyBorder="1" applyAlignment="1" applyProtection="1">
      <alignment vertical="center"/>
    </xf>
    <xf numFmtId="165" fontId="11" fillId="0" borderId="9" xfId="2" applyNumberFormat="1" applyFont="1" applyBorder="1" applyAlignment="1">
      <alignment vertical="center"/>
    </xf>
    <xf numFmtId="165" fontId="12" fillId="0" borderId="9" xfId="2" applyNumberFormat="1" applyFont="1" applyBorder="1" applyAlignment="1">
      <alignment vertical="center"/>
    </xf>
    <xf numFmtId="9" fontId="12" fillId="7" borderId="9" xfId="2" applyFont="1" applyFill="1" applyBorder="1" applyAlignment="1">
      <alignment horizontal="center" vertical="center" wrapText="1"/>
    </xf>
    <xf numFmtId="9" fontId="12" fillId="7" borderId="9" xfId="2" quotePrefix="1" applyFont="1" applyFill="1" applyBorder="1" applyAlignment="1">
      <alignment horizontal="right" vertical="center" wrapText="1"/>
    </xf>
    <xf numFmtId="0" fontId="6" fillId="0" borderId="0" xfId="20" applyFont="1" applyAlignment="1">
      <alignment wrapText="1"/>
    </xf>
    <xf numFmtId="167" fontId="12" fillId="0" borderId="3" xfId="1" applyNumberFormat="1" applyFont="1" applyFill="1" applyBorder="1" applyAlignment="1">
      <alignment vertical="center"/>
    </xf>
    <xf numFmtId="164" fontId="7" fillId="0" borderId="3" xfId="1" applyNumberFormat="1" applyFont="1" applyFill="1" applyBorder="1" applyAlignment="1">
      <alignment vertical="center"/>
    </xf>
    <xf numFmtId="0" fontId="12" fillId="0" borderId="15" xfId="14" applyFont="1" applyBorder="1" applyAlignment="1">
      <alignment vertical="center" wrapText="1"/>
    </xf>
    <xf numFmtId="0" fontId="6" fillId="0" borderId="9" xfId="20" applyFont="1" applyBorder="1" applyAlignment="1">
      <alignment wrapText="1"/>
    </xf>
    <xf numFmtId="167" fontId="6" fillId="13" borderId="9" xfId="1" applyNumberFormat="1" applyFont="1" applyFill="1" applyBorder="1" applyAlignment="1">
      <alignment vertical="center"/>
    </xf>
    <xf numFmtId="43" fontId="12" fillId="0" borderId="9" xfId="1" applyFont="1" applyBorder="1" applyAlignment="1">
      <alignment vertical="center"/>
    </xf>
    <xf numFmtId="167" fontId="12" fillId="0" borderId="21" xfId="1" applyNumberFormat="1" applyFont="1" applyFill="1" applyBorder="1" applyAlignment="1">
      <alignment vertical="center"/>
    </xf>
    <xf numFmtId="167" fontId="6" fillId="0" borderId="3" xfId="1" applyNumberFormat="1" applyFont="1" applyBorder="1" applyAlignment="1">
      <alignment vertical="center"/>
    </xf>
    <xf numFmtId="164" fontId="7" fillId="0" borderId="3" xfId="1" applyNumberFormat="1" applyFont="1" applyBorder="1" applyAlignment="1">
      <alignment vertical="center"/>
    </xf>
    <xf numFmtId="0" fontId="6" fillId="0" borderId="10" xfId="14" applyFont="1" applyBorder="1" applyAlignment="1">
      <alignment horizontal="left" vertical="center"/>
    </xf>
    <xf numFmtId="164" fontId="11" fillId="0" borderId="9" xfId="1" applyNumberFormat="1" applyFont="1" applyBorder="1" applyAlignment="1">
      <alignment vertical="center"/>
    </xf>
    <xf numFmtId="165" fontId="19" fillId="0" borderId="9" xfId="2" applyNumberFormat="1" applyFont="1" applyBorder="1" applyAlignment="1">
      <alignment horizontal="left" vertical="center"/>
    </xf>
    <xf numFmtId="164" fontId="12" fillId="5" borderId="9" xfId="1" applyNumberFormat="1" applyFont="1" applyFill="1" applyBorder="1" applyAlignment="1">
      <alignment vertical="center"/>
    </xf>
    <xf numFmtId="166" fontId="12" fillId="0" borderId="9" xfId="0" applyNumberFormat="1" applyFont="1" applyBorder="1" applyAlignment="1">
      <alignment vertical="center"/>
    </xf>
    <xf numFmtId="164" fontId="12" fillId="7" borderId="9" xfId="1" applyNumberFormat="1" applyFont="1" applyFill="1" applyBorder="1" applyAlignment="1">
      <alignment vertical="center"/>
    </xf>
    <xf numFmtId="164" fontId="12" fillId="0" borderId="9" xfId="1" applyNumberFormat="1" applyFont="1" applyFill="1" applyBorder="1" applyAlignment="1">
      <alignment vertical="center"/>
    </xf>
    <xf numFmtId="166" fontId="12" fillId="0" borderId="9" xfId="1" applyNumberFormat="1" applyFont="1" applyBorder="1" applyAlignment="1">
      <alignment vertical="center"/>
    </xf>
    <xf numFmtId="0" fontId="12" fillId="7" borderId="9" xfId="0" applyFont="1" applyFill="1" applyBorder="1" applyAlignment="1">
      <alignment vertical="center"/>
    </xf>
    <xf numFmtId="168" fontId="12" fillId="7" borderId="9" xfId="8" quotePrefix="1" applyNumberFormat="1" applyFont="1" applyFill="1" applyBorder="1" applyAlignment="1">
      <alignment horizontal="right" vertical="center" wrapText="1"/>
    </xf>
    <xf numFmtId="9" fontId="11" fillId="7" borderId="9" xfId="2" quotePrefix="1" applyFont="1" applyFill="1" applyBorder="1" applyAlignment="1">
      <alignment horizontal="right" vertical="center" wrapText="1"/>
    </xf>
    <xf numFmtId="165" fontId="11" fillId="3" borderId="9" xfId="6" applyNumberFormat="1" applyFont="1" applyFill="1" applyBorder="1" applyAlignment="1">
      <alignment horizontal="center" vertical="center" wrapText="1"/>
    </xf>
    <xf numFmtId="9" fontId="11" fillId="3" borderId="9" xfId="2" quotePrefix="1" applyFont="1" applyFill="1" applyBorder="1" applyAlignment="1">
      <alignment horizontal="right" vertical="center" wrapText="1"/>
    </xf>
    <xf numFmtId="0" fontId="12" fillId="0" borderId="9" xfId="6" applyFont="1" applyBorder="1" applyAlignment="1">
      <alignment horizontal="center" vertical="center" wrapText="1"/>
    </xf>
    <xf numFmtId="0" fontId="12" fillId="0" borderId="9" xfId="6" applyFont="1" applyBorder="1" applyAlignment="1">
      <alignment horizontal="left" vertical="center" wrapText="1"/>
    </xf>
    <xf numFmtId="165" fontId="12" fillId="0" borderId="9" xfId="6" applyNumberFormat="1" applyFont="1" applyBorder="1" applyAlignment="1">
      <alignment horizontal="center" vertical="center" wrapText="1"/>
    </xf>
    <xf numFmtId="164" fontId="12" fillId="0" borderId="9" xfId="1" quotePrefix="1" applyNumberFormat="1" applyFont="1" applyFill="1" applyBorder="1" applyAlignment="1">
      <alignment horizontal="center" vertical="center" wrapText="1"/>
    </xf>
    <xf numFmtId="177" fontId="11" fillId="3" borderId="9" xfId="8" quotePrefix="1" applyNumberFormat="1" applyFont="1" applyFill="1" applyBorder="1" applyAlignment="1">
      <alignment horizontal="right" vertical="center" wrapText="1"/>
    </xf>
    <xf numFmtId="167" fontId="11" fillId="7" borderId="9" xfId="8" quotePrefix="1" applyNumberFormat="1" applyFont="1" applyFill="1" applyBorder="1" applyAlignment="1">
      <alignment horizontal="right" vertical="center" wrapText="1"/>
    </xf>
    <xf numFmtId="167" fontId="11" fillId="3" borderId="9" xfId="8" quotePrefix="1" applyNumberFormat="1" applyFont="1" applyFill="1" applyBorder="1" applyAlignment="1">
      <alignment horizontal="right" vertical="center" wrapText="1"/>
    </xf>
    <xf numFmtId="164" fontId="11" fillId="7" borderId="9" xfId="1" quotePrefix="1" applyNumberFormat="1" applyFont="1" applyFill="1" applyBorder="1" applyAlignment="1">
      <alignment horizontal="right" vertical="center" wrapText="1"/>
    </xf>
    <xf numFmtId="0" fontId="11" fillId="7" borderId="9" xfId="6" applyFont="1" applyFill="1" applyBorder="1" applyAlignment="1">
      <alignment horizontal="center" vertical="center" wrapText="1"/>
    </xf>
    <xf numFmtId="0" fontId="11" fillId="7" borderId="9" xfId="6" applyFont="1" applyFill="1" applyBorder="1" applyAlignment="1">
      <alignment horizontal="left" vertical="center" wrapText="1"/>
    </xf>
    <xf numFmtId="165" fontId="11" fillId="7" borderId="9" xfId="6" applyNumberFormat="1" applyFont="1" applyFill="1" applyBorder="1" applyAlignment="1">
      <alignment horizontal="center" vertical="center" wrapText="1"/>
    </xf>
    <xf numFmtId="165" fontId="11" fillId="8" borderId="9" xfId="2" applyNumberFormat="1" applyFont="1" applyFill="1" applyBorder="1" applyAlignment="1">
      <alignment horizontal="left" vertical="center"/>
    </xf>
    <xf numFmtId="165" fontId="11" fillId="8" borderId="9" xfId="2" applyNumberFormat="1" applyFont="1" applyFill="1" applyBorder="1" applyAlignment="1">
      <alignment horizontal="center" vertical="center" wrapText="1"/>
    </xf>
    <xf numFmtId="165" fontId="12" fillId="7" borderId="9" xfId="2" applyNumberFormat="1" applyFont="1" applyFill="1" applyBorder="1" applyAlignment="1">
      <alignment horizontal="center" vertical="center" wrapText="1"/>
    </xf>
    <xf numFmtId="9" fontId="12" fillId="0" borderId="9" xfId="2" applyFont="1" applyFill="1" applyBorder="1" applyAlignment="1">
      <alignment horizontal="center" vertical="center" wrapText="1"/>
    </xf>
    <xf numFmtId="9" fontId="11" fillId="7" borderId="9" xfId="2" applyFont="1" applyFill="1" applyBorder="1" applyAlignment="1">
      <alignment horizontal="center" vertical="center" wrapText="1"/>
    </xf>
    <xf numFmtId="0" fontId="11" fillId="8" borderId="9" xfId="6" applyFont="1" applyFill="1" applyBorder="1" applyAlignment="1">
      <alignment horizontal="center" vertical="center" wrapText="1"/>
    </xf>
    <xf numFmtId="0" fontId="11" fillId="8" borderId="9" xfId="6" applyFont="1" applyFill="1" applyBorder="1" applyAlignment="1">
      <alignment horizontal="left" vertical="center" wrapText="1"/>
    </xf>
    <xf numFmtId="165" fontId="11" fillId="8" borderId="9" xfId="6" applyNumberFormat="1" applyFont="1" applyFill="1" applyBorder="1" applyAlignment="1">
      <alignment horizontal="center" vertical="center" wrapText="1"/>
    </xf>
    <xf numFmtId="164" fontId="11" fillId="8" borderId="9" xfId="8" quotePrefix="1" applyNumberFormat="1" applyFont="1" applyFill="1" applyBorder="1" applyAlignment="1">
      <alignment horizontal="center" vertical="center" wrapText="1"/>
    </xf>
    <xf numFmtId="164" fontId="12" fillId="7" borderId="9" xfId="8" quotePrefix="1" applyNumberFormat="1" applyFont="1" applyFill="1" applyBorder="1" applyAlignment="1">
      <alignment horizontal="center" vertical="center" wrapText="1"/>
    </xf>
    <xf numFmtId="0" fontId="11" fillId="2" borderId="9" xfId="6" applyFont="1" applyFill="1" applyBorder="1" applyAlignment="1">
      <alignment horizontal="center" vertical="center" wrapText="1"/>
    </xf>
    <xf numFmtId="0" fontId="11" fillId="2" borderId="9" xfId="6" applyFont="1" applyFill="1" applyBorder="1" applyAlignment="1">
      <alignment horizontal="left" vertical="center" wrapText="1"/>
    </xf>
    <xf numFmtId="165" fontId="11" fillId="2" borderId="9" xfId="6" applyNumberFormat="1" applyFont="1" applyFill="1" applyBorder="1" applyAlignment="1">
      <alignment horizontal="center" vertical="center" wrapText="1"/>
    </xf>
    <xf numFmtId="164" fontId="11" fillId="2" borderId="9" xfId="8" quotePrefix="1" applyNumberFormat="1" applyFont="1" applyFill="1" applyBorder="1" applyAlignment="1">
      <alignment horizontal="center" vertical="center" wrapText="1"/>
    </xf>
    <xf numFmtId="167" fontId="12" fillId="7" borderId="9" xfId="8" quotePrefix="1" applyNumberFormat="1" applyFont="1" applyFill="1" applyBorder="1" applyAlignment="1">
      <alignment horizontal="center" vertical="center" wrapText="1"/>
    </xf>
    <xf numFmtId="167" fontId="11" fillId="8" borderId="9" xfId="8" quotePrefix="1" applyNumberFormat="1" applyFont="1" applyFill="1" applyBorder="1" applyAlignment="1">
      <alignment horizontal="center" vertical="center" wrapText="1"/>
    </xf>
    <xf numFmtId="165" fontId="11" fillId="0" borderId="9" xfId="2" applyNumberFormat="1" applyFont="1" applyFill="1" applyBorder="1" applyAlignment="1">
      <alignment vertical="center"/>
    </xf>
    <xf numFmtId="165" fontId="11" fillId="0" borderId="9" xfId="0" applyNumberFormat="1" applyFont="1" applyBorder="1" applyAlignment="1">
      <alignment vertical="center"/>
    </xf>
    <xf numFmtId="0" fontId="46" fillId="0" borderId="3" xfId="20" applyFont="1" applyBorder="1" applyAlignment="1">
      <alignment horizontal="center"/>
    </xf>
    <xf numFmtId="0" fontId="46" fillId="9" borderId="3" xfId="20" applyFont="1" applyFill="1" applyBorder="1" applyAlignment="1">
      <alignment horizontal="center"/>
    </xf>
    <xf numFmtId="0" fontId="46" fillId="19" borderId="3" xfId="20" applyFont="1" applyFill="1" applyBorder="1" applyAlignment="1">
      <alignment horizontal="center"/>
    </xf>
    <xf numFmtId="164" fontId="46" fillId="0" borderId="3" xfId="20" applyNumberFormat="1" applyFont="1" applyBorder="1" applyAlignment="1">
      <alignment horizontal="center"/>
    </xf>
    <xf numFmtId="164" fontId="46" fillId="0" borderId="3" xfId="3" applyNumberFormat="1" applyFont="1" applyBorder="1"/>
    <xf numFmtId="0" fontId="47" fillId="0" borderId="3" xfId="14" applyFont="1" applyBorder="1" applyAlignment="1">
      <alignment vertical="center"/>
    </xf>
    <xf numFmtId="0" fontId="46" fillId="0" borderId="3" xfId="20" applyFont="1" applyBorder="1"/>
    <xf numFmtId="0" fontId="47" fillId="0" borderId="3" xfId="14" applyFont="1" applyBorder="1" applyAlignment="1">
      <alignment vertical="center" wrapText="1"/>
    </xf>
    <xf numFmtId="2" fontId="46" fillId="0" borderId="3" xfId="20" applyNumberFormat="1" applyFont="1" applyBorder="1"/>
    <xf numFmtId="164" fontId="48" fillId="0" borderId="3" xfId="1" applyNumberFormat="1" applyFont="1" applyBorder="1" applyAlignment="1">
      <alignment vertical="center"/>
    </xf>
    <xf numFmtId="164" fontId="48" fillId="0" borderId="3" xfId="1" applyNumberFormat="1" applyFont="1" applyFill="1" applyBorder="1" applyAlignment="1">
      <alignment vertical="center"/>
    </xf>
    <xf numFmtId="167" fontId="47" fillId="0" borderId="3" xfId="1" applyNumberFormat="1" applyFont="1" applyBorder="1" applyAlignment="1">
      <alignment vertical="center"/>
    </xf>
    <xf numFmtId="0" fontId="6" fillId="0" borderId="9" xfId="20" applyFont="1" applyBorder="1" applyAlignment="1">
      <alignment horizontal="left" indent="2"/>
    </xf>
    <xf numFmtId="0" fontId="6" fillId="0" borderId="15" xfId="20" applyFont="1" applyBorder="1" applyAlignment="1">
      <alignment horizontal="left" wrapText="1"/>
    </xf>
    <xf numFmtId="0" fontId="6" fillId="0" borderId="3" xfId="14" applyFont="1" applyBorder="1" applyAlignment="1">
      <alignment horizontal="left" vertical="center" wrapText="1" indent="1"/>
    </xf>
    <xf numFmtId="2" fontId="6" fillId="0" borderId="3" xfId="20" applyNumberFormat="1" applyFont="1" applyBorder="1"/>
    <xf numFmtId="167" fontId="47" fillId="0" borderId="3" xfId="1" applyNumberFormat="1" applyFont="1" applyFill="1" applyBorder="1" applyAlignment="1">
      <alignment vertical="center"/>
    </xf>
    <xf numFmtId="0" fontId="12" fillId="0" borderId="21" xfId="0" applyFont="1" applyBorder="1" applyAlignment="1">
      <alignment horizontal="left" vertical="center"/>
    </xf>
    <xf numFmtId="0" fontId="12" fillId="0" borderId="21" xfId="0" applyFont="1" applyBorder="1" applyAlignment="1">
      <alignment vertical="center"/>
    </xf>
    <xf numFmtId="175" fontId="36" fillId="0" borderId="21" xfId="1" applyNumberFormat="1" applyFont="1" applyFill="1" applyBorder="1" applyAlignment="1">
      <alignment vertical="center"/>
    </xf>
    <xf numFmtId="0" fontId="12" fillId="0" borderId="24" xfId="0" applyFont="1" applyBorder="1" applyAlignment="1">
      <alignment horizontal="left" vertical="center"/>
    </xf>
    <xf numFmtId="0" fontId="12" fillId="0" borderId="24" xfId="0" applyFont="1" applyBorder="1" applyAlignment="1">
      <alignment vertical="center"/>
    </xf>
    <xf numFmtId="0" fontId="6" fillId="9" borderId="3" xfId="20" applyFont="1" applyFill="1" applyBorder="1" applyAlignment="1">
      <alignment horizontal="center"/>
    </xf>
    <xf numFmtId="0" fontId="6" fillId="19" borderId="3" xfId="20" applyFont="1" applyFill="1" applyBorder="1" applyAlignment="1">
      <alignment horizontal="center"/>
    </xf>
    <xf numFmtId="178" fontId="6" fillId="19" borderId="3" xfId="20" applyNumberFormat="1" applyFont="1" applyFill="1" applyBorder="1" applyAlignment="1">
      <alignment horizontal="center"/>
    </xf>
    <xf numFmtId="164" fontId="6" fillId="0" borderId="3" xfId="3" applyNumberFormat="1" applyFont="1" applyBorder="1"/>
    <xf numFmtId="0" fontId="12" fillId="0" borderId="3" xfId="14" applyFont="1" applyBorder="1" applyAlignment="1">
      <alignment vertical="center"/>
    </xf>
    <xf numFmtId="0" fontId="6" fillId="0" borderId="3" xfId="20" applyFont="1" applyBorder="1"/>
    <xf numFmtId="0" fontId="12" fillId="0" borderId="10" xfId="14" applyFont="1" applyBorder="1" applyAlignment="1">
      <alignment horizontal="center" vertical="center"/>
    </xf>
    <xf numFmtId="0" fontId="12" fillId="0" borderId="10" xfId="14" applyFont="1" applyBorder="1" applyAlignment="1">
      <alignment horizontal="left" vertical="center"/>
    </xf>
    <xf numFmtId="0" fontId="12" fillId="0" borderId="0" xfId="20" applyFont="1"/>
    <xf numFmtId="164" fontId="12" fillId="0" borderId="3" xfId="3" applyNumberFormat="1" applyFont="1" applyBorder="1"/>
    <xf numFmtId="0" fontId="6" fillId="19" borderId="3" xfId="20" applyFont="1" applyFill="1" applyBorder="1" applyAlignment="1">
      <alignment horizontal="left" wrapText="1"/>
    </xf>
    <xf numFmtId="0" fontId="6" fillId="0" borderId="3" xfId="14" applyFont="1" applyBorder="1" applyAlignment="1">
      <alignment vertical="center"/>
    </xf>
    <xf numFmtId="167" fontId="6" fillId="0" borderId="0" xfId="20" applyNumberFormat="1" applyFont="1"/>
    <xf numFmtId="167" fontId="11" fillId="0" borderId="9" xfId="1" applyNumberFormat="1" applyFont="1" applyFill="1" applyBorder="1" applyAlignment="1">
      <alignment vertical="center"/>
    </xf>
    <xf numFmtId="178" fontId="46" fillId="0" borderId="3" xfId="20" applyNumberFormat="1" applyFont="1" applyBorder="1"/>
    <xf numFmtId="178" fontId="6" fillId="0" borderId="3" xfId="20" applyNumberFormat="1" applyFont="1" applyBorder="1"/>
    <xf numFmtId="0" fontId="12" fillId="0" borderId="3" xfId="20" applyFont="1" applyBorder="1"/>
    <xf numFmtId="178" fontId="12" fillId="0" borderId="3" xfId="20" applyNumberFormat="1" applyFont="1" applyBorder="1"/>
    <xf numFmtId="0" fontId="12" fillId="0" borderId="3" xfId="20" applyFont="1" applyBorder="1" applyAlignment="1">
      <alignment horizontal="center"/>
    </xf>
    <xf numFmtId="0" fontId="12" fillId="0" borderId="3" xfId="20" applyFont="1" applyBorder="1" applyAlignment="1">
      <alignment horizontal="center" wrapText="1"/>
    </xf>
    <xf numFmtId="178" fontId="12" fillId="0" borderId="3" xfId="20" applyNumberFormat="1" applyFont="1" applyBorder="1" applyAlignment="1">
      <alignment horizontal="center"/>
    </xf>
    <xf numFmtId="178" fontId="46" fillId="0" borderId="3" xfId="20" applyNumberFormat="1" applyFont="1" applyBorder="1" applyAlignment="1">
      <alignment horizontal="center"/>
    </xf>
    <xf numFmtId="164" fontId="20" fillId="0" borderId="0" xfId="1" applyNumberFormat="1" applyFont="1" applyFill="1" applyBorder="1" applyAlignment="1">
      <alignment vertical="center"/>
    </xf>
    <xf numFmtId="164" fontId="11" fillId="0" borderId="0" xfId="1" applyNumberFormat="1" applyFont="1" applyFill="1" applyBorder="1" applyAlignment="1">
      <alignment horizontal="right" vertical="center"/>
    </xf>
    <xf numFmtId="164" fontId="12" fillId="0" borderId="0" xfId="1" applyNumberFormat="1" applyFont="1" applyFill="1" applyBorder="1" applyAlignment="1">
      <alignment horizontal="right" vertical="center"/>
    </xf>
    <xf numFmtId="168" fontId="11" fillId="0" borderId="9" xfId="8" quotePrefix="1" applyNumberFormat="1" applyFont="1" applyFill="1" applyBorder="1" applyAlignment="1">
      <alignment horizontal="center" vertical="center" wrapText="1"/>
    </xf>
    <xf numFmtId="168" fontId="12" fillId="0" borderId="0" xfId="0" applyNumberFormat="1" applyFont="1"/>
    <xf numFmtId="0" fontId="15" fillId="0" borderId="4" xfId="1" applyNumberFormat="1" applyFont="1" applyFill="1" applyBorder="1" applyAlignment="1" applyProtection="1">
      <alignment horizontal="left" vertical="center"/>
    </xf>
    <xf numFmtId="0" fontId="6" fillId="0" borderId="0" xfId="20" applyFont="1" applyAlignment="1">
      <alignment horizontal="center" vertical="center" wrapText="1"/>
    </xf>
    <xf numFmtId="0" fontId="11" fillId="6" borderId="9" xfId="0" applyFont="1" applyFill="1" applyBorder="1" applyAlignment="1">
      <alignment vertical="center" wrapText="1"/>
    </xf>
    <xf numFmtId="165" fontId="12" fillId="14" borderId="9" xfId="2" applyNumberFormat="1" applyFont="1" applyFill="1" applyBorder="1" applyAlignment="1">
      <alignment vertical="center"/>
    </xf>
    <xf numFmtId="165" fontId="11" fillId="14" borderId="9" xfId="2" applyNumberFormat="1" applyFont="1" applyFill="1" applyBorder="1" applyAlignment="1">
      <alignment vertical="center"/>
    </xf>
    <xf numFmtId="179" fontId="12" fillId="0" borderId="0" xfId="2" applyNumberFormat="1" applyFont="1"/>
    <xf numFmtId="164" fontId="11" fillId="6" borderId="9" xfId="1" applyNumberFormat="1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vertical="center"/>
    </xf>
    <xf numFmtId="0" fontId="12" fillId="0" borderId="9" xfId="0" applyFont="1" applyBorder="1" applyAlignment="1">
      <alignment horizontal="center"/>
    </xf>
    <xf numFmtId="0" fontId="12" fillId="7" borderId="9" xfId="0" applyFont="1" applyFill="1" applyBorder="1" applyAlignment="1">
      <alignment horizontal="left" wrapText="1"/>
    </xf>
    <xf numFmtId="0" fontId="12" fillId="0" borderId="9" xfId="0" applyFont="1" applyBorder="1"/>
    <xf numFmtId="176" fontId="12" fillId="0" borderId="9" xfId="0" applyNumberFormat="1" applyFont="1" applyBorder="1"/>
    <xf numFmtId="180" fontId="12" fillId="0" borderId="9" xfId="1" applyNumberFormat="1" applyFont="1" applyBorder="1" applyAlignment="1"/>
    <xf numFmtId="180" fontId="12" fillId="0" borderId="9" xfId="0" applyNumberFormat="1" applyFont="1" applyBorder="1"/>
    <xf numFmtId="0" fontId="11" fillId="6" borderId="9" xfId="0" applyFont="1" applyFill="1" applyBorder="1" applyAlignment="1">
      <alignment horizontal="center"/>
    </xf>
    <xf numFmtId="0" fontId="11" fillId="6" borderId="9" xfId="0" applyFont="1" applyFill="1" applyBorder="1"/>
    <xf numFmtId="0" fontId="11" fillId="6" borderId="9" xfId="0" applyFont="1" applyFill="1" applyBorder="1" applyAlignment="1">
      <alignment horizontal="center" wrapText="1"/>
    </xf>
    <xf numFmtId="0" fontId="11" fillId="7" borderId="0" xfId="0" applyFont="1" applyFill="1"/>
    <xf numFmtId="168" fontId="12" fillId="0" borderId="9" xfId="1" applyNumberFormat="1" applyFont="1" applyBorder="1" applyAlignment="1"/>
    <xf numFmtId="0" fontId="12" fillId="0" borderId="9" xfId="0" applyFont="1" applyBorder="1" applyAlignment="1">
      <alignment wrapText="1"/>
    </xf>
    <xf numFmtId="0" fontId="11" fillId="14" borderId="2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11" fillId="6" borderId="11" xfId="6" applyFont="1" applyFill="1" applyBorder="1" applyAlignment="1">
      <alignment horizontal="center" vertical="center" wrapText="1"/>
    </xf>
    <xf numFmtId="164" fontId="11" fillId="6" borderId="9" xfId="1" applyNumberFormat="1" applyFont="1" applyFill="1" applyBorder="1" applyAlignment="1">
      <alignment vertical="center" wrapText="1"/>
    </xf>
    <xf numFmtId="0" fontId="11" fillId="14" borderId="18" xfId="0" applyFont="1" applyFill="1" applyBorder="1" applyAlignment="1">
      <alignment horizontal="center" vertical="center"/>
    </xf>
    <xf numFmtId="167" fontId="11" fillId="14" borderId="17" xfId="1" applyNumberFormat="1" applyFont="1" applyFill="1" applyBorder="1" applyAlignment="1">
      <alignment vertical="center"/>
    </xf>
    <xf numFmtId="0" fontId="11" fillId="14" borderId="9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1" fillId="14" borderId="25" xfId="0" applyFont="1" applyFill="1" applyBorder="1" applyAlignment="1">
      <alignment horizontal="center" vertical="center"/>
    </xf>
    <xf numFmtId="0" fontId="11" fillId="14" borderId="25" xfId="0" applyFont="1" applyFill="1" applyBorder="1" applyAlignment="1">
      <alignment horizontal="left" vertical="center"/>
    </xf>
    <xf numFmtId="0" fontId="16" fillId="14" borderId="23" xfId="0" applyFont="1" applyFill="1" applyBorder="1" applyAlignment="1">
      <alignment horizontal="left" vertical="center"/>
    </xf>
    <xf numFmtId="164" fontId="6" fillId="0" borderId="3" xfId="20" applyNumberFormat="1" applyFont="1" applyBorder="1" applyAlignment="1">
      <alignment horizontal="center"/>
    </xf>
    <xf numFmtId="178" fontId="6" fillId="19" borderId="3" xfId="20" applyNumberFormat="1" applyFont="1" applyFill="1" applyBorder="1"/>
    <xf numFmtId="0" fontId="12" fillId="0" borderId="3" xfId="14" applyFont="1" applyBorder="1" applyAlignment="1">
      <alignment vertical="center" wrapText="1"/>
    </xf>
    <xf numFmtId="178" fontId="6" fillId="19" borderId="3" xfId="20" applyNumberFormat="1" applyFont="1" applyFill="1" applyBorder="1" applyAlignment="1">
      <alignment horizontal="left"/>
    </xf>
    <xf numFmtId="164" fontId="11" fillId="0" borderId="0" xfId="1" applyNumberFormat="1" applyFont="1" applyAlignment="1">
      <alignment horizontal="right" vertical="center"/>
    </xf>
    <xf numFmtId="0" fontId="34" fillId="12" borderId="12" xfId="14" applyFont="1" applyFill="1" applyBorder="1" applyAlignment="1">
      <alignment horizontal="center" vertical="center"/>
    </xf>
    <xf numFmtId="164" fontId="11" fillId="4" borderId="9" xfId="1" applyNumberFormat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vertical="center"/>
    </xf>
    <xf numFmtId="164" fontId="12" fillId="0" borderId="20" xfId="1" applyNumberFormat="1" applyFont="1" applyBorder="1" applyAlignment="1">
      <alignment vertical="center"/>
    </xf>
    <xf numFmtId="167" fontId="11" fillId="0" borderId="20" xfId="0" applyNumberFormat="1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164" fontId="12" fillId="0" borderId="22" xfId="1" applyNumberFormat="1" applyFont="1" applyBorder="1" applyAlignment="1">
      <alignment vertical="center"/>
    </xf>
    <xf numFmtId="167" fontId="11" fillId="0" borderId="22" xfId="0" applyNumberFormat="1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7" borderId="2" xfId="0" applyFont="1" applyFill="1" applyBorder="1" applyAlignment="1">
      <alignment vertical="center"/>
    </xf>
    <xf numFmtId="164" fontId="12" fillId="0" borderId="2" xfId="1" applyNumberFormat="1" applyFont="1" applyBorder="1" applyAlignment="1">
      <alignment vertical="center"/>
    </xf>
    <xf numFmtId="167" fontId="12" fillId="0" borderId="2" xfId="1" applyNumberFormat="1" applyFont="1" applyBorder="1" applyAlignment="1">
      <alignment vertical="center"/>
    </xf>
    <xf numFmtId="167" fontId="11" fillId="0" borderId="2" xfId="0" applyNumberFormat="1" applyFont="1" applyBorder="1" applyAlignment="1">
      <alignment vertical="center"/>
    </xf>
    <xf numFmtId="0" fontId="11" fillId="13" borderId="9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0" fontId="16" fillId="13" borderId="9" xfId="0" applyFont="1" applyFill="1" applyBorder="1" applyAlignment="1">
      <alignment horizontal="left" vertical="center"/>
    </xf>
    <xf numFmtId="9" fontId="11" fillId="13" borderId="9" xfId="2" applyFont="1" applyFill="1" applyBorder="1" applyAlignment="1">
      <alignment vertical="center"/>
    </xf>
    <xf numFmtId="0" fontId="50" fillId="0" borderId="0" xfId="0" applyFont="1"/>
    <xf numFmtId="164" fontId="12" fillId="7" borderId="9" xfId="8" quotePrefix="1" applyNumberFormat="1" applyFont="1" applyFill="1" applyBorder="1" applyAlignment="1">
      <alignment horizontal="center" wrapText="1"/>
    </xf>
    <xf numFmtId="164" fontId="12" fillId="0" borderId="9" xfId="0" applyNumberFormat="1" applyFont="1" applyBorder="1"/>
    <xf numFmtId="164" fontId="12" fillId="0" borderId="21" xfId="1" applyNumberFormat="1" applyFont="1" applyBorder="1" applyAlignment="1">
      <alignment vertical="center"/>
    </xf>
    <xf numFmtId="0" fontId="11" fillId="6" borderId="9" xfId="6" applyFont="1" applyFill="1" applyBorder="1" applyAlignment="1">
      <alignment horizontal="center" vertical="center" wrapText="1"/>
    </xf>
    <xf numFmtId="49" fontId="20" fillId="0" borderId="4" xfId="1" applyNumberFormat="1" applyFont="1" applyFill="1" applyBorder="1" applyAlignment="1" applyProtection="1">
      <alignment vertical="center"/>
    </xf>
    <xf numFmtId="164" fontId="11" fillId="14" borderId="9" xfId="1" applyNumberFormat="1" applyFont="1" applyFill="1" applyBorder="1" applyAlignment="1">
      <alignment vertical="center"/>
    </xf>
    <xf numFmtId="164" fontId="11" fillId="14" borderId="17" xfId="1" applyNumberFormat="1" applyFont="1" applyFill="1" applyBorder="1" applyAlignment="1">
      <alignment vertical="center"/>
    </xf>
    <xf numFmtId="164" fontId="11" fillId="14" borderId="2" xfId="1" applyNumberFormat="1" applyFont="1" applyFill="1" applyBorder="1" applyAlignment="1">
      <alignment vertical="center"/>
    </xf>
    <xf numFmtId="164" fontId="11" fillId="0" borderId="20" xfId="1" applyNumberFormat="1" applyFont="1" applyBorder="1" applyAlignment="1">
      <alignment vertical="center"/>
    </xf>
    <xf numFmtId="0" fontId="19" fillId="7" borderId="9" xfId="6" applyFont="1" applyFill="1" applyBorder="1" applyAlignment="1">
      <alignment horizontal="left" vertical="center" wrapText="1"/>
    </xf>
    <xf numFmtId="165" fontId="19" fillId="7" borderId="9" xfId="6" applyNumberFormat="1" applyFont="1" applyFill="1" applyBorder="1" applyAlignment="1">
      <alignment horizontal="center" vertical="center" wrapText="1"/>
    </xf>
    <xf numFmtId="164" fontId="19" fillId="7" borderId="9" xfId="8" quotePrefix="1" applyNumberFormat="1" applyFont="1" applyFill="1" applyBorder="1" applyAlignment="1">
      <alignment horizontal="center" vertical="center" wrapText="1"/>
    </xf>
    <xf numFmtId="164" fontId="19" fillId="7" borderId="9" xfId="8" quotePrefix="1" applyNumberFormat="1" applyFont="1" applyFill="1" applyBorder="1" applyAlignment="1">
      <alignment horizontal="center" wrapText="1"/>
    </xf>
    <xf numFmtId="164" fontId="19" fillId="0" borderId="9" xfId="0" applyNumberFormat="1" applyFont="1" applyBorder="1"/>
    <xf numFmtId="0" fontId="12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7" borderId="22" xfId="0" applyFont="1" applyFill="1" applyBorder="1" applyAlignment="1">
      <alignment horizontal="left" vertical="center"/>
    </xf>
    <xf numFmtId="0" fontId="12" fillId="5" borderId="9" xfId="0" applyFont="1" applyFill="1" applyBorder="1" applyAlignment="1">
      <alignment vertical="center"/>
    </xf>
    <xf numFmtId="164" fontId="19" fillId="0" borderId="9" xfId="1" applyNumberFormat="1" applyFont="1" applyBorder="1" applyAlignment="1">
      <alignment vertical="center"/>
    </xf>
    <xf numFmtId="43" fontId="12" fillId="5" borderId="9" xfId="1" applyFont="1" applyFill="1" applyBorder="1" applyAlignment="1">
      <alignment vertical="center"/>
    </xf>
    <xf numFmtId="164" fontId="27" fillId="0" borderId="9" xfId="0" applyNumberFormat="1" applyFont="1" applyBorder="1" applyAlignment="1">
      <alignment vertical="center"/>
    </xf>
    <xf numFmtId="164" fontId="27" fillId="0" borderId="9" xfId="1" applyNumberFormat="1" applyFont="1" applyBorder="1" applyAlignment="1">
      <alignment vertical="center"/>
    </xf>
    <xf numFmtId="164" fontId="27" fillId="5" borderId="0" xfId="0" applyNumberFormat="1" applyFont="1" applyFill="1" applyAlignment="1">
      <alignment vertical="center"/>
    </xf>
    <xf numFmtId="164" fontId="27" fillId="0" borderId="9" xfId="1" applyNumberFormat="1" applyFont="1" applyFill="1" applyBorder="1" applyAlignment="1">
      <alignment vertical="center"/>
    </xf>
    <xf numFmtId="43" fontId="27" fillId="0" borderId="0" xfId="0" applyNumberFormat="1" applyFont="1" applyAlignment="1">
      <alignment vertical="center"/>
    </xf>
    <xf numFmtId="0" fontId="19" fillId="7" borderId="9" xfId="0" applyFont="1" applyFill="1" applyBorder="1" applyAlignment="1">
      <alignment vertical="center"/>
    </xf>
  </cellXfs>
  <cellStyles count="32">
    <cellStyle name="Comma" xfId="1" builtinId="3"/>
    <cellStyle name="Comma 2" xfId="4" xr:uid="{00000000-0005-0000-0000-000001000000}"/>
    <cellStyle name="Comma 2 23" xfId="19" xr:uid="{00000000-0005-0000-0000-000002000000}"/>
    <cellStyle name="Comma 3" xfId="7" xr:uid="{00000000-0005-0000-0000-000003000000}"/>
    <cellStyle name="Comma 3 2" xfId="8" xr:uid="{00000000-0005-0000-0000-000004000000}"/>
    <cellStyle name="Comma 3 3" xfId="22" xr:uid="{00000000-0005-0000-0000-000005000000}"/>
    <cellStyle name="Comma 3 5" xfId="29" xr:uid="{00000000-0005-0000-0000-000006000000}"/>
    <cellStyle name="Comma 4" xfId="18" xr:uid="{00000000-0005-0000-0000-000007000000}"/>
    <cellStyle name="Comma 4 2" xfId="24" xr:uid="{00000000-0005-0000-0000-000008000000}"/>
    <cellStyle name="Comma 4 4" xfId="11" xr:uid="{00000000-0005-0000-0000-000009000000}"/>
    <cellStyle name="Comma 5" xfId="26" xr:uid="{00000000-0005-0000-0000-00000A000000}"/>
    <cellStyle name="Comma 7" xfId="27" xr:uid="{00000000-0005-0000-0000-00000B000000}"/>
    <cellStyle name="Heading 3 2" xfId="10" xr:uid="{00000000-0005-0000-0000-00000C000000}"/>
    <cellStyle name="Normal" xfId="0" builtinId="0"/>
    <cellStyle name="Normal 10" xfId="13" xr:uid="{00000000-0005-0000-0000-00000E000000}"/>
    <cellStyle name="Normal 13" xfId="30" xr:uid="{00000000-0005-0000-0000-00000F000000}"/>
    <cellStyle name="Normal 14" xfId="14" xr:uid="{00000000-0005-0000-0000-000010000000}"/>
    <cellStyle name="Normal 16" xfId="12" xr:uid="{00000000-0005-0000-0000-000011000000}"/>
    <cellStyle name="Normal 2" xfId="3" xr:uid="{00000000-0005-0000-0000-000012000000}"/>
    <cellStyle name="Normal 2 2" xfId="20" xr:uid="{00000000-0005-0000-0000-000013000000}"/>
    <cellStyle name="Normal 2 3" xfId="31" xr:uid="{00000000-0005-0000-0000-000014000000}"/>
    <cellStyle name="Normal 2 3 6" xfId="21" xr:uid="{00000000-0005-0000-0000-000015000000}"/>
    <cellStyle name="Normal 2 3 6 2" xfId="23" xr:uid="{00000000-0005-0000-0000-000016000000}"/>
    <cellStyle name="Normal 3" xfId="6" xr:uid="{00000000-0005-0000-0000-000017000000}"/>
    <cellStyle name="Normal 4" xfId="15" xr:uid="{00000000-0005-0000-0000-000018000000}"/>
    <cellStyle name="Normal 5" xfId="17" xr:uid="{00000000-0005-0000-0000-000019000000}"/>
    <cellStyle name="Normal 6" xfId="25" xr:uid="{00000000-0005-0000-0000-00001A000000}"/>
    <cellStyle name="Normal 7" xfId="9" xr:uid="{00000000-0005-0000-0000-00001B000000}"/>
    <cellStyle name="Normal 8" xfId="28" xr:uid="{00000000-0005-0000-0000-00001C000000}"/>
    <cellStyle name="Percent" xfId="2" builtinId="5"/>
    <cellStyle name="Percent 2" xfId="5" xr:uid="{00000000-0005-0000-0000-00001E000000}"/>
    <cellStyle name="Percent 3" xfId="16" xr:uid="{00000000-0005-0000-0000-00001F000000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7" formatCode="#,###,,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7" formatCode="#,###,,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7" formatCode="#,###,,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78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78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78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78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178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vertAlign val="baseline"/>
        <sz val="10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FFFFCC"/>
      <color rgb="FFFFCCFF"/>
      <color rgb="FF0000CC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8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134866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FDAB4-5389-49DE-A37F-E756EB52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0" cy="6301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MONTHLY/#RE_PLAN/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U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%20%20Rin\aa\tcrt\client\non%20tax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WPP%20-%20Apex%20(Chengdu)\Info%20from%20Apex\DERICKC\TECHN\CMSI\D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luuhongnhung_duytanrecycling_com/Documents/00.%20Ph&#242;ng%20Cung%20&#7912;ng/02.%20B&#225;o%20c&#225;o/3.%20B&#225;o%20c&#225;o%20n&#259;m/2025/AOP%202025/D&#7921;%20b&#225;o%20b&#225;n%20h&#224;ng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HOST-02\Cong%20ty\01%20Tai%20Chinh%20Ke%20Toan\02%20Bao%20Cao\01.Bao%20Cao%20Quan%20Tri\04.Nhom%20quan%20tri\1.Sang\Data%20sub%20&amp;%20thanh%20vien\Subgroup_CPDHCLFTD_2015%20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ngocanhtuan_duytan_com/Documents/HR%20Division/Scorecard/2.%20B&#225;o%20c&#225;o%20Ti&#7871;n%20&#273;&#7897;%20th&#7921;c%20hi&#7879;n/K&#7871;t%20qu&#7843;%20KPI%20042020%20g&#7917;i%20Kh&#225;n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baoquoc_duytan_com/Documents/B&#193;O%20C&#193;O%20T&#192;I%20CH&#205;NH%20K&#7870;%20TO&#193;N/B&#225;o%20c&#225;o%20KTQT%20T&#7893;ng%20H&#7907;p/B&#225;o%20C&#225;o%20KQKD/ketoantaichinh-KPI-20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nguyenngocanhtuan/OneDrive%20-%20DuyTan%20Plastics/HR%20Division/Scorecard/2.%20B&#225;o%20c&#225;o%20Ti&#7871;n%20&#273;&#7897;%20th&#7921;c%20hi&#7879;n/KPI-BC%20TGD-2020_NNAT%20-%20Thuc%20hien%20(042020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Users/khanhngoc/Desktop/TemplateImport_Human_Resource_Management_Systems_202009041732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hoangpd_duytanrecycling_com/Documents/Hoang%20-%20DTR/Tram/KHNS,%20KPI%203%20Tram/KHNS%202025%20-%20DAI%20LOC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Desktop/Handboo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ales%20Seasonality%20by%20Month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OneDrive%20-%20DuyTan%20Plastics/B&#193;O%20C&#193;O%20T&#192;I%20CH&#205;NH%20K&#7870;%20TO&#193;N/B&#225;o%20c&#225;o%20KTQT%20T&#7893;ng%20H&#7907;p/B&#225;o%20C&#225;o%20KQKD/6.%20Projections/Breakeven%20Point_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Reports\Single%20Measure%20Repor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filesvr03\Vinamilk2\BMA%20Advantage\BMA%20Advantage%203\PERFORMANCE%20Advantage\Data%20Files\Dimensi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2%20Year%20Plan%202009-2010\Financial%20Models\FC%202%202008%20&amp;%202-1%20Plan%20-%20NOVEMBE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ce\2008\FC%202008\FC2-2008\UnisonTM%20Report\VN%20FC2%202008%20and%202009%20-%20TM1%20Reports_Sept_2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ervice%20Invoice9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Data%20Files\Dimens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penggehelp\Dhananjay\DOCUME~1\vinitt\LOCALS~1\Temp\basisbeam_december_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etic\c\windows\TEMP\Nov%2020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nhn\Local%20Settings\Temporary%20Internet%20Files\Content.IE5\RB55PX9I\SaoLuu\O%20C\Accouthp\CTMT\HLC\tha\Tai%20Chinh-%20QT-Halang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anthihuong/OneDrive%20-%20DuyTan%20Group/Documents/HUONG%20TRAN/BAO%20CAO/NGAN%20SACH/26/01.%20DLOC%20-%20NSACH%202026/NGAN%20SACH%202026/15.11/DLOC%20-%20Tram_Bieu%20mau%20KHKD%202026%20-%20update%2018.11.25%20CT%20(1)%20-%20Copy.xlsx" TargetMode="External"/><Relationship Id="rId1" Type="http://schemas.openxmlformats.org/officeDocument/2006/relationships/externalLinkPath" Target="/Users/tranthihuong/OneDrive%20-%20DuyTan%20Group/Documents/HUONG%20TRAN/BAO%20CAO/NGAN%20SACH/26/01.%20DLOC%20-%20NSACH%202026/NGAN%20SACH%202026/15.11/DLOC%20-%20Tram_Bieu%20mau%20KHKD%202026%20-%20update%2018.11.25%20CT%20(1)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sales3level"/>
      <sheetName val="Macro5"/>
      <sheetName val="Sheet1"/>
      <sheetName val="Sheet1 (2)"/>
      <sheetName val="Sheet2"/>
      <sheetName val="Tax coupon"/>
      <sheetName val="PGMMNG"/>
      <sheetName val="PRO-TOTAL"/>
      <sheetName val="UPC_SKU"/>
      <sheetName val="DDL"/>
      <sheetName val="ตารางคำนวณกระเบื้อง A"/>
      <sheetName val="BAL"/>
      <sheetName val="55555"/>
      <sheetName val="ใบปะหน้าใหม่ Bidding"/>
      <sheetName val="ต้นไม้ทางเท้า"/>
      <sheetName val="SH-E"/>
      <sheetName val="Structure"/>
      <sheetName val="ลูกหนี้(เก่า)"/>
      <sheetName val="stat local"/>
      <sheetName val="Law data"/>
      <sheetName val="4.1CAPEX_Additional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Index"/>
      <sheetName val="Volume Loco May 2015"/>
      <sheetName val="Summary"/>
      <sheetName val="Summary report"/>
      <sheetName val="Performance BP"/>
      <sheetName val="code"/>
      <sheetName val="MyWork"/>
      <sheetName val="data"/>
      <sheetName val="TYPE SD125"/>
      <sheetName val="Drop Down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Bill No. 2 - Carpark"/>
      <sheetName val="sheetNO"/>
      <sheetName val="คำชี้แจง"/>
      <sheetName val="SCG group"/>
      <sheetName val="com"/>
      <sheetName val="List"/>
      <sheetName val="2017"/>
      <sheetName val="43"/>
      <sheetName val="อ้างอิง"/>
      <sheetName val="Chart"/>
      <sheetName val="Comapny Name"/>
      <sheetName val="Company Name"/>
      <sheetName val="Mapping"/>
      <sheetName val="Master"/>
      <sheetName val="Prhd"/>
      <sheetName val="Control"/>
      <sheetName val="Cost center"/>
      <sheetName val="Account code"/>
      <sheetName val="S-Plant"/>
      <sheetName val="Office_plants"/>
      <sheetName val="Sheet3"/>
      <sheetName val="Driver"/>
      <sheetName val="ZPS02"/>
      <sheetName val="I-slab"/>
      <sheetName val="Goal"/>
      <sheetName val="Zone"/>
      <sheetName val="Northeast"/>
      <sheetName val="2018"/>
      <sheetName val="คำอธิบาย"/>
      <sheetName val="PNT-QUOT-#3"/>
      <sheetName val="PNT-P3"/>
      <sheetName val="data validation"/>
      <sheetName val="Sheet5"/>
      <sheetName val="ห้ามลบ"/>
      <sheetName val="Cases Actuals SAP"/>
      <sheetName val="Chilled Vol &amp; GS"/>
      <sheetName val="Master Query_SL"/>
      <sheetName val="Addresses"/>
      <sheetName val="PBSG Severance"/>
      <sheetName val="วัดใต้"/>
      <sheetName val="สาเหตุ Error "/>
      <sheetName val="Table Name"/>
      <sheetName val="FR"/>
      <sheetName val="SCG Chemicals group"/>
      <sheetName val="Ref"/>
      <sheetName val="Config"/>
      <sheetName val="Dont delete!!"/>
      <sheetName val="Vender list"/>
      <sheetName val="Production Queue GB"/>
      <sheetName val="cost center name"/>
      <sheetName val="L410"/>
      <sheetName val="Log CCR TG 3"/>
      <sheetName val="Month"/>
      <sheetName val="DTA"/>
      <sheetName val="2019"/>
      <sheetName val="Assumption"/>
      <sheetName val="Ms"/>
      <sheetName val="Variance"/>
      <sheetName val="Type ถูก House"/>
      <sheetName val="รายชื่อ"/>
      <sheetName val="TB(PY 2016)"/>
      <sheetName val="IS"/>
      <sheetName val="GL"/>
      <sheetName val="Risk Level"/>
      <sheetName val="Risk Category"/>
      <sheetName val="Business"/>
      <sheetName val="DD List"/>
      <sheetName val="Multi Rater"/>
      <sheetName val="#REF"/>
      <sheetName val="Status"/>
      <sheetName val="TP"/>
      <sheetName val="MasterTB"/>
      <sheetName val="F-1"/>
      <sheetName val="P300"/>
      <sheetName val="Materiality"/>
      <sheetName val="ดอกเบี้ย TR2560"/>
      <sheetName val="REPORT"/>
      <sheetName val="ชลทิพย์"/>
      <sheetName val="Trial Balance"/>
      <sheetName val="Reason"/>
      <sheetName val="Dropdown list "/>
      <sheetName val="Accure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Master TB"/>
      <sheetName val="H300"/>
      <sheetName val="F-3"/>
      <sheetName val="K400"/>
      <sheetName val="CF weekly"/>
      <sheetName val="1.CF (M)(Ratchatewee)"/>
      <sheetName val="1.CF (M)(Rama4)"/>
      <sheetName val="1.CF (M) (TL10ph2)"/>
      <sheetName val=""/>
      <sheetName val="BS"/>
      <sheetName val="stair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V1"/>
      <sheetName val="V7 Confirm RPT"/>
      <sheetName val="S300"/>
      <sheetName val="แยกงบ"/>
      <sheetName val="Summary 31Mar'20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beer-indstry"/>
      <sheetName val="2020"/>
      <sheetName val="TTL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Master COA V21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3 Architectural"/>
      <sheetName val="ESS Performance 2020+2021"/>
      <sheetName val="A"/>
      <sheetName val="Reference(do not delete)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Parameters"/>
      <sheetName val="PGM_2LEVYTD"/>
      <sheetName val="LS"/>
      <sheetName val="S330 Increase salary rate"/>
      <sheetName val="Mat"/>
      <sheetName val="MasterBrand"/>
      <sheetName val="data บัญชี"/>
      <sheetName val="ฐานข้อมูล"/>
      <sheetName val="Data (2)"/>
      <sheetName val="masterEO IO"/>
      <sheetName val="กำหนดค่า"/>
      <sheetName val="Employee EN"/>
      <sheetName val="Reference(do_not_delete)"/>
      <sheetName val="発停サイクル表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ไม่ใช้"/>
      <sheetName val="ใช้หน้านี้"/>
      <sheetName val="S-CUVE-2 14 M"/>
      <sheetName val="Mapping account"/>
      <sheetName val="S-CUVE-2_14_M"/>
      <sheetName val="Data_2"/>
      <sheetName val="설계내역서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Discounted Cash Flow"/>
      <sheetName val="6.ข้อมูลวัสดุ-ค่าดำเนิน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Wkgs_BS Lead"/>
      <sheetName val="ZA110 Sal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TT-2"/>
      <sheetName val="코드관리"/>
      <sheetName val="SUM-AIR-Submit"/>
      <sheetName val="KKC Brkdwn"/>
      <sheetName val="SPT vs PHI"/>
      <sheetName val="escon"/>
      <sheetName val="Store"/>
      <sheetName val="JobSetup"/>
      <sheetName val="Proposal Form"/>
      <sheetName val="BQ-Ext  "/>
      <sheetName val="Sch 2"/>
      <sheetName val="Commun"/>
      <sheetName val="NOT"/>
      <sheetName val="DataValidation_NotDelete"/>
      <sheetName val="Validation"/>
      <sheetName val="asset"/>
      <sheetName val="STart"/>
      <sheetName val="TL"/>
      <sheetName val="マスタ"/>
      <sheetName val="5200"/>
      <sheetName val="Demand"/>
      <sheetName val="Occ"/>
      <sheetName val="สรุป"/>
      <sheetName val="interest income from VMI"/>
      <sheetName val="interest payable to PSH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Customer Name"/>
      <sheetName val="Designated P&amp;L"/>
      <sheetName val="PROJECT BRIEF"/>
      <sheetName val="footing"/>
      <sheetName val="upa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สีแถมโซดา"/>
      <sheetName val="Activity Q1"/>
      <sheetName val="Sheet15"/>
      <sheetName val="Drop Down Lists"/>
      <sheetName val="List of Rem Entries - IS"/>
      <sheetName val="Factor F Data"/>
      <sheetName val="PL"/>
      <sheetName val="RE9604"/>
      <sheetName val="PDPC0908"/>
      <sheetName val="Rank"/>
      <sheetName val="TB 1-3"/>
      <sheetName val="J01"/>
      <sheetName val="summary1-2"/>
      <sheetName val="summary1-3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 ANALYSIS FP"/>
      <sheetName val="Info"/>
      <sheetName val="Data (Forecast-m3)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แผนใหม่-BG22 รายเอเย่นต์"/>
      <sheetName val="In AG VS Sub"/>
      <sheetName val="ขน2019"/>
      <sheetName val="ขน2020"/>
      <sheetName val="ขน2021"/>
      <sheetName val="Calendar_นายสรศักดิ์ กล่ำศรี"/>
      <sheetName val="ยอดขาย"/>
      <sheetName val="สรุปโซนโฟกัส TT"/>
      <sheetName val="Analytic Sales&amp;Cost"/>
      <sheetName val="DO"/>
      <sheetName val="磨煤加压"/>
      <sheetName val="มีค 64"/>
      <sheetName val="Vendors Database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slipsumpR"/>
      <sheetName val="TB 10"/>
      <sheetName val="30's-Components"/>
      <sheetName val="Page4"/>
      <sheetName val="Final Summary - Base"/>
      <sheetName val="1B"/>
      <sheetName val="drop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co 10"/>
      <sheetName val="Status Budget"/>
      <sheetName val="Spread"/>
      <sheetName val="5X"/>
      <sheetName val="Utility and Fire flange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3">
          <cell r="BC3" t="str">
            <v>QUOTATION  NO.   :</v>
          </cell>
        </row>
      </sheetData>
      <sheetData sheetId="275">
        <row r="3">
          <cell r="BC3" t="str">
            <v>QUOTATION  NO.   :</v>
          </cell>
        </row>
      </sheetData>
      <sheetData sheetId="276">
        <row r="3">
          <cell r="BC3" t="str">
            <v>QUOTATION  NO.   :</v>
          </cell>
        </row>
      </sheetData>
      <sheetData sheetId="277">
        <row r="3">
          <cell r="BC3" t="str">
            <v>QUOTATION  NO.   :</v>
          </cell>
        </row>
      </sheetData>
      <sheetData sheetId="278">
        <row r="3">
          <cell r="BC3" t="str">
            <v>QUOTATION  NO.   :</v>
          </cell>
        </row>
      </sheetData>
      <sheetData sheetId="279">
        <row r="3">
          <cell r="BC3" t="str">
            <v>QUOTATION  NO.   :</v>
          </cell>
        </row>
      </sheetData>
      <sheetData sheetId="280">
        <row r="3">
          <cell r="BC3" t="str">
            <v>QUOTATION  NO.   :</v>
          </cell>
        </row>
      </sheetData>
      <sheetData sheetId="281">
        <row r="3">
          <cell r="BC3" t="str">
            <v>QUOTATION  NO.   :</v>
          </cell>
        </row>
      </sheetData>
      <sheetData sheetId="282">
        <row r="3">
          <cell r="BC3" t="str">
            <v>QUOTATION  NO.   :</v>
          </cell>
        </row>
      </sheetData>
      <sheetData sheetId="283">
        <row r="3">
          <cell r="BC3" t="str">
            <v>QUOTATION  NO.   :</v>
          </cell>
        </row>
      </sheetData>
      <sheetData sheetId="284">
        <row r="3">
          <cell r="BC3" t="str">
            <v>QUOTATION  NO.   :</v>
          </cell>
        </row>
      </sheetData>
      <sheetData sheetId="285">
        <row r="3">
          <cell r="BC3" t="str">
            <v>QUOTATION  NO.   :</v>
          </cell>
        </row>
      </sheetData>
      <sheetData sheetId="286">
        <row r="3">
          <cell r="BC3" t="str">
            <v>QUOTATION  NO.   :</v>
          </cell>
        </row>
      </sheetData>
      <sheetData sheetId="287">
        <row r="3">
          <cell r="BC3" t="str">
            <v>QUOTATION  NO.   :</v>
          </cell>
        </row>
      </sheetData>
      <sheetData sheetId="288">
        <row r="3">
          <cell r="BC3" t="str">
            <v>QUOTATION  NO.   :</v>
          </cell>
        </row>
      </sheetData>
      <sheetData sheetId="289">
        <row r="3">
          <cell r="BC3" t="str">
            <v>QUOTATION  NO.   :</v>
          </cell>
        </row>
      </sheetData>
      <sheetData sheetId="290">
        <row r="3">
          <cell r="BC3" t="str">
            <v>QUOTATION  NO.   :</v>
          </cell>
        </row>
      </sheetData>
      <sheetData sheetId="291">
        <row r="3">
          <cell r="BC3" t="str">
            <v>QUOTATION  NO.   :</v>
          </cell>
        </row>
      </sheetData>
      <sheetData sheetId="292">
        <row r="3">
          <cell r="BC3" t="str">
            <v>QUOTATION  NO.   :</v>
          </cell>
        </row>
      </sheetData>
      <sheetData sheetId="293">
        <row r="3">
          <cell r="BC3" t="str">
            <v>QUOTATION  NO.   :</v>
          </cell>
        </row>
      </sheetData>
      <sheetData sheetId="294">
        <row r="3">
          <cell r="BC3" t="str">
            <v>QUOTATION  NO.   :</v>
          </cell>
        </row>
      </sheetData>
      <sheetData sheetId="295">
        <row r="3">
          <cell r="BC3" t="str">
            <v>QUOTATION  NO.   :</v>
          </cell>
        </row>
      </sheetData>
      <sheetData sheetId="296">
        <row r="3">
          <cell r="BC3" t="str">
            <v>QUOTATION  NO.   :</v>
          </cell>
        </row>
      </sheetData>
      <sheetData sheetId="297">
        <row r="3">
          <cell r="BC3" t="str">
            <v>QUOTATION  NO.   :</v>
          </cell>
        </row>
      </sheetData>
      <sheetData sheetId="298">
        <row r="3">
          <cell r="BC3" t="str">
            <v>QUOTATION  NO.   :</v>
          </cell>
        </row>
      </sheetData>
      <sheetData sheetId="299">
        <row r="3">
          <cell r="BC3" t="str">
            <v>QUOTATION  NO.   :</v>
          </cell>
        </row>
      </sheetData>
      <sheetData sheetId="300">
        <row r="3">
          <cell r="BC3" t="str">
            <v>QUOTATION  NO.   :</v>
          </cell>
        </row>
      </sheetData>
      <sheetData sheetId="301">
        <row r="3">
          <cell r="BC3" t="str">
            <v>QUOTATION  NO.   :</v>
          </cell>
        </row>
      </sheetData>
      <sheetData sheetId="302">
        <row r="3">
          <cell r="BC3" t="str">
            <v>QUOTATION  NO.   :</v>
          </cell>
        </row>
      </sheetData>
      <sheetData sheetId="303">
        <row r="3">
          <cell r="BC3" t="str">
            <v>QUOTATION  NO.   :</v>
          </cell>
        </row>
      </sheetData>
      <sheetData sheetId="304">
        <row r="3">
          <cell r="BC3" t="str">
            <v>QUOTATION  NO.   :</v>
          </cell>
        </row>
      </sheetData>
      <sheetData sheetId="305">
        <row r="3">
          <cell r="BC3" t="str">
            <v>QUOTATION  NO.   :</v>
          </cell>
        </row>
      </sheetData>
      <sheetData sheetId="306">
        <row r="3">
          <cell r="BC3" t="str">
            <v>QUOTATION  NO.   :</v>
          </cell>
        </row>
      </sheetData>
      <sheetData sheetId="307">
        <row r="3">
          <cell r="BC3" t="str">
            <v>QUOTATION  NO.   :</v>
          </cell>
        </row>
      </sheetData>
      <sheetData sheetId="308">
        <row r="3">
          <cell r="BC3" t="str">
            <v>QUOTATION  NO.   :</v>
          </cell>
        </row>
      </sheetData>
      <sheetData sheetId="309">
        <row r="3">
          <cell r="BC3" t="str">
            <v>QUOTATION  NO.   :</v>
          </cell>
        </row>
      </sheetData>
      <sheetData sheetId="310">
        <row r="3">
          <cell r="BC3" t="str">
            <v>QUOTATION  NO.   :</v>
          </cell>
        </row>
      </sheetData>
      <sheetData sheetId="311">
        <row r="3">
          <cell r="BC3" t="str">
            <v>QUOTATION  NO.   :</v>
          </cell>
        </row>
      </sheetData>
      <sheetData sheetId="312">
        <row r="3">
          <cell r="BC3" t="str">
            <v>QUOTATION  NO.   :</v>
          </cell>
        </row>
      </sheetData>
      <sheetData sheetId="313">
        <row r="3">
          <cell r="BC3" t="str">
            <v>QUOTATION  NO.   :</v>
          </cell>
        </row>
      </sheetData>
      <sheetData sheetId="314">
        <row r="3">
          <cell r="BC3" t="str">
            <v>QUOTATION  NO.   :</v>
          </cell>
        </row>
      </sheetData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>
        <row r="3">
          <cell r="BC3" t="str">
            <v>QUOTATION  NO.   :</v>
          </cell>
        </row>
      </sheetData>
      <sheetData sheetId="334">
        <row r="3">
          <cell r="BC3" t="str">
            <v>QUOTATION  NO.   :</v>
          </cell>
        </row>
      </sheetData>
      <sheetData sheetId="335">
        <row r="3">
          <cell r="BC3" t="str">
            <v>QUOTATION  NO.   :</v>
          </cell>
        </row>
      </sheetData>
      <sheetData sheetId="336">
        <row r="3">
          <cell r="BC3" t="str">
            <v>QUOTATION  NO.   :</v>
          </cell>
        </row>
      </sheetData>
      <sheetData sheetId="337">
        <row r="3">
          <cell r="BC3" t="str">
            <v>QUOTATION  NO.   :</v>
          </cell>
        </row>
      </sheetData>
      <sheetData sheetId="338">
        <row r="3">
          <cell r="BC3" t="str">
            <v>QUOTATION  NO.   :</v>
          </cell>
        </row>
      </sheetData>
      <sheetData sheetId="339">
        <row r="3">
          <cell r="BC3" t="str">
            <v>QUOTATION  NO.   :</v>
          </cell>
        </row>
      </sheetData>
      <sheetData sheetId="340">
        <row r="3">
          <cell r="BC3" t="str">
            <v>QUOTATION  NO.   :</v>
          </cell>
        </row>
      </sheetData>
      <sheetData sheetId="341">
        <row r="3">
          <cell r="BC3" t="str">
            <v>QUOTATION  NO.   :</v>
          </cell>
        </row>
      </sheetData>
      <sheetData sheetId="342">
        <row r="3">
          <cell r="BC3" t="str">
            <v>QUOTATION  NO.   :</v>
          </cell>
        </row>
      </sheetData>
      <sheetData sheetId="343">
        <row r="3">
          <cell r="BC3" t="str">
            <v>QUOTATION  NO.   :</v>
          </cell>
        </row>
      </sheetData>
      <sheetData sheetId="344">
        <row r="3">
          <cell r="BC3" t="str">
            <v>QUOTATION  NO.   :</v>
          </cell>
        </row>
      </sheetData>
      <sheetData sheetId="345">
        <row r="3">
          <cell r="BC3" t="str">
            <v>QUOTATION  NO.   :</v>
          </cell>
        </row>
      </sheetData>
      <sheetData sheetId="346">
        <row r="3">
          <cell r="BC3" t="str">
            <v>QUOTATION  NO.   :</v>
          </cell>
        </row>
      </sheetData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>
        <row r="3">
          <cell r="BC3" t="str">
            <v>QUOTATION  NO.   :</v>
          </cell>
        </row>
      </sheetData>
      <sheetData sheetId="352">
        <row r="3">
          <cell r="BC3" t="str">
            <v>QUOTATION  NO.   :</v>
          </cell>
        </row>
      </sheetData>
      <sheetData sheetId="353">
        <row r="3">
          <cell r="BC3" t="str">
            <v>QUOTATION  NO.   :</v>
          </cell>
        </row>
      </sheetData>
      <sheetData sheetId="354">
        <row r="3">
          <cell r="BC3" t="str">
            <v>QUOTATION  NO.   :</v>
          </cell>
        </row>
      </sheetData>
      <sheetData sheetId="355">
        <row r="3">
          <cell r="BC3" t="str">
            <v>QUOTATION  NO.   :</v>
          </cell>
        </row>
      </sheetData>
      <sheetData sheetId="356">
        <row r="3">
          <cell r="BC3" t="str">
            <v>QUOTATION  NO.   :</v>
          </cell>
        </row>
      </sheetData>
      <sheetData sheetId="357">
        <row r="3">
          <cell r="BC3" t="str">
            <v>QUOTATION  NO.   :</v>
          </cell>
        </row>
      </sheetData>
      <sheetData sheetId="358">
        <row r="3">
          <cell r="BC3" t="str">
            <v>QUOTATION  NO.   :</v>
          </cell>
        </row>
      </sheetData>
      <sheetData sheetId="359">
        <row r="3">
          <cell r="BC3" t="str">
            <v>QUOTATION  NO.   :</v>
          </cell>
        </row>
      </sheetData>
      <sheetData sheetId="360">
        <row r="3">
          <cell r="BC3" t="str">
            <v>QUOTATION  NO.   :</v>
          </cell>
        </row>
      </sheetData>
      <sheetData sheetId="361">
        <row r="3">
          <cell r="BC3" t="str">
            <v>QUOTATION  NO.   :</v>
          </cell>
        </row>
      </sheetData>
      <sheetData sheetId="362">
        <row r="3">
          <cell r="BC3" t="str">
            <v>QUOTATION  NO.   :</v>
          </cell>
        </row>
      </sheetData>
      <sheetData sheetId="363">
        <row r="3">
          <cell r="BC3" t="str">
            <v>QUOTATION  NO.   :</v>
          </cell>
        </row>
      </sheetData>
      <sheetData sheetId="364">
        <row r="3">
          <cell r="BC3" t="str">
            <v>QUOTATION  NO.   :</v>
          </cell>
        </row>
      </sheetData>
      <sheetData sheetId="365">
        <row r="3">
          <cell r="BC3" t="str">
            <v>QUOTATION  NO.   :</v>
          </cell>
        </row>
      </sheetData>
      <sheetData sheetId="366">
        <row r="3">
          <cell r="BC3" t="str">
            <v>QUOTATION  NO.   :</v>
          </cell>
        </row>
      </sheetData>
      <sheetData sheetId="367">
        <row r="3">
          <cell r="BC3" t="str">
            <v>QUOTATION  NO.   :</v>
          </cell>
        </row>
      </sheetData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 refreshError="1"/>
      <sheetData sheetId="373" refreshError="1"/>
      <sheetData sheetId="374" refreshError="1"/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>
        <row r="3">
          <cell r="BC3" t="str">
            <v>QUOTATION  NO.   :</v>
          </cell>
        </row>
      </sheetData>
      <sheetData sheetId="467">
        <row r="3">
          <cell r="BC3" t="str">
            <v>QUOTATION  NO.   :</v>
          </cell>
        </row>
      </sheetData>
      <sheetData sheetId="468">
        <row r="3">
          <cell r="BC3" t="str">
            <v>QUOTATION  NO.   :</v>
          </cell>
        </row>
      </sheetData>
      <sheetData sheetId="469">
        <row r="3">
          <cell r="BC3" t="str">
            <v>QUOTATION  NO.   :</v>
          </cell>
        </row>
      </sheetData>
      <sheetData sheetId="470">
        <row r="3">
          <cell r="BC3" t="str">
            <v>QUOTATION  NO.   :</v>
          </cell>
        </row>
      </sheetData>
      <sheetData sheetId="471">
        <row r="3">
          <cell r="BC3" t="str">
            <v>QUOTATION  NO.   :</v>
          </cell>
        </row>
      </sheetData>
      <sheetData sheetId="472">
        <row r="3">
          <cell r="BC3" t="str">
            <v>QUOTATION  NO.   :</v>
          </cell>
        </row>
      </sheetData>
      <sheetData sheetId="473">
        <row r="3">
          <cell r="BC3" t="str">
            <v>QUOTATION  NO.   :</v>
          </cell>
        </row>
      </sheetData>
      <sheetData sheetId="474">
        <row r="3">
          <cell r="BC3" t="str">
            <v>QUOTATION  NO.   :</v>
          </cell>
        </row>
      </sheetData>
      <sheetData sheetId="475">
        <row r="3">
          <cell r="BC3" t="str">
            <v>QUOTATION  NO.   :</v>
          </cell>
        </row>
      </sheetData>
      <sheetData sheetId="476">
        <row r="3">
          <cell r="BC3" t="str">
            <v>QUOTATION  NO.   :</v>
          </cell>
        </row>
      </sheetData>
      <sheetData sheetId="477">
        <row r="3">
          <cell r="BC3" t="str">
            <v>QUOTATION  NO.   :</v>
          </cell>
        </row>
      </sheetData>
      <sheetData sheetId="478">
        <row r="3">
          <cell r="BC3" t="str">
            <v>QUOTATION  NO.   :</v>
          </cell>
        </row>
      </sheetData>
      <sheetData sheetId="479">
        <row r="3">
          <cell r="BC3" t="str">
            <v>QUOTATION  NO.   :</v>
          </cell>
        </row>
      </sheetData>
      <sheetData sheetId="480">
        <row r="3">
          <cell r="BC3" t="str">
            <v>QUOTATION  NO.   :</v>
          </cell>
        </row>
      </sheetData>
      <sheetData sheetId="481">
        <row r="3">
          <cell r="BC3" t="str">
            <v>QUOTATION  NO.   :</v>
          </cell>
        </row>
      </sheetData>
      <sheetData sheetId="482">
        <row r="3">
          <cell r="BC3" t="str">
            <v>QUOTATION  NO.   :</v>
          </cell>
        </row>
      </sheetData>
      <sheetData sheetId="483">
        <row r="3">
          <cell r="BC3" t="str">
            <v>QUOTATION  NO.   :</v>
          </cell>
        </row>
      </sheetData>
      <sheetData sheetId="484">
        <row r="3">
          <cell r="BC3" t="str">
            <v>QUOTATION  NO.   :</v>
          </cell>
        </row>
      </sheetData>
      <sheetData sheetId="485">
        <row r="3">
          <cell r="BC3" t="str">
            <v>QUOTATION  NO.   :</v>
          </cell>
        </row>
      </sheetData>
      <sheetData sheetId="486">
        <row r="3">
          <cell r="BC3" t="str">
            <v>QUOTATION  NO.   :</v>
          </cell>
        </row>
      </sheetData>
      <sheetData sheetId="487">
        <row r="3">
          <cell r="BC3" t="str">
            <v>QUOTATION  NO.   :</v>
          </cell>
        </row>
      </sheetData>
      <sheetData sheetId="488">
        <row r="3">
          <cell r="BC3" t="str">
            <v>QUOTATION  NO.   :</v>
          </cell>
        </row>
      </sheetData>
      <sheetData sheetId="489">
        <row r="3">
          <cell r="BC3" t="str">
            <v>QUOTATION  NO.   :</v>
          </cell>
        </row>
      </sheetData>
      <sheetData sheetId="490">
        <row r="3">
          <cell r="BC3" t="str">
            <v>QUOTATION  NO.   :</v>
          </cell>
        </row>
      </sheetData>
      <sheetData sheetId="491">
        <row r="3">
          <cell r="BC3" t="str">
            <v>QUOTATION  NO.   :</v>
          </cell>
        </row>
      </sheetData>
      <sheetData sheetId="492">
        <row r="3">
          <cell r="BC3" t="str">
            <v>QUOTATION  NO.   :</v>
          </cell>
        </row>
      </sheetData>
      <sheetData sheetId="493">
        <row r="3">
          <cell r="BC3" t="str">
            <v>QUOTATION  NO.   :</v>
          </cell>
        </row>
      </sheetData>
      <sheetData sheetId="494">
        <row r="3">
          <cell r="BC3" t="str">
            <v>QUOTATION  NO.   :</v>
          </cell>
        </row>
      </sheetData>
      <sheetData sheetId="495">
        <row r="3">
          <cell r="BC3" t="str">
            <v>QUOTATION  NO.   :</v>
          </cell>
        </row>
      </sheetData>
      <sheetData sheetId="496">
        <row r="3">
          <cell r="BC3" t="str">
            <v>QUOTATION  NO.   :</v>
          </cell>
        </row>
      </sheetData>
      <sheetData sheetId="497">
        <row r="3">
          <cell r="BC3" t="str">
            <v>QUOTATION  NO.   :</v>
          </cell>
        </row>
      </sheetData>
      <sheetData sheetId="498">
        <row r="3">
          <cell r="BC3" t="str">
            <v>QUOTATION  NO.   :</v>
          </cell>
        </row>
      </sheetData>
      <sheetData sheetId="499">
        <row r="3">
          <cell r="BC3" t="str">
            <v>QUOTATION  NO.   :</v>
          </cell>
        </row>
      </sheetData>
      <sheetData sheetId="500">
        <row r="3">
          <cell r="BC3" t="str">
            <v>QUOTATION  NO.   :</v>
          </cell>
        </row>
      </sheetData>
      <sheetData sheetId="501">
        <row r="3">
          <cell r="BC3" t="str">
            <v>QUOTATION  NO.   :</v>
          </cell>
        </row>
      </sheetData>
      <sheetData sheetId="502">
        <row r="3">
          <cell r="BC3" t="str">
            <v>QUOTATION  NO.   :</v>
          </cell>
        </row>
      </sheetData>
      <sheetData sheetId="503">
        <row r="3">
          <cell r="BC3" t="str">
            <v>QUOTATION  NO.   :</v>
          </cell>
        </row>
      </sheetData>
      <sheetData sheetId="504">
        <row r="3">
          <cell r="BC3" t="str">
            <v>QUOTATION  NO.   :</v>
          </cell>
        </row>
      </sheetData>
      <sheetData sheetId="505">
        <row r="3">
          <cell r="BC3" t="str">
            <v>QUOTATION  NO.   :</v>
          </cell>
        </row>
      </sheetData>
      <sheetData sheetId="506">
        <row r="3">
          <cell r="BC3" t="str">
            <v>QUOTATION  NO.   :</v>
          </cell>
        </row>
      </sheetData>
      <sheetData sheetId="507">
        <row r="3">
          <cell r="BC3" t="str">
            <v>QUOTATION  NO.   :</v>
          </cell>
        </row>
      </sheetData>
      <sheetData sheetId="508">
        <row r="3">
          <cell r="BC3" t="str">
            <v>QUOTATION  NO.   :</v>
          </cell>
        </row>
      </sheetData>
      <sheetData sheetId="509">
        <row r="3">
          <cell r="BC3" t="str">
            <v>QUOTATION  NO.   :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3">
          <cell r="BC3" t="str">
            <v>QUOTATION  NO.   :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3">
          <cell r="BC3" t="str">
            <v>QUOTATION  NO.   :</v>
          </cell>
        </row>
      </sheetData>
      <sheetData sheetId="540" refreshError="1"/>
      <sheetData sheetId="541" refreshError="1"/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 refreshError="1"/>
      <sheetData sheetId="555" refreshError="1"/>
      <sheetData sheetId="556">
        <row r="3">
          <cell r="BC3" t="str">
            <v>QUOTATION  NO.   :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 refreshError="1"/>
      <sheetData sheetId="565">
        <row r="3">
          <cell r="BC3" t="str">
            <v>QUOTATION  NO.   :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sandd"/>
      <sheetName val="sales"/>
      <sheetName val="prodn"/>
      <sheetName val="Inventory"/>
      <sheetName val="Rebat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BS3"/>
      <sheetName val="INDEX"/>
      <sheetName val="present"/>
      <sheetName val="capacity"/>
      <sheetName val="HL"/>
      <sheetName val="MKT"/>
      <sheetName val="COM-SALES"/>
      <sheetName val="PS-96"/>
      <sheetName val="SALES"/>
      <sheetName val="OTHER"/>
      <sheetName val="PS-@-95"/>
      <sheetName val="CAP"/>
      <sheetName val="ASSCAP"/>
      <sheetName val="detail"/>
      <sheetName val="UPC_SKU"/>
      <sheetName val="MasterList"/>
      <sheetName val="DropdownList"/>
      <sheetName val="4.1CAPEX_Additional"/>
      <sheetName val="Drop Down"/>
      <sheetName val="SCG group"/>
      <sheetName val="novOL2014"/>
      <sheetName val="dropdown"/>
      <sheetName val="data"/>
      <sheetName val="Function"/>
      <sheetName val="Comapny Name"/>
      <sheetName val="List"/>
      <sheetName val="Emplyee Record"/>
      <sheetName val="Master1"/>
      <sheetName val="BLUE"/>
      <sheetName val="Sheet1"/>
      <sheetName val="sales3level"/>
      <sheetName val="703105"/>
      <sheetName val="Est. Budget"/>
      <sheetName val="Sheet4"/>
      <sheetName val="4_1CAPEX_Additional"/>
      <sheetName val="Drop_Down"/>
      <sheetName val="SCG_group"/>
      <sheetName val="Comapny_Name"/>
      <sheetName val="Emplyee_Record"/>
      <sheetName val="Est__Budget"/>
      <sheetName val="MyWork"/>
      <sheetName val="SCG Chemicals group"/>
      <sheetName val="Merter"/>
      <sheetName val="Dropdown list "/>
      <sheetName val="2019"/>
      <sheetName val="4_1CAPEX_Additional1"/>
      <sheetName val="Drop_Down1"/>
      <sheetName val="SCG_group1"/>
      <sheetName val="Comapny_Name1"/>
      <sheetName val="Emplyee_Record1"/>
      <sheetName val="Est__Budget1"/>
      <sheetName val="SCG_Chemicals_group"/>
      <sheetName val="Dropdown_list_"/>
      <sheetName val="List of Note"/>
      <sheetName val="4_1CAPEX_Additional2"/>
      <sheetName val="Drop_Down2"/>
      <sheetName val="SCG_group2"/>
      <sheetName val="Comapny_Name2"/>
      <sheetName val="Emplyee_Record2"/>
      <sheetName val="Est__Budget2"/>
      <sheetName val="SCG_Chemicals_group1"/>
      <sheetName val="Dropdown_list_1"/>
      <sheetName val="List_of_Note"/>
      <sheetName val="การแจ้งเรียกเก็บ"/>
      <sheetName val="Note5_RelatedParties"/>
      <sheetName val="summary"/>
      <sheetName val="LCF"/>
      <sheetName val="1.Form2554"/>
      <sheetName val="2.รายการประกอบ54"/>
      <sheetName val="1.Form2555"/>
      <sheetName val="2.รายการประกอบ55"/>
      <sheetName val="TMFC"/>
      <sheetName val="Export"/>
      <sheetName val="Choose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Note30_Effect Tax Rate Recon"/>
      <sheetName val="4_1CAPEX_Additional3"/>
      <sheetName val="Drop_Down3"/>
      <sheetName val="SCG_group3"/>
      <sheetName val="Comapny_Name3"/>
      <sheetName val="Emplyee_Record3"/>
      <sheetName val="Est__Budget3"/>
      <sheetName val="SCG_Chemicals_group2"/>
      <sheetName val="Dropdown_list_2"/>
      <sheetName val="List_of_Note1"/>
      <sheetName val="1_Form2554"/>
      <sheetName val="2_รายการประกอบ54"/>
      <sheetName val="1_Form2555"/>
      <sheetName val="2_รายการประกอบ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xxxxx"/>
      <sheetName val="64xxxx"/>
      <sheetName val="total"/>
      <sheetName val="12.31.01"/>
      <sheetName val="#REF"/>
      <sheetName val="PLANBS3"/>
      <sheetName val="12_31_01"/>
      <sheetName val="5. Product Attribute"/>
      <sheetName val="คำชี้แจง"/>
      <sheetName val="Code 2"/>
      <sheetName val="Master"/>
      <sheetName val="Sheet1"/>
      <sheetName val="Nov"/>
      <sheetName val="Master1"/>
      <sheetName val="Sheet2"/>
      <sheetName val="S-Plant"/>
      <sheetName val="Wkgs_BS Lead"/>
      <sheetName val="vat"/>
      <sheetName val="OP2020 SSW"/>
      <sheetName val="OP2020 SSW DOM"/>
      <sheetName val="OP2020 SSW EXP"/>
      <sheetName val="W-D"/>
      <sheetName val="W-E"/>
      <sheetName val="20182019"/>
      <sheetName val="Net Mkt"/>
      <sheetName val="W OP1 DOM"/>
      <sheetName val="W EST4M DOM"/>
      <sheetName val="W OP2 EXP"/>
      <sheetName val="W EST4M EXP"/>
      <sheetName val="Cus Group"/>
      <sheetName val="Currency"/>
      <sheetName val="Revised_Base_MTP2020-24"/>
      <sheetName val="note"/>
      <sheetName val="GL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Sheet3"/>
      <sheetName val="Monthly Rev."/>
      <sheetName val="Monthly Prod."/>
      <sheetName val="DIL"/>
      <sheetName val="Tongke"/>
      <sheetName val="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ad first"/>
      <sheetName val="Tổng hợp"/>
      <sheetName val="Các option"/>
      <sheetName val="Phân tích"/>
      <sheetName val="Sheet7"/>
      <sheetName val="Dự báo"/>
      <sheetName val="Dropdown list"/>
      <sheetName val="Products-PET"/>
      <sheetName val="Products-HD"/>
      <sheetName val="Products-PP"/>
      <sheetName val="Sheet2"/>
      <sheetName val="Sheet4"/>
      <sheetName val="Phân tích AM (2)"/>
      <sheetName val="Phân tích 12 tháng"/>
      <sheetName val="Dự báo bán hàng 2025"/>
      <sheetName val="Dashboad"/>
      <sheetName val="Phân tích AM"/>
      <sheetName val="Data so sánh"/>
      <sheetName val="Dòng sản phẩm"/>
      <sheetName val="Phân tích PP"/>
      <sheetName val="Phân tích HD"/>
      <sheetName val="Phân tích P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_Sub"/>
      <sheetName val="OH_DUYTAN"/>
      <sheetName val="OH_DUCHOA"/>
      <sheetName val="OH_CLF BD"/>
      <sheetName val="OH_TANDO"/>
      <sheetName val="lailo"/>
      <sheetName val="8118"/>
      <sheetName val="P&amp;L_Subgroup"/>
      <sheetName val="P&amp;L_DUYTAN_CP"/>
      <sheetName val="P&amp;L_DUCHOA"/>
      <sheetName val="P&amp;L_CLFBD"/>
      <sheetName val="P&amp;L_TANDO"/>
      <sheetName val="NS2015_DUCHOA"/>
      <sheetName val="P&amp;L_CLF NS"/>
      <sheetName val="P&amp;L DUC HOA"/>
      <sheetName val="CLFVN"/>
      <sheetName val="LONGAN"/>
      <sheetName val="Chart"/>
      <sheetName val="sosanh"/>
      <sheetName val="Giai trinh-LK"/>
      <sheetName val="Giai trinh-vs T6"/>
      <sheetName val="Linh"/>
      <sheetName val="KM-DUC HOA"/>
      <sheetName val="KM-B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0">
          <cell r="BC10">
            <v>421.42313899999999</v>
          </cell>
        </row>
      </sheetData>
      <sheetData sheetId="8">
        <row r="10">
          <cell r="BC10">
            <v>421.42313899999999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tqua"/>
      <sheetName val="Giaitrinh"/>
    </sheetNames>
    <sheetDataSet>
      <sheetData sheetId="0">
        <row r="4">
          <cell r="I4">
            <v>1</v>
          </cell>
          <cell r="J4">
            <v>2</v>
          </cell>
          <cell r="K4">
            <v>3</v>
          </cell>
          <cell r="L4">
            <v>4</v>
          </cell>
          <cell r="M4">
            <v>5</v>
          </cell>
          <cell r="N4">
            <v>6</v>
          </cell>
          <cell r="O4">
            <v>7</v>
          </cell>
          <cell r="P4">
            <v>8</v>
          </cell>
          <cell r="Q4">
            <v>9</v>
          </cell>
          <cell r="R4">
            <v>10</v>
          </cell>
          <cell r="S4">
            <v>11</v>
          </cell>
          <cell r="T4">
            <v>12</v>
          </cell>
          <cell r="U4">
            <v>12</v>
          </cell>
        </row>
        <row r="8">
          <cell r="I8">
            <v>0.30509570947575776</v>
          </cell>
          <cell r="J8">
            <v>0.17494118195736</v>
          </cell>
          <cell r="K8">
            <v>0.17937770828223368</v>
          </cell>
          <cell r="L8">
            <v>0.20976547998515047</v>
          </cell>
          <cell r="M8">
            <v>0.20976543426513672</v>
          </cell>
          <cell r="N8">
            <v>0.20976543426513672</v>
          </cell>
          <cell r="O8">
            <v>0.20976543426513672</v>
          </cell>
          <cell r="P8">
            <v>0.20976543426513672</v>
          </cell>
          <cell r="Q8">
            <v>0.20976543426513672</v>
          </cell>
          <cell r="R8">
            <v>0.20976543426513672</v>
          </cell>
          <cell r="S8">
            <v>0.20976543426513672</v>
          </cell>
          <cell r="T8">
            <v>0.20976543426513672</v>
          </cell>
          <cell r="U8">
            <v>0.20319999999999999</v>
          </cell>
          <cell r="V8">
            <v>0.20319998264312744</v>
          </cell>
          <cell r="W8">
            <v>0.20319998264312744</v>
          </cell>
          <cell r="X8">
            <v>0.20319998264312744</v>
          </cell>
          <cell r="Y8">
            <v>0.20319998264312744</v>
          </cell>
          <cell r="Z8">
            <v>0.20319998264312744</v>
          </cell>
          <cell r="AA8">
            <v>0.20319998264312744</v>
          </cell>
          <cell r="AB8">
            <v>0.20319998264312744</v>
          </cell>
          <cell r="AC8">
            <v>0.20319998264312744</v>
          </cell>
          <cell r="AD8">
            <v>0.20319998264312744</v>
          </cell>
          <cell r="AE8">
            <v>0.20319998264312744</v>
          </cell>
          <cell r="AF8">
            <v>0.20319998264312744</v>
          </cell>
          <cell r="AG8">
            <v>0.20319998264312744</v>
          </cell>
          <cell r="AH8">
            <v>0.20319998264312744</v>
          </cell>
          <cell r="AI8">
            <v>0.20319998264312744</v>
          </cell>
          <cell r="AJ8">
            <v>0.20319998264312744</v>
          </cell>
        </row>
        <row r="9">
          <cell r="I9">
            <v>0.21529697402733283</v>
          </cell>
          <cell r="J9">
            <v>0.22578675784213065</v>
          </cell>
          <cell r="K9">
            <v>0.17095967075561469</v>
          </cell>
          <cell r="L9">
            <v>0.18478708120854356</v>
          </cell>
          <cell r="M9">
            <v>0.18478703498840332</v>
          </cell>
          <cell r="N9">
            <v>0.18478703498840332</v>
          </cell>
          <cell r="O9">
            <v>0.18478703498840332</v>
          </cell>
          <cell r="P9">
            <v>0.18478703498840332</v>
          </cell>
          <cell r="Q9">
            <v>0.18478703498840332</v>
          </cell>
          <cell r="R9">
            <v>0.18478703498840332</v>
          </cell>
          <cell r="S9">
            <v>0.18478703498840332</v>
          </cell>
          <cell r="T9">
            <v>0.18478703498840332</v>
          </cell>
          <cell r="U9">
            <v>0.19670000000000001</v>
          </cell>
          <cell r="V9">
            <v>0.19669997692108154</v>
          </cell>
          <cell r="W9">
            <v>0.19669997692108154</v>
          </cell>
          <cell r="X9">
            <v>0.19669997692108154</v>
          </cell>
          <cell r="Y9">
            <v>0.19669997692108154</v>
          </cell>
          <cell r="Z9">
            <v>0.19669997692108154</v>
          </cell>
          <cell r="AA9">
            <v>0.19669997692108154</v>
          </cell>
          <cell r="AB9">
            <v>0.19669997692108154</v>
          </cell>
          <cell r="AC9">
            <v>0.19669997692108154</v>
          </cell>
          <cell r="AD9">
            <v>0.19669997692108154</v>
          </cell>
          <cell r="AE9">
            <v>0.19669997692108154</v>
          </cell>
          <cell r="AF9">
            <v>0.19669997692108154</v>
          </cell>
          <cell r="AG9">
            <v>0.19669997692108154</v>
          </cell>
          <cell r="AH9">
            <v>0.19669997692108154</v>
          </cell>
          <cell r="AI9">
            <v>0.19669997692108154</v>
          </cell>
          <cell r="AJ9">
            <v>0.19669997692108154</v>
          </cell>
        </row>
        <row r="10"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>
            <v>0.19669997692108154</v>
          </cell>
          <cell r="N10">
            <v>0.19669997692108154</v>
          </cell>
          <cell r="O10">
            <v>0.19669997692108154</v>
          </cell>
          <cell r="P10">
            <v>0.19669997692108154</v>
          </cell>
          <cell r="Q10">
            <v>0.19669997692108154</v>
          </cell>
          <cell r="R10">
            <v>0.19669997692108154</v>
          </cell>
          <cell r="S10">
            <v>0.19669997692108154</v>
          </cell>
          <cell r="T10">
            <v>0.19669997692108154</v>
          </cell>
          <cell r="U10">
            <v>0.19669997692108154</v>
          </cell>
          <cell r="V10">
            <v>0.19669997692108154</v>
          </cell>
          <cell r="W10">
            <v>0.19669997692108154</v>
          </cell>
          <cell r="X10">
            <v>0.19669997692108154</v>
          </cell>
          <cell r="Y10">
            <v>0.19669997692108154</v>
          </cell>
          <cell r="Z10">
            <v>0.19669997692108154</v>
          </cell>
          <cell r="AA10">
            <v>0.19669997692108154</v>
          </cell>
          <cell r="AB10">
            <v>0.19669997692108154</v>
          </cell>
          <cell r="AC10">
            <v>0.19669997692108154</v>
          </cell>
          <cell r="AD10">
            <v>0.19669997692108154</v>
          </cell>
          <cell r="AE10">
            <v>0.19669997692108154</v>
          </cell>
          <cell r="AF10">
            <v>0.19669997692108154</v>
          </cell>
          <cell r="AG10">
            <v>0.19669997692108154</v>
          </cell>
          <cell r="AH10">
            <v>0.19669997692108154</v>
          </cell>
          <cell r="AI10">
            <v>0.19669997692108154</v>
          </cell>
          <cell r="AJ10">
            <v>0.19669997692108154</v>
          </cell>
        </row>
        <row r="11">
          <cell r="I11">
            <v>0.19669997692108154</v>
          </cell>
          <cell r="J11">
            <v>0.19669997692108154</v>
          </cell>
          <cell r="K11">
            <v>0.19669997692108154</v>
          </cell>
          <cell r="L11">
            <v>0.19669997692108154</v>
          </cell>
          <cell r="M11">
            <v>0.19669997692108154</v>
          </cell>
          <cell r="N11">
            <v>0.19669997692108154</v>
          </cell>
          <cell r="O11">
            <v>0.19669997692108154</v>
          </cell>
          <cell r="P11">
            <v>0.19669997692108154</v>
          </cell>
          <cell r="Q11">
            <v>0.19669997692108154</v>
          </cell>
          <cell r="R11">
            <v>0.19669997692108154</v>
          </cell>
          <cell r="S11">
            <v>0.19669997692108154</v>
          </cell>
          <cell r="T11">
            <v>91</v>
          </cell>
          <cell r="U11">
            <v>91</v>
          </cell>
          <cell r="V11">
            <v>91</v>
          </cell>
          <cell r="W11">
            <v>91</v>
          </cell>
          <cell r="X11">
            <v>91</v>
          </cell>
          <cell r="Y11">
            <v>91</v>
          </cell>
          <cell r="Z11">
            <v>91</v>
          </cell>
          <cell r="AA11">
            <v>91</v>
          </cell>
          <cell r="AB11">
            <v>91</v>
          </cell>
          <cell r="AC11">
            <v>91</v>
          </cell>
          <cell r="AD11">
            <v>91</v>
          </cell>
          <cell r="AE11">
            <v>91</v>
          </cell>
          <cell r="AF11">
            <v>91</v>
          </cell>
          <cell r="AG11">
            <v>91</v>
          </cell>
          <cell r="AH11">
            <v>91</v>
          </cell>
          <cell r="AI11">
            <v>91</v>
          </cell>
          <cell r="AJ11">
            <v>91</v>
          </cell>
        </row>
        <row r="12">
          <cell r="I12">
            <v>0</v>
          </cell>
          <cell r="J12">
            <v>1</v>
          </cell>
          <cell r="K12">
            <v>2</v>
          </cell>
          <cell r="L12">
            <v>5</v>
          </cell>
          <cell r="M12">
            <v>5</v>
          </cell>
          <cell r="N12">
            <v>5</v>
          </cell>
          <cell r="O12">
            <v>5</v>
          </cell>
          <cell r="P12">
            <v>5</v>
          </cell>
          <cell r="Q12">
            <v>5</v>
          </cell>
          <cell r="R12">
            <v>5</v>
          </cell>
          <cell r="S12">
            <v>5</v>
          </cell>
          <cell r="T12">
            <v>5</v>
          </cell>
          <cell r="U12">
            <v>3</v>
          </cell>
          <cell r="V12">
            <v>2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>
            <v>2</v>
          </cell>
          <cell r="AH12">
            <v>2</v>
          </cell>
          <cell r="AI12">
            <v>2</v>
          </cell>
          <cell r="AJ12">
            <v>2</v>
          </cell>
        </row>
        <row r="13">
          <cell r="I13">
            <v>2</v>
          </cell>
          <cell r="J13">
            <v>2</v>
          </cell>
          <cell r="K13">
            <v>3</v>
          </cell>
          <cell r="L13">
            <v>5</v>
          </cell>
          <cell r="M13">
            <v>8</v>
          </cell>
          <cell r="N13">
            <v>9</v>
          </cell>
          <cell r="O13">
            <v>12</v>
          </cell>
          <cell r="P13">
            <v>13</v>
          </cell>
          <cell r="Q13">
            <v>14</v>
          </cell>
          <cell r="R13">
            <v>15</v>
          </cell>
          <cell r="S13">
            <v>15</v>
          </cell>
          <cell r="T13">
            <v>15</v>
          </cell>
          <cell r="U13">
            <v>5</v>
          </cell>
          <cell r="V13">
            <v>5</v>
          </cell>
          <cell r="W13">
            <v>5</v>
          </cell>
          <cell r="X13">
            <v>5</v>
          </cell>
          <cell r="Y13">
            <v>5</v>
          </cell>
          <cell r="Z13">
            <v>5</v>
          </cell>
          <cell r="AA13">
            <v>5</v>
          </cell>
          <cell r="AB13">
            <v>5</v>
          </cell>
          <cell r="AC13">
            <v>5</v>
          </cell>
          <cell r="AD13">
            <v>5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5</v>
          </cell>
          <cell r="AJ13">
            <v>5</v>
          </cell>
        </row>
        <row r="14"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>
            <v>5</v>
          </cell>
          <cell r="N14">
            <v>5</v>
          </cell>
          <cell r="O14">
            <v>5</v>
          </cell>
          <cell r="P14">
            <v>5</v>
          </cell>
          <cell r="Q14">
            <v>5</v>
          </cell>
          <cell r="R14">
            <v>5</v>
          </cell>
          <cell r="S14">
            <v>5</v>
          </cell>
          <cell r="T14">
            <v>5</v>
          </cell>
          <cell r="U14">
            <v>5</v>
          </cell>
          <cell r="V14">
            <v>5</v>
          </cell>
          <cell r="W14">
            <v>5</v>
          </cell>
          <cell r="X14">
            <v>5</v>
          </cell>
          <cell r="Y14">
            <v>5</v>
          </cell>
          <cell r="Z14">
            <v>5</v>
          </cell>
          <cell r="AA14">
            <v>5</v>
          </cell>
          <cell r="AB14">
            <v>5</v>
          </cell>
          <cell r="AC14">
            <v>5</v>
          </cell>
          <cell r="AD14">
            <v>5</v>
          </cell>
          <cell r="AE14">
            <v>5</v>
          </cell>
          <cell r="AF14">
            <v>5</v>
          </cell>
          <cell r="AG14">
            <v>5</v>
          </cell>
          <cell r="AH14">
            <v>5</v>
          </cell>
          <cell r="AI14">
            <v>5</v>
          </cell>
          <cell r="AJ14">
            <v>5</v>
          </cell>
        </row>
        <row r="15">
          <cell r="I15">
            <v>5</v>
          </cell>
          <cell r="J15">
            <v>5</v>
          </cell>
          <cell r="K15">
            <v>5</v>
          </cell>
          <cell r="L15">
            <v>5</v>
          </cell>
          <cell r="M15">
            <v>0.9</v>
          </cell>
          <cell r="N15">
            <v>0.9</v>
          </cell>
          <cell r="O15">
            <v>0.9</v>
          </cell>
          <cell r="P15">
            <v>0.9</v>
          </cell>
          <cell r="Q15">
            <v>0.9</v>
          </cell>
          <cell r="R15">
            <v>0.9</v>
          </cell>
          <cell r="S15">
            <v>0.9</v>
          </cell>
          <cell r="T15">
            <v>0.9</v>
          </cell>
          <cell r="U15">
            <v>0.89999961853027344</v>
          </cell>
          <cell r="V15">
            <v>0.89999961853027344</v>
          </cell>
          <cell r="W15">
            <v>0.89999961853027344</v>
          </cell>
          <cell r="X15">
            <v>0.89999961853027344</v>
          </cell>
          <cell r="Y15">
            <v>0.89999961853027344</v>
          </cell>
          <cell r="Z15">
            <v>0.89999961853027344</v>
          </cell>
          <cell r="AA15">
            <v>0.89999961853027344</v>
          </cell>
          <cell r="AB15">
            <v>0.89999961853027344</v>
          </cell>
          <cell r="AC15">
            <v>0.89999961853027344</v>
          </cell>
          <cell r="AD15">
            <v>0.89999961853027344</v>
          </cell>
          <cell r="AE15">
            <v>0.89999961853027344</v>
          </cell>
          <cell r="AF15">
            <v>0.89999961853027344</v>
          </cell>
          <cell r="AG15">
            <v>0.89999961853027344</v>
          </cell>
          <cell r="AH15">
            <v>0.89999961853027344</v>
          </cell>
          <cell r="AI15">
            <v>0.89999961853027344</v>
          </cell>
          <cell r="AJ15">
            <v>0.89999961853027344</v>
          </cell>
        </row>
        <row r="16"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>
            <v>0.89999961853027344</v>
          </cell>
          <cell r="N16">
            <v>0.89999961853027344</v>
          </cell>
          <cell r="O16">
            <v>0.89999961853027344</v>
          </cell>
          <cell r="P16">
            <v>0.89999961853027344</v>
          </cell>
          <cell r="Q16">
            <v>0.89999961853027344</v>
          </cell>
          <cell r="R16">
            <v>0.89999961853027344</v>
          </cell>
          <cell r="S16">
            <v>0.89999961853027344</v>
          </cell>
          <cell r="T16">
            <v>0.89999961853027344</v>
          </cell>
          <cell r="U16">
            <v>0.89999961853027344</v>
          </cell>
          <cell r="V16">
            <v>0.89999961853027344</v>
          </cell>
          <cell r="W16">
            <v>0.89999961853027344</v>
          </cell>
          <cell r="X16">
            <v>0.89999961853027344</v>
          </cell>
          <cell r="Y16">
            <v>0.89999961853027344</v>
          </cell>
          <cell r="Z16">
            <v>0.89999961853027344</v>
          </cell>
          <cell r="AA16">
            <v>0.89999961853027344</v>
          </cell>
          <cell r="AB16">
            <v>0.89999961853027344</v>
          </cell>
          <cell r="AC16">
            <v>0.89999961853027344</v>
          </cell>
          <cell r="AD16">
            <v>0.89999961853027344</v>
          </cell>
          <cell r="AE16">
            <v>0.89999961853027344</v>
          </cell>
          <cell r="AF16">
            <v>0.89999961853027344</v>
          </cell>
          <cell r="AG16">
            <v>0.89999961853027344</v>
          </cell>
          <cell r="AH16">
            <v>0.89999961853027344</v>
          </cell>
          <cell r="AI16">
            <v>0.89999961853027344</v>
          </cell>
          <cell r="AJ16">
            <v>0.89999961853027344</v>
          </cell>
        </row>
        <row r="17">
          <cell r="I17">
            <v>0.9</v>
          </cell>
          <cell r="J17">
            <v>0.9</v>
          </cell>
          <cell r="K17">
            <v>0.9</v>
          </cell>
          <cell r="L17">
            <v>0.9</v>
          </cell>
          <cell r="M17">
            <v>0.9</v>
          </cell>
          <cell r="N17">
            <v>0.9</v>
          </cell>
          <cell r="O17">
            <v>0.9</v>
          </cell>
          <cell r="P17">
            <v>0.9</v>
          </cell>
          <cell r="Q17">
            <v>0.9</v>
          </cell>
          <cell r="R17">
            <v>0.9</v>
          </cell>
          <cell r="S17">
            <v>0.9</v>
          </cell>
          <cell r="T17">
            <v>0.9</v>
          </cell>
          <cell r="U17">
            <v>0.89999961853027344</v>
          </cell>
          <cell r="V17">
            <v>0.89999961853027344</v>
          </cell>
          <cell r="W17">
            <v>0.89999961853027344</v>
          </cell>
          <cell r="X17">
            <v>0.89999961853027344</v>
          </cell>
          <cell r="Y17">
            <v>0.89999961853027344</v>
          </cell>
          <cell r="Z17">
            <v>0.89999961853027344</v>
          </cell>
          <cell r="AA17">
            <v>0.89999961853027344</v>
          </cell>
          <cell r="AB17">
            <v>0.89999961853027344</v>
          </cell>
          <cell r="AC17">
            <v>0.89999961853027344</v>
          </cell>
          <cell r="AD17">
            <v>0.89999961853027344</v>
          </cell>
          <cell r="AE17">
            <v>0.89999961853027344</v>
          </cell>
          <cell r="AF17">
            <v>0.89999961853027344</v>
          </cell>
          <cell r="AG17">
            <v>0.89999961853027344</v>
          </cell>
          <cell r="AH17">
            <v>0.89999961853027344</v>
          </cell>
          <cell r="AI17">
            <v>0.89999961853027344</v>
          </cell>
          <cell r="AJ17">
            <v>0.89999961853027344</v>
          </cell>
        </row>
        <row r="18"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>
            <v>0.89999961853027344</v>
          </cell>
          <cell r="N18">
            <v>0.89999961853027344</v>
          </cell>
          <cell r="O18">
            <v>0.89999961853027344</v>
          </cell>
          <cell r="P18">
            <v>0.89999961853027344</v>
          </cell>
          <cell r="Q18">
            <v>0.89999961853027344</v>
          </cell>
          <cell r="R18">
            <v>0.89999961853027344</v>
          </cell>
          <cell r="S18">
            <v>0.89999961853027344</v>
          </cell>
          <cell r="T18">
            <v>0.89999961853027344</v>
          </cell>
          <cell r="U18">
            <v>0.89999961853027344</v>
          </cell>
          <cell r="V18">
            <v>0.89999961853027344</v>
          </cell>
          <cell r="W18">
            <v>0.89999961853027344</v>
          </cell>
          <cell r="X18">
            <v>0.89999961853027344</v>
          </cell>
          <cell r="Y18">
            <v>0.89999961853027344</v>
          </cell>
          <cell r="Z18">
            <v>0.89999961853027344</v>
          </cell>
          <cell r="AA18">
            <v>0.89999961853027344</v>
          </cell>
          <cell r="AB18">
            <v>0.89999961853027344</v>
          </cell>
          <cell r="AC18">
            <v>0.89999961853027344</v>
          </cell>
          <cell r="AD18">
            <v>0.89999961853027344</v>
          </cell>
          <cell r="AE18">
            <v>0.89999961853027344</v>
          </cell>
          <cell r="AF18">
            <v>0.89999961853027344</v>
          </cell>
          <cell r="AG18">
            <v>0.89999961853027344</v>
          </cell>
          <cell r="AH18">
            <v>0.89999961853027344</v>
          </cell>
          <cell r="AI18">
            <v>0.89999961853027344</v>
          </cell>
          <cell r="AJ18">
            <v>0.89999961853027344</v>
          </cell>
        </row>
        <row r="19">
          <cell r="I19">
            <v>0.89999961853027344</v>
          </cell>
          <cell r="J19">
            <v>0.89999961853027344</v>
          </cell>
          <cell r="K19">
            <v>0.89999961853027344</v>
          </cell>
          <cell r="L19">
            <v>0.89999961853027344</v>
          </cell>
          <cell r="M19">
            <v>0.89999961853027344</v>
          </cell>
          <cell r="N19">
            <v>0.2</v>
          </cell>
          <cell r="O19">
            <v>0.19999992847442627</v>
          </cell>
          <cell r="P19">
            <v>0.19999992847442627</v>
          </cell>
          <cell r="Q19">
            <v>0.4</v>
          </cell>
          <cell r="R19">
            <v>0.39999985694885254</v>
          </cell>
          <cell r="S19">
            <v>0.39999985694885254</v>
          </cell>
          <cell r="T19">
            <v>0.5</v>
          </cell>
          <cell r="U19">
            <v>0.5</v>
          </cell>
          <cell r="V19">
            <v>0.5</v>
          </cell>
          <cell r="W19">
            <v>0.5</v>
          </cell>
          <cell r="X19">
            <v>0.5</v>
          </cell>
          <cell r="Y19">
            <v>0.5</v>
          </cell>
          <cell r="Z19">
            <v>0.5</v>
          </cell>
          <cell r="AA19">
            <v>0.5</v>
          </cell>
          <cell r="AB19">
            <v>0.5</v>
          </cell>
          <cell r="AC19">
            <v>0.5</v>
          </cell>
          <cell r="AD19">
            <v>0.5</v>
          </cell>
          <cell r="AE19">
            <v>0.5</v>
          </cell>
          <cell r="AF19">
            <v>0.5</v>
          </cell>
          <cell r="AG19">
            <v>0.5</v>
          </cell>
          <cell r="AH19">
            <v>0.5</v>
          </cell>
          <cell r="AI19">
            <v>0.5</v>
          </cell>
          <cell r="AJ19">
            <v>0.5</v>
          </cell>
        </row>
        <row r="20"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>
            <v>0.5</v>
          </cell>
          <cell r="N20">
            <v>0.5</v>
          </cell>
          <cell r="O20">
            <v>0.5</v>
          </cell>
          <cell r="P20">
            <v>0.5</v>
          </cell>
          <cell r="Q20">
            <v>0.5</v>
          </cell>
          <cell r="R20">
            <v>0.5</v>
          </cell>
          <cell r="S20">
            <v>0.5</v>
          </cell>
          <cell r="T20">
            <v>0.5</v>
          </cell>
          <cell r="U20">
            <v>0.5</v>
          </cell>
          <cell r="V20">
            <v>0.5</v>
          </cell>
          <cell r="W20">
            <v>0.5</v>
          </cell>
          <cell r="X20">
            <v>0.5</v>
          </cell>
          <cell r="Y20">
            <v>0.5</v>
          </cell>
          <cell r="Z20">
            <v>0.5</v>
          </cell>
          <cell r="AA20">
            <v>0.5</v>
          </cell>
          <cell r="AB20">
            <v>0.5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0.5</v>
          </cell>
          <cell r="AI20">
            <v>0.5</v>
          </cell>
          <cell r="AJ20">
            <v>0.5</v>
          </cell>
        </row>
        <row r="21">
          <cell r="I21">
            <v>0.5</v>
          </cell>
          <cell r="J21">
            <v>0.5</v>
          </cell>
          <cell r="K21">
            <v>0.5</v>
          </cell>
          <cell r="L21">
            <v>0.5</v>
          </cell>
          <cell r="M21">
            <v>0.5</v>
          </cell>
          <cell r="N21">
            <v>0.3</v>
          </cell>
          <cell r="O21">
            <v>0.29999995231628418</v>
          </cell>
          <cell r="P21">
            <v>0.29999995231628418</v>
          </cell>
          <cell r="Q21">
            <v>0.3</v>
          </cell>
          <cell r="R21">
            <v>0.29999995231628418</v>
          </cell>
          <cell r="S21">
            <v>0.29999995231628418</v>
          </cell>
          <cell r="T21">
            <v>0.2</v>
          </cell>
          <cell r="U21">
            <v>0.19999992847442627</v>
          </cell>
          <cell r="V21">
            <v>0.19999992847442627</v>
          </cell>
          <cell r="W21">
            <v>0.19999992847442627</v>
          </cell>
          <cell r="X21">
            <v>0.19999992847442627</v>
          </cell>
          <cell r="Y21">
            <v>0.19999992847442627</v>
          </cell>
          <cell r="Z21">
            <v>0.19999992847442627</v>
          </cell>
          <cell r="AA21">
            <v>0.19999992847442627</v>
          </cell>
          <cell r="AB21">
            <v>0.19999992847442627</v>
          </cell>
          <cell r="AC21">
            <v>0.19999992847442627</v>
          </cell>
          <cell r="AD21">
            <v>0.19999992847442627</v>
          </cell>
          <cell r="AE21">
            <v>0.19999992847442627</v>
          </cell>
          <cell r="AF21">
            <v>0.19999992847442627</v>
          </cell>
          <cell r="AG21">
            <v>0.19999992847442627</v>
          </cell>
          <cell r="AH21">
            <v>0.19999992847442627</v>
          </cell>
          <cell r="AI21">
            <v>0.19999992847442627</v>
          </cell>
          <cell r="AJ21">
            <v>0.19999992847442627</v>
          </cell>
        </row>
        <row r="22"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>
            <v>0.19999992847442627</v>
          </cell>
          <cell r="N22">
            <v>0.19999992847442627</v>
          </cell>
          <cell r="O22">
            <v>0.19999992847442627</v>
          </cell>
          <cell r="P22">
            <v>0.19999992847442627</v>
          </cell>
          <cell r="Q22">
            <v>0.19999992847442627</v>
          </cell>
          <cell r="R22">
            <v>0.19999992847442627</v>
          </cell>
          <cell r="S22">
            <v>0.19999992847442627</v>
          </cell>
          <cell r="T22">
            <v>0.19999992847442627</v>
          </cell>
          <cell r="U22">
            <v>0.19999992847442627</v>
          </cell>
          <cell r="V22">
            <v>0.19999992847442627</v>
          </cell>
          <cell r="W22">
            <v>0.19999992847442627</v>
          </cell>
          <cell r="X22">
            <v>0.19999992847442627</v>
          </cell>
          <cell r="Y22">
            <v>0.19999992847442627</v>
          </cell>
          <cell r="Z22">
            <v>0.19999992847442627</v>
          </cell>
          <cell r="AA22">
            <v>0.19999992847442627</v>
          </cell>
          <cell r="AB22">
            <v>0.19999992847442627</v>
          </cell>
          <cell r="AC22">
            <v>0.19999992847442627</v>
          </cell>
          <cell r="AD22">
            <v>0.19999992847442627</v>
          </cell>
          <cell r="AE22">
            <v>0.19999992847442627</v>
          </cell>
          <cell r="AF22">
            <v>0.19999992847442627</v>
          </cell>
          <cell r="AG22">
            <v>0.19999992847442627</v>
          </cell>
          <cell r="AH22">
            <v>0.19999992847442627</v>
          </cell>
          <cell r="AI22">
            <v>0.19999992847442627</v>
          </cell>
          <cell r="AJ22">
            <v>0.19999992847442627</v>
          </cell>
        </row>
        <row r="23">
          <cell r="I23">
            <v>0.19999992847442627</v>
          </cell>
          <cell r="J23">
            <v>0.19999992847442627</v>
          </cell>
          <cell r="K23">
            <v>0.19999992847442627</v>
          </cell>
          <cell r="L23">
            <v>0.19999992847442627</v>
          </cell>
          <cell r="M23">
            <v>0.19999992847442627</v>
          </cell>
          <cell r="N23">
            <v>0.65</v>
          </cell>
          <cell r="O23">
            <v>0.64999961853027344</v>
          </cell>
          <cell r="P23">
            <v>0.64999961853027344</v>
          </cell>
          <cell r="Q23">
            <v>0.64999961853027344</v>
          </cell>
          <cell r="R23">
            <v>0.64999961853027344</v>
          </cell>
          <cell r="S23">
            <v>0.64999961853027344</v>
          </cell>
          <cell r="T23">
            <v>0.65</v>
          </cell>
          <cell r="U23">
            <v>0.64999961853027344</v>
          </cell>
          <cell r="V23">
            <v>0.64999961853027344</v>
          </cell>
          <cell r="W23">
            <v>0.64999961853027344</v>
          </cell>
          <cell r="X23">
            <v>0.64999961853027344</v>
          </cell>
          <cell r="Y23">
            <v>0.64999961853027344</v>
          </cell>
          <cell r="Z23">
            <v>0.64999961853027344</v>
          </cell>
          <cell r="AA23">
            <v>0.64999961853027344</v>
          </cell>
          <cell r="AB23">
            <v>0.64999961853027344</v>
          </cell>
          <cell r="AC23">
            <v>0.64999961853027344</v>
          </cell>
          <cell r="AD23">
            <v>0.64999961853027344</v>
          </cell>
          <cell r="AE23">
            <v>0.64999961853027344</v>
          </cell>
          <cell r="AF23">
            <v>0.64999961853027344</v>
          </cell>
          <cell r="AG23">
            <v>0.64999961853027344</v>
          </cell>
          <cell r="AH23">
            <v>0.64999961853027344</v>
          </cell>
          <cell r="AI23">
            <v>0.64999961853027344</v>
          </cell>
          <cell r="AJ23">
            <v>0.64999961853027344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Ketqua"/>
      <sheetName val="Giaitrinh"/>
      <sheetName val="Kehoachchitiet"/>
      <sheetName val="Dulieu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1. HR Scorecard"/>
      <sheetName val="2. Scorecard ca nhan- da ky"/>
      <sheetName val="Scorecard cá nhân"/>
      <sheetName val="Ketqua"/>
      <sheetName val="Giaitrinh"/>
      <sheetName val="KHHD- M1K2"/>
      <sheetName val="KHHD- M4K1"/>
      <sheetName val="KHHD- M5K1"/>
      <sheetName val="KHHD- M5K2"/>
      <sheetName val="PDA m1k2"/>
      <sheetName val="PDA m3k2"/>
      <sheetName val="PDA m5k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"/>
      <sheetName val="CompanyCode"/>
      <sheetName val="DivisionCode"/>
      <sheetName val="DeptCode"/>
      <sheetName val="SectionCode"/>
      <sheetName val="JobTileCode"/>
      <sheetName val="Sheet2"/>
      <sheetName val="Sheet3"/>
    </sheetNames>
    <sheetDataSet>
      <sheetData sheetId="0"/>
      <sheetData sheetId="1">
        <row r="2">
          <cell r="A2" t="str">
            <v>CT01</v>
          </cell>
        </row>
        <row r="3">
          <cell r="A3" t="str">
            <v>CT04</v>
          </cell>
        </row>
        <row r="4">
          <cell r="A4" t="str">
            <v>CT05</v>
          </cell>
        </row>
        <row r="5">
          <cell r="A5" t="str">
            <v>CT03</v>
          </cell>
        </row>
      </sheetData>
      <sheetData sheetId="2">
        <row r="2">
          <cell r="A2" t="str">
            <v>DTLA</v>
          </cell>
        </row>
      </sheetData>
      <sheetData sheetId="3">
        <row r="2">
          <cell r="A2" t="str">
            <v>BGD</v>
          </cell>
        </row>
      </sheetData>
      <sheetData sheetId="4">
        <row r="2">
          <cell r="A2" t="str">
            <v>DTLA-HNS-BV</v>
          </cell>
        </row>
      </sheetData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CTY"/>
      <sheetName val="1.HUONGDAN"/>
      <sheetName val="2.GIADINH"/>
      <sheetName val="3.BCKQKD (2)"/>
      <sheetName val="3.BCKQKD"/>
      <sheetName val="Hoa von"/>
      <sheetName val="4.CAPEX"/>
      <sheetName val="5.NHANSU"/>
      <sheetName val="4.DOANH THU"/>
      <sheetName val="5.1.1.CPVNL"/>
      <sheetName val="5.1.2-1.3.CPSX"/>
      <sheetName val="1.Doanh thu "/>
      <sheetName val="CP NVL"/>
      <sheetName val="6.CPBH"/>
      <sheetName val="7.CPQL"/>
      <sheetName val="8.CPLAIVAY"/>
      <sheetName val="9. DTTAICHINH"/>
      <sheetName val="10.12.24"/>
      <sheetName val="09.12.24"/>
      <sheetName val="BANG TINH LUONG THOI VU"/>
      <sheetName val="CP SXC 2023"/>
      <sheetName val="CP SXC 10.2024"/>
      <sheetName val="CPSX 2025"/>
      <sheetName val="Gia mua - GB"/>
      <sheetName val="BOM"/>
      <sheetName val="CP THEO SL"/>
      <sheetName val="CP LUONG"/>
      <sheetName val="PBO 214"/>
      <sheetName val="PBO 242 2024"/>
      <sheetName val="TONG HOP HD"/>
    </sheetNames>
    <sheetDataSet>
      <sheetData sheetId="0">
        <row r="6">
          <cell r="D6" t="str">
            <v>Tên Công ty</v>
          </cell>
        </row>
        <row r="7">
          <cell r="D7" t="str">
            <v>MIDA</v>
          </cell>
        </row>
        <row r="8">
          <cell r="D8" t="str">
            <v>DUY PHONG</v>
          </cell>
        </row>
        <row r="9">
          <cell r="D9" t="str">
            <v>NATEC</v>
          </cell>
        </row>
        <row r="10">
          <cell r="D10" t="str">
            <v>PLENMA</v>
          </cell>
        </row>
        <row r="11">
          <cell r="D11" t="str">
            <v>PLASCENE</v>
          </cell>
        </row>
        <row r="12">
          <cell r="D12" t="str">
            <v>TNHH NHỰA DUY TÂN</v>
          </cell>
        </row>
        <row r="13">
          <cell r="D13" t="str">
            <v>TNHH DUYTAN</v>
          </cell>
        </row>
        <row r="14">
          <cell r="D14" t="str">
            <v>DTG</v>
          </cell>
        </row>
        <row r="15">
          <cell r="D15" t="str">
            <v>ABC VN</v>
          </cell>
        </row>
        <row r="16">
          <cell r="D16" t="str">
            <v>DUYTAN TÁI CHẾ</v>
          </cell>
        </row>
        <row r="17">
          <cell r="D17" t="str">
            <v>ĐẠI LỘC</v>
          </cell>
        </row>
        <row r="18">
          <cell r="D18" t="str">
            <v>KHÁNH NGA</v>
          </cell>
        </row>
        <row r="19">
          <cell r="D19" t="str">
            <v>ĐỒNG LÂM</v>
          </cell>
        </row>
        <row r="20">
          <cell r="D20" t="str">
            <v>TÂN ĐẠI PHÁT</v>
          </cell>
        </row>
        <row r="21">
          <cell r="D21" t="str">
            <v>TÂN LỢI PHÁT</v>
          </cell>
        </row>
        <row r="22">
          <cell r="D22" t="str">
            <v>CÁT VÂN</v>
          </cell>
        </row>
        <row r="23">
          <cell r="D23" t="str">
            <v>THẠNH PHÁT</v>
          </cell>
        </row>
        <row r="24">
          <cell r="D24" t="str">
            <v>TAN BÌNH GROUP</v>
          </cell>
        </row>
        <row r="25">
          <cell r="D25" t="str">
            <v>BV ĐÀ NẴNG</v>
          </cell>
        </row>
        <row r="26">
          <cell r="D26" t="str">
            <v>YẾN NHẤT VƯƠNG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hecklist"/>
      <sheetName val="Handbook"/>
    </sheetNames>
    <definedNames>
      <definedName name="Data.Top.Left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  <sheetName val="About JaxWorks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even Analysis"/>
      <sheetName val="P&amp;L"/>
      <sheetName val="P&amp;L Old"/>
      <sheetName val="P&amp;L (2)"/>
      <sheetName val="Sheet2"/>
      <sheetName val="Showroom"/>
    </sheetNames>
    <sheetDataSet>
      <sheetData sheetId="0">
        <row r="4">
          <cell r="F4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gle Measure Analysis"/>
    </sheetNames>
    <sheetDataSet>
      <sheetData sheetId="0">
        <row r="22">
          <cell r="P22" t="str">
            <v>%.%</v>
          </cell>
        </row>
        <row r="29">
          <cell r="B29">
            <v>0.9539249146757679</v>
          </cell>
          <cell r="C29">
            <v>0.93386243386243384</v>
          </cell>
          <cell r="D29">
            <v>0.88349514563106801</v>
          </cell>
          <cell r="E29">
            <v>0.72990654205607475</v>
          </cell>
          <cell r="F29">
            <v>0.75763962065331925</v>
          </cell>
          <cell r="G29">
            <v>0.80712625871417509</v>
          </cell>
          <cell r="H29">
            <v>0.9043956043956044</v>
          </cell>
          <cell r="I29">
            <v>0.9033189033189033</v>
          </cell>
          <cell r="J29">
            <v>0.93020134228187923</v>
          </cell>
          <cell r="K29">
            <v>0.79852941176470593</v>
          </cell>
          <cell r="L29">
            <v>0.69285714285714284</v>
          </cell>
          <cell r="M29">
            <v>0.88</v>
          </cell>
        </row>
        <row r="30">
          <cell r="B30">
            <v>0.9</v>
          </cell>
          <cell r="C30">
            <v>0.9</v>
          </cell>
          <cell r="D30">
            <v>0.9</v>
          </cell>
          <cell r="E30">
            <v>0.9</v>
          </cell>
          <cell r="F30">
            <v>0.9</v>
          </cell>
          <cell r="G30">
            <v>0.9</v>
          </cell>
          <cell r="H30">
            <v>0.9</v>
          </cell>
          <cell r="I30">
            <v>0.9</v>
          </cell>
          <cell r="J30">
            <v>0.9</v>
          </cell>
          <cell r="K30">
            <v>0.9</v>
          </cell>
          <cell r="L30">
            <v>0.9</v>
          </cell>
          <cell r="M30">
            <v>0.9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Hướng dẫn"/>
      <sheetName val="2. Giả định"/>
      <sheetName val="3. KPI"/>
      <sheetName val="1.1 Revenue_Manufacturing"/>
      <sheetName val="1.2 Revenue_Dropship"/>
      <sheetName val="Dep_Simulation 2023"/>
      <sheetName val="Dep_Simulation 2024"/>
      <sheetName val="Commission"/>
      <sheetName val="2.1Raw material_details"/>
      <sheetName val="Quickbook_Data 2023"/>
      <sheetName val="99.02Expense_23Jan-Apr pivot"/>
      <sheetName val="99.02Expense_23Jan-Apr_details"/>
      <sheetName val="99.03Expense_2022_details"/>
      <sheetName val="99.01Expense_23.May-Oct_pivot"/>
      <sheetName val="99.01Expense_23.May-Oct_details"/>
      <sheetName val="01. Cashflow"/>
      <sheetName val="02. PnL"/>
      <sheetName val="CS"/>
      <sheetName val="1. Revenue"/>
      <sheetName val="TT 22-23"/>
      <sheetName val="2. Cost of raw material"/>
      <sheetName val="11.02Payrolls details"/>
      <sheetName val="3. Production expense"/>
      <sheetName val="00.01TONG_HOP"/>
      <sheetName val="10. Capex"/>
      <sheetName val="11. Selling expense"/>
      <sheetName val="12. Admin expense"/>
      <sheetName val="3.1Allocated expense"/>
      <sheetName val="11.1 Selling expense_Details"/>
      <sheetName val="11.2 Tradeshow 2024"/>
      <sheetName val="10.1Capex details"/>
      <sheetName val="11.Payrolls"/>
      <sheetName val="13.14. Other income &amp; expense"/>
      <sheetName val="11.01Headcount"/>
      <sheetName val="11.03Payroll change_gửi cThủy"/>
      <sheetName val="11.04Payroll_Oct 2023"/>
      <sheetName val="11.05Lương TNHH 2024"/>
      <sheetName val="11.06Lương TNHH_2023"/>
      <sheetName val="Drop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 t="str">
            <v>PLASCENE INC.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Sheet1"/>
      <sheetName val="Tro giup"/>
      <sheetName val="THDZ0,4"/>
      <sheetName val="TH DZ35"/>
      <sheetName val="THTram"/>
      <sheetName val="SILICATE"/>
      <sheetName val="조명시설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VL,NC,MTC"/>
      <sheetName val="#REF"/>
      <sheetName val="DG"/>
      <sheetName val="공통가설"/>
      <sheetName val="물량표S"/>
      <sheetName val="DATA"/>
      <sheetName val="Customize Your Purchase Order"/>
      <sheetName val="Don gia"/>
      <sheetName val="Don gia chi tiet"/>
      <sheetName val="DC"/>
      <sheetName val="NL"/>
      <sheetName val="DON GIA TRAM (3)"/>
      <sheetName val="dongia"/>
      <sheetName val="JP_List"/>
      <sheetName val="SUBS"/>
      <sheetName val="Feeds"/>
      <sheetName val="final list 2005"/>
      <sheetName val="PU_ITALY_"/>
      <sheetName val="final_list_2005"/>
      <sheetName val="WORKINGS"/>
      <sheetName val="DON GIA CAN THO"/>
      <sheetName val="LV data"/>
      <sheetName val="SL"/>
      <sheetName val="TONGKE-HT"/>
      <sheetName val="Control"/>
      <sheetName val="THVATTU"/>
      <sheetName val="So doi chieu LC"/>
      <sheetName val="gvl"/>
      <sheetName val="7606 DZ"/>
      <sheetName val="phuluc1"/>
      <sheetName val="S-curve "/>
      <sheetName val="내역서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XT_Buoc 3"/>
      <sheetName val="DONVIBAN"/>
      <sheetName val="NGUON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TinhGiaMTC"/>
      <sheetName val="TinhGiaNC"/>
      <sheetName val="DON_GIA_CAN_THO"/>
      <sheetName val="PU_ITALY_1"/>
      <sheetName val="TH_DZ351"/>
      <sheetName val="Tro_giup1"/>
      <sheetName val="DON_GIA_CAN_THO1"/>
      <sheetName val="DGTH"/>
      <sheetName val="HĐ ngoài"/>
      <sheetName val="dongia (2)"/>
      <sheetName val="Mall"/>
      <sheetName val="Du_lieu"/>
      <sheetName val="CTG"/>
      <sheetName val="실행철강하도"/>
      <sheetName val="dnc4"/>
      <sheetName val="project management"/>
      <sheetName val="SITE-E"/>
      <sheetName val="침하계"/>
      <sheetName val="BETON"/>
      <sheetName val="갑지"/>
      <sheetName val="24-ACMV"/>
      <sheetName val="chitimc"/>
      <sheetName val="giathanh1"/>
      <sheetName val="Adix A"/>
      <sheetName val="THVT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TH_CNO"/>
      <sheetName val="NK_CHUNG"/>
      <sheetName val="DLDTLN"/>
      <sheetName val="차액보증"/>
      <sheetName val="Config"/>
      <sheetName val="DMCP"/>
      <sheetName val="HS_TDT"/>
      <sheetName val="ALLOWANCE"/>
      <sheetName val="MH RATE"/>
      <sheetName val="Source"/>
      <sheetName val="sochitiettaikhoan "/>
      <sheetName val="Bang KL"/>
      <sheetName val="TONG HOP VL-NC"/>
      <sheetName val="lam-moi"/>
      <sheetName val="Sheet3"/>
      <sheetName val="KPTH-T12"/>
      <sheetName val="Thamgia-T10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Database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Sheet2"/>
      <sheetName val="TK chi tie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DTXD"/>
      <sheetName val="PRI-LS"/>
      <sheetName val="NKC6"/>
      <sheetName val="Cước VC + ĐM CP Tư vấn"/>
      <sheetName val="Hệ số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DonGiaLD"/>
      <sheetName val="Active"/>
      <sheetName val="PMS"/>
      <sheetName val="Perform1"/>
      <sheetName val="DIL4"/>
      <sheetName val="Share price data"/>
      <sheetName val="Breadown-Nop"/>
      <sheetName val="B-111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PS-Labour_M"/>
      <sheetName val="Bang 3_Chi tiet phan Dz"/>
      <sheetName val="KHOI LUONG"/>
      <sheetName val="DG7606DZ"/>
      <sheetName val="VND"/>
      <sheetName val="Buy vs. Lease Car"/>
      <sheetName val="___S"/>
      <sheetName val="___"/>
      <sheetName val="__"/>
      <sheetName val="______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daf-3(OK)"/>
      <sheetName val="daf-7(OK)"/>
      <sheetName val="subcon sched"/>
      <sheetName val="NHÀ NHẬP LIỆU"/>
      <sheetName val="MÓNG SILO"/>
      <sheetName val="PRE (E)"/>
      <sheetName val="HVAC.BLOCK B4"/>
      <sheetName val="DANHMUC"/>
      <sheetName val="IBASE"/>
      <sheetName val="SourceData"/>
      <sheetName val="Z"/>
      <sheetName val="Tong du toan"/>
      <sheetName val="Bill 2 - ketcau"/>
      <sheetName val="A1"/>
      <sheetName val="SEX"/>
      <sheetName val="dghn"/>
      <sheetName val="CT1"/>
      <sheetName val="Chi tiet lan can"/>
      <sheetName val="Analisa &amp; Upah"/>
      <sheetName val="CTEMCOST"/>
      <sheetName val="Unit_Div6"/>
      <sheetName val="Purchase Order"/>
      <sheetName val="7606"/>
      <sheetName val="13-Cốt thép (10mm&lt;D≤18mm) FO16"/>
      <sheetName val="du lieu du toan"/>
      <sheetName val="경비2내역"/>
      <sheetName val="D &amp; W sizes"/>
      <sheetName val="DL ĐẦU VÀO"/>
      <sheetName val="RAB_AR&amp;STR2"/>
      <sheetName val="chi_tiet_TBA2"/>
      <sheetName val="chi_tiet_C2"/>
      <sheetName val="Customize_Your_Purchase_Order2"/>
      <sheetName val="CHITIET_VL-NC-TT-3p1"/>
      <sheetName val="Adix_A1"/>
      <sheetName val="S-curve_1"/>
      <sheetName val="HĐ_ngoài1"/>
      <sheetName val="XT_Buoc_31"/>
      <sheetName val="dongia_(2)1"/>
      <sheetName val="So_doi_chieu_LC1"/>
      <sheetName val="Đầu_vào"/>
      <sheetName val="Equip_"/>
      <sheetName val="A1_CN"/>
      <sheetName val="Trạm_biến_áp"/>
      <sheetName val="Đơn_Giá_"/>
      <sheetName val="TONG_HOP_T5_1998"/>
      <sheetName val="Chenh_lech_vat_tu"/>
      <sheetName val="Diện_tích"/>
      <sheetName val="1_Khái_toán"/>
      <sheetName val="Chi_tiet_XD_TBA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CT-0_4KV"/>
      <sheetName val="Chi_tiet_KL"/>
      <sheetName val="Tổng_hợp_KL"/>
      <sheetName val="KL_Chi_tiết_Xây_tô"/>
      <sheetName val="rate_material"/>
      <sheetName val="07Base_Cost"/>
      <sheetName val="DM_67"/>
      <sheetName val="Project_Data"/>
      <sheetName val="Phan_khai_KLuong"/>
      <sheetName val="Bill_1_Quy_dinh_chung"/>
      <sheetName val="1_R18_BF"/>
      <sheetName val="6_External_works-R18"/>
      <sheetName val="04_-_XUONG_DET_B"/>
      <sheetName val="Elect_(3)"/>
      <sheetName val="plan&amp;section_of_foundation"/>
      <sheetName val="design_criteria"/>
      <sheetName val="Bond_수수료_계산_포맷"/>
      <sheetName val="ITB_COST"/>
      <sheetName val="PAGE_1"/>
      <sheetName val="6787CWFASE2CASE2_00_xls"/>
      <sheetName val="Xay_lapduongR3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IRR&gt;_2"/>
      <sheetName val="Đầu_tư"/>
      <sheetName val="Loại_Vật_tư"/>
      <sheetName val="dg_tphcm"/>
      <sheetName val="T_KÊ_K_CẤU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4_PTDG"/>
      <sheetName val="A1,_May"/>
      <sheetName val="Vat_lieu"/>
      <sheetName val="Bang_trong_luong_rieng_thep"/>
      <sheetName val="6PILE__(돌출)"/>
      <sheetName val="HÐ_ngoài1"/>
      <sheetName val="gia_cong_tac"/>
      <sheetName val="Measure_1306"/>
      <sheetName val="THDT_goi_thau_TB"/>
      <sheetName val="Tien_do_TV"/>
      <sheetName val="Harga_ME_"/>
      <sheetName val="Analisa_Gabungan"/>
      <sheetName val="Door_and_Window"/>
      <sheetName val="GV1-D13_(Casement_door)"/>
      <sheetName val="Isolasi_Luar_Dalam"/>
      <sheetName val="Isolasi_Luar"/>
      <sheetName val="Buy_vs__Lease_Car"/>
      <sheetName val="bridge_#_1"/>
      <sheetName val="wsLists"/>
      <sheetName val="Main"/>
      <sheetName val="BOQ건축"/>
      <sheetName val="BocXep"/>
      <sheetName val="VCBo"/>
      <sheetName val="VCThuy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CDTK"/>
      <sheetName val="DongiaVL2"/>
      <sheetName val="BOQ THAN"/>
      <sheetName val="Formwork"/>
      <sheetName val="DETAIL_"/>
      <sheetName val="1_MV"/>
      <sheetName val="Ktmo"/>
      <sheetName val="外気負荷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Du lieu"/>
      <sheetName val="Cash2"/>
      <sheetName val="Markup"/>
      <sheetName val="cash budget"/>
      <sheetName val="Criteria"/>
      <sheetName val="ICGSIP"/>
      <sheetName val="Phan tich"/>
      <sheetName val="INPUT-STR"/>
      <sheetName val="REF"/>
      <sheetName val="CT Thang Mo"/>
      <sheetName val="CT  PL"/>
      <sheetName val="DTCTchung"/>
      <sheetName val="OT"/>
      <sheetName val="BANCO (2)"/>
      <sheetName val="MT DPin (2)"/>
      <sheetName val="SORT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DK1.Don gia"/>
      <sheetName val="Dlieu dau vao"/>
      <sheetName val="1.MONG 1-2"/>
      <sheetName val="Bill 2-Road HR2"/>
      <sheetName val="Bill 3 - Softscape HR2"/>
      <sheetName val="Brick"/>
      <sheetName val="dm 366"/>
      <sheetName val="DM 6060"/>
      <sheetName val="Gvlch"/>
      <sheetName val="DGLX"/>
      <sheetName val="Ma don vi"/>
      <sheetName val="bang cc"/>
      <sheetName val="0. Input"/>
      <sheetName val="TK-TUBU"/>
      <sheetName val="DGIA"/>
      <sheetName val="TT"/>
      <sheetName val="DM_4970"/>
      <sheetName val="DM7606"/>
      <sheetName val="XDM22"/>
      <sheetName val="02. PTDG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MTL(AG)"/>
      <sheetName val="Don gia (khong in)"/>
      <sheetName val="Chiết tính"/>
      <sheetName val="CHI PHI"/>
      <sheetName val="MDA"/>
      <sheetName val="MKH"/>
      <sheetName val="DMNV"/>
      <sheetName val="DMNCC"/>
      <sheetName val="MHH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TB NẶNG"/>
      <sheetName val="Du tru CP-Bieu 01"/>
      <sheetName val="DinhMuc"/>
      <sheetName val="Dự thầu"/>
      <sheetName val="Nhap VT oto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DG 1426"/>
      <sheetName val="Thongtin"/>
      <sheetName val="Dongia7606new"/>
      <sheetName val="Theo doi Doanh thu 2017"/>
      <sheetName val="gui BKCT"/>
      <sheetName val="VT190111"/>
      <sheetName val="Gia vat lieu"/>
      <sheetName val="Precios unitarios AXH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"/>
      <sheetName val="INF"/>
      <sheetName val="물량표"/>
      <sheetName val="Don gia chi tiet DIEN 2"/>
      <sheetName val="lam_moi"/>
      <sheetName val="7606(TT01)"/>
      <sheetName val="7606TBA(TT01)"/>
      <sheetName val="DG7606TBA"/>
      <sheetName val="CTTN"/>
      <sheetName val="Luong_Cnhan"/>
      <sheetName val="DMTN"/>
      <sheetName val="VatTU"/>
      <sheetName val="MTO REV.2(ARMOR)"/>
      <sheetName val="ReadFirst"/>
      <sheetName val="Door_and_window1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NHAP"/>
      <sheetName val="3. CNT"/>
      <sheetName val="unit price list(M)"/>
      <sheetName val="Rate1"/>
      <sheetName val="TH VL, NC, DDHT Thanhphuoc"/>
      <sheetName val="전기"/>
      <sheetName val="DMCT"/>
      <sheetName val="Chi tiet -tong 9 thang"/>
      <sheetName val="BangMa"/>
      <sheetName val="Ma_don_vi"/>
      <sheetName val="bang_cc"/>
      <sheetName val="유림콘도"/>
      <sheetName val="유림골조"/>
      <sheetName val="Btra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i so"/>
      <sheetName val="Notes"/>
      <sheetName val="1.2 Staff Schedule"/>
      <sheetName val="SPEC"/>
      <sheetName val="VO-PS02-XD"/>
      <sheetName val="Danh mục"/>
      <sheetName val="Q.A01.2-Sh"/>
      <sheetName val="PNT_QUOT__3"/>
      <sheetName val="COAT_WRAP_QIOT__3"/>
      <sheetName val="125x125"/>
      <sheetName val="Bảng đo bóc KL OLK-09"/>
      <sheetName val="6.3 CHI TIET OLK-09"/>
      <sheetName val="PV Graph Data"/>
      <sheetName val="GJ_06"/>
      <sheetName val="Classification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KHOI LUONG15-4"/>
      <sheetName val="HS"/>
      <sheetName val="Dot 4"/>
      <sheetName val="BTK-Dai Hoc Kien Giang"/>
      <sheetName val="cuocbd"/>
      <sheetName val="CUOC"/>
      <sheetName val="#REF!"/>
      <sheetName val="dgtn"/>
      <sheetName val="DM_336cai tao"/>
      <sheetName val="HRG BHN"/>
      <sheetName val="CĂN ĐH"/>
      <sheetName val="doanh thu"/>
      <sheetName val="Dutoan K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K_chi_tiet1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TH các CC"/>
      <sheetName val="DLDT"/>
      <sheetName val="Dgia vat tu"/>
      <sheetName val="Don gia_III"/>
      <sheetName val="D÷ liÖu"/>
      <sheetName val="Chi phi van chuyen"/>
      <sheetName val="Div26 - Elect"/>
      <sheetName val="DT hợp đồng"/>
      <sheetName val="Bảng KL đợt 1"/>
      <sheetName val="2.CDPS"/>
      <sheetName val="개산공사비"/>
      <sheetName val="Gld"/>
      <sheetName val="Gxd"/>
      <sheetName val="Duthau"/>
      <sheetName val="7.Khau tru "/>
      <sheetName val="4 CĂN"/>
      <sheetName val="Calculation"/>
      <sheetName val="DMSC"/>
      <sheetName val="Heso DZ"/>
      <sheetName val="DGiaDZ"/>
      <sheetName val="gtrinh"/>
      <sheetName val="A6,MAY"/>
      <sheetName val="DG_BINH THUAN"/>
      <sheetName val="Method_BouyancyFactor"/>
      <sheetName val="Method_PressureArea"/>
      <sheetName val="InputData"/>
      <sheetName val="B-2  (DPP)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Financ. Overview"/>
      <sheetName val="Toolbox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Inputs_Sens"/>
      <sheetName val="IS_Sum_CM"/>
      <sheetName val="gia vt,nc,may"/>
      <sheetName val="TINH GIA - SAN XUAT Vertico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Bieu gia HD"/>
      <sheetName val="Huong dan"/>
      <sheetName val="Kyhieuloptratsonba"/>
      <sheetName val="BANRA"/>
      <sheetName val="KCCP"/>
      <sheetName val="Danh mục khối"/>
      <sheetName val="Danh mục đơn vị -phòng chức năn"/>
      <sheetName val="MB.DT.02"/>
      <sheetName val="01-&gt;12"/>
      <sheetName val="Article"/>
      <sheetName val="COVER"/>
      <sheetName val="5.2.1 Đo bóc KL OLK-06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Tổng hợp KPHM"/>
      <sheetName val="Cong"/>
      <sheetName val="DZ 22KV"/>
      <sheetName val="Annual_CFs_Asset"/>
      <sheetName val="현장별"/>
      <sheetName val="Contents"/>
      <sheetName val="Factor_sheet"/>
      <sheetName val="Labour Summary"/>
      <sheetName val="CWN_Consol"/>
      <sheetName val="Labour_Summary"/>
      <sheetName val="PU_ITALY_9"/>
      <sheetName val="final_list_20059"/>
      <sheetName val="final_list_20056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Cash Flow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Dinh muc"/>
      <sheetName val="TDTKP"/>
      <sheetName val="DK-KH"/>
      <sheetName val="PTVT"/>
      <sheetName val="GIÁ DỰ THẦU 30 CĂN"/>
      <sheetName val="datatt"/>
      <sheetName val="Painting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Electrical Works"/>
      <sheetName val="H_T_ INCOMING SYSTEM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DI_ESTI"/>
      <sheetName val="CTDZTA(5)"/>
      <sheetName val="THONG SO"/>
      <sheetName val="Đơn giá chi tiết TN 39"/>
      <sheetName val="ABUT수량-A1"/>
      <sheetName val="THKP957"/>
      <sheetName val="Tính giá NC"/>
      <sheetName val="Tiên lượng"/>
      <sheetName val="SL cước"/>
      <sheetName val="Thuyết minh"/>
      <sheetName val="Đơn giá máy"/>
      <sheetName val="EQT-ESTN"/>
      <sheetName val="4.2.1 Đo bóc KL OLK-06"/>
      <sheetName val="4.1.1 CHI TIET OLK-06"/>
      <sheetName val="Yield"/>
      <sheetName val="Items"/>
      <sheetName val="Detail"/>
      <sheetName val="¥ "/>
      <sheetName val="KLall"/>
      <sheetName val="DCQ"/>
      <sheetName val="DCS"/>
      <sheetName val="DD"/>
      <sheetName val="係数"/>
      <sheetName val="8521"/>
      <sheetName val="Package1"/>
      <sheetName val="dulieumong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SGC RATE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BID"/>
      <sheetName val="112016"/>
      <sheetName val="Bán đợt 1 trang"/>
      <sheetName val="Chiet tinh dz35"/>
      <sheetName val="DG3285"/>
      <sheetName val="說明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tuong"/>
      <sheetName val="Tien Luong"/>
      <sheetName val="Bù giá CM"/>
      <sheetName val="Links"/>
      <sheetName val="Lead"/>
      <sheetName val="Breakdown (B)"/>
      <sheetName val="U.P_Breakdown"/>
      <sheetName val="기안"/>
      <sheetName val="갑지(추정)"/>
      <sheetName val="Unit price(Updateting)"/>
      <sheetName val="基本"/>
      <sheetName val="149-2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LX -TT05"/>
      <sheetName val="NC Moi TT05"/>
      <sheetName val="IMF Code"/>
      <sheetName val="Main_Mech"/>
      <sheetName val="Sub_Mech"/>
      <sheetName val="dats"/>
      <sheetName val="CHITIET VL-NCHT1 (2)"/>
      <sheetName val="COAT&amp;WRAP-QIOT-#3"/>
      <sheetName val="CashFlows"/>
      <sheetName val="tifico"/>
      <sheetName val="BC chi tiết TT"/>
      <sheetName val="DT san XD-So lieu cu"/>
      <sheetName val="Share Price 2002"/>
      <sheetName val="Case"/>
      <sheetName val="SumVal"/>
      <sheetName val="Tabela1"/>
      <sheetName val="STATC"/>
      <sheetName val="FF-2 (1)"/>
      <sheetName val="FSA"/>
      <sheetName val="Menu"/>
      <sheetName val="DSKH"/>
      <sheetName val="표지"/>
      <sheetName val="직종인원"/>
      <sheetName val="총원dB"/>
      <sheetName val="Chao gia T12_RE"/>
      <sheetName val="ThongtinDN"/>
      <sheetName val="DM DU AN"/>
      <sheetName val="DM TP."/>
      <sheetName val="File Chi tiet"/>
      <sheetName val="Bangia"/>
      <sheetName val="D+W"/>
      <sheetName val="chitiet"/>
      <sheetName val="kl3p"/>
      <sheetName val="kl3pct"/>
      <sheetName val="kl3pcto"/>
      <sheetName val="주식"/>
      <sheetName val="Cau tao gia xay to"/>
      <sheetName val="Subsidiary Calculatio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don gia 1426"/>
      <sheetName val="ERECIN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Abutment"/>
      <sheetName val="inputcua"/>
      <sheetName val="Phu Bai Bridge"/>
      <sheetName val="beam"/>
      <sheetName val="DSNV"/>
      <sheetName val="BILL 34Āᐁë"/>
      <sheetName val="BILL 34Āᐁë_x0000__x0000__x0001__x0000__x0000__x0000_ HẦM"/>
      <sheetName val="THPDMoi  (2)"/>
      <sheetName val="thao-go"/>
      <sheetName val="t-h HA THE"/>
      <sheetName val="TH XL"/>
      <sheetName val="Tiepdia"/>
      <sheetName val="CHITIET VL-NC"/>
      <sheetName val="BẢNG DIỄN GIẢI KL (7)"/>
      <sheetName val="w't table"/>
      <sheetName val="변경내역"/>
      <sheetName val="내역"/>
      <sheetName val="Takeoff"/>
      <sheetName val="Chu dau tu"/>
      <sheetName val="Bia lot"/>
      <sheetName val="NTCV1"/>
      <sheetName val="THÔNG TIN"/>
      <sheetName val="COST_ACC"/>
      <sheetName val="Probbl - Production"/>
      <sheetName val="toyota"/>
      <sheetName val="CTGS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Solieu"/>
      <sheetName val="Backup"/>
      <sheetName val="CHI PHÍ NHÔM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TABLE-A"/>
      <sheetName val="Dashboard - BQL - VHL"/>
      <sheetName val="Dinh Muc Vat Tu"/>
      <sheetName val="mã "/>
      <sheetName val="DG05new"/>
      <sheetName val="CauHinh"/>
      <sheetName val="DLTA"/>
      <sheetName val="Cot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 BBNT KLHT"/>
      <sheetName val="Bordereau"/>
      <sheetName val="SucChiuTaiCuaCoc"/>
      <sheetName val="KEILA TP 2020-07"/>
      <sheetName val="lookups"/>
      <sheetName val="B3A-APARTMENT"/>
      <sheetName val="CFA (ME)"/>
      <sheetName val="MEP Building"/>
      <sheetName val="Breakdown"/>
      <sheetName val="DTCT"/>
      <sheetName val="TKXM"/>
      <sheetName val="BANGTRA"/>
      <sheetName val="CHITIET VL-NC-TT1p"/>
      <sheetName val="CFS3"/>
      <sheetName val="AASHTO92"/>
      <sheetName val="재료비단가(VALVE)"/>
      <sheetName val="BOM-13.11-Other(PS1+PS2)"/>
      <sheetName val="Tra_thep"/>
      <sheetName val="PAINT_SPEC"/>
      <sheetName val="SCHEDUL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TAX"/>
      <sheetName val="Aging Sept"/>
      <sheetName val="Invoice"/>
      <sheetName val="Aging_Sept"/>
      <sheetName val="DT_san_XD-So_lieu_cu"/>
      <sheetName val="CFA"/>
      <sheetName val="TKLD"/>
      <sheetName val="NHOM KINH"/>
      <sheetName val="LUONG SCL"/>
      <sheetName val="QSUM"/>
      <sheetName val="BP"/>
      <sheetName val="Gia-VL"/>
      <sheetName val="chitietCS"/>
      <sheetName val="chitietTD"/>
      <sheetName val="PL02"/>
      <sheetName val="Chênh lệch máy thi công"/>
      <sheetName val="Chênh lệch nhân công"/>
      <sheetName val="Chênh lệch vật liệu"/>
      <sheetName val="Charts"/>
      <sheetName val="XREF"/>
      <sheetName val="Fixed asset register"/>
      <sheetName val="YTD"/>
      <sheetName val="Input List"/>
      <sheetName val="SYSTEMS"/>
      <sheetName val="DBASE"/>
      <sheetName val="Valid data revised"/>
      <sheetName val="BUDGET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BS-DET"/>
      <sheetName val="Table"/>
      <sheetName val="Sch 18 Bank"/>
      <sheetName val="Stock details"/>
      <sheetName val="Part A General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BP DECLINE IT"/>
      <sheetName val="Bank Rev"/>
      <sheetName val="dlvoid"/>
      <sheetName val="DATAENTRY"/>
      <sheetName val="Merit &amp; Market Grid"/>
      <sheetName val="EXPENSES"/>
      <sheetName val="DETAIL MIX % REPORT"/>
      <sheetName val="LBO"/>
      <sheetName val="Fill this out first..."/>
      <sheetName val="DoanhNghiệp"/>
      <sheetName val="ThôngTin"/>
      <sheetName val=" "/>
      <sheetName val="seido_BS"/>
      <sheetName val="DMKH"/>
      <sheetName val="MSB-DB"/>
      <sheetName val="SLabs"/>
      <sheetName val="KUNGDEVI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行动跟踪"/>
      <sheetName val="g-vl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Auto Monthly Inputs "/>
      <sheetName val="Don gia XD"/>
      <sheetName val="tra-vat-lieu"/>
      <sheetName val="Luong_BN"/>
      <sheetName val="Luong_TB"/>
      <sheetName val="Ca_may_TB"/>
      <sheetName val="Ca_máy_BN"/>
      <sheetName val="Vật_liệu"/>
      <sheetName val="Gia NC theo TT05"/>
      <sheetName val="CTtr"/>
      <sheetName val="caocot"/>
      <sheetName val="Bia1"/>
      <sheetName val="Land Dev't. Ph-1"/>
      <sheetName val="Hac.Lots"/>
      <sheetName val="4-Lane bridge"/>
      <sheetName val="Res.Lots"/>
      <sheetName val="Spine Road"/>
      <sheetName val="TienLuong"/>
      <sheetName val="Para"/>
      <sheetName val="PNTEXT"/>
      <sheetName val="DFA"/>
      <sheetName val="DSV6 Summ"/>
      <sheetName val="NTKL"/>
      <sheetName val="Luong (TP Việt Trì)"/>
      <sheetName val="DG "/>
      <sheetName val="기본DATA"/>
      <sheetName val="datta"/>
      <sheetName val="GIAVLIEU"/>
      <sheetName val="BTH"/>
      <sheetName val="sortÔ"/>
      <sheetName val="ChiTietDZ"/>
      <sheetName val="VuaBT"/>
      <sheetName val="264"/>
      <sheetName val="CaiDat"/>
      <sheetName val="CPK"/>
      <sheetName val="BAG-2"/>
      <sheetName val="COPING"/>
      <sheetName val="Elemental Breakdown+20%"/>
      <sheetName val="PHẦN KIẾN TRÚC"/>
      <sheetName val="DS_GioiTinh"/>
      <sheetName val="DS_LoaiNhanVien"/>
      <sheetName val="DS_QuocTich"/>
      <sheetName val="DS_TinhTrangGiaDinh"/>
      <sheetName val="DS_TonGiao"/>
      <sheetName val="CTG-PRECHEx1_4ꀋ"/>
      <sheetName val="BangQuiDoi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TH_DZ351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Boc KL DAT+CAT+BT"/>
      <sheetName val="Boc KL thép"/>
      <sheetName val="Bieu do nhan luc"/>
      <sheetName val="B1_HT"/>
      <sheetName val="DGKL_TRỤC NGOAI NHA"/>
      <sheetName val="5.2.1 Đo bóc KL OLK-07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0.Data"/>
      <sheetName val="0.Data_new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CONSOIDATE 4"/>
      <sheetName val="CONSOIDATE 2"/>
      <sheetName val="1CT-CAUTHANG-TT-T13(TRIU)&lt;16&gt;16"/>
      <sheetName val="3,CT-CAUTHANG-T23-24&gt;50"/>
      <sheetName val="공사개요-C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Khoi luong kenh dan"/>
      <sheetName val="Thep_Be TN(tai_C10)"/>
      <sheetName val="GGBC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比率"/>
      <sheetName val="数据库"/>
      <sheetName val="CF -Update 31Jul06"/>
      <sheetName val="Executive Summary"/>
      <sheetName val="XL4Poppy (2)"/>
      <sheetName val="XL4Poppy_(2)"/>
      <sheetName val="NPCPP-70-DS-017"/>
      <sheetName val="1.설계조건"/>
      <sheetName val="Input - Facilities"/>
      <sheetName val="Norms"/>
      <sheetName val="BP CAPEX MoD-100% Area 4 USD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THDT_goi_thauџTB2"/>
      <sheetName val="Define finishing"/>
      <sheetName val="THONG SO KICH THUOC"/>
      <sheetName val="sales current month"/>
      <sheetName val="View Variance"/>
      <sheetName val="Gia giao VL den HT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CDPS SAU KC"/>
      <sheetName val="FORM-16"/>
      <sheetName val="Division"/>
      <sheetName val="DNDN"/>
      <sheetName val="DO AM DT"/>
      <sheetName val="he so dong thoi"/>
      <sheetName val="Cuoc "/>
      <sheetName val="gia chao"/>
      <sheetName val="Vat lieu BTN"/>
      <sheetName val="MTO REV.0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토목주소"/>
      <sheetName val="프랜트면허"/>
      <sheetName val="PTdam"/>
      <sheetName val="CAU"/>
      <sheetName val="MD"/>
      <sheetName val="So sanh gia"/>
      <sheetName val="Luong 2622EVN"/>
      <sheetName val="CT -THVLNC"/>
      <sheetName val="Hs_TMDT"/>
      <sheetName val="TMDT"/>
      <sheetName val="02. PHAN TICH"/>
      <sheetName val="03. NGAN SACH"/>
      <sheetName val="ADJ 2011"/>
      <sheetName val="NOVA MEDIC"/>
      <sheetName val="DGKL MEDIC"/>
      <sheetName val="cable, lighting, switch"/>
      <sheetName val="ĐỢT 1"/>
      <sheetName val="INNOVA"/>
      <sheetName val="begin"/>
      <sheetName val="01. Nha xuong"/>
      <sheetName val="data-ma2"/>
      <sheetName val="pt10Èn"/>
      <sheetName val="Request"/>
      <sheetName val="mahang"/>
      <sheetName val="MAHANG BHLD"/>
      <sheetName val="LUONGKHOAN"/>
      <sheetName val="CHITIETHOADON.TT"/>
      <sheetName val="mahang chinh sua moi nhat"/>
      <sheetName val="Da xay dung"/>
      <sheetName val="TCVN 1651-2008"/>
      <sheetName val="QMCT"/>
      <sheetName val="Technal"/>
      <sheetName val="DNTT"/>
      <sheetName val="Product"/>
      <sheetName val="BCC_4054-05"/>
      <sheetName val="Tra1"/>
      <sheetName val="SLTh.ke"/>
      <sheetName val="0,SO LIEU DAU VAO"/>
      <sheetName val="chi tiet TS theo so lieu ktoan"/>
      <sheetName val="LinerWt"/>
      <sheetName val="Bldg Brkdown"/>
      <sheetName val="ca_máy6"/>
      <sheetName val="DG VL KS"/>
      <sheetName val="Price"/>
      <sheetName val="KL T16 BÀN GIAO 19.4"/>
      <sheetName val="proj"/>
      <sheetName val="Thang 01"/>
      <sheetName val="Thống kê"/>
      <sheetName val="BAN IN"/>
      <sheetName val="Noise insl"/>
      <sheetName val="Hot-Piping"/>
      <sheetName val="DTXL( 270)"/>
      <sheetName val="ThiNghiemDZ04"/>
      <sheetName val="OVER VIEW"/>
      <sheetName val="Data (2)"/>
      <sheetName val="Char"/>
      <sheetName val="Book 1 Summary"/>
      <sheetName val="dsnt"/>
      <sheetName val="dat"/>
      <sheetName val="TonDau"/>
      <sheetName val="DG_"/>
      <sheetName val="DG_1"/>
      <sheetName val="DS Cty"/>
      <sheetName val="THÁNG 05"/>
      <sheetName val="TONGKE3p "/>
      <sheetName val="TNHCHINH"/>
      <sheetName val="VCV-BE-TONG"/>
      <sheetName val="NKCT"/>
      <sheetName val="Civil"/>
      <sheetName val="1-Backfilling"/>
      <sheetName val="SCOPE OF WORK"/>
      <sheetName val="4)유동표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Merit_&amp;_Market_Grid"/>
      <sheetName val="Scraps"/>
      <sheetName val="Mth-Vana"/>
      <sheetName val="DUMP"/>
      <sheetName val="AN 2000"/>
      <sheetName val="Utilization"/>
      <sheetName val="PREV_RICAVI"/>
      <sheetName val="Khaibao"/>
      <sheetName val="List of Staff"/>
      <sheetName val="_ QUOTATION.xlsx"/>
      <sheetName val="2.5.Ducts (2)"/>
      <sheetName val="S N"/>
      <sheetName val="Dynamic Ranges"/>
      <sheetName val="THCP thiet bi"/>
      <sheetName val="Piano Montaggio PO-02 bozza2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a may"/>
      <sheetName val="DIEN TICH"/>
      <sheetName val="Cal"/>
      <sheetName val="공문"/>
      <sheetName val="PTcphoi"/>
      <sheetName val="Giahientruong"/>
      <sheetName val="Ten"/>
      <sheetName val="GIA NC, CM"/>
      <sheetName val="GIA VL"/>
      <sheetName val="13.Luong"/>
      <sheetName val="Eq. Mobilization"/>
      <sheetName val="Link HG"/>
      <sheetName val="입찰내역 발주처 양식"/>
      <sheetName val="DINH_MUCџTHI_NGHIEM3"/>
      <sheetName val="DSCTEMP"/>
      <sheetName val="Shape"/>
      <sheetName val="Beam reinfocement schedule"/>
      <sheetName val="Thong so dam"/>
      <sheetName val="Wall Block C"/>
      <sheetName val="General Schedule"/>
      <sheetName val="02. THONG_TIN_CHUNG"/>
      <sheetName val="07. DINH_MUC HBC"/>
      <sheetName val="CDSPS"/>
      <sheetName val="NH-KY"/>
      <sheetName val="MTP"/>
      <sheetName val="H.Satuan"/>
      <sheetName val="4.3 Scope of work "/>
      <sheetName val="DanhSach11"/>
      <sheetName val="Danhsach 12"/>
      <sheetName val="DB FEE"/>
      <sheetName val="BHYT Tự Nguyện - Vinschool-Mau "/>
      <sheetName val="merger"/>
      <sheetName val="27850"/>
      <sheetName val="Criteri"/>
      <sheetName val="Income Statement1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TK SX"/>
      <sheetName val="ma-pt"/>
      <sheetName val="6.9 DM CTP"/>
      <sheetName val="Aging_Sept1"/>
      <sheetName val="ADJ - RATE"/>
      <sheetName val="BXLDL"/>
      <sheetName val="Bill rekap"/>
      <sheetName val="Cash Flow bulanan"/>
      <sheetName val="PTDG-CL"/>
      <sheetName val="GVL-tuyến"/>
      <sheetName val="GVL-BTN"/>
      <sheetName val="PhaDoMong"/>
      <sheetName val="bdkdt"/>
      <sheetName val="CươcVC tinh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on vi"/>
      <sheetName val="PTDM"/>
      <sheetName val="Don gia vung III"/>
      <sheetName val="Don gia III"/>
      <sheetName val="Don gia CT"/>
      <sheetName val="Tra_bang"/>
      <sheetName val="Loại cọc P2"/>
      <sheetName val="TT04"/>
      <sheetName val="TTPTai"/>
      <sheetName val="DLC DIEN AP"/>
      <sheetName val="SL dau tien"/>
      <sheetName val="HSKVUC"/>
      <sheetName val="TLR"/>
      <sheetName val="Rate Analysis"/>
      <sheetName val="Work-Condition"/>
      <sheetName val="PNT-QUOT-#3"/>
      <sheetName val="Tonghop theo Vendor"/>
      <sheetName val="Tu dien"/>
      <sheetName val="T.kê"/>
      <sheetName val="sat"/>
      <sheetName val="dulieu cot"/>
      <sheetName val="Luong TT05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M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XPRODUCT"/>
      <sheetName val="Rebate"/>
      <sheetName val="项目计划表"/>
      <sheetName val="零购计划表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BASE GRAPHE"/>
      <sheetName val="KL CHI TIẾT (2)"/>
      <sheetName val="SPS"/>
      <sheetName val="MTL__INTER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2. Summary-cash"/>
      <sheetName val="inputs"/>
      <sheetName val="Be tong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L1"/>
      <sheetName val="DL2"/>
      <sheetName val="MHSCT"/>
      <sheetName val="3.공통공사대비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Vat lieu cat song rac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CẤP_THO_x0000__x0000__x0000__x0000__x0000__x0000__x0000_"/>
      <sheetName val="Giai trinh"/>
      <sheetName val="CBR"/>
      <sheetName val="dssoi_dieutra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G4970"/>
      <sheetName val="DVao"/>
      <sheetName val="DM_1781"/>
      <sheetName val="DM_228"/>
      <sheetName val="DG-VLIEU"/>
      <sheetName val="model"/>
      <sheetName val="Assignment Schedule"/>
      <sheetName val="Vendor"/>
      <sheetName val="共機計算"/>
      <sheetName val="共機J"/>
      <sheetName val="VINYL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Total"/>
      <sheetName val="BILL 34Āᐁë_x0000__x0000__x0001_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ALL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QG"/>
      <sheetName val="Dot_1"/>
      <sheetName val="Dot_2"/>
      <sheetName val="Dot_3"/>
      <sheetName val="KL_Tke"/>
      <sheetName val="Dot_1&gt;4"/>
      <sheetName val="5.Gia"/>
      <sheetName val="Danh sach KV2"/>
      <sheetName val="Danh sach doan KT"/>
      <sheetName val="Giacuoc"/>
      <sheetName val="CP NC-MTC XD"/>
      <sheetName val="GOC"/>
      <sheetName val="TTTram"/>
      <sheetName val="SPL4"/>
      <sheetName val="SDDK"/>
      <sheetName val="Kien truc"/>
      <sheetName val="DMTL"/>
      <sheetName val="Gia HĐ"/>
      <sheetName val="unit weight"/>
      <sheetName val="U0030S03"/>
      <sheetName val="EQFRM2"/>
      <sheetName val="금액내역서"/>
      <sheetName val="Factor F Data"/>
      <sheetName val="Dgia_vat_tŵ7"/>
      <sheetName val="TÍNH TOÁN KHỐI LƯỢNG P6"/>
      <sheetName val="COG"/>
      <sheetName val="1.INPUT"/>
      <sheetName val="Phan tich vat tu"/>
      <sheetName val="Bảng dung trọng"/>
      <sheetName val="Du thau dau noi"/>
      <sheetName val="Du Thau"/>
      <sheetName val="Du thau PSBS"/>
      <sheetName val="DG theo HD PSBS"/>
      <sheetName val="Du thau TC11"/>
      <sheetName val="TongHopKL"/>
      <sheetName val="Ã«ÀûÂÊ·ÖÎö±í"/>
      <sheetName val="JUly97"/>
      <sheetName val="P301"/>
      <sheetName val="R"/>
      <sheetName val="FA list"/>
      <sheetName val="Summary - Budget"/>
      <sheetName val=" Payroll Empl (Wkng)"/>
      <sheetName val="DPT-PW"/>
      <sheetName val="ING"/>
      <sheetName val="43B"/>
      <sheetName val="1. Questionnaire"/>
      <sheetName val="Anx 10"/>
      <sheetName val="DataValidation"/>
      <sheetName val="Chiet tinh dz22"/>
      <sheetName val="Sheet5"/>
      <sheetName val="DIV_INC1"/>
      <sheetName val="A1_-_Income_Statement1"/>
      <sheetName val="concil"/>
      <sheetName val="PetroConsultants"/>
      <sheetName val="DG THIET BI"/>
      <sheetName val="DG vat lieu"/>
      <sheetName val="Template"/>
      <sheetName val="SPC-OC"/>
      <sheetName val="Book details"/>
      <sheetName val="YOEMAGUM"/>
      <sheetName val="MAT"/>
      <sheetName val="Power &amp; Fuel (S)"/>
      <sheetName val="Simulator Detail"/>
      <sheetName val="Trnf to Reimb."/>
      <sheetName val="3.NGAN_SACH"/>
      <sheetName val="2.PHAN_TICH"/>
      <sheetName val="TB Worksheet"/>
      <sheetName val="DG1426NEW"/>
      <sheetName val="BB(ACT08)"/>
      <sheetName val="BB Contribution by store_T  "/>
      <sheetName val="BB(ACT09)"/>
      <sheetName val="客户(基本资料)"/>
      <sheetName val="银行(基本资料)"/>
      <sheetName val="Summary Page_VDF"/>
      <sheetName val="Invested capital_VDF"/>
      <sheetName val="Norm"/>
      <sheetName val="KLR-GAS"/>
      <sheetName val="DmChitiet"/>
      <sheetName val="Cost center"/>
      <sheetName val="Gia "/>
      <sheetName val="DSR"/>
      <sheetName val="FX"/>
      <sheetName val="Details Sales (local)"/>
      <sheetName val="Details_Sales_(local)"/>
      <sheetName val="ReservePayout"/>
      <sheetName val="Enc 3A"/>
      <sheetName val="712"/>
      <sheetName val="Resort1"/>
      <sheetName val="Anx-IV"/>
      <sheetName val="Fixed Prof Fees"/>
      <sheetName val="PDN"/>
      <sheetName val="BS, PL, Sch 5 to 9"/>
      <sheetName val="301 RTI"/>
      <sheetName val="Excise on RM"/>
      <sheetName val="Insight 28-6-00"/>
      <sheetName val="DL codes"/>
      <sheetName val="July 06-Mar 07"/>
      <sheetName val="DCF"/>
      <sheetName val="drs"/>
      <sheetName val="RscList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UC"/>
      <sheetName val="HidePriceList"/>
      <sheetName val="Bearing Capacity"/>
      <sheetName val="List Danh mục nghiệm thu"/>
      <sheetName val="TTL"/>
      <sheetName val="FINANCIAL (FLR)"/>
      <sheetName val="D"/>
      <sheetName val="CTG (GIAM)"/>
      <sheetName val="Beam _2_"/>
      <sheetName val="TS_Rep"/>
      <sheetName val="mep"/>
      <sheetName val="Du thau 03xd"/>
      <sheetName val="bang 1 NCXD"/>
      <sheetName val="bang 1 NCXD (V.I)"/>
      <sheetName val="dg_tonghop"/>
      <sheetName val="Loại 2"/>
      <sheetName val="dm7606tba"/>
      <sheetName val="Chi tiet VL-NC-MTC"/>
      <sheetName val="TT35"/>
      <sheetName val="Temp"/>
      <sheetName val="VL-NC-M"/>
      <sheetName val="May Goc (QD2436)"/>
      <sheetName val="VC theo cuoc tinh"/>
      <sheetName val="BCVC ."/>
      <sheetName val="PTCT"/>
      <sheetName val="Full 2012"/>
      <sheetName val="PL"/>
      <sheetName val="Competitors"/>
      <sheetName val="Tong Luong Thep"/>
      <sheetName val="營業額"/>
      <sheetName val="DG_VL_KS"/>
      <sheetName val="GIA_NC,_CM"/>
      <sheetName val="GIA_VL"/>
      <sheetName val="13_Luong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Data-SỔ KHO"/>
      <sheetName val="SỔ KHO"/>
      <sheetName val="finishing"/>
      <sheetName val="Ctiet Cthe"/>
      <sheetName val="khongin"/>
      <sheetName val="TK22kV"/>
      <sheetName val="Chuong I"/>
      <sheetName val="D.Trong"/>
      <sheetName val="Du lieu TKT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bang tien luong"/>
      <sheetName val="PPT"/>
      <sheetName val="TBGIA"/>
      <sheetName val="DETAIL PROGRESS CLAIM"/>
      <sheetName val="factory area"/>
      <sheetName val="Floor area"/>
      <sheetName val="SNMOI"/>
      <sheetName val="NDK16X20"/>
      <sheetName val="OPY"/>
      <sheetName val="PT-OPY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KL Chi tiết BV dự thầu"/>
      <sheetName val="KL chi tiết BV thi công"/>
      <sheetName val="dgctqn"/>
      <sheetName val="물량표(신)"/>
      <sheetName val="Window Door schedule"/>
      <sheetName val="을"/>
      <sheetName val="EstData"/>
      <sheetName val="DW ok"/>
      <sheetName val="calc_menu_déroulant"/>
      <sheetName val="AU_BS"/>
      <sheetName val="EQ_an"/>
      <sheetName val="TinhToan"/>
      <sheetName val="BSD (2)"/>
      <sheetName val="01-BM"/>
      <sheetName val="Varible"/>
      <sheetName val="B-B"/>
      <sheetName val="Analysis"/>
      <sheetName val="C-C"/>
      <sheetName val="D-D"/>
      <sheetName val="Đơn trọng"/>
      <sheetName val="DTCT -XL.4"/>
      <sheetName val="8"/>
      <sheetName val="LS"/>
      <sheetName val="Phan tich don gia de xuat - cau"/>
      <sheetName val="CIM"/>
      <sheetName val="DG SUA CHUA"/>
      <sheetName val="DGTBA"/>
      <sheetName val="TAM TINH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Z 35"/>
      <sheetName val="Cto"/>
      <sheetName val="NC HY"/>
      <sheetName val="NC HN"/>
      <sheetName val="TOT"/>
      <sheetName val="CDPS"/>
      <sheetName val="Tổng hợp Z"/>
      <sheetName val="SL.DT 2011so sanh"/>
      <sheetName val="1.Staffing"/>
      <sheetName val="TOWN"/>
      <sheetName val="Floor area "/>
      <sheetName val="TEST1"/>
      <sheetName val="6. Pig walk way (have roof GOC)"/>
      <sheetName val="Company"/>
      <sheetName val="Binderies"/>
      <sheetName val="Bang khoi luong"/>
      <sheetName val="Quotation"/>
      <sheetName val="토공분석표"/>
      <sheetName val="luong"/>
      <sheetName val="DP TRUOT GIA"/>
      <sheetName val="VL-NC-M."/>
      <sheetName val="VL+NC+M"/>
      <sheetName val="VH"/>
      <sheetName val="Ban Qua do"/>
      <sheetName val="Dự kiến SL-NT 2013"/>
      <sheetName val="SL.HM-T1.2014"/>
      <sheetName val="PTCM"/>
      <sheetName val="1651-2008"/>
      <sheetName val="VL.NC.M"/>
      <sheetName val="BK04"/>
      <sheetName val="BQD"/>
      <sheetName val="Tra Cứu"/>
      <sheetName val="간접비 총괄표"/>
      <sheetName val="FD"/>
      <sheetName val="EE (3)"/>
      <sheetName val="PAVEMENT"/>
      <sheetName val="TRAFFIC"/>
      <sheetName val="A1.8"/>
      <sheetName val="DGChung"/>
      <sheetName val="TT 16-2019"/>
      <sheetName val="DSQL"/>
      <sheetName val="FF"/>
      <sheetName val="Record CR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NP"/>
      <sheetName val="대비표"/>
      <sheetName val="PNT"/>
      <sheetName val="실행기성 갑지"/>
      <sheetName val="242-3 summaryOPC"/>
      <sheetName val="ConversionNames"/>
      <sheetName val="Interdependent CAT"/>
      <sheetName val="Tro_giup29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final_list_200530"/>
      <sheetName val="TH_DZ3518"/>
      <sheetName val="RAB_AR&amp;STR16"/>
      <sheetName val="chi_tiet_TBA16"/>
      <sheetName val="chi_tiet_C16"/>
      <sheetName val="Don_gia16"/>
      <sheetName val="Customize_Your_Purchase_Order16"/>
      <sheetName val="CHITIET_VL-NC-TT_-1p16"/>
      <sheetName val="CHITIET_VL-NC-TT-3p15"/>
      <sheetName val="TONG_HOP_VL-NC_TT16"/>
      <sheetName val="KPVC-BD_16"/>
      <sheetName val="DON_GIA_TRAM_(3)16"/>
      <sheetName val="DON_GIA_CAN_THO18"/>
      <sheetName val="HĐ_ngoài15"/>
      <sheetName val="XT_Buoc_315"/>
      <sheetName val="dongia_(2)15"/>
      <sheetName val="Don_gia_chi_tiet16"/>
      <sheetName val="7606_DZ16"/>
      <sheetName val="So_doi_chieu_LC15"/>
      <sheetName val="S-curve_15"/>
      <sheetName val="project_management15"/>
      <sheetName val="Adix_A15"/>
      <sheetName val="REINF_15"/>
      <sheetName val="Rates_200915"/>
      <sheetName val="Du_toan15"/>
      <sheetName val="MAIN_GATE_HOUSE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Bang_KL15"/>
      <sheetName val="TONG_HOP_VL-NC15"/>
      <sheetName val="MH_RATE15"/>
      <sheetName val="Lcau_-_Lxuc15"/>
      <sheetName val="DM_606115"/>
      <sheetName val="DG_thep_ma_kem15"/>
      <sheetName val="CT_vat_lieu15"/>
      <sheetName val="Equip_14"/>
      <sheetName val="A1_CN14"/>
      <sheetName val="Đầu_vào14"/>
      <sheetName val="Chi_tiet_XD_TBA14"/>
      <sheetName val="LV_data14"/>
      <sheetName val="sochitiettaikhoan_13"/>
      <sheetName val="TK_chi_tiet11"/>
      <sheetName val="DG_DZ15"/>
      <sheetName val="DG_TBA15"/>
      <sheetName val="Data_Input15"/>
      <sheetName val="DM_6714"/>
      <sheetName val="Trạm_biến_áp14"/>
      <sheetName val="Gia_vat_tu14"/>
      <sheetName val="Elect_(3)14"/>
      <sheetName val="plan&amp;section_of_foundation14"/>
      <sheetName val="design_criteria14"/>
      <sheetName val="Bond_수수료_계산_포맷14"/>
      <sheetName val="ITB_COST14"/>
      <sheetName val="Đơn_Giá_14"/>
      <sheetName val="Chenh_lech_vat_tu14"/>
      <sheetName val="Diện_tích14"/>
      <sheetName val="1_Khái_toán14"/>
      <sheetName val="TONG_HOP_T5_199814"/>
      <sheetName val="CT-0_4KV14"/>
      <sheetName val="HÐ_ngoài15"/>
      <sheetName val="Bill_1_Quy_dinh_chung14"/>
      <sheetName val="1_R18_BF14"/>
      <sheetName val="6_External_works-R1814"/>
      <sheetName val="6PILE__(돌출)14"/>
      <sheetName val="EIRR&gt;_214"/>
      <sheetName val="DETAIL_14"/>
      <sheetName val="rate_material14"/>
      <sheetName val="KL_Chi_tiết_Xây_tô14"/>
      <sheetName val="Project_Data14"/>
      <sheetName val="Phan_khai_KLuong14"/>
      <sheetName val="04_-_XUONG_DET_B14"/>
      <sheetName val="07Base_Cost14"/>
      <sheetName val="Chi_tiet_KL14"/>
      <sheetName val="Tổng_hợp_KL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PAGE_114"/>
      <sheetName val="Measure_130614"/>
      <sheetName val="Share_price_data13"/>
      <sheetName val="Xay_lapduongR314"/>
      <sheetName val="Đầu_tư14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gia_cong_tac14"/>
      <sheetName val="Cước_VC_+_ĐM_CP_Tư_vấn14"/>
      <sheetName val="Hệ_số14"/>
      <sheetName val="Door_and_window8"/>
      <sheetName val="GV1-D13_(Casement_door)14"/>
      <sheetName val="ESTI_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KL_san_lap14"/>
      <sheetName val="Chi_tiet14"/>
      <sheetName val="Chenh_lech_ca_may14"/>
      <sheetName val="TLg_CN&amp;Laixe14"/>
      <sheetName val="TLg_CN&amp;Laixe_(2)14"/>
      <sheetName val="TLg_Laitau14"/>
      <sheetName val="TLg_Laitau_(2)14"/>
      <sheetName val="Equipment_list_(PAC)14"/>
      <sheetName val="TINH_KHOI_LUONG14"/>
      <sheetName val="DATA_BASE14"/>
      <sheetName val="Buy_vs__Lease_Car14"/>
      <sheetName val="Bang_3_Chi_tiet_phan_Dz14"/>
      <sheetName val="KHOI_LUONG14"/>
      <sheetName val="BẢNG_KHỐI_LƯỢNG_TỔNG_HỢP13"/>
      <sheetName val="CP_Khac_cuoc_VC13"/>
      <sheetName val="Budget_Code13"/>
      <sheetName val="CTKL_KTX_HT13"/>
      <sheetName val="2_Chiet_tinh13"/>
      <sheetName val="subcon_sched14"/>
      <sheetName val="NHÀ_NHẬP_LIỆU13"/>
      <sheetName val="MÓNG_SILO13"/>
      <sheetName val="PRE_(E)14"/>
      <sheetName val="HVAC_BLOCK_B414"/>
      <sheetName val="Tong_du_toan13"/>
      <sheetName val="Bill_2_-_ketcau13"/>
      <sheetName val="13-Cốt_thép_(10mm&lt;D≤18mm)_FO113"/>
      <sheetName val="du_lieu_du_toan13"/>
      <sheetName val="Chi_tiet_lan_can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Dlieu_dau_vao13"/>
      <sheetName val="BANCO_(2)13"/>
      <sheetName val="MT_DPin_(2)13"/>
      <sheetName val="CHI_PHI11"/>
      <sheetName val="02__PTDG13"/>
      <sheetName val="Chiết_tính13"/>
      <sheetName val="DK1_Don_gia13"/>
      <sheetName val="Income_Statement13"/>
      <sheetName val="Shareholders'_Equity13"/>
      <sheetName val="VC_xd11"/>
      <sheetName val="Gia_VLTB11"/>
      <sheetName val="B_Luong11"/>
      <sheetName val="C_May11"/>
      <sheetName val="Don_gia_(khong_in)13"/>
      <sheetName val="1_MONG_1-213"/>
      <sheetName val="TB_NẶNG11"/>
      <sheetName val="Du_tru_CP-Bieu_0111"/>
      <sheetName val="dm_36611"/>
      <sheetName val="DM_606011"/>
      <sheetName val="Dự_thầu11"/>
      <sheetName val="Nhap_VT_oto11"/>
      <sheetName val="TH_TN11"/>
      <sheetName val="Bill_No_3_-_Prov__Sum_(Ph2&amp;3)11"/>
      <sheetName val="Hao_phí11"/>
      <sheetName val="Structure_data11"/>
      <sheetName val="đọc_số11"/>
      <sheetName val="Ma_don_vi11"/>
      <sheetName val="bang_cc11"/>
      <sheetName val="CP_Du_phong11"/>
      <sheetName val="THCP_Lap_dat11"/>
      <sheetName val="THCP_xay_dung11"/>
      <sheetName val="Tong_hop_kinh_phi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Ｎｏ_1311"/>
      <sheetName val="DGchitiet_11"/>
      <sheetName val="wk_prgs11"/>
      <sheetName val="AG_Pipe_Qty_Analysis11"/>
      <sheetName val="2_1Warehouse_111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Bill_2-Road_HR211"/>
      <sheetName val="Bill_3_-_Softscape_HR211"/>
      <sheetName val="0__Input10"/>
      <sheetName val="CĂN_HỘ_T16-17_11"/>
      <sheetName val="TRỤC_ĐỨNG_THOÁT_BẨN_T15-1711"/>
      <sheetName val="TRỤC_ĐỨNG_TM_T15-1711"/>
      <sheetName val="THEP_TAM11"/>
      <sheetName val="THEP_HÌNH11"/>
      <sheetName val="THEP_HINH11"/>
      <sheetName val="XA_GO11"/>
      <sheetName val="BANG_TRA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Móng,_nền_11"/>
      <sheetName val="1_Requisition(E)11"/>
      <sheetName val="So_lieu_chung10"/>
      <sheetName val="MTO_REV_2(ARMOR)10"/>
      <sheetName val="Data_Wall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DG_142610"/>
      <sheetName val="Don_gia_chi_tiet_DIEN_210"/>
      <sheetName val="Theo_doi_Doanh_thu_201710"/>
      <sheetName val="Chi_tiet_cong_no11"/>
      <sheetName val="Chi_tiet_-tong_9_thang10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3__CNT10"/>
      <sheetName val="unit_price_list(M)10"/>
      <sheetName val="Gia_vat_lieu10"/>
      <sheetName val="Precios_unitarios_AXH10"/>
      <sheetName val="TH_VL,_NC,_DDHT_Thanhphuoc10"/>
      <sheetName val="KL_THEP__GIAM_DO_DUNG_COUPLER10"/>
      <sheetName val="01_KL_THÉP_NHẬP_VỀ10"/>
      <sheetName val="2__NT_VLDV10"/>
      <sheetName val="GHI_CHU10"/>
      <sheetName val="1_BB_LMHT10"/>
      <sheetName val="B3A_-_TOWER_A10"/>
      <sheetName val="Annex_B10"/>
      <sheetName val="Doi_so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Cotthep_NPT10"/>
      <sheetName val="vl_nc_mtc10"/>
      <sheetName val="1__Office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1_Civil_(Org)10"/>
      <sheetName val="Bill_Prelim-CDT10"/>
      <sheetName val="Bill_BPTC-CDT10"/>
      <sheetName val="Chi_tiết_BPTC10"/>
      <sheetName val="Bill_BPTC-CDT_(PA_MCT_CDT)10"/>
      <sheetName val="Chi_tiết_BPTC_(PA_MCT_CDT)10"/>
      <sheetName val="DM-VNT_ko_sd10"/>
      <sheetName val="Bê_tông_bảo_vệ10"/>
      <sheetName val="01__Data10"/>
      <sheetName val="Neo,_nối_cốt_thép_dầm,_cột10"/>
      <sheetName val="Uốn_móc_cốt_thép10"/>
      <sheetName val="Tiêu_chuẩn_cốt_thép10"/>
      <sheetName val="Bảng_đo_bóc_KL_OLK-0910"/>
      <sheetName val="6_3_CHI_TIET_OLK-0910"/>
      <sheetName val="KL_thep_lam_sat10"/>
      <sheetName val="Tien_Thuong10"/>
      <sheetName val="NC_XL_6T_cuoi_01_CTy10"/>
      <sheetName val="Data_-6T_dau10"/>
      <sheetName val="Cong_6T10"/>
      <sheetName val="Q_A01_2-Sh10"/>
      <sheetName val="Danh_mục9"/>
      <sheetName val="PV_Graph_Data9"/>
      <sheetName val="TLG_Type10"/>
      <sheetName val="1_San_10"/>
      <sheetName val="Tong_hop_vat_tu10"/>
      <sheetName val="KHOI_LUONG15-410"/>
      <sheetName val="Dot_410"/>
      <sheetName val="BTK-Dai_Hoc_Kien_Giang9"/>
      <sheetName val="DM_336cai_tao10"/>
      <sheetName val="HRG_BHN10"/>
      <sheetName val="CĂN_ĐH10"/>
      <sheetName val="doanh_thu9"/>
      <sheetName val="Dutoan_KL9"/>
      <sheetName val="MB_DT_029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2_CDPS10"/>
      <sheetName val="Chi_phi_van_chuyen10"/>
      <sheetName val="Dgia_vat_tu10"/>
      <sheetName val="Don_gia_III10"/>
      <sheetName val="D÷_liÖu10"/>
      <sheetName val="TH_các_CC10"/>
      <sheetName val="Heso_DZ10"/>
      <sheetName val="DG_BINH_THUAN10"/>
      <sheetName val="7_Khau_tru_10"/>
      <sheetName val="4_CĂN10"/>
      <sheetName val="B-2__(DPP)10"/>
      <sheetName val="Financ__Overview9"/>
      <sheetName val="Div26_-_Elect10"/>
      <sheetName val="DT_hợp_đồng9"/>
      <sheetName val="Bảng_KL_đợt_1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Don_gia_NC10"/>
      <sheetName val="gia_vt,nc,may9"/>
      <sheetName val="TINH_GIA_-_SAN_XUAT_Vertico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ieu_gia_HD9"/>
      <sheetName val="Huong_da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DZ_22KV9"/>
      <sheetName val="5_2_1_Đo_bóc_KL_OLK-069"/>
      <sheetName val="KS_tuyen9"/>
      <sheetName val="Bang_chiet_tinh_TBA9"/>
      <sheetName val="GIÁ_DỰ_THẦU_30_CĂN9"/>
      <sheetName val="So_sanh9"/>
      <sheetName val="DT__NHA_XUONG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BU_LONG9"/>
      <sheetName val="Electrical_Works9"/>
      <sheetName val="H_T__INCOMING_SYSTEM9"/>
      <sheetName val="Cash_Flow9"/>
      <sheetName val="THONG_SO9"/>
      <sheetName val="Đơn_giá_chi_tiết_TN_399"/>
      <sheetName val="Gia_VT-TB9"/>
      <sheetName val="noi_suy_xa9"/>
      <sheetName val="noi_suy_xa_thu_hoi9"/>
      <sheetName val="Tính_giá_NC9"/>
      <sheetName val="Tiên_lượng9"/>
      <sheetName val="SL_cước9"/>
      <sheetName val="Thuyết_minh9"/>
      <sheetName val="Đơn_giá_máy9"/>
      <sheetName val="¥_9"/>
      <sheetName val="Bill_No_1_69"/>
      <sheetName val="Bill_No_1_109"/>
      <sheetName val="Bill_No_3_39"/>
      <sheetName val="Bill_No_1_49"/>
      <sheetName val="Bill_No_1_79"/>
      <sheetName val="Summary_Bill_No__39"/>
      <sheetName val="Tong_DT8"/>
      <sheetName val="phan_tich_don_gia8"/>
      <sheetName val="Bù_giá_CM8"/>
      <sheetName val="Tien_Luong8"/>
      <sheetName val="Bán_đợt_1_trang8"/>
      <sheetName val="Unit_price8"/>
      <sheetName val="3__KC_-_PODIUM8"/>
      <sheetName val="Chiet_tinh_dz358"/>
      <sheetName val="Breakdown_(B)8"/>
      <sheetName val="U_P_Breakdown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CHITIET_VL-NCHT1_(2)8"/>
      <sheetName val="IMF_Code8"/>
      <sheetName val="Subsidiary_Calculation8"/>
      <sheetName val="5_2_1_Đo_bóc_KL_OLK-108"/>
      <sheetName val="Bia_lot8"/>
      <sheetName val="DT_san_XD-So_lieu_cu8"/>
      <sheetName val="don_gia_14268"/>
      <sheetName val="Cau_tao_gia_xay_to4"/>
      <sheetName val="Phu_Bai_Bridge8"/>
      <sheetName val="Chu_dau_tu4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THÔNG_TIN4"/>
      <sheetName val="BẢNG_DIỄN_GIẢI_KL_(7)8"/>
      <sheetName val="THPDMoi__(2)4"/>
      <sheetName val="t-h_HA_THE4"/>
      <sheetName val="TH_XL4"/>
      <sheetName val="CHITIET_VL-NC4"/>
      <sheetName val="0_Data1"/>
      <sheetName val="0_Data_new1"/>
      <sheetName val="Aging_Sept2"/>
      <sheetName val="Bank_Rev1"/>
      <sheetName val="BP_DECLINE_IT1"/>
      <sheetName val="Input_List1"/>
      <sheetName val="Valid_data_revised1"/>
      <sheetName val="DETAIL_MIX_%_REPORT1"/>
      <sheetName val="Fill_this_out_first___1"/>
      <sheetName val="Interdependent_CAT"/>
      <sheetName val="BANG TONGHOP"/>
      <sheetName val="SUMMARY QUANTITIES"/>
      <sheetName val="PHÁT_SINH_TẦNG_290"/>
      <sheetName val="IV.1.Lkdt"/>
      <sheetName val="III.2.dah"/>
      <sheetName val="II.2.dn"/>
      <sheetName val="IV.2.Lkdd"/>
      <sheetName val="III.1.tai"/>
      <sheetName val="S - Sugar production"/>
      <sheetName val="KL thanh toan-Xuan Dao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PU_ITALY_46"/>
      <sheetName val="SGC_RATE3"/>
      <sheetName val="DM_DU_AN3"/>
      <sheetName val="DM_TP_3"/>
      <sheetName val="File_Chi_tiet3"/>
      <sheetName val="2__BBNT_KLHT3"/>
      <sheetName val="Dashboard_-_BQL_-_VHL3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Share_Price_20022"/>
      <sheetName val="Danh_mục_khối3"/>
      <sheetName val="Danh_mục_đơn_vị_-phòng_chức_nă3"/>
      <sheetName val="Currency_Rate3"/>
      <sheetName val="Probbl_-_Production3"/>
      <sheetName val="w't_table3"/>
      <sheetName val="BILL_34Āᐁë3"/>
      <sheetName val="LUONG_SCL3"/>
      <sheetName val="KEILA_TP_2020-073"/>
      <sheetName val="CHI_PHÍ_NHÔM3"/>
      <sheetName val="CHITIET_VL-NC-TT1p3"/>
      <sheetName val="NHOM_KINH2"/>
      <sheetName val="CFA_(ME)3"/>
      <sheetName val="MEP_Building3"/>
      <sheetName val="BOM-13_11-Other(PS1+PS2)3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Chao_gia_T12_RE2"/>
      <sheetName val="Chênh_lệch_máy_thi_công2"/>
      <sheetName val="Chênh_lệch_nhân_công2"/>
      <sheetName val="Chênh_lệch_vật_liệu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Merit_&amp;_Market_Grid2"/>
      <sheetName val="BC_chi_tiết_TT1"/>
      <sheetName val="Nhập_liệu1"/>
      <sheetName val="Boc_KL_DAT+CAT+BT1"/>
      <sheetName val="Boc_KL_thép1"/>
      <sheetName val="Bieu_do_nhan_luc1"/>
      <sheetName val="Piano_Montaggio_PO-02_bozza2"/>
      <sheetName val="sales_current_month46"/>
      <sheetName val="View_Variance46"/>
      <sheetName val="Don_gia_X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5_2_1_Đo_bóc_KL_OLK-071"/>
      <sheetName val="Define_finishing1"/>
      <sheetName val="DGKL_TRỤC_NGOAI_NHA1"/>
      <sheetName val="Sum_ELE__CAP_S1-4__1"/>
      <sheetName val="Luong_(TP_Việt_Trì)1"/>
      <sheetName val="So_sanh_gia1"/>
      <sheetName val="Luong_2622EVN1"/>
      <sheetName val="Cuoc_1"/>
      <sheetName val="gia_chao1"/>
      <sheetName val="Vat_lieu_BTN1"/>
      <sheetName val="Dai_tu1"/>
      <sheetName val="DSV6_Summ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PHẦN_KIẾN_TRÚC1"/>
      <sheetName val="CONSOIDATE_41"/>
      <sheetName val="CONSOIDATE_21"/>
      <sheetName val="Input_-_Facilities1"/>
      <sheetName val="BP_CAPEX_MoD-100%_Area_4_USD1"/>
      <sheetName val="Danhsach_12"/>
      <sheetName val="Elemental_Breakdown+20%1"/>
      <sheetName val="DB_FEE"/>
      <sheetName val="BHYT_Tự_Nguyện_-_Vinschool-Mau_"/>
      <sheetName val="NC_CU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Cước_CG1"/>
      <sheetName val="MTO_REV_01"/>
      <sheetName val="242_3_summaryOPC1"/>
      <sheetName val="1_1General1"/>
      <sheetName val="6__Scope_of_work_1"/>
      <sheetName val="4_6_Phân_tích_nhân_sự_1"/>
      <sheetName val="4_5_Mức_độ_tham_gia_dự_án1"/>
      <sheetName val="DO_AM_DT1"/>
      <sheetName val="0,SO_LIEU_DAU_VAO1"/>
      <sheetName val="Adj_entries_"/>
      <sheetName val="Annexure_1"/>
      <sheetName val="Annexure_2"/>
      <sheetName val="Updated_2018_COA"/>
      <sheetName val="IC_Listing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02__PHAN_TICH1"/>
      <sheetName val="03__NGAN_SACH1"/>
      <sheetName val="Da_xay_dung1"/>
      <sheetName val="6_9_DM_CTP"/>
      <sheetName val="01__Nha_xuong1"/>
      <sheetName val="SCB_-_Annexure_A1"/>
      <sheetName val="PL6-Revenue_Bridge1"/>
      <sheetName val="Inventory_data46"/>
      <sheetName val="FORECAST_x_FAMILIA43"/>
      <sheetName val="Space_Analysis43"/>
      <sheetName val="CADE_DETAIL19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Loại_cọc_P2"/>
      <sheetName val="DLC_DIEN_AP"/>
      <sheetName val="SL_dau_tien"/>
      <sheetName val="BASE_GRAPHE"/>
      <sheetName val="ADJ_-_RATE"/>
      <sheetName val="Bill_rekap"/>
      <sheetName val="Cash_Flow_bulanan"/>
      <sheetName val="CươcVC_tinh"/>
      <sheetName val="Don_vi"/>
      <sheetName val="Don_gia_vung_III"/>
      <sheetName val="Don_gia_III11"/>
      <sheetName val="Don_gia_CT"/>
      <sheetName val="입찰내역_발주처_양식"/>
      <sheetName val="3_공통공사대비"/>
      <sheetName val="PLHD_doi_cot_ham_0101-04"/>
      <sheetName val="KL_CHI_TIẾT_(2)"/>
      <sheetName val="Ca_may"/>
      <sheetName val="PRB_Expense_Q4_201316"/>
      <sheetName val="P&amp;L_by_Month1"/>
      <sheetName val="Tonghop_theo_Vendor"/>
      <sheetName val="Tu_dien"/>
      <sheetName val="T_kê"/>
      <sheetName val="dulieu_cot"/>
      <sheetName val="Luong_TT05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2__Summary-cash"/>
      <sheetName val="Beam_reinfocement_schedule"/>
      <sheetName val="Thong_so_dam"/>
      <sheetName val="Wall_Block_C"/>
      <sheetName val="General_Schedule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주주명부&lt;끝&gt;"/>
      <sheetName val="GDLQ"/>
      <sheetName val="Currency Codes"/>
      <sheetName val="Scoping"/>
      <sheetName val="Expectation"/>
      <sheetName val="Variance threshold"/>
      <sheetName val="VIKAR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PU_ITALY_47"/>
      <sheetName val="sales_current_month47"/>
      <sheetName val="View_Variance47"/>
      <sheetName val="Inventory_data47"/>
      <sheetName val="FORECAST_x_FAMILIA44"/>
      <sheetName val="Space_Analysis44"/>
      <sheetName val="CADE_DETAIL20"/>
      <sheetName val="PRB_Expense_Q4_201317"/>
      <sheetName val="P&amp;L_by_Month2"/>
      <sheetName val="Committed_Items2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final_list_200531"/>
      <sheetName val="Tro_giup30"/>
      <sheetName val="Labour_Summary22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Share_Price_200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2. A&amp;C Database"/>
      <sheetName val="CMT retrive"/>
      <sheetName val="Sales Seasonality by Month"/>
      <sheetName val="THAM CHIẾU"/>
      <sheetName val="PL-F&amp;B"/>
      <sheetName val="Pcos"/>
      <sheetName val="Sales"/>
      <sheetName val="Main Model"/>
      <sheetName val="EngagementsExportExcel"/>
      <sheetName val="Feuil2"/>
      <sheetName val="Feuil16"/>
      <sheetName val="Feuil1"/>
      <sheetName val="codes transitn"/>
      <sheetName val="CEREAS"/>
      <sheetName val="IMPACTS"/>
      <sheetName val="Phase"/>
      <sheetName val="retenue a la source"/>
      <sheetName val="GSG"/>
      <sheetName val="TOP8"/>
      <sheetName val="VariationsERP"/>
      <sheetName val="Macros"/>
      <sheetName val="AP codes"/>
      <sheetName val="TVA mention"/>
      <sheetName val="IMPACT base"/>
      <sheetName val="bill rate"/>
      <sheetName val="EngagementsExportExcel (2)"/>
      <sheetName val="Feuil17"/>
      <sheetName val="liste AGM"/>
      <sheetName val="hinhhoc"/>
      <sheetName val="XZLC003_PART1"/>
      <sheetName val="Wall Pier"/>
      <sheetName val="Ntt_Form"/>
      <sheetName val="MVT"/>
      <sheetName val="cot_xa"/>
      <sheetName val="Chung"/>
      <sheetName val="cPanel"/>
      <sheetName val="GC"/>
      <sheetName val="HG_Info"/>
      <sheetName val="Nghỉ lễ"/>
      <sheetName val="Mác"/>
      <sheetName val="QC"/>
      <sheetName val="CO"/>
      <sheetName val="Bangtrachieudaicoc"/>
      <sheetName val="Bar"/>
      <sheetName val="DA01.HD-List"/>
      <sheetName val="DM01.CDT"/>
      <sheetName val="DM02.NT"/>
      <sheetName val="NT01.HD-List"/>
      <sheetName val="DG CANTHO"/>
      <sheetName val="M 67"/>
      <sheetName val="NK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단면가정"/>
      <sheetName val="Nhân_cô_x0000_g6"/>
      <sheetName val="Đường dây"/>
      <sheetName val="Vị trí"/>
      <sheetName val="datamong"/>
      <sheetName val="Sheet1 (2)"/>
      <sheetName val="Chi Thao"/>
      <sheetName val="Bang luong"/>
      <sheetName val="Sheet1_(2)"/>
      <sheetName val="Chi_Thao"/>
      <sheetName val="Bang_luong"/>
      <sheetName val="BS_EN"/>
      <sheetName val="BS_VN"/>
      <sheetName val="CF_VN "/>
      <sheetName val="PL_VN"/>
      <sheetName val="Comparative figures EN"/>
      <sheetName val="Related Parties"/>
      <sheetName val="Comparative figures VN"/>
      <sheetName val="Thanh toan"/>
      <sheetName val="3.DT Khu vuc"/>
      <sheetName val="7. DM Vị trí công việc"/>
      <sheetName val="Lưu đồ sx_PÁ sản xuất"/>
      <sheetName val="Total_Cost"/>
      <sheetName val="COMBBOYEOY"/>
      <sheetName val="COA"/>
      <sheetName val="GeneralInfo"/>
      <sheetName val="0220"/>
      <sheetName val="B30"/>
      <sheetName val="XÁC  NHẬN THANH TOÁN"/>
      <sheetName val="XÁC NHẬN GIÁ TRỊ"/>
      <sheetName val="XÁC NHẬN KL"/>
      <sheetName val="DMHHOA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Du_lieu_ban_dau"/>
      <sheetName val="GZ_TP"/>
      <sheetName val="GZ_VT"/>
      <sheetName val="5_Gia"/>
      <sheetName val="CP_NC-MTC_XD"/>
      <sheetName val="Danh_sach_KV2"/>
      <sheetName val="Danh_sach_doan_KT"/>
      <sheetName val="bar_nor"/>
      <sheetName val="conc_nor"/>
      <sheetName val="conc_frus"/>
      <sheetName val="conc_trap"/>
      <sheetName val="bar_frus"/>
      <sheetName val="bar_trap"/>
      <sheetName val="Gia_HĐ"/>
      <sheetName val="List_Danh_mục_nghiệm_thu"/>
      <sheetName val="unit_weight"/>
      <sheetName val="Factor_F_Data"/>
      <sheetName val="bang_1_NCXD"/>
      <sheetName val="bang_1_NCXD_(V_I)"/>
      <sheetName val="May_Goc_(QD2436)"/>
      <sheetName val="VC_theo_cuoc_tinh"/>
      <sheetName val="BCVC__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Du_lieu_TKT"/>
      <sheetName val="TÍNH_TOÁN_KHỐI_LƯỢNG_P6"/>
      <sheetName val="간접비_총괄표"/>
      <sheetName val="Bảng_dung_trọng"/>
      <sheetName val="TAIKHOAN"/>
      <sheetName val="COST"/>
      <sheetName val="consilidate"/>
      <sheetName val="Building"/>
      <sheetName val="Bang gia 2011.10.12"/>
      <sheetName val="DGCT_TRẦN_NLW7"/>
      <sheetName val="p2-1"/>
      <sheetName val="accom cash"/>
      <sheetName val="Du toan XD"/>
      <sheetName val="AUTOMATIC SELECT"/>
      <sheetName val="U.P List"/>
      <sheetName val="Thong tin DA"/>
      <sheetName val="정부노임단가"/>
      <sheetName val="GIA THEP"/>
      <sheetName val="Hoi gia"/>
      <sheetName val="BUSPLAN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Totals"/>
      <sheetName val="FInput"/>
      <sheetName val="extruder"/>
      <sheetName val="Sheet10"/>
      <sheetName val="Sheet19"/>
      <sheetName val="Sheet16"/>
      <sheetName val="Sheet6"/>
      <sheetName val="Sheet11"/>
      <sheetName val="Sheet12"/>
      <sheetName val="Tuning SF"/>
      <sheetName val="M02 TH SP XKGC"/>
      <sheetName val="4. Đo bóc KL"/>
      <sheetName val="Dinh muc CP KTCB khac"/>
      <sheetName val="TH May TC"/>
      <sheetName val="KLDT DIEN"/>
      <sheetName val="PTVT DIEN"/>
      <sheetName val="Thong ke thiet bi"/>
      <sheetName val="General_Item&amp;General_Requireme@"/>
      <sheetName val="V.c noi bo"/>
      <sheetName val="質疑回答書"/>
      <sheetName val="5201.2004"/>
      <sheetName val="sub struc-Omission"/>
      <sheetName val="SUMMARY "/>
      <sheetName val="분석"/>
      <sheetName val="wall"/>
      <sheetName val="fromNga"/>
      <sheetName val="Tinh toan"/>
      <sheetName val="Apt내역"/>
      <sheetName val="Ratio Budget"/>
      <sheetName val="TGR"/>
      <sheetName val="Elim CKR"/>
      <sheetName val="CKR"/>
      <sheetName val="PPh 22"/>
      <sheetName val="PF-OFFICE"/>
      <sheetName val="ALOKASI"/>
      <sheetName val="TB2003"/>
      <sheetName val="SUM Detail"/>
      <sheetName val="Rates"/>
      <sheetName val="Vendors"/>
      <sheetName val="PERHITUNGAN  KEEKONOMIAN"/>
      <sheetName val="SENSITIVITAS"/>
      <sheetName val="AllInEst"/>
      <sheetName val="PT"/>
      <sheetName val=" DKM"/>
      <sheetName val="PropSum"/>
      <sheetName val="rms mek"/>
      <sheetName val="Customer_Country"/>
      <sheetName val="A3"/>
      <sheetName val="LinkData"/>
      <sheetName val="Current Bulk"/>
      <sheetName val="Cumulative Bulk"/>
      <sheetName val="batch"/>
      <sheetName val="Prod99stand"/>
      <sheetName val="T1"/>
      <sheetName val="INVDAYS"/>
      <sheetName val="P&amp;L"/>
      <sheetName val="IS Summary-96"/>
      <sheetName val="作業量(基本工作量)"/>
      <sheetName val="目標"/>
      <sheetName val="Dept"/>
      <sheetName val="Okt"/>
      <sheetName val="Pasuruan"/>
      <sheetName val="Ketapang"/>
      <sheetName val="Pasuruan Fish"/>
      <sheetName val="PST"/>
      <sheetName val="合成単価作成・-BLDG"/>
      <sheetName val="Tabel-tabel"/>
      <sheetName val="SAT-BHN"/>
      <sheetName val="HARGA MATERIAL"/>
      <sheetName val="R&amp;P"/>
      <sheetName val="QMS2007"/>
      <sheetName val="Breadown"/>
      <sheetName val="_Payroll_Empl_(Wkng)"/>
      <sheetName val="Cost_of_DM_Water1"/>
      <sheetName val="_Payroll_Empl_(Wkng)1"/>
      <sheetName val="Merit_&amp;_Market_Grid3"/>
      <sheetName val="BP_DECLINE_IT2"/>
      <sheetName val="Input_List2"/>
      <sheetName val="Valid_data_revised2"/>
      <sheetName val="AN_20002"/>
      <sheetName val="OC5-Push_Diag2"/>
      <sheetName val="Franchise_Input2"/>
      <sheetName val="repeatative_rejection2"/>
      <sheetName val="General_Info2"/>
      <sheetName val="Full_PBD2"/>
      <sheetName val="Non-Statistical_Sampling2"/>
      <sheetName val="98FORECAST_(1)2"/>
      <sheetName val="Fixed_asset_register2"/>
      <sheetName val="DETAIL_MIX_%_REPORT2"/>
      <sheetName val="2020_RFS_Summary2"/>
      <sheetName val="Well_Construction_Summary2"/>
      <sheetName val="RFS_2020_-_Details_and_Notes2"/>
      <sheetName val="Bank_Rev2"/>
      <sheetName val="DIV_INC2"/>
      <sheetName val="A1_-_Income_Statement2"/>
      <sheetName val="SCB_-_Annexure_A2"/>
      <sheetName val="PL6-Revenue_Bridge2"/>
      <sheetName val="Fill_this_out_first___2"/>
      <sheetName val="Inter_connect_Revenue2"/>
      <sheetName val="Cost_of_DM_Water2"/>
      <sheetName val="_Payroll_Empl_(Wkng)2"/>
      <sheetName val="Purchase_Calc_1"/>
      <sheetName val="Balance_Sheet1"/>
      <sheetName val="Report_Summary1"/>
      <sheetName val="Monthly_Notes1"/>
      <sheetName val="Purchase_Calc_2"/>
      <sheetName val="Balance_Sheet2"/>
      <sheetName val="Report_Summary2"/>
      <sheetName val="Monthly_Notes2"/>
      <sheetName val="Visor"/>
      <sheetName val="Original ED&amp;D summary"/>
      <sheetName val="SPC_OC"/>
      <sheetName val="Sales Initiation (5)"/>
      <sheetName val="Timing-1 (6)"/>
      <sheetName val="dashboard (1)"/>
      <sheetName val="standards trend (4)"/>
      <sheetName val="Range"/>
      <sheetName val="TOC"/>
      <sheetName val="月度不良集計"/>
      <sheetName val="LCL P_L10JUl02"/>
      <sheetName val="DN_TIME 02"/>
      <sheetName val="DN_TIME 14"/>
      <sheetName val="REPORT"/>
      <sheetName val="HELP"/>
      <sheetName val="MS６ OUT"/>
      <sheetName val="BASIC DATA"/>
      <sheetName val="C100-KICK"/>
      <sheetName val="表"/>
      <sheetName val="be"/>
      <sheetName val="99.1海業提示コスト(収容数１２,８００)"/>
      <sheetName val="Sales_Initiation_(5)"/>
      <sheetName val="Timing-1_(6)"/>
      <sheetName val="dashboard_(1)"/>
      <sheetName val="standards_trend_(4)"/>
      <sheetName val="LCL_P_L10JUl02"/>
      <sheetName val="DN_TIME_02"/>
      <sheetName val="DN_TIME_14"/>
      <sheetName val="MS６_OUT"/>
      <sheetName val="BASIC_DATA"/>
      <sheetName val="99_1海業提示コスト(収容数１２,８００)"/>
      <sheetName val="Reference"/>
      <sheetName val="Merit_&amp;_Market_Grid4"/>
      <sheetName val="BP_DECLINE_IT3"/>
      <sheetName val="Input_List3"/>
      <sheetName val="Valid_data_revised3"/>
      <sheetName val="AN_20003"/>
      <sheetName val="OC5-Push_Diag3"/>
      <sheetName val="Franchise_Input3"/>
      <sheetName val="repeatative_rejection3"/>
      <sheetName val="General_Info3"/>
      <sheetName val="Full_PBD3"/>
      <sheetName val="Non-Statistical_Sampling3"/>
      <sheetName val="98FORECAST_(1)3"/>
      <sheetName val="Fixed_asset_register3"/>
      <sheetName val="DETAIL_MIX_%_REPORT3"/>
      <sheetName val="2020_RFS_Summary3"/>
      <sheetName val="Well_Construction_Summary3"/>
      <sheetName val="RFS_2020_-_Details_and_Notes3"/>
      <sheetName val="Bank_Rev3"/>
      <sheetName val="DIV_INC3"/>
      <sheetName val="A1_-_Income_Statement3"/>
      <sheetName val="SCB_-_Annexure_A3"/>
      <sheetName val="PL6-Revenue_Bridge3"/>
      <sheetName val="Fill_this_out_first___3"/>
      <sheetName val="Inter_connect_Revenue3"/>
      <sheetName val="Cost_of_DM_Water3"/>
      <sheetName val="_Payroll_Empl_(Wkng)3"/>
      <sheetName val="1__Questionnaire"/>
      <sheetName val="Insight_28-6-00"/>
      <sheetName val="DL_codes"/>
      <sheetName val="Simulator_Detail"/>
      <sheetName val="Trnf_to_Reimb_"/>
      <sheetName val="TCM_EXT_Catalogue2"/>
      <sheetName val="CDN"/>
      <sheetName val="professional Services"/>
      <sheetName val="Merit_&amp;_Market_Grid5"/>
      <sheetName val="BP_DECLINE_IT4"/>
      <sheetName val="Input_List4"/>
      <sheetName val="Valid_data_revised4"/>
      <sheetName val="AN_20004"/>
      <sheetName val="OC5-Push_Diag4"/>
      <sheetName val="Franchise_Input4"/>
      <sheetName val="repeatative_rejection4"/>
      <sheetName val="General_Info4"/>
      <sheetName val="Full_PBD4"/>
      <sheetName val="Non-Statistical_Sampling4"/>
      <sheetName val="98FORECAST_(1)4"/>
      <sheetName val="Fixed_asset_register4"/>
      <sheetName val="DETAIL_MIX_%_REPORT4"/>
      <sheetName val="2020_RFS_Summary4"/>
      <sheetName val="Well_Construction_Summary4"/>
      <sheetName val="RFS_2020_-_Details_and_Notes4"/>
      <sheetName val="Bank_Rev4"/>
      <sheetName val="DIV_INC4"/>
      <sheetName val="A1_-_Income_Statement4"/>
      <sheetName val="SCB_-_Annexure_A4"/>
      <sheetName val="PL6-Revenue_Bridge4"/>
      <sheetName val="Fill_this_out_first___4"/>
      <sheetName val="Inter_connect_Revenue4"/>
      <sheetName val="Cost_of_DM_Water4"/>
      <sheetName val="_Payroll_Empl_(Wkng)4"/>
      <sheetName val="1__Questionnaire1"/>
      <sheetName val="CUSTOMER_GROUP_WISE1"/>
      <sheetName val="080_(2)1"/>
      <sheetName val="Insight_28-6-001"/>
      <sheetName val="DL_codes1"/>
      <sheetName val="Simulator_Detail1"/>
      <sheetName val="Trnf_to_Reimb_1"/>
      <sheetName val="FA_list"/>
      <sheetName val="Chiet_tinh_dz22"/>
      <sheetName val="Anx_10"/>
      <sheetName val="Summary_-_Budget"/>
      <sheetName val="DG_SUA_CHUA"/>
      <sheetName val="TAM_TINH"/>
      <sheetName val="Cost_center"/>
      <sheetName val="Gia_"/>
      <sheetName val="Details_Sales_(local)1"/>
      <sheetName val="Enc_3A"/>
      <sheetName val="Fixed_Prof_Fees"/>
      <sheetName val="BS,_PL,_Sch_5_to_9"/>
      <sheetName val="301_RTI"/>
      <sheetName val="Excise_on_RM"/>
      <sheetName val="Power_&amp;_Fuel_(S)"/>
      <sheetName val="Book_details"/>
      <sheetName val="July_06-Mar_07"/>
      <sheetName val="Assignment_Schedule"/>
      <sheetName val="Bearing_Capacity"/>
      <sheetName val="Kien_truc"/>
      <sheetName val="FINANCIAL_(FLR)"/>
      <sheetName val="CTG_(GIAM)"/>
      <sheetName val="Beam__2_"/>
      <sheetName val="Du_thau_03xd"/>
      <sheetName val="DG_THIET_BI"/>
      <sheetName val="DG_vat_lieu"/>
      <sheetName val="Loại_2"/>
      <sheetName val="Chi_tiet_VL-NC-MTC"/>
      <sheetName val="Du_thau_dau_noi"/>
      <sheetName val="Du_Thau"/>
      <sheetName val="Du_thau_PSBS"/>
      <sheetName val="DG_theo_HD_PSBS"/>
      <sheetName val="Du_thau_TC11"/>
      <sheetName val="Record_CR"/>
      <sheetName val="Full_2012"/>
      <sheetName val="Summary_Page_VDF"/>
      <sheetName val="Invested_capital_VDF"/>
      <sheetName val="F-4"/>
      <sheetName val="SPLIMP97"/>
      <sheetName val="Control-input"/>
      <sheetName val="NB_CSM"/>
      <sheetName val="Cốt thép"/>
      <sheetName val="MBW"/>
      <sheetName val="待摊费用明细表"/>
      <sheetName val="To tied 2001 opening RE"/>
      <sheetName val="BILL 34Āᐁë_x0001_ HẦM"/>
      <sheetName val="CẤP_THO"/>
      <sheetName val="BILL 34Āᐁë_x0001_"/>
      <sheetName val="Nhân_côg6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>
        <row r="9">
          <cell r="A9" t="str">
            <v>A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9">
          <cell r="A9" t="str">
            <v>A</v>
          </cell>
        </row>
      </sheetData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9">
          <cell r="A9" t="str">
            <v>A</v>
          </cell>
        </row>
      </sheetData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 t="str">
            <v>A</v>
          </cell>
        </row>
      </sheetData>
      <sheetData sheetId="584" refreshError="1"/>
      <sheetData sheetId="585" refreshError="1"/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 refreshError="1"/>
      <sheetData sheetId="643" refreshError="1"/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>
        <row r="9">
          <cell r="A9" t="str">
            <v>A</v>
          </cell>
        </row>
      </sheetData>
      <sheetData sheetId="656" refreshError="1"/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 refreshError="1"/>
      <sheetData sheetId="697" refreshError="1"/>
      <sheetData sheetId="698" refreshError="1"/>
      <sheetData sheetId="699">
        <row r="9">
          <cell r="A9" t="str">
            <v>A</v>
          </cell>
        </row>
      </sheetData>
      <sheetData sheetId="700" refreshError="1"/>
      <sheetData sheetId="701" refreshError="1"/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 refreshError="1"/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>
        <row r="9">
          <cell r="A9" t="str">
            <v>A</v>
          </cell>
        </row>
      </sheetData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 refreshError="1"/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>
        <row r="9">
          <cell r="A9" t="str">
            <v>A</v>
          </cell>
        </row>
      </sheetData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 refreshError="1"/>
      <sheetData sheetId="798">
        <row r="9">
          <cell r="A9" t="str">
            <v>A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 refreshError="1"/>
      <sheetData sheetId="1353" refreshError="1"/>
      <sheetData sheetId="1354" refreshError="1"/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 refreshError="1"/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>
        <row r="9">
          <cell r="A9" t="str">
            <v>A</v>
          </cell>
        </row>
      </sheetData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 refreshError="1"/>
      <sheetData sheetId="1926" refreshError="1"/>
      <sheetData sheetId="1927" refreshError="1"/>
      <sheetData sheetId="1928">
        <row r="9">
          <cell r="A9" t="str">
            <v>A</v>
          </cell>
        </row>
      </sheetData>
      <sheetData sheetId="1929" refreshError="1"/>
      <sheetData sheetId="1930">
        <row r="9">
          <cell r="A9" t="str">
            <v>A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9">
          <cell r="A9" t="str">
            <v>A</v>
          </cell>
        </row>
      </sheetData>
      <sheetData sheetId="1941"/>
      <sheetData sheetId="1942">
        <row r="9">
          <cell r="A9" t="str">
            <v>A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>
        <row r="9">
          <cell r="A9" t="str">
            <v>A</v>
          </cell>
        </row>
      </sheetData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>
        <row r="9">
          <cell r="A9" t="str">
            <v>A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/>
      <sheetData sheetId="2588"/>
      <sheetData sheetId="2589"/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/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/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/>
      <sheetData sheetId="2625"/>
      <sheetData sheetId="2626"/>
      <sheetData sheetId="2627"/>
      <sheetData sheetId="2628"/>
      <sheetData sheetId="2629">
        <row r="9">
          <cell r="A9" t="str">
            <v>A</v>
          </cell>
        </row>
      </sheetData>
      <sheetData sheetId="2630" refreshError="1"/>
      <sheetData sheetId="2631">
        <row r="9">
          <cell r="A9" t="str">
            <v>A</v>
          </cell>
        </row>
      </sheetData>
      <sheetData sheetId="2632"/>
      <sheetData sheetId="2633"/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 refreshError="1"/>
      <sheetData sheetId="3250" refreshError="1"/>
      <sheetData sheetId="3251">
        <row r="9">
          <cell r="A9" t="str">
            <v>A</v>
          </cell>
        </row>
      </sheetData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>
        <row r="9">
          <cell r="A9" t="str">
            <v>A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/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>
        <row r="9">
          <cell r="A9" t="str">
            <v>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 refreshError="1"/>
      <sheetData sheetId="4006" refreshError="1"/>
      <sheetData sheetId="4007" refreshError="1"/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BẢNG TÍNH TOÁN, ĐO BÓC KHỐI LƯỢNG HOÀN THÀNH ĐƯA VÀO QUYẾT TOÁN</v>
          </cell>
        </row>
      </sheetData>
      <sheetData sheetId="4101">
        <row r="4">
          <cell r="A4" t="str">
            <v>BẢNG TÍNH TOÁN, ĐO BÓC KHỐI LƯỢNG HOÀN THÀNH ĐƯA VÀO QUYẾT TOÁN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4">
          <cell r="A4" t="str">
            <v>BẢNG TÍNH TOÁN, ĐO BÓC KHỐI LƯỢNG HOÀN THÀNH ĐƯA VÀO QUYẾT TOÁN</v>
          </cell>
        </row>
      </sheetData>
      <sheetData sheetId="4162">
        <row r="4">
          <cell r="A4" t="str">
            <v>BẢNG TÍNH TOÁN, ĐO BÓC KHỐI LƯỢNG HOÀN THÀNH ĐƯA VÀO QUYẾT TOÁN</v>
          </cell>
        </row>
      </sheetData>
      <sheetData sheetId="4163">
        <row r="4">
          <cell r="A4" t="str">
            <v>BẢNG TÍNH TOÁN, ĐO BÓC KHỐI LƯỢNG HOÀN THÀNH ĐƯA VÀO QUYẾT TOÁN</v>
          </cell>
        </row>
      </sheetData>
      <sheetData sheetId="4164">
        <row r="4">
          <cell r="A4" t="str">
            <v>BẢNG TÍNH TOÁN, ĐO BÓC KHỐI LƯỢNG HOÀN THÀNH ĐƯA VÀO QUYẾT TOÁN</v>
          </cell>
        </row>
      </sheetData>
      <sheetData sheetId="4165">
        <row r="4">
          <cell r="A4" t="str">
            <v>BẢNG TÍNH TOÁN, ĐO BÓC KHỐI LƯỢNG HOÀN THÀNH ĐƯA VÀO QUYẾT TOÁN</v>
          </cell>
        </row>
      </sheetData>
      <sheetData sheetId="4166">
        <row r="9">
          <cell r="A9" t="str">
            <v>A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4">
          <cell r="A4" t="str">
            <v>BẢNG TÍNH TOÁN, ĐO BÓC KHỐI LƯỢNG HOÀN THÀNH ĐƯA VÀO QUYẾT TOÁN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9">
          <cell r="A9" t="str">
            <v>A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9">
          <cell r="A9" t="str">
            <v>A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9">
          <cell r="A9" t="str">
            <v>A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>
        <row r="4">
          <cell r="A4" t="str">
            <v>BẢNG TÍNH TOÁN, ĐO BÓC KHỐI LƯỢNG HOÀN THÀNH ĐƯA VÀO QUYẾT TOÁN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4">
          <cell r="A4" t="str">
            <v>BẢNG TÍNH TOÁN, ĐO BÓC KHỐI LƯỢNG HOÀN THÀNH ĐƯA VÀO QUYẾT TOÁN</v>
          </cell>
        </row>
      </sheetData>
      <sheetData sheetId="4845">
        <row r="4">
          <cell r="A4" t="str">
            <v>BẢNG TÍNH TOÁN, ĐO BÓC KHỐI LƯỢNG HOÀN THÀNH ĐƯA VÀO QUYẾT TOÁN</v>
          </cell>
        </row>
      </sheetData>
      <sheetData sheetId="4846">
        <row r="4">
          <cell r="A4" t="str">
            <v>BẢNG TÍNH TOÁN, ĐO BÓC KHỐI LƯỢNG HOÀN THÀNH ĐƯA VÀO QUYẾT TOÁN</v>
          </cell>
        </row>
      </sheetData>
      <sheetData sheetId="4847">
        <row r="4">
          <cell r="A4" t="str">
            <v>BẢNG TÍNH TOÁN, ĐO BÓC KHỐI LƯỢNG HOÀN THÀNH ĐƯA VÀO QUYẾT TOÁN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4">
          <cell r="A4" t="str">
            <v>BẢNG TÍNH TOÁN, ĐO BÓC KHỐI LƯỢNG HOÀN THÀNH ĐƯA VÀO QUYẾT TOÁN</v>
          </cell>
        </row>
      </sheetData>
      <sheetData sheetId="4853">
        <row r="4">
          <cell r="A4" t="str">
            <v>BẢNG TÍNH TOÁN, ĐO BÓC KHỐI LƯỢNG HOÀN THÀNH ĐƯA VÀO QUYẾT TOÁN</v>
          </cell>
        </row>
      </sheetData>
      <sheetData sheetId="4854">
        <row r="4">
          <cell r="A4" t="str">
            <v>BẢNG TÍNH TOÁN, ĐO BÓC KHỐI LƯỢNG HOÀN THÀNH ĐƯA VÀO QUYẾT TOÁN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4">
          <cell r="A4" t="str">
            <v>BẢNG TÍNH TOÁN, ĐO BÓC KHỐI LƯỢNG HOÀN THÀNH ĐƯA VÀO QUYẾT TOÁN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4">
          <cell r="A4" t="str">
            <v>BẢNG TÍNH TOÁN, ĐO BÓC KHỐI LƯỢNG HOÀN THÀNH ĐƯA VÀO QUYẾT TOÁN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4">
          <cell r="A4" t="str">
            <v>BẢNG TÍNH TOÁN, ĐO BÓC KHỐI LƯỢNG HOÀN THÀNH ĐƯA VÀO QUYẾT TOÁN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4">
          <cell r="A4" t="str">
            <v>BẢNG TÍNH TOÁN, ĐO BÓC KHỐI LƯỢNG HOÀN THÀNH ĐƯA VÀO QUYẾT TOÁN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4">
          <cell r="A4" t="str">
            <v>BẢNG TÍNH TOÁN, ĐO BÓC KHỐI LƯỢNG HOÀN THÀNH ĐƯA VÀO QUYẾT TOÁN</v>
          </cell>
        </row>
      </sheetData>
      <sheetData sheetId="4969">
        <row r="4">
          <cell r="A4" t="str">
            <v>BẢNG TÍNH TOÁN, ĐO BÓC KHỐI LƯỢNG HOÀN THÀNH ĐƯA VÀO QUYẾT TOÁN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4">
          <cell r="A4" t="str">
            <v>BẢNG TÍNH TOÁN, ĐO BÓC KHỐI LƯỢNG HOÀN THÀNH ĐƯA VÀO QUYẾT TOÁN</v>
          </cell>
        </row>
      </sheetData>
      <sheetData sheetId="5625">
        <row r="4">
          <cell r="A4" t="str">
            <v>BẢNG TÍNH TOÁN, ĐO BÓC KHỐI LƯỢNG HOÀN THÀNH ĐƯA VÀO QUYẾT TOÁN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9">
          <cell r="A9" t="str">
            <v>A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9">
          <cell r="A9" t="str">
            <v>A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9">
          <cell r="A9" t="str">
            <v>A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9">
          <cell r="A9" t="str">
            <v>A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9">
          <cell r="A9" t="str">
            <v>A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9">
          <cell r="A9" t="str">
            <v>A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9">
          <cell r="A9" t="str">
            <v>A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9">
          <cell r="A9" t="str">
            <v>A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9">
          <cell r="A9" t="str">
            <v>A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9">
          <cell r="A9" t="str">
            <v>A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9">
          <cell r="A9" t="str">
            <v>A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9">
          <cell r="A9" t="str">
            <v>A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9">
          <cell r="A9" t="str">
            <v>A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9">
          <cell r="A9" t="str">
            <v>A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9">
          <cell r="A9" t="str">
            <v>A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9">
          <cell r="A9" t="str">
            <v>A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9">
          <cell r="A9" t="str">
            <v>A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9">
          <cell r="A9" t="str">
            <v>A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9">
          <cell r="A9" t="str">
            <v>A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9">
          <cell r="A9" t="str">
            <v>A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9">
          <cell r="A9" t="str">
            <v>A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9">
          <cell r="A9" t="str">
            <v>A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9">
          <cell r="A9" t="str">
            <v>A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9">
          <cell r="A9" t="str">
            <v>A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9">
          <cell r="A9" t="str">
            <v>A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9">
          <cell r="A9" t="str">
            <v>A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9">
          <cell r="A9" t="str">
            <v>A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9">
          <cell r="A9" t="str">
            <v>A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9">
          <cell r="A9" t="str">
            <v>A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9">
          <cell r="A9" t="str">
            <v>A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9">
          <cell r="A9" t="str">
            <v>A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9">
          <cell r="A9" t="str">
            <v>A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9">
          <cell r="A9" t="str">
            <v>A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9">
          <cell r="A9" t="str">
            <v>A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9">
          <cell r="A9" t="str">
            <v>A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9">
          <cell r="A9" t="str">
            <v>A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9">
          <cell r="A9" t="str">
            <v>A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9">
          <cell r="A9" t="str">
            <v>A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9">
          <cell r="A9" t="str">
            <v>A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9">
          <cell r="A9" t="str">
            <v>A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9">
          <cell r="A9" t="str">
            <v>A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9">
          <cell r="A9" t="str">
            <v>A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9">
          <cell r="A9" t="str">
            <v>A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9">
          <cell r="A9" t="str">
            <v>A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9">
          <cell r="A9" t="str">
            <v>A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9">
          <cell r="A9" t="str">
            <v>A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9">
          <cell r="A9" t="str">
            <v>A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9">
          <cell r="A9" t="str">
            <v>A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9">
          <cell r="A9" t="str">
            <v>A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9">
          <cell r="A9" t="str">
            <v>A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9">
          <cell r="A9" t="str">
            <v>A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9">
          <cell r="A9" t="str">
            <v>A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9">
          <cell r="A9" t="str">
            <v>A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9">
          <cell r="A9" t="str">
            <v>A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9">
          <cell r="A9" t="str">
            <v>A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9">
          <cell r="A9" t="str">
            <v>A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9">
          <cell r="A9" t="str">
            <v>A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9">
          <cell r="A9" t="str">
            <v>A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9">
          <cell r="A9" t="str">
            <v>A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9">
          <cell r="A9" t="str">
            <v>A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9">
          <cell r="A9" t="str">
            <v>A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9">
          <cell r="A9" t="str">
            <v>A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9">
          <cell r="A9" t="str">
            <v>A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9">
          <cell r="A9" t="str">
            <v>A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9">
          <cell r="A9" t="str">
            <v>A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9">
          <cell r="A9" t="str">
            <v>A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9">
          <cell r="A9" t="str">
            <v>A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9">
          <cell r="A9" t="str">
            <v>A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9">
          <cell r="A9" t="str">
            <v>A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9">
          <cell r="A9" t="str">
            <v>A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9">
          <cell r="A9" t="str">
            <v>A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9">
          <cell r="A9" t="str">
            <v>A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9">
          <cell r="A9" t="str">
            <v>A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9">
          <cell r="A9" t="str">
            <v>A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9">
          <cell r="A9" t="str">
            <v>A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9">
          <cell r="A9" t="str">
            <v>A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9">
          <cell r="A9" t="str">
            <v>A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9">
          <cell r="A9" t="str">
            <v>A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9">
          <cell r="A9" t="str">
            <v>A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9">
          <cell r="A9" t="str">
            <v>A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9">
          <cell r="A9" t="str">
            <v>A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9">
          <cell r="A9" t="str">
            <v>A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9">
          <cell r="A9" t="str">
            <v>A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9">
          <cell r="A9" t="str">
            <v>A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9">
          <cell r="A9" t="str">
            <v>A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9">
          <cell r="A9" t="str">
            <v>A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9">
          <cell r="A9" t="str">
            <v>A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9">
          <cell r="A9" t="str">
            <v>A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9">
          <cell r="A9" t="str">
            <v>A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9">
          <cell r="A9" t="str">
            <v>A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9">
          <cell r="A9" t="str">
            <v>A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9">
          <cell r="A9" t="str">
            <v>A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9">
          <cell r="A9" t="str">
            <v>A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9">
          <cell r="A9" t="str">
            <v>A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9">
          <cell r="A9" t="str">
            <v>A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9">
          <cell r="A9" t="str">
            <v>A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9">
          <cell r="A9" t="str">
            <v>A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9">
          <cell r="A9" t="str">
            <v>A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9">
          <cell r="A9" t="str">
            <v>A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9">
          <cell r="A9" t="str">
            <v>A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9">
          <cell r="A9" t="str">
            <v>A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9">
          <cell r="A9" t="str">
            <v>A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9">
          <cell r="A9" t="str">
            <v>A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9">
          <cell r="A9" t="str">
            <v>A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9">
          <cell r="A9" t="str">
            <v>A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>
        <row r="4">
          <cell r="A4" t="str">
            <v>BẢNG TÍNH TOÁN, ĐO BÓC KHỐI LƯỢNG HOÀN THÀNH ĐƯA VÀO QUYẾT TOÁN</v>
          </cell>
        </row>
      </sheetData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4">
          <cell r="A4" t="str">
            <v>BẢNG TÍNH TOÁN, ĐO BÓC KHỐI LƯỢNG HOÀN THÀNH ĐƯA VÀO QUYẾT TOÁN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4">
          <cell r="A4" t="str">
            <v>BẢNG TÍNH TOÁN, ĐO BÓC KHỐI LƯỢNG HOÀN THÀNH ĐƯA VÀO QUYẾT TOÁN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4">
          <cell r="A4" t="str">
            <v>BẢNG TÍNH TOÁN, ĐO BÓC KHỐI LƯỢNG HOÀN THÀNH ĐƯA VÀO QUYẾT TOÁN</v>
          </cell>
        </row>
      </sheetData>
      <sheetData sheetId="8141">
        <row r="4">
          <cell r="A4" t="str">
            <v>BẢNG TÍNH TOÁN, ĐO BÓC KHỐI LƯỢNG HOÀN THÀNH ĐƯA VÀO QUYẾT TOÁN</v>
          </cell>
        </row>
      </sheetData>
      <sheetData sheetId="8142">
        <row r="4">
          <cell r="A4" t="str">
            <v>BẢNG TÍNH TOÁN, ĐO BÓC KHỐI LƯỢNG HOÀN THÀNH ĐƯA VÀO QUYẾT TOÁN</v>
          </cell>
        </row>
      </sheetData>
      <sheetData sheetId="8143">
        <row r="4">
          <cell r="A4" t="str">
            <v>BẢNG TÍNH TOÁN, ĐO BÓC KHỐI LƯỢNG HOÀN THÀNH ĐƯA VÀO QUYẾT TOÁN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4">
          <cell r="A4" t="str">
            <v>BẢNG TÍNH TOÁN, ĐO BÓC KHỐI LƯỢNG HOÀN THÀNH ĐƯA VÀO QUYẾT TOÁN</v>
          </cell>
        </row>
      </sheetData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>
        <row r="9">
          <cell r="A9" t="str">
            <v>A</v>
          </cell>
        </row>
      </sheetData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4">
          <cell r="A4" t="str">
            <v>BẢNG TÍNH TOÁN, ĐO BÓC KHỐI LƯỢNG HOÀN THÀNH ĐƯA VÀO QUYẾT TOÁN</v>
          </cell>
        </row>
      </sheetData>
      <sheetData sheetId="8190">
        <row r="4">
          <cell r="A4" t="str">
            <v>BẢNG TÍNH TOÁN, ĐO BÓC KHỐI LƯỢNG HOÀN THÀNH ĐƯA VÀO QUYẾT TOÁN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>
        <row r="4">
          <cell r="A4" t="str">
            <v>BẢNG TÍNH TOÁN, ĐO BÓC KHỐI LƯỢNG HOÀN THÀNH ĐƯA VÀO QUYẾT TOÁN</v>
          </cell>
        </row>
      </sheetData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>
        <row r="4">
          <cell r="A4" t="str">
            <v>BẢNG TÍNH TOÁN, ĐO BÓC KHỐI LƯỢNG HOÀN THÀNH ĐƯA VÀO QUYẾT TOÁN</v>
          </cell>
        </row>
      </sheetData>
      <sheetData sheetId="8237">
        <row r="4">
          <cell r="A4" t="str">
            <v>BẢNG TÍNH TOÁN, ĐO BÓC KHỐI LƯỢNG HOÀN THÀNH ĐƯA VÀO QUYẾT TOÁN</v>
          </cell>
        </row>
      </sheetData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4">
          <cell r="A4" t="str">
            <v>BẢNG TÍNH TOÁN, ĐO BÓC KHỐI LƯỢNG HOÀN THÀNH ĐƯA VÀO QUYẾT TOÁN</v>
          </cell>
        </row>
      </sheetData>
      <sheetData sheetId="8256" refreshError="1"/>
      <sheetData sheetId="8257" refreshError="1"/>
      <sheetData sheetId="8258" refreshError="1"/>
      <sheetData sheetId="8259" refreshError="1"/>
      <sheetData sheetId="8260">
        <row r="4">
          <cell r="A4" t="str">
            <v>BẢNG TÍNH TOÁN, ĐO BÓC KHỐI LƯỢNG HOÀN THÀNH ĐƯA VÀO QUYẾT TOÁN</v>
          </cell>
        </row>
      </sheetData>
      <sheetData sheetId="8261">
        <row r="4">
          <cell r="A4" t="str">
            <v>BẢNG TÍNH TOÁN, ĐO BÓC KHỐI LƯỢNG HOÀN THÀNH ĐƯA VÀO QUYẾT TOÁN</v>
          </cell>
        </row>
      </sheetData>
      <sheetData sheetId="8262">
        <row r="4">
          <cell r="A4" t="str">
            <v>BẢNG TÍNH TOÁN, ĐO BÓC KHỐI LƯỢNG HOÀN THÀNH ĐƯA VÀO QUYẾT TOÁN</v>
          </cell>
        </row>
      </sheetData>
      <sheetData sheetId="8263" refreshError="1"/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4">
          <cell r="A4" t="str">
            <v>BẢNG TÍNH TOÁN, ĐO BÓC KHỐI LƯỢNG HOÀN THÀNH ĐƯA VÀO QUYẾT TOÁN</v>
          </cell>
        </row>
      </sheetData>
      <sheetData sheetId="8271">
        <row r="4">
          <cell r="A4" t="str">
            <v>BẢNG TÍNH TOÁN, ĐO BÓC KHỐI LƯỢNG HOÀN THÀNH ĐƯA VÀO QUYẾT TOÁN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>
        <row r="4">
          <cell r="A4" t="str">
            <v>BẢNG TÍNH TOÁN, ĐO BÓC KHỐI LƯỢNG HOÀN THÀNH ĐƯA VÀO QUYẾT TOÁN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4">
          <cell r="A4" t="str">
            <v>BẢNG TÍNH TOÁN, ĐO BÓC KHỐI LƯỢNG HOÀN THÀNH ĐƯA VÀO QUYẾT TOÁN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4">
          <cell r="A4" t="str">
            <v>BẢNG TÍNH TOÁN, ĐO BÓC KHỐI LƯỢNG HOÀN THÀNH ĐƯA VÀO QUYẾT TOÁN</v>
          </cell>
        </row>
      </sheetData>
      <sheetData sheetId="8291">
        <row r="4">
          <cell r="A4" t="str">
            <v>BẢNG TÍNH TOÁN, ĐO BÓC KHỐI LƯỢNG HOÀN THÀNH ĐƯA VÀO QUYẾT TOÁN</v>
          </cell>
        </row>
      </sheetData>
      <sheetData sheetId="8292">
        <row r="4">
          <cell r="A4" t="str">
            <v>BẢNG TÍNH TOÁN, ĐO BÓC KHỐI LƯỢNG HOÀN THÀNH ĐƯA VÀO QUYẾT TOÁN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4">
          <cell r="A4" t="str">
            <v>BẢNG TÍNH TOÁN, ĐO BÓC KHỐI LƯỢNG HOÀN THÀNH ĐƯA VÀO QUYẾT TOÁN</v>
          </cell>
        </row>
      </sheetData>
      <sheetData sheetId="8296">
        <row r="9">
          <cell r="A9" t="str">
            <v>A</v>
          </cell>
        </row>
      </sheetData>
      <sheetData sheetId="8297">
        <row r="4">
          <cell r="A4" t="str">
            <v>BẢNG TÍNH TOÁN, ĐO BÓC KHỐI LƯỢNG HOÀN THÀNH ĐƯA VÀO QUYẾT TOÁN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4">
          <cell r="A4" t="str">
            <v>BẢNG TÍNH TOÁN, ĐO BÓC KHỐI LƯỢNG HOÀN THÀNH ĐƯA VÀO QUYẾT TOÁN</v>
          </cell>
        </row>
      </sheetData>
      <sheetData sheetId="8302">
        <row r="4">
          <cell r="A4" t="str">
            <v>BẢNG TÍNH TOÁN, ĐO BÓC KHỐI LƯỢNG HOÀN THÀNH ĐƯA VÀO QUYẾT TOÁN</v>
          </cell>
        </row>
      </sheetData>
      <sheetData sheetId="8303">
        <row r="4">
          <cell r="A4" t="str">
            <v>BẢNG TÍNH TOÁN, ĐO BÓC KHỐI LƯỢNG HOÀN THÀNH ĐƯA VÀO QUYẾT TOÁN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4">
          <cell r="A4" t="str">
            <v>BẢNG TÍNH TOÁN, ĐO BÓC KHỐI LƯỢNG HOÀN THÀNH ĐƯA VÀO QUYẾT TOÁN</v>
          </cell>
        </row>
      </sheetData>
      <sheetData sheetId="8321">
        <row r="4">
          <cell r="A4" t="str">
            <v>BẢNG TÍNH TOÁN, ĐO BÓC KHỐI LƯỢNG HOÀN THÀNH ĐƯA VÀO QUYẾT TOÁN</v>
          </cell>
        </row>
      </sheetData>
      <sheetData sheetId="8322">
        <row r="4">
          <cell r="A4" t="str">
            <v>BẢNG TÍNH TOÁN, ĐO BÓC KHỐI LƯỢNG HOÀN THÀNH ĐƯA VÀO QUYẾT TOÁN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4">
          <cell r="A4" t="str">
            <v>BẢNG TÍNH TOÁN, ĐO BÓC KHỐI LƯỢNG HOÀN THÀNH ĐƯA VÀO QUYẾT TOÁN</v>
          </cell>
        </row>
      </sheetData>
      <sheetData sheetId="8326">
        <row r="4">
          <cell r="A4" t="str">
            <v>BẢNG TÍNH TOÁN, ĐO BÓC KHỐI LƯỢNG HOÀN THÀNH ĐƯA VÀO QUYẾT TOÁN</v>
          </cell>
        </row>
      </sheetData>
      <sheetData sheetId="8327">
        <row r="4">
          <cell r="A4" t="str">
            <v>BẢNG TÍNH TOÁN, ĐO BÓC KHỐI LƯỢNG HOÀN THÀNH ĐƯA VÀO QUYẾT TOÁN</v>
          </cell>
        </row>
      </sheetData>
      <sheetData sheetId="8328">
        <row r="9">
          <cell r="A9" t="str">
            <v>A</v>
          </cell>
        </row>
      </sheetData>
      <sheetData sheetId="8329">
        <row r="4">
          <cell r="A4" t="str">
            <v>BẢNG TÍNH TOÁN, ĐO BÓC KHỐI LƯỢNG HOÀN THÀNH ĐƯA VÀO QUYẾT TOÁN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 refreshError="1"/>
      <sheetData sheetId="8340" refreshError="1"/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4">
          <cell r="A4" t="str">
            <v>BẢNG TÍNH TOÁN, ĐO BÓC KHỐI LƯỢNG HOÀN THÀNH ĐƯA VÀO QUYẾT TOÁN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4">
          <cell r="A4" t="str">
            <v>BẢNG TÍNH TOÁN, ĐO BÓC KHỐI LƯỢNG HOÀN THÀNH ĐƯA VÀO QUYẾT TOÁN</v>
          </cell>
        </row>
      </sheetData>
      <sheetData sheetId="8349">
        <row r="4">
          <cell r="A4" t="str">
            <v>BẢNG TÍNH TOÁN, ĐO BÓC KHỐI LƯỢNG HOÀN THÀNH ĐƯA VÀO QUYẾT TOÁN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4">
          <cell r="A4" t="str">
            <v>BẢNG TÍNH TOÁN, ĐO BÓC KHỐI LƯỢNG HOÀN THÀNH ĐƯA VÀO QUYẾT TOÁN</v>
          </cell>
        </row>
      </sheetData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4">
          <cell r="A4" t="str">
            <v>BẢNG TÍNH TOÁN, ĐO BÓC KHỐI LƯỢNG HOÀN THÀNH ĐƯA VÀO QUYẾT TOÁN</v>
          </cell>
        </row>
      </sheetData>
      <sheetData sheetId="8369">
        <row r="4">
          <cell r="A4" t="str">
            <v>BẢNG TÍNH TOÁN, ĐO BÓC KHỐI LƯỢNG HOÀN THÀNH ĐƯA VÀO QUYẾT TOÁN</v>
          </cell>
        </row>
      </sheetData>
      <sheetData sheetId="8370">
        <row r="4">
          <cell r="A4" t="str">
            <v>BẢNG TÍNH TOÁN, ĐO BÓC KHỐI LƯỢNG HOÀN THÀNH ĐƯA VÀO QUYẾT TOÁN</v>
          </cell>
        </row>
      </sheetData>
      <sheetData sheetId="8371">
        <row r="4">
          <cell r="A4" t="str">
            <v>BẢNG TÍNH TOÁN, ĐO BÓC KHỐI LƯỢNG HOÀN THÀNH ĐƯA VÀO QUYẾT TOÁN</v>
          </cell>
        </row>
      </sheetData>
      <sheetData sheetId="8372">
        <row r="4">
          <cell r="A4" t="str">
            <v>BẢNG TÍNH TOÁN, ĐO BÓC KHỐI LƯỢNG HOÀN THÀNH ĐƯA VÀO QUYẾT TOÁN</v>
          </cell>
        </row>
      </sheetData>
      <sheetData sheetId="8373">
        <row r="4">
          <cell r="A4" t="str">
            <v>BẢNG TÍNH TOÁN, ĐO BÓC KHỐI LƯỢNG HOÀN THÀNH ĐƯA VÀO QUYẾT TOÁN</v>
          </cell>
        </row>
      </sheetData>
      <sheetData sheetId="8374">
        <row r="4">
          <cell r="A4" t="str">
            <v>BẢNG TÍNH TOÁN, ĐO BÓC KHỐI LƯỢNG HOÀN THÀNH ĐƯA VÀO QUYẾT TOÁN</v>
          </cell>
        </row>
      </sheetData>
      <sheetData sheetId="8375">
        <row r="4">
          <cell r="A4" t="str">
            <v>BẢNG TÍNH TOÁN, ĐO BÓC KHỐI LƯỢNG HOÀN THÀNH ĐƯA VÀO QUYẾT TOÁN</v>
          </cell>
        </row>
      </sheetData>
      <sheetData sheetId="8376" refreshError="1"/>
      <sheetData sheetId="8377" refreshError="1"/>
      <sheetData sheetId="8378" refreshError="1"/>
      <sheetData sheetId="8379">
        <row r="4">
          <cell r="A4" t="str">
            <v>BẢNG TÍNH TOÁN, ĐO BÓC KHỐI LƯỢNG HOÀN THÀNH ĐƯA VÀO QUYẾT TOÁN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4">
          <cell r="A4" t="str">
            <v>BẢNG TÍNH TOÁN, ĐO BÓC KHỐI LƯỢNG HOÀN THÀNH ĐƯA VÀO QUYẾT TOÁN</v>
          </cell>
        </row>
      </sheetData>
      <sheetData sheetId="8386">
        <row r="4">
          <cell r="A4" t="str">
            <v>BẢNG TÍNH TOÁN, ĐO BÓC KHỐI LƯỢNG HOÀN THÀNH ĐƯA VÀO QUYẾT TOÁN</v>
          </cell>
        </row>
      </sheetData>
      <sheetData sheetId="8387">
        <row r="4">
          <cell r="A4" t="str">
            <v>BẢNG TÍNH TOÁN, ĐO BÓC KHỐI LƯỢNG HOÀN THÀNH ĐƯA VÀO QUYẾT TOÁN</v>
          </cell>
        </row>
      </sheetData>
      <sheetData sheetId="8388">
        <row r="4">
          <cell r="A4" t="str">
            <v>BẢNG TÍNH TOÁN, ĐO BÓC KHỐI LƯỢNG HOÀN THÀNH ĐƯA VÀO QUYẾT TOÁN</v>
          </cell>
        </row>
      </sheetData>
      <sheetData sheetId="8389">
        <row r="4">
          <cell r="A4" t="str">
            <v>BẢNG TÍNH TOÁN, ĐO BÓC KHỐI LƯỢNG HOÀN THÀNH ĐƯA VÀO QUYẾT TOÁN</v>
          </cell>
        </row>
      </sheetData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>
        <row r="4">
          <cell r="A4" t="str">
            <v>BẢNG TÍNH TOÁN, ĐO BÓC KHỐI LƯỢNG HOÀN THÀNH ĐƯA VÀO QUYẾT TOÁN</v>
          </cell>
        </row>
      </sheetData>
      <sheetData sheetId="8401">
        <row r="4">
          <cell r="A4" t="str">
            <v>BẢNG TÍNH TOÁN, ĐO BÓC KHỐI LƯỢNG HOÀN THÀNH ĐƯA VÀO QUYẾT TOÁN</v>
          </cell>
        </row>
      </sheetData>
      <sheetData sheetId="8402">
        <row r="4">
          <cell r="A4" t="str">
            <v>BẢNG TÍNH TOÁN, ĐO BÓC KHỐI LƯỢNG HOÀN THÀNH ĐƯA VÀO QUYẾT TOÁN</v>
          </cell>
        </row>
      </sheetData>
      <sheetData sheetId="8403">
        <row r="4">
          <cell r="A4" t="str">
            <v>BẢNG TÍNH TOÁN, ĐO BÓC KHỐI LƯỢNG HOÀN THÀNH ĐƯA VÀO QUYẾT TOÁN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4">
          <cell r="A4" t="str">
            <v>BẢNG TÍNH TOÁN, ĐO BÓC KHỐI LƯỢNG HOÀN THÀNH ĐƯA VÀO QUYẾT TOÁN</v>
          </cell>
        </row>
      </sheetData>
      <sheetData sheetId="8407" refreshError="1"/>
      <sheetData sheetId="8408" refreshError="1"/>
      <sheetData sheetId="8409">
        <row r="4">
          <cell r="A4" t="str">
            <v>BẢNG TÍNH TOÁN, ĐO BÓC KHỐI LƯỢNG HOÀN THÀNH ĐƯA VÀO QUYẾT TOÁN</v>
          </cell>
        </row>
      </sheetData>
      <sheetData sheetId="8410">
        <row r="4">
          <cell r="A4" t="str">
            <v>BẢNG TÍNH TOÁN, ĐO BÓC KHỐI LƯỢNG HOÀN THÀNH ĐƯA VÀO QUYẾT TOÁN</v>
          </cell>
        </row>
      </sheetData>
      <sheetData sheetId="8411">
        <row r="4">
          <cell r="A4" t="str">
            <v>BẢNG TÍNH TOÁN, ĐO BÓC KHỐI LƯỢNG HOÀN THÀNH ĐƯA VÀO QUYẾT TOÁN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>
        <row r="4">
          <cell r="A4" t="str">
            <v>BẢNG TÍNH TOÁN, ĐO BÓC KHỐI LƯỢNG HOÀN THÀNH ĐƯA VÀO QUYẾT TOÁN</v>
          </cell>
        </row>
      </sheetData>
      <sheetData sheetId="8474">
        <row r="4">
          <cell r="A4" t="str">
            <v>BẢNG TÍNH TOÁN, ĐO BÓC KHỐI LƯỢNG HOÀN THÀNH ĐƯA VÀO QUYẾT TOÁN</v>
          </cell>
        </row>
      </sheetData>
      <sheetData sheetId="8475">
        <row r="4">
          <cell r="A4" t="str">
            <v>BẢNG TÍNH TOÁN, ĐO BÓC KHỐI LƯỢNG HOÀN THÀNH ĐƯA VÀO QUYẾT TOÁN</v>
          </cell>
        </row>
      </sheetData>
      <sheetData sheetId="8476">
        <row r="4">
          <cell r="A4" t="str">
            <v>BẢNG TÍNH TOÁN, ĐO BÓC KHỐI LƯỢNG HOÀN THÀNH ĐƯA VÀO QUYẾT TOÁN</v>
          </cell>
        </row>
      </sheetData>
      <sheetData sheetId="8477">
        <row r="4">
          <cell r="A4" t="str">
            <v>BẢNG TÍNH TOÁN, ĐO BÓC KHỐI LƯỢNG HOÀN THÀNH ĐƯA VÀO QUYẾT TOÁN</v>
          </cell>
        </row>
      </sheetData>
      <sheetData sheetId="8478">
        <row r="4">
          <cell r="A4" t="str">
            <v>BẢNG TÍNH TOÁN, ĐO BÓC KHỐI LƯỢNG HOÀN THÀNH ĐƯA VÀO QUYẾT TOÁN</v>
          </cell>
        </row>
      </sheetData>
      <sheetData sheetId="8479">
        <row r="4">
          <cell r="A4" t="str">
            <v>BẢNG TÍNH TOÁN, ĐO BÓC KHỐI LƯỢNG HOÀN THÀNH ĐƯA VÀO QUYẾT TOÁN</v>
          </cell>
        </row>
      </sheetData>
      <sheetData sheetId="8480">
        <row r="4">
          <cell r="A4" t="str">
            <v>BẢNG TÍNH TOÁN, ĐO BÓC KHỐI LƯỢNG HOÀN THÀNH ĐƯA VÀO QUYẾT TOÁN</v>
          </cell>
        </row>
      </sheetData>
      <sheetData sheetId="8481">
        <row r="4">
          <cell r="A4" t="str">
            <v>BẢNG TÍNH TOÁN, ĐO BÓC KHỐI LƯỢNG HOÀN THÀNH ĐƯA VÀO QUYẾT TOÁN</v>
          </cell>
        </row>
      </sheetData>
      <sheetData sheetId="8482">
        <row r="4">
          <cell r="A4" t="str">
            <v>BẢNG TÍNH TOÁN, ĐO BÓC KHỐI LƯỢNG HOÀN THÀNH ĐƯA VÀO QUYẾT TOÁN</v>
          </cell>
        </row>
      </sheetData>
      <sheetData sheetId="8483">
        <row r="4">
          <cell r="A4" t="str">
            <v>BẢNG TÍNH TOÁN, ĐO BÓC KHỐI LƯỢNG HOÀN THÀNH ĐƯA VÀO QUYẾT TOÁN</v>
          </cell>
        </row>
      </sheetData>
      <sheetData sheetId="8484">
        <row r="4">
          <cell r="A4" t="str">
            <v>BẢNG TÍNH TOÁN, ĐO BÓC KHỐI LƯỢNG HOÀN THÀNH ĐƯA VÀO QUYẾT TOÁN</v>
          </cell>
        </row>
      </sheetData>
      <sheetData sheetId="8485">
        <row r="4">
          <cell r="A4" t="str">
            <v>BẢNG TÍNH TOÁN, ĐO BÓC KHỐI LƯỢNG HOÀN THÀNH ĐƯA VÀO QUYẾT TOÁN</v>
          </cell>
        </row>
      </sheetData>
      <sheetData sheetId="8486">
        <row r="4">
          <cell r="A4" t="str">
            <v>BẢNG TÍNH TOÁN, ĐO BÓC KHỐI LƯỢNG HOÀN THÀNH ĐƯA VÀO QUYẾT TOÁN</v>
          </cell>
        </row>
      </sheetData>
      <sheetData sheetId="8487">
        <row r="4">
          <cell r="A4" t="str">
            <v>BẢNG TÍNH TOÁN, ĐO BÓC KHỐI LƯỢNG HOÀN THÀNH ĐƯA VÀO QUYẾT TOÁN</v>
          </cell>
        </row>
      </sheetData>
      <sheetData sheetId="8488">
        <row r="4">
          <cell r="A4" t="str">
            <v>BẢNG TÍNH TOÁN, ĐO BÓC KHỐI LƯỢNG HOÀN THÀNH ĐƯA VÀO QUYẾT TOÁN</v>
          </cell>
        </row>
      </sheetData>
      <sheetData sheetId="8489">
        <row r="4">
          <cell r="A4" t="str">
            <v>BẢNG TÍNH TOÁN, ĐO BÓC KHỐI LƯỢNG HOÀN THÀNH ĐƯA VÀO QUYẾT TOÁN</v>
          </cell>
        </row>
      </sheetData>
      <sheetData sheetId="8490">
        <row r="4">
          <cell r="A4" t="str">
            <v>BẢNG TÍNH TOÁN, ĐO BÓC KHỐI LƯỢNG HOÀN THÀNH ĐƯA VÀO QUYẾT TOÁN</v>
          </cell>
        </row>
      </sheetData>
      <sheetData sheetId="8491">
        <row r="4">
          <cell r="A4" t="str">
            <v>BẢNG TÍNH TOÁN, ĐO BÓC KHỐI LƯỢNG HOÀN THÀNH ĐƯA VÀO QUYẾT TOÁN</v>
          </cell>
        </row>
      </sheetData>
      <sheetData sheetId="8492">
        <row r="4">
          <cell r="A4" t="str">
            <v>BẢNG TÍNH TOÁN, ĐO BÓC KHỐI LƯỢNG HOÀN THÀNH ĐƯA VÀO QUYẾT TOÁN</v>
          </cell>
        </row>
      </sheetData>
      <sheetData sheetId="8493">
        <row r="4">
          <cell r="A4" t="str">
            <v>BẢNG TÍNH TOÁN, ĐO BÓC KHỐI LƯỢNG HOÀN THÀNH ĐƯA VÀO QUYẾT TOÁN</v>
          </cell>
        </row>
      </sheetData>
      <sheetData sheetId="8494">
        <row r="4">
          <cell r="A4" t="str">
            <v>BẢNG TÍNH TOÁN, ĐO BÓC KHỐI LƯỢNG HOÀN THÀNH ĐƯA VÀO QUYẾT TOÁN</v>
          </cell>
        </row>
      </sheetData>
      <sheetData sheetId="8495">
        <row r="4">
          <cell r="A4" t="str">
            <v>BẢNG TÍNH TOÁN, ĐO BÓC KHỐI LƯỢNG HOÀN THÀNH ĐƯA VÀO QUYẾT TOÁN</v>
          </cell>
        </row>
      </sheetData>
      <sheetData sheetId="8496">
        <row r="4">
          <cell r="A4" t="str">
            <v>BẢNG TÍNH TOÁN, ĐO BÓC KHỐI LƯỢNG HOÀN THÀNH ĐƯA VÀO QUYẾT TOÁN</v>
          </cell>
        </row>
      </sheetData>
      <sheetData sheetId="8497">
        <row r="4">
          <cell r="A4" t="str">
            <v>BẢNG TÍNH TOÁN, ĐO BÓC KHỐI LƯỢNG HOÀN THÀNH ĐƯA VÀO QUYẾT TOÁN</v>
          </cell>
        </row>
      </sheetData>
      <sheetData sheetId="8498">
        <row r="4">
          <cell r="A4" t="str">
            <v>BẢNG TÍNH TOÁN, ĐO BÓC KHỐI LƯỢNG HOÀN THÀNH ĐƯA VÀO QUYẾT TOÁN</v>
          </cell>
        </row>
      </sheetData>
      <sheetData sheetId="8499">
        <row r="4">
          <cell r="A4" t="str">
            <v>BẢNG TÍNH TOÁN, ĐO BÓC KHỐI LƯỢNG HOÀN THÀNH ĐƯA VÀO QUYẾT TOÁN</v>
          </cell>
        </row>
      </sheetData>
      <sheetData sheetId="8500">
        <row r="4">
          <cell r="A4" t="str">
            <v>BẢNG TÍNH TOÁN, ĐO BÓC KHỐI LƯỢNG HOÀN THÀNH ĐƯA VÀO QUYẾT TOÁN</v>
          </cell>
        </row>
      </sheetData>
      <sheetData sheetId="8501">
        <row r="4">
          <cell r="A4" t="str">
            <v>BẢNG TÍNH TOÁN, ĐO BÓC KHỐI LƯỢNG HOÀN THÀNH ĐƯA VÀO QUYẾT TOÁN</v>
          </cell>
        </row>
      </sheetData>
      <sheetData sheetId="8502">
        <row r="4">
          <cell r="A4" t="str">
            <v>BẢNG TÍNH TOÁN, ĐO BÓC KHỐI LƯỢNG HOÀN THÀNH ĐƯA VÀO QUYẾT TOÁN</v>
          </cell>
        </row>
      </sheetData>
      <sheetData sheetId="8503">
        <row r="4">
          <cell r="A4" t="str">
            <v>BẢNG TÍNH TOÁN, ĐO BÓC KHỐI LƯỢNG HOÀN THÀNH ĐƯA VÀO QUYẾT TOÁN</v>
          </cell>
        </row>
      </sheetData>
      <sheetData sheetId="8504">
        <row r="4">
          <cell r="A4" t="str">
            <v>BẢNG TÍNH TOÁN, ĐO BÓC KHỐI LƯỢNG HOÀN THÀNH ĐƯA VÀO QUYẾT TOÁN</v>
          </cell>
        </row>
      </sheetData>
      <sheetData sheetId="8505">
        <row r="4">
          <cell r="A4" t="str">
            <v>BẢNG TÍNH TOÁN, ĐO BÓC KHỐI LƯỢNG HOÀN THÀNH ĐƯA VÀO QUYẾT TOÁN</v>
          </cell>
        </row>
      </sheetData>
      <sheetData sheetId="8506">
        <row r="4">
          <cell r="A4" t="str">
            <v>BẢNG TÍNH TOÁN, ĐO BÓC KHỐI LƯỢNG HOÀN THÀNH ĐƯA VÀO QUYẾT TOÁN</v>
          </cell>
        </row>
      </sheetData>
      <sheetData sheetId="8507">
        <row r="4">
          <cell r="A4" t="str">
            <v>BẢNG TÍNH TOÁN, ĐO BÓC KHỐI LƯỢNG HOÀN THÀNH ĐƯA VÀO QUYẾT TOÁN</v>
          </cell>
        </row>
      </sheetData>
      <sheetData sheetId="8508">
        <row r="4">
          <cell r="A4" t="str">
            <v>BẢNG TÍNH TOÁN, ĐO BÓC KHỐI LƯỢNG HOÀN THÀNH ĐƯA VÀO QUYẾT TOÁN</v>
          </cell>
        </row>
      </sheetData>
      <sheetData sheetId="8509">
        <row r="4">
          <cell r="A4" t="str">
            <v>BẢNG TÍNH TOÁN, ĐO BÓC KHỐI LƯỢNG HOÀN THÀNH ĐƯA VÀO QUYẾT TOÁN</v>
          </cell>
        </row>
      </sheetData>
      <sheetData sheetId="8510">
        <row r="4">
          <cell r="A4" t="str">
            <v>BẢNG TÍNH TOÁN, ĐO BÓC KHỐI LƯỢNG HOÀN THÀNH ĐƯA VÀO QUYẾT TOÁN</v>
          </cell>
        </row>
      </sheetData>
      <sheetData sheetId="8511">
        <row r="4">
          <cell r="A4" t="str">
            <v>BẢNG TÍNH TOÁN, ĐO BÓC KHỐI LƯỢNG HOÀN THÀNH ĐƯA VÀO QUYẾT TOÁN</v>
          </cell>
        </row>
      </sheetData>
      <sheetData sheetId="8512">
        <row r="4">
          <cell r="A4" t="str">
            <v>BẢNG TÍNH TOÁN, ĐO BÓC KHỐI LƯỢNG HOÀN THÀNH ĐƯA VÀO QUYẾT TOÁN</v>
          </cell>
        </row>
      </sheetData>
      <sheetData sheetId="8513">
        <row r="4">
          <cell r="A4" t="str">
            <v>BẢNG TÍNH TOÁN, ĐO BÓC KHỐI LƯỢNG HOÀN THÀNH ĐƯA VÀO QUYẾT TOÁN</v>
          </cell>
        </row>
      </sheetData>
      <sheetData sheetId="8514">
        <row r="4">
          <cell r="A4" t="str">
            <v>BẢNG TÍNH TOÁN, ĐO BÓC KHỐI LƯỢNG HOÀN THÀNH ĐƯA VÀO QUYẾT TOÁN</v>
          </cell>
        </row>
      </sheetData>
      <sheetData sheetId="8515">
        <row r="4">
          <cell r="A4" t="str">
            <v>BẢNG TÍNH TOÁN, ĐO BÓC KHỐI LƯỢNG HOÀN THÀNH ĐƯA VÀO QUYẾT TOÁN</v>
          </cell>
        </row>
      </sheetData>
      <sheetData sheetId="8516">
        <row r="4">
          <cell r="A4" t="str">
            <v>BẢNG TÍNH TOÁN, ĐO BÓC KHỐI LƯỢNG HOÀN THÀNH ĐƯA VÀO QUYẾT TOÁN</v>
          </cell>
        </row>
      </sheetData>
      <sheetData sheetId="8517">
        <row r="4">
          <cell r="A4" t="str">
            <v>BẢNG TÍNH TOÁN, ĐO BÓC KHỐI LƯỢNG HOÀN THÀNH ĐƯA VÀO QUYẾT TOÁN</v>
          </cell>
        </row>
      </sheetData>
      <sheetData sheetId="8518">
        <row r="4">
          <cell r="A4" t="str">
            <v>BẢNG TÍNH TOÁN, ĐO BÓC KHỐI LƯỢNG HOÀN THÀNH ĐƯA VÀO QUYẾT TOÁN</v>
          </cell>
        </row>
      </sheetData>
      <sheetData sheetId="8519">
        <row r="4">
          <cell r="A4" t="str">
            <v>BẢNG TÍNH TOÁN, ĐO BÓC KHỐI LƯỢNG HOÀN THÀNH ĐƯA VÀO QUYẾT TOÁN</v>
          </cell>
        </row>
      </sheetData>
      <sheetData sheetId="8520">
        <row r="4">
          <cell r="A4" t="str">
            <v>BẢNG TÍNH TOÁN, ĐO BÓC KHỐI LƯỢNG HOÀN THÀNH ĐƯA VÀO QUYẾT TOÁN</v>
          </cell>
        </row>
      </sheetData>
      <sheetData sheetId="8521">
        <row r="4">
          <cell r="A4" t="str">
            <v>BẢNG TÍNH TOÁN, ĐO BÓC KHỐI LƯỢNG HOÀN THÀNH ĐƯA VÀO QUYẾT TOÁN</v>
          </cell>
        </row>
      </sheetData>
      <sheetData sheetId="8522">
        <row r="4">
          <cell r="A4" t="str">
            <v>BẢNG TÍNH TOÁN, ĐO BÓC KHỐI LƯỢNG HOÀN THÀNH ĐƯA VÀO QUYẾT TOÁN</v>
          </cell>
        </row>
      </sheetData>
      <sheetData sheetId="8523">
        <row r="4">
          <cell r="A4" t="str">
            <v>BẢNG TÍNH TOÁN, ĐO BÓC KHỐI LƯỢNG HOÀN THÀNH ĐƯA VÀO QUYẾT TOÁN</v>
          </cell>
        </row>
      </sheetData>
      <sheetData sheetId="8524">
        <row r="4">
          <cell r="A4" t="str">
            <v>BẢNG TÍNH TOÁN, ĐO BÓC KHỐI LƯỢNG HOÀN THÀNH ĐƯA VÀO QUYẾT TOÁN</v>
          </cell>
        </row>
      </sheetData>
      <sheetData sheetId="8525">
        <row r="4">
          <cell r="A4" t="str">
            <v>BẢNG TÍNH TOÁN, ĐO BÓC KHỐI LƯỢNG HOÀN THÀNH ĐƯA VÀO QUYẾT TOÁN</v>
          </cell>
        </row>
      </sheetData>
      <sheetData sheetId="8526">
        <row r="4">
          <cell r="A4" t="str">
            <v>BẢNG TÍNH TOÁN, ĐO BÓC KHỐI LƯỢNG HOÀN THÀNH ĐƯA VÀO QUYẾT TOÁN</v>
          </cell>
        </row>
      </sheetData>
      <sheetData sheetId="8527">
        <row r="4">
          <cell r="A4" t="str">
            <v>BẢNG TÍNH TOÁN, ĐO BÓC KHỐI LƯỢNG HOÀN THÀNH ĐƯA VÀO QUYẾT TOÁN</v>
          </cell>
        </row>
      </sheetData>
      <sheetData sheetId="8528">
        <row r="4">
          <cell r="A4" t="str">
            <v>BẢNG TÍNH TOÁN, ĐO BÓC KHỐI LƯỢNG HOÀN THÀNH ĐƯA VÀO QUYẾT TOÁN</v>
          </cell>
        </row>
      </sheetData>
      <sheetData sheetId="8529">
        <row r="4">
          <cell r="A4" t="str">
            <v>BẢNG TÍNH TOÁN, ĐO BÓC KHỐI LƯỢNG HOÀN THÀNH ĐƯA VÀO QUYẾT TOÁN</v>
          </cell>
        </row>
      </sheetData>
      <sheetData sheetId="8530">
        <row r="4">
          <cell r="A4" t="str">
            <v>BẢNG TÍNH TOÁN, ĐO BÓC KHỐI LƯỢNG HOÀN THÀNH ĐƯA VÀO QUYẾT TOÁN</v>
          </cell>
        </row>
      </sheetData>
      <sheetData sheetId="8531">
        <row r="4">
          <cell r="A4" t="str">
            <v>BẢNG TÍNH TOÁN, ĐO BÓC KHỐI LƯỢNG HOÀN THÀNH ĐƯA VÀO QUYẾT TOÁN</v>
          </cell>
        </row>
      </sheetData>
      <sheetData sheetId="8532">
        <row r="4">
          <cell r="A4" t="str">
            <v>BẢNG TÍNH TOÁN, ĐO BÓC KHỐI LƯỢNG HOÀN THÀNH ĐƯA VÀO QUYẾT TOÁN</v>
          </cell>
        </row>
      </sheetData>
      <sheetData sheetId="8533">
        <row r="4">
          <cell r="A4" t="str">
            <v>BẢNG TÍNH TOÁN, ĐO BÓC KHỐI LƯỢNG HOÀN THÀNH ĐƯA VÀO QUYẾT TOÁN</v>
          </cell>
        </row>
      </sheetData>
      <sheetData sheetId="8534">
        <row r="4">
          <cell r="A4" t="str">
            <v>BẢNG TÍNH TOÁN, ĐO BÓC KHỐI LƯỢNG HOÀN THÀNH ĐƯA VÀO QUYẾT TOÁN</v>
          </cell>
        </row>
      </sheetData>
      <sheetData sheetId="8535">
        <row r="4">
          <cell r="A4" t="str">
            <v>BẢNG TÍNH TOÁN, ĐO BÓC KHỐI LƯỢNG HOÀN THÀNH ĐƯA VÀO QUYẾT TOÁN</v>
          </cell>
        </row>
      </sheetData>
      <sheetData sheetId="8536">
        <row r="4">
          <cell r="A4" t="str">
            <v>BẢNG TÍNH TOÁN, ĐO BÓC KHỐI LƯỢNG HOÀN THÀNH ĐƯA VÀO QUYẾT TOÁN</v>
          </cell>
        </row>
      </sheetData>
      <sheetData sheetId="8537">
        <row r="4">
          <cell r="A4" t="str">
            <v>BẢNG TÍNH TOÁN, ĐO BÓC KHỐI LƯỢNG HOÀN THÀNH ĐƯA VÀO QUYẾT TOÁN</v>
          </cell>
        </row>
      </sheetData>
      <sheetData sheetId="8538">
        <row r="4">
          <cell r="A4" t="str">
            <v>BẢNG TÍNH TOÁN, ĐO BÓC KHỐI LƯỢNG HOÀN THÀNH ĐƯA VÀO QUYẾT TOÁN</v>
          </cell>
        </row>
      </sheetData>
      <sheetData sheetId="8539">
        <row r="4">
          <cell r="A4" t="str">
            <v>BẢNG TÍNH TOÁN, ĐO BÓC KHỐI LƯỢNG HOÀN THÀNH ĐƯA VÀO QUYẾT TOÁN</v>
          </cell>
        </row>
      </sheetData>
      <sheetData sheetId="8540">
        <row r="4">
          <cell r="A4" t="str">
            <v>BẢNG TÍNH TOÁN, ĐO BÓC KHỐI LƯỢNG HOÀN THÀNH ĐƯA VÀO QUYẾT TOÁN</v>
          </cell>
        </row>
      </sheetData>
      <sheetData sheetId="8541">
        <row r="4">
          <cell r="A4" t="str">
            <v>BẢNG TÍNH TOÁN, ĐO BÓC KHỐI LƯỢNG HOÀN THÀNH ĐƯA VÀO QUYẾT TOÁN</v>
          </cell>
        </row>
      </sheetData>
      <sheetData sheetId="8542">
        <row r="4">
          <cell r="A4" t="str">
            <v>BẢNG TÍNH TOÁN, ĐO BÓC KHỐI LƯỢNG HOÀN THÀNH ĐƯA VÀO QUYẾT TOÁN</v>
          </cell>
        </row>
      </sheetData>
      <sheetData sheetId="8543">
        <row r="4">
          <cell r="A4" t="str">
            <v>BẢNG TÍNH TOÁN, ĐO BÓC KHỐI LƯỢNG HOÀN THÀNH ĐƯA VÀO QUYẾT TOÁN</v>
          </cell>
        </row>
      </sheetData>
      <sheetData sheetId="8544">
        <row r="4">
          <cell r="A4" t="str">
            <v>BẢNG TÍNH TOÁN, ĐO BÓC KHỐI LƯỢNG HOÀN THÀNH ĐƯA VÀO QUYẾT TOÁN</v>
          </cell>
        </row>
      </sheetData>
      <sheetData sheetId="8545">
        <row r="4">
          <cell r="A4" t="str">
            <v>BẢNG TÍNH TOÁN, ĐO BÓC KHỐI LƯỢNG HOÀN THÀNH ĐƯA VÀO QUYẾT TOÁN</v>
          </cell>
        </row>
      </sheetData>
      <sheetData sheetId="8546">
        <row r="4">
          <cell r="A4" t="str">
            <v>BẢNG TÍNH TOÁN, ĐO BÓC KHỐI LƯỢNG HOÀN THÀNH ĐƯA VÀO QUYẾT TOÁN</v>
          </cell>
        </row>
      </sheetData>
      <sheetData sheetId="8547">
        <row r="4">
          <cell r="A4" t="str">
            <v>BẢNG TÍNH TOÁN, ĐO BÓC KHỐI LƯỢNG HOÀN THÀNH ĐƯA VÀO QUYẾT TOÁN</v>
          </cell>
        </row>
      </sheetData>
      <sheetData sheetId="8548">
        <row r="4">
          <cell r="A4" t="str">
            <v>BẢNG TÍNH TOÁN, ĐO BÓC KHỐI LƯỢNG HOÀN THÀNH ĐƯA VÀO QUYẾT TOÁN</v>
          </cell>
        </row>
      </sheetData>
      <sheetData sheetId="8549">
        <row r="4">
          <cell r="A4" t="str">
            <v>BẢNG TÍNH TOÁN, ĐO BÓC KHỐI LƯỢNG HOÀN THÀNH ĐƯA VÀO QUYẾT TOÁN</v>
          </cell>
        </row>
      </sheetData>
      <sheetData sheetId="8550">
        <row r="4">
          <cell r="A4" t="str">
            <v>BẢNG TÍNH TOÁN, ĐO BÓC KHỐI LƯỢNG HOÀN THÀNH ĐƯA VÀO QUYẾT TOÁN</v>
          </cell>
        </row>
      </sheetData>
      <sheetData sheetId="8551">
        <row r="4">
          <cell r="A4" t="str">
            <v>BẢNG TÍNH TOÁN, ĐO BÓC KHỐI LƯỢNG HOÀN THÀNH ĐƯA VÀO QUYẾT TOÁN</v>
          </cell>
        </row>
      </sheetData>
      <sheetData sheetId="8552">
        <row r="4">
          <cell r="A4" t="str">
            <v>BẢNG TÍNH TOÁN, ĐO BÓC KHỐI LƯỢNG HOÀN THÀNH ĐƯA VÀO QUYẾT TOÁN</v>
          </cell>
        </row>
      </sheetData>
      <sheetData sheetId="8553">
        <row r="4">
          <cell r="A4" t="str">
            <v>BẢNG TÍNH TOÁN, ĐO BÓC KHỐI LƯỢNG HOÀN THÀNH ĐƯA VÀO QUYẾT TOÁN</v>
          </cell>
        </row>
      </sheetData>
      <sheetData sheetId="8554">
        <row r="4">
          <cell r="A4" t="str">
            <v>BẢNG TÍNH TOÁN, ĐO BÓC KHỐI LƯỢNG HOÀN THÀNH ĐƯA VÀO QUYẾT TOÁN</v>
          </cell>
        </row>
      </sheetData>
      <sheetData sheetId="8555">
        <row r="4">
          <cell r="A4" t="str">
            <v>BẢNG TÍNH TOÁN, ĐO BÓC KHỐI LƯỢNG HOÀN THÀNH ĐƯA VÀO QUYẾT TOÁN</v>
          </cell>
        </row>
      </sheetData>
      <sheetData sheetId="8556">
        <row r="4">
          <cell r="A4" t="str">
            <v>BẢNG TÍNH TOÁN, ĐO BÓC KHỐI LƯỢNG HOÀN THÀNH ĐƯA VÀO QUYẾT TOÁN</v>
          </cell>
        </row>
      </sheetData>
      <sheetData sheetId="8557">
        <row r="4">
          <cell r="A4" t="str">
            <v>BẢNG TÍNH TOÁN, ĐO BÓC KHỐI LƯỢNG HOÀN THÀNH ĐƯA VÀO QUYẾT TOÁN</v>
          </cell>
        </row>
      </sheetData>
      <sheetData sheetId="8558">
        <row r="4">
          <cell r="A4" t="str">
            <v>BẢNG TÍNH TOÁN, ĐO BÓC KHỐI LƯỢNG HOÀN THÀNH ĐƯA VÀO QUYẾT TOÁN</v>
          </cell>
        </row>
      </sheetData>
      <sheetData sheetId="8559">
        <row r="4">
          <cell r="A4" t="str">
            <v>BẢNG TÍNH TOÁN, ĐO BÓC KHỐI LƯỢNG HOÀN THÀNH ĐƯA VÀO QUYẾT TOÁN</v>
          </cell>
        </row>
      </sheetData>
      <sheetData sheetId="8560">
        <row r="4">
          <cell r="A4" t="str">
            <v>BẢNG TÍNH TOÁN, ĐO BÓC KHỐI LƯỢNG HOÀN THÀNH ĐƯA VÀO QUYẾT TOÁN</v>
          </cell>
        </row>
      </sheetData>
      <sheetData sheetId="8561">
        <row r="4">
          <cell r="A4" t="str">
            <v>BẢNG TÍNH TOÁN, ĐO BÓC KHỐI LƯỢNG HOÀN THÀNH ĐƯA VÀO QUYẾT TOÁN</v>
          </cell>
        </row>
      </sheetData>
      <sheetData sheetId="8562">
        <row r="4">
          <cell r="A4" t="str">
            <v>BẢNG TÍNH TOÁN, ĐO BÓC KHỐI LƯỢNG HOÀN THÀNH ĐƯA VÀO QUYẾT TOÁN</v>
          </cell>
        </row>
      </sheetData>
      <sheetData sheetId="8563">
        <row r="4">
          <cell r="A4" t="str">
            <v>BẢNG TÍNH TOÁN, ĐO BÓC KHỐI LƯỢNG HOÀN THÀNH ĐƯA VÀO QUYẾT TOÁN</v>
          </cell>
        </row>
      </sheetData>
      <sheetData sheetId="8564">
        <row r="4">
          <cell r="A4" t="str">
            <v>BẢNG TÍNH TOÁN, ĐO BÓC KHỐI LƯỢNG HOÀN THÀNH ĐƯA VÀO QUYẾT TOÁN</v>
          </cell>
        </row>
      </sheetData>
      <sheetData sheetId="8565">
        <row r="4">
          <cell r="A4" t="str">
            <v>BẢNG TÍNH TOÁN, ĐO BÓC KHỐI LƯỢNG HOÀN THÀNH ĐƯA VÀO QUYẾT TOÁN</v>
          </cell>
        </row>
      </sheetData>
      <sheetData sheetId="8566">
        <row r="4">
          <cell r="A4" t="str">
            <v>BẢNG TÍNH TOÁN, ĐO BÓC KHỐI LƯỢNG HOÀN THÀNH ĐƯA VÀO QUYẾT TOÁN</v>
          </cell>
        </row>
      </sheetData>
      <sheetData sheetId="8567">
        <row r="4">
          <cell r="A4" t="str">
            <v>BẢNG TÍNH TOÁN, ĐO BÓC KHỐI LƯỢNG HOÀN THÀNH ĐƯA VÀO QUYẾT TOÁN</v>
          </cell>
        </row>
      </sheetData>
      <sheetData sheetId="8568">
        <row r="4">
          <cell r="A4" t="str">
            <v>BẢNG TÍNH TOÁN, ĐO BÓC KHỐI LƯỢNG HOÀN THÀNH ĐƯA VÀO QUYẾT TOÁN</v>
          </cell>
        </row>
      </sheetData>
      <sheetData sheetId="8569">
        <row r="4">
          <cell r="A4" t="str">
            <v>BẢNG TÍNH TOÁN, ĐO BÓC KHỐI LƯỢNG HOÀN THÀNH ĐƯA VÀO QUYẾT TOÁN</v>
          </cell>
        </row>
      </sheetData>
      <sheetData sheetId="8570">
        <row r="4">
          <cell r="A4" t="str">
            <v>BẢNG TÍNH TOÁN, ĐO BÓC KHỐI LƯỢNG HOÀN THÀNH ĐƯA VÀO QUYẾT TOÁN</v>
          </cell>
        </row>
      </sheetData>
      <sheetData sheetId="8571">
        <row r="4">
          <cell r="A4" t="str">
            <v>BẢNG TÍNH TOÁN, ĐO BÓC KHỐI LƯỢNG HOÀN THÀNH ĐƯA VÀO QUYẾT TOÁN</v>
          </cell>
        </row>
      </sheetData>
      <sheetData sheetId="8572">
        <row r="4">
          <cell r="A4" t="str">
            <v>BẢNG TÍNH TOÁN, ĐO BÓC KHỐI LƯỢNG HOÀN THÀNH ĐƯA VÀO QUYẾT TOÁN</v>
          </cell>
        </row>
      </sheetData>
      <sheetData sheetId="8573">
        <row r="4">
          <cell r="A4" t="str">
            <v>BẢNG TÍNH TOÁN, ĐO BÓC KHỐI LƯỢNG HOÀN THÀNH ĐƯA VÀO QUYẾT TOÁN</v>
          </cell>
        </row>
      </sheetData>
      <sheetData sheetId="8574">
        <row r="4">
          <cell r="A4" t="str">
            <v>BẢNG TÍNH TOÁN, ĐO BÓC KHỐI LƯỢNG HOÀN THÀNH ĐƯA VÀO QUYẾT TOÁN</v>
          </cell>
        </row>
      </sheetData>
      <sheetData sheetId="8575">
        <row r="4">
          <cell r="A4" t="str">
            <v>BẢNG TÍNH TOÁN, ĐO BÓC KHỐI LƯỢNG HOÀN THÀNH ĐƯA VÀO QUYẾT TOÁN</v>
          </cell>
        </row>
      </sheetData>
      <sheetData sheetId="8576">
        <row r="4">
          <cell r="A4" t="str">
            <v>BẢNG TÍNH TOÁN, ĐO BÓC KHỐI LƯỢNG HOÀN THÀNH ĐƯA VÀO QUYẾT TOÁN</v>
          </cell>
        </row>
      </sheetData>
      <sheetData sheetId="8577">
        <row r="4">
          <cell r="A4" t="str">
            <v>BẢNG TÍNH TOÁN, ĐO BÓC KHỐI LƯỢNG HOÀN THÀNH ĐƯA VÀO QUYẾT TOÁN</v>
          </cell>
        </row>
      </sheetData>
      <sheetData sheetId="8578">
        <row r="4">
          <cell r="A4" t="str">
            <v>BẢNG TÍNH TOÁN, ĐO BÓC KHỐI LƯỢNG HOÀN THÀNH ĐƯA VÀO QUYẾT TOÁN</v>
          </cell>
        </row>
      </sheetData>
      <sheetData sheetId="8579">
        <row r="4">
          <cell r="A4" t="str">
            <v>BẢNG TÍNH TOÁN, ĐO BÓC KHỐI LƯỢNG HOÀN THÀNH ĐƯA VÀO QUYẾT TOÁN</v>
          </cell>
        </row>
      </sheetData>
      <sheetData sheetId="8580">
        <row r="4">
          <cell r="A4" t="str">
            <v>BẢNG TÍNH TOÁN, ĐO BÓC KHỐI LƯỢNG HOÀN THÀNH ĐƯA VÀO QUYẾT TOÁN</v>
          </cell>
        </row>
      </sheetData>
      <sheetData sheetId="8581">
        <row r="4">
          <cell r="A4" t="str">
            <v>BẢNG TÍNH TOÁN, ĐO BÓC KHỐI LƯỢNG HOÀN THÀNH ĐƯA VÀO QUYẾT TOÁN</v>
          </cell>
        </row>
      </sheetData>
      <sheetData sheetId="8582">
        <row r="4">
          <cell r="A4" t="str">
            <v>BẢNG TÍNH TOÁN, ĐO BÓC KHỐI LƯỢNG HOÀN THÀNH ĐƯA VÀO QUYẾT TOÁN</v>
          </cell>
        </row>
      </sheetData>
      <sheetData sheetId="8583">
        <row r="4">
          <cell r="A4" t="str">
            <v>BẢNG TÍNH TOÁN, ĐO BÓC KHỐI LƯỢNG HOÀN THÀNH ĐƯA VÀO QUYẾT TOÁN</v>
          </cell>
        </row>
      </sheetData>
      <sheetData sheetId="8584">
        <row r="4">
          <cell r="A4" t="str">
            <v>BẢNG TÍNH TOÁN, ĐO BÓC KHỐI LƯỢNG HOÀN THÀNH ĐƯA VÀO QUYẾT TOÁN</v>
          </cell>
        </row>
      </sheetData>
      <sheetData sheetId="8585">
        <row r="4">
          <cell r="A4" t="str">
            <v>BẢNG TÍNH TOÁN, ĐO BÓC KHỐI LƯỢNG HOÀN THÀNH ĐƯA VÀO QUYẾT TOÁN</v>
          </cell>
        </row>
      </sheetData>
      <sheetData sheetId="8586">
        <row r="4">
          <cell r="A4" t="str">
            <v>BẢNG TÍNH TOÁN, ĐO BÓC KHỐI LƯỢNG HOÀN THÀNH ĐƯA VÀO QUYẾT TOÁN</v>
          </cell>
        </row>
      </sheetData>
      <sheetData sheetId="8587">
        <row r="4">
          <cell r="A4" t="str">
            <v>BẢNG TÍNH TOÁN, ĐO BÓC KHỐI LƯỢNG HOÀN THÀNH ĐƯA VÀO QUYẾT TOÁN</v>
          </cell>
        </row>
      </sheetData>
      <sheetData sheetId="8588">
        <row r="4">
          <cell r="A4" t="str">
            <v>BẢNG TÍNH TOÁN, ĐO BÓC KHỐI LƯỢNG HOÀN THÀNH ĐƯA VÀO QUYẾT TOÁN</v>
          </cell>
        </row>
      </sheetData>
      <sheetData sheetId="8589">
        <row r="4">
          <cell r="A4" t="str">
            <v>BẢNG TÍNH TOÁN, ĐO BÓC KHỐI LƯỢNG HOÀN THÀNH ĐƯA VÀO QUYẾT TOÁN</v>
          </cell>
        </row>
      </sheetData>
      <sheetData sheetId="8590">
        <row r="4">
          <cell r="A4" t="str">
            <v>BẢNG TÍNH TOÁN, ĐO BÓC KHỐI LƯỢNG HOÀN THÀNH ĐƯA VÀO QUYẾT TOÁN</v>
          </cell>
        </row>
      </sheetData>
      <sheetData sheetId="8591">
        <row r="4">
          <cell r="A4" t="str">
            <v>BẢNG TÍNH TOÁN, ĐO BÓC KHỐI LƯỢNG HOÀN THÀNH ĐƯA VÀO QUYẾT TOÁN</v>
          </cell>
        </row>
      </sheetData>
      <sheetData sheetId="8592">
        <row r="4">
          <cell r="A4" t="str">
            <v>BẢNG TÍNH TOÁN, ĐO BÓC KHỐI LƯỢNG HOÀN THÀNH ĐƯA VÀO QUYẾT TOÁN</v>
          </cell>
        </row>
      </sheetData>
      <sheetData sheetId="8593">
        <row r="4">
          <cell r="A4" t="str">
            <v>BẢNG TÍNH TOÁN, ĐO BÓC KHỐI LƯỢNG HOÀN THÀNH ĐƯA VÀO QUYẾT TOÁN</v>
          </cell>
        </row>
      </sheetData>
      <sheetData sheetId="8594">
        <row r="4">
          <cell r="A4" t="str">
            <v>BẢNG TÍNH TOÁN, ĐO BÓC KHỐI LƯỢNG HOÀN THÀNH ĐƯA VÀO QUYẾT TOÁN</v>
          </cell>
        </row>
      </sheetData>
      <sheetData sheetId="8595">
        <row r="4">
          <cell r="A4" t="str">
            <v>BẢNG TÍNH TOÁN, ĐO BÓC KHỐI LƯỢNG HOÀN THÀNH ĐƯA VÀO QUYẾT TOÁN</v>
          </cell>
        </row>
      </sheetData>
      <sheetData sheetId="8596">
        <row r="4">
          <cell r="A4" t="str">
            <v>BẢNG TÍNH TOÁN, ĐO BÓC KHỐI LƯỢNG HOÀN THÀNH ĐƯA VÀO QUYẾT TOÁN</v>
          </cell>
        </row>
      </sheetData>
      <sheetData sheetId="8597">
        <row r="4">
          <cell r="A4" t="str">
            <v>BẢNG TÍNH TOÁN, ĐO BÓC KHỐI LƯỢNG HOÀN THÀNH ĐƯA VÀO QUYẾT TOÁN</v>
          </cell>
        </row>
      </sheetData>
      <sheetData sheetId="8598">
        <row r="4">
          <cell r="A4" t="str">
            <v>BẢNG TÍNH TOÁN, ĐO BÓC KHỐI LƯỢNG HOÀN THÀNH ĐƯA VÀO QUYẾT TOÁN</v>
          </cell>
        </row>
      </sheetData>
      <sheetData sheetId="8599">
        <row r="4">
          <cell r="A4" t="str">
            <v>BẢNG TÍNH TOÁN, ĐO BÓC KHỐI LƯỢNG HOÀN THÀNH ĐƯA VÀO QUYẾT TOÁN</v>
          </cell>
        </row>
      </sheetData>
      <sheetData sheetId="8600">
        <row r="4">
          <cell r="A4" t="str">
            <v>BẢNG TÍNH TOÁN, ĐO BÓC KHỐI LƯỢNG HOÀN THÀNH ĐƯA VÀO QUYẾT TOÁN</v>
          </cell>
        </row>
      </sheetData>
      <sheetData sheetId="8601">
        <row r="4">
          <cell r="A4" t="str">
            <v>BẢNG TÍNH TOÁN, ĐO BÓC KHỐI LƯỢNG HOÀN THÀNH ĐƯA VÀO QUYẾT TOÁN</v>
          </cell>
        </row>
      </sheetData>
      <sheetData sheetId="8602">
        <row r="4">
          <cell r="A4" t="str">
            <v>BẢNG TÍNH TOÁN, ĐO BÓC KHỐI LƯỢNG HOÀN THÀNH ĐƯA VÀO QUYẾT TOÁN</v>
          </cell>
        </row>
      </sheetData>
      <sheetData sheetId="8603">
        <row r="4">
          <cell r="A4" t="str">
            <v>BẢNG TÍNH TOÁN, ĐO BÓC KHỐI LƯỢNG HOÀN THÀNH ĐƯA VÀO QUYẾT TOÁN</v>
          </cell>
        </row>
      </sheetData>
      <sheetData sheetId="8604">
        <row r="4">
          <cell r="A4" t="str">
            <v>BẢNG TÍNH TOÁN, ĐO BÓC KHỐI LƯỢNG HOÀN THÀNH ĐƯA VÀO QUYẾT TOÁN</v>
          </cell>
        </row>
      </sheetData>
      <sheetData sheetId="8605">
        <row r="4">
          <cell r="A4" t="str">
            <v>BẢNG TÍNH TOÁN, ĐO BÓC KHỐI LƯỢNG HOÀN THÀNH ĐƯA VÀO QUYẾT TOÁN</v>
          </cell>
        </row>
      </sheetData>
      <sheetData sheetId="8606">
        <row r="4">
          <cell r="A4" t="str">
            <v>BẢNG TÍNH TOÁN, ĐO BÓC KHỐI LƯỢNG HOÀN THÀNH ĐƯA VÀO QUYẾT TOÁN</v>
          </cell>
        </row>
      </sheetData>
      <sheetData sheetId="8607">
        <row r="4">
          <cell r="A4" t="str">
            <v>BẢNG TÍNH TOÁN, ĐO BÓC KHỐI LƯỢNG HOÀN THÀNH ĐƯA VÀO QUYẾT TOÁN</v>
          </cell>
        </row>
      </sheetData>
      <sheetData sheetId="8608">
        <row r="4">
          <cell r="A4" t="str">
            <v>BẢNG TÍNH TOÁN, ĐO BÓC KHỐI LƯỢNG HOÀN THÀNH ĐƯA VÀO QUYẾT TOÁN</v>
          </cell>
        </row>
      </sheetData>
      <sheetData sheetId="8609">
        <row r="4">
          <cell r="A4" t="str">
            <v>BẢNG TÍNH TOÁN, ĐO BÓC KHỐI LƯỢNG HOÀN THÀNH ĐƯA VÀO QUYẾT TOÁN</v>
          </cell>
        </row>
      </sheetData>
      <sheetData sheetId="8610">
        <row r="4">
          <cell r="A4" t="str">
            <v>BẢNG TÍNH TOÁN, ĐO BÓC KHỐI LƯỢNG HOÀN THÀNH ĐƯA VÀO QUYẾT TOÁN</v>
          </cell>
        </row>
      </sheetData>
      <sheetData sheetId="8611">
        <row r="4">
          <cell r="A4" t="str">
            <v>BẢNG TÍNH TOÁN, ĐO BÓC KHỐI LƯỢNG HOÀN THÀNH ĐƯA VÀO QUYẾT TOÁN</v>
          </cell>
        </row>
      </sheetData>
      <sheetData sheetId="8612">
        <row r="4">
          <cell r="A4" t="str">
            <v>BẢNG TÍNH TOÁN, ĐO BÓC KHỐI LƯỢNG HOÀN THÀNH ĐƯA VÀO QUYẾT TOÁN</v>
          </cell>
        </row>
      </sheetData>
      <sheetData sheetId="8613">
        <row r="4">
          <cell r="A4" t="str">
            <v>BẢNG TÍNH TOÁN, ĐO BÓC KHỐI LƯỢNG HOÀN THÀNH ĐƯA VÀO QUYẾT TOÁN</v>
          </cell>
        </row>
      </sheetData>
      <sheetData sheetId="8614">
        <row r="4">
          <cell r="A4" t="str">
            <v>BẢNG TÍNH TOÁN, ĐO BÓC KHỐI LƯỢNG HOÀN THÀNH ĐƯA VÀO QUYẾT TOÁN</v>
          </cell>
        </row>
      </sheetData>
      <sheetData sheetId="8615">
        <row r="4">
          <cell r="A4" t="str">
            <v>BẢNG TÍNH TOÁN, ĐO BÓC KHỐI LƯỢNG HOÀN THÀNH ĐƯA VÀO QUYẾT TOÁN</v>
          </cell>
        </row>
      </sheetData>
      <sheetData sheetId="8616">
        <row r="4">
          <cell r="A4" t="str">
            <v>BẢNG TÍNH TOÁN, ĐO BÓC KHỐI LƯỢNG HOÀN THÀNH ĐƯA VÀO QUYẾT TOÁN</v>
          </cell>
        </row>
      </sheetData>
      <sheetData sheetId="8617">
        <row r="4">
          <cell r="A4" t="str">
            <v>BẢNG TÍNH TOÁN, ĐO BÓC KHỐI LƯỢNG HOÀN THÀNH ĐƯA VÀO QUYẾT TOÁN</v>
          </cell>
        </row>
      </sheetData>
      <sheetData sheetId="8618">
        <row r="4">
          <cell r="A4" t="str">
            <v>BẢNG TÍNH TOÁN, ĐO BÓC KHỐI LƯỢNG HOÀN THÀNH ĐƯA VÀO QUYẾT TOÁN</v>
          </cell>
        </row>
      </sheetData>
      <sheetData sheetId="8619">
        <row r="4">
          <cell r="A4" t="str">
            <v>BẢNG TÍNH TOÁN, ĐO BÓC KHỐI LƯỢNG HOÀN THÀNH ĐƯA VÀO QUYẾT TOÁN</v>
          </cell>
        </row>
      </sheetData>
      <sheetData sheetId="8620">
        <row r="4">
          <cell r="A4" t="str">
            <v>BẢNG TÍNH TOÁN, ĐO BÓC KHỐI LƯỢNG HOÀN THÀNH ĐƯA VÀO QUYẾT TOÁN</v>
          </cell>
        </row>
      </sheetData>
      <sheetData sheetId="8621">
        <row r="4">
          <cell r="A4" t="str">
            <v>BẢNG TÍNH TOÁN, ĐO BÓC KHỐI LƯỢNG HOÀN THÀNH ĐƯA VÀO QUYẾT TOÁN</v>
          </cell>
        </row>
      </sheetData>
      <sheetData sheetId="8622">
        <row r="4">
          <cell r="A4" t="str">
            <v>BẢNG TÍNH TOÁN, ĐO BÓC KHỐI LƯỢNG HOÀN THÀNH ĐƯA VÀO QUYẾT TOÁN</v>
          </cell>
        </row>
      </sheetData>
      <sheetData sheetId="8623">
        <row r="4">
          <cell r="A4" t="str">
            <v>BẢNG TÍNH TOÁN, ĐO BÓC KHỐI LƯỢNG HOÀN THÀNH ĐƯA VÀO QUYẾT TOÁN</v>
          </cell>
        </row>
      </sheetData>
      <sheetData sheetId="8624">
        <row r="4">
          <cell r="A4" t="str">
            <v>BẢNG TÍNH TOÁN, ĐO BÓC KHỐI LƯỢNG HOÀN THÀNH ĐƯA VÀO QUYẾT TOÁN</v>
          </cell>
        </row>
      </sheetData>
      <sheetData sheetId="8625">
        <row r="4">
          <cell r="A4" t="str">
            <v>BẢNG TÍNH TOÁN, ĐO BÓC KHỐI LƯỢNG HOÀN THÀNH ĐƯA VÀO QUYẾT TOÁN</v>
          </cell>
        </row>
      </sheetData>
      <sheetData sheetId="8626">
        <row r="4">
          <cell r="A4" t="str">
            <v>BẢNG TÍNH TOÁN, ĐO BÓC KHỐI LƯỢNG HOÀN THÀNH ĐƯA VÀO QUYẾT TOÁN</v>
          </cell>
        </row>
      </sheetData>
      <sheetData sheetId="8627">
        <row r="4">
          <cell r="A4" t="str">
            <v>BẢNG TÍNH TOÁN, ĐO BÓC KHỐI LƯỢNG HOÀN THÀNH ĐƯA VÀO QUYẾT TOÁN</v>
          </cell>
        </row>
      </sheetData>
      <sheetData sheetId="8628">
        <row r="4">
          <cell r="A4" t="str">
            <v>BẢNG TÍNH TOÁN, ĐO BÓC KHỐI LƯỢNG HOÀN THÀNH ĐƯA VÀO QUYẾT TOÁN</v>
          </cell>
        </row>
      </sheetData>
      <sheetData sheetId="8629">
        <row r="4">
          <cell r="A4" t="str">
            <v>BẢNG TÍNH TOÁN, ĐO BÓC KHỐI LƯỢNG HOÀN THÀNH ĐƯA VÀO QUYẾT TOÁN</v>
          </cell>
        </row>
      </sheetData>
      <sheetData sheetId="8630">
        <row r="4">
          <cell r="A4" t="str">
            <v>BẢNG TÍNH TOÁN, ĐO BÓC KHỐI LƯỢNG HOÀN THÀNH ĐƯA VÀO QUYẾT TOÁN</v>
          </cell>
        </row>
      </sheetData>
      <sheetData sheetId="8631">
        <row r="4">
          <cell r="A4" t="str">
            <v>BẢNG TÍNH TOÁN, ĐO BÓC KHỐI LƯỢNG HOÀN THÀNH ĐƯA VÀO QUYẾT TOÁN</v>
          </cell>
        </row>
      </sheetData>
      <sheetData sheetId="8632">
        <row r="4">
          <cell r="A4" t="str">
            <v>BẢNG TÍNH TOÁN, ĐO BÓC KHỐI LƯỢNG HOÀN THÀNH ĐƯA VÀO QUYẾT TOÁN</v>
          </cell>
        </row>
      </sheetData>
      <sheetData sheetId="8633">
        <row r="4">
          <cell r="A4" t="str">
            <v>BẢNG TÍNH TOÁN, ĐO BÓC KHỐI LƯỢNG HOÀN THÀNH ĐƯA VÀO QUYẾT TOÁN</v>
          </cell>
        </row>
      </sheetData>
      <sheetData sheetId="8634">
        <row r="4">
          <cell r="A4" t="str">
            <v>BẢNG TÍNH TOÁN, ĐO BÓC KHỐI LƯỢNG HOÀN THÀNH ĐƯA VÀO QUYẾT TOÁN</v>
          </cell>
        </row>
      </sheetData>
      <sheetData sheetId="8635">
        <row r="4">
          <cell r="A4" t="str">
            <v>BẢNG TÍNH TOÁN, ĐO BÓC KHỐI LƯỢNG HOÀN THÀNH ĐƯA VÀO QUYẾT TOÁN</v>
          </cell>
        </row>
      </sheetData>
      <sheetData sheetId="8636">
        <row r="4">
          <cell r="A4" t="str">
            <v>BẢNG TÍNH TOÁN, ĐO BÓC KHỐI LƯỢNG HOÀN THÀNH ĐƯA VÀO QUYẾT TOÁN</v>
          </cell>
        </row>
      </sheetData>
      <sheetData sheetId="8637">
        <row r="4">
          <cell r="A4" t="str">
            <v>BẢNG TÍNH TOÁN, ĐO BÓC KHỐI LƯỢNG HOÀN THÀNH ĐƯA VÀO QUYẾT TOÁN</v>
          </cell>
        </row>
      </sheetData>
      <sheetData sheetId="8638">
        <row r="4">
          <cell r="A4" t="str">
            <v>BẢNG TÍNH TOÁN, ĐO BÓC KHỐI LƯỢNG HOÀN THÀNH ĐƯA VÀO QUYẾT TOÁN</v>
          </cell>
        </row>
      </sheetData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4">
          <cell r="A4" t="str">
            <v>BẢNG TÍNH TOÁN, ĐO BÓC KHỐI LƯỢNG HOÀN THÀNH ĐƯA VÀO QUYẾT TOÁN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>
        <row r="4">
          <cell r="A4" t="str">
            <v>BẢNG TÍNH TOÁN, ĐO BÓC KHỐI LƯỢNG HOÀN THÀNH ĐƯA VÀO QUYẾT TOÁN</v>
          </cell>
        </row>
      </sheetData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/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4">
          <cell r="A4" t="str">
            <v>BẢNG TÍNH TOÁN, ĐO BÓC KHỐI LƯỢNG HOÀN THÀNH ĐƯA VÀO QUYẾT TOÁN</v>
          </cell>
        </row>
      </sheetData>
      <sheetData sheetId="9288">
        <row r="4">
          <cell r="A4" t="str">
            <v>BẢNG TÍNH TOÁN, ĐO BÓC KHỐI LƯỢNG HOÀN THÀNH ĐƯA VÀO QUYẾT TOÁN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4">
          <cell r="A4" t="str">
            <v>BẢNG TÍNH TOÁN, ĐO BÓC KHỐI LƯỢNG HOÀN THÀNH ĐƯA VÀO QUYẾT TOÁN</v>
          </cell>
        </row>
      </sheetData>
      <sheetData sheetId="9296">
        <row r="4">
          <cell r="A4" t="str">
            <v>BẢNG TÍNH TOÁN, ĐO BÓC KHỐI LƯỢNG HOÀN THÀNH ĐƯA VÀO QUYẾT TOÁN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/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/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/>
      <sheetData sheetId="9328"/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/>
      <sheetData sheetId="9333"/>
      <sheetData sheetId="9334">
        <row r="9">
          <cell r="A9" t="str">
            <v>A</v>
          </cell>
        </row>
      </sheetData>
      <sheetData sheetId="9335" refreshError="1"/>
      <sheetData sheetId="9336"/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/>
      <sheetData sheetId="9347"/>
      <sheetData sheetId="9348"/>
      <sheetData sheetId="9349"/>
      <sheetData sheetId="9350">
        <row r="9">
          <cell r="A9" t="str">
            <v>A</v>
          </cell>
        </row>
      </sheetData>
      <sheetData sheetId="9351"/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/>
      <sheetData sheetId="9355"/>
      <sheetData sheetId="9356"/>
      <sheetData sheetId="9357"/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 refreshError="1"/>
      <sheetData sheetId="9405" refreshError="1"/>
      <sheetData sheetId="9406" refreshError="1"/>
      <sheetData sheetId="9407" refreshError="1"/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/>
      <sheetData sheetId="9412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>
        <row r="9">
          <cell r="A9" t="str">
            <v>A</v>
          </cell>
        </row>
      </sheetData>
      <sheetData sheetId="9422">
        <row r="4">
          <cell r="A4" t="str">
            <v>BẢNG TÍNH TOÁN, ĐO BÓC KHỐI LƯỢNG HOÀN THÀNH ĐƯA VÀO QUYẾT TOÁN</v>
          </cell>
        </row>
      </sheetData>
      <sheetData sheetId="9423">
        <row r="4">
          <cell r="A4" t="str">
            <v>BẢNG TÍNH TOÁN, ĐO BÓC KHỐI LƯỢNG HOÀN THÀNH ĐƯA VÀO QUYẾT TOÁN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4">
          <cell r="A4" t="str">
            <v>BẢNG TÍNH TOÁN, ĐO BÓC KHỐI LƯỢNG HOÀN THÀNH ĐƯA VÀO QUYẾT TOÁN</v>
          </cell>
        </row>
      </sheetData>
      <sheetData sheetId="9434">
        <row r="4">
          <cell r="A4" t="str">
            <v>BẢNG TÍNH TOÁN, ĐO BÓC KHỐI LƯỢNG HOÀN THÀNH ĐƯA VÀO QUYẾT TOÁN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4">
          <cell r="A4" t="str">
            <v>BẢNG TÍNH TOÁN, ĐO BÓC KHỐI LƯỢNG HOÀN THÀNH ĐƯA VÀO QUYẾT TOÁN</v>
          </cell>
        </row>
      </sheetData>
      <sheetData sheetId="9446">
        <row r="4">
          <cell r="A4" t="str">
            <v>BẢNG TÍNH TOÁN, ĐO BÓC KHỐI LƯỢNG HOÀN THÀNH ĐƯA VÀO QUYẾT TOÁN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/>
      <sheetData sheetId="9451"/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4">
          <cell r="A4" t="str">
            <v>BẢNG TÍNH TOÁN, ĐO BÓC KHỐI LƯỢNG HOÀN THÀNH ĐƯA VÀO QUYẾT TOÁN</v>
          </cell>
        </row>
      </sheetData>
      <sheetData sheetId="9458">
        <row r="4">
          <cell r="A4" t="str">
            <v>BẢNG TÍNH TOÁN, ĐO BÓC KHỐI LƯỢNG HOÀN THÀNH ĐƯA VÀO QUYẾT TOÁN</v>
          </cell>
        </row>
      </sheetData>
      <sheetData sheetId="9459">
        <row r="4">
          <cell r="A4" t="str">
            <v>BẢNG TÍNH TOÁN, ĐO BÓC KHỐI LƯỢNG HOÀN THÀNH ĐƯA VÀO QUYẾT TOÁN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4">
          <cell r="A4" t="str">
            <v>BẢNG TÍNH TOÁN, ĐO BÓC KHỐI LƯỢNG HOÀN THÀNH ĐƯA VÀO QUYẾT TOÁN</v>
          </cell>
        </row>
      </sheetData>
      <sheetData sheetId="9463">
        <row r="4">
          <cell r="A4" t="str">
            <v>BẢNG TÍNH TOÁN, ĐO BÓC KHỐI LƯỢNG HOÀN THÀNH ĐƯA VÀO QUYẾT TOÁN</v>
          </cell>
        </row>
      </sheetData>
      <sheetData sheetId="9464">
        <row r="4">
          <cell r="A4" t="str">
            <v>BẢNG TÍNH TOÁN, ĐO BÓC KHỐI LƯỢNG HOÀN THÀNH ĐƯA VÀO QUYẾT TOÁN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4">
          <cell r="A4" t="str">
            <v>BẢNG TÍNH TOÁN, ĐO BÓC KHỐI LƯỢNG HOÀN THÀNH ĐƯA VÀO QUYẾT TOÁN</v>
          </cell>
        </row>
      </sheetData>
      <sheetData sheetId="9469">
        <row r="4">
          <cell r="A4" t="str">
            <v>BẢNG TÍNH TOÁN, ĐO BÓC KHỐI LƯỢNG HOÀN THÀNH ĐƯA VÀO QUYẾT TOÁN</v>
          </cell>
        </row>
      </sheetData>
      <sheetData sheetId="9470">
        <row r="4">
          <cell r="A4" t="str">
            <v>BẢNG TÍNH TOÁN, ĐO BÓC KHỐI LƯỢNG HOÀN THÀNH ĐƯA VÀO QUYẾT TOÁN</v>
          </cell>
        </row>
      </sheetData>
      <sheetData sheetId="9471">
        <row r="4">
          <cell r="A4" t="str">
            <v>BẢNG TÍNH TOÁN, ĐO BÓC KHỐI LƯỢNG HOÀN THÀNH ĐƯA VÀO QUYẾT TOÁN</v>
          </cell>
        </row>
      </sheetData>
      <sheetData sheetId="9472">
        <row r="4">
          <cell r="A4" t="str">
            <v>BẢNG TÍNH TOÁN, ĐO BÓC KHỐI LƯỢNG HOÀN THÀNH ĐƯA VÀO QUYẾT TOÁN</v>
          </cell>
        </row>
      </sheetData>
      <sheetData sheetId="9473">
        <row r="9">
          <cell r="A9" t="str">
            <v>A</v>
          </cell>
        </row>
      </sheetData>
      <sheetData sheetId="9474">
        <row r="4">
          <cell r="A4" t="str">
            <v>BẢNG TÍNH TOÁN, ĐO BÓC KHỐI LƯỢNG HOÀN THÀNH ĐƯA VÀO QUYẾT TOÁN</v>
          </cell>
        </row>
      </sheetData>
      <sheetData sheetId="9475">
        <row r="4">
          <cell r="A4" t="str">
            <v>BẢNG TÍNH TOÁN, ĐO BÓC KHỐI LƯỢNG HOÀN THÀNH ĐƯA VÀO QUYẾT TOÁN</v>
          </cell>
        </row>
      </sheetData>
      <sheetData sheetId="9476">
        <row r="4">
          <cell r="A4" t="str">
            <v>BẢNG TÍNH TOÁN, ĐO BÓC KHỐI LƯỢNG HOÀN THÀNH ĐƯA VÀO QUYẾT TOÁN</v>
          </cell>
        </row>
      </sheetData>
      <sheetData sheetId="9477">
        <row r="4">
          <cell r="A4" t="str">
            <v>BẢNG TÍNH TOÁN, ĐO BÓC KHỐI LƯỢNG HOÀN THÀNH ĐƯA VÀO QUYẾT TOÁN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4">
          <cell r="A4" t="str">
            <v>BẢNG TÍNH TOÁN, ĐO BÓC KHỐI LƯỢNG HOÀN THÀNH ĐƯA VÀO QUYẾT TOÁN</v>
          </cell>
        </row>
      </sheetData>
      <sheetData sheetId="9481">
        <row r="4">
          <cell r="A4" t="str">
            <v>BẢNG TÍNH TOÁN, ĐO BÓC KHỐI LƯỢNG HOÀN THÀNH ĐƯA VÀO QUYẾT TOÁN</v>
          </cell>
        </row>
      </sheetData>
      <sheetData sheetId="9482">
        <row r="4">
          <cell r="A4" t="str">
            <v>BẢNG TÍNH TOÁN, ĐO BÓC KHỐI LƯỢNG HOÀN THÀNH ĐƯA VÀO QUYẾT TOÁN</v>
          </cell>
        </row>
      </sheetData>
      <sheetData sheetId="9483">
        <row r="4">
          <cell r="A4" t="str">
            <v>BẢNG TÍNH TOÁN, ĐO BÓC KHỐI LƯỢNG HOÀN THÀNH ĐƯA VÀO QUYẾT TOÁN</v>
          </cell>
        </row>
      </sheetData>
      <sheetData sheetId="9484">
        <row r="4">
          <cell r="A4" t="str">
            <v>BẢNG TÍNH TOÁN, ĐO BÓC KHỐI LƯỢNG HOÀN THÀNH ĐƯA VÀO QUYẾT TOÁN</v>
          </cell>
        </row>
      </sheetData>
      <sheetData sheetId="9485">
        <row r="4">
          <cell r="A4" t="str">
            <v>BẢNG TÍNH TOÁN, ĐO BÓC KHỐI LƯỢNG HOÀN THÀNH ĐƯA VÀO QUYẾT TOÁN</v>
          </cell>
        </row>
      </sheetData>
      <sheetData sheetId="9486">
        <row r="4">
          <cell r="A4" t="str">
            <v>BẢNG TÍNH TOÁN, ĐO BÓC KHỐI LƯỢNG HOÀN THÀNH ĐƯA VÀO QUYẾT TOÁN</v>
          </cell>
        </row>
      </sheetData>
      <sheetData sheetId="9487">
        <row r="4">
          <cell r="A4" t="str">
            <v>BẢNG TÍNH TOÁN, ĐO BÓC KHỐI LƯỢNG HOÀN THÀNH ĐƯA VÀO QUYẾT TOÁN</v>
          </cell>
        </row>
      </sheetData>
      <sheetData sheetId="9488">
        <row r="4">
          <cell r="A4" t="str">
            <v>BẢNG TÍNH TOÁN, ĐO BÓC KHỐI LƯỢNG HOÀN THÀNH ĐƯA VÀO QUYẾT TOÁN</v>
          </cell>
        </row>
      </sheetData>
      <sheetData sheetId="9489">
        <row r="4">
          <cell r="A4" t="str">
            <v>BẢNG TÍNH TOÁN, ĐO BÓC KHỐI LƯỢNG HOÀN THÀNH ĐƯA VÀO QUYẾT TOÁN</v>
          </cell>
        </row>
      </sheetData>
      <sheetData sheetId="9490">
        <row r="4">
          <cell r="A4" t="str">
            <v>BẢNG TÍNH TOÁN, ĐO BÓC KHỐI LƯỢNG HOÀN THÀNH ĐƯA VÀO QUYẾT TOÁN</v>
          </cell>
        </row>
      </sheetData>
      <sheetData sheetId="9491">
        <row r="4">
          <cell r="A4" t="str">
            <v>BẢNG TÍNH TOÁN, ĐO BÓC KHỐI LƯỢNG HOÀN THÀNH ĐƯA VÀO QUYẾT TOÁN</v>
          </cell>
        </row>
      </sheetData>
      <sheetData sheetId="9492">
        <row r="4">
          <cell r="A4" t="str">
            <v>BẢNG TÍNH TOÁN, ĐO BÓC KHỐI LƯỢNG HOÀN THÀNH ĐƯA VÀO QUYẾT TOÁN</v>
          </cell>
        </row>
      </sheetData>
      <sheetData sheetId="9493">
        <row r="4">
          <cell r="A4" t="str">
            <v>BẢNG TÍNH TOÁN, ĐO BÓC KHỐI LƯỢNG HOÀN THÀNH ĐƯA VÀO QUYẾT TOÁN</v>
          </cell>
        </row>
      </sheetData>
      <sheetData sheetId="9494">
        <row r="4">
          <cell r="A4" t="str">
            <v>BẢNG TÍNH TOÁN, ĐO BÓC KHỐI LƯỢNG HOÀN THÀNH ĐƯA VÀO QUYẾT TOÁN</v>
          </cell>
        </row>
      </sheetData>
      <sheetData sheetId="9495">
        <row r="4">
          <cell r="A4" t="str">
            <v>BẢNG TÍNH TOÁN, ĐO BÓC KHỐI LƯỢNG HOÀN THÀNH ĐƯA VÀO QUYẾT TOÁN</v>
          </cell>
        </row>
      </sheetData>
      <sheetData sheetId="9496">
        <row r="9">
          <cell r="A9" t="str">
            <v>A</v>
          </cell>
        </row>
      </sheetData>
      <sheetData sheetId="9497">
        <row r="4">
          <cell r="A4" t="str">
            <v>BẢNG TÍNH TOÁN, ĐO BÓC KHỐI LƯỢNG HOÀN THÀNH ĐƯA VÀO QUYẾT TOÁN</v>
          </cell>
        </row>
      </sheetData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4">
          <cell r="A4" t="str">
            <v>BẢNG TÍNH TOÁN, ĐO BÓC KHỐI LƯỢNG HOÀN THÀNH ĐƯA VÀO QUYẾT TOÁN</v>
          </cell>
        </row>
      </sheetData>
      <sheetData sheetId="9501">
        <row r="9">
          <cell r="A9" t="str">
            <v>A</v>
          </cell>
        </row>
      </sheetData>
      <sheetData sheetId="9502">
        <row r="4">
          <cell r="A4" t="str">
            <v>BẢNG TÍNH TOÁN, ĐO BÓC KHỐI LƯỢNG HOÀN THÀNH ĐƯA VÀO QUYẾT TOÁN</v>
          </cell>
        </row>
      </sheetData>
      <sheetData sheetId="9503">
        <row r="4">
          <cell r="A4" t="str">
            <v>BẢNG TÍNH TOÁN, ĐO BÓC KHỐI LƯỢNG HOÀN THÀNH ĐƯA VÀO QUYẾT TOÁN</v>
          </cell>
        </row>
      </sheetData>
      <sheetData sheetId="9504">
        <row r="4">
          <cell r="A4" t="str">
            <v>BẢNG TÍNH TOÁN, ĐO BÓC KHỐI LƯỢNG HOÀN THÀNH ĐƯA VÀO QUYẾT TOÁN</v>
          </cell>
        </row>
      </sheetData>
      <sheetData sheetId="9505">
        <row r="4">
          <cell r="A4" t="str">
            <v>BẢNG TÍNH TOÁN, ĐO BÓC KHỐI LƯỢNG HOÀN THÀNH ĐƯA VÀO QUYẾT TOÁN</v>
          </cell>
        </row>
      </sheetData>
      <sheetData sheetId="9506">
        <row r="4">
          <cell r="A4" t="str">
            <v>BẢNG TÍNH TOÁN, ĐO BÓC KHỐI LƯỢNG HOÀN THÀNH ĐƯA VÀO QUYẾT TOÁN</v>
          </cell>
        </row>
      </sheetData>
      <sheetData sheetId="9507">
        <row r="4">
          <cell r="A4" t="str">
            <v>BẢNG TÍNH TOÁN, ĐO BÓC KHỐI LƯỢNG HOÀN THÀNH ĐƯA VÀO QUYẾT TOÁN</v>
          </cell>
        </row>
      </sheetData>
      <sheetData sheetId="9508">
        <row r="4">
          <cell r="A4" t="str">
            <v>BẢNG TÍNH TOÁN, ĐO BÓC KHỐI LƯỢNG HOÀN THÀNH ĐƯA VÀO QUYẾT TOÁN</v>
          </cell>
        </row>
      </sheetData>
      <sheetData sheetId="9509">
        <row r="4">
          <cell r="A4" t="str">
            <v>BẢNG TÍNH TOÁN, ĐO BÓC KHỐI LƯỢNG HOÀN THÀNH ĐƯA VÀO QUYẾT TOÁN</v>
          </cell>
        </row>
      </sheetData>
      <sheetData sheetId="9510">
        <row r="4">
          <cell r="A4" t="str">
            <v>BẢNG TÍNH TOÁN, ĐO BÓC KHỐI LƯỢNG HOÀN THÀNH ĐƯA VÀO QUYẾT TOÁN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4">
          <cell r="A4" t="str">
            <v>BẢNG TÍNH TOÁN, ĐO BÓC KHỐI LƯỢNG HOÀN THÀNH ĐƯA VÀO QUYẾT TOÁN</v>
          </cell>
        </row>
      </sheetData>
      <sheetData sheetId="9521">
        <row r="4">
          <cell r="A4" t="str">
            <v>BẢNG TÍNH TOÁN, ĐO BÓC KHỐI LƯỢNG HOÀN THÀNH ĐƯA VÀO QUYẾT TOÁN</v>
          </cell>
        </row>
      </sheetData>
      <sheetData sheetId="9522">
        <row r="4">
          <cell r="A4" t="str">
            <v>BẢNG TÍNH TOÁN, ĐO BÓC KHỐI LƯỢNG HOÀN THÀNH ĐƯA VÀO QUYẾT TOÁN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4">
          <cell r="A4" t="str">
            <v>BẢNG TÍNH TOÁN, ĐO BÓC KHỐI LƯỢNG HOÀN THÀNH ĐƯA VÀO QUYẾT TOÁN</v>
          </cell>
        </row>
      </sheetData>
      <sheetData sheetId="9531">
        <row r="4">
          <cell r="A4" t="str">
            <v>BẢNG TÍNH TOÁN, ĐO BÓC KHỐI LƯỢNG HOÀN THÀNH ĐƯA VÀO QUYẾT TOÁN</v>
          </cell>
        </row>
      </sheetData>
      <sheetData sheetId="9532">
        <row r="4">
          <cell r="A4" t="str">
            <v>BẢNG TÍNH TOÁN, ĐO BÓC KHỐI LƯỢNG HOÀN THÀNH ĐƯA VÀO QUYẾT TOÁN</v>
          </cell>
        </row>
      </sheetData>
      <sheetData sheetId="9533">
        <row r="4">
          <cell r="A4" t="str">
            <v>BẢNG TÍNH TOÁN, ĐO BÓC KHỐI LƯỢNG HOÀN THÀNH ĐƯA VÀO QUYẾT TOÁN</v>
          </cell>
        </row>
      </sheetData>
      <sheetData sheetId="9534">
        <row r="4">
          <cell r="A4" t="str">
            <v>BẢNG TÍNH TOÁN, ĐO BÓC KHỐI LƯỢNG HOÀN THÀNH ĐƯA VÀO QUYẾT TOÁN</v>
          </cell>
        </row>
      </sheetData>
      <sheetData sheetId="9535" refreshError="1"/>
      <sheetData sheetId="9536">
        <row r="9">
          <cell r="A9" t="str">
            <v>A</v>
          </cell>
        </row>
      </sheetData>
      <sheetData sheetId="9537">
        <row r="4">
          <cell r="A4" t="str">
            <v>BẢNG TÍNH TOÁN, ĐO BÓC KHỐI LƯỢNG HOÀN THÀNH ĐƯA VÀO QUYẾT TOÁN</v>
          </cell>
        </row>
      </sheetData>
      <sheetData sheetId="9538">
        <row r="4">
          <cell r="A4" t="str">
            <v>BẢNG TÍNH TOÁN, ĐO BÓC KHỐI LƯỢNG HOÀN THÀNH ĐƯA VÀO QUYẾT TOÁN</v>
          </cell>
        </row>
      </sheetData>
      <sheetData sheetId="9539">
        <row r="4">
          <cell r="A4" t="str">
            <v>BẢNG TÍNH TOÁN, ĐO BÓC KHỐI LƯỢNG HOÀN THÀNH ĐƯA VÀO QUYẾT TOÁN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4">
          <cell r="A4" t="str">
            <v>BẢNG TÍNH TOÁN, ĐO BÓC KHỐI LƯỢNG HOÀN THÀNH ĐƯA VÀO QUYẾT TOÁN</v>
          </cell>
        </row>
      </sheetData>
      <sheetData sheetId="9543">
        <row r="4">
          <cell r="A4" t="str">
            <v>BẢNG TÍNH TOÁN, ĐO BÓC KHỐI LƯỢNG HOÀN THÀNH ĐƯA VÀO QUYẾT TOÁN</v>
          </cell>
        </row>
      </sheetData>
      <sheetData sheetId="9544">
        <row r="4">
          <cell r="A4" t="str">
            <v>BẢNG TÍNH TOÁN, ĐO BÓC KHỐI LƯỢNG HOÀN THÀNH ĐƯA VÀO QUYẾT TOÁN</v>
          </cell>
        </row>
      </sheetData>
      <sheetData sheetId="9545">
        <row r="4">
          <cell r="A4" t="str">
            <v>BẢNG TÍNH TOÁN, ĐO BÓC KHỐI LƯỢNG HOÀN THÀNH ĐƯA VÀO QUYẾT TOÁN</v>
          </cell>
        </row>
      </sheetData>
      <sheetData sheetId="9546">
        <row r="4">
          <cell r="A4" t="str">
            <v>BẢNG TÍNH TOÁN, ĐO BÓC KHỐI LƯỢNG HOÀN THÀNH ĐƯA VÀO QUYẾT TOÁN</v>
          </cell>
        </row>
      </sheetData>
      <sheetData sheetId="9547">
        <row r="4">
          <cell r="A4" t="str">
            <v>BẢNG TÍNH TOÁN, ĐO BÓC KHỐI LƯỢNG HOÀN THÀNH ĐƯA VÀO QUYẾT TOÁN</v>
          </cell>
        </row>
      </sheetData>
      <sheetData sheetId="9548">
        <row r="9">
          <cell r="A9" t="str">
            <v>A</v>
          </cell>
        </row>
      </sheetData>
      <sheetData sheetId="9549">
        <row r="4">
          <cell r="A4" t="str">
            <v>BẢNG TÍNH TOÁN, ĐO BÓC KHỐI LƯỢNG HOÀN THÀNH ĐƯA VÀO QUYẾT TOÁN</v>
          </cell>
        </row>
      </sheetData>
      <sheetData sheetId="9550">
        <row r="4">
          <cell r="A4" t="str">
            <v>BẢNG TÍNH TOÁN, ĐO BÓC KHỐI LƯỢNG HOÀN THÀNH ĐƯA VÀO QUYẾT TOÁN</v>
          </cell>
        </row>
      </sheetData>
      <sheetData sheetId="9551">
        <row r="4">
          <cell r="A4" t="str">
            <v>BẢNG TÍNH TOÁN, ĐO BÓC KHỐI LƯỢNG HOÀN THÀNH ĐƯA VÀO QUYẾT TOÁN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4">
          <cell r="A4" t="str">
            <v>BẢNG TÍNH TOÁN, ĐO BÓC KHỐI LƯỢNG HOÀN THÀNH ĐƯA VÀO QUYẾT TOÁN</v>
          </cell>
        </row>
      </sheetData>
      <sheetData sheetId="9555">
        <row r="4">
          <cell r="A4" t="str">
            <v>BẢNG TÍNH TOÁN, ĐO BÓC KHỐI LƯỢNG HOÀN THÀNH ĐƯA VÀO QUYẾT TOÁN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4">
          <cell r="A4" t="str">
            <v>BẢNG TÍNH TOÁN, ĐO BÓC KHỐI LƯỢNG HOÀN THÀNH ĐƯA VÀO QUYẾT TOÁN</v>
          </cell>
        </row>
      </sheetData>
      <sheetData sheetId="9559">
        <row r="4">
          <cell r="A4" t="str">
            <v>BẢNG TÍNH TOÁN, ĐO BÓC KHỐI LƯỢNG HOÀN THÀNH ĐƯA VÀO QUYẾT TOÁN</v>
          </cell>
        </row>
      </sheetData>
      <sheetData sheetId="9560">
        <row r="9">
          <cell r="A9" t="str">
            <v>A</v>
          </cell>
        </row>
      </sheetData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 refreshError="1"/>
      <sheetData sheetId="9573" refreshError="1"/>
      <sheetData sheetId="9574" refreshError="1"/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 refreshError="1"/>
      <sheetData sheetId="9592" refreshError="1"/>
      <sheetData sheetId="9593" refreshError="1"/>
      <sheetData sheetId="9594" refreshError="1"/>
      <sheetData sheetId="9595"/>
      <sheetData sheetId="9596"/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>
        <row r="9">
          <cell r="A9" t="str">
            <v>A</v>
          </cell>
        </row>
      </sheetData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/>
      <sheetData sheetId="9831"/>
      <sheetData sheetId="9832"/>
      <sheetData sheetId="9833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/>
      <sheetData sheetId="9843"/>
      <sheetData sheetId="9844"/>
      <sheetData sheetId="9845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/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/>
      <sheetData sheetId="10095"/>
      <sheetData sheetId="10096"/>
      <sheetData sheetId="10097"/>
      <sheetData sheetId="10098"/>
      <sheetData sheetId="10099"/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/>
      <sheetData sheetId="10105">
        <row r="9">
          <cell r="A9" t="str">
            <v>A</v>
          </cell>
        </row>
      </sheetData>
      <sheetData sheetId="10106"/>
      <sheetData sheetId="10107"/>
      <sheetData sheetId="10108"/>
      <sheetData sheetId="10109">
        <row r="9">
          <cell r="A9" t="str">
            <v>A</v>
          </cell>
        </row>
      </sheetData>
      <sheetData sheetId="10110"/>
      <sheetData sheetId="10111"/>
      <sheetData sheetId="10112"/>
      <sheetData sheetId="10113"/>
      <sheetData sheetId="10114"/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/>
      <sheetData sheetId="10119"/>
      <sheetData sheetId="10120">
        <row r="9">
          <cell r="A9" t="str">
            <v>A</v>
          </cell>
        </row>
      </sheetData>
      <sheetData sheetId="10121"/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/>
      <sheetData sheetId="10125"/>
      <sheetData sheetId="10126"/>
      <sheetData sheetId="10127"/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>
        <row r="9">
          <cell r="A9" t="str">
            <v>A</v>
          </cell>
        </row>
      </sheetData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>
        <row r="9">
          <cell r="A9" t="str">
            <v>A</v>
          </cell>
        </row>
      </sheetData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>
        <row r="9">
          <cell r="A9" t="str">
            <v>A</v>
          </cell>
        </row>
      </sheetData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/>
      <sheetData sheetId="10283"/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/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/>
      <sheetData sheetId="10312">
        <row r="9">
          <cell r="A9" t="str">
            <v>A</v>
          </cell>
        </row>
      </sheetData>
      <sheetData sheetId="10313"/>
      <sheetData sheetId="10314"/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/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/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/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/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/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/>
      <sheetData sheetId="10391">
        <row r="9">
          <cell r="A9" t="str">
            <v>A</v>
          </cell>
        </row>
      </sheetData>
      <sheetData sheetId="10392"/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/>
      <sheetData sheetId="10402">
        <row r="9">
          <cell r="A9" t="str">
            <v>A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/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/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/>
      <sheetData sheetId="10423"/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/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/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/>
      <sheetData sheetId="10468"/>
      <sheetData sheetId="10469"/>
      <sheetData sheetId="10470"/>
      <sheetData sheetId="10471"/>
      <sheetData sheetId="10472">
        <row r="9">
          <cell r="A9" t="str">
            <v>A</v>
          </cell>
        </row>
      </sheetData>
      <sheetData sheetId="10473"/>
      <sheetData sheetId="10474"/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/>
      <sheetData sheetId="10478">
        <row r="9">
          <cell r="A9" t="str">
            <v>A</v>
          </cell>
        </row>
      </sheetData>
      <sheetData sheetId="10479"/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/>
      <sheetData sheetId="10483">
        <row r="9">
          <cell r="A9" t="str">
            <v>A</v>
          </cell>
        </row>
      </sheetData>
      <sheetData sheetId="10484"/>
      <sheetData sheetId="10485"/>
      <sheetData sheetId="10486"/>
      <sheetData sheetId="10487"/>
      <sheetData sheetId="10488">
        <row r="9">
          <cell r="A9" t="str">
            <v>A</v>
          </cell>
        </row>
      </sheetData>
      <sheetData sheetId="10489"/>
      <sheetData sheetId="10490"/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/>
      <sheetData sheetId="10512">
        <row r="9">
          <cell r="A9" t="str">
            <v>A</v>
          </cell>
        </row>
      </sheetData>
      <sheetData sheetId="10513"/>
      <sheetData sheetId="10514"/>
      <sheetData sheetId="10515"/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>
        <row r="9">
          <cell r="A9" t="str">
            <v>A</v>
          </cell>
        </row>
      </sheetData>
      <sheetData sheetId="10534"/>
      <sheetData sheetId="10535"/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/>
      <sheetData sheetId="10544">
        <row r="9">
          <cell r="A9" t="str">
            <v>A</v>
          </cell>
        </row>
      </sheetData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>
        <row r="9">
          <cell r="A9" t="str">
            <v>A</v>
          </cell>
        </row>
      </sheetData>
      <sheetData sheetId="10582"/>
      <sheetData sheetId="10583"/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/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/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/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/>
      <sheetData sheetId="10610"/>
      <sheetData sheetId="10611"/>
      <sheetData sheetId="10612">
        <row r="9">
          <cell r="A9" t="str">
            <v>A</v>
          </cell>
        </row>
      </sheetData>
      <sheetData sheetId="10613"/>
      <sheetData sheetId="10614">
        <row r="9">
          <cell r="A9" t="str">
            <v>A</v>
          </cell>
        </row>
      </sheetData>
      <sheetData sheetId="10615"/>
      <sheetData sheetId="10616"/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/>
      <sheetData sheetId="10620"/>
      <sheetData sheetId="10621"/>
      <sheetData sheetId="10622"/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/>
      <sheetData sheetId="10635"/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/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/>
      <sheetData sheetId="10646">
        <row r="9">
          <cell r="A9" t="str">
            <v>A</v>
          </cell>
        </row>
      </sheetData>
      <sheetData sheetId="10647"/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/>
      <sheetData sheetId="10651"/>
      <sheetData sheetId="10652"/>
      <sheetData sheetId="10653">
        <row r="9">
          <cell r="A9" t="str">
            <v>A</v>
          </cell>
        </row>
      </sheetData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>
        <row r="9">
          <cell r="A9" t="str">
            <v>A</v>
          </cell>
        </row>
      </sheetData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/>
      <sheetData sheetId="10759"/>
      <sheetData sheetId="10760"/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9">
          <cell r="A9" t="str">
            <v>A</v>
          </cell>
        </row>
      </sheetData>
      <sheetData sheetId="10771"/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/>
      <sheetData sheetId="10805"/>
      <sheetData sheetId="10806"/>
      <sheetData sheetId="10807"/>
      <sheetData sheetId="10808"/>
      <sheetData sheetId="10809"/>
      <sheetData sheetId="10810"/>
      <sheetData sheetId="10811">
        <row r="9">
          <cell r="A9" t="str">
            <v>A</v>
          </cell>
        </row>
      </sheetData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/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>
        <row r="9">
          <cell r="A9" t="str">
            <v>A</v>
          </cell>
        </row>
      </sheetData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 refreshError="1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 refreshError="1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/>
      <sheetData sheetId="11282"/>
      <sheetData sheetId="11283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>
        <row r="9">
          <cell r="A9" t="str">
            <v>A</v>
          </cell>
        </row>
      </sheetData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/>
      <sheetData sheetId="11369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/>
      <sheetData sheetId="11472"/>
      <sheetData sheetId="11473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/>
      <sheetData sheetId="11493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 refreshError="1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2 P&amp;L"/>
      <sheetName val="FC2 Sales"/>
      <sheetName val="FC2 Adv"/>
      <sheetName val="FC2 Promo"/>
      <sheetName val="FC2 A&amp;P"/>
      <sheetName val="Plan P&amp;L"/>
      <sheetName val="Plan Sales"/>
      <sheetName val="Plan Adv"/>
      <sheetName val="Plan Promo"/>
      <sheetName val="Plan A&amp;P"/>
      <sheetName val="Plan GM"/>
      <sheetName val="Plan BAF"/>
      <sheetName val="Plan CGS"/>
      <sheetName val="Plan Contribution"/>
      <sheetName val="TM1 FC2"/>
      <sheetName val="TM1 Adv"/>
      <sheetName val="TM1 Promo"/>
      <sheetName val="TM1 A&amp;P"/>
      <sheetName val="TM1Plan"/>
      <sheetName val="TM1 Adv Plan"/>
      <sheetName val="TM1 Promo Plan"/>
      <sheetName val="TM1 A&amp;P Plan"/>
      <sheetName val="TM1 GM Plan"/>
      <sheetName val="TM1 Contrib Plan"/>
      <sheetName val="Rolling F'Cast P&amp;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 t="str">
            <v xml:space="preserve"> 4813 INTERNATIONAL (CH)                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 Evolution"/>
      <sheetName val="Sales Evolution"/>
      <sheetName val="YTD YTG Slide"/>
      <sheetName val="FC1 Slide"/>
      <sheetName val="FC2 P&amp;L"/>
      <sheetName val="FC2 Sales"/>
      <sheetName val="FC2 Gross Margin"/>
      <sheetName val="FC2 Adv"/>
      <sheetName val="FC2 Promo"/>
      <sheetName val="FC2 A&amp;P"/>
      <sheetName val="FC2 Brand Contr"/>
      <sheetName val="2008 FY Summary"/>
      <sheetName val="2009 FY Summary"/>
      <sheetName val="2010 FY Summary"/>
      <sheetName val="Plan P&amp;L"/>
      <sheetName val="Plan Sales"/>
      <sheetName val="Plan Adv"/>
      <sheetName val="Plan Promo"/>
      <sheetName val="Plan A&amp;P"/>
      <sheetName val="Plan GM"/>
      <sheetName val="Plan Contribution"/>
      <sheetName val="TM1Plan"/>
      <sheetName val="TM1 Adv Plan"/>
      <sheetName val="TM1 Promo Plan"/>
      <sheetName val="TM1 A&amp;P Plan"/>
      <sheetName val="TM1 GM Plan"/>
      <sheetName val="TM1 Contrib Plan"/>
      <sheetName val="TM1 P&amp;L"/>
      <sheetName val="TM1 Sales"/>
      <sheetName val="TM1 CGS"/>
      <sheetName val="TM1 GM%"/>
      <sheetName val="TM1 Adv"/>
      <sheetName val="TM1 Promo"/>
      <sheetName val="TM1 A&amp;P"/>
      <sheetName val="TM1 Brand Contr"/>
      <sheetName val="Insight"/>
      <sheetName val="TM1 F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  <definedName name="PeriodList" refersTo="='Period'!$B$1:$AW$1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  <cell r="C1" t="str">
            <v>Aug 2002</v>
          </cell>
          <cell r="D1" t="str">
            <v>Sep 2002</v>
          </cell>
          <cell r="E1" t="str">
            <v>Oct 2002</v>
          </cell>
          <cell r="F1" t="str">
            <v>Nov 2002</v>
          </cell>
          <cell r="G1" t="str">
            <v>Dec 2002</v>
          </cell>
          <cell r="H1" t="str">
            <v>Jan 2003</v>
          </cell>
          <cell r="I1" t="str">
            <v>Feb 2003</v>
          </cell>
          <cell r="J1" t="str">
            <v>Mar 2003</v>
          </cell>
          <cell r="K1" t="str">
            <v>Apr 2003</v>
          </cell>
          <cell r="L1" t="str">
            <v>May 2003</v>
          </cell>
          <cell r="M1" t="str">
            <v>Jun 2003</v>
          </cell>
          <cell r="N1" t="str">
            <v>Jul 2003</v>
          </cell>
          <cell r="O1" t="str">
            <v>Aug 2003</v>
          </cell>
          <cell r="P1" t="str">
            <v>Sep 2003</v>
          </cell>
          <cell r="Q1" t="str">
            <v>Oct 2003</v>
          </cell>
          <cell r="R1" t="str">
            <v>Nov 2003</v>
          </cell>
          <cell r="S1" t="str">
            <v>Dec 2003</v>
          </cell>
          <cell r="T1" t="str">
            <v>Jan 2004</v>
          </cell>
          <cell r="U1" t="str">
            <v>Feb 2004</v>
          </cell>
          <cell r="V1" t="str">
            <v>Mar 2004</v>
          </cell>
          <cell r="W1" t="str">
            <v>Apr 2004</v>
          </cell>
          <cell r="X1" t="str">
            <v>May 2004</v>
          </cell>
          <cell r="Y1" t="str">
            <v>Jun 2004</v>
          </cell>
          <cell r="Z1" t="str">
            <v>Jul 2004</v>
          </cell>
          <cell r="AA1" t="str">
            <v>Aug 2004</v>
          </cell>
          <cell r="AB1" t="str">
            <v>Sep 2004</v>
          </cell>
          <cell r="AC1" t="str">
            <v>Oct 2004</v>
          </cell>
          <cell r="AD1" t="str">
            <v>Nov 2004</v>
          </cell>
          <cell r="AE1" t="str">
            <v>Dec 2004</v>
          </cell>
          <cell r="AF1" t="str">
            <v>Jan 2005</v>
          </cell>
          <cell r="AG1" t="str">
            <v>Feb 2005</v>
          </cell>
          <cell r="AH1" t="str">
            <v>Mar 2005</v>
          </cell>
          <cell r="AI1" t="str">
            <v>Apr 2005</v>
          </cell>
          <cell r="AJ1" t="str">
            <v>May 2005</v>
          </cell>
          <cell r="AK1" t="str">
            <v>Jun 2005</v>
          </cell>
          <cell r="AL1" t="str">
            <v>Jul 2005</v>
          </cell>
          <cell r="AM1" t="str">
            <v>Aug 2005</v>
          </cell>
          <cell r="AN1" t="str">
            <v>Sep 2005</v>
          </cell>
          <cell r="AO1" t="str">
            <v>Oct 2005</v>
          </cell>
          <cell r="AP1" t="str">
            <v>Nov 2005</v>
          </cell>
          <cell r="AQ1" t="str">
            <v>Dec 2005</v>
          </cell>
          <cell r="AR1" t="str">
            <v>Jan 2006</v>
          </cell>
          <cell r="AS1" t="str">
            <v>Feb 2006</v>
          </cell>
          <cell r="AT1" t="str">
            <v>Mar 2006</v>
          </cell>
          <cell r="AU1" t="str">
            <v>Apr 2006</v>
          </cell>
          <cell r="AV1" t="str">
            <v>May 2006</v>
          </cell>
          <cell r="AW1" t="str">
            <v>Jun 2006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Highlights for the month"/>
      <sheetName val="Review of Pending Projects"/>
      <sheetName val="Activities for the month"/>
      <sheetName val="WWW of Previous MOR"/>
      <sheetName val="Uptime of Servers"/>
      <sheetName val="Backup Statistics"/>
      <sheetName val="Call Statistics"/>
      <sheetName val="ABAP-Plan"/>
      <sheetName val="ABAP-Summary"/>
      <sheetName val="APO Upgrade Activities"/>
    </sheetNames>
    <sheetDataSet>
      <sheetData sheetId="0">
        <row r="30">
          <cell r="A30">
            <v>37926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report  (2)"/>
      <sheetName val="Summary"/>
      <sheetName val="control road map"/>
      <sheetName val="ERP"/>
      <sheetName val="Fin Accounting"/>
      <sheetName val=" Internal audit activity report"/>
      <sheetName val="Activity report "/>
      <sheetName val="INTERNAL AUDITdetails"/>
      <sheetName val="pending settlement"/>
      <sheetName val="Trust interest MIS"/>
      <sheetName val="India Lif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meline &amp; PIC"/>
      <sheetName val="Thongtin"/>
      <sheetName val="KH hanh dong"/>
      <sheetName val="KQKD Tong hop"/>
      <sheetName val="KQKD PET"/>
      <sheetName val="KDKD DAY DAI"/>
      <sheetName val="KH DAY DAI"/>
      <sheetName val="KQKD HD"/>
      <sheetName val="Cong suat"/>
      <sheetName val="Dinh muc"/>
      <sheetName val="Dinh bien_HCNS"/>
      <sheetName val="LUONG"/>
      <sheetName val="Thue ngoai"/>
      <sheetName val="Luong 26"/>
      <sheetName val="4.Doanh thu"/>
      <sheetName val="1.NVL Chai"/>
      <sheetName val="2.Hao hut &amp; % chai "/>
      <sheetName val="3.Thanh pham"/>
      <sheetName val="CP 2026"/>
      <sheetName val="CPSX"/>
      <sheetName val="25-Fagll03"/>
      <sheetName val="24-Fagll03"/>
      <sheetName val="23-Fagll03"/>
      <sheetName val="CPBH"/>
      <sheetName val="CPQL"/>
      <sheetName val="CP_Kg"/>
      <sheetName val="PB_TSCD"/>
      <sheetName val="PB_TSCD DC"/>
      <sheetName val="PB_CPTT"/>
      <sheetName val="242-25-26"/>
      <sheetName val="FORM OH"/>
      <sheetName val="MD"/>
      <sheetName val="DATA Phan bo"/>
    </sheetNames>
    <sheetDataSet>
      <sheetData sheetId="0"/>
      <sheetData sheetId="1"/>
      <sheetData sheetId="2"/>
      <sheetData sheetId="3"/>
      <sheetData sheetId="4"/>
      <sheetData sheetId="5"/>
      <sheetData sheetId="6">
        <row r="26"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30"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3"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ư, Lê Hoành" id="{8A62DD0D-E234-4241-A8E7-FA3BA868A611}" userId="S::CuLH@duytanrecycling.com::8040f1d9-fc08-4340-919f-e31835b0966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CAPEX_202512" displayName="CAPEX_202512" ref="A7:AR22" headerRowDxfId="97" dataDxfId="95" totalsRowDxfId="94" headerRowBorderDxfId="96">
  <tableColumns count="44">
    <tableColumn id="1" xr3:uid="{00000000-0010-0000-0000-000001000000}" name="STT" totalsRowLabel="Total" dataDxfId="93" totalsRowDxfId="92" dataCellStyle="Normal 2 2"/>
    <tableColumn id="2" xr3:uid="{00000000-0010-0000-0000-000002000000}" name="Phòng ban yêu cầu" dataDxfId="91" totalsRowDxfId="90" dataCellStyle="Normal 2 2"/>
    <tableColumn id="3" xr3:uid="{00000000-0010-0000-0000-000003000000}" name="Bộ phận thực hiện" dataDxfId="89" totalsRowDxfId="88" dataCellStyle="Normal 2 2"/>
    <tableColumn id="30" xr3:uid="{00000000-0010-0000-0000-00001E000000}" name="Loại tài sản" dataDxfId="87" dataCellStyle="Normal 2 2"/>
    <tableColumn id="31" xr3:uid="{00000000-0010-0000-0000-00001F000000}" name="Mục đích" dataDxfId="86" dataCellStyle="Normal 2 2"/>
    <tableColumn id="5" xr3:uid="{00000000-0010-0000-0000-000005000000}" name="Dự án cấp 1" dataDxfId="85" dataCellStyle="Normal 2 2"/>
    <tableColumn id="26" xr3:uid="{00000000-0010-0000-0000-00001A000000}" name="Dự án cấp 2" dataDxfId="84" dataCellStyle="Normal 2 2"/>
    <tableColumn id="8" xr3:uid="{00000000-0010-0000-0000-000008000000}" name="Phân loại_x000a_(Nội địa/_x000a_Nhập khẩu)" dataDxfId="83" totalsRowDxfId="82" dataCellStyle="Normal 2 2"/>
    <tableColumn id="15" xr3:uid="{00000000-0010-0000-0000-00000F000000}" name="Nhà cung cấp" dataDxfId="81" totalsRowDxfId="80" dataCellStyle="Normal 2 2"/>
    <tableColumn id="10" xr3:uid="{00000000-0010-0000-0000-00000A000000}" name="Đơn giá ( chưa bao gồm VAT)" dataDxfId="79" dataCellStyle="Normal 2 2"/>
    <tableColumn id="11" xr3:uid="{00000000-0010-0000-0000-00000B000000}" name="Số lượng" dataDxfId="78" dataCellStyle="Normal 2 2"/>
    <tableColumn id="12" xr3:uid="{00000000-0010-0000-0000-00000C000000}" name="Tổng giá trị_x000a_(VND)" dataDxfId="77" dataCellStyle="Normal 2 2"/>
    <tableColumn id="13" xr3:uid="{00000000-0010-0000-0000-00000D000000}" name="Tổng giá trị_x000a_(USD)" dataDxfId="76" dataCellStyle="Normal 2 2"/>
    <tableColumn id="19" xr3:uid="{00000000-0010-0000-0000-000013000000}" name="Thời điểm đưa vào sử dụng" dataDxfId="75" totalsRowDxfId="74" dataCellStyle="Normal 2 2"/>
    <tableColumn id="20" xr3:uid="{00000000-0010-0000-0000-000014000000}" name="Thời gian khấu hao_x000a_(tháng)" dataDxfId="73" totalsRowDxfId="72" dataCellStyle="Normal 2 2"/>
    <tableColumn id="21" xr3:uid="{00000000-0010-0000-0000-000015000000}" name="Phân loại tài sản trong BCĐKT" dataDxfId="71" totalsRowDxfId="70" dataCellStyle="Normal 2"/>
    <tableColumn id="22" xr3:uid="{00000000-0010-0000-0000-000016000000}" name="Tài khoản COA chi phí khấu hao" dataDxfId="69" dataCellStyle="Normal 2"/>
    <tableColumn id="23" xr3:uid="{00000000-0010-0000-0000-000017000000}" name="Mã Cost Center" dataDxfId="68" totalsRowDxfId="67" dataCellStyle="Normal 2"/>
    <tableColumn id="24" xr3:uid="{00000000-0010-0000-0000-000018000000}" name="Tên Cost Center" dataDxfId="66" totalsRowDxfId="65" dataCellStyle="Normal 2"/>
    <tableColumn id="14" xr3:uid="{00000000-0010-0000-0000-00000E000000}" name="Hiệu máy" dataDxfId="64" totalsRowDxfId="63" dataCellStyle="Normal 14"/>
    <tableColumn id="16" xr3:uid="{00000000-0010-0000-0000-000010000000}" name="Lý do đầu tư" dataDxfId="62" totalsRowDxfId="61" dataCellStyle="Normal 2 2"/>
    <tableColumn id="17" xr3:uid="{00000000-0010-0000-0000-000011000000}" name="Khả năng đầu tư (%)" dataDxfId="60" totalsRowDxfId="59" dataCellStyle="Normal 2 2"/>
    <tableColumn id="28" xr3:uid="{00000000-0010-0000-0000-00001C000000}" name="Thời điểm ký hợp đồng" dataDxfId="58" totalsRowDxfId="57" dataCellStyle="Normal 2 2"/>
    <tableColumn id="40" xr3:uid="{00000000-0010-0000-0000-000028000000}" name="Tên tài sản" dataDxfId="56" totalsRowDxfId="55" dataCellStyle="Normal 14"/>
    <tableColumn id="44" xr3:uid="{00000000-0010-0000-0000-00002C000000}" name="Nhóm tài khoản" dataDxfId="54" totalsRowDxfId="53" dataCellStyle="Normal 2 2"/>
    <tableColumn id="39" xr3:uid="{00000000-0010-0000-0000-000027000000}" name="Mã tài khoản (Mã Chi phí_L4)" dataDxfId="52" totalsRowDxfId="51" dataCellStyle="Normal 2 2"/>
    <tableColumn id="38" xr3:uid="{00000000-0010-0000-0000-000026000000}" name="Tên tài khoản (Cost elements 2)" dataDxfId="50" totalsRowDxfId="49" dataCellStyle="Normal 2 2"/>
    <tableColumn id="37" xr3:uid="{00000000-0010-0000-0000-000025000000}" name="Chi Phí_L5 (Cost Group 2)" dataDxfId="48" totalsRowDxfId="47" dataCellStyle="Normal 2 2"/>
    <tableColumn id="43" xr3:uid="{00000000-0010-0000-0000-00002B000000}" name="Giá trị nguyên giá" dataDxfId="46" totalsRowDxfId="45" dataCellStyle="Comma"/>
    <tableColumn id="42" xr3:uid="{00000000-0010-0000-0000-00002A000000}" name="Giá trị đã khấu hao" dataDxfId="44" dataCellStyle="Comma">
      <calculatedColumnFormula>AC8-AE8</calculatedColumnFormula>
    </tableColumn>
    <tableColumn id="41" xr3:uid="{00000000-0010-0000-0000-000029000000}" name="Giá trị còn lại" dataDxfId="43" totalsRowDxfId="42" dataCellStyle="Comma"/>
    <tableColumn id="4" xr3:uid="{00000000-0010-0000-0000-000004000000}" name="T1" dataDxfId="41" totalsRowDxfId="40" dataCellStyle="Normal 2 2">
      <calculatedColumnFormula>SUM(AF9:AF21)</calculatedColumnFormula>
    </tableColumn>
    <tableColumn id="6" xr3:uid="{00000000-0010-0000-0000-000006000000}" name="T2" dataDxfId="39" totalsRowDxfId="38" dataCellStyle="Normal 2 2">
      <calculatedColumnFormula>SUM(AG9:AG21)</calculatedColumnFormula>
    </tableColumn>
    <tableColumn id="7" xr3:uid="{00000000-0010-0000-0000-000007000000}" name="T3" dataDxfId="37" totalsRowDxfId="36" dataCellStyle="Normal 2 2">
      <calculatedColumnFormula>SUM(AH9:AH21)</calculatedColumnFormula>
    </tableColumn>
    <tableColumn id="9" xr3:uid="{00000000-0010-0000-0000-000009000000}" name="T4" dataDxfId="35" totalsRowDxfId="34" dataCellStyle="Normal 2 2"/>
    <tableColumn id="18" xr3:uid="{00000000-0010-0000-0000-000012000000}" name="T5" dataDxfId="33" totalsRowDxfId="32" dataCellStyle="Normal 2 2"/>
    <tableColumn id="25" xr3:uid="{00000000-0010-0000-0000-000019000000}" name="T6" dataDxfId="31" totalsRowDxfId="30" dataCellStyle="Normal 2 2"/>
    <tableColumn id="27" xr3:uid="{00000000-0010-0000-0000-00001B000000}" name="T7" dataDxfId="29" totalsRowDxfId="28" dataCellStyle="Normal 2 2"/>
    <tableColumn id="29" xr3:uid="{00000000-0010-0000-0000-00001D000000}" name="T8" dataDxfId="27" totalsRowDxfId="26" dataCellStyle="Normal 2 2"/>
    <tableColumn id="32" xr3:uid="{00000000-0010-0000-0000-000020000000}" name="T9" dataDxfId="25" totalsRowDxfId="24" dataCellStyle="Normal 2 2"/>
    <tableColumn id="33" xr3:uid="{00000000-0010-0000-0000-000021000000}" name="T10" dataDxfId="23" totalsRowDxfId="22" dataCellStyle="Normal 2 2"/>
    <tableColumn id="34" xr3:uid="{00000000-0010-0000-0000-000022000000}" name="T11" dataDxfId="21" totalsRowDxfId="20" dataCellStyle="Normal 2 2"/>
    <tableColumn id="35" xr3:uid="{00000000-0010-0000-0000-000023000000}" name="T12" dataDxfId="19" totalsRowDxfId="18" dataCellStyle="Normal 2 2"/>
    <tableColumn id="36" xr3:uid="{00000000-0010-0000-0000-000024000000}" name="Mục tiêu 2026" dataDxfId="17" totalsRowDxfId="16" dataCellStyle="Comma">
      <calculatedColumnFormula>SUM(AF8:AQ8)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3-28T03:13:47.33" personId="{8A62DD0D-E234-4241-A8E7-FA3BA868A611}" id="{5DECF8F7-65EF-45E5-AA3D-1BB9AAFBC0D7}">
    <text>Không thực tế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B1:U66"/>
  <sheetViews>
    <sheetView topLeftCell="A28" workbookViewId="0">
      <selection activeCell="G34" sqref="G34"/>
    </sheetView>
  </sheetViews>
  <sheetFormatPr defaultColWidth="8.26953125" defaultRowHeight="12.5" outlineLevelRow="1" outlineLevelCol="1" x14ac:dyDescent="0.35"/>
  <cols>
    <col min="1" max="1" width="1.1796875" style="19" customWidth="1"/>
    <col min="2" max="2" width="7.81640625" style="20" customWidth="1"/>
    <col min="3" max="3" width="39.81640625" style="21" customWidth="1"/>
    <col min="4" max="6" width="8.54296875" style="22" customWidth="1" outlineLevel="1"/>
    <col min="7" max="7" width="9.7265625" style="22" customWidth="1"/>
    <col min="8" max="8" width="8.54296875" style="22" customWidth="1"/>
    <col min="9" max="9" width="8.81640625" style="22" customWidth="1"/>
    <col min="10" max="15" width="8.54296875" style="22" customWidth="1"/>
    <col min="16" max="16" width="12.1796875" style="22" customWidth="1"/>
    <col min="17" max="17" width="16.453125" style="19" bestFit="1" customWidth="1"/>
    <col min="18" max="18" width="17" style="19" bestFit="1" customWidth="1"/>
    <col min="19" max="20" width="8.26953125" style="19"/>
    <col min="21" max="21" width="15.1796875" style="19" bestFit="1" customWidth="1"/>
    <col min="22" max="16384" width="8.26953125" style="19"/>
  </cols>
  <sheetData>
    <row r="1" spans="2:18" ht="24" customHeight="1" x14ac:dyDescent="0.35">
      <c r="B1" s="79"/>
    </row>
    <row r="2" spans="2:18" ht="24" customHeight="1" x14ac:dyDescent="0.35">
      <c r="P2" s="21"/>
    </row>
    <row r="3" spans="2:18" s="8" customFormat="1" ht="23.5" customHeight="1" x14ac:dyDescent="0.3">
      <c r="B3" s="54" t="s">
        <v>5</v>
      </c>
      <c r="C3" s="10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75" t="s">
        <v>6</v>
      </c>
      <c r="Q3" s="15"/>
    </row>
    <row r="4" spans="2:18" s="24" customFormat="1" ht="30" customHeight="1" x14ac:dyDescent="0.35">
      <c r="B4" s="398" t="s">
        <v>0</v>
      </c>
      <c r="C4" s="398" t="s">
        <v>7</v>
      </c>
      <c r="D4" s="224" t="s">
        <v>10</v>
      </c>
      <c r="E4" s="224" t="s">
        <v>11</v>
      </c>
      <c r="F4" s="224" t="s">
        <v>12</v>
      </c>
      <c r="G4" s="224" t="s">
        <v>13</v>
      </c>
      <c r="H4" s="224" t="s">
        <v>14</v>
      </c>
      <c r="I4" s="224" t="s">
        <v>15</v>
      </c>
      <c r="J4" s="224" t="s">
        <v>16</v>
      </c>
      <c r="K4" s="224" t="s">
        <v>17</v>
      </c>
      <c r="L4" s="224" t="s">
        <v>18</v>
      </c>
      <c r="M4" s="224" t="s">
        <v>19</v>
      </c>
      <c r="N4" s="224" t="s">
        <v>20</v>
      </c>
      <c r="O4" s="224" t="s">
        <v>21</v>
      </c>
      <c r="P4" s="224" t="s">
        <v>363</v>
      </c>
      <c r="Q4" s="33"/>
    </row>
    <row r="5" spans="2:18" s="25" customFormat="1" ht="13" x14ac:dyDescent="0.35">
      <c r="B5" s="26" t="s">
        <v>23</v>
      </c>
      <c r="C5" s="27" t="s">
        <v>24</v>
      </c>
      <c r="D5" s="230">
        <f>SUM(D6:D7)</f>
        <v>0</v>
      </c>
      <c r="E5" s="230">
        <f t="shared" ref="E5:O5" si="0">SUM(E6:E7)</f>
        <v>0</v>
      </c>
      <c r="F5" s="230">
        <f t="shared" si="0"/>
        <v>0</v>
      </c>
      <c r="G5" s="230">
        <f t="shared" si="0"/>
        <v>142416</v>
      </c>
      <c r="H5" s="230">
        <f t="shared" si="0"/>
        <v>142416</v>
      </c>
      <c r="I5" s="230">
        <f t="shared" si="0"/>
        <v>142416</v>
      </c>
      <c r="J5" s="230">
        <f t="shared" si="0"/>
        <v>142416</v>
      </c>
      <c r="K5" s="230">
        <f t="shared" si="0"/>
        <v>142416</v>
      </c>
      <c r="L5" s="230">
        <f t="shared" si="0"/>
        <v>142416</v>
      </c>
      <c r="M5" s="230">
        <f t="shared" si="0"/>
        <v>142416</v>
      </c>
      <c r="N5" s="230">
        <f t="shared" si="0"/>
        <v>142416</v>
      </c>
      <c r="O5" s="230">
        <f t="shared" si="0"/>
        <v>142416</v>
      </c>
      <c r="P5" s="28">
        <f>SUM(D5:O5)</f>
        <v>1281744</v>
      </c>
      <c r="Q5" s="334"/>
      <c r="R5" s="44"/>
    </row>
    <row r="6" spans="2:18" s="29" customFormat="1" x14ac:dyDescent="0.35">
      <c r="B6" s="30" t="s">
        <v>25</v>
      </c>
      <c r="C6" s="31" t="s">
        <v>365</v>
      </c>
      <c r="D6" s="32">
        <f>'4.Doanh thu'!F7</f>
        <v>0</v>
      </c>
      <c r="E6" s="32">
        <f>'4.Doanh thu'!G7</f>
        <v>0</v>
      </c>
      <c r="F6" s="32">
        <f>'4.Doanh thu'!H7</f>
        <v>0</v>
      </c>
      <c r="G6" s="32">
        <f>'4.Doanh thu'!I7</f>
        <v>142416</v>
      </c>
      <c r="H6" s="32">
        <f>'4.Doanh thu'!J7</f>
        <v>142416</v>
      </c>
      <c r="I6" s="32">
        <f>'4.Doanh thu'!K7</f>
        <v>142416</v>
      </c>
      <c r="J6" s="32">
        <f>'4.Doanh thu'!L7</f>
        <v>142416</v>
      </c>
      <c r="K6" s="32">
        <f>'4.Doanh thu'!M7</f>
        <v>142416</v>
      </c>
      <c r="L6" s="32">
        <f>'4.Doanh thu'!N7</f>
        <v>142416</v>
      </c>
      <c r="M6" s="32">
        <f>'4.Doanh thu'!O7</f>
        <v>142416</v>
      </c>
      <c r="N6" s="32">
        <f>'4.Doanh thu'!P7</f>
        <v>142416</v>
      </c>
      <c r="O6" s="32">
        <f>'4.Doanh thu'!Q7</f>
        <v>142416</v>
      </c>
      <c r="P6" s="32">
        <f t="shared" ref="P6:P51" si="1">SUM(D6:O6)</f>
        <v>1281744</v>
      </c>
      <c r="Q6" s="335"/>
    </row>
    <row r="7" spans="2:18" s="29" customFormat="1" x14ac:dyDescent="0.35">
      <c r="B7" s="30" t="s">
        <v>26</v>
      </c>
      <c r="C7" s="31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>
        <f t="shared" si="1"/>
        <v>0</v>
      </c>
      <c r="Q7" s="335"/>
    </row>
    <row r="8" spans="2:18" s="33" customFormat="1" ht="13" x14ac:dyDescent="0.35">
      <c r="B8" s="57">
        <v>2</v>
      </c>
      <c r="C8" s="58" t="s">
        <v>27</v>
      </c>
      <c r="D8" s="59">
        <f>SUM(D9:D11)</f>
        <v>0</v>
      </c>
      <c r="E8" s="59">
        <f t="shared" ref="E8:O8" si="2">SUM(E9:E11)</f>
        <v>0</v>
      </c>
      <c r="F8" s="59">
        <f t="shared" si="2"/>
        <v>0</v>
      </c>
      <c r="G8" s="59">
        <f t="shared" si="2"/>
        <v>2848320000</v>
      </c>
      <c r="H8" s="59">
        <f t="shared" si="2"/>
        <v>2848320000</v>
      </c>
      <c r="I8" s="59">
        <f t="shared" si="2"/>
        <v>2848320000</v>
      </c>
      <c r="J8" s="59">
        <f t="shared" si="2"/>
        <v>2848320000</v>
      </c>
      <c r="K8" s="59">
        <f t="shared" si="2"/>
        <v>2848320000</v>
      </c>
      <c r="L8" s="59">
        <f t="shared" si="2"/>
        <v>2848320000</v>
      </c>
      <c r="M8" s="59">
        <f t="shared" si="2"/>
        <v>2848320000</v>
      </c>
      <c r="N8" s="59">
        <f t="shared" si="2"/>
        <v>2848320000</v>
      </c>
      <c r="O8" s="59">
        <f t="shared" si="2"/>
        <v>2848320000</v>
      </c>
      <c r="P8" s="59">
        <f t="shared" si="1"/>
        <v>25634880000</v>
      </c>
    </row>
    <row r="9" spans="2:18" outlineLevel="1" x14ac:dyDescent="0.35">
      <c r="B9" s="37" t="s">
        <v>28</v>
      </c>
      <c r="C9" s="31" t="s">
        <v>365</v>
      </c>
      <c r="D9" s="38">
        <f>'4.Doanh thu'!F27</f>
        <v>0</v>
      </c>
      <c r="E9" s="38">
        <f>'4.Doanh thu'!G27</f>
        <v>0</v>
      </c>
      <c r="F9" s="38">
        <f>'4.Doanh thu'!H27</f>
        <v>0</v>
      </c>
      <c r="G9" s="38">
        <f>'4.Doanh thu'!I27</f>
        <v>2848320000</v>
      </c>
      <c r="H9" s="38">
        <f>'4.Doanh thu'!J27</f>
        <v>2848320000</v>
      </c>
      <c r="I9" s="38">
        <f>'4.Doanh thu'!K27</f>
        <v>2848320000</v>
      </c>
      <c r="J9" s="38">
        <f>'4.Doanh thu'!L27</f>
        <v>2848320000</v>
      </c>
      <c r="K9" s="38">
        <f>'4.Doanh thu'!M27</f>
        <v>2848320000</v>
      </c>
      <c r="L9" s="38">
        <f>'4.Doanh thu'!N27</f>
        <v>2848320000</v>
      </c>
      <c r="M9" s="38">
        <f>'4.Doanh thu'!O27</f>
        <v>2848320000</v>
      </c>
      <c r="N9" s="38">
        <f>'4.Doanh thu'!P27</f>
        <v>2848320000</v>
      </c>
      <c r="O9" s="38">
        <f>'4.Doanh thu'!Q27</f>
        <v>2848320000</v>
      </c>
      <c r="P9" s="38">
        <f t="shared" si="1"/>
        <v>25634880000</v>
      </c>
    </row>
    <row r="10" spans="2:18" outlineLevel="1" x14ac:dyDescent="0.35">
      <c r="B10" s="37" t="s">
        <v>29</v>
      </c>
      <c r="C10" s="31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2:18" outlineLevel="1" x14ac:dyDescent="0.35">
      <c r="B11" s="37" t="s">
        <v>30</v>
      </c>
      <c r="C11" s="39" t="s">
        <v>31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>
        <f t="shared" si="1"/>
        <v>0</v>
      </c>
    </row>
    <row r="12" spans="2:18" s="33" customFormat="1" ht="13" x14ac:dyDescent="0.35">
      <c r="B12" s="34">
        <v>3</v>
      </c>
      <c r="C12" s="35" t="s">
        <v>32</v>
      </c>
      <c r="D12" s="36">
        <f>D13+D21</f>
        <v>0</v>
      </c>
      <c r="E12" s="36">
        <f t="shared" ref="E12:N12" si="3">E13+E21</f>
        <v>0</v>
      </c>
      <c r="F12" s="36">
        <f t="shared" si="3"/>
        <v>0</v>
      </c>
      <c r="G12" s="36">
        <f t="shared" si="3"/>
        <v>2988125352.4000001</v>
      </c>
      <c r="H12" s="36">
        <f t="shared" si="3"/>
        <v>2988125352.4000001</v>
      </c>
      <c r="I12" s="36">
        <f t="shared" si="3"/>
        <v>2988125352.4000001</v>
      </c>
      <c r="J12" s="36">
        <f t="shared" si="3"/>
        <v>2988125352.4000001</v>
      </c>
      <c r="K12" s="36">
        <f t="shared" si="3"/>
        <v>2988125352.4000001</v>
      </c>
      <c r="L12" s="36">
        <f t="shared" si="3"/>
        <v>2988125352.4000001</v>
      </c>
      <c r="M12" s="36">
        <f t="shared" si="3"/>
        <v>2988125352.4000001</v>
      </c>
      <c r="N12" s="36">
        <f t="shared" si="3"/>
        <v>2988125352.4000001</v>
      </c>
      <c r="O12" s="36">
        <f>O13+O21</f>
        <v>2988125352.4000001</v>
      </c>
      <c r="P12" s="36">
        <f t="shared" si="1"/>
        <v>26893128171.600006</v>
      </c>
    </row>
    <row r="13" spans="2:18" s="33" customFormat="1" ht="13" x14ac:dyDescent="0.35">
      <c r="B13" s="40">
        <v>3.1</v>
      </c>
      <c r="C13" s="41" t="s">
        <v>33</v>
      </c>
      <c r="D13" s="36">
        <f>D14+D18+D19+D20</f>
        <v>0</v>
      </c>
      <c r="E13" s="36">
        <f t="shared" ref="E13:N13" si="4">E14+E18+E19+E20</f>
        <v>0</v>
      </c>
      <c r="F13" s="36">
        <f t="shared" si="4"/>
        <v>0</v>
      </c>
      <c r="G13" s="36">
        <f t="shared" si="4"/>
        <v>2929972152.4000001</v>
      </c>
      <c r="H13" s="36">
        <f>H14+H18+H19+H20</f>
        <v>2929972152.4000001</v>
      </c>
      <c r="I13" s="36">
        <f>I14+I18+I19+I20</f>
        <v>2929972152.4000001</v>
      </c>
      <c r="J13" s="36">
        <f t="shared" si="4"/>
        <v>2929972152.4000001</v>
      </c>
      <c r="K13" s="36">
        <f t="shared" si="4"/>
        <v>2929972152.4000001</v>
      </c>
      <c r="L13" s="36">
        <f t="shared" si="4"/>
        <v>2929972152.4000001</v>
      </c>
      <c r="M13" s="36">
        <f t="shared" si="4"/>
        <v>2929972152.4000001</v>
      </c>
      <c r="N13" s="36">
        <f t="shared" si="4"/>
        <v>2929972152.4000001</v>
      </c>
      <c r="O13" s="36">
        <f>O14+O18+O19+O20</f>
        <v>2929972152.4000001</v>
      </c>
      <c r="P13" s="36">
        <f>SUM(D13:O13)</f>
        <v>26369749371.600006</v>
      </c>
    </row>
    <row r="14" spans="2:18" x14ac:dyDescent="0.35">
      <c r="B14" s="42" t="s">
        <v>34</v>
      </c>
      <c r="C14" s="43" t="s">
        <v>35</v>
      </c>
      <c r="D14" s="38">
        <f>'1.NVL'!H27</f>
        <v>0</v>
      </c>
      <c r="E14" s="38">
        <f>'1.NVL'!I27</f>
        <v>0</v>
      </c>
      <c r="F14" s="38">
        <f>'1.NVL'!J27</f>
        <v>0</v>
      </c>
      <c r="G14" s="38">
        <f>'1.NVL'!K27</f>
        <v>2220420000</v>
      </c>
      <c r="H14" s="38">
        <f>'1.NVL'!L27</f>
        <v>2220420000</v>
      </c>
      <c r="I14" s="38">
        <f>'1.NVL'!M27</f>
        <v>2220420000</v>
      </c>
      <c r="J14" s="38">
        <f>'1.NVL'!N27</f>
        <v>2220420000</v>
      </c>
      <c r="K14" s="38">
        <f>'1.NVL'!O27</f>
        <v>2220420000</v>
      </c>
      <c r="L14" s="38">
        <f>'1.NVL'!P27</f>
        <v>2220420000</v>
      </c>
      <c r="M14" s="38">
        <f>'1.NVL'!Q27</f>
        <v>2220420000</v>
      </c>
      <c r="N14" s="38">
        <f>'1.NVL'!R27</f>
        <v>2220420000</v>
      </c>
      <c r="O14" s="38">
        <f>'1.NVL'!S27</f>
        <v>2220420000</v>
      </c>
      <c r="P14" s="38">
        <f>SUM(D14:O14)</f>
        <v>19983780000</v>
      </c>
    </row>
    <row r="15" spans="2:18" s="45" customFormat="1" ht="13" outlineLevel="1" x14ac:dyDescent="0.35">
      <c r="B15" s="46" t="s">
        <v>36</v>
      </c>
      <c r="C15" s="47" t="s">
        <v>37</v>
      </c>
      <c r="D15" s="48">
        <f>SUM('[27]KH DAY DAI'!E26,'[27]KH DAY DAI'!E33)</f>
        <v>0</v>
      </c>
      <c r="E15" s="48">
        <f>SUM('[27]KH DAY DAI'!F26,'[27]KH DAY DAI'!F33)</f>
        <v>0</v>
      </c>
      <c r="F15" s="48">
        <f>SUM('[27]KH DAY DAI'!G26,'[27]KH DAY DAI'!G33)</f>
        <v>0</v>
      </c>
      <c r="G15" s="48">
        <f>SUM('[27]KH DAY DAI'!H26,'[27]KH DAY DAI'!H33)</f>
        <v>0</v>
      </c>
      <c r="H15" s="48">
        <f>SUM('[27]KH DAY DAI'!I26,'[27]KH DAY DAI'!I33)</f>
        <v>0</v>
      </c>
      <c r="I15" s="48">
        <f>SUM('[27]KH DAY DAI'!J26,'[27]KH DAY DAI'!J33)</f>
        <v>0</v>
      </c>
      <c r="J15" s="48">
        <f>SUM('[27]KH DAY DAI'!K26,'[27]KH DAY DAI'!K33)</f>
        <v>0</v>
      </c>
      <c r="K15" s="48">
        <f>SUM('[27]KH DAY DAI'!L26,'[27]KH DAY DAI'!L33)</f>
        <v>0</v>
      </c>
      <c r="L15" s="48">
        <f>SUM('[27]KH DAY DAI'!M26,'[27]KH DAY DAI'!M33)</f>
        <v>0</v>
      </c>
      <c r="M15" s="48">
        <f>SUM('[27]KH DAY DAI'!N26,'[27]KH DAY DAI'!N33)</f>
        <v>0</v>
      </c>
      <c r="N15" s="48">
        <f>SUM('[27]KH DAY DAI'!O26,'[27]KH DAY DAI'!O33)</f>
        <v>0</v>
      </c>
      <c r="O15" s="48">
        <f>SUM('[27]KH DAY DAI'!P26,'[27]KH DAY DAI'!P33)</f>
        <v>0</v>
      </c>
      <c r="P15" s="48">
        <f>SUM(D15:O15)</f>
        <v>0</v>
      </c>
    </row>
    <row r="16" spans="2:18" s="45" customFormat="1" ht="13" outlineLevel="1" x14ac:dyDescent="0.35">
      <c r="B16" s="46"/>
      <c r="C16" s="47" t="s">
        <v>38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>
        <f>SUM(D16:O16)</f>
        <v>0</v>
      </c>
    </row>
    <row r="17" spans="2:21" s="63" customFormat="1" ht="13" x14ac:dyDescent="0.35">
      <c r="B17" s="64" t="s">
        <v>39</v>
      </c>
      <c r="C17" s="61" t="s">
        <v>40</v>
      </c>
      <c r="D17" s="62">
        <f>IFERROR(D14/D8,)</f>
        <v>0</v>
      </c>
      <c r="E17" s="62">
        <f t="shared" ref="E17:P17" si="5">IFERROR(E14/E8,)</f>
        <v>0</v>
      </c>
      <c r="F17" s="62">
        <f t="shared" si="5"/>
        <v>0</v>
      </c>
      <c r="G17" s="62">
        <f t="shared" si="5"/>
        <v>0.77955426356589153</v>
      </c>
      <c r="H17" s="62">
        <f t="shared" si="5"/>
        <v>0.77955426356589153</v>
      </c>
      <c r="I17" s="62">
        <f t="shared" si="5"/>
        <v>0.77955426356589153</v>
      </c>
      <c r="J17" s="62">
        <f t="shared" si="5"/>
        <v>0.77955426356589153</v>
      </c>
      <c r="K17" s="62">
        <f t="shared" si="5"/>
        <v>0.77955426356589153</v>
      </c>
      <c r="L17" s="62">
        <f t="shared" si="5"/>
        <v>0.77955426356589153</v>
      </c>
      <c r="M17" s="62">
        <f t="shared" si="5"/>
        <v>0.77955426356589153</v>
      </c>
      <c r="N17" s="62">
        <f t="shared" si="5"/>
        <v>0.77955426356589153</v>
      </c>
      <c r="O17" s="62">
        <f t="shared" si="5"/>
        <v>0.77955426356589153</v>
      </c>
      <c r="P17" s="62">
        <f t="shared" si="5"/>
        <v>0.77955426356589153</v>
      </c>
      <c r="Q17" s="333"/>
    </row>
    <row r="18" spans="2:21" ht="13" x14ac:dyDescent="0.35">
      <c r="B18" s="338" t="s">
        <v>41</v>
      </c>
      <c r="C18" s="39" t="s">
        <v>428</v>
      </c>
      <c r="D18" s="38">
        <f>SUM(CPSX!K19:K25)</f>
        <v>0</v>
      </c>
      <c r="E18" s="38">
        <f>SUM(CPSX!L19:L25)</f>
        <v>0</v>
      </c>
      <c r="F18" s="38">
        <f>SUM(CPSX!M19:M25)</f>
        <v>0</v>
      </c>
      <c r="G18" s="38">
        <f>SUM(CPSX!N19:N25)</f>
        <v>295736152.39999998</v>
      </c>
      <c r="H18" s="38">
        <f>SUM(CPSX!O19:O25)</f>
        <v>295736152.39999998</v>
      </c>
      <c r="I18" s="38">
        <f>SUM(CPSX!P19:P25)</f>
        <v>295736152.39999998</v>
      </c>
      <c r="J18" s="38">
        <f>SUM(CPSX!Q19:Q25)</f>
        <v>295736152.39999998</v>
      </c>
      <c r="K18" s="38">
        <f>SUM(CPSX!R19:R25)</f>
        <v>295736152.39999998</v>
      </c>
      <c r="L18" s="38">
        <f>SUM(CPSX!S19:S25)</f>
        <v>295736152.39999998</v>
      </c>
      <c r="M18" s="38">
        <f>SUM(CPSX!T19:T25)</f>
        <v>295736152.39999998</v>
      </c>
      <c r="N18" s="38">
        <f>SUM(CPSX!U19:U25)</f>
        <v>295736152.39999998</v>
      </c>
      <c r="O18" s="38">
        <f>SUM(CPSX!V19:V25)</f>
        <v>295736152.39999998</v>
      </c>
      <c r="P18" s="38">
        <f>SUM(D18:O18)</f>
        <v>2661625371.6000004</v>
      </c>
    </row>
    <row r="19" spans="2:21" ht="13" x14ac:dyDescent="0.35">
      <c r="B19" s="338" t="s">
        <v>42</v>
      </c>
      <c r="C19" s="39" t="s">
        <v>43</v>
      </c>
      <c r="D19" s="38">
        <f>CPSX!K18</f>
        <v>0</v>
      </c>
      <c r="E19" s="38">
        <f>CPSX!L18</f>
        <v>0</v>
      </c>
      <c r="F19" s="38">
        <f>CPSX!M18</f>
        <v>0</v>
      </c>
      <c r="G19" s="38">
        <f>CPSX!N18</f>
        <v>365976000</v>
      </c>
      <c r="H19" s="38">
        <f>CPSX!O18</f>
        <v>365976000</v>
      </c>
      <c r="I19" s="38">
        <f>CPSX!P18</f>
        <v>365976000</v>
      </c>
      <c r="J19" s="38">
        <f>CPSX!Q18</f>
        <v>365976000</v>
      </c>
      <c r="K19" s="38">
        <f>CPSX!R18</f>
        <v>365976000</v>
      </c>
      <c r="L19" s="38">
        <f>CPSX!S18</f>
        <v>365976000</v>
      </c>
      <c r="M19" s="38">
        <f>CPSX!T18</f>
        <v>365976000</v>
      </c>
      <c r="N19" s="38">
        <f>CPSX!U18</f>
        <v>365976000</v>
      </c>
      <c r="O19" s="38">
        <f>CPSX!V18</f>
        <v>365976000</v>
      </c>
      <c r="P19" s="38">
        <f t="shared" si="1"/>
        <v>3293784000</v>
      </c>
      <c r="R19" s="44"/>
    </row>
    <row r="20" spans="2:21" ht="13" x14ac:dyDescent="0.35">
      <c r="B20" s="338" t="s">
        <v>44</v>
      </c>
      <c r="C20" s="39" t="s">
        <v>45</v>
      </c>
      <c r="D20" s="38">
        <f>SUM(CPSX!K6:K17)</f>
        <v>0</v>
      </c>
      <c r="E20" s="38">
        <f>SUM(CPSX!L6:L17)</f>
        <v>0</v>
      </c>
      <c r="F20" s="38">
        <f>SUM(CPSX!M6:M17)</f>
        <v>0</v>
      </c>
      <c r="G20" s="38">
        <f>SUM(CPSX!N6:N17)</f>
        <v>47839999.999999993</v>
      </c>
      <c r="H20" s="38">
        <f>SUM(CPSX!O6:O17)</f>
        <v>47839999.999999993</v>
      </c>
      <c r="I20" s="38">
        <f>SUM(CPSX!P6:P17)</f>
        <v>47839999.999999993</v>
      </c>
      <c r="J20" s="38">
        <f>SUM(CPSX!Q6:Q17)</f>
        <v>47839999.999999993</v>
      </c>
      <c r="K20" s="38">
        <f>SUM(CPSX!R6:R17)</f>
        <v>47839999.999999993</v>
      </c>
      <c r="L20" s="38">
        <f>SUM(CPSX!S6:S17)</f>
        <v>47839999.999999993</v>
      </c>
      <c r="M20" s="38">
        <f>SUM(CPSX!T6:T17)</f>
        <v>47839999.999999993</v>
      </c>
      <c r="N20" s="38">
        <f>SUM(CPSX!U6:U17)</f>
        <v>47839999.999999993</v>
      </c>
      <c r="O20" s="38">
        <f>SUM(CPSX!V6:V17)</f>
        <v>47839999.999999993</v>
      </c>
      <c r="P20" s="38">
        <f t="shared" si="1"/>
        <v>430559999.99999994</v>
      </c>
      <c r="R20" s="44"/>
    </row>
    <row r="21" spans="2:21" s="33" customFormat="1" ht="13" x14ac:dyDescent="0.35">
      <c r="B21" s="40">
        <v>3.2</v>
      </c>
      <c r="C21" s="41" t="s">
        <v>46</v>
      </c>
      <c r="D21" s="36">
        <f>CPBH!K5</f>
        <v>0</v>
      </c>
      <c r="E21" s="36">
        <f>CPBH!L5</f>
        <v>0</v>
      </c>
      <c r="F21" s="36">
        <f>CPBH!M5</f>
        <v>0</v>
      </c>
      <c r="G21" s="36">
        <f>CPBH!N5</f>
        <v>58153200</v>
      </c>
      <c r="H21" s="36">
        <f>CPBH!O5</f>
        <v>58153200</v>
      </c>
      <c r="I21" s="36">
        <f>CPBH!P5</f>
        <v>58153200</v>
      </c>
      <c r="J21" s="36">
        <f>CPBH!Q5</f>
        <v>58153200</v>
      </c>
      <c r="K21" s="36">
        <f>CPBH!R5</f>
        <v>58153200</v>
      </c>
      <c r="L21" s="36">
        <f>CPBH!S5</f>
        <v>58153200</v>
      </c>
      <c r="M21" s="36">
        <f>CPBH!T5</f>
        <v>58153200</v>
      </c>
      <c r="N21" s="36">
        <f>CPBH!U5</f>
        <v>58153200</v>
      </c>
      <c r="O21" s="36">
        <f>CPBH!V5</f>
        <v>58153200</v>
      </c>
      <c r="P21" s="36">
        <f t="shared" si="1"/>
        <v>523378800</v>
      </c>
      <c r="Q21" s="19"/>
    </row>
    <row r="22" spans="2:21" outlineLevel="1" collapsed="1" x14ac:dyDescent="0.35">
      <c r="B22" s="42"/>
      <c r="C22" s="43" t="s">
        <v>47</v>
      </c>
      <c r="D22" s="38">
        <f>CPSX!K27</f>
        <v>0</v>
      </c>
      <c r="E22" s="38">
        <f>CPSX!L27</f>
        <v>0</v>
      </c>
      <c r="F22" s="38">
        <f>CPSX!M27</f>
        <v>0</v>
      </c>
      <c r="G22" s="38">
        <f>CPSX!N27</f>
        <v>0</v>
      </c>
      <c r="H22" s="38">
        <f>CPSX!O27</f>
        <v>0</v>
      </c>
      <c r="I22" s="38">
        <f>CPSX!P27</f>
        <v>0</v>
      </c>
      <c r="J22" s="38">
        <f>CPSX!Q27</f>
        <v>0</v>
      </c>
      <c r="K22" s="38">
        <f>CPSX!R27</f>
        <v>0</v>
      </c>
      <c r="L22" s="38">
        <f>CPSX!S27</f>
        <v>0</v>
      </c>
      <c r="M22" s="38">
        <f>CPSX!T27</f>
        <v>0</v>
      </c>
      <c r="N22" s="38">
        <f>CPSX!U27</f>
        <v>0</v>
      </c>
      <c r="O22" s="38">
        <f>CPSX!V27</f>
        <v>0</v>
      </c>
      <c r="P22" s="38">
        <f t="shared" si="1"/>
        <v>0</v>
      </c>
      <c r="R22" s="44"/>
    </row>
    <row r="23" spans="2:21" s="33" customFormat="1" ht="13" x14ac:dyDescent="0.35">
      <c r="B23" s="57">
        <v>4</v>
      </c>
      <c r="C23" s="58" t="s">
        <v>48</v>
      </c>
      <c r="D23" s="59">
        <f t="shared" ref="D23:O23" si="6">D8-D12</f>
        <v>0</v>
      </c>
      <c r="E23" s="59">
        <f t="shared" si="6"/>
        <v>0</v>
      </c>
      <c r="F23" s="59">
        <f t="shared" si="6"/>
        <v>0</v>
      </c>
      <c r="G23" s="59">
        <f t="shared" si="6"/>
        <v>-139805352.4000001</v>
      </c>
      <c r="H23" s="59">
        <f t="shared" si="6"/>
        <v>-139805352.4000001</v>
      </c>
      <c r="I23" s="59">
        <f t="shared" si="6"/>
        <v>-139805352.4000001</v>
      </c>
      <c r="J23" s="59">
        <f t="shared" si="6"/>
        <v>-139805352.4000001</v>
      </c>
      <c r="K23" s="59">
        <f t="shared" si="6"/>
        <v>-139805352.4000001</v>
      </c>
      <c r="L23" s="59">
        <f t="shared" si="6"/>
        <v>-139805352.4000001</v>
      </c>
      <c r="M23" s="59">
        <f t="shared" si="6"/>
        <v>-139805352.4000001</v>
      </c>
      <c r="N23" s="59">
        <f t="shared" si="6"/>
        <v>-139805352.4000001</v>
      </c>
      <c r="O23" s="59">
        <f t="shared" si="6"/>
        <v>-139805352.4000001</v>
      </c>
      <c r="P23" s="59">
        <f t="shared" si="1"/>
        <v>-1258248171.6000009</v>
      </c>
    </row>
    <row r="24" spans="2:21" s="63" customFormat="1" ht="13" x14ac:dyDescent="0.35">
      <c r="B24" s="60" t="s">
        <v>49</v>
      </c>
      <c r="C24" s="61" t="s">
        <v>50</v>
      </c>
      <c r="D24" s="62">
        <f>IFERROR(D23/D8,)</f>
        <v>0</v>
      </c>
      <c r="E24" s="62">
        <f t="shared" ref="E24:P24" si="7">IFERROR(E23/E8,)</f>
        <v>0</v>
      </c>
      <c r="F24" s="62">
        <f t="shared" si="7"/>
        <v>0</v>
      </c>
      <c r="G24" s="62">
        <f t="shared" si="7"/>
        <v>-4.9083443012021152E-2</v>
      </c>
      <c r="H24" s="62">
        <f t="shared" si="7"/>
        <v>-4.9083443012021152E-2</v>
      </c>
      <c r="I24" s="62">
        <f t="shared" si="7"/>
        <v>-4.9083443012021152E-2</v>
      </c>
      <c r="J24" s="62">
        <f t="shared" si="7"/>
        <v>-4.9083443012021152E-2</v>
      </c>
      <c r="K24" s="62">
        <f t="shared" si="7"/>
        <v>-4.9083443012021152E-2</v>
      </c>
      <c r="L24" s="62">
        <f t="shared" si="7"/>
        <v>-4.9083443012021152E-2</v>
      </c>
      <c r="M24" s="62">
        <f t="shared" si="7"/>
        <v>-4.9083443012021152E-2</v>
      </c>
      <c r="N24" s="62">
        <f t="shared" si="7"/>
        <v>-4.9083443012021152E-2</v>
      </c>
      <c r="O24" s="62">
        <f t="shared" si="7"/>
        <v>-4.9083443012021152E-2</v>
      </c>
      <c r="P24" s="62">
        <f t="shared" si="7"/>
        <v>-4.9083443012021152E-2</v>
      </c>
      <c r="Q24" s="333"/>
    </row>
    <row r="25" spans="2:21" s="33" customFormat="1" ht="13" x14ac:dyDescent="0.35">
      <c r="B25" s="40">
        <v>5</v>
      </c>
      <c r="C25" s="41" t="s">
        <v>51</v>
      </c>
      <c r="D25" s="36">
        <f>D26+D27+D28</f>
        <v>0</v>
      </c>
      <c r="E25" s="36">
        <f t="shared" ref="E25:O25" si="8">E26+E27+E28</f>
        <v>0</v>
      </c>
      <c r="F25" s="36">
        <f t="shared" si="8"/>
        <v>0</v>
      </c>
      <c r="G25" s="36">
        <f>G26+G27+G28</f>
        <v>80488500</v>
      </c>
      <c r="H25" s="36">
        <f t="shared" si="8"/>
        <v>80488500</v>
      </c>
      <c r="I25" s="36">
        <f t="shared" si="8"/>
        <v>80488500</v>
      </c>
      <c r="J25" s="36">
        <f t="shared" si="8"/>
        <v>80488500</v>
      </c>
      <c r="K25" s="36">
        <f t="shared" si="8"/>
        <v>80488500</v>
      </c>
      <c r="L25" s="36">
        <f t="shared" si="8"/>
        <v>80488500</v>
      </c>
      <c r="M25" s="36">
        <f t="shared" si="8"/>
        <v>80488500</v>
      </c>
      <c r="N25" s="36">
        <f t="shared" si="8"/>
        <v>80488500</v>
      </c>
      <c r="O25" s="36">
        <f t="shared" si="8"/>
        <v>80488500</v>
      </c>
      <c r="P25" s="36">
        <f t="shared" si="1"/>
        <v>724396500</v>
      </c>
      <c r="Q25" s="19"/>
    </row>
    <row r="26" spans="2:21" collapsed="1" x14ac:dyDescent="0.35">
      <c r="B26" s="42" t="s">
        <v>78</v>
      </c>
      <c r="C26" s="39" t="s">
        <v>52</v>
      </c>
      <c r="D26" s="38">
        <f>SUM(CPSX!K29:K40)</f>
        <v>0</v>
      </c>
      <c r="E26" s="38">
        <f>SUM(CPSX!L29:L40)</f>
        <v>0</v>
      </c>
      <c r="F26" s="38">
        <f>SUM(CPSX!M29:M40)</f>
        <v>0</v>
      </c>
      <c r="G26" s="38">
        <f>SUM(CPSX!N29:N40)</f>
        <v>80488500</v>
      </c>
      <c r="H26" s="38">
        <f>SUM(CPSX!O29:O40)</f>
        <v>80488500</v>
      </c>
      <c r="I26" s="38">
        <f>SUM(CPSX!P29:P40)</f>
        <v>80488500</v>
      </c>
      <c r="J26" s="38">
        <f>SUM(CPSX!Q29:Q40)</f>
        <v>80488500</v>
      </c>
      <c r="K26" s="38">
        <f>SUM(CPSX!R29:R40)</f>
        <v>80488500</v>
      </c>
      <c r="L26" s="38">
        <f>SUM(CPSX!S29:S40)</f>
        <v>80488500</v>
      </c>
      <c r="M26" s="38">
        <f>SUM(CPSX!T29:T40)</f>
        <v>80488500</v>
      </c>
      <c r="N26" s="38">
        <f>SUM(CPSX!U29:U40)</f>
        <v>80488500</v>
      </c>
      <c r="O26" s="38">
        <f>SUM(CPSX!V29:V40)</f>
        <v>80488500</v>
      </c>
      <c r="P26" s="38">
        <f>SUM(D26:O26)</f>
        <v>724396500</v>
      </c>
      <c r="R26" s="44"/>
    </row>
    <row r="27" spans="2:21" ht="17.5" customHeight="1" x14ac:dyDescent="0.35">
      <c r="B27" s="42" t="s">
        <v>79</v>
      </c>
      <c r="C27" s="39" t="s">
        <v>4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>
        <f t="shared" si="1"/>
        <v>0</v>
      </c>
      <c r="R27" s="44"/>
    </row>
    <row r="28" spans="2:21" ht="25" x14ac:dyDescent="0.35">
      <c r="B28" s="42" t="s">
        <v>80</v>
      </c>
      <c r="C28" s="39" t="s">
        <v>53</v>
      </c>
      <c r="D28" s="38">
        <f>SUM('[27]KH DAY DAI'!E30)</f>
        <v>0</v>
      </c>
      <c r="E28" s="38">
        <f>SUM('[27]KH DAY DAI'!F30)</f>
        <v>0</v>
      </c>
      <c r="F28" s="38">
        <f>SUM('[27]KH DAY DAI'!G30)</f>
        <v>0</v>
      </c>
      <c r="G28" s="38">
        <f>SUM('[27]KH DAY DAI'!H30)</f>
        <v>0</v>
      </c>
      <c r="H28" s="38">
        <f>SUM('[27]KH DAY DAI'!I30)</f>
        <v>0</v>
      </c>
      <c r="I28" s="38">
        <f>SUM('[27]KH DAY DAI'!J30)</f>
        <v>0</v>
      </c>
      <c r="J28" s="38">
        <f>SUM('[27]KH DAY DAI'!K30)</f>
        <v>0</v>
      </c>
      <c r="K28" s="38">
        <f>SUM('[27]KH DAY DAI'!L30)</f>
        <v>0</v>
      </c>
      <c r="L28" s="38">
        <f>SUM('[27]KH DAY DAI'!M30)</f>
        <v>0</v>
      </c>
      <c r="M28" s="38">
        <f>SUM('[27]KH DAY DAI'!N30)</f>
        <v>0</v>
      </c>
      <c r="N28" s="38">
        <f>SUM('[27]KH DAY DAI'!O30)</f>
        <v>0</v>
      </c>
      <c r="O28" s="38">
        <f>SUM('[27]KH DAY DAI'!P30)</f>
        <v>0</v>
      </c>
      <c r="P28" s="38">
        <f>SUM(D28:O28)</f>
        <v>0</v>
      </c>
      <c r="U28" s="44"/>
    </row>
    <row r="29" spans="2:21" s="33" customFormat="1" ht="13" x14ac:dyDescent="0.35">
      <c r="B29" s="40">
        <v>6</v>
      </c>
      <c r="C29" s="35" t="s">
        <v>54</v>
      </c>
      <c r="D29" s="36">
        <f>CPSX!K56</f>
        <v>0</v>
      </c>
      <c r="E29" s="36">
        <f>CPSX!L56</f>
        <v>0</v>
      </c>
      <c r="F29" s="36">
        <f>CPSX!M56</f>
        <v>0</v>
      </c>
      <c r="G29" s="36">
        <f>CPSX!N56</f>
        <v>46507063.993055552</v>
      </c>
      <c r="H29" s="36">
        <f>CPSX!O56</f>
        <v>46507063.993055552</v>
      </c>
      <c r="I29" s="36">
        <f>CPSX!P56</f>
        <v>46507063.993055552</v>
      </c>
      <c r="J29" s="36">
        <f>CPSX!Q56</f>
        <v>46507063.993055552</v>
      </c>
      <c r="K29" s="36">
        <f>CPSX!R56</f>
        <v>46507063.993055552</v>
      </c>
      <c r="L29" s="36">
        <f>CPSX!S56</f>
        <v>46507063.993055552</v>
      </c>
      <c r="M29" s="36">
        <f>CPSX!T56</f>
        <v>46507063.993055552</v>
      </c>
      <c r="N29" s="36">
        <f>CPSX!U56</f>
        <v>46507063.993055552</v>
      </c>
      <c r="O29" s="36">
        <f>CPSX!V56</f>
        <v>46507063.993055552</v>
      </c>
      <c r="P29" s="36">
        <f t="shared" si="1"/>
        <v>418563575.9375</v>
      </c>
    </row>
    <row r="30" spans="2:21" s="33" customFormat="1" ht="13" collapsed="1" x14ac:dyDescent="0.35">
      <c r="B30" s="57">
        <v>7</v>
      </c>
      <c r="C30" s="58" t="s">
        <v>55</v>
      </c>
      <c r="D30" s="59">
        <f t="shared" ref="D30:O30" si="9">D23-D25-D29</f>
        <v>0</v>
      </c>
      <c r="E30" s="59">
        <f t="shared" si="9"/>
        <v>0</v>
      </c>
      <c r="F30" s="59">
        <f t="shared" si="9"/>
        <v>0</v>
      </c>
      <c r="G30" s="59">
        <f t="shared" si="9"/>
        <v>-266800916.39305565</v>
      </c>
      <c r="H30" s="59">
        <f>H23-H25-H29</f>
        <v>-266800916.39305565</v>
      </c>
      <c r="I30" s="59">
        <f t="shared" si="9"/>
        <v>-266800916.39305565</v>
      </c>
      <c r="J30" s="59">
        <f t="shared" si="9"/>
        <v>-266800916.39305565</v>
      </c>
      <c r="K30" s="59">
        <f t="shared" si="9"/>
        <v>-266800916.39305565</v>
      </c>
      <c r="L30" s="59">
        <f t="shared" si="9"/>
        <v>-266800916.39305565</v>
      </c>
      <c r="M30" s="59">
        <f t="shared" si="9"/>
        <v>-266800916.39305565</v>
      </c>
      <c r="N30" s="59">
        <f t="shared" si="9"/>
        <v>-266800916.39305565</v>
      </c>
      <c r="O30" s="59">
        <f t="shared" si="9"/>
        <v>-266800916.39305565</v>
      </c>
      <c r="P30" s="59">
        <f t="shared" si="1"/>
        <v>-2401208247.5375009</v>
      </c>
    </row>
    <row r="31" spans="2:21" s="63" customFormat="1" ht="13" x14ac:dyDescent="0.35">
      <c r="B31" s="60" t="s">
        <v>56</v>
      </c>
      <c r="C31" s="61" t="s">
        <v>57</v>
      </c>
      <c r="D31" s="62">
        <f>IFERROR(D30/D8,)</f>
        <v>0</v>
      </c>
      <c r="E31" s="62">
        <f t="shared" ref="E31:P31" si="10">IFERROR(E30/E8,)</f>
        <v>0</v>
      </c>
      <c r="F31" s="62">
        <f t="shared" si="10"/>
        <v>0</v>
      </c>
      <c r="G31" s="62">
        <f>IFERROR(G30/G8,)</f>
        <v>-9.3669572377069868E-2</v>
      </c>
      <c r="H31" s="62">
        <f t="shared" si="10"/>
        <v>-9.3669572377069868E-2</v>
      </c>
      <c r="I31" s="62">
        <f t="shared" si="10"/>
        <v>-9.3669572377069868E-2</v>
      </c>
      <c r="J31" s="62">
        <f t="shared" si="10"/>
        <v>-9.3669572377069868E-2</v>
      </c>
      <c r="K31" s="62">
        <f t="shared" si="10"/>
        <v>-9.3669572377069868E-2</v>
      </c>
      <c r="L31" s="62">
        <f t="shared" si="10"/>
        <v>-9.3669572377069868E-2</v>
      </c>
      <c r="M31" s="62">
        <f t="shared" si="10"/>
        <v>-9.3669572377069868E-2</v>
      </c>
      <c r="N31" s="62">
        <f t="shared" si="10"/>
        <v>-9.3669572377069868E-2</v>
      </c>
      <c r="O31" s="62">
        <f t="shared" si="10"/>
        <v>-9.3669572377069868E-2</v>
      </c>
      <c r="P31" s="62">
        <f t="shared" si="10"/>
        <v>-9.3669572377069868E-2</v>
      </c>
      <c r="Q31" s="333"/>
    </row>
    <row r="32" spans="2:21" s="33" customFormat="1" ht="13" x14ac:dyDescent="0.35">
      <c r="B32" s="40">
        <v>8</v>
      </c>
      <c r="C32" s="35" t="s">
        <v>58</v>
      </c>
      <c r="D32" s="36">
        <f t="shared" ref="D32:O32" si="11">D34+D35+D36</f>
        <v>0</v>
      </c>
      <c r="E32" s="36">
        <f t="shared" si="11"/>
        <v>0</v>
      </c>
      <c r="F32" s="36">
        <f t="shared" si="11"/>
        <v>0</v>
      </c>
      <c r="G32" s="36">
        <f t="shared" si="11"/>
        <v>854496000</v>
      </c>
      <c r="H32" s="36">
        <f t="shared" si="11"/>
        <v>854496000</v>
      </c>
      <c r="I32" s="36">
        <f t="shared" si="11"/>
        <v>854496000</v>
      </c>
      <c r="J32" s="36">
        <f t="shared" si="11"/>
        <v>854496000</v>
      </c>
      <c r="K32" s="36">
        <f t="shared" si="11"/>
        <v>854496000</v>
      </c>
      <c r="L32" s="36">
        <f t="shared" si="11"/>
        <v>854496000</v>
      </c>
      <c r="M32" s="36">
        <f t="shared" si="11"/>
        <v>854496000</v>
      </c>
      <c r="N32" s="36">
        <f t="shared" si="11"/>
        <v>854496000</v>
      </c>
      <c r="O32" s="36">
        <f t="shared" si="11"/>
        <v>854496000</v>
      </c>
      <c r="P32" s="36">
        <f t="shared" si="1"/>
        <v>7690464000</v>
      </c>
      <c r="R32" s="63"/>
    </row>
    <row r="33" spans="2:18" s="63" customFormat="1" ht="13" x14ac:dyDescent="0.35">
      <c r="B33" s="399">
        <v>8.1</v>
      </c>
      <c r="C33" s="61" t="s">
        <v>430</v>
      </c>
      <c r="D33" s="62">
        <f>IFERROR(D32/D$8,)</f>
        <v>0</v>
      </c>
      <c r="E33" s="62">
        <f t="shared" ref="E33:P33" si="12">IFERROR(E32/E$8,)</f>
        <v>0</v>
      </c>
      <c r="F33" s="62">
        <f t="shared" si="12"/>
        <v>0</v>
      </c>
      <c r="G33" s="62">
        <f t="shared" si="12"/>
        <v>0.3</v>
      </c>
      <c r="H33" s="62">
        <f t="shared" si="12"/>
        <v>0.3</v>
      </c>
      <c r="I33" s="62">
        <f t="shared" si="12"/>
        <v>0.3</v>
      </c>
      <c r="J33" s="62">
        <f t="shared" si="12"/>
        <v>0.3</v>
      </c>
      <c r="K33" s="62">
        <f t="shared" si="12"/>
        <v>0.3</v>
      </c>
      <c r="L33" s="62">
        <f t="shared" si="12"/>
        <v>0.3</v>
      </c>
      <c r="M33" s="62">
        <f t="shared" si="12"/>
        <v>0.3</v>
      </c>
      <c r="N33" s="62">
        <f t="shared" si="12"/>
        <v>0.3</v>
      </c>
      <c r="O33" s="62">
        <f t="shared" si="12"/>
        <v>0.3</v>
      </c>
      <c r="P33" s="62">
        <f t="shared" si="12"/>
        <v>0.3</v>
      </c>
      <c r="Q33" s="333"/>
    </row>
    <row r="34" spans="2:18" ht="13" outlineLevel="1" collapsed="1" x14ac:dyDescent="0.35">
      <c r="B34" s="42" t="s">
        <v>81</v>
      </c>
      <c r="C34" s="39" t="s">
        <v>59</v>
      </c>
      <c r="D34" s="38">
        <f>CPBH!K7</f>
        <v>0</v>
      </c>
      <c r="E34" s="38">
        <f>CPBH!L7</f>
        <v>0</v>
      </c>
      <c r="F34" s="38">
        <f>CPBH!M7</f>
        <v>0</v>
      </c>
      <c r="G34" s="38">
        <f>CPBH!N7</f>
        <v>284832000</v>
      </c>
      <c r="H34" s="38">
        <f>CPBH!O7</f>
        <v>284832000</v>
      </c>
      <c r="I34" s="38">
        <f>CPBH!P7</f>
        <v>284832000</v>
      </c>
      <c r="J34" s="38">
        <f>CPBH!Q7</f>
        <v>284832000</v>
      </c>
      <c r="K34" s="38">
        <f>CPBH!R7</f>
        <v>284832000</v>
      </c>
      <c r="L34" s="38">
        <f>CPBH!S7</f>
        <v>284832000</v>
      </c>
      <c r="M34" s="38">
        <f>CPBH!T7</f>
        <v>284832000</v>
      </c>
      <c r="N34" s="38">
        <f>CPBH!U7</f>
        <v>284832000</v>
      </c>
      <c r="O34" s="38">
        <f>CPBH!V7</f>
        <v>284832000</v>
      </c>
      <c r="P34" s="38">
        <f t="shared" si="1"/>
        <v>2563488000</v>
      </c>
      <c r="R34" s="63"/>
    </row>
    <row r="35" spans="2:18" ht="13" outlineLevel="1" x14ac:dyDescent="0.35">
      <c r="B35" s="42" t="s">
        <v>82</v>
      </c>
      <c r="C35" s="39" t="s">
        <v>60</v>
      </c>
      <c r="D35" s="38">
        <f>SUM(CPBH!K8:K10)</f>
        <v>0</v>
      </c>
      <c r="E35" s="38">
        <f>SUM(CPBH!L8:L10)</f>
        <v>0</v>
      </c>
      <c r="F35" s="38">
        <f>SUM(CPBH!M8:M10)</f>
        <v>0</v>
      </c>
      <c r="G35" s="38">
        <f>SUM(CPBH!N8:N10)</f>
        <v>569664000</v>
      </c>
      <c r="H35" s="38">
        <f>SUM(CPBH!O8:O10)</f>
        <v>569664000</v>
      </c>
      <c r="I35" s="38">
        <f>SUM(CPBH!P8:P10)</f>
        <v>569664000</v>
      </c>
      <c r="J35" s="38">
        <f>SUM(CPBH!Q8:Q10)</f>
        <v>569664000</v>
      </c>
      <c r="K35" s="38">
        <f>SUM(CPBH!R8:R10)</f>
        <v>569664000</v>
      </c>
      <c r="L35" s="38">
        <f>SUM(CPBH!S8:S10)</f>
        <v>569664000</v>
      </c>
      <c r="M35" s="38">
        <f>SUM(CPBH!T8:T10)</f>
        <v>569664000</v>
      </c>
      <c r="N35" s="38">
        <f>SUM(CPBH!U8:U10)</f>
        <v>569664000</v>
      </c>
      <c r="O35" s="38">
        <f>SUM(CPBH!V8:V10)</f>
        <v>569664000</v>
      </c>
      <c r="P35" s="38">
        <f t="shared" si="1"/>
        <v>5126976000</v>
      </c>
      <c r="R35" s="63"/>
    </row>
    <row r="36" spans="2:18" ht="13" outlineLevel="1" x14ac:dyDescent="0.35">
      <c r="B36" s="42" t="s">
        <v>83</v>
      </c>
      <c r="C36" s="39" t="s">
        <v>61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>
        <f t="shared" si="1"/>
        <v>0</v>
      </c>
      <c r="R36" s="63"/>
    </row>
    <row r="37" spans="2:18" s="33" customFormat="1" ht="13" x14ac:dyDescent="0.35">
      <c r="B37" s="40">
        <v>9</v>
      </c>
      <c r="C37" s="35" t="s">
        <v>62</v>
      </c>
      <c r="D37" s="36">
        <f t="shared" ref="D37:O37" si="13">D39+D40+D41</f>
        <v>0</v>
      </c>
      <c r="E37" s="36">
        <f t="shared" si="13"/>
        <v>0</v>
      </c>
      <c r="F37" s="36">
        <f t="shared" si="13"/>
        <v>0</v>
      </c>
      <c r="G37" s="36">
        <f t="shared" si="13"/>
        <v>0</v>
      </c>
      <c r="H37" s="36">
        <f t="shared" si="13"/>
        <v>0</v>
      </c>
      <c r="I37" s="36">
        <f t="shared" si="13"/>
        <v>0</v>
      </c>
      <c r="J37" s="36">
        <f t="shared" si="13"/>
        <v>0</v>
      </c>
      <c r="K37" s="36">
        <f t="shared" si="13"/>
        <v>0</v>
      </c>
      <c r="L37" s="36">
        <f t="shared" si="13"/>
        <v>0</v>
      </c>
      <c r="M37" s="36">
        <f t="shared" si="13"/>
        <v>0</v>
      </c>
      <c r="N37" s="36">
        <f t="shared" si="13"/>
        <v>0</v>
      </c>
      <c r="O37" s="36">
        <f t="shared" si="13"/>
        <v>0</v>
      </c>
      <c r="P37" s="36">
        <f t="shared" si="1"/>
        <v>0</v>
      </c>
      <c r="Q37" s="19"/>
      <c r="R37" s="63"/>
    </row>
    <row r="38" spans="2:18" s="63" customFormat="1" ht="13" x14ac:dyDescent="0.35">
      <c r="B38" s="399" t="s">
        <v>84</v>
      </c>
      <c r="C38" s="61" t="s">
        <v>431</v>
      </c>
      <c r="D38" s="62">
        <f>IFERROR(D37/D$8,)</f>
        <v>0</v>
      </c>
      <c r="E38" s="62">
        <f t="shared" ref="E38" si="14">IFERROR(E37/E$8,)</f>
        <v>0</v>
      </c>
      <c r="F38" s="62">
        <f t="shared" ref="F38" si="15">IFERROR(F37/F$8,)</f>
        <v>0</v>
      </c>
      <c r="G38" s="62">
        <f t="shared" ref="G38" si="16">IFERROR(G37/G$8,)</f>
        <v>0</v>
      </c>
      <c r="H38" s="62">
        <f t="shared" ref="H38" si="17">IFERROR(H37/H$8,)</f>
        <v>0</v>
      </c>
      <c r="I38" s="62">
        <f t="shared" ref="I38" si="18">IFERROR(I37/I$8,)</f>
        <v>0</v>
      </c>
      <c r="J38" s="62">
        <f t="shared" ref="J38" si="19">IFERROR(J37/J$8,)</f>
        <v>0</v>
      </c>
      <c r="K38" s="62">
        <f t="shared" ref="K38" si="20">IFERROR(K37/K$8,)</f>
        <v>0</v>
      </c>
      <c r="L38" s="62">
        <f t="shared" ref="L38" si="21">IFERROR(L37/L$8,)</f>
        <v>0</v>
      </c>
      <c r="M38" s="62">
        <f t="shared" ref="M38" si="22">IFERROR(M37/M$8,)</f>
        <v>0</v>
      </c>
      <c r="N38" s="62">
        <f t="shared" ref="N38" si="23">IFERROR(N37/N$8,)</f>
        <v>0</v>
      </c>
      <c r="O38" s="62">
        <f t="shared" ref="O38" si="24">IFERROR(O37/O$8,)</f>
        <v>0</v>
      </c>
      <c r="P38" s="62">
        <f t="shared" ref="P38" si="25">IFERROR(P37/P$8,)</f>
        <v>0</v>
      </c>
      <c r="Q38" s="333"/>
    </row>
    <row r="39" spans="2:18" ht="13" outlineLevel="1" collapsed="1" x14ac:dyDescent="0.35">
      <c r="B39" s="42" t="s">
        <v>84</v>
      </c>
      <c r="C39" s="43" t="s">
        <v>59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>
        <f>SUM(D39:O39)</f>
        <v>0</v>
      </c>
      <c r="R39" s="63"/>
    </row>
    <row r="40" spans="2:18" ht="13" outlineLevel="1" x14ac:dyDescent="0.35">
      <c r="B40" s="42" t="s">
        <v>85</v>
      </c>
      <c r="C40" s="43" t="s">
        <v>63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>
        <f t="shared" si="1"/>
        <v>0</v>
      </c>
      <c r="R40" s="63"/>
    </row>
    <row r="41" spans="2:18" ht="13" outlineLevel="1" x14ac:dyDescent="0.35">
      <c r="B41" s="42" t="s">
        <v>86</v>
      </c>
      <c r="C41" s="43" t="s">
        <v>61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>
        <f t="shared" si="1"/>
        <v>0</v>
      </c>
      <c r="R41" s="63"/>
    </row>
    <row r="42" spans="2:18" s="33" customFormat="1" ht="13" x14ac:dyDescent="0.35">
      <c r="B42" s="40">
        <v>10</v>
      </c>
      <c r="C42" s="41" t="s">
        <v>64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>
        <f t="shared" si="1"/>
        <v>0</v>
      </c>
    </row>
    <row r="43" spans="2:18" s="33" customFormat="1" ht="26" collapsed="1" x14ac:dyDescent="0.35">
      <c r="B43" s="57">
        <v>11</v>
      </c>
      <c r="C43" s="58" t="s">
        <v>65</v>
      </c>
      <c r="D43" s="59">
        <f>D30-D32-D37+D42</f>
        <v>0</v>
      </c>
      <c r="E43" s="59">
        <f t="shared" ref="E43:O43" si="26">E30-E32-E37+E42</f>
        <v>0</v>
      </c>
      <c r="F43" s="59">
        <f t="shared" si="26"/>
        <v>0</v>
      </c>
      <c r="G43" s="59">
        <f t="shared" si="26"/>
        <v>-1121296916.3930557</v>
      </c>
      <c r="H43" s="59">
        <f t="shared" si="26"/>
        <v>-1121296916.3930557</v>
      </c>
      <c r="I43" s="59">
        <f>I30-I32-I37+I42</f>
        <v>-1121296916.3930557</v>
      </c>
      <c r="J43" s="59">
        <f t="shared" si="26"/>
        <v>-1121296916.3930557</v>
      </c>
      <c r="K43" s="59">
        <f t="shared" si="26"/>
        <v>-1121296916.3930557</v>
      </c>
      <c r="L43" s="59">
        <f t="shared" si="26"/>
        <v>-1121296916.3930557</v>
      </c>
      <c r="M43" s="59">
        <f t="shared" si="26"/>
        <v>-1121296916.3930557</v>
      </c>
      <c r="N43" s="59">
        <f t="shared" si="26"/>
        <v>-1121296916.3930557</v>
      </c>
      <c r="O43" s="59">
        <f t="shared" si="26"/>
        <v>-1121296916.3930557</v>
      </c>
      <c r="P43" s="59">
        <f>SUM(D43:O43)</f>
        <v>-10091672247.5375</v>
      </c>
    </row>
    <row r="44" spans="2:18" s="33" customFormat="1" ht="13" outlineLevel="1" x14ac:dyDescent="0.35">
      <c r="B44" s="40">
        <v>12</v>
      </c>
      <c r="C44" s="41" t="s">
        <v>66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>
        <f t="shared" si="1"/>
        <v>0</v>
      </c>
    </row>
    <row r="45" spans="2:18" s="33" customFormat="1" ht="13" outlineLevel="1" x14ac:dyDescent="0.35">
      <c r="B45" s="40">
        <v>13</v>
      </c>
      <c r="C45" s="41" t="s">
        <v>67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>
        <f t="shared" si="1"/>
        <v>0</v>
      </c>
    </row>
    <row r="46" spans="2:18" s="45" customFormat="1" ht="13" outlineLevel="1" x14ac:dyDescent="0.35">
      <c r="B46" s="46" t="s">
        <v>87</v>
      </c>
      <c r="C46" s="47" t="s">
        <v>68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>
        <f t="shared" si="1"/>
        <v>0</v>
      </c>
    </row>
    <row r="47" spans="2:18" s="33" customFormat="1" ht="13" x14ac:dyDescent="0.35">
      <c r="B47" s="57">
        <v>14</v>
      </c>
      <c r="C47" s="58" t="s">
        <v>69</v>
      </c>
      <c r="D47" s="59">
        <f t="shared" ref="D47:O47" si="27">D43+D44-D45</f>
        <v>0</v>
      </c>
      <c r="E47" s="59">
        <f t="shared" si="27"/>
        <v>0</v>
      </c>
      <c r="F47" s="59">
        <f t="shared" si="27"/>
        <v>0</v>
      </c>
      <c r="G47" s="59">
        <f>G43+G44-G45</f>
        <v>-1121296916.3930557</v>
      </c>
      <c r="H47" s="59">
        <f>H43+H44-H45</f>
        <v>-1121296916.3930557</v>
      </c>
      <c r="I47" s="59">
        <f t="shared" si="27"/>
        <v>-1121296916.3930557</v>
      </c>
      <c r="J47" s="59">
        <f t="shared" si="27"/>
        <v>-1121296916.3930557</v>
      </c>
      <c r="K47" s="59">
        <f t="shared" si="27"/>
        <v>-1121296916.3930557</v>
      </c>
      <c r="L47" s="59">
        <f t="shared" si="27"/>
        <v>-1121296916.3930557</v>
      </c>
      <c r="M47" s="59">
        <f t="shared" si="27"/>
        <v>-1121296916.3930557</v>
      </c>
      <c r="N47" s="59">
        <f t="shared" si="27"/>
        <v>-1121296916.3930557</v>
      </c>
      <c r="O47" s="59">
        <f t="shared" si="27"/>
        <v>-1121296916.3930557</v>
      </c>
      <c r="P47" s="59">
        <f t="shared" si="1"/>
        <v>-10091672247.5375</v>
      </c>
    </row>
    <row r="48" spans="2:18" ht="13" x14ac:dyDescent="0.35">
      <c r="B48" s="42">
        <v>15</v>
      </c>
      <c r="C48" s="43" t="s">
        <v>70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>
        <f t="shared" si="1"/>
        <v>0</v>
      </c>
    </row>
    <row r="49" spans="2:17" s="33" customFormat="1" ht="13" collapsed="1" x14ac:dyDescent="0.35">
      <c r="B49" s="57">
        <v>16</v>
      </c>
      <c r="C49" s="58" t="s">
        <v>71</v>
      </c>
      <c r="D49" s="59">
        <f t="shared" ref="D49:O49" si="28">D47-D48</f>
        <v>0</v>
      </c>
      <c r="E49" s="59">
        <f t="shared" si="28"/>
        <v>0</v>
      </c>
      <c r="F49" s="59">
        <f t="shared" si="28"/>
        <v>0</v>
      </c>
      <c r="G49" s="59">
        <f t="shared" si="28"/>
        <v>-1121296916.3930557</v>
      </c>
      <c r="H49" s="59">
        <f>H47-H48</f>
        <v>-1121296916.3930557</v>
      </c>
      <c r="I49" s="59">
        <f t="shared" si="28"/>
        <v>-1121296916.3930557</v>
      </c>
      <c r="J49" s="59">
        <f t="shared" si="28"/>
        <v>-1121296916.3930557</v>
      </c>
      <c r="K49" s="59">
        <f t="shared" si="28"/>
        <v>-1121296916.3930557</v>
      </c>
      <c r="L49" s="59">
        <f t="shared" si="28"/>
        <v>-1121296916.3930557</v>
      </c>
      <c r="M49" s="59">
        <f t="shared" si="28"/>
        <v>-1121296916.3930557</v>
      </c>
      <c r="N49" s="59">
        <f t="shared" si="28"/>
        <v>-1121296916.3930557</v>
      </c>
      <c r="O49" s="59">
        <f t="shared" si="28"/>
        <v>-1121296916.3930557</v>
      </c>
      <c r="P49" s="59">
        <f t="shared" si="1"/>
        <v>-10091672247.5375</v>
      </c>
    </row>
    <row r="50" spans="2:17" s="65" customFormat="1" ht="13" x14ac:dyDescent="0.35">
      <c r="B50" s="66" t="s">
        <v>72</v>
      </c>
      <c r="C50" s="61" t="s">
        <v>73</v>
      </c>
      <c r="D50" s="62">
        <f>IFERROR(D49/D8,)</f>
        <v>0</v>
      </c>
      <c r="E50" s="62">
        <f t="shared" ref="E50:P50" si="29">IFERROR(E49/E8,)</f>
        <v>0</v>
      </c>
      <c r="F50" s="62">
        <f t="shared" si="29"/>
        <v>0</v>
      </c>
      <c r="G50" s="62">
        <f t="shared" si="29"/>
        <v>-0.3936695723770699</v>
      </c>
      <c r="H50" s="62">
        <f t="shared" si="29"/>
        <v>-0.3936695723770699</v>
      </c>
      <c r="I50" s="62">
        <f t="shared" si="29"/>
        <v>-0.3936695723770699</v>
      </c>
      <c r="J50" s="62">
        <f t="shared" si="29"/>
        <v>-0.3936695723770699</v>
      </c>
      <c r="K50" s="62">
        <f t="shared" si="29"/>
        <v>-0.3936695723770699</v>
      </c>
      <c r="L50" s="62">
        <f t="shared" si="29"/>
        <v>-0.3936695723770699</v>
      </c>
      <c r="M50" s="62">
        <f t="shared" si="29"/>
        <v>-0.3936695723770699</v>
      </c>
      <c r="N50" s="62">
        <f t="shared" si="29"/>
        <v>-0.3936695723770699</v>
      </c>
      <c r="O50" s="62">
        <f t="shared" si="29"/>
        <v>-0.3936695723770699</v>
      </c>
      <c r="P50" s="62">
        <f t="shared" si="29"/>
        <v>-0.39366957237706984</v>
      </c>
      <c r="Q50" s="333"/>
    </row>
    <row r="51" spans="2:17" x14ac:dyDescent="0.35">
      <c r="B51" s="42">
        <v>17</v>
      </c>
      <c r="C51" s="43" t="s">
        <v>61</v>
      </c>
      <c r="D51" s="38">
        <f>D29</f>
        <v>0</v>
      </c>
      <c r="E51" s="38">
        <f t="shared" ref="E51:O51" si="30">E29</f>
        <v>0</v>
      </c>
      <c r="F51" s="38">
        <f t="shared" si="30"/>
        <v>0</v>
      </c>
      <c r="G51" s="38">
        <f t="shared" si="30"/>
        <v>46507063.993055552</v>
      </c>
      <c r="H51" s="38">
        <f t="shared" si="30"/>
        <v>46507063.993055552</v>
      </c>
      <c r="I51" s="38">
        <f t="shared" si="30"/>
        <v>46507063.993055552</v>
      </c>
      <c r="J51" s="38">
        <f t="shared" si="30"/>
        <v>46507063.993055552</v>
      </c>
      <c r="K51" s="38">
        <f t="shared" si="30"/>
        <v>46507063.993055552</v>
      </c>
      <c r="L51" s="38">
        <f t="shared" si="30"/>
        <v>46507063.993055552</v>
      </c>
      <c r="M51" s="38">
        <f t="shared" si="30"/>
        <v>46507063.993055552</v>
      </c>
      <c r="N51" s="38">
        <f t="shared" si="30"/>
        <v>46507063.993055552</v>
      </c>
      <c r="O51" s="38">
        <f t="shared" si="30"/>
        <v>46507063.993055552</v>
      </c>
      <c r="P51" s="38">
        <f t="shared" si="1"/>
        <v>418563575.9375</v>
      </c>
    </row>
    <row r="52" spans="2:17" s="33" customFormat="1" ht="26" collapsed="1" x14ac:dyDescent="0.35">
      <c r="B52" s="57">
        <v>18</v>
      </c>
      <c r="C52" s="58" t="s">
        <v>74</v>
      </c>
      <c r="D52" s="59">
        <f t="shared" ref="D52:F52" si="31">D49+D51</f>
        <v>0</v>
      </c>
      <c r="E52" s="59">
        <f t="shared" si="31"/>
        <v>0</v>
      </c>
      <c r="F52" s="59">
        <f t="shared" si="31"/>
        <v>0</v>
      </c>
      <c r="G52" s="59">
        <f>G49+G51</f>
        <v>-1074789852.4000001</v>
      </c>
      <c r="H52" s="59">
        <f t="shared" ref="H52:O52" si="32">H49+H51</f>
        <v>-1074789852.4000001</v>
      </c>
      <c r="I52" s="59">
        <f t="shared" si="32"/>
        <v>-1074789852.4000001</v>
      </c>
      <c r="J52" s="59">
        <f t="shared" si="32"/>
        <v>-1074789852.4000001</v>
      </c>
      <c r="K52" s="59">
        <f t="shared" si="32"/>
        <v>-1074789852.4000001</v>
      </c>
      <c r="L52" s="59">
        <f t="shared" si="32"/>
        <v>-1074789852.4000001</v>
      </c>
      <c r="M52" s="59">
        <f t="shared" si="32"/>
        <v>-1074789852.4000001</v>
      </c>
      <c r="N52" s="59">
        <f t="shared" si="32"/>
        <v>-1074789852.4000001</v>
      </c>
      <c r="O52" s="59">
        <f t="shared" si="32"/>
        <v>-1074789852.4000001</v>
      </c>
      <c r="P52" s="59">
        <f>SUM(D52:O52)</f>
        <v>-9673108671.5999985</v>
      </c>
    </row>
    <row r="53" spans="2:17" s="65" customFormat="1" ht="13" x14ac:dyDescent="0.35">
      <c r="B53" s="66" t="s">
        <v>75</v>
      </c>
      <c r="C53" s="61" t="s">
        <v>76</v>
      </c>
      <c r="D53" s="62">
        <f>IFERROR(D52/D8,)</f>
        <v>0</v>
      </c>
      <c r="E53" s="62">
        <f t="shared" ref="E53:P53" si="33">IFERROR(E52/E8,)</f>
        <v>0</v>
      </c>
      <c r="F53" s="62">
        <f t="shared" si="33"/>
        <v>0</v>
      </c>
      <c r="G53" s="62">
        <f t="shared" si="33"/>
        <v>-0.37734167944612967</v>
      </c>
      <c r="H53" s="62">
        <f t="shared" si="33"/>
        <v>-0.37734167944612967</v>
      </c>
      <c r="I53" s="62">
        <f t="shared" si="33"/>
        <v>-0.37734167944612967</v>
      </c>
      <c r="J53" s="62">
        <f t="shared" si="33"/>
        <v>-0.37734167944612967</v>
      </c>
      <c r="K53" s="62">
        <f t="shared" si="33"/>
        <v>-0.37734167944612967</v>
      </c>
      <c r="L53" s="62">
        <f t="shared" si="33"/>
        <v>-0.37734167944612967</v>
      </c>
      <c r="M53" s="62">
        <f t="shared" si="33"/>
        <v>-0.37734167944612967</v>
      </c>
      <c r="N53" s="62">
        <f t="shared" si="33"/>
        <v>-0.37734167944612967</v>
      </c>
      <c r="O53" s="62">
        <f t="shared" si="33"/>
        <v>-0.37734167944612967</v>
      </c>
      <c r="P53" s="62">
        <f t="shared" si="33"/>
        <v>-0.37734167944612956</v>
      </c>
      <c r="Q53" s="333"/>
    </row>
    <row r="54" spans="2:17" s="49" customFormat="1" ht="13" collapsed="1" x14ac:dyDescent="0.35">
      <c r="B54" s="50"/>
      <c r="C54" s="51"/>
      <c r="D54" s="231"/>
      <c r="E54" s="231"/>
      <c r="F54" s="231"/>
      <c r="G54" s="231"/>
      <c r="H54" s="231"/>
      <c r="I54" s="231"/>
      <c r="J54" s="231"/>
      <c r="K54" s="231"/>
      <c r="L54" s="232"/>
      <c r="M54" s="231"/>
      <c r="N54" s="231"/>
      <c r="O54" s="231"/>
      <c r="P54" s="231"/>
      <c r="Q54" s="45"/>
    </row>
    <row r="56" spans="2:17" s="33" customFormat="1" ht="30" customHeight="1" x14ac:dyDescent="0.35">
      <c r="B56" s="104"/>
      <c r="C56" s="53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</row>
    <row r="57" spans="2:17" x14ac:dyDescent="0.35">
      <c r="B57" s="15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</row>
    <row r="58" spans="2:17" s="33" customFormat="1" ht="13" x14ac:dyDescent="0.35">
      <c r="B58" s="15"/>
      <c r="C58" s="52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</row>
    <row r="59" spans="2:17" x14ac:dyDescent="0.35">
      <c r="B59" s="15"/>
    </row>
    <row r="60" spans="2:17" s="33" customFormat="1" ht="30" customHeight="1" x14ac:dyDescent="0.35">
      <c r="B60" s="104"/>
      <c r="C60" s="53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</row>
    <row r="61" spans="2:17" x14ac:dyDescent="0.35">
      <c r="B61" s="15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</row>
    <row r="62" spans="2:17" s="33" customFormat="1" ht="13" x14ac:dyDescent="0.35">
      <c r="B62" s="15"/>
      <c r="C62" s="52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</row>
    <row r="63" spans="2:17" x14ac:dyDescent="0.35">
      <c r="B63" s="15"/>
    </row>
    <row r="65" spans="4:15" ht="25.15" customHeight="1" x14ac:dyDescent="0.35">
      <c r="D65" s="15"/>
      <c r="E65" s="15"/>
      <c r="F65" s="15"/>
      <c r="G65" s="15"/>
      <c r="H65" s="15"/>
      <c r="I65" s="15"/>
      <c r="J65" s="91"/>
      <c r="K65" s="91"/>
      <c r="L65" s="91"/>
      <c r="M65" s="91"/>
      <c r="N65" s="91"/>
      <c r="O65" s="91"/>
    </row>
    <row r="66" spans="4:15" x14ac:dyDescent="0.35">
      <c r="D66" s="15"/>
      <c r="E66" s="15"/>
      <c r="F66" s="15"/>
      <c r="G66" s="15"/>
      <c r="H66" s="15"/>
      <c r="I66" s="15"/>
    </row>
  </sheetData>
  <conditionalFormatting sqref="B23:B63">
    <cfRule type="containsText" dxfId="15" priority="1" operator="containsText" text="xxx">
      <formula>NOT(ISERROR(SEARCH("xxx",B23)))</formula>
    </cfRule>
  </conditionalFormatting>
  <conditionalFormatting sqref="B3:C3 E4:N4">
    <cfRule type="containsText" dxfId="14" priority="27" operator="containsText" text="xxx">
      <formula>NOT(ISERROR(SEARCH("xxx",B3)))</formula>
    </cfRule>
  </conditionalFormatting>
  <conditionalFormatting sqref="B5:C22 Q56:Q63">
    <cfRule type="containsText" dxfId="13" priority="23" operator="containsText" text="xxx">
      <formula>NOT(ISERROR(SEARCH("xxx",B5)))</formula>
    </cfRule>
  </conditionalFormatting>
  <conditionalFormatting sqref="C23:C56">
    <cfRule type="containsText" dxfId="12" priority="4" operator="containsText" text="xxx">
      <formula>NOT(ISERROR(SEARCH("xxx",C23)))</formula>
    </cfRule>
  </conditionalFormatting>
  <conditionalFormatting sqref="D3:D32 B64:P1048576">
    <cfRule type="containsText" dxfId="11" priority="10" operator="containsText" text="xxx">
      <formula>NOT(ISERROR(SEARCH("xxx",B3)))</formula>
    </cfRule>
  </conditionalFormatting>
  <conditionalFormatting sqref="D33:P56">
    <cfRule type="containsText" dxfId="10" priority="2" operator="containsText" text="xxx">
      <formula>NOT(ISERROR(SEARCH("xxx",D33)))</formula>
    </cfRule>
  </conditionalFormatting>
  <conditionalFormatting sqref="E3:P3">
    <cfRule type="containsText" dxfId="9" priority="28" operator="containsText" text="xxx">
      <formula>NOT(ISERROR(SEARCH("xxx",E3)))</formula>
    </cfRule>
  </conditionalFormatting>
  <conditionalFormatting sqref="E5:P32">
    <cfRule type="containsText" dxfId="8" priority="11" operator="containsText" text="xxx">
      <formula>NOT(ISERROR(SEARCH("xxx",E5)))</formula>
    </cfRule>
  </conditionalFormatting>
  <conditionalFormatting sqref="Q15">
    <cfRule type="containsText" dxfId="7" priority="24" operator="containsText" text="xxx">
      <formula>NOT(ISERROR(SEARCH("xxx",Q15)))</formula>
    </cfRule>
  </conditionalFormatting>
  <conditionalFormatting sqref="R3:XFD1048576">
    <cfRule type="containsText" dxfId="6" priority="3" operator="containsText" text="xxx">
      <formula>NOT(ISERROR(SEARCH("xxx",R3)))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1">
    <tabColor theme="4"/>
  </sheetPr>
  <dimension ref="B1:R37"/>
  <sheetViews>
    <sheetView showGridLines="0" topLeftCell="A5" zoomScale="90" zoomScaleNormal="90" workbookViewId="0">
      <selection activeCell="E16" sqref="E16"/>
    </sheetView>
  </sheetViews>
  <sheetFormatPr defaultColWidth="8.7265625" defaultRowHeight="13" x14ac:dyDescent="0.35"/>
  <cols>
    <col min="1" max="1" width="1.1796875" style="8" customWidth="1"/>
    <col min="2" max="2" width="4.7265625" style="8" customWidth="1"/>
    <col min="3" max="3" width="43.81640625" style="8" customWidth="1"/>
    <col min="4" max="4" width="15.7265625" style="8" customWidth="1"/>
    <col min="5" max="5" width="12.54296875" style="8" customWidth="1"/>
    <col min="6" max="6" width="8.26953125" style="15" customWidth="1"/>
    <col min="7" max="8" width="8.26953125" style="8" customWidth="1"/>
    <col min="9" max="9" width="11" style="8" customWidth="1"/>
    <col min="10" max="10" width="8.26953125" style="9" customWidth="1"/>
    <col min="11" max="17" width="8.26953125" style="8" customWidth="1"/>
    <col min="18" max="16384" width="8.7265625" style="8"/>
  </cols>
  <sheetData>
    <row r="1" spans="2:12" ht="15.5" x14ac:dyDescent="0.35">
      <c r="B1" s="79"/>
    </row>
    <row r="3" spans="2:12" x14ac:dyDescent="0.35">
      <c r="B3" s="55" t="s">
        <v>88</v>
      </c>
    </row>
    <row r="4" spans="2:12" s="9" customFormat="1" ht="16.899999999999999" customHeight="1" x14ac:dyDescent="0.35">
      <c r="B4" s="9" t="s">
        <v>367</v>
      </c>
      <c r="F4" s="16"/>
    </row>
    <row r="5" spans="2:12" s="10" customFormat="1" ht="78" x14ac:dyDescent="0.35">
      <c r="B5" s="224" t="s">
        <v>0</v>
      </c>
      <c r="C5" s="340" t="s">
        <v>89</v>
      </c>
      <c r="D5" s="224" t="s">
        <v>90</v>
      </c>
      <c r="E5" s="224"/>
      <c r="F5" s="344"/>
      <c r="G5" s="224"/>
      <c r="H5" s="224"/>
      <c r="I5" s="224"/>
      <c r="J5" s="340" t="s">
        <v>91</v>
      </c>
      <c r="K5" s="340" t="s">
        <v>91</v>
      </c>
    </row>
    <row r="6" spans="2:12" ht="25" x14ac:dyDescent="0.35">
      <c r="B6" s="93">
        <v>1</v>
      </c>
      <c r="C6" s="83" t="s">
        <v>92</v>
      </c>
      <c r="D6" s="80">
        <v>300</v>
      </c>
      <c r="E6" s="80"/>
      <c r="F6" s="80"/>
      <c r="G6" s="81"/>
      <c r="H6" s="80"/>
      <c r="I6" s="80"/>
      <c r="J6" s="248">
        <f>D6</f>
        <v>300</v>
      </c>
      <c r="K6" s="248">
        <f>D6*(100%-$D$15)</f>
        <v>258</v>
      </c>
      <c r="L6" s="10"/>
    </row>
    <row r="7" spans="2:12" ht="25" x14ac:dyDescent="0.35">
      <c r="B7" s="93">
        <v>2</v>
      </c>
      <c r="C7" s="83" t="s">
        <v>93</v>
      </c>
      <c r="D7" s="80">
        <v>300</v>
      </c>
      <c r="E7" s="80"/>
      <c r="F7" s="80"/>
      <c r="G7" s="81"/>
      <c r="H7" s="81"/>
      <c r="I7" s="80"/>
      <c r="J7" s="248"/>
      <c r="K7" s="248"/>
    </row>
    <row r="8" spans="2:12" ht="25" x14ac:dyDescent="0.35">
      <c r="B8" s="409">
        <v>3</v>
      </c>
      <c r="C8" s="83" t="s">
        <v>364</v>
      </c>
      <c r="D8" s="80">
        <v>3</v>
      </c>
      <c r="E8" s="80"/>
      <c r="F8" s="82"/>
      <c r="G8" s="80"/>
      <c r="H8" s="82"/>
      <c r="I8" s="80"/>
      <c r="J8" s="248">
        <f>SUM(C8:I8)</f>
        <v>3</v>
      </c>
      <c r="K8" s="248">
        <f>SUM(D8:J8)</f>
        <v>6</v>
      </c>
    </row>
    <row r="9" spans="2:12" ht="25" x14ac:dyDescent="0.35">
      <c r="B9" s="409"/>
      <c r="C9" s="83" t="s">
        <v>366</v>
      </c>
      <c r="D9" s="80">
        <v>1.5</v>
      </c>
      <c r="E9" s="80"/>
      <c r="F9" s="82"/>
      <c r="G9" s="80"/>
      <c r="H9" s="82"/>
      <c r="I9" s="80"/>
      <c r="J9" s="248">
        <f>SUM(C9:I9)</f>
        <v>1.5</v>
      </c>
      <c r="K9" s="248">
        <f>SUM(D9:J9)</f>
        <v>3</v>
      </c>
    </row>
    <row r="10" spans="2:12" x14ac:dyDescent="0.35">
      <c r="B10" s="409"/>
      <c r="C10" s="94" t="s">
        <v>94</v>
      </c>
      <c r="D10" s="90"/>
      <c r="E10" s="83"/>
      <c r="F10" s="84"/>
      <c r="G10" s="84"/>
      <c r="H10" s="83"/>
      <c r="I10" s="83"/>
      <c r="J10" s="85"/>
      <c r="K10" s="85"/>
    </row>
    <row r="11" spans="2:12" x14ac:dyDescent="0.35">
      <c r="E11" s="12"/>
      <c r="F11" s="18"/>
      <c r="G11" s="18"/>
      <c r="H11" s="12"/>
      <c r="I11" s="12"/>
    </row>
    <row r="12" spans="2:12" ht="17.5" customHeight="1" x14ac:dyDescent="0.35">
      <c r="B12" s="345" t="s">
        <v>0</v>
      </c>
      <c r="C12" s="345" t="s">
        <v>95</v>
      </c>
      <c r="D12" s="345" t="s">
        <v>96</v>
      </c>
      <c r="E12" s="345" t="s">
        <v>97</v>
      </c>
      <c r="F12" s="345" t="s">
        <v>98</v>
      </c>
      <c r="G12" s="345" t="s">
        <v>99</v>
      </c>
      <c r="H12" s="345" t="s">
        <v>100</v>
      </c>
      <c r="I12" s="345" t="s">
        <v>101</v>
      </c>
    </row>
    <row r="13" spans="2:12" ht="17.5" customHeight="1" x14ac:dyDescent="0.35">
      <c r="B13" s="164">
        <v>1</v>
      </c>
      <c r="C13" s="94" t="s">
        <v>102</v>
      </c>
      <c r="D13" s="94" t="s">
        <v>103</v>
      </c>
      <c r="E13" s="80">
        <f>K8</f>
        <v>6</v>
      </c>
      <c r="F13" s="80">
        <f>$E13</f>
        <v>6</v>
      </c>
      <c r="G13" s="80">
        <v>5</v>
      </c>
      <c r="H13" s="80">
        <v>9</v>
      </c>
      <c r="I13" s="80">
        <v>9</v>
      </c>
    </row>
    <row r="14" spans="2:12" ht="17.5" customHeight="1" x14ac:dyDescent="0.35">
      <c r="B14" s="164">
        <v>2</v>
      </c>
      <c r="C14" s="94" t="s">
        <v>104</v>
      </c>
      <c r="D14" s="94" t="s">
        <v>105</v>
      </c>
      <c r="E14" s="80">
        <f>D7</f>
        <v>300</v>
      </c>
      <c r="F14" s="80">
        <f>$E14*8</f>
        <v>2400</v>
      </c>
      <c r="G14" s="80">
        <f>$F14*1.5</f>
        <v>3600</v>
      </c>
      <c r="H14" s="80">
        <f>$F14*2</f>
        <v>4800</v>
      </c>
      <c r="I14" s="80">
        <f>$G14*2</f>
        <v>7200</v>
      </c>
      <c r="J14" s="87"/>
    </row>
    <row r="15" spans="2:12" ht="17.5" customHeight="1" x14ac:dyDescent="0.35">
      <c r="B15" s="164">
        <v>3</v>
      </c>
      <c r="C15" s="94" t="s">
        <v>106</v>
      </c>
      <c r="D15" s="249">
        <f>'2.Hao hut'!$E$11</f>
        <v>0.14000000000000001</v>
      </c>
      <c r="E15" s="80">
        <f>E14*$D$15</f>
        <v>42.000000000000007</v>
      </c>
      <c r="F15" s="80">
        <f>$E15*8</f>
        <v>336.00000000000006</v>
      </c>
      <c r="G15" s="80">
        <f>$E15*12</f>
        <v>504.00000000000011</v>
      </c>
      <c r="H15" s="80">
        <f>$F15*2</f>
        <v>672.00000000000011</v>
      </c>
      <c r="I15" s="80">
        <f>$G15*2</f>
        <v>1008.0000000000002</v>
      </c>
    </row>
    <row r="16" spans="2:12" ht="17.5" customHeight="1" x14ac:dyDescent="0.35">
      <c r="B16" s="164">
        <v>4</v>
      </c>
      <c r="C16" s="94" t="s">
        <v>107</v>
      </c>
      <c r="D16" s="94" t="s">
        <v>105</v>
      </c>
      <c r="E16" s="250">
        <f>E14-E15</f>
        <v>258</v>
      </c>
      <c r="F16" s="80">
        <f>$E16*8</f>
        <v>2064</v>
      </c>
      <c r="G16" s="80">
        <f>$F16*1.5</f>
        <v>3096</v>
      </c>
      <c r="H16" s="80">
        <f>$F16*2</f>
        <v>4128</v>
      </c>
      <c r="I16" s="80">
        <f>$G16*2</f>
        <v>6192</v>
      </c>
    </row>
    <row r="17" spans="2:18" ht="17.5" customHeight="1" x14ac:dyDescent="0.35">
      <c r="B17" s="164">
        <v>5</v>
      </c>
      <c r="C17" s="94" t="s">
        <v>108</v>
      </c>
      <c r="D17" s="94" t="s">
        <v>109</v>
      </c>
      <c r="E17" s="80">
        <f>E16/K8</f>
        <v>43</v>
      </c>
      <c r="F17" s="80">
        <f>$E17*8</f>
        <v>344</v>
      </c>
      <c r="G17" s="80">
        <f>$F17*1.5</f>
        <v>516</v>
      </c>
      <c r="H17" s="80">
        <f>$F17*2</f>
        <v>688</v>
      </c>
      <c r="I17" s="80">
        <f>$G17*2</f>
        <v>1032</v>
      </c>
    </row>
    <row r="19" spans="2:18" x14ac:dyDescent="0.35">
      <c r="B19" s="9" t="s">
        <v>110</v>
      </c>
      <c r="E19" s="11"/>
      <c r="F19" s="11"/>
      <c r="G19" s="11"/>
      <c r="H19" s="11"/>
      <c r="I19" s="11"/>
      <c r="J19" s="11"/>
      <c r="K19" s="11"/>
      <c r="L19" s="11"/>
      <c r="M19" s="11"/>
    </row>
    <row r="20" spans="2:18" s="9" customFormat="1" ht="26" x14ac:dyDescent="0.35">
      <c r="B20" s="345">
        <v>1</v>
      </c>
      <c r="C20" s="346" t="s">
        <v>381</v>
      </c>
      <c r="D20" s="346"/>
      <c r="E20" s="345" t="s">
        <v>111</v>
      </c>
      <c r="F20" s="224" t="s">
        <v>10</v>
      </c>
      <c r="G20" s="224" t="s">
        <v>11</v>
      </c>
      <c r="H20" s="224" t="s">
        <v>12</v>
      </c>
      <c r="I20" s="224" t="s">
        <v>13</v>
      </c>
      <c r="J20" s="224" t="s">
        <v>14</v>
      </c>
      <c r="K20" s="224" t="s">
        <v>15</v>
      </c>
      <c r="L20" s="224" t="s">
        <v>16</v>
      </c>
      <c r="M20" s="224" t="s">
        <v>17</v>
      </c>
      <c r="N20" s="224" t="s">
        <v>18</v>
      </c>
      <c r="O20" s="224" t="s">
        <v>19</v>
      </c>
      <c r="P20" s="224" t="s">
        <v>20</v>
      </c>
      <c r="Q20" s="224" t="s">
        <v>21</v>
      </c>
      <c r="R20" s="224" t="s">
        <v>22</v>
      </c>
    </row>
    <row r="21" spans="2:18" ht="12.5" x14ac:dyDescent="0.35">
      <c r="B21" s="93" t="s">
        <v>112</v>
      </c>
      <c r="C21" s="94" t="s">
        <v>113</v>
      </c>
      <c r="D21" s="94" t="s">
        <v>103</v>
      </c>
      <c r="E21" s="95">
        <f>G13</f>
        <v>5</v>
      </c>
      <c r="F21" s="80"/>
      <c r="G21" s="80"/>
      <c r="H21" s="80"/>
      <c r="I21" s="80">
        <f>$E21</f>
        <v>5</v>
      </c>
      <c r="J21" s="80">
        <f t="shared" ref="J21:Q23" si="0">$E21</f>
        <v>5</v>
      </c>
      <c r="K21" s="80">
        <f t="shared" si="0"/>
        <v>5</v>
      </c>
      <c r="L21" s="80">
        <f t="shared" si="0"/>
        <v>5</v>
      </c>
      <c r="M21" s="80">
        <f t="shared" si="0"/>
        <v>5</v>
      </c>
      <c r="N21" s="80">
        <f t="shared" si="0"/>
        <v>5</v>
      </c>
      <c r="O21" s="80">
        <f t="shared" si="0"/>
        <v>5</v>
      </c>
      <c r="P21" s="80">
        <f t="shared" si="0"/>
        <v>5</v>
      </c>
      <c r="Q21" s="80">
        <f t="shared" si="0"/>
        <v>5</v>
      </c>
      <c r="R21" s="80"/>
    </row>
    <row r="22" spans="2:18" ht="12.5" x14ac:dyDescent="0.35">
      <c r="B22" s="93" t="s">
        <v>114</v>
      </c>
      <c r="C22" s="94" t="s">
        <v>115</v>
      </c>
      <c r="D22" s="94" t="s">
        <v>105</v>
      </c>
      <c r="E22" s="95">
        <f>G14</f>
        <v>3600</v>
      </c>
      <c r="F22" s="80"/>
      <c r="G22" s="80"/>
      <c r="H22" s="80"/>
      <c r="I22" s="80">
        <f>$E22</f>
        <v>3600</v>
      </c>
      <c r="J22" s="80">
        <f t="shared" si="0"/>
        <v>3600</v>
      </c>
      <c r="K22" s="80">
        <f t="shared" si="0"/>
        <v>3600</v>
      </c>
      <c r="L22" s="80">
        <f t="shared" si="0"/>
        <v>3600</v>
      </c>
      <c r="M22" s="80">
        <f t="shared" si="0"/>
        <v>3600</v>
      </c>
      <c r="N22" s="80">
        <f t="shared" si="0"/>
        <v>3600</v>
      </c>
      <c r="O22" s="80">
        <f t="shared" si="0"/>
        <v>3600</v>
      </c>
      <c r="P22" s="80">
        <f t="shared" si="0"/>
        <v>3600</v>
      </c>
      <c r="Q22" s="80">
        <f t="shared" si="0"/>
        <v>3600</v>
      </c>
      <c r="R22" s="80"/>
    </row>
    <row r="23" spans="2:18" ht="12.5" x14ac:dyDescent="0.35">
      <c r="B23" s="93" t="s">
        <v>116</v>
      </c>
      <c r="C23" s="94" t="s">
        <v>3</v>
      </c>
      <c r="D23" s="94" t="s">
        <v>109</v>
      </c>
      <c r="E23" s="80">
        <f>E22/E21</f>
        <v>720</v>
      </c>
      <c r="F23" s="80"/>
      <c r="G23" s="80"/>
      <c r="H23" s="80"/>
      <c r="I23" s="80">
        <f>$E23</f>
        <v>720</v>
      </c>
      <c r="J23" s="80">
        <f t="shared" si="0"/>
        <v>720</v>
      </c>
      <c r="K23" s="80">
        <f t="shared" si="0"/>
        <v>720</v>
      </c>
      <c r="L23" s="80">
        <f t="shared" si="0"/>
        <v>720</v>
      </c>
      <c r="M23" s="80">
        <f t="shared" si="0"/>
        <v>720</v>
      </c>
      <c r="N23" s="80">
        <f t="shared" si="0"/>
        <v>720</v>
      </c>
      <c r="O23" s="80">
        <f t="shared" si="0"/>
        <v>720</v>
      </c>
      <c r="P23" s="80">
        <f t="shared" si="0"/>
        <v>720</v>
      </c>
      <c r="Q23" s="80">
        <f t="shared" si="0"/>
        <v>720</v>
      </c>
      <c r="R23" s="80"/>
    </row>
    <row r="24" spans="2:18" ht="12.5" x14ac:dyDescent="0.35">
      <c r="B24" s="93"/>
      <c r="C24" s="94"/>
      <c r="D24" s="94"/>
      <c r="E24" s="95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</row>
    <row r="25" spans="2:18" ht="12.5" x14ac:dyDescent="0.35">
      <c r="B25" s="93"/>
      <c r="C25" s="94"/>
      <c r="D25" s="94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</row>
    <row r="26" spans="2:18" x14ac:dyDescent="0.35">
      <c r="F26" s="8"/>
      <c r="J26" s="15"/>
      <c r="N26" s="9"/>
    </row>
    <row r="27" spans="2:18" x14ac:dyDescent="0.35">
      <c r="B27" s="9" t="s">
        <v>117</v>
      </c>
      <c r="F27" s="8"/>
      <c r="J27" s="15"/>
      <c r="N27" s="9"/>
    </row>
    <row r="28" spans="2:18" s="89" customFormat="1" ht="26" x14ac:dyDescent="0.35">
      <c r="B28" s="345" t="s">
        <v>118</v>
      </c>
      <c r="C28" s="346" t="s">
        <v>119</v>
      </c>
      <c r="D28" s="346" t="s">
        <v>105</v>
      </c>
      <c r="E28" s="224" t="s">
        <v>111</v>
      </c>
      <c r="F28" s="224" t="s">
        <v>10</v>
      </c>
      <c r="G28" s="224" t="s">
        <v>11</v>
      </c>
      <c r="H28" s="224" t="s">
        <v>12</v>
      </c>
      <c r="I28" s="224" t="s">
        <v>13</v>
      </c>
      <c r="J28" s="224" t="s">
        <v>14</v>
      </c>
      <c r="K28" s="224" t="s">
        <v>15</v>
      </c>
      <c r="L28" s="224" t="s">
        <v>16</v>
      </c>
      <c r="M28" s="224" t="s">
        <v>17</v>
      </c>
      <c r="N28" s="224" t="s">
        <v>18</v>
      </c>
      <c r="O28" s="224" t="s">
        <v>19</v>
      </c>
      <c r="P28" s="224" t="s">
        <v>20</v>
      </c>
      <c r="Q28" s="224" t="s">
        <v>21</v>
      </c>
      <c r="R28" s="224" t="s">
        <v>22</v>
      </c>
    </row>
    <row r="29" spans="2:18" s="5" customFormat="1" ht="12.5" x14ac:dyDescent="0.25">
      <c r="B29" s="347">
        <v>1</v>
      </c>
      <c r="C29" s="348" t="s">
        <v>120</v>
      </c>
      <c r="D29" s="349" t="s">
        <v>121</v>
      </c>
      <c r="E29" s="351">
        <f>E14</f>
        <v>300</v>
      </c>
      <c r="F29" s="351"/>
      <c r="G29" s="351"/>
      <c r="H29" s="351"/>
      <c r="I29" s="351">
        <f>$E29</f>
        <v>300</v>
      </c>
      <c r="J29" s="351">
        <f t="shared" ref="J29:Q30" si="1">$E29</f>
        <v>300</v>
      </c>
      <c r="K29" s="351">
        <f t="shared" si="1"/>
        <v>300</v>
      </c>
      <c r="L29" s="351">
        <f t="shared" si="1"/>
        <v>300</v>
      </c>
      <c r="M29" s="351">
        <f t="shared" si="1"/>
        <v>300</v>
      </c>
      <c r="N29" s="351">
        <f t="shared" si="1"/>
        <v>300</v>
      </c>
      <c r="O29" s="351">
        <f t="shared" si="1"/>
        <v>300</v>
      </c>
      <c r="P29" s="351">
        <f t="shared" si="1"/>
        <v>300</v>
      </c>
      <c r="Q29" s="351">
        <f t="shared" si="1"/>
        <v>300</v>
      </c>
      <c r="R29" s="352">
        <f>AVERAGE(F29:Q29)</f>
        <v>300</v>
      </c>
    </row>
    <row r="30" spans="2:18" s="5" customFormat="1" ht="12.5" x14ac:dyDescent="0.25">
      <c r="B30" s="347">
        <v>2</v>
      </c>
      <c r="C30" s="348" t="s">
        <v>122</v>
      </c>
      <c r="D30" s="349" t="s">
        <v>121</v>
      </c>
      <c r="E30" s="351">
        <f>E16</f>
        <v>258</v>
      </c>
      <c r="F30" s="351"/>
      <c r="G30" s="351"/>
      <c r="H30" s="351"/>
      <c r="I30" s="351">
        <f>$E30</f>
        <v>258</v>
      </c>
      <c r="J30" s="351">
        <f t="shared" si="1"/>
        <v>258</v>
      </c>
      <c r="K30" s="351">
        <f t="shared" si="1"/>
        <v>258</v>
      </c>
      <c r="L30" s="351">
        <f t="shared" si="1"/>
        <v>258</v>
      </c>
      <c r="M30" s="351">
        <f t="shared" si="1"/>
        <v>258</v>
      </c>
      <c r="N30" s="351">
        <f t="shared" si="1"/>
        <v>258</v>
      </c>
      <c r="O30" s="351">
        <f t="shared" si="1"/>
        <v>258</v>
      </c>
      <c r="P30" s="351">
        <f t="shared" si="1"/>
        <v>258</v>
      </c>
      <c r="Q30" s="351">
        <f t="shared" si="1"/>
        <v>258</v>
      </c>
      <c r="R30" s="352">
        <f>AVERAGE(F30:Q30)</f>
        <v>258</v>
      </c>
    </row>
    <row r="31" spans="2:18" s="356" customFormat="1" ht="19.899999999999999" customHeight="1" x14ac:dyDescent="0.3">
      <c r="B31" s="353" t="s">
        <v>123</v>
      </c>
      <c r="C31" s="354" t="s">
        <v>382</v>
      </c>
      <c r="D31" s="354" t="s">
        <v>124</v>
      </c>
      <c r="E31" s="355" t="s">
        <v>111</v>
      </c>
      <c r="F31" s="355"/>
      <c r="G31" s="355"/>
      <c r="H31" s="355"/>
      <c r="I31" s="355"/>
      <c r="J31" s="355" t="s">
        <v>14</v>
      </c>
      <c r="K31" s="355" t="s">
        <v>15</v>
      </c>
      <c r="L31" s="355" t="s">
        <v>16</v>
      </c>
      <c r="M31" s="355" t="s">
        <v>17</v>
      </c>
      <c r="N31" s="355" t="s">
        <v>18</v>
      </c>
      <c r="O31" s="355" t="s">
        <v>19</v>
      </c>
      <c r="P31" s="355" t="s">
        <v>20</v>
      </c>
      <c r="Q31" s="355" t="s">
        <v>21</v>
      </c>
      <c r="R31" s="355"/>
    </row>
    <row r="32" spans="2:18" s="5" customFormat="1" ht="12.5" x14ac:dyDescent="0.25">
      <c r="B32" s="347">
        <v>1</v>
      </c>
      <c r="C32" s="348" t="s">
        <v>120</v>
      </c>
      <c r="D32" s="349" t="s">
        <v>125</v>
      </c>
      <c r="E32" s="357">
        <f>G14*2*30</f>
        <v>216000</v>
      </c>
      <c r="F32" s="357">
        <f>F29*7*2*30</f>
        <v>0</v>
      </c>
      <c r="G32" s="357">
        <f t="shared" ref="G32:H32" si="2">G29*7*2*30</f>
        <v>0</v>
      </c>
      <c r="H32" s="357">
        <f t="shared" si="2"/>
        <v>0</v>
      </c>
      <c r="I32" s="357">
        <f>$E32</f>
        <v>216000</v>
      </c>
      <c r="J32" s="357">
        <f t="shared" ref="J32:Q33" si="3">$E32</f>
        <v>216000</v>
      </c>
      <c r="K32" s="357">
        <f t="shared" si="3"/>
        <v>216000</v>
      </c>
      <c r="L32" s="357">
        <f t="shared" si="3"/>
        <v>216000</v>
      </c>
      <c r="M32" s="357">
        <f t="shared" si="3"/>
        <v>216000</v>
      </c>
      <c r="N32" s="357">
        <f t="shared" si="3"/>
        <v>216000</v>
      </c>
      <c r="O32" s="357">
        <f t="shared" si="3"/>
        <v>216000</v>
      </c>
      <c r="P32" s="357">
        <f t="shared" si="3"/>
        <v>216000</v>
      </c>
      <c r="Q32" s="357">
        <f t="shared" si="3"/>
        <v>216000</v>
      </c>
      <c r="R32" s="350">
        <f t="shared" ref="R32:R33" si="4">AVERAGE(F32:Q32)</f>
        <v>162000</v>
      </c>
    </row>
    <row r="33" spans="2:18" s="5" customFormat="1" ht="12.5" x14ac:dyDescent="0.25">
      <c r="B33" s="347">
        <v>2</v>
      </c>
      <c r="C33" s="348" t="s">
        <v>122</v>
      </c>
      <c r="D33" s="349" t="s">
        <v>125</v>
      </c>
      <c r="E33" s="357">
        <f>G16*2*30</f>
        <v>185760</v>
      </c>
      <c r="F33" s="357">
        <f t="shared" ref="F33:H33" si="5">F30*7*2*30</f>
        <v>0</v>
      </c>
      <c r="G33" s="357">
        <f t="shared" si="5"/>
        <v>0</v>
      </c>
      <c r="H33" s="357">
        <f t="shared" si="5"/>
        <v>0</v>
      </c>
      <c r="I33" s="357">
        <f>$E33</f>
        <v>185760</v>
      </c>
      <c r="J33" s="357">
        <f t="shared" si="3"/>
        <v>185760</v>
      </c>
      <c r="K33" s="357">
        <f t="shared" si="3"/>
        <v>185760</v>
      </c>
      <c r="L33" s="357">
        <f t="shared" si="3"/>
        <v>185760</v>
      </c>
      <c r="M33" s="357">
        <f t="shared" si="3"/>
        <v>185760</v>
      </c>
      <c r="N33" s="357">
        <f t="shared" si="3"/>
        <v>185760</v>
      </c>
      <c r="O33" s="357">
        <f t="shared" si="3"/>
        <v>185760</v>
      </c>
      <c r="P33" s="357">
        <f t="shared" si="3"/>
        <v>185760</v>
      </c>
      <c r="Q33" s="357">
        <f t="shared" si="3"/>
        <v>185760</v>
      </c>
      <c r="R33" s="350">
        <f t="shared" si="4"/>
        <v>139320</v>
      </c>
    </row>
    <row r="34" spans="2:18" s="356" customFormat="1" x14ac:dyDescent="0.3">
      <c r="B34" s="353" t="s">
        <v>126</v>
      </c>
      <c r="C34" s="354" t="s">
        <v>127</v>
      </c>
      <c r="D34" s="354"/>
      <c r="E34" s="355" t="s">
        <v>111</v>
      </c>
      <c r="F34" s="355"/>
      <c r="G34" s="355"/>
      <c r="H34" s="355"/>
      <c r="I34" s="355"/>
      <c r="J34" s="355" t="s">
        <v>14</v>
      </c>
      <c r="K34" s="355" t="s">
        <v>15</v>
      </c>
      <c r="L34" s="355" t="s">
        <v>16</v>
      </c>
      <c r="M34" s="355" t="s">
        <v>17</v>
      </c>
      <c r="N34" s="355" t="s">
        <v>18</v>
      </c>
      <c r="O34" s="355" t="s">
        <v>19</v>
      </c>
      <c r="P34" s="355" t="s">
        <v>20</v>
      </c>
      <c r="Q34" s="355" t="s">
        <v>21</v>
      </c>
      <c r="R34" s="355"/>
    </row>
    <row r="35" spans="2:18" s="5" customFormat="1" ht="29.65" customHeight="1" x14ac:dyDescent="0.25">
      <c r="B35" s="347">
        <v>1</v>
      </c>
      <c r="C35" s="348" t="s">
        <v>128</v>
      </c>
      <c r="D35" s="358" t="s">
        <v>129</v>
      </c>
      <c r="E35" s="351">
        <f>E36/30</f>
        <v>619.20000000000005</v>
      </c>
      <c r="F35" s="351"/>
      <c r="G35" s="351"/>
      <c r="H35" s="351"/>
      <c r="I35" s="351">
        <f>I36/30</f>
        <v>619.20000000000005</v>
      </c>
      <c r="J35" s="351">
        <f t="shared" ref="J35:Q35" si="6">J36/30</f>
        <v>619.20000000000005</v>
      </c>
      <c r="K35" s="351">
        <f t="shared" si="6"/>
        <v>619.20000000000005</v>
      </c>
      <c r="L35" s="351">
        <f t="shared" si="6"/>
        <v>619.20000000000005</v>
      </c>
      <c r="M35" s="351">
        <f t="shared" si="6"/>
        <v>619.20000000000005</v>
      </c>
      <c r="N35" s="351">
        <f t="shared" si="6"/>
        <v>619.20000000000005</v>
      </c>
      <c r="O35" s="351">
        <f t="shared" si="6"/>
        <v>619.20000000000005</v>
      </c>
      <c r="P35" s="351">
        <f t="shared" si="6"/>
        <v>619.20000000000005</v>
      </c>
      <c r="Q35" s="351">
        <f t="shared" si="6"/>
        <v>619.20000000000005</v>
      </c>
      <c r="R35" s="352">
        <f t="shared" ref="R35:R36" si="7">AVERAGE(F35:Q35)</f>
        <v>619.19999999999993</v>
      </c>
    </row>
    <row r="36" spans="2:18" s="5" customFormat="1" ht="12.5" x14ac:dyDescent="0.25">
      <c r="B36" s="347">
        <v>2</v>
      </c>
      <c r="C36" s="348" t="s">
        <v>130</v>
      </c>
      <c r="D36" s="358" t="s">
        <v>131</v>
      </c>
      <c r="E36" s="351">
        <f>E33/E21/2</f>
        <v>18576</v>
      </c>
      <c r="F36" s="351"/>
      <c r="G36" s="351"/>
      <c r="H36" s="351"/>
      <c r="I36" s="351">
        <f t="shared" ref="I36:Q36" si="8">I33/I21/2</f>
        <v>18576</v>
      </c>
      <c r="J36" s="351">
        <f t="shared" si="8"/>
        <v>18576</v>
      </c>
      <c r="K36" s="351">
        <f t="shared" si="8"/>
        <v>18576</v>
      </c>
      <c r="L36" s="351">
        <f t="shared" si="8"/>
        <v>18576</v>
      </c>
      <c r="M36" s="351">
        <f t="shared" si="8"/>
        <v>18576</v>
      </c>
      <c r="N36" s="351">
        <f t="shared" si="8"/>
        <v>18576</v>
      </c>
      <c r="O36" s="351">
        <f t="shared" si="8"/>
        <v>18576</v>
      </c>
      <c r="P36" s="351">
        <f t="shared" si="8"/>
        <v>18576</v>
      </c>
      <c r="Q36" s="351">
        <f t="shared" si="8"/>
        <v>18576</v>
      </c>
      <c r="R36" s="352">
        <f t="shared" si="7"/>
        <v>18576</v>
      </c>
    </row>
    <row r="37" spans="2:18" s="96" customFormat="1" ht="15.5" x14ac:dyDescent="0.35">
      <c r="B37" s="9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</row>
  </sheetData>
  <mergeCells count="1">
    <mergeCell ref="B8:B10"/>
  </mergeCells>
  <pageMargins left="0.2" right="0.2" top="0.5" bottom="0.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0000"/>
  </sheetPr>
  <dimension ref="B1:N43"/>
  <sheetViews>
    <sheetView showGridLines="0" topLeftCell="A13" zoomScale="85" zoomScaleNormal="85" workbookViewId="0">
      <selection activeCell="K15" sqref="K15"/>
    </sheetView>
  </sheetViews>
  <sheetFormatPr defaultColWidth="8.7265625" defaultRowHeight="12.5" x14ac:dyDescent="0.35"/>
  <cols>
    <col min="1" max="1" width="1.81640625" style="8" customWidth="1"/>
    <col min="2" max="2" width="6.54296875" style="8" customWidth="1"/>
    <col min="3" max="3" width="36.453125" style="8" bestFit="1" customWidth="1"/>
    <col min="4" max="4" width="24.26953125" style="8" bestFit="1" customWidth="1"/>
    <col min="5" max="5" width="13.1796875" style="8" customWidth="1"/>
    <col min="6" max="6" width="12.7265625" style="15" customWidth="1"/>
    <col min="7" max="7" width="15.26953125" style="8" customWidth="1"/>
    <col min="8" max="8" width="46.453125" style="8" customWidth="1"/>
    <col min="9" max="9" width="15.7265625" style="8" customWidth="1"/>
    <col min="10" max="16384" width="8.7265625" style="8"/>
  </cols>
  <sheetData>
    <row r="1" spans="2:14" ht="15.5" x14ac:dyDescent="0.35">
      <c r="B1" s="79"/>
    </row>
    <row r="3" spans="2:14" ht="18" x14ac:dyDescent="0.35">
      <c r="B3" s="111" t="s">
        <v>132</v>
      </c>
    </row>
    <row r="4" spans="2:14" s="9" customFormat="1" ht="13" x14ac:dyDescent="0.35">
      <c r="B4" s="9" t="s">
        <v>387</v>
      </c>
      <c r="F4" s="16"/>
      <c r="G4" s="418">
        <f>SUM(G6:G22)</f>
        <v>6206.375452196382</v>
      </c>
    </row>
    <row r="5" spans="2:14" ht="37.15" customHeight="1" x14ac:dyDescent="0.35">
      <c r="B5" s="345" t="s">
        <v>0</v>
      </c>
      <c r="C5" s="345" t="s">
        <v>7</v>
      </c>
      <c r="D5" s="224" t="s">
        <v>96</v>
      </c>
      <c r="E5" s="224" t="s">
        <v>111</v>
      </c>
      <c r="F5" s="344" t="s">
        <v>133</v>
      </c>
      <c r="G5" s="224" t="s">
        <v>134</v>
      </c>
      <c r="H5" s="345" t="s">
        <v>94</v>
      </c>
    </row>
    <row r="6" spans="2:14" ht="30" customHeight="1" x14ac:dyDescent="0.35">
      <c r="B6" s="93">
        <v>1</v>
      </c>
      <c r="C6" s="83" t="s">
        <v>390</v>
      </c>
      <c r="D6" s="94"/>
      <c r="E6" s="251"/>
      <c r="F6" s="80"/>
      <c r="G6" s="416"/>
      <c r="H6" s="94"/>
      <c r="I6" s="420">
        <f>SUM(G8:G9)</f>
        <v>335.91731266149867</v>
      </c>
    </row>
    <row r="7" spans="2:14" ht="43.15" customHeight="1" x14ac:dyDescent="0.35">
      <c r="B7" s="223" t="s">
        <v>112</v>
      </c>
      <c r="C7" s="94" t="s">
        <v>135</v>
      </c>
      <c r="D7" s="94" t="s">
        <v>368</v>
      </c>
      <c r="E7" s="251"/>
      <c r="F7" s="252"/>
      <c r="G7" s="80"/>
      <c r="H7" s="83"/>
    </row>
    <row r="8" spans="2:14" ht="35.5" customHeight="1" x14ac:dyDescent="0.35">
      <c r="B8" s="223" t="s">
        <v>114</v>
      </c>
      <c r="C8" s="94" t="s">
        <v>136</v>
      </c>
      <c r="D8" s="94" t="s">
        <v>368</v>
      </c>
      <c r="E8" s="251">
        <v>2</v>
      </c>
      <c r="F8" s="253">
        <v>470000</v>
      </c>
      <c r="G8" s="415">
        <f>E8*F8/'Cong suat'!$G$16</f>
        <v>303.6175710594315</v>
      </c>
      <c r="H8" s="83"/>
      <c r="N8" s="15"/>
    </row>
    <row r="9" spans="2:14" ht="28.9" customHeight="1" x14ac:dyDescent="0.35">
      <c r="B9" s="93" t="s">
        <v>116</v>
      </c>
      <c r="C9" s="94" t="s">
        <v>137</v>
      </c>
      <c r="D9" s="94" t="s">
        <v>138</v>
      </c>
      <c r="E9" s="251">
        <f>E8</f>
        <v>2</v>
      </c>
      <c r="F9" s="80">
        <v>50000</v>
      </c>
      <c r="G9" s="415">
        <f>E9*F9/'Cong suat'!$G$16</f>
        <v>32.299741602067186</v>
      </c>
      <c r="H9" s="94"/>
    </row>
    <row r="10" spans="2:14" ht="28.9" customHeight="1" x14ac:dyDescent="0.35">
      <c r="B10" s="93">
        <v>2</v>
      </c>
      <c r="C10" s="83" t="s">
        <v>389</v>
      </c>
      <c r="D10" s="94"/>
      <c r="E10" s="251"/>
      <c r="F10" s="80"/>
      <c r="G10" s="416"/>
      <c r="H10" s="94"/>
      <c r="I10" s="420">
        <f>SUM(G11:G13)</f>
        <v>565.16472868217056</v>
      </c>
    </row>
    <row r="11" spans="2:14" ht="28.9" customHeight="1" x14ac:dyDescent="0.35">
      <c r="B11" s="93" t="s">
        <v>112</v>
      </c>
      <c r="C11" s="94" t="s">
        <v>391</v>
      </c>
      <c r="D11" s="94" t="s">
        <v>368</v>
      </c>
      <c r="E11" s="251">
        <v>1.5</v>
      </c>
      <c r="F11" s="252">
        <v>712700</v>
      </c>
      <c r="G11" s="243">
        <f>E11*F11/'Cong suat'!$G$16</f>
        <v>345.30038759689921</v>
      </c>
      <c r="H11" s="94" t="s">
        <v>435</v>
      </c>
    </row>
    <row r="12" spans="2:14" ht="28.9" customHeight="1" x14ac:dyDescent="0.35">
      <c r="B12" s="93" t="s">
        <v>114</v>
      </c>
      <c r="C12" s="94" t="s">
        <v>392</v>
      </c>
      <c r="D12" s="94" t="s">
        <v>368</v>
      </c>
      <c r="E12" s="251">
        <v>1</v>
      </c>
      <c r="F12" s="253">
        <v>555700</v>
      </c>
      <c r="G12" s="243">
        <f>E12*F12/'Cong suat'!$G$16</f>
        <v>179.48966408268734</v>
      </c>
      <c r="H12" s="94"/>
    </row>
    <row r="13" spans="2:14" ht="28.9" customHeight="1" x14ac:dyDescent="0.35">
      <c r="B13" s="93" t="s">
        <v>116</v>
      </c>
      <c r="C13" s="94" t="s">
        <v>137</v>
      </c>
      <c r="D13" s="94" t="s">
        <v>138</v>
      </c>
      <c r="E13" s="251">
        <v>2.5</v>
      </c>
      <c r="F13" s="80">
        <v>50000</v>
      </c>
      <c r="G13" s="243">
        <f>E13*F13/'Cong suat'!$G$16</f>
        <v>40.374677002583979</v>
      </c>
      <c r="H13" s="94"/>
    </row>
    <row r="14" spans="2:14" ht="33.65" customHeight="1" x14ac:dyDescent="0.35">
      <c r="B14" s="93">
        <v>3</v>
      </c>
      <c r="C14" s="94" t="s">
        <v>43</v>
      </c>
      <c r="D14" s="83" t="s">
        <v>139</v>
      </c>
      <c r="E14" s="254">
        <f>500*60%</f>
        <v>300</v>
      </c>
      <c r="F14" s="80">
        <f>ROUND(2100*1.05,-1)</f>
        <v>2210</v>
      </c>
      <c r="G14" s="417">
        <f>E14*F14/'Cong suat'!$E$16</f>
        <v>2569.7674418604652</v>
      </c>
      <c r="H14" s="83" t="s">
        <v>394</v>
      </c>
      <c r="I14" s="17"/>
      <c r="K14" s="8" t="s">
        <v>436</v>
      </c>
    </row>
    <row r="15" spans="2:14" ht="33.65" customHeight="1" x14ac:dyDescent="0.35">
      <c r="B15" s="93">
        <v>4</v>
      </c>
      <c r="C15" s="94" t="s">
        <v>383</v>
      </c>
      <c r="D15" s="83" t="s">
        <v>388</v>
      </c>
      <c r="E15" s="243">
        <v>2</v>
      </c>
      <c r="F15" s="80">
        <v>11500</v>
      </c>
      <c r="G15" s="250">
        <f>E15*F15/'Cong suat'!$E$16</f>
        <v>89.147286821705421</v>
      </c>
      <c r="H15" s="83"/>
      <c r="I15" s="418">
        <f>G15+G16</f>
        <v>162.64806201550385</v>
      </c>
      <c r="K15" s="17">
        <f>SUM(G17,G19,G20,G21)</f>
        <v>1997.8779069767443</v>
      </c>
    </row>
    <row r="16" spans="2:14" ht="30.65" customHeight="1" x14ac:dyDescent="0.35">
      <c r="B16" s="93">
        <v>5</v>
      </c>
      <c r="C16" s="94" t="s">
        <v>384</v>
      </c>
      <c r="D16" s="83" t="s">
        <v>388</v>
      </c>
      <c r="E16" s="128">
        <f>E15*80%</f>
        <v>1.6</v>
      </c>
      <c r="F16" s="80">
        <v>11852</v>
      </c>
      <c r="G16" s="250">
        <f>E16*F16/'Cong suat'!$E$16</f>
        <v>73.500775193798447</v>
      </c>
      <c r="H16" s="83"/>
    </row>
    <row r="17" spans="2:10" ht="30.65" customHeight="1" x14ac:dyDescent="0.35">
      <c r="B17" s="93"/>
      <c r="C17" s="94" t="s">
        <v>409</v>
      </c>
      <c r="D17" s="83" t="s">
        <v>311</v>
      </c>
      <c r="E17" s="128">
        <v>2</v>
      </c>
      <c r="F17" s="253">
        <f>2*26500</f>
        <v>53000</v>
      </c>
      <c r="G17" s="253">
        <f>(E17*F17)/(1600*86%)</f>
        <v>77.034883720930239</v>
      </c>
      <c r="H17" s="83" t="s">
        <v>410</v>
      </c>
    </row>
    <row r="18" spans="2:10" ht="30.65" customHeight="1" x14ac:dyDescent="0.35">
      <c r="B18" s="93">
        <v>6</v>
      </c>
      <c r="C18" s="421" t="s">
        <v>402</v>
      </c>
      <c r="D18" s="83"/>
      <c r="E18" s="128">
        <v>1</v>
      </c>
      <c r="F18" s="80">
        <v>250000</v>
      </c>
      <c r="G18" s="417">
        <f>(E18*F18)/1500</f>
        <v>166.66666666666666</v>
      </c>
      <c r="H18" s="83" t="s">
        <v>432</v>
      </c>
      <c r="J18" s="220"/>
    </row>
    <row r="19" spans="2:10" ht="30.65" customHeight="1" x14ac:dyDescent="0.35">
      <c r="B19" s="93">
        <v>7</v>
      </c>
      <c r="C19" s="255" t="s">
        <v>385</v>
      </c>
      <c r="D19" s="83"/>
      <c r="E19" s="128">
        <v>1</v>
      </c>
      <c r="F19" s="80">
        <v>20000</v>
      </c>
      <c r="G19" s="80">
        <f>E19*F19/20</f>
        <v>1000</v>
      </c>
      <c r="H19" s="83" t="s">
        <v>403</v>
      </c>
    </row>
    <row r="20" spans="2:10" ht="29.5" customHeight="1" x14ac:dyDescent="0.35">
      <c r="B20" s="93">
        <v>8</v>
      </c>
      <c r="C20" s="94" t="s">
        <v>386</v>
      </c>
      <c r="D20" s="94" t="s">
        <v>311</v>
      </c>
      <c r="E20" s="251">
        <v>1</v>
      </c>
      <c r="F20" s="419">
        <v>539000</v>
      </c>
      <c r="G20" s="417">
        <f>E20*F20/(40*20)</f>
        <v>673.75</v>
      </c>
      <c r="H20" s="83" t="s">
        <v>404</v>
      </c>
    </row>
    <row r="21" spans="2:10" ht="30.65" customHeight="1" x14ac:dyDescent="0.35">
      <c r="B21" s="93">
        <v>9</v>
      </c>
      <c r="C21" s="94" t="s">
        <v>140</v>
      </c>
      <c r="D21" s="83" t="s">
        <v>141</v>
      </c>
      <c r="E21" s="254">
        <f>2.5*85%</f>
        <v>2.125</v>
      </c>
      <c r="F21" s="80">
        <v>30000</v>
      </c>
      <c r="G21" s="80">
        <f>E21*F21/'Cong suat'!$E$16</f>
        <v>247.09302325581396</v>
      </c>
      <c r="H21" s="83"/>
    </row>
    <row r="22" spans="2:10" ht="29.5" customHeight="1" x14ac:dyDescent="0.35">
      <c r="B22" s="93">
        <v>10</v>
      </c>
      <c r="C22" s="94" t="s">
        <v>47</v>
      </c>
      <c r="D22" s="84" t="s">
        <v>142</v>
      </c>
      <c r="E22" s="254">
        <v>1</v>
      </c>
      <c r="F22" s="80">
        <v>4900000</v>
      </c>
      <c r="G22" s="414">
        <f>F22/12000</f>
        <v>408.33333333333331</v>
      </c>
      <c r="H22" s="83" t="s">
        <v>427</v>
      </c>
    </row>
    <row r="23" spans="2:10" ht="29.5" customHeight="1" x14ac:dyDescent="0.35">
      <c r="B23" s="93">
        <v>11</v>
      </c>
      <c r="C23" s="413" t="s">
        <v>414</v>
      </c>
      <c r="D23" s="84"/>
      <c r="E23" s="254"/>
      <c r="F23" s="80"/>
      <c r="G23" s="243"/>
      <c r="H23" s="83"/>
    </row>
    <row r="24" spans="2:10" ht="29.5" customHeight="1" x14ac:dyDescent="0.35">
      <c r="B24" s="93">
        <v>13</v>
      </c>
      <c r="C24" s="413" t="s">
        <v>413</v>
      </c>
      <c r="D24" s="84"/>
      <c r="E24" s="254"/>
      <c r="F24" s="80"/>
      <c r="G24" s="243"/>
      <c r="H24" s="83"/>
    </row>
    <row r="25" spans="2:10" ht="29.5" customHeight="1" x14ac:dyDescent="0.35">
      <c r="B25" s="93">
        <v>14</v>
      </c>
      <c r="C25" s="413" t="s">
        <v>415</v>
      </c>
      <c r="D25" s="84"/>
      <c r="E25" s="254"/>
      <c r="F25" s="80"/>
      <c r="G25" s="243"/>
      <c r="H25" s="83" t="s">
        <v>412</v>
      </c>
    </row>
    <row r="26" spans="2:10" ht="29.5" customHeight="1" x14ac:dyDescent="0.35">
      <c r="B26" s="93">
        <v>15</v>
      </c>
      <c r="C26" s="413" t="s">
        <v>416</v>
      </c>
      <c r="D26" s="84"/>
      <c r="E26" s="254"/>
      <c r="F26" s="80"/>
      <c r="G26" s="243"/>
      <c r="H26" s="83" t="s">
        <v>411</v>
      </c>
    </row>
    <row r="27" spans="2:10" x14ac:dyDescent="0.35">
      <c r="B27" s="11"/>
      <c r="F27" s="135"/>
      <c r="G27" s="135"/>
    </row>
    <row r="28" spans="2:10" ht="14.5" x14ac:dyDescent="0.35">
      <c r="H28" s="113" t="s">
        <v>143</v>
      </c>
    </row>
    <row r="29" spans="2:10" ht="14.5" x14ac:dyDescent="0.35">
      <c r="B29" s="114"/>
      <c r="C29" s="114" t="s">
        <v>144</v>
      </c>
      <c r="D29" s="114" t="s">
        <v>145</v>
      </c>
      <c r="E29" s="410" t="s">
        <v>145</v>
      </c>
      <c r="F29" s="410"/>
      <c r="G29" s="114" t="s">
        <v>145</v>
      </c>
      <c r="H29" s="114" t="s">
        <v>146</v>
      </c>
    </row>
    <row r="30" spans="2:10" ht="14.5" x14ac:dyDescent="0.35">
      <c r="B30" s="115"/>
      <c r="C30" s="115" t="s">
        <v>147</v>
      </c>
      <c r="D30" s="115" t="s">
        <v>148</v>
      </c>
      <c r="E30" s="411" t="s">
        <v>149</v>
      </c>
      <c r="F30" s="411"/>
      <c r="G30" s="115" t="s">
        <v>150</v>
      </c>
      <c r="H30" s="115" t="s">
        <v>151</v>
      </c>
    </row>
    <row r="31" spans="2:10" ht="14.5" x14ac:dyDescent="0.35">
      <c r="B31" s="112"/>
      <c r="C31" s="112"/>
      <c r="D31" s="112"/>
      <c r="E31" s="112"/>
      <c r="F31" s="112"/>
      <c r="G31" s="112"/>
      <c r="H31" s="112"/>
    </row>
    <row r="32" spans="2:10" ht="14.5" x14ac:dyDescent="0.35">
      <c r="B32" s="112"/>
      <c r="C32" s="112"/>
      <c r="D32" s="112"/>
      <c r="E32" s="112"/>
      <c r="F32" s="112"/>
      <c r="G32" s="112"/>
      <c r="H32" s="112"/>
    </row>
    <row r="33" spans="2:9" ht="14.5" x14ac:dyDescent="0.35">
      <c r="B33" s="112"/>
      <c r="C33" s="112"/>
      <c r="D33" s="112"/>
      <c r="E33" s="112"/>
      <c r="F33" s="112"/>
      <c r="G33" s="112"/>
      <c r="H33" s="112"/>
    </row>
    <row r="34" spans="2:9" ht="14.5" x14ac:dyDescent="0.35">
      <c r="B34" s="112"/>
      <c r="C34" s="112"/>
      <c r="D34" s="112"/>
      <c r="E34" s="112"/>
      <c r="F34" s="112"/>
      <c r="G34" s="112"/>
      <c r="H34" s="112"/>
    </row>
    <row r="35" spans="2:9" ht="14.5" x14ac:dyDescent="0.35">
      <c r="B35" s="115"/>
      <c r="C35" s="115"/>
      <c r="D35" s="115"/>
      <c r="E35" s="411"/>
      <c r="F35" s="411"/>
      <c r="G35" s="115"/>
      <c r="H35" s="115"/>
    </row>
    <row r="38" spans="2:9" ht="14.5" x14ac:dyDescent="0.35">
      <c r="G38" s="115"/>
      <c r="H38" s="115"/>
      <c r="I38" s="115"/>
    </row>
    <row r="39" spans="2:9" ht="14.5" x14ac:dyDescent="0.35">
      <c r="G39" s="112"/>
      <c r="H39" s="112"/>
      <c r="I39" s="112"/>
    </row>
    <row r="40" spans="2:9" ht="14.5" x14ac:dyDescent="0.35">
      <c r="G40" s="112"/>
      <c r="H40" s="112"/>
      <c r="I40" s="112"/>
    </row>
    <row r="41" spans="2:9" ht="14.5" x14ac:dyDescent="0.35">
      <c r="G41" s="112"/>
      <c r="H41" s="112"/>
      <c r="I41" s="112"/>
    </row>
    <row r="42" spans="2:9" ht="14.5" x14ac:dyDescent="0.35">
      <c r="G42" s="112"/>
      <c r="H42" s="112"/>
      <c r="I42" s="112"/>
    </row>
    <row r="43" spans="2:9" ht="14.5" x14ac:dyDescent="0.35">
      <c r="G43" s="115"/>
      <c r="H43" s="115"/>
      <c r="I43" s="115"/>
    </row>
  </sheetData>
  <mergeCells count="3">
    <mergeCell ref="E29:F29"/>
    <mergeCell ref="E30:F30"/>
    <mergeCell ref="E35:F35"/>
  </mergeCells>
  <printOptions horizontalCentered="1"/>
  <pageMargins left="0" right="0" top="0.19685039370078741" bottom="0.15748031496062992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9" tint="0.39997558519241921"/>
  </sheetPr>
  <dimension ref="B1:X58"/>
  <sheetViews>
    <sheetView topLeftCell="A46" workbookViewId="0">
      <selection activeCell="K55" sqref="K55"/>
    </sheetView>
  </sheetViews>
  <sheetFormatPr defaultColWidth="8.7265625" defaultRowHeight="12.5" outlineLevelRow="2" outlineLevelCol="1" x14ac:dyDescent="0.35"/>
  <cols>
    <col min="1" max="1" width="1.453125" style="8" customWidth="1"/>
    <col min="2" max="2" width="4.7265625" style="11" customWidth="1"/>
    <col min="3" max="3" width="7.26953125" style="11" hidden="1" customWidth="1" outlineLevel="1"/>
    <col min="4" max="4" width="14.54296875" style="123" hidden="1" customWidth="1" outlineLevel="1"/>
    <col min="5" max="5" width="41.7265625" style="11" customWidth="1" collapsed="1"/>
    <col min="6" max="6" width="32.54296875" style="11" hidden="1" customWidth="1" outlineLevel="1"/>
    <col min="7" max="7" width="45.26953125" style="123" customWidth="1" collapsed="1"/>
    <col min="8" max="8" width="24.1796875" style="123" hidden="1" customWidth="1" outlineLevel="1"/>
    <col min="9" max="9" width="15.26953125" style="8" hidden="1" customWidth="1" outlineLevel="1"/>
    <col min="10" max="10" width="9.26953125" style="15" hidden="1" customWidth="1" outlineLevel="1"/>
    <col min="11" max="11" width="8.1796875" style="15" customWidth="1" collapsed="1"/>
    <col min="12" max="13" width="5.7265625" style="15" customWidth="1" outlineLevel="1"/>
    <col min="14" max="22" width="11.1796875" style="15" customWidth="1" outlineLevel="1"/>
    <col min="23" max="23" width="13.26953125" style="15" customWidth="1" outlineLevel="1"/>
    <col min="24" max="24" width="2.54296875" style="8" customWidth="1"/>
    <col min="25" max="16384" width="8.7265625" style="8"/>
  </cols>
  <sheetData>
    <row r="1" spans="2:23" x14ac:dyDescent="0.35">
      <c r="B1" s="122"/>
      <c r="C1" s="122"/>
      <c r="D1" s="122"/>
      <c r="E1" s="122"/>
      <c r="F1" s="122"/>
    </row>
    <row r="2" spans="2:23" x14ac:dyDescent="0.35">
      <c r="D2" s="2"/>
      <c r="E2" s="1"/>
      <c r="F2" s="1"/>
      <c r="G2" s="1"/>
    </row>
    <row r="3" spans="2:23" ht="13" x14ac:dyDescent="0.35">
      <c r="B3" s="55" t="s">
        <v>223</v>
      </c>
      <c r="C3" s="55"/>
      <c r="D3" s="72"/>
      <c r="E3" s="55"/>
      <c r="F3" s="55"/>
      <c r="G3" s="55"/>
      <c r="W3" s="15" t="s">
        <v>6</v>
      </c>
    </row>
    <row r="4" spans="2:23" ht="29" x14ac:dyDescent="0.35">
      <c r="B4" s="124" t="s">
        <v>0</v>
      </c>
      <c r="C4" s="124" t="s">
        <v>224</v>
      </c>
      <c r="D4" s="125" t="s">
        <v>161</v>
      </c>
      <c r="E4" s="126" t="s">
        <v>162</v>
      </c>
      <c r="F4" s="172" t="s">
        <v>163</v>
      </c>
      <c r="G4" s="344" t="s">
        <v>225</v>
      </c>
      <c r="H4" s="344" t="s">
        <v>152</v>
      </c>
      <c r="I4" s="362" t="s">
        <v>226</v>
      </c>
      <c r="J4" s="224" t="s">
        <v>227</v>
      </c>
      <c r="K4" s="224" t="s">
        <v>10</v>
      </c>
      <c r="L4" s="224" t="s">
        <v>11</v>
      </c>
      <c r="M4" s="224" t="s">
        <v>12</v>
      </c>
      <c r="N4" s="224" t="s">
        <v>13</v>
      </c>
      <c r="O4" s="224" t="s">
        <v>14</v>
      </c>
      <c r="P4" s="224" t="s">
        <v>15</v>
      </c>
      <c r="Q4" s="224" t="s">
        <v>16</v>
      </c>
      <c r="R4" s="224" t="s">
        <v>17</v>
      </c>
      <c r="S4" s="224" t="s">
        <v>18</v>
      </c>
      <c r="T4" s="224" t="s">
        <v>19</v>
      </c>
      <c r="U4" s="224" t="s">
        <v>20</v>
      </c>
      <c r="V4" s="224" t="s">
        <v>21</v>
      </c>
      <c r="W4" s="224" t="s">
        <v>363</v>
      </c>
    </row>
    <row r="5" spans="2:23" s="9" customFormat="1" ht="23.5" customHeight="1" x14ac:dyDescent="0.35">
      <c r="B5" s="359" t="s">
        <v>25</v>
      </c>
      <c r="C5" s="171"/>
      <c r="D5" s="173"/>
      <c r="E5" s="174" t="s">
        <v>32</v>
      </c>
      <c r="F5" s="175"/>
      <c r="G5" s="174"/>
      <c r="H5" s="174"/>
      <c r="I5" s="197"/>
      <c r="J5" s="181">
        <f t="shared" ref="J5:W5" si="0">SUM(J6:J27)</f>
        <v>0</v>
      </c>
      <c r="K5" s="127">
        <f t="shared" si="0"/>
        <v>0</v>
      </c>
      <c r="L5" s="127">
        <f t="shared" si="0"/>
        <v>0</v>
      </c>
      <c r="M5" s="127">
        <f t="shared" si="0"/>
        <v>0</v>
      </c>
      <c r="N5" s="127">
        <f t="shared" si="0"/>
        <v>744742152.39999998</v>
      </c>
      <c r="O5" s="127">
        <f t="shared" si="0"/>
        <v>744742152.39999998</v>
      </c>
      <c r="P5" s="127">
        <f t="shared" si="0"/>
        <v>744742152.39999998</v>
      </c>
      <c r="Q5" s="127">
        <f t="shared" si="0"/>
        <v>744742152.39999998</v>
      </c>
      <c r="R5" s="127">
        <f t="shared" si="0"/>
        <v>744742152.39999998</v>
      </c>
      <c r="S5" s="127">
        <f t="shared" si="0"/>
        <v>744742152.39999998</v>
      </c>
      <c r="T5" s="127">
        <f t="shared" si="0"/>
        <v>744742152.39999998</v>
      </c>
      <c r="U5" s="127">
        <f t="shared" si="0"/>
        <v>744742152.39999998</v>
      </c>
      <c r="V5" s="127">
        <f t="shared" si="0"/>
        <v>744742152.39999998</v>
      </c>
      <c r="W5" s="127">
        <f t="shared" si="0"/>
        <v>6702679371.6000004</v>
      </c>
    </row>
    <row r="6" spans="2:23" outlineLevel="1" x14ac:dyDescent="0.25">
      <c r="B6" s="182">
        <v>1</v>
      </c>
      <c r="C6" s="182"/>
      <c r="D6" s="183">
        <v>6220002601</v>
      </c>
      <c r="E6" s="184" t="s">
        <v>176</v>
      </c>
      <c r="F6" s="184" t="s">
        <v>165</v>
      </c>
      <c r="G6" s="184" t="s">
        <v>176</v>
      </c>
      <c r="H6" s="183" t="s">
        <v>154</v>
      </c>
      <c r="I6" s="194" t="s">
        <v>228</v>
      </c>
      <c r="J6" s="185"/>
      <c r="K6" s="189">
        <f>'Dinh muc'!$G$8*'3.Thanh pham'!F$10</f>
        <v>0</v>
      </c>
      <c r="L6" s="189">
        <f>'Dinh muc'!$G$8*'3.Thanh pham'!G$10</f>
        <v>0</v>
      </c>
      <c r="M6" s="189">
        <f>'Dinh muc'!$G$8*'3.Thanh pham'!H$10</f>
        <v>0</v>
      </c>
      <c r="N6" s="189">
        <f>'Dinh muc'!$G$8*'3.Thanh pham'!I$10</f>
        <v>43239999.999999993</v>
      </c>
      <c r="O6" s="189">
        <f>'Dinh muc'!$G$8*'3.Thanh pham'!J$10</f>
        <v>43239999.999999993</v>
      </c>
      <c r="P6" s="189">
        <f>'Dinh muc'!$G$8*'3.Thanh pham'!K$10</f>
        <v>43239999.999999993</v>
      </c>
      <c r="Q6" s="189">
        <f>'Dinh muc'!$G$8*'3.Thanh pham'!L$10</f>
        <v>43239999.999999993</v>
      </c>
      <c r="R6" s="189">
        <f>'Dinh muc'!$G$8*'3.Thanh pham'!M$10</f>
        <v>43239999.999999993</v>
      </c>
      <c r="S6" s="189">
        <f>'Dinh muc'!$G$8*'3.Thanh pham'!N$10</f>
        <v>43239999.999999993</v>
      </c>
      <c r="T6" s="189">
        <f>'Dinh muc'!$G$8*'3.Thanh pham'!O$10</f>
        <v>43239999.999999993</v>
      </c>
      <c r="U6" s="189">
        <f>'Dinh muc'!$G$8*'3.Thanh pham'!P$10</f>
        <v>43239999.999999993</v>
      </c>
      <c r="V6" s="189">
        <f>'Dinh muc'!$G$8*'3.Thanh pham'!Q$10</f>
        <v>43239999.999999993</v>
      </c>
      <c r="W6" s="189">
        <f>SUM(K6:V6)</f>
        <v>389159999.99999994</v>
      </c>
    </row>
    <row r="7" spans="2:23" outlineLevel="1" x14ac:dyDescent="0.25">
      <c r="B7" s="186">
        <v>2</v>
      </c>
      <c r="C7" s="186"/>
      <c r="D7" s="306">
        <v>6220002602</v>
      </c>
      <c r="E7" s="307" t="s">
        <v>177</v>
      </c>
      <c r="F7" s="307" t="s">
        <v>165</v>
      </c>
      <c r="G7" s="307" t="s">
        <v>177</v>
      </c>
      <c r="H7" s="306" t="s">
        <v>154</v>
      </c>
      <c r="I7" s="195" t="s">
        <v>228</v>
      </c>
      <c r="J7" s="244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>
        <f t="shared" ref="W7:W26" si="1">SUM(K7:V7)</f>
        <v>0</v>
      </c>
    </row>
    <row r="8" spans="2:23" outlineLevel="1" x14ac:dyDescent="0.25">
      <c r="B8" s="186">
        <v>3</v>
      </c>
      <c r="C8" s="186"/>
      <c r="D8" s="306">
        <v>6220002802</v>
      </c>
      <c r="E8" s="307" t="s">
        <v>178</v>
      </c>
      <c r="F8" s="307" t="s">
        <v>169</v>
      </c>
      <c r="G8" s="307" t="s">
        <v>178</v>
      </c>
      <c r="H8" s="306" t="s">
        <v>154</v>
      </c>
      <c r="I8" s="195" t="s">
        <v>228</v>
      </c>
      <c r="J8" s="244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>
        <f t="shared" si="1"/>
        <v>0</v>
      </c>
    </row>
    <row r="9" spans="2:23" outlineLevel="1" x14ac:dyDescent="0.25">
      <c r="B9" s="186">
        <v>4</v>
      </c>
      <c r="C9" s="186"/>
      <c r="D9" s="306">
        <v>6220002806</v>
      </c>
      <c r="E9" s="307" t="s">
        <v>179</v>
      </c>
      <c r="F9" s="307" t="s">
        <v>165</v>
      </c>
      <c r="G9" s="307" t="s">
        <v>179</v>
      </c>
      <c r="H9" s="306" t="s">
        <v>154</v>
      </c>
      <c r="I9" s="195" t="s">
        <v>228</v>
      </c>
      <c r="J9" s="244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>
        <f t="shared" si="1"/>
        <v>0</v>
      </c>
    </row>
    <row r="10" spans="2:23" outlineLevel="1" x14ac:dyDescent="0.25">
      <c r="B10" s="186">
        <v>5</v>
      </c>
      <c r="C10" s="186"/>
      <c r="D10" s="306">
        <v>6220007202</v>
      </c>
      <c r="E10" s="307" t="s">
        <v>170</v>
      </c>
      <c r="F10" s="307" t="s">
        <v>169</v>
      </c>
      <c r="G10" s="307" t="s">
        <v>170</v>
      </c>
      <c r="H10" s="306" t="s">
        <v>154</v>
      </c>
      <c r="I10" s="195" t="s">
        <v>228</v>
      </c>
      <c r="J10" s="244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>
        <f t="shared" si="1"/>
        <v>0</v>
      </c>
    </row>
    <row r="11" spans="2:23" outlineLevel="1" x14ac:dyDescent="0.25">
      <c r="B11" s="186">
        <v>6</v>
      </c>
      <c r="C11" s="186"/>
      <c r="D11" s="306">
        <v>6220003201</v>
      </c>
      <c r="E11" s="307" t="s">
        <v>180</v>
      </c>
      <c r="F11" s="307" t="s">
        <v>169</v>
      </c>
      <c r="G11" s="307" t="s">
        <v>180</v>
      </c>
      <c r="H11" s="306" t="s">
        <v>154</v>
      </c>
      <c r="I11" s="195" t="s">
        <v>228</v>
      </c>
      <c r="J11" s="244"/>
      <c r="K11" s="189">
        <f>'Dinh muc'!$G$9*'3.Thanh pham'!F$10</f>
        <v>0</v>
      </c>
      <c r="L11" s="189">
        <f>'Dinh muc'!$G$9*'3.Thanh pham'!G$10</f>
        <v>0</v>
      </c>
      <c r="M11" s="189">
        <f>'Dinh muc'!$G$9*'3.Thanh pham'!H$10</f>
        <v>0</v>
      </c>
      <c r="N11" s="189">
        <f>'Dinh muc'!$G$9*'3.Thanh pham'!I$10</f>
        <v>4600000</v>
      </c>
      <c r="O11" s="189">
        <f>'Dinh muc'!$G$9*'3.Thanh pham'!J$10</f>
        <v>4600000</v>
      </c>
      <c r="P11" s="189">
        <f>'Dinh muc'!$G$9*'3.Thanh pham'!K$10</f>
        <v>4600000</v>
      </c>
      <c r="Q11" s="189">
        <f>'Dinh muc'!$G$9*'3.Thanh pham'!L$10</f>
        <v>4600000</v>
      </c>
      <c r="R11" s="189">
        <f>'Dinh muc'!$G$9*'3.Thanh pham'!M$10</f>
        <v>4600000</v>
      </c>
      <c r="S11" s="189">
        <f>'Dinh muc'!$G$9*'3.Thanh pham'!N$10</f>
        <v>4600000</v>
      </c>
      <c r="T11" s="189">
        <f>'Dinh muc'!$G$9*'3.Thanh pham'!O$10</f>
        <v>4600000</v>
      </c>
      <c r="U11" s="189">
        <f>'Dinh muc'!$G$9*'3.Thanh pham'!P$10</f>
        <v>4600000</v>
      </c>
      <c r="V11" s="189">
        <f>'Dinh muc'!$G$9*'3.Thanh pham'!Q$10</f>
        <v>4600000</v>
      </c>
      <c r="W11" s="189">
        <f t="shared" si="1"/>
        <v>41400000</v>
      </c>
    </row>
    <row r="12" spans="2:23" outlineLevel="1" x14ac:dyDescent="0.25">
      <c r="B12" s="186">
        <v>7</v>
      </c>
      <c r="C12" s="186"/>
      <c r="D12" s="306">
        <v>6220002603</v>
      </c>
      <c r="E12" s="307" t="s">
        <v>181</v>
      </c>
      <c r="F12" s="307" t="s">
        <v>165</v>
      </c>
      <c r="G12" s="307" t="s">
        <v>181</v>
      </c>
      <c r="H12" s="306" t="s">
        <v>154</v>
      </c>
      <c r="I12" s="195" t="s">
        <v>228</v>
      </c>
      <c r="J12" s="244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>
        <f t="shared" si="1"/>
        <v>0</v>
      </c>
    </row>
    <row r="13" spans="2:23" outlineLevel="1" x14ac:dyDescent="0.25">
      <c r="B13" s="186">
        <v>8</v>
      </c>
      <c r="C13" s="186"/>
      <c r="D13" s="306">
        <v>6220003401</v>
      </c>
      <c r="E13" s="307" t="s">
        <v>182</v>
      </c>
      <c r="F13" s="307" t="s">
        <v>169</v>
      </c>
      <c r="G13" s="307" t="s">
        <v>182</v>
      </c>
      <c r="H13" s="306" t="s">
        <v>154</v>
      </c>
      <c r="I13" s="195" t="s">
        <v>228</v>
      </c>
      <c r="J13" s="244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>
        <f t="shared" si="1"/>
        <v>0</v>
      </c>
    </row>
    <row r="14" spans="2:23" outlineLevel="1" x14ac:dyDescent="0.25">
      <c r="B14" s="186">
        <v>9</v>
      </c>
      <c r="C14" s="186"/>
      <c r="D14" s="306">
        <v>6220002701</v>
      </c>
      <c r="E14" s="307" t="s">
        <v>183</v>
      </c>
      <c r="F14" s="307" t="s">
        <v>165</v>
      </c>
      <c r="G14" s="307" t="s">
        <v>183</v>
      </c>
      <c r="H14" s="306" t="s">
        <v>154</v>
      </c>
      <c r="I14" s="195" t="s">
        <v>228</v>
      </c>
      <c r="J14" s="244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>
        <f t="shared" si="1"/>
        <v>0</v>
      </c>
    </row>
    <row r="15" spans="2:23" outlineLevel="2" x14ac:dyDescent="0.25">
      <c r="B15" s="186">
        <v>10</v>
      </c>
      <c r="C15" s="186"/>
      <c r="D15" s="306" t="s">
        <v>343</v>
      </c>
      <c r="E15" s="307" t="s">
        <v>344</v>
      </c>
      <c r="F15" s="307" t="s">
        <v>345</v>
      </c>
      <c r="G15" s="307" t="s">
        <v>344</v>
      </c>
      <c r="H15" s="306" t="s">
        <v>154</v>
      </c>
      <c r="I15" s="195" t="s">
        <v>228</v>
      </c>
      <c r="J15" s="244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>
        <f t="shared" si="1"/>
        <v>0</v>
      </c>
    </row>
    <row r="16" spans="2:23" outlineLevel="2" x14ac:dyDescent="0.25">
      <c r="B16" s="186">
        <v>11</v>
      </c>
      <c r="C16" s="186"/>
      <c r="D16" s="306">
        <v>6220003001</v>
      </c>
      <c r="E16" s="307" t="s">
        <v>229</v>
      </c>
      <c r="F16" s="307" t="s">
        <v>169</v>
      </c>
      <c r="G16" s="307" t="s">
        <v>229</v>
      </c>
      <c r="H16" s="306" t="s">
        <v>154</v>
      </c>
      <c r="I16" s="195" t="s">
        <v>230</v>
      </c>
      <c r="J16" s="244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>
        <f t="shared" si="1"/>
        <v>0</v>
      </c>
    </row>
    <row r="17" spans="2:24" outlineLevel="1" x14ac:dyDescent="0.25">
      <c r="B17" s="186">
        <v>12</v>
      </c>
      <c r="C17" s="186"/>
      <c r="D17" s="306"/>
      <c r="E17" s="307" t="s">
        <v>231</v>
      </c>
      <c r="F17" s="307" t="s">
        <v>169</v>
      </c>
      <c r="G17" s="307" t="s">
        <v>232</v>
      </c>
      <c r="H17" s="306" t="s">
        <v>154</v>
      </c>
      <c r="I17" s="195" t="s">
        <v>230</v>
      </c>
      <c r="J17" s="244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>
        <f t="shared" si="1"/>
        <v>0</v>
      </c>
    </row>
    <row r="18" spans="2:24" outlineLevel="1" x14ac:dyDescent="0.25">
      <c r="B18" s="186">
        <v>13</v>
      </c>
      <c r="C18" s="186"/>
      <c r="D18" s="306">
        <v>6275001801</v>
      </c>
      <c r="E18" s="307" t="s">
        <v>233</v>
      </c>
      <c r="F18" s="307" t="s">
        <v>234</v>
      </c>
      <c r="G18" s="307" t="s">
        <v>233</v>
      </c>
      <c r="H18" s="306" t="s">
        <v>157</v>
      </c>
      <c r="I18" s="195" t="s">
        <v>235</v>
      </c>
      <c r="J18" s="244"/>
      <c r="K18" s="189">
        <f>'Dinh muc'!$G$14*'3.Thanh pham'!F$10</f>
        <v>0</v>
      </c>
      <c r="L18" s="189">
        <f>'Dinh muc'!$G$14*'3.Thanh pham'!G$10</f>
        <v>0</v>
      </c>
      <c r="M18" s="189">
        <f>'Dinh muc'!$G$14*'3.Thanh pham'!H$10</f>
        <v>0</v>
      </c>
      <c r="N18" s="189">
        <f>'Dinh muc'!$G$14*'3.Thanh pham'!I$10</f>
        <v>365976000</v>
      </c>
      <c r="O18" s="189">
        <f>'Dinh muc'!$G$14*'3.Thanh pham'!J$10</f>
        <v>365976000</v>
      </c>
      <c r="P18" s="189">
        <f>'Dinh muc'!$G$14*'3.Thanh pham'!K$10</f>
        <v>365976000</v>
      </c>
      <c r="Q18" s="189">
        <f>'Dinh muc'!$G$14*'3.Thanh pham'!L$10</f>
        <v>365976000</v>
      </c>
      <c r="R18" s="189">
        <f>'Dinh muc'!$G$14*'3.Thanh pham'!M$10</f>
        <v>365976000</v>
      </c>
      <c r="S18" s="189">
        <f>'Dinh muc'!$G$14*'3.Thanh pham'!N$10</f>
        <v>365976000</v>
      </c>
      <c r="T18" s="189">
        <f>'Dinh muc'!$G$14*'3.Thanh pham'!O$10</f>
        <v>365976000</v>
      </c>
      <c r="U18" s="189">
        <f>'Dinh muc'!$G$14*'3.Thanh pham'!P$10</f>
        <v>365976000</v>
      </c>
      <c r="V18" s="189">
        <f>'Dinh muc'!$G$14*'3.Thanh pham'!Q$10</f>
        <v>365976000</v>
      </c>
      <c r="W18" s="189">
        <f t="shared" si="1"/>
        <v>3293784000</v>
      </c>
    </row>
    <row r="19" spans="2:24" outlineLevel="1" x14ac:dyDescent="0.25">
      <c r="B19" s="186">
        <v>14</v>
      </c>
      <c r="C19" s="186"/>
      <c r="D19" s="306">
        <v>6272000100</v>
      </c>
      <c r="E19" s="307" t="s">
        <v>236</v>
      </c>
      <c r="F19" s="307" t="s">
        <v>237</v>
      </c>
      <c r="G19" s="307"/>
      <c r="H19" s="306" t="s">
        <v>157</v>
      </c>
      <c r="I19" s="195" t="s">
        <v>235</v>
      </c>
      <c r="J19" s="244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>
        <f t="shared" si="1"/>
        <v>0</v>
      </c>
    </row>
    <row r="20" spans="2:24" outlineLevel="1" x14ac:dyDescent="0.25">
      <c r="B20" s="186">
        <v>15</v>
      </c>
      <c r="C20" s="186"/>
      <c r="D20" s="306">
        <v>6272000100</v>
      </c>
      <c r="E20" s="307" t="s">
        <v>236</v>
      </c>
      <c r="F20" s="307" t="s">
        <v>237</v>
      </c>
      <c r="G20" s="307" t="s">
        <v>407</v>
      </c>
      <c r="H20" s="306" t="s">
        <v>158</v>
      </c>
      <c r="I20" s="195" t="s">
        <v>235</v>
      </c>
      <c r="J20" s="244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>
        <f t="shared" si="1"/>
        <v>0</v>
      </c>
      <c r="X20" s="360" t="s">
        <v>242</v>
      </c>
    </row>
    <row r="21" spans="2:24" outlineLevel="2" x14ac:dyDescent="0.25">
      <c r="B21" s="186">
        <v>16</v>
      </c>
      <c r="C21" s="186"/>
      <c r="D21" s="306">
        <v>6272000100</v>
      </c>
      <c r="E21" s="307" t="s">
        <v>236</v>
      </c>
      <c r="F21" s="307" t="s">
        <v>237</v>
      </c>
      <c r="G21" s="307" t="s">
        <v>406</v>
      </c>
      <c r="H21" s="306" t="s">
        <v>158</v>
      </c>
      <c r="I21" s="195" t="s">
        <v>235</v>
      </c>
      <c r="J21" s="244"/>
      <c r="K21" s="189">
        <f>'Dinh muc'!$G$18*'3.Thanh pham'!F$10</f>
        <v>0</v>
      </c>
      <c r="L21" s="189">
        <f>'Dinh muc'!$G$18*'3.Thanh pham'!G$10</f>
        <v>0</v>
      </c>
      <c r="M21" s="189">
        <f>'Dinh muc'!$G$18*'3.Thanh pham'!H$10</f>
        <v>0</v>
      </c>
      <c r="N21" s="189">
        <f>'Dinh muc'!$G$18*'3.Thanh pham'!I$10</f>
        <v>23736000</v>
      </c>
      <c r="O21" s="189">
        <f>'Dinh muc'!$G$18*'3.Thanh pham'!J$10</f>
        <v>23736000</v>
      </c>
      <c r="P21" s="189">
        <f>'Dinh muc'!$G$18*'3.Thanh pham'!K$10</f>
        <v>23736000</v>
      </c>
      <c r="Q21" s="189">
        <f>'Dinh muc'!$G$18*'3.Thanh pham'!L$10</f>
        <v>23736000</v>
      </c>
      <c r="R21" s="189">
        <f>'Dinh muc'!$G$18*'3.Thanh pham'!M$10</f>
        <v>23736000</v>
      </c>
      <c r="S21" s="189">
        <f>'Dinh muc'!$G$18*'3.Thanh pham'!N$10</f>
        <v>23736000</v>
      </c>
      <c r="T21" s="189">
        <f>'Dinh muc'!$G$18*'3.Thanh pham'!O$10</f>
        <v>23736000</v>
      </c>
      <c r="U21" s="189">
        <f>'Dinh muc'!$G$18*'3.Thanh pham'!P$10</f>
        <v>23736000</v>
      </c>
      <c r="V21" s="189">
        <f>'Dinh muc'!$G$18*'3.Thanh pham'!Q$10</f>
        <v>23736000</v>
      </c>
      <c r="W21" s="189">
        <f t="shared" si="1"/>
        <v>213624000</v>
      </c>
    </row>
    <row r="22" spans="2:24" outlineLevel="2" x14ac:dyDescent="0.25">
      <c r="B22" s="186">
        <v>17</v>
      </c>
      <c r="C22" s="186"/>
      <c r="D22" s="306">
        <v>6272000100</v>
      </c>
      <c r="E22" s="307" t="s">
        <v>236</v>
      </c>
      <c r="F22" s="307" t="s">
        <v>237</v>
      </c>
      <c r="G22" s="307" t="s">
        <v>405</v>
      </c>
      <c r="H22" s="306" t="s">
        <v>158</v>
      </c>
      <c r="I22" s="195" t="s">
        <v>235</v>
      </c>
      <c r="J22" s="244"/>
      <c r="K22" s="189">
        <f>'Dinh muc'!$G$19*'3.Thanh pham'!F$10</f>
        <v>0</v>
      </c>
      <c r="L22" s="189">
        <f>'Dinh muc'!$G$19*'3.Thanh pham'!G$10</f>
        <v>0</v>
      </c>
      <c r="M22" s="189">
        <f>'Dinh muc'!$G$19*'3.Thanh pham'!H$10</f>
        <v>0</v>
      </c>
      <c r="N22" s="189">
        <f>'Dinh muc'!$G$19*'3.Thanh pham'!I$10</f>
        <v>142416000</v>
      </c>
      <c r="O22" s="189">
        <f>'Dinh muc'!$G$19*'3.Thanh pham'!J$10</f>
        <v>142416000</v>
      </c>
      <c r="P22" s="189">
        <f>'Dinh muc'!$G$19*'3.Thanh pham'!K$10</f>
        <v>142416000</v>
      </c>
      <c r="Q22" s="189">
        <f>'Dinh muc'!$G$19*'3.Thanh pham'!L$10</f>
        <v>142416000</v>
      </c>
      <c r="R22" s="189">
        <f>'Dinh muc'!$G$19*'3.Thanh pham'!M$10</f>
        <v>142416000</v>
      </c>
      <c r="S22" s="189">
        <f>'Dinh muc'!$G$19*'3.Thanh pham'!N$10</f>
        <v>142416000</v>
      </c>
      <c r="T22" s="189">
        <f>'Dinh muc'!$G$19*'3.Thanh pham'!O$10</f>
        <v>142416000</v>
      </c>
      <c r="U22" s="189">
        <f>'Dinh muc'!$G$19*'3.Thanh pham'!P$10</f>
        <v>142416000</v>
      </c>
      <c r="V22" s="189">
        <f>'Dinh muc'!$G$19*'3.Thanh pham'!Q$10</f>
        <v>142416000</v>
      </c>
      <c r="W22" s="189">
        <f t="shared" si="1"/>
        <v>1281744000</v>
      </c>
    </row>
    <row r="23" spans="2:24" outlineLevel="1" x14ac:dyDescent="0.25">
      <c r="B23" s="186">
        <v>18</v>
      </c>
      <c r="C23" s="186"/>
      <c r="D23" s="306">
        <v>6272000100</v>
      </c>
      <c r="E23" s="307" t="s">
        <v>236</v>
      </c>
      <c r="F23" s="307" t="s">
        <v>237</v>
      </c>
      <c r="G23" s="307" t="s">
        <v>386</v>
      </c>
      <c r="H23" s="306" t="s">
        <v>158</v>
      </c>
      <c r="I23" s="195" t="s">
        <v>235</v>
      </c>
      <c r="J23" s="244"/>
      <c r="K23" s="189">
        <f>'Dinh muc'!$G$20*'3.Thanh pham'!F$10</f>
        <v>0</v>
      </c>
      <c r="L23" s="189">
        <f>'Dinh muc'!$G$20*'3.Thanh pham'!G$10</f>
        <v>0</v>
      </c>
      <c r="M23" s="189">
        <f>'Dinh muc'!$G$20*'3.Thanh pham'!H$10</f>
        <v>0</v>
      </c>
      <c r="N23" s="189">
        <f>'Dinh muc'!$G$20*'3.Thanh pham'!I$10</f>
        <v>95952780</v>
      </c>
      <c r="O23" s="189">
        <f>'Dinh muc'!$G$20*'3.Thanh pham'!J$10</f>
        <v>95952780</v>
      </c>
      <c r="P23" s="189">
        <f>'Dinh muc'!$G$20*'3.Thanh pham'!K$10</f>
        <v>95952780</v>
      </c>
      <c r="Q23" s="189">
        <f>'Dinh muc'!$G$20*'3.Thanh pham'!L$10</f>
        <v>95952780</v>
      </c>
      <c r="R23" s="189">
        <f>'Dinh muc'!$G$20*'3.Thanh pham'!M$10</f>
        <v>95952780</v>
      </c>
      <c r="S23" s="189">
        <f>'Dinh muc'!$G$20*'3.Thanh pham'!N$10</f>
        <v>95952780</v>
      </c>
      <c r="T23" s="189">
        <f>'Dinh muc'!$G$20*'3.Thanh pham'!O$10</f>
        <v>95952780</v>
      </c>
      <c r="U23" s="189">
        <f>'Dinh muc'!$G$20*'3.Thanh pham'!P$10</f>
        <v>95952780</v>
      </c>
      <c r="V23" s="189">
        <f>'Dinh muc'!$G$20*'3.Thanh pham'!Q$10</f>
        <v>95952780</v>
      </c>
      <c r="W23" s="189">
        <f t="shared" si="1"/>
        <v>863575020</v>
      </c>
    </row>
    <row r="24" spans="2:24" outlineLevel="1" x14ac:dyDescent="0.25">
      <c r="B24" s="186">
        <v>19</v>
      </c>
      <c r="C24" s="186"/>
      <c r="D24" s="306">
        <v>6272002101</v>
      </c>
      <c r="E24" s="307" t="s">
        <v>238</v>
      </c>
      <c r="F24" s="307" t="s">
        <v>237</v>
      </c>
      <c r="G24" s="307" t="s">
        <v>433</v>
      </c>
      <c r="H24" s="306"/>
      <c r="I24" s="195"/>
      <c r="J24" s="244"/>
      <c r="K24" s="244">
        <f>SUM('Dinh muc'!$G$17:$G$20)*'3.Thanh pham'!F10</f>
        <v>0</v>
      </c>
      <c r="L24" s="244">
        <f>SUM('Dinh muc'!$G$17:$G$20)*'3.Thanh pham'!G10</f>
        <v>0</v>
      </c>
      <c r="M24" s="244">
        <f>SUM('Dinh muc'!$G$17:$G$20)*'3.Thanh pham'!H10</f>
        <v>0</v>
      </c>
      <c r="N24" s="244">
        <f>ROUND('Dinh muc'!$G$16*'3.Thanh pham'!I$10,0)</f>
        <v>10467686</v>
      </c>
      <c r="O24" s="244">
        <f>ROUND('Dinh muc'!$G$16*'3.Thanh pham'!J$10,0)</f>
        <v>10467686</v>
      </c>
      <c r="P24" s="244">
        <f>ROUND('Dinh muc'!$G$16*'3.Thanh pham'!K$10,0)</f>
        <v>10467686</v>
      </c>
      <c r="Q24" s="244">
        <f>ROUND('Dinh muc'!$G$16*'3.Thanh pham'!L$10,0)</f>
        <v>10467686</v>
      </c>
      <c r="R24" s="244">
        <f>ROUND('Dinh muc'!$G$16*'3.Thanh pham'!M$10,0)</f>
        <v>10467686</v>
      </c>
      <c r="S24" s="244">
        <f>ROUND('Dinh muc'!$G$16*'3.Thanh pham'!N$10,0)</f>
        <v>10467686</v>
      </c>
      <c r="T24" s="244">
        <f>ROUND('Dinh muc'!$G$16*'3.Thanh pham'!O$10,0)</f>
        <v>10467686</v>
      </c>
      <c r="U24" s="244">
        <f>ROUND('Dinh muc'!$G$16*'3.Thanh pham'!P$10,0)</f>
        <v>10467686</v>
      </c>
      <c r="V24" s="244">
        <f>ROUND('Dinh muc'!$G$16*'3.Thanh pham'!Q$10,0)</f>
        <v>10467686</v>
      </c>
      <c r="W24" s="244">
        <f t="shared" ref="W24" si="2">SUM(K24:V24)</f>
        <v>94209174</v>
      </c>
    </row>
    <row r="25" spans="2:24" outlineLevel="1" x14ac:dyDescent="0.25">
      <c r="B25" s="186">
        <v>19</v>
      </c>
      <c r="C25" s="186"/>
      <c r="D25" s="306">
        <v>6272002101</v>
      </c>
      <c r="E25" s="307" t="s">
        <v>238</v>
      </c>
      <c r="F25" s="307" t="s">
        <v>237</v>
      </c>
      <c r="G25" s="307" t="s">
        <v>401</v>
      </c>
      <c r="H25" s="306"/>
      <c r="I25" s="195"/>
      <c r="J25" s="244"/>
      <c r="K25" s="189">
        <f>SUM('Dinh muc'!$G$15:$G$16)*'3.Thanh pham'!F$10</f>
        <v>0</v>
      </c>
      <c r="L25" s="189">
        <f>SUM('Dinh muc'!$G$15:$G$16)*'3.Thanh pham'!G$10</f>
        <v>0</v>
      </c>
      <c r="M25" s="189">
        <f>SUM('Dinh muc'!$G$15:$G$16)*'3.Thanh pham'!H$10</f>
        <v>0</v>
      </c>
      <c r="N25" s="189">
        <f>SUM('Dinh muc'!$G$15:$G$16)*'3.Thanh pham'!I$10</f>
        <v>23163686.399999999</v>
      </c>
      <c r="O25" s="189">
        <f>SUM('Dinh muc'!$G$15:$G$16)*'3.Thanh pham'!J$10</f>
        <v>23163686.399999999</v>
      </c>
      <c r="P25" s="189">
        <f>SUM('Dinh muc'!$G$15:$G$16)*'3.Thanh pham'!K$10</f>
        <v>23163686.399999999</v>
      </c>
      <c r="Q25" s="189">
        <f>SUM('Dinh muc'!$G$15:$G$16)*'3.Thanh pham'!L$10</f>
        <v>23163686.399999999</v>
      </c>
      <c r="R25" s="189">
        <f>SUM('Dinh muc'!$G$15:$G$16)*'3.Thanh pham'!M$10</f>
        <v>23163686.399999999</v>
      </c>
      <c r="S25" s="189">
        <f>SUM('Dinh muc'!$G$15:$G$16)*'3.Thanh pham'!N$10</f>
        <v>23163686.399999999</v>
      </c>
      <c r="T25" s="189">
        <f>SUM('Dinh muc'!$G$15:$G$16)*'3.Thanh pham'!O$10</f>
        <v>23163686.399999999</v>
      </c>
      <c r="U25" s="189">
        <f>SUM('Dinh muc'!$G$15:$G$16)*'3.Thanh pham'!P$10</f>
        <v>23163686.399999999</v>
      </c>
      <c r="V25" s="189">
        <f>SUM('Dinh muc'!$G$15:$G$16)*'3.Thanh pham'!Q$10</f>
        <v>23163686.399999999</v>
      </c>
      <c r="W25" s="189">
        <f t="shared" si="1"/>
        <v>208473177.60000002</v>
      </c>
    </row>
    <row r="26" spans="2:24" outlineLevel="1" x14ac:dyDescent="0.25">
      <c r="B26" s="186">
        <v>20</v>
      </c>
      <c r="C26" s="186"/>
      <c r="D26" s="306">
        <v>6272003502</v>
      </c>
      <c r="E26" s="307" t="s">
        <v>239</v>
      </c>
      <c r="F26" s="307" t="s">
        <v>240</v>
      </c>
      <c r="G26" s="307" t="s">
        <v>241</v>
      </c>
      <c r="H26" s="306" t="s">
        <v>159</v>
      </c>
      <c r="I26" s="195" t="s">
        <v>235</v>
      </c>
      <c r="J26" s="244"/>
      <c r="K26" s="189">
        <f>'Dinh muc'!$G$21*'3.Thanh pham'!F$10</f>
        <v>0</v>
      </c>
      <c r="L26" s="189">
        <f>'Dinh muc'!$G$21*'3.Thanh pham'!G$10</f>
        <v>0</v>
      </c>
      <c r="M26" s="189">
        <f>'Dinh muc'!$G$21*'3.Thanh pham'!H$10</f>
        <v>0</v>
      </c>
      <c r="N26" s="189">
        <f>'Dinh muc'!$G$21*'3.Thanh pham'!I$10</f>
        <v>35190000</v>
      </c>
      <c r="O26" s="189">
        <f>'Dinh muc'!$G$21*'3.Thanh pham'!J$10</f>
        <v>35190000</v>
      </c>
      <c r="P26" s="189">
        <f>'Dinh muc'!$G$21*'3.Thanh pham'!K$10</f>
        <v>35190000</v>
      </c>
      <c r="Q26" s="189">
        <f>'Dinh muc'!$G$21*'3.Thanh pham'!L$10</f>
        <v>35190000</v>
      </c>
      <c r="R26" s="189">
        <f>'Dinh muc'!$G$21*'3.Thanh pham'!M$10</f>
        <v>35190000</v>
      </c>
      <c r="S26" s="189">
        <f>'Dinh muc'!$G$21*'3.Thanh pham'!N$10</f>
        <v>35190000</v>
      </c>
      <c r="T26" s="189">
        <f>'Dinh muc'!$G$21*'3.Thanh pham'!O$10</f>
        <v>35190000</v>
      </c>
      <c r="U26" s="189">
        <f>'Dinh muc'!$G$21*'3.Thanh pham'!P$10</f>
        <v>35190000</v>
      </c>
      <c r="V26" s="189">
        <f>'Dinh muc'!$G$21*'3.Thanh pham'!Q$10</f>
        <v>35190000</v>
      </c>
      <c r="W26" s="189">
        <f t="shared" si="1"/>
        <v>316710000</v>
      </c>
    </row>
    <row r="27" spans="2:24" outlineLevel="1" x14ac:dyDescent="0.25">
      <c r="B27" s="190"/>
      <c r="C27" s="190"/>
      <c r="D27" s="191"/>
      <c r="E27" s="192"/>
      <c r="F27" s="192"/>
      <c r="G27" s="192"/>
      <c r="H27" s="191"/>
      <c r="I27" s="196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</row>
    <row r="28" spans="2:24" s="9" customFormat="1" ht="18" customHeight="1" x14ac:dyDescent="0.35">
      <c r="B28" s="363" t="s">
        <v>2</v>
      </c>
      <c r="C28" s="171"/>
      <c r="D28" s="173"/>
      <c r="E28" s="174" t="s">
        <v>243</v>
      </c>
      <c r="F28" s="175"/>
      <c r="G28" s="174"/>
      <c r="H28" s="174"/>
      <c r="I28" s="197"/>
      <c r="J28" s="181">
        <f>SUM(J29:J57)</f>
        <v>0</v>
      </c>
      <c r="K28" s="181">
        <f>SUM(K29:K57)</f>
        <v>0</v>
      </c>
      <c r="L28" s="364">
        <f t="shared" ref="L28:W28" si="3">SUM(L29:L57)</f>
        <v>0</v>
      </c>
      <c r="M28" s="364">
        <f t="shared" si="3"/>
        <v>0</v>
      </c>
      <c r="N28" s="364">
        <f t="shared" si="3"/>
        <v>130308063.99305555</v>
      </c>
      <c r="O28" s="364">
        <f t="shared" si="3"/>
        <v>130308063.99305555</v>
      </c>
      <c r="P28" s="364">
        <f t="shared" si="3"/>
        <v>130308063.99305555</v>
      </c>
      <c r="Q28" s="364">
        <f t="shared" si="3"/>
        <v>130308063.99305555</v>
      </c>
      <c r="R28" s="364">
        <f t="shared" si="3"/>
        <v>130308063.99305555</v>
      </c>
      <c r="S28" s="364">
        <f t="shared" si="3"/>
        <v>130308063.99305555</v>
      </c>
      <c r="T28" s="364">
        <f t="shared" si="3"/>
        <v>130308063.99305555</v>
      </c>
      <c r="U28" s="364">
        <f t="shared" si="3"/>
        <v>130308063.99305555</v>
      </c>
      <c r="V28" s="364">
        <f t="shared" si="3"/>
        <v>130308063.99305555</v>
      </c>
      <c r="W28" s="364">
        <f t="shared" si="3"/>
        <v>1172772575.9375</v>
      </c>
    </row>
    <row r="29" spans="2:24" outlineLevel="1" x14ac:dyDescent="0.25">
      <c r="B29" s="182">
        <v>1</v>
      </c>
      <c r="C29" s="182"/>
      <c r="D29" s="183">
        <v>6271002604</v>
      </c>
      <c r="E29" s="184" t="s">
        <v>164</v>
      </c>
      <c r="F29" s="184" t="s">
        <v>167</v>
      </c>
      <c r="G29" s="184" t="s">
        <v>164</v>
      </c>
      <c r="H29" s="183" t="s">
        <v>154</v>
      </c>
      <c r="I29" s="194" t="s">
        <v>228</v>
      </c>
      <c r="J29" s="185"/>
      <c r="K29" s="185">
        <f>SUM('Dinh muc'!$G$11:$G$12)*'3.Thanh pham'!F$10</f>
        <v>0</v>
      </c>
      <c r="L29" s="185">
        <f>SUM('Dinh muc'!$G$11:$G$12)*'3.Thanh pham'!G$10</f>
        <v>0</v>
      </c>
      <c r="M29" s="185">
        <f>SUM('Dinh muc'!$G$11:$G$12)*'3.Thanh pham'!H$10</f>
        <v>0</v>
      </c>
      <c r="N29" s="185">
        <f>SUM('Dinh muc'!$G$11:$G$12)*'3.Thanh pham'!I$10</f>
        <v>74738500</v>
      </c>
      <c r="O29" s="185">
        <f>SUM('Dinh muc'!$G$11:$G$12)*'3.Thanh pham'!J$10</f>
        <v>74738500</v>
      </c>
      <c r="P29" s="185">
        <f>SUM('Dinh muc'!$G$11:$G$12)*'3.Thanh pham'!K$10</f>
        <v>74738500</v>
      </c>
      <c r="Q29" s="185">
        <f>SUM('Dinh muc'!$G$11:$G$12)*'3.Thanh pham'!L$10</f>
        <v>74738500</v>
      </c>
      <c r="R29" s="185">
        <f>SUM('Dinh muc'!$G$11:$G$12)*'3.Thanh pham'!M$10</f>
        <v>74738500</v>
      </c>
      <c r="S29" s="185">
        <f>SUM('Dinh muc'!$G$11:$G$12)*'3.Thanh pham'!N$10</f>
        <v>74738500</v>
      </c>
      <c r="T29" s="185">
        <f>SUM('Dinh muc'!$G$11:$G$12)*'3.Thanh pham'!O$10</f>
        <v>74738500</v>
      </c>
      <c r="U29" s="185">
        <f>SUM('Dinh muc'!$G$11:$G$12)*'3.Thanh pham'!P$10</f>
        <v>74738500</v>
      </c>
      <c r="V29" s="185">
        <f>SUM('Dinh muc'!$G$11:$G$12)*'3.Thanh pham'!Q$10</f>
        <v>74738500</v>
      </c>
      <c r="W29" s="185">
        <f t="shared" ref="W29:W55" si="4">SUM(K29:V29)</f>
        <v>672646500</v>
      </c>
    </row>
    <row r="30" spans="2:24" outlineLevel="1" x14ac:dyDescent="0.25">
      <c r="B30" s="186">
        <v>2</v>
      </c>
      <c r="C30" s="186"/>
      <c r="D30" s="187">
        <v>6271002605</v>
      </c>
      <c r="E30" s="188" t="s">
        <v>166</v>
      </c>
      <c r="F30" s="188" t="s">
        <v>167</v>
      </c>
      <c r="G30" s="188" t="s">
        <v>166</v>
      </c>
      <c r="H30" s="187" t="s">
        <v>154</v>
      </c>
      <c r="I30" s="195" t="s">
        <v>228</v>
      </c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 t="shared" si="4"/>
        <v>0</v>
      </c>
    </row>
    <row r="31" spans="2:24" outlineLevel="1" x14ac:dyDescent="0.25">
      <c r="B31" s="186">
        <v>3</v>
      </c>
      <c r="C31" s="186"/>
      <c r="D31" s="187">
        <v>6271002802</v>
      </c>
      <c r="E31" s="188" t="s">
        <v>168</v>
      </c>
      <c r="F31" s="188" t="s">
        <v>169</v>
      </c>
      <c r="G31" s="188" t="s">
        <v>168</v>
      </c>
      <c r="H31" s="187" t="s">
        <v>154</v>
      </c>
      <c r="I31" s="195" t="s">
        <v>228</v>
      </c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>
        <f t="shared" si="4"/>
        <v>0</v>
      </c>
    </row>
    <row r="32" spans="2:24" outlineLevel="1" x14ac:dyDescent="0.25">
      <c r="B32" s="186">
        <v>4</v>
      </c>
      <c r="C32" s="186"/>
      <c r="D32" s="187">
        <v>6271002806</v>
      </c>
      <c r="E32" s="188" t="s">
        <v>175</v>
      </c>
      <c r="F32" s="188" t="s">
        <v>167</v>
      </c>
      <c r="G32" s="188" t="s">
        <v>175</v>
      </c>
      <c r="H32" s="187" t="s">
        <v>154</v>
      </c>
      <c r="I32" s="195" t="s">
        <v>228</v>
      </c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>
        <f t="shared" si="4"/>
        <v>0</v>
      </c>
    </row>
    <row r="33" spans="2:23" outlineLevel="1" x14ac:dyDescent="0.25">
      <c r="B33" s="186">
        <v>5</v>
      </c>
      <c r="C33" s="186"/>
      <c r="D33" s="187">
        <v>6271007202</v>
      </c>
      <c r="E33" s="188" t="s">
        <v>170</v>
      </c>
      <c r="F33" s="188" t="s">
        <v>169</v>
      </c>
      <c r="G33" s="188" t="s">
        <v>170</v>
      </c>
      <c r="H33" s="187" t="s">
        <v>154</v>
      </c>
      <c r="I33" s="195" t="s">
        <v>228</v>
      </c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>
        <f t="shared" si="4"/>
        <v>0</v>
      </c>
    </row>
    <row r="34" spans="2:23" outlineLevel="1" x14ac:dyDescent="0.25">
      <c r="B34" s="186">
        <v>6</v>
      </c>
      <c r="C34" s="186"/>
      <c r="D34" s="306">
        <v>6271003202</v>
      </c>
      <c r="E34" s="307" t="s">
        <v>171</v>
      </c>
      <c r="F34" s="307" t="s">
        <v>169</v>
      </c>
      <c r="G34" s="307" t="s">
        <v>171</v>
      </c>
      <c r="H34" s="306" t="s">
        <v>154</v>
      </c>
      <c r="I34" s="195" t="s">
        <v>228</v>
      </c>
      <c r="J34" s="244"/>
      <c r="K34" s="244">
        <f>'Dinh muc'!$G$13*'3.Thanh pham'!F$10</f>
        <v>0</v>
      </c>
      <c r="L34" s="244">
        <f>'Dinh muc'!$G$13*'3.Thanh pham'!G$10</f>
        <v>0</v>
      </c>
      <c r="M34" s="244">
        <f>'Dinh muc'!$G$13*'3.Thanh pham'!H$10</f>
        <v>0</v>
      </c>
      <c r="N34" s="244">
        <f>'Dinh muc'!$G$13*'3.Thanh pham'!I$10</f>
        <v>5750000</v>
      </c>
      <c r="O34" s="244">
        <f>'Dinh muc'!$G$13*'3.Thanh pham'!J$10</f>
        <v>5750000</v>
      </c>
      <c r="P34" s="244">
        <f>'Dinh muc'!$G$13*'3.Thanh pham'!K$10</f>
        <v>5750000</v>
      </c>
      <c r="Q34" s="244">
        <f>'Dinh muc'!$G$13*'3.Thanh pham'!L$10</f>
        <v>5750000</v>
      </c>
      <c r="R34" s="244">
        <f>'Dinh muc'!$G$13*'3.Thanh pham'!M$10</f>
        <v>5750000</v>
      </c>
      <c r="S34" s="244">
        <f>'Dinh muc'!$G$13*'3.Thanh pham'!N$10</f>
        <v>5750000</v>
      </c>
      <c r="T34" s="244">
        <f>'Dinh muc'!$G$13*'3.Thanh pham'!O$10</f>
        <v>5750000</v>
      </c>
      <c r="U34" s="244">
        <f>'Dinh muc'!$G$13*'3.Thanh pham'!P$10</f>
        <v>5750000</v>
      </c>
      <c r="V34" s="244">
        <f>'Dinh muc'!$G$13*'3.Thanh pham'!Q$10</f>
        <v>5750000</v>
      </c>
      <c r="W34" s="244">
        <f t="shared" si="4"/>
        <v>51750000</v>
      </c>
    </row>
    <row r="35" spans="2:23" outlineLevel="1" x14ac:dyDescent="0.25">
      <c r="B35" s="186">
        <v>7</v>
      </c>
      <c r="C35" s="186"/>
      <c r="D35" s="306">
        <v>6271002603</v>
      </c>
      <c r="E35" s="307" t="s">
        <v>172</v>
      </c>
      <c r="F35" s="307" t="s">
        <v>167</v>
      </c>
      <c r="G35" s="307" t="s">
        <v>172</v>
      </c>
      <c r="H35" s="306" t="s">
        <v>154</v>
      </c>
      <c r="I35" s="195" t="s">
        <v>228</v>
      </c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>
        <f t="shared" si="4"/>
        <v>0</v>
      </c>
    </row>
    <row r="36" spans="2:23" outlineLevel="1" x14ac:dyDescent="0.25">
      <c r="B36" s="186">
        <v>8</v>
      </c>
      <c r="C36" s="186"/>
      <c r="D36" s="306">
        <v>6271003401</v>
      </c>
      <c r="E36" s="307" t="s">
        <v>173</v>
      </c>
      <c r="F36" s="307" t="s">
        <v>169</v>
      </c>
      <c r="G36" s="307" t="s">
        <v>173</v>
      </c>
      <c r="H36" s="306" t="s">
        <v>154</v>
      </c>
      <c r="I36" s="195" t="s">
        <v>228</v>
      </c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>
        <f t="shared" si="4"/>
        <v>0</v>
      </c>
    </row>
    <row r="37" spans="2:23" outlineLevel="1" x14ac:dyDescent="0.25">
      <c r="B37" s="186">
        <v>9</v>
      </c>
      <c r="C37" s="186"/>
      <c r="D37" s="306">
        <v>6271002703</v>
      </c>
      <c r="E37" s="307" t="s">
        <v>174</v>
      </c>
      <c r="F37" s="307" t="s">
        <v>167</v>
      </c>
      <c r="G37" s="307" t="s">
        <v>174</v>
      </c>
      <c r="H37" s="306" t="s">
        <v>154</v>
      </c>
      <c r="I37" s="195" t="s">
        <v>228</v>
      </c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>
        <f t="shared" si="4"/>
        <v>0</v>
      </c>
    </row>
    <row r="38" spans="2:23" outlineLevel="1" x14ac:dyDescent="0.25">
      <c r="B38" s="186">
        <v>10</v>
      </c>
      <c r="C38" s="186"/>
      <c r="D38" s="306" t="s">
        <v>343</v>
      </c>
      <c r="E38" s="307" t="s">
        <v>344</v>
      </c>
      <c r="F38" s="307" t="s">
        <v>345</v>
      </c>
      <c r="G38" s="307" t="s">
        <v>344</v>
      </c>
      <c r="H38" s="306" t="s">
        <v>154</v>
      </c>
      <c r="I38" s="195" t="s">
        <v>246</v>
      </c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>
        <f t="shared" si="4"/>
        <v>0</v>
      </c>
    </row>
    <row r="39" spans="2:23" outlineLevel="1" x14ac:dyDescent="0.25">
      <c r="B39" s="186">
        <v>11</v>
      </c>
      <c r="C39" s="186"/>
      <c r="D39" s="306">
        <v>6271003001</v>
      </c>
      <c r="E39" s="307" t="s">
        <v>229</v>
      </c>
      <c r="F39" s="307" t="s">
        <v>169</v>
      </c>
      <c r="G39" s="307" t="s">
        <v>229</v>
      </c>
      <c r="H39" s="306" t="s">
        <v>154</v>
      </c>
      <c r="I39" s="195" t="s">
        <v>230</v>
      </c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>
        <f t="shared" si="4"/>
        <v>0</v>
      </c>
    </row>
    <row r="40" spans="2:23" outlineLevel="1" x14ac:dyDescent="0.25">
      <c r="B40" s="186">
        <v>12</v>
      </c>
      <c r="C40" s="186"/>
      <c r="D40" s="306" t="s">
        <v>276</v>
      </c>
      <c r="E40" s="307" t="s">
        <v>231</v>
      </c>
      <c r="F40" s="307" t="s">
        <v>169</v>
      </c>
      <c r="G40" s="307" t="s">
        <v>232</v>
      </c>
      <c r="H40" s="306" t="s">
        <v>154</v>
      </c>
      <c r="I40" s="195" t="s">
        <v>230</v>
      </c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>
        <f t="shared" si="4"/>
        <v>0</v>
      </c>
    </row>
    <row r="41" spans="2:23" outlineLevel="1" x14ac:dyDescent="0.25">
      <c r="B41" s="186">
        <v>13</v>
      </c>
      <c r="C41" s="186"/>
      <c r="D41" s="306">
        <v>6273000100</v>
      </c>
      <c r="E41" s="307" t="s">
        <v>244</v>
      </c>
      <c r="F41" s="307" t="s">
        <v>245</v>
      </c>
      <c r="G41" s="307" t="s">
        <v>244</v>
      </c>
      <c r="H41" s="306" t="s">
        <v>158</v>
      </c>
      <c r="I41" s="195" t="s">
        <v>246</v>
      </c>
      <c r="J41" s="244"/>
      <c r="K41" s="244"/>
      <c r="L41" s="244"/>
      <c r="M41" s="244"/>
      <c r="N41" s="244">
        <f>2*750*26500/12</f>
        <v>3312500</v>
      </c>
      <c r="O41" s="244">
        <f t="shared" ref="O41:V41" si="5">2*750*26500/12</f>
        <v>3312500</v>
      </c>
      <c r="P41" s="244">
        <f t="shared" si="5"/>
        <v>3312500</v>
      </c>
      <c r="Q41" s="244">
        <f t="shared" si="5"/>
        <v>3312500</v>
      </c>
      <c r="R41" s="244">
        <f t="shared" si="5"/>
        <v>3312500</v>
      </c>
      <c r="S41" s="244">
        <f t="shared" si="5"/>
        <v>3312500</v>
      </c>
      <c r="T41" s="244">
        <f t="shared" si="5"/>
        <v>3312500</v>
      </c>
      <c r="U41" s="244">
        <f t="shared" si="5"/>
        <v>3312500</v>
      </c>
      <c r="V41" s="244">
        <f t="shared" si="5"/>
        <v>3312500</v>
      </c>
      <c r="W41" s="244">
        <f t="shared" si="4"/>
        <v>29812500</v>
      </c>
    </row>
    <row r="42" spans="2:23" outlineLevel="1" x14ac:dyDescent="0.25">
      <c r="B42" s="186">
        <v>14</v>
      </c>
      <c r="C42" s="186"/>
      <c r="D42" s="306">
        <v>6275001803</v>
      </c>
      <c r="E42" s="307" t="s">
        <v>247</v>
      </c>
      <c r="F42" s="307" t="s">
        <v>240</v>
      </c>
      <c r="G42" s="307" t="s">
        <v>247</v>
      </c>
      <c r="H42" s="306" t="s">
        <v>158</v>
      </c>
      <c r="I42" s="195" t="s">
        <v>246</v>
      </c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>
        <f t="shared" si="4"/>
        <v>0</v>
      </c>
    </row>
    <row r="43" spans="2:23" outlineLevel="1" x14ac:dyDescent="0.25">
      <c r="B43" s="186">
        <v>15</v>
      </c>
      <c r="C43" s="186"/>
      <c r="D43" s="306">
        <v>6277002804</v>
      </c>
      <c r="E43" s="307" t="s">
        <v>248</v>
      </c>
      <c r="F43" s="307" t="s">
        <v>249</v>
      </c>
      <c r="G43" s="307" t="s">
        <v>248</v>
      </c>
      <c r="H43" s="306" t="s">
        <v>154</v>
      </c>
      <c r="I43" s="195" t="s">
        <v>246</v>
      </c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>
        <f t="shared" si="4"/>
        <v>0</v>
      </c>
    </row>
    <row r="44" spans="2:23" outlineLevel="1" x14ac:dyDescent="0.25">
      <c r="B44" s="186">
        <v>16</v>
      </c>
      <c r="C44" s="186"/>
      <c r="D44" s="306">
        <v>6277003702</v>
      </c>
      <c r="E44" s="307" t="s">
        <v>250</v>
      </c>
      <c r="F44" s="307" t="s">
        <v>251</v>
      </c>
      <c r="G44" s="307" t="s">
        <v>250</v>
      </c>
      <c r="H44" s="306" t="s">
        <v>153</v>
      </c>
      <c r="I44" s="195" t="s">
        <v>230</v>
      </c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>
        <f t="shared" si="4"/>
        <v>0</v>
      </c>
    </row>
    <row r="45" spans="2:23" x14ac:dyDescent="0.25">
      <c r="B45" s="186">
        <v>17</v>
      </c>
      <c r="C45" s="186"/>
      <c r="D45" s="306">
        <v>6277005001</v>
      </c>
      <c r="E45" s="307" t="s">
        <v>252</v>
      </c>
      <c r="F45" s="307" t="s">
        <v>253</v>
      </c>
      <c r="G45" s="307" t="s">
        <v>252</v>
      </c>
      <c r="H45" s="306" t="s">
        <v>153</v>
      </c>
      <c r="I45" s="195" t="s">
        <v>235</v>
      </c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>
        <f t="shared" si="4"/>
        <v>0</v>
      </c>
    </row>
    <row r="46" spans="2:23" outlineLevel="1" x14ac:dyDescent="0.25">
      <c r="B46" s="186">
        <v>18</v>
      </c>
      <c r="C46" s="186"/>
      <c r="D46" s="306">
        <v>6278007201</v>
      </c>
      <c r="E46" s="307" t="s">
        <v>254</v>
      </c>
      <c r="F46" s="307" t="s">
        <v>249</v>
      </c>
      <c r="G46" s="307" t="s">
        <v>254</v>
      </c>
      <c r="H46" s="306" t="s">
        <v>158</v>
      </c>
      <c r="I46" s="195" t="s">
        <v>246</v>
      </c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>
        <f t="shared" si="4"/>
        <v>0</v>
      </c>
    </row>
    <row r="47" spans="2:23" outlineLevel="1" x14ac:dyDescent="0.25">
      <c r="B47" s="186">
        <v>19</v>
      </c>
      <c r="C47" s="186"/>
      <c r="D47" s="306" t="s">
        <v>313</v>
      </c>
      <c r="E47" s="307" t="s">
        <v>314</v>
      </c>
      <c r="F47" s="307" t="s">
        <v>256</v>
      </c>
      <c r="G47" s="307" t="s">
        <v>355</v>
      </c>
      <c r="H47" s="306" t="s">
        <v>157</v>
      </c>
      <c r="I47" s="195" t="s">
        <v>246</v>
      </c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>
        <f t="shared" si="4"/>
        <v>0</v>
      </c>
    </row>
    <row r="48" spans="2:23" outlineLevel="1" x14ac:dyDescent="0.25">
      <c r="B48" s="186">
        <v>20</v>
      </c>
      <c r="C48" s="186"/>
      <c r="D48" s="306">
        <v>6273006501</v>
      </c>
      <c r="E48" s="307" t="s">
        <v>255</v>
      </c>
      <c r="F48" s="307" t="s">
        <v>256</v>
      </c>
      <c r="G48" s="307" t="s">
        <v>257</v>
      </c>
      <c r="H48" s="306" t="s">
        <v>157</v>
      </c>
      <c r="I48" s="195" t="s">
        <v>230</v>
      </c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>
        <f t="shared" si="4"/>
        <v>0</v>
      </c>
    </row>
    <row r="49" spans="2:23" outlineLevel="1" x14ac:dyDescent="0.25">
      <c r="B49" s="186">
        <v>21</v>
      </c>
      <c r="C49" s="186"/>
      <c r="D49" s="306" t="s">
        <v>258</v>
      </c>
      <c r="E49" s="307" t="s">
        <v>259</v>
      </c>
      <c r="F49" s="307" t="s">
        <v>260</v>
      </c>
      <c r="G49" s="307" t="s">
        <v>259</v>
      </c>
      <c r="H49" s="306" t="s">
        <v>153</v>
      </c>
      <c r="I49" s="195" t="s">
        <v>230</v>
      </c>
      <c r="J49" s="244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>
        <f t="shared" si="4"/>
        <v>0</v>
      </c>
    </row>
    <row r="50" spans="2:23" outlineLevel="1" x14ac:dyDescent="0.25">
      <c r="B50" s="186">
        <v>22</v>
      </c>
      <c r="C50" s="186"/>
      <c r="D50" s="306">
        <v>6277006501</v>
      </c>
      <c r="E50" s="307" t="s">
        <v>354</v>
      </c>
      <c r="F50" s="307" t="s">
        <v>256</v>
      </c>
      <c r="G50" s="307" t="s">
        <v>261</v>
      </c>
      <c r="H50" s="306" t="s">
        <v>157</v>
      </c>
      <c r="I50" s="195" t="s">
        <v>246</v>
      </c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>
        <f t="shared" si="4"/>
        <v>0</v>
      </c>
    </row>
    <row r="51" spans="2:23" x14ac:dyDescent="0.25">
      <c r="B51" s="186">
        <v>23</v>
      </c>
      <c r="C51" s="186"/>
      <c r="D51" s="306">
        <v>6273002001</v>
      </c>
      <c r="E51" s="307" t="s">
        <v>262</v>
      </c>
      <c r="F51" s="307" t="s">
        <v>256</v>
      </c>
      <c r="G51" s="307" t="s">
        <v>263</v>
      </c>
      <c r="H51" s="306" t="s">
        <v>156</v>
      </c>
      <c r="I51" s="195" t="s">
        <v>230</v>
      </c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>
        <f t="shared" si="4"/>
        <v>0</v>
      </c>
    </row>
    <row r="52" spans="2:23" outlineLevel="1" x14ac:dyDescent="0.25">
      <c r="B52" s="186">
        <v>24</v>
      </c>
      <c r="C52" s="186"/>
      <c r="D52" s="306">
        <v>6277002204</v>
      </c>
      <c r="E52" s="307" t="s">
        <v>264</v>
      </c>
      <c r="F52" s="307" t="s">
        <v>256</v>
      </c>
      <c r="G52" s="307" t="s">
        <v>265</v>
      </c>
      <c r="H52" s="306" t="s">
        <v>159</v>
      </c>
      <c r="I52" s="195" t="s">
        <v>230</v>
      </c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>
        <f t="shared" si="4"/>
        <v>0</v>
      </c>
    </row>
    <row r="53" spans="2:23" outlineLevel="1" x14ac:dyDescent="0.25">
      <c r="B53" s="186">
        <v>25</v>
      </c>
      <c r="C53" s="186"/>
      <c r="D53" s="306">
        <v>6277002301</v>
      </c>
      <c r="E53" s="307" t="s">
        <v>266</v>
      </c>
      <c r="F53" s="307" t="s">
        <v>267</v>
      </c>
      <c r="G53" s="307" t="s">
        <v>266</v>
      </c>
      <c r="H53" s="306" t="s">
        <v>155</v>
      </c>
      <c r="I53" s="195" t="s">
        <v>230</v>
      </c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>
        <f t="shared" si="4"/>
        <v>0</v>
      </c>
    </row>
    <row r="54" spans="2:23" outlineLevel="1" x14ac:dyDescent="0.25">
      <c r="B54" s="186">
        <v>26</v>
      </c>
      <c r="C54" s="186"/>
      <c r="D54" s="306">
        <v>6273001908</v>
      </c>
      <c r="E54" s="307" t="s">
        <v>268</v>
      </c>
      <c r="F54" s="307" t="s">
        <v>245</v>
      </c>
      <c r="G54" s="307" t="s">
        <v>268</v>
      </c>
      <c r="H54" s="306" t="s">
        <v>155</v>
      </c>
      <c r="I54" s="195" t="s">
        <v>230</v>
      </c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>
        <f t="shared" si="4"/>
        <v>0</v>
      </c>
    </row>
    <row r="55" spans="2:23" outlineLevel="1" x14ac:dyDescent="0.25">
      <c r="B55" s="186">
        <v>27</v>
      </c>
      <c r="C55" s="186"/>
      <c r="D55" s="309">
        <v>6277003803</v>
      </c>
      <c r="E55" s="310" t="s">
        <v>269</v>
      </c>
      <c r="F55" s="307" t="s">
        <v>270</v>
      </c>
      <c r="G55" s="307" t="s">
        <v>269</v>
      </c>
      <c r="H55" s="306"/>
      <c r="I55" s="195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>
        <f t="shared" si="4"/>
        <v>0</v>
      </c>
    </row>
    <row r="56" spans="2:23" x14ac:dyDescent="0.25">
      <c r="B56" s="186">
        <v>28</v>
      </c>
      <c r="C56" s="186"/>
      <c r="D56" s="306"/>
      <c r="E56" s="307" t="s">
        <v>271</v>
      </c>
      <c r="F56" s="307" t="s">
        <v>272</v>
      </c>
      <c r="G56" s="307" t="s">
        <v>271</v>
      </c>
      <c r="H56" s="306" t="s">
        <v>155</v>
      </c>
      <c r="I56" s="195" t="s">
        <v>273</v>
      </c>
      <c r="J56" s="244"/>
      <c r="K56" s="244">
        <f>'PB_TSCD DC'!AF27</f>
        <v>0</v>
      </c>
      <c r="L56" s="244">
        <f>'PB_TSCD DC'!AG27</f>
        <v>0</v>
      </c>
      <c r="M56" s="244">
        <f>'PB_TSCD DC'!AH27</f>
        <v>0</v>
      </c>
      <c r="N56" s="244">
        <f>'PB_TSCD DC'!AI27</f>
        <v>46507063.993055552</v>
      </c>
      <c r="O56" s="244">
        <f>'PB_TSCD DC'!AJ27</f>
        <v>46507063.993055552</v>
      </c>
      <c r="P56" s="244">
        <f>'PB_TSCD DC'!AK27</f>
        <v>46507063.993055552</v>
      </c>
      <c r="Q56" s="244">
        <f>'PB_TSCD DC'!AL27</f>
        <v>46507063.993055552</v>
      </c>
      <c r="R56" s="244">
        <f>'PB_TSCD DC'!AM27</f>
        <v>46507063.993055552</v>
      </c>
      <c r="S56" s="244">
        <f>'PB_TSCD DC'!AN27</f>
        <v>46507063.993055552</v>
      </c>
      <c r="T56" s="244">
        <f>'PB_TSCD DC'!AO27</f>
        <v>46507063.993055552</v>
      </c>
      <c r="U56" s="244">
        <f>'PB_TSCD DC'!AP27</f>
        <v>46507063.993055552</v>
      </c>
      <c r="V56" s="244">
        <f>'PB_TSCD DC'!AQ27</f>
        <v>46507063.993055552</v>
      </c>
      <c r="W56" s="244">
        <f t="shared" ref="W56" si="6">SUM(K56:V56)</f>
        <v>418563575.9375</v>
      </c>
    </row>
    <row r="57" spans="2:23" x14ac:dyDescent="0.25">
      <c r="B57" s="190"/>
      <c r="C57" s="190"/>
      <c r="D57" s="191"/>
      <c r="E57" s="192"/>
      <c r="F57" s="192"/>
      <c r="G57" s="192"/>
      <c r="H57" s="191"/>
      <c r="I57" s="196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</row>
    <row r="58" spans="2:23" s="9" customFormat="1" ht="13" x14ac:dyDescent="0.35">
      <c r="B58" s="229" t="s">
        <v>274</v>
      </c>
      <c r="C58" s="229"/>
      <c r="D58" s="365"/>
      <c r="E58" s="366" t="s">
        <v>275</v>
      </c>
      <c r="F58" s="367"/>
      <c r="G58" s="368"/>
      <c r="H58" s="368"/>
      <c r="I58" s="369"/>
      <c r="J58" s="181" t="e">
        <f>J28+#REF!</f>
        <v>#REF!</v>
      </c>
      <c r="K58" s="181">
        <f t="shared" ref="K58:W58" si="7">SUM(K5,K28)</f>
        <v>0</v>
      </c>
      <c r="L58" s="181">
        <f t="shared" si="7"/>
        <v>0</v>
      </c>
      <c r="M58" s="181">
        <f t="shared" si="7"/>
        <v>0</v>
      </c>
      <c r="N58" s="181">
        <f t="shared" si="7"/>
        <v>875050216.39305556</v>
      </c>
      <c r="O58" s="181">
        <f t="shared" si="7"/>
        <v>875050216.39305556</v>
      </c>
      <c r="P58" s="181">
        <f t="shared" si="7"/>
        <v>875050216.39305556</v>
      </c>
      <c r="Q58" s="181">
        <f t="shared" si="7"/>
        <v>875050216.39305556</v>
      </c>
      <c r="R58" s="181">
        <f t="shared" si="7"/>
        <v>875050216.39305556</v>
      </c>
      <c r="S58" s="181">
        <f t="shared" si="7"/>
        <v>875050216.39305556</v>
      </c>
      <c r="T58" s="181">
        <f t="shared" si="7"/>
        <v>875050216.39305556</v>
      </c>
      <c r="U58" s="181">
        <f t="shared" si="7"/>
        <v>875050216.39305556</v>
      </c>
      <c r="V58" s="181">
        <f t="shared" si="7"/>
        <v>875050216.39305556</v>
      </c>
      <c r="W58" s="181">
        <f t="shared" si="7"/>
        <v>7875451947.5375004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X58"/>
  <sheetViews>
    <sheetView workbookViewId="0">
      <selection activeCell="N6" sqref="N6"/>
    </sheetView>
  </sheetViews>
  <sheetFormatPr defaultColWidth="8.7265625" defaultRowHeight="12.5" outlineLevelRow="2" outlineLevelCol="1" x14ac:dyDescent="0.35"/>
  <cols>
    <col min="1" max="1" width="1.453125" style="8" customWidth="1"/>
    <col min="2" max="2" width="4.7265625" style="11" customWidth="1"/>
    <col min="3" max="3" width="7.26953125" style="11" hidden="1" customWidth="1" outlineLevel="1"/>
    <col min="4" max="4" width="14.54296875" style="123" hidden="1" customWidth="1" outlineLevel="1"/>
    <col min="5" max="5" width="41.7265625" style="11" customWidth="1" collapsed="1"/>
    <col min="6" max="6" width="32.54296875" style="11" hidden="1" customWidth="1" outlineLevel="1"/>
    <col min="7" max="7" width="45.26953125" style="123" customWidth="1" collapsed="1"/>
    <col min="8" max="8" width="24.1796875" style="123" hidden="1" customWidth="1" outlineLevel="1"/>
    <col min="9" max="9" width="15.26953125" style="8" hidden="1" customWidth="1" outlineLevel="1"/>
    <col min="10" max="10" width="9.26953125" style="15" hidden="1" customWidth="1" outlineLevel="1"/>
    <col min="11" max="11" width="8.1796875" style="15" customWidth="1" collapsed="1"/>
    <col min="12" max="13" width="5.7265625" style="15" customWidth="1" outlineLevel="1"/>
    <col min="14" max="22" width="11.1796875" style="15" customWidth="1" outlineLevel="1"/>
    <col min="23" max="23" width="13.26953125" style="15" customWidth="1" outlineLevel="1"/>
    <col min="24" max="24" width="2.54296875" style="8" customWidth="1"/>
    <col min="25" max="16384" width="8.7265625" style="8"/>
  </cols>
  <sheetData>
    <row r="1" spans="2:23" x14ac:dyDescent="0.35">
      <c r="B1" s="122"/>
      <c r="C1" s="122"/>
      <c r="D1" s="122"/>
      <c r="E1" s="122"/>
      <c r="F1" s="122"/>
    </row>
    <row r="2" spans="2:23" x14ac:dyDescent="0.35">
      <c r="D2" s="2"/>
      <c r="E2" s="1"/>
      <c r="F2" s="1"/>
      <c r="G2" s="1"/>
    </row>
    <row r="3" spans="2:23" ht="13" x14ac:dyDescent="0.35">
      <c r="B3" s="55" t="s">
        <v>223</v>
      </c>
      <c r="C3" s="55"/>
      <c r="D3" s="72"/>
      <c r="E3" s="55"/>
      <c r="F3" s="55"/>
      <c r="G3" s="55"/>
      <c r="W3" s="15" t="s">
        <v>429</v>
      </c>
    </row>
    <row r="4" spans="2:23" ht="29" x14ac:dyDescent="0.35">
      <c r="B4" s="124" t="s">
        <v>0</v>
      </c>
      <c r="C4" s="124" t="s">
        <v>224</v>
      </c>
      <c r="D4" s="125" t="s">
        <v>161</v>
      </c>
      <c r="E4" s="126" t="s">
        <v>162</v>
      </c>
      <c r="F4" s="172" t="s">
        <v>163</v>
      </c>
      <c r="G4" s="344" t="s">
        <v>225</v>
      </c>
      <c r="H4" s="344" t="s">
        <v>152</v>
      </c>
      <c r="I4" s="362" t="s">
        <v>226</v>
      </c>
      <c r="J4" s="224" t="s">
        <v>227</v>
      </c>
      <c r="K4" s="224" t="s">
        <v>10</v>
      </c>
      <c r="L4" s="224" t="s">
        <v>11</v>
      </c>
      <c r="M4" s="224" t="s">
        <v>12</v>
      </c>
      <c r="N4" s="224" t="s">
        <v>13</v>
      </c>
      <c r="O4" s="224" t="s">
        <v>14</v>
      </c>
      <c r="P4" s="224" t="s">
        <v>15</v>
      </c>
      <c r="Q4" s="224" t="s">
        <v>16</v>
      </c>
      <c r="R4" s="224" t="s">
        <v>17</v>
      </c>
      <c r="S4" s="224" t="s">
        <v>18</v>
      </c>
      <c r="T4" s="224" t="s">
        <v>19</v>
      </c>
      <c r="U4" s="224" t="s">
        <v>20</v>
      </c>
      <c r="V4" s="224" t="s">
        <v>21</v>
      </c>
      <c r="W4" s="224" t="s">
        <v>363</v>
      </c>
    </row>
    <row r="5" spans="2:23" s="9" customFormat="1" ht="23.5" customHeight="1" x14ac:dyDescent="0.35">
      <c r="B5" s="359" t="s">
        <v>25</v>
      </c>
      <c r="C5" s="171"/>
      <c r="D5" s="173"/>
      <c r="E5" s="174" t="s">
        <v>32</v>
      </c>
      <c r="F5" s="175"/>
      <c r="G5" s="174"/>
      <c r="H5" s="174"/>
      <c r="I5" s="197"/>
      <c r="J5" s="181">
        <f t="shared" ref="J5:V5" si="0">SUM(J6:J27)</f>
        <v>0</v>
      </c>
      <c r="K5" s="402">
        <f t="shared" si="0"/>
        <v>0</v>
      </c>
      <c r="L5" s="402">
        <f t="shared" si="0"/>
        <v>0</v>
      </c>
      <c r="M5" s="402">
        <f t="shared" si="0"/>
        <v>0</v>
      </c>
      <c r="N5" s="402">
        <f>SUM(N6:N27)</f>
        <v>5231</v>
      </c>
      <c r="O5" s="402">
        <f t="shared" si="0"/>
        <v>5231</v>
      </c>
      <c r="P5" s="402">
        <f t="shared" si="0"/>
        <v>5231</v>
      </c>
      <c r="Q5" s="402">
        <f t="shared" si="0"/>
        <v>5231</v>
      </c>
      <c r="R5" s="402">
        <f t="shared" si="0"/>
        <v>5231</v>
      </c>
      <c r="S5" s="402">
        <f t="shared" si="0"/>
        <v>5231</v>
      </c>
      <c r="T5" s="402">
        <f t="shared" si="0"/>
        <v>5231</v>
      </c>
      <c r="U5" s="402">
        <f t="shared" si="0"/>
        <v>5231</v>
      </c>
      <c r="V5" s="402">
        <f t="shared" si="0"/>
        <v>5231</v>
      </c>
      <c r="W5" s="402">
        <f>SUM(W6:W27)</f>
        <v>5231</v>
      </c>
    </row>
    <row r="6" spans="2:23" outlineLevel="1" x14ac:dyDescent="0.25">
      <c r="B6" s="182">
        <v>1</v>
      </c>
      <c r="C6" s="182"/>
      <c r="D6" s="183">
        <v>6220002601</v>
      </c>
      <c r="E6" s="184" t="s">
        <v>176</v>
      </c>
      <c r="F6" s="184" t="s">
        <v>165</v>
      </c>
      <c r="G6" s="184" t="s">
        <v>176</v>
      </c>
      <c r="H6" s="183" t="s">
        <v>154</v>
      </c>
      <c r="I6" s="194" t="s">
        <v>228</v>
      </c>
      <c r="J6" s="185"/>
      <c r="K6" s="189">
        <f>'Dinh muc'!$G$8*'3.Thanh pham'!F$10</f>
        <v>0</v>
      </c>
      <c r="L6" s="189">
        <f>'Dinh muc'!$G$8*'3.Thanh pham'!G$10</f>
        <v>0</v>
      </c>
      <c r="M6" s="189">
        <f>'Dinh muc'!$G$8*'3.Thanh pham'!H$10</f>
        <v>0</v>
      </c>
      <c r="N6" s="397">
        <f>ROUND(CPSX!N6/'4.Doanh thu'!I$11,0)</f>
        <v>304</v>
      </c>
      <c r="O6" s="397">
        <f>ROUND(CPSX!O6/'4.Doanh thu'!J$11,0)</f>
        <v>304</v>
      </c>
      <c r="P6" s="397">
        <f>ROUND(CPSX!P6/'4.Doanh thu'!K$11,0)</f>
        <v>304</v>
      </c>
      <c r="Q6" s="397">
        <f>ROUND(CPSX!Q6/'4.Doanh thu'!L$11,0)</f>
        <v>304</v>
      </c>
      <c r="R6" s="397">
        <f>ROUND(CPSX!R6/'4.Doanh thu'!M$11,0)</f>
        <v>304</v>
      </c>
      <c r="S6" s="397">
        <f>ROUND(CPSX!S6/'4.Doanh thu'!N$11,0)</f>
        <v>304</v>
      </c>
      <c r="T6" s="397">
        <f>ROUND(CPSX!T6/'4.Doanh thu'!O$11,0)</f>
        <v>304</v>
      </c>
      <c r="U6" s="397">
        <f>ROUND(CPSX!U6/'4.Doanh thu'!P$11,0)</f>
        <v>304</v>
      </c>
      <c r="V6" s="397">
        <f>ROUND(CPSX!V6/'4.Doanh thu'!Q$11,0)</f>
        <v>304</v>
      </c>
      <c r="W6" s="397">
        <f>AVERAGE(N6:V6)</f>
        <v>304</v>
      </c>
    </row>
    <row r="7" spans="2:23" outlineLevel="1" x14ac:dyDescent="0.25">
      <c r="B7" s="186">
        <v>2</v>
      </c>
      <c r="C7" s="186"/>
      <c r="D7" s="306">
        <v>6220002602</v>
      </c>
      <c r="E7" s="307" t="s">
        <v>177</v>
      </c>
      <c r="F7" s="307" t="s">
        <v>165</v>
      </c>
      <c r="G7" s="307" t="s">
        <v>177</v>
      </c>
      <c r="H7" s="306" t="s">
        <v>154</v>
      </c>
      <c r="I7" s="195" t="s">
        <v>228</v>
      </c>
      <c r="J7" s="244"/>
      <c r="K7" s="189"/>
      <c r="L7" s="189"/>
      <c r="M7" s="189"/>
      <c r="N7" s="397">
        <f>ROUND(CPSX!N7/'4.Doanh thu'!I$11,0)</f>
        <v>0</v>
      </c>
      <c r="O7" s="397">
        <f>ROUND(CPSX!O7/'4.Doanh thu'!J$11,0)</f>
        <v>0</v>
      </c>
      <c r="P7" s="397">
        <f>ROUND(CPSX!P7/'4.Doanh thu'!K$11,0)</f>
        <v>0</v>
      </c>
      <c r="Q7" s="397">
        <f>ROUND(CPSX!Q7/'4.Doanh thu'!L$11,0)</f>
        <v>0</v>
      </c>
      <c r="R7" s="397">
        <f>ROUND(CPSX!R7/'4.Doanh thu'!M$11,0)</f>
        <v>0</v>
      </c>
      <c r="S7" s="397">
        <f>ROUND(CPSX!S7/'4.Doanh thu'!N$11,0)</f>
        <v>0</v>
      </c>
      <c r="T7" s="397">
        <f>ROUND(CPSX!T7/'4.Doanh thu'!O$11,0)</f>
        <v>0</v>
      </c>
      <c r="U7" s="397">
        <f>ROUND(CPSX!U7/'4.Doanh thu'!P$11,0)</f>
        <v>0</v>
      </c>
      <c r="V7" s="397">
        <f>ROUND(CPSX!V7/'4.Doanh thu'!Q$11,0)</f>
        <v>0</v>
      </c>
      <c r="W7" s="397">
        <f t="shared" ref="W7:W26" si="1">AVERAGE(N7:V7)</f>
        <v>0</v>
      </c>
    </row>
    <row r="8" spans="2:23" outlineLevel="1" x14ac:dyDescent="0.25">
      <c r="B8" s="186">
        <v>3</v>
      </c>
      <c r="C8" s="186"/>
      <c r="D8" s="306">
        <v>6220002802</v>
      </c>
      <c r="E8" s="307" t="s">
        <v>178</v>
      </c>
      <c r="F8" s="307" t="s">
        <v>169</v>
      </c>
      <c r="G8" s="307" t="s">
        <v>178</v>
      </c>
      <c r="H8" s="306" t="s">
        <v>154</v>
      </c>
      <c r="I8" s="195" t="s">
        <v>228</v>
      </c>
      <c r="J8" s="244"/>
      <c r="K8" s="189"/>
      <c r="L8" s="189"/>
      <c r="M8" s="189"/>
      <c r="N8" s="397">
        <f>ROUND(CPSX!N8/'4.Doanh thu'!I$11,0)</f>
        <v>0</v>
      </c>
      <c r="O8" s="397">
        <f>ROUND(CPSX!O8/'4.Doanh thu'!J$11,0)</f>
        <v>0</v>
      </c>
      <c r="P8" s="397">
        <f>ROUND(CPSX!P8/'4.Doanh thu'!K$11,0)</f>
        <v>0</v>
      </c>
      <c r="Q8" s="397">
        <f>ROUND(CPSX!Q8/'4.Doanh thu'!L$11,0)</f>
        <v>0</v>
      </c>
      <c r="R8" s="397">
        <f>ROUND(CPSX!R8/'4.Doanh thu'!M$11,0)</f>
        <v>0</v>
      </c>
      <c r="S8" s="397">
        <f>ROUND(CPSX!S8/'4.Doanh thu'!N$11,0)</f>
        <v>0</v>
      </c>
      <c r="T8" s="397">
        <f>ROUND(CPSX!T8/'4.Doanh thu'!O$11,0)</f>
        <v>0</v>
      </c>
      <c r="U8" s="397">
        <f>ROUND(CPSX!U8/'4.Doanh thu'!P$11,0)</f>
        <v>0</v>
      </c>
      <c r="V8" s="397">
        <f>ROUND(CPSX!V8/'4.Doanh thu'!Q$11,0)</f>
        <v>0</v>
      </c>
      <c r="W8" s="397">
        <f t="shared" si="1"/>
        <v>0</v>
      </c>
    </row>
    <row r="9" spans="2:23" outlineLevel="1" x14ac:dyDescent="0.25">
      <c r="B9" s="186">
        <v>4</v>
      </c>
      <c r="C9" s="186"/>
      <c r="D9" s="306">
        <v>6220002806</v>
      </c>
      <c r="E9" s="307" t="s">
        <v>179</v>
      </c>
      <c r="F9" s="307" t="s">
        <v>165</v>
      </c>
      <c r="G9" s="307" t="s">
        <v>179</v>
      </c>
      <c r="H9" s="306" t="s">
        <v>154</v>
      </c>
      <c r="I9" s="195" t="s">
        <v>228</v>
      </c>
      <c r="J9" s="244"/>
      <c r="K9" s="189"/>
      <c r="L9" s="189"/>
      <c r="M9" s="189"/>
      <c r="N9" s="397">
        <f>ROUND(CPSX!N9/'4.Doanh thu'!I$11,0)</f>
        <v>0</v>
      </c>
      <c r="O9" s="397">
        <f>ROUND(CPSX!O9/'4.Doanh thu'!J$11,0)</f>
        <v>0</v>
      </c>
      <c r="P9" s="397">
        <f>ROUND(CPSX!P9/'4.Doanh thu'!K$11,0)</f>
        <v>0</v>
      </c>
      <c r="Q9" s="397">
        <f>ROUND(CPSX!Q9/'4.Doanh thu'!L$11,0)</f>
        <v>0</v>
      </c>
      <c r="R9" s="397">
        <f>ROUND(CPSX!R9/'4.Doanh thu'!M$11,0)</f>
        <v>0</v>
      </c>
      <c r="S9" s="397">
        <f>ROUND(CPSX!S9/'4.Doanh thu'!N$11,0)</f>
        <v>0</v>
      </c>
      <c r="T9" s="397">
        <f>ROUND(CPSX!T9/'4.Doanh thu'!O$11,0)</f>
        <v>0</v>
      </c>
      <c r="U9" s="397">
        <f>ROUND(CPSX!U9/'4.Doanh thu'!P$11,0)</f>
        <v>0</v>
      </c>
      <c r="V9" s="397">
        <f>ROUND(CPSX!V9/'4.Doanh thu'!Q$11,0)</f>
        <v>0</v>
      </c>
      <c r="W9" s="397">
        <f t="shared" si="1"/>
        <v>0</v>
      </c>
    </row>
    <row r="10" spans="2:23" outlineLevel="1" x14ac:dyDescent="0.25">
      <c r="B10" s="186">
        <v>5</v>
      </c>
      <c r="C10" s="186"/>
      <c r="D10" s="306">
        <v>6220007202</v>
      </c>
      <c r="E10" s="307" t="s">
        <v>170</v>
      </c>
      <c r="F10" s="307" t="s">
        <v>169</v>
      </c>
      <c r="G10" s="307" t="s">
        <v>170</v>
      </c>
      <c r="H10" s="306" t="s">
        <v>154</v>
      </c>
      <c r="I10" s="195" t="s">
        <v>228</v>
      </c>
      <c r="J10" s="244"/>
      <c r="K10" s="189"/>
      <c r="L10" s="189"/>
      <c r="M10" s="189"/>
      <c r="N10" s="397">
        <f>ROUND(CPSX!N10/'4.Doanh thu'!I$11,0)</f>
        <v>0</v>
      </c>
      <c r="O10" s="397">
        <f>ROUND(CPSX!O10/'4.Doanh thu'!J$11,0)</f>
        <v>0</v>
      </c>
      <c r="P10" s="397">
        <f>ROUND(CPSX!P10/'4.Doanh thu'!K$11,0)</f>
        <v>0</v>
      </c>
      <c r="Q10" s="397">
        <f>ROUND(CPSX!Q10/'4.Doanh thu'!L$11,0)</f>
        <v>0</v>
      </c>
      <c r="R10" s="397">
        <f>ROUND(CPSX!R10/'4.Doanh thu'!M$11,0)</f>
        <v>0</v>
      </c>
      <c r="S10" s="397">
        <f>ROUND(CPSX!S10/'4.Doanh thu'!N$11,0)</f>
        <v>0</v>
      </c>
      <c r="T10" s="397">
        <f>ROUND(CPSX!T10/'4.Doanh thu'!O$11,0)</f>
        <v>0</v>
      </c>
      <c r="U10" s="397">
        <f>ROUND(CPSX!U10/'4.Doanh thu'!P$11,0)</f>
        <v>0</v>
      </c>
      <c r="V10" s="397">
        <f>ROUND(CPSX!V10/'4.Doanh thu'!Q$11,0)</f>
        <v>0</v>
      </c>
      <c r="W10" s="397">
        <f t="shared" si="1"/>
        <v>0</v>
      </c>
    </row>
    <row r="11" spans="2:23" outlineLevel="1" x14ac:dyDescent="0.25">
      <c r="B11" s="186">
        <v>6</v>
      </c>
      <c r="C11" s="186"/>
      <c r="D11" s="306">
        <v>6220003201</v>
      </c>
      <c r="E11" s="307" t="s">
        <v>180</v>
      </c>
      <c r="F11" s="307" t="s">
        <v>169</v>
      </c>
      <c r="G11" s="307" t="s">
        <v>180</v>
      </c>
      <c r="H11" s="306" t="s">
        <v>154</v>
      </c>
      <c r="I11" s="195" t="s">
        <v>228</v>
      </c>
      <c r="J11" s="244"/>
      <c r="K11" s="189">
        <f>'Dinh muc'!$G$9*'3.Thanh pham'!F$10</f>
        <v>0</v>
      </c>
      <c r="L11" s="189">
        <f>'Dinh muc'!$G$9*'3.Thanh pham'!G$10</f>
        <v>0</v>
      </c>
      <c r="M11" s="189">
        <f>'Dinh muc'!$G$9*'3.Thanh pham'!H$10</f>
        <v>0</v>
      </c>
      <c r="N11" s="397">
        <f>ROUND(CPSX!N11/'4.Doanh thu'!I$11,0)</f>
        <v>32</v>
      </c>
      <c r="O11" s="397">
        <f>ROUND(CPSX!O11/'4.Doanh thu'!J$11,0)</f>
        <v>32</v>
      </c>
      <c r="P11" s="397">
        <f>ROUND(CPSX!P11/'4.Doanh thu'!K$11,0)</f>
        <v>32</v>
      </c>
      <c r="Q11" s="397">
        <f>ROUND(CPSX!Q11/'4.Doanh thu'!L$11,0)</f>
        <v>32</v>
      </c>
      <c r="R11" s="397">
        <f>ROUND(CPSX!R11/'4.Doanh thu'!M$11,0)</f>
        <v>32</v>
      </c>
      <c r="S11" s="397">
        <f>ROUND(CPSX!S11/'4.Doanh thu'!N$11,0)</f>
        <v>32</v>
      </c>
      <c r="T11" s="397">
        <f>ROUND(CPSX!T11/'4.Doanh thu'!O$11,0)</f>
        <v>32</v>
      </c>
      <c r="U11" s="397">
        <f>ROUND(CPSX!U11/'4.Doanh thu'!P$11,0)</f>
        <v>32</v>
      </c>
      <c r="V11" s="397">
        <f>ROUND(CPSX!V11/'4.Doanh thu'!Q$11,0)</f>
        <v>32</v>
      </c>
      <c r="W11" s="397">
        <f t="shared" si="1"/>
        <v>32</v>
      </c>
    </row>
    <row r="12" spans="2:23" outlineLevel="1" x14ac:dyDescent="0.25">
      <c r="B12" s="186">
        <v>7</v>
      </c>
      <c r="C12" s="186"/>
      <c r="D12" s="306">
        <v>6220002603</v>
      </c>
      <c r="E12" s="307" t="s">
        <v>181</v>
      </c>
      <c r="F12" s="307" t="s">
        <v>165</v>
      </c>
      <c r="G12" s="307" t="s">
        <v>181</v>
      </c>
      <c r="H12" s="306" t="s">
        <v>154</v>
      </c>
      <c r="I12" s="195" t="s">
        <v>228</v>
      </c>
      <c r="J12" s="244"/>
      <c r="K12" s="189"/>
      <c r="L12" s="189"/>
      <c r="M12" s="189"/>
      <c r="N12" s="397">
        <f>ROUND(CPSX!N12/'4.Doanh thu'!I$11,0)</f>
        <v>0</v>
      </c>
      <c r="O12" s="397">
        <f>ROUND(CPSX!O12/'4.Doanh thu'!J$11,0)</f>
        <v>0</v>
      </c>
      <c r="P12" s="397">
        <f>ROUND(CPSX!P12/'4.Doanh thu'!K$11,0)</f>
        <v>0</v>
      </c>
      <c r="Q12" s="397">
        <f>ROUND(CPSX!Q12/'4.Doanh thu'!L$11,0)</f>
        <v>0</v>
      </c>
      <c r="R12" s="397">
        <f>ROUND(CPSX!R12/'4.Doanh thu'!M$11,0)</f>
        <v>0</v>
      </c>
      <c r="S12" s="397">
        <f>ROUND(CPSX!S12/'4.Doanh thu'!N$11,0)</f>
        <v>0</v>
      </c>
      <c r="T12" s="397">
        <f>ROUND(CPSX!T12/'4.Doanh thu'!O$11,0)</f>
        <v>0</v>
      </c>
      <c r="U12" s="397">
        <f>ROUND(CPSX!U12/'4.Doanh thu'!P$11,0)</f>
        <v>0</v>
      </c>
      <c r="V12" s="397">
        <f>ROUND(CPSX!V12/'4.Doanh thu'!Q$11,0)</f>
        <v>0</v>
      </c>
      <c r="W12" s="397">
        <f t="shared" si="1"/>
        <v>0</v>
      </c>
    </row>
    <row r="13" spans="2:23" outlineLevel="1" x14ac:dyDescent="0.25">
      <c r="B13" s="186">
        <v>8</v>
      </c>
      <c r="C13" s="186"/>
      <c r="D13" s="306">
        <v>6220003401</v>
      </c>
      <c r="E13" s="307" t="s">
        <v>182</v>
      </c>
      <c r="F13" s="307" t="s">
        <v>169</v>
      </c>
      <c r="G13" s="307" t="s">
        <v>182</v>
      </c>
      <c r="H13" s="306" t="s">
        <v>154</v>
      </c>
      <c r="I13" s="195" t="s">
        <v>228</v>
      </c>
      <c r="J13" s="244"/>
      <c r="K13" s="189"/>
      <c r="L13" s="189"/>
      <c r="M13" s="189"/>
      <c r="N13" s="397">
        <f>ROUND(CPSX!N13/'4.Doanh thu'!I$11,0)</f>
        <v>0</v>
      </c>
      <c r="O13" s="397">
        <f>ROUND(CPSX!O13/'4.Doanh thu'!J$11,0)</f>
        <v>0</v>
      </c>
      <c r="P13" s="397">
        <f>ROUND(CPSX!P13/'4.Doanh thu'!K$11,0)</f>
        <v>0</v>
      </c>
      <c r="Q13" s="397">
        <f>ROUND(CPSX!Q13/'4.Doanh thu'!L$11,0)</f>
        <v>0</v>
      </c>
      <c r="R13" s="397">
        <f>ROUND(CPSX!R13/'4.Doanh thu'!M$11,0)</f>
        <v>0</v>
      </c>
      <c r="S13" s="397">
        <f>ROUND(CPSX!S13/'4.Doanh thu'!N$11,0)</f>
        <v>0</v>
      </c>
      <c r="T13" s="397">
        <f>ROUND(CPSX!T13/'4.Doanh thu'!O$11,0)</f>
        <v>0</v>
      </c>
      <c r="U13" s="397">
        <f>ROUND(CPSX!U13/'4.Doanh thu'!P$11,0)</f>
        <v>0</v>
      </c>
      <c r="V13" s="397">
        <f>ROUND(CPSX!V13/'4.Doanh thu'!Q$11,0)</f>
        <v>0</v>
      </c>
      <c r="W13" s="397">
        <f t="shared" si="1"/>
        <v>0</v>
      </c>
    </row>
    <row r="14" spans="2:23" outlineLevel="1" x14ac:dyDescent="0.25">
      <c r="B14" s="186">
        <v>9</v>
      </c>
      <c r="C14" s="186"/>
      <c r="D14" s="306">
        <v>6220002701</v>
      </c>
      <c r="E14" s="307" t="s">
        <v>183</v>
      </c>
      <c r="F14" s="307" t="s">
        <v>165</v>
      </c>
      <c r="G14" s="307" t="s">
        <v>183</v>
      </c>
      <c r="H14" s="306" t="s">
        <v>154</v>
      </c>
      <c r="I14" s="195" t="s">
        <v>228</v>
      </c>
      <c r="J14" s="244"/>
      <c r="K14" s="189"/>
      <c r="L14" s="189"/>
      <c r="M14" s="189"/>
      <c r="N14" s="397">
        <f>ROUND(CPSX!N14/'4.Doanh thu'!I$11,0)</f>
        <v>0</v>
      </c>
      <c r="O14" s="397">
        <f>ROUND(CPSX!O14/'4.Doanh thu'!J$11,0)</f>
        <v>0</v>
      </c>
      <c r="P14" s="397">
        <f>ROUND(CPSX!P14/'4.Doanh thu'!K$11,0)</f>
        <v>0</v>
      </c>
      <c r="Q14" s="397">
        <f>ROUND(CPSX!Q14/'4.Doanh thu'!L$11,0)</f>
        <v>0</v>
      </c>
      <c r="R14" s="397">
        <f>ROUND(CPSX!R14/'4.Doanh thu'!M$11,0)</f>
        <v>0</v>
      </c>
      <c r="S14" s="397">
        <f>ROUND(CPSX!S14/'4.Doanh thu'!N$11,0)</f>
        <v>0</v>
      </c>
      <c r="T14" s="397">
        <f>ROUND(CPSX!T14/'4.Doanh thu'!O$11,0)</f>
        <v>0</v>
      </c>
      <c r="U14" s="397">
        <f>ROUND(CPSX!U14/'4.Doanh thu'!P$11,0)</f>
        <v>0</v>
      </c>
      <c r="V14" s="397">
        <f>ROUND(CPSX!V14/'4.Doanh thu'!Q$11,0)</f>
        <v>0</v>
      </c>
      <c r="W14" s="397">
        <f t="shared" si="1"/>
        <v>0</v>
      </c>
    </row>
    <row r="15" spans="2:23" outlineLevel="2" x14ac:dyDescent="0.25">
      <c r="B15" s="186">
        <v>10</v>
      </c>
      <c r="C15" s="186"/>
      <c r="D15" s="306" t="s">
        <v>343</v>
      </c>
      <c r="E15" s="307" t="s">
        <v>344</v>
      </c>
      <c r="F15" s="307" t="s">
        <v>345</v>
      </c>
      <c r="G15" s="307" t="s">
        <v>344</v>
      </c>
      <c r="H15" s="306" t="s">
        <v>154</v>
      </c>
      <c r="I15" s="195" t="s">
        <v>228</v>
      </c>
      <c r="J15" s="244"/>
      <c r="K15" s="189"/>
      <c r="L15" s="189"/>
      <c r="M15" s="189"/>
      <c r="N15" s="397">
        <f>ROUND(CPSX!N15/'4.Doanh thu'!I$11,0)</f>
        <v>0</v>
      </c>
      <c r="O15" s="397">
        <f>ROUND(CPSX!O15/'4.Doanh thu'!J$11,0)</f>
        <v>0</v>
      </c>
      <c r="P15" s="397">
        <f>ROUND(CPSX!P15/'4.Doanh thu'!K$11,0)</f>
        <v>0</v>
      </c>
      <c r="Q15" s="397">
        <f>ROUND(CPSX!Q15/'4.Doanh thu'!L$11,0)</f>
        <v>0</v>
      </c>
      <c r="R15" s="397">
        <f>ROUND(CPSX!R15/'4.Doanh thu'!M$11,0)</f>
        <v>0</v>
      </c>
      <c r="S15" s="397">
        <f>ROUND(CPSX!S15/'4.Doanh thu'!N$11,0)</f>
        <v>0</v>
      </c>
      <c r="T15" s="397">
        <f>ROUND(CPSX!T15/'4.Doanh thu'!O$11,0)</f>
        <v>0</v>
      </c>
      <c r="U15" s="397">
        <f>ROUND(CPSX!U15/'4.Doanh thu'!P$11,0)</f>
        <v>0</v>
      </c>
      <c r="V15" s="397">
        <f>ROUND(CPSX!V15/'4.Doanh thu'!Q$11,0)</f>
        <v>0</v>
      </c>
      <c r="W15" s="397">
        <f t="shared" si="1"/>
        <v>0</v>
      </c>
    </row>
    <row r="16" spans="2:23" outlineLevel="2" x14ac:dyDescent="0.25">
      <c r="B16" s="186">
        <v>11</v>
      </c>
      <c r="C16" s="186"/>
      <c r="D16" s="306">
        <v>6220003001</v>
      </c>
      <c r="E16" s="307" t="s">
        <v>229</v>
      </c>
      <c r="F16" s="307" t="s">
        <v>169</v>
      </c>
      <c r="G16" s="307" t="s">
        <v>229</v>
      </c>
      <c r="H16" s="306" t="s">
        <v>154</v>
      </c>
      <c r="I16" s="195" t="s">
        <v>230</v>
      </c>
      <c r="J16" s="244"/>
      <c r="K16" s="189"/>
      <c r="L16" s="189"/>
      <c r="M16" s="189"/>
      <c r="N16" s="397">
        <f>ROUND(CPSX!N16/'4.Doanh thu'!I$11,0)</f>
        <v>0</v>
      </c>
      <c r="O16" s="397">
        <f>ROUND(CPSX!O16/'4.Doanh thu'!J$11,0)</f>
        <v>0</v>
      </c>
      <c r="P16" s="397">
        <f>ROUND(CPSX!P16/'4.Doanh thu'!K$11,0)</f>
        <v>0</v>
      </c>
      <c r="Q16" s="397">
        <f>ROUND(CPSX!Q16/'4.Doanh thu'!L$11,0)</f>
        <v>0</v>
      </c>
      <c r="R16" s="397">
        <f>ROUND(CPSX!R16/'4.Doanh thu'!M$11,0)</f>
        <v>0</v>
      </c>
      <c r="S16" s="397">
        <f>ROUND(CPSX!S16/'4.Doanh thu'!N$11,0)</f>
        <v>0</v>
      </c>
      <c r="T16" s="397">
        <f>ROUND(CPSX!T16/'4.Doanh thu'!O$11,0)</f>
        <v>0</v>
      </c>
      <c r="U16" s="397">
        <f>ROUND(CPSX!U16/'4.Doanh thu'!P$11,0)</f>
        <v>0</v>
      </c>
      <c r="V16" s="397">
        <f>ROUND(CPSX!V16/'4.Doanh thu'!Q$11,0)</f>
        <v>0</v>
      </c>
      <c r="W16" s="397">
        <f t="shared" si="1"/>
        <v>0</v>
      </c>
    </row>
    <row r="17" spans="2:24" outlineLevel="1" x14ac:dyDescent="0.25">
      <c r="B17" s="186">
        <v>12</v>
      </c>
      <c r="C17" s="186"/>
      <c r="D17" s="306"/>
      <c r="E17" s="307" t="s">
        <v>231</v>
      </c>
      <c r="F17" s="307" t="s">
        <v>169</v>
      </c>
      <c r="G17" s="307" t="s">
        <v>232</v>
      </c>
      <c r="H17" s="306" t="s">
        <v>154</v>
      </c>
      <c r="I17" s="195" t="s">
        <v>230</v>
      </c>
      <c r="J17" s="244"/>
      <c r="K17" s="189"/>
      <c r="L17" s="189"/>
      <c r="M17" s="189"/>
      <c r="N17" s="397">
        <f>ROUND(CPSX!N17/'4.Doanh thu'!I$11,0)</f>
        <v>0</v>
      </c>
      <c r="O17" s="397">
        <f>ROUND(CPSX!O17/'4.Doanh thu'!J$11,0)</f>
        <v>0</v>
      </c>
      <c r="P17" s="397">
        <f>ROUND(CPSX!P17/'4.Doanh thu'!K$11,0)</f>
        <v>0</v>
      </c>
      <c r="Q17" s="397">
        <f>ROUND(CPSX!Q17/'4.Doanh thu'!L$11,0)</f>
        <v>0</v>
      </c>
      <c r="R17" s="397">
        <f>ROUND(CPSX!R17/'4.Doanh thu'!M$11,0)</f>
        <v>0</v>
      </c>
      <c r="S17" s="397">
        <f>ROUND(CPSX!S17/'4.Doanh thu'!N$11,0)</f>
        <v>0</v>
      </c>
      <c r="T17" s="397">
        <f>ROUND(CPSX!T17/'4.Doanh thu'!O$11,0)</f>
        <v>0</v>
      </c>
      <c r="U17" s="397">
        <f>ROUND(CPSX!U17/'4.Doanh thu'!P$11,0)</f>
        <v>0</v>
      </c>
      <c r="V17" s="397">
        <f>ROUND(CPSX!V17/'4.Doanh thu'!Q$11,0)</f>
        <v>0</v>
      </c>
      <c r="W17" s="397">
        <f t="shared" si="1"/>
        <v>0</v>
      </c>
    </row>
    <row r="18" spans="2:24" outlineLevel="1" x14ac:dyDescent="0.25">
      <c r="B18" s="186">
        <v>13</v>
      </c>
      <c r="C18" s="186"/>
      <c r="D18" s="306">
        <v>6275001801</v>
      </c>
      <c r="E18" s="307" t="s">
        <v>233</v>
      </c>
      <c r="F18" s="307" t="s">
        <v>234</v>
      </c>
      <c r="G18" s="307" t="s">
        <v>233</v>
      </c>
      <c r="H18" s="306" t="s">
        <v>157</v>
      </c>
      <c r="I18" s="195" t="s">
        <v>235</v>
      </c>
      <c r="J18" s="244"/>
      <c r="K18" s="189">
        <f>'Dinh muc'!$G$14*'3.Thanh pham'!F$10</f>
        <v>0</v>
      </c>
      <c r="L18" s="189">
        <f>'Dinh muc'!$G$14*'3.Thanh pham'!G$10</f>
        <v>0</v>
      </c>
      <c r="M18" s="189">
        <f>'Dinh muc'!$G$14*'3.Thanh pham'!H$10</f>
        <v>0</v>
      </c>
      <c r="N18" s="397">
        <f>ROUND(CPSX!N18/'4.Doanh thu'!I$11,0)</f>
        <v>2570</v>
      </c>
      <c r="O18" s="397">
        <f>ROUND(CPSX!O18/'4.Doanh thu'!J$11,0)</f>
        <v>2570</v>
      </c>
      <c r="P18" s="397">
        <f>ROUND(CPSX!P18/'4.Doanh thu'!K$11,0)</f>
        <v>2570</v>
      </c>
      <c r="Q18" s="397">
        <f>ROUND(CPSX!Q18/'4.Doanh thu'!L$11,0)</f>
        <v>2570</v>
      </c>
      <c r="R18" s="397">
        <f>ROUND(CPSX!R18/'4.Doanh thu'!M$11,0)</f>
        <v>2570</v>
      </c>
      <c r="S18" s="397">
        <f>ROUND(CPSX!S18/'4.Doanh thu'!N$11,0)</f>
        <v>2570</v>
      </c>
      <c r="T18" s="397">
        <f>ROUND(CPSX!T18/'4.Doanh thu'!O$11,0)</f>
        <v>2570</v>
      </c>
      <c r="U18" s="397">
        <f>ROUND(CPSX!U18/'4.Doanh thu'!P$11,0)</f>
        <v>2570</v>
      </c>
      <c r="V18" s="397">
        <f>ROUND(CPSX!V18/'4.Doanh thu'!Q$11,0)</f>
        <v>2570</v>
      </c>
      <c r="W18" s="397">
        <f t="shared" si="1"/>
        <v>2570</v>
      </c>
    </row>
    <row r="19" spans="2:24" outlineLevel="1" x14ac:dyDescent="0.25">
      <c r="B19" s="186">
        <v>14</v>
      </c>
      <c r="C19" s="186"/>
      <c r="D19" s="306">
        <v>6272000100</v>
      </c>
      <c r="E19" s="307" t="s">
        <v>236</v>
      </c>
      <c r="F19" s="307" t="s">
        <v>237</v>
      </c>
      <c r="G19" s="307"/>
      <c r="H19" s="306" t="s">
        <v>157</v>
      </c>
      <c r="I19" s="195" t="s">
        <v>235</v>
      </c>
      <c r="J19" s="244"/>
      <c r="K19" s="189"/>
      <c r="L19" s="189"/>
      <c r="M19" s="189"/>
      <c r="N19" s="397">
        <f>ROUND(CPSX!N19/'4.Doanh thu'!I$11,0)</f>
        <v>0</v>
      </c>
      <c r="O19" s="397">
        <f>ROUND(CPSX!O19/'4.Doanh thu'!J$11,0)</f>
        <v>0</v>
      </c>
      <c r="P19" s="397">
        <f>ROUND(CPSX!P19/'4.Doanh thu'!K$11,0)</f>
        <v>0</v>
      </c>
      <c r="Q19" s="397">
        <f>ROUND(CPSX!Q19/'4.Doanh thu'!L$11,0)</f>
        <v>0</v>
      </c>
      <c r="R19" s="397">
        <f>ROUND(CPSX!R19/'4.Doanh thu'!M$11,0)</f>
        <v>0</v>
      </c>
      <c r="S19" s="397">
        <f>ROUND(CPSX!S19/'4.Doanh thu'!N$11,0)</f>
        <v>0</v>
      </c>
      <c r="T19" s="397">
        <f>ROUND(CPSX!T19/'4.Doanh thu'!O$11,0)</f>
        <v>0</v>
      </c>
      <c r="U19" s="397">
        <f>ROUND(CPSX!U19/'4.Doanh thu'!P$11,0)</f>
        <v>0</v>
      </c>
      <c r="V19" s="397">
        <f>ROUND(CPSX!V19/'4.Doanh thu'!Q$11,0)</f>
        <v>0</v>
      </c>
      <c r="W19" s="397">
        <f t="shared" si="1"/>
        <v>0</v>
      </c>
    </row>
    <row r="20" spans="2:24" outlineLevel="1" x14ac:dyDescent="0.25">
      <c r="B20" s="186">
        <v>15</v>
      </c>
      <c r="C20" s="186"/>
      <c r="D20" s="306">
        <v>6272000100</v>
      </c>
      <c r="E20" s="307" t="s">
        <v>236</v>
      </c>
      <c r="F20" s="307" t="s">
        <v>237</v>
      </c>
      <c r="G20" s="307" t="s">
        <v>407</v>
      </c>
      <c r="H20" s="306" t="s">
        <v>158</v>
      </c>
      <c r="I20" s="195" t="s">
        <v>235</v>
      </c>
      <c r="J20" s="244"/>
      <c r="K20" s="189"/>
      <c r="L20" s="189"/>
      <c r="M20" s="189"/>
      <c r="N20" s="397">
        <f>ROUND(CPSX!N20/'4.Doanh thu'!I$11,0)</f>
        <v>0</v>
      </c>
      <c r="O20" s="397">
        <f>ROUND(CPSX!O20/'4.Doanh thu'!J$11,0)</f>
        <v>0</v>
      </c>
      <c r="P20" s="397">
        <f>ROUND(CPSX!P20/'4.Doanh thu'!K$11,0)</f>
        <v>0</v>
      </c>
      <c r="Q20" s="397">
        <f>ROUND(CPSX!Q20/'4.Doanh thu'!L$11,0)</f>
        <v>0</v>
      </c>
      <c r="R20" s="397">
        <f>ROUND(CPSX!R20/'4.Doanh thu'!M$11,0)</f>
        <v>0</v>
      </c>
      <c r="S20" s="397">
        <f>ROUND(CPSX!S20/'4.Doanh thu'!N$11,0)</f>
        <v>0</v>
      </c>
      <c r="T20" s="397">
        <f>ROUND(CPSX!T20/'4.Doanh thu'!O$11,0)</f>
        <v>0</v>
      </c>
      <c r="U20" s="397">
        <f>ROUND(CPSX!U20/'4.Doanh thu'!P$11,0)</f>
        <v>0</v>
      </c>
      <c r="V20" s="397">
        <f>ROUND(CPSX!V20/'4.Doanh thu'!Q$11,0)</f>
        <v>0</v>
      </c>
      <c r="W20" s="397">
        <f t="shared" si="1"/>
        <v>0</v>
      </c>
      <c r="X20" s="360" t="s">
        <v>242</v>
      </c>
    </row>
    <row r="21" spans="2:24" outlineLevel="2" x14ac:dyDescent="0.25">
      <c r="B21" s="186">
        <v>16</v>
      </c>
      <c r="C21" s="186"/>
      <c r="D21" s="306">
        <v>6272000100</v>
      </c>
      <c r="E21" s="307" t="s">
        <v>236</v>
      </c>
      <c r="F21" s="307" t="s">
        <v>237</v>
      </c>
      <c r="G21" s="307" t="s">
        <v>406</v>
      </c>
      <c r="H21" s="306" t="s">
        <v>158</v>
      </c>
      <c r="I21" s="195" t="s">
        <v>235</v>
      </c>
      <c r="J21" s="244"/>
      <c r="K21" s="189">
        <f>'Dinh muc'!$G$18*'3.Thanh pham'!F$10</f>
        <v>0</v>
      </c>
      <c r="L21" s="189">
        <f>'Dinh muc'!$G$18*'3.Thanh pham'!G$10</f>
        <v>0</v>
      </c>
      <c r="M21" s="189">
        <f>'Dinh muc'!$G$18*'3.Thanh pham'!H$10</f>
        <v>0</v>
      </c>
      <c r="N21" s="397">
        <f>ROUND(CPSX!N21/'4.Doanh thu'!I$11,0)</f>
        <v>167</v>
      </c>
      <c r="O21" s="397">
        <f>ROUND(CPSX!O21/'4.Doanh thu'!J$11,0)</f>
        <v>167</v>
      </c>
      <c r="P21" s="397">
        <f>ROUND(CPSX!P21/'4.Doanh thu'!K$11,0)</f>
        <v>167</v>
      </c>
      <c r="Q21" s="397">
        <f>ROUND(CPSX!Q21/'4.Doanh thu'!L$11,0)</f>
        <v>167</v>
      </c>
      <c r="R21" s="397">
        <f>ROUND(CPSX!R21/'4.Doanh thu'!M$11,0)</f>
        <v>167</v>
      </c>
      <c r="S21" s="397">
        <f>ROUND(CPSX!S21/'4.Doanh thu'!N$11,0)</f>
        <v>167</v>
      </c>
      <c r="T21" s="397">
        <f>ROUND(CPSX!T21/'4.Doanh thu'!O$11,0)</f>
        <v>167</v>
      </c>
      <c r="U21" s="397">
        <f>ROUND(CPSX!U21/'4.Doanh thu'!P$11,0)</f>
        <v>167</v>
      </c>
      <c r="V21" s="397">
        <f>ROUND(CPSX!V21/'4.Doanh thu'!Q$11,0)</f>
        <v>167</v>
      </c>
      <c r="W21" s="397">
        <f t="shared" si="1"/>
        <v>167</v>
      </c>
    </row>
    <row r="22" spans="2:24" outlineLevel="2" x14ac:dyDescent="0.25">
      <c r="B22" s="186">
        <v>17</v>
      </c>
      <c r="C22" s="186"/>
      <c r="D22" s="306">
        <v>6272000100</v>
      </c>
      <c r="E22" s="307" t="s">
        <v>236</v>
      </c>
      <c r="F22" s="307" t="s">
        <v>237</v>
      </c>
      <c r="G22" s="307" t="s">
        <v>405</v>
      </c>
      <c r="H22" s="306" t="s">
        <v>158</v>
      </c>
      <c r="I22" s="195" t="s">
        <v>235</v>
      </c>
      <c r="J22" s="244"/>
      <c r="K22" s="189">
        <f>'Dinh muc'!$G$19*'3.Thanh pham'!F$10</f>
        <v>0</v>
      </c>
      <c r="L22" s="189">
        <f>'Dinh muc'!$G$19*'3.Thanh pham'!G$10</f>
        <v>0</v>
      </c>
      <c r="M22" s="189">
        <f>'Dinh muc'!$G$19*'3.Thanh pham'!H$10</f>
        <v>0</v>
      </c>
      <c r="N22" s="397">
        <f>ROUND(CPSX!N22/'4.Doanh thu'!I$11,0)</f>
        <v>1000</v>
      </c>
      <c r="O22" s="397">
        <f>ROUND(CPSX!O22/'4.Doanh thu'!J$11,0)</f>
        <v>1000</v>
      </c>
      <c r="P22" s="397">
        <f>ROUND(CPSX!P22/'4.Doanh thu'!K$11,0)</f>
        <v>1000</v>
      </c>
      <c r="Q22" s="397">
        <f>ROUND(CPSX!Q22/'4.Doanh thu'!L$11,0)</f>
        <v>1000</v>
      </c>
      <c r="R22" s="397">
        <f>ROUND(CPSX!R22/'4.Doanh thu'!M$11,0)</f>
        <v>1000</v>
      </c>
      <c r="S22" s="397">
        <f>ROUND(CPSX!S22/'4.Doanh thu'!N$11,0)</f>
        <v>1000</v>
      </c>
      <c r="T22" s="397">
        <f>ROUND(CPSX!T22/'4.Doanh thu'!O$11,0)</f>
        <v>1000</v>
      </c>
      <c r="U22" s="397">
        <f>ROUND(CPSX!U22/'4.Doanh thu'!P$11,0)</f>
        <v>1000</v>
      </c>
      <c r="V22" s="397">
        <f>ROUND(CPSX!V22/'4.Doanh thu'!Q$11,0)</f>
        <v>1000</v>
      </c>
      <c r="W22" s="397">
        <f t="shared" si="1"/>
        <v>1000</v>
      </c>
    </row>
    <row r="23" spans="2:24" outlineLevel="1" x14ac:dyDescent="0.25">
      <c r="B23" s="186">
        <v>18</v>
      </c>
      <c r="C23" s="186"/>
      <c r="D23" s="306">
        <v>6272000100</v>
      </c>
      <c r="E23" s="307" t="s">
        <v>236</v>
      </c>
      <c r="F23" s="307" t="s">
        <v>237</v>
      </c>
      <c r="G23" s="307" t="s">
        <v>386</v>
      </c>
      <c r="H23" s="306" t="s">
        <v>158</v>
      </c>
      <c r="I23" s="195" t="s">
        <v>235</v>
      </c>
      <c r="J23" s="244"/>
      <c r="K23" s="244">
        <f>'Dinh muc'!$G$20*'3.Thanh pham'!F$10</f>
        <v>0</v>
      </c>
      <c r="L23" s="244">
        <f>'Dinh muc'!$G$20*'3.Thanh pham'!G$10</f>
        <v>0</v>
      </c>
      <c r="M23" s="244">
        <f>'Dinh muc'!$G$20*'3.Thanh pham'!H$10</f>
        <v>0</v>
      </c>
      <c r="N23" s="397">
        <f>ROUND(CPSX!N23/'4.Doanh thu'!I$11,0)</f>
        <v>674</v>
      </c>
      <c r="O23" s="397">
        <f>ROUND(CPSX!O23/'4.Doanh thu'!J$11,0)</f>
        <v>674</v>
      </c>
      <c r="P23" s="397">
        <f>ROUND(CPSX!P23/'4.Doanh thu'!K$11,0)</f>
        <v>674</v>
      </c>
      <c r="Q23" s="397">
        <f>ROUND(CPSX!Q23/'4.Doanh thu'!L$11,0)</f>
        <v>674</v>
      </c>
      <c r="R23" s="397">
        <f>ROUND(CPSX!R23/'4.Doanh thu'!M$11,0)</f>
        <v>674</v>
      </c>
      <c r="S23" s="397">
        <f>ROUND(CPSX!S23/'4.Doanh thu'!N$11,0)</f>
        <v>674</v>
      </c>
      <c r="T23" s="397">
        <f>ROUND(CPSX!T23/'4.Doanh thu'!O$11,0)</f>
        <v>674</v>
      </c>
      <c r="U23" s="397">
        <f>ROUND(CPSX!U23/'4.Doanh thu'!P$11,0)</f>
        <v>674</v>
      </c>
      <c r="V23" s="397">
        <f>ROUND(CPSX!V23/'4.Doanh thu'!Q$11,0)</f>
        <v>674</v>
      </c>
      <c r="W23" s="397">
        <f t="shared" si="1"/>
        <v>674</v>
      </c>
    </row>
    <row r="24" spans="2:24" outlineLevel="1" x14ac:dyDescent="0.25">
      <c r="B24" s="186">
        <v>19</v>
      </c>
      <c r="C24" s="186"/>
      <c r="D24" s="306">
        <v>6272002101</v>
      </c>
      <c r="E24" s="307" t="s">
        <v>238</v>
      </c>
      <c r="F24" s="307" t="s">
        <v>237</v>
      </c>
      <c r="G24" s="307" t="s">
        <v>433</v>
      </c>
      <c r="H24" s="306"/>
      <c r="I24" s="195"/>
      <c r="J24" s="244"/>
      <c r="K24" s="244">
        <f>SUM('Dinh muc'!$G$17:$G$20)*'3.Thanh pham'!F10</f>
        <v>0</v>
      </c>
      <c r="L24" s="244">
        <f>SUM('Dinh muc'!$G$17:$G$20)*'3.Thanh pham'!G10</f>
        <v>0</v>
      </c>
      <c r="M24" s="244">
        <f>SUM('Dinh muc'!$G$17:$G$20)*'3.Thanh pham'!H10</f>
        <v>0</v>
      </c>
      <c r="N24" s="397">
        <f>ROUND(CPSX!N24/'4.Doanh thu'!I$11,0)</f>
        <v>74</v>
      </c>
      <c r="O24" s="397">
        <f>ROUND(CPSX!O24/'4.Doanh thu'!J$11,0)</f>
        <v>74</v>
      </c>
      <c r="P24" s="397">
        <f>ROUND(CPSX!P24/'4.Doanh thu'!K$11,0)</f>
        <v>74</v>
      </c>
      <c r="Q24" s="397">
        <f>ROUND(CPSX!Q24/'4.Doanh thu'!L$11,0)</f>
        <v>74</v>
      </c>
      <c r="R24" s="397">
        <f>ROUND(CPSX!R24/'4.Doanh thu'!M$11,0)</f>
        <v>74</v>
      </c>
      <c r="S24" s="397">
        <f>ROUND(CPSX!S24/'4.Doanh thu'!N$11,0)</f>
        <v>74</v>
      </c>
      <c r="T24" s="397">
        <f>ROUND(CPSX!T24/'4.Doanh thu'!O$11,0)</f>
        <v>74</v>
      </c>
      <c r="U24" s="397">
        <f>ROUND(CPSX!U24/'4.Doanh thu'!P$11,0)</f>
        <v>74</v>
      </c>
      <c r="V24" s="397">
        <f>ROUND(CPSX!V24/'4.Doanh thu'!Q$11,0)</f>
        <v>74</v>
      </c>
      <c r="W24" s="397">
        <f t="shared" ref="W24" si="2">AVERAGE(N24:V24)</f>
        <v>74</v>
      </c>
    </row>
    <row r="25" spans="2:24" outlineLevel="1" x14ac:dyDescent="0.25">
      <c r="B25" s="186">
        <v>19</v>
      </c>
      <c r="C25" s="186"/>
      <c r="D25" s="306">
        <v>6272002101</v>
      </c>
      <c r="E25" s="307" t="s">
        <v>238</v>
      </c>
      <c r="F25" s="307" t="s">
        <v>237</v>
      </c>
      <c r="G25" s="307" t="s">
        <v>401</v>
      </c>
      <c r="H25" s="306"/>
      <c r="I25" s="195"/>
      <c r="J25" s="244"/>
      <c r="K25" s="244">
        <f>SUM('Dinh muc'!$G$15:$G$16)*'3.Thanh pham'!F$10</f>
        <v>0</v>
      </c>
      <c r="L25" s="244">
        <f>SUM('Dinh muc'!$G$15:$G$16)*'3.Thanh pham'!G$10</f>
        <v>0</v>
      </c>
      <c r="M25" s="244">
        <f>SUM('Dinh muc'!$G$15:$G$16)*'3.Thanh pham'!H$10</f>
        <v>0</v>
      </c>
      <c r="N25" s="397">
        <f>ROUND(CPSX!N25/'4.Doanh thu'!I$11,0)</f>
        <v>163</v>
      </c>
      <c r="O25" s="397">
        <f>ROUND(CPSX!O25/'4.Doanh thu'!J$11,0)</f>
        <v>163</v>
      </c>
      <c r="P25" s="397">
        <f>ROUND(CPSX!P25/'4.Doanh thu'!K$11,0)</f>
        <v>163</v>
      </c>
      <c r="Q25" s="397">
        <f>ROUND(CPSX!Q25/'4.Doanh thu'!L$11,0)</f>
        <v>163</v>
      </c>
      <c r="R25" s="397">
        <f>ROUND(CPSX!R25/'4.Doanh thu'!M$11,0)</f>
        <v>163</v>
      </c>
      <c r="S25" s="397">
        <f>ROUND(CPSX!S25/'4.Doanh thu'!N$11,0)</f>
        <v>163</v>
      </c>
      <c r="T25" s="397">
        <f>ROUND(CPSX!T25/'4.Doanh thu'!O$11,0)</f>
        <v>163</v>
      </c>
      <c r="U25" s="397">
        <f>ROUND(CPSX!U25/'4.Doanh thu'!P$11,0)</f>
        <v>163</v>
      </c>
      <c r="V25" s="397">
        <f>ROUND(CPSX!V25/'4.Doanh thu'!Q$11,0)</f>
        <v>163</v>
      </c>
      <c r="W25" s="397">
        <f t="shared" si="1"/>
        <v>163</v>
      </c>
    </row>
    <row r="26" spans="2:24" outlineLevel="1" x14ac:dyDescent="0.25">
      <c r="B26" s="186">
        <v>20</v>
      </c>
      <c r="C26" s="186"/>
      <c r="D26" s="306">
        <v>6272003502</v>
      </c>
      <c r="E26" s="307" t="s">
        <v>239</v>
      </c>
      <c r="F26" s="307" t="s">
        <v>240</v>
      </c>
      <c r="G26" s="307" t="s">
        <v>241</v>
      </c>
      <c r="H26" s="306" t="s">
        <v>159</v>
      </c>
      <c r="I26" s="195" t="s">
        <v>235</v>
      </c>
      <c r="J26" s="244"/>
      <c r="K26" s="189">
        <f>'Dinh muc'!$G$21*'3.Thanh pham'!F$10</f>
        <v>0</v>
      </c>
      <c r="L26" s="189">
        <f>'Dinh muc'!$G$21*'3.Thanh pham'!G$10</f>
        <v>0</v>
      </c>
      <c r="M26" s="189">
        <f>'Dinh muc'!$G$21*'3.Thanh pham'!H$10</f>
        <v>0</v>
      </c>
      <c r="N26" s="397">
        <f>ROUND(CPSX!N26/'4.Doanh thu'!I$11,0)</f>
        <v>247</v>
      </c>
      <c r="O26" s="397">
        <f>ROUND(CPSX!O26/'4.Doanh thu'!J$11,0)</f>
        <v>247</v>
      </c>
      <c r="P26" s="397">
        <f>ROUND(CPSX!P26/'4.Doanh thu'!K$11,0)</f>
        <v>247</v>
      </c>
      <c r="Q26" s="397">
        <f>ROUND(CPSX!Q26/'4.Doanh thu'!L$11,0)</f>
        <v>247</v>
      </c>
      <c r="R26" s="397">
        <f>ROUND(CPSX!R26/'4.Doanh thu'!M$11,0)</f>
        <v>247</v>
      </c>
      <c r="S26" s="397">
        <f>ROUND(CPSX!S26/'4.Doanh thu'!N$11,0)</f>
        <v>247</v>
      </c>
      <c r="T26" s="397">
        <f>ROUND(CPSX!T26/'4.Doanh thu'!O$11,0)</f>
        <v>247</v>
      </c>
      <c r="U26" s="397">
        <f>ROUND(CPSX!U26/'4.Doanh thu'!P$11,0)</f>
        <v>247</v>
      </c>
      <c r="V26" s="397">
        <f>ROUND(CPSX!V26/'4.Doanh thu'!Q$11,0)</f>
        <v>247</v>
      </c>
      <c r="W26" s="397">
        <f t="shared" si="1"/>
        <v>247</v>
      </c>
    </row>
    <row r="27" spans="2:24" outlineLevel="1" x14ac:dyDescent="0.25">
      <c r="B27" s="190"/>
      <c r="C27" s="190"/>
      <c r="D27" s="191"/>
      <c r="E27" s="192"/>
      <c r="F27" s="192"/>
      <c r="G27" s="192"/>
      <c r="H27" s="191"/>
      <c r="I27" s="196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</row>
    <row r="28" spans="2:24" s="9" customFormat="1" ht="18" customHeight="1" x14ac:dyDescent="0.35">
      <c r="B28" s="363" t="s">
        <v>2</v>
      </c>
      <c r="C28" s="171"/>
      <c r="D28" s="173"/>
      <c r="E28" s="174" t="s">
        <v>243</v>
      </c>
      <c r="F28" s="175"/>
      <c r="G28" s="174"/>
      <c r="H28" s="174"/>
      <c r="I28" s="197"/>
      <c r="J28" s="181">
        <f>SUM(J29:J57)</f>
        <v>0</v>
      </c>
      <c r="K28" s="400">
        <f>SUM(K29:K57)</f>
        <v>0</v>
      </c>
      <c r="L28" s="401">
        <f t="shared" ref="L28:W28" si="3">SUM(L29:L57)</f>
        <v>0</v>
      </c>
      <c r="M28" s="401">
        <f t="shared" si="3"/>
        <v>0</v>
      </c>
      <c r="N28" s="401">
        <f t="shared" si="3"/>
        <v>915</v>
      </c>
      <c r="O28" s="401">
        <f t="shared" si="3"/>
        <v>915</v>
      </c>
      <c r="P28" s="401">
        <f t="shared" si="3"/>
        <v>915</v>
      </c>
      <c r="Q28" s="401">
        <f t="shared" si="3"/>
        <v>915</v>
      </c>
      <c r="R28" s="401">
        <f t="shared" si="3"/>
        <v>915</v>
      </c>
      <c r="S28" s="401">
        <f t="shared" si="3"/>
        <v>915</v>
      </c>
      <c r="T28" s="401">
        <f t="shared" si="3"/>
        <v>915</v>
      </c>
      <c r="U28" s="401">
        <f t="shared" si="3"/>
        <v>915</v>
      </c>
      <c r="V28" s="401">
        <f t="shared" si="3"/>
        <v>915</v>
      </c>
      <c r="W28" s="401">
        <f t="shared" si="3"/>
        <v>915</v>
      </c>
    </row>
    <row r="29" spans="2:24" outlineLevel="1" x14ac:dyDescent="0.25">
      <c r="B29" s="182">
        <v>1</v>
      </c>
      <c r="C29" s="182"/>
      <c r="D29" s="183">
        <v>6271002604</v>
      </c>
      <c r="E29" s="184" t="s">
        <v>164</v>
      </c>
      <c r="F29" s="184" t="s">
        <v>167</v>
      </c>
      <c r="G29" s="184" t="s">
        <v>164</v>
      </c>
      <c r="H29" s="183" t="s">
        <v>154</v>
      </c>
      <c r="I29" s="194" t="s">
        <v>228</v>
      </c>
      <c r="J29" s="185"/>
      <c r="K29" s="185">
        <f>SUM('Dinh muc'!$G$11:$G$12)*'3.Thanh pham'!F$10</f>
        <v>0</v>
      </c>
      <c r="L29" s="185">
        <f>SUM('Dinh muc'!$G$11:$G$12)*'3.Thanh pham'!G$10</f>
        <v>0</v>
      </c>
      <c r="M29" s="185">
        <f>SUM('Dinh muc'!$G$11:$G$12)*'3.Thanh pham'!H$10</f>
        <v>0</v>
      </c>
      <c r="N29" s="397">
        <f>ROUND(CPSX!N29/'4.Doanh thu'!I$11,0)</f>
        <v>525</v>
      </c>
      <c r="O29" s="397">
        <f>ROUND(CPSX!O29/'4.Doanh thu'!J$11,0)</f>
        <v>525</v>
      </c>
      <c r="P29" s="397">
        <f>ROUND(CPSX!P29/'4.Doanh thu'!K$11,0)</f>
        <v>525</v>
      </c>
      <c r="Q29" s="397">
        <f>ROUND(CPSX!Q29/'4.Doanh thu'!L$11,0)</f>
        <v>525</v>
      </c>
      <c r="R29" s="397">
        <f>ROUND(CPSX!R29/'4.Doanh thu'!M$11,0)</f>
        <v>525</v>
      </c>
      <c r="S29" s="397">
        <f>ROUND(CPSX!S29/'4.Doanh thu'!N$11,0)</f>
        <v>525</v>
      </c>
      <c r="T29" s="397">
        <f>ROUND(CPSX!T29/'4.Doanh thu'!O$11,0)</f>
        <v>525</v>
      </c>
      <c r="U29" s="397">
        <f>ROUND(CPSX!U29/'4.Doanh thu'!P$11,0)</f>
        <v>525</v>
      </c>
      <c r="V29" s="397">
        <f>ROUND(CPSX!V29/'4.Doanh thu'!Q$11,0)</f>
        <v>525</v>
      </c>
      <c r="W29" s="397">
        <f t="shared" ref="W29:W56" si="4">AVERAGE(N29:V29)</f>
        <v>525</v>
      </c>
    </row>
    <row r="30" spans="2:24" outlineLevel="1" x14ac:dyDescent="0.25">
      <c r="B30" s="186">
        <v>2</v>
      </c>
      <c r="C30" s="186"/>
      <c r="D30" s="187">
        <v>6271002605</v>
      </c>
      <c r="E30" s="188" t="s">
        <v>166</v>
      </c>
      <c r="F30" s="188" t="s">
        <v>167</v>
      </c>
      <c r="G30" s="188" t="s">
        <v>166</v>
      </c>
      <c r="H30" s="187" t="s">
        <v>154</v>
      </c>
      <c r="I30" s="195" t="s">
        <v>228</v>
      </c>
      <c r="J30" s="189"/>
      <c r="K30" s="189"/>
      <c r="L30" s="189"/>
      <c r="M30" s="189"/>
      <c r="N30" s="397">
        <f>ROUND(CPSX!N30/'4.Doanh thu'!I$11,0)</f>
        <v>0</v>
      </c>
      <c r="O30" s="397">
        <f>ROUND(CPSX!O30/'4.Doanh thu'!J$11,0)</f>
        <v>0</v>
      </c>
      <c r="P30" s="397">
        <f>ROUND(CPSX!P30/'4.Doanh thu'!K$11,0)</f>
        <v>0</v>
      </c>
      <c r="Q30" s="397">
        <f>ROUND(CPSX!Q30/'4.Doanh thu'!L$11,0)</f>
        <v>0</v>
      </c>
      <c r="R30" s="397">
        <f>ROUND(CPSX!R30/'4.Doanh thu'!M$11,0)</f>
        <v>0</v>
      </c>
      <c r="S30" s="397">
        <f>ROUND(CPSX!S30/'4.Doanh thu'!N$11,0)</f>
        <v>0</v>
      </c>
      <c r="T30" s="397">
        <f>ROUND(CPSX!T30/'4.Doanh thu'!O$11,0)</f>
        <v>0</v>
      </c>
      <c r="U30" s="397">
        <f>ROUND(CPSX!U30/'4.Doanh thu'!P$11,0)</f>
        <v>0</v>
      </c>
      <c r="V30" s="397">
        <f>ROUND(CPSX!V30/'4.Doanh thu'!Q$11,0)</f>
        <v>0</v>
      </c>
      <c r="W30" s="397">
        <f t="shared" si="4"/>
        <v>0</v>
      </c>
    </row>
    <row r="31" spans="2:24" outlineLevel="1" x14ac:dyDescent="0.25">
      <c r="B31" s="186">
        <v>3</v>
      </c>
      <c r="C31" s="186"/>
      <c r="D31" s="187">
        <v>6271002802</v>
      </c>
      <c r="E31" s="188" t="s">
        <v>168</v>
      </c>
      <c r="F31" s="188" t="s">
        <v>169</v>
      </c>
      <c r="G31" s="188" t="s">
        <v>168</v>
      </c>
      <c r="H31" s="187" t="s">
        <v>154</v>
      </c>
      <c r="I31" s="195" t="s">
        <v>228</v>
      </c>
      <c r="J31" s="189"/>
      <c r="K31" s="189"/>
      <c r="L31" s="189"/>
      <c r="M31" s="189"/>
      <c r="N31" s="397">
        <f>ROUND(CPSX!N31/'4.Doanh thu'!I$11,0)</f>
        <v>0</v>
      </c>
      <c r="O31" s="397">
        <f>ROUND(CPSX!O31/'4.Doanh thu'!J$11,0)</f>
        <v>0</v>
      </c>
      <c r="P31" s="397">
        <f>ROUND(CPSX!P31/'4.Doanh thu'!K$11,0)</f>
        <v>0</v>
      </c>
      <c r="Q31" s="397">
        <f>ROUND(CPSX!Q31/'4.Doanh thu'!L$11,0)</f>
        <v>0</v>
      </c>
      <c r="R31" s="397">
        <f>ROUND(CPSX!R31/'4.Doanh thu'!M$11,0)</f>
        <v>0</v>
      </c>
      <c r="S31" s="397">
        <f>ROUND(CPSX!S31/'4.Doanh thu'!N$11,0)</f>
        <v>0</v>
      </c>
      <c r="T31" s="397">
        <f>ROUND(CPSX!T31/'4.Doanh thu'!O$11,0)</f>
        <v>0</v>
      </c>
      <c r="U31" s="397">
        <f>ROUND(CPSX!U31/'4.Doanh thu'!P$11,0)</f>
        <v>0</v>
      </c>
      <c r="V31" s="397">
        <f>ROUND(CPSX!V31/'4.Doanh thu'!Q$11,0)</f>
        <v>0</v>
      </c>
      <c r="W31" s="397">
        <f t="shared" si="4"/>
        <v>0</v>
      </c>
    </row>
    <row r="32" spans="2:24" outlineLevel="1" x14ac:dyDescent="0.25">
      <c r="B32" s="186">
        <v>4</v>
      </c>
      <c r="C32" s="186"/>
      <c r="D32" s="187">
        <v>6271002806</v>
      </c>
      <c r="E32" s="188" t="s">
        <v>175</v>
      </c>
      <c r="F32" s="188" t="s">
        <v>167</v>
      </c>
      <c r="G32" s="188" t="s">
        <v>175</v>
      </c>
      <c r="H32" s="187" t="s">
        <v>154</v>
      </c>
      <c r="I32" s="195" t="s">
        <v>228</v>
      </c>
      <c r="J32" s="189"/>
      <c r="K32" s="189"/>
      <c r="L32" s="189"/>
      <c r="M32" s="189"/>
      <c r="N32" s="397">
        <f>ROUND(CPSX!N32/'4.Doanh thu'!I$11,0)</f>
        <v>0</v>
      </c>
      <c r="O32" s="397">
        <f>ROUND(CPSX!O32/'4.Doanh thu'!J$11,0)</f>
        <v>0</v>
      </c>
      <c r="P32" s="397">
        <f>ROUND(CPSX!P32/'4.Doanh thu'!K$11,0)</f>
        <v>0</v>
      </c>
      <c r="Q32" s="397">
        <f>ROUND(CPSX!Q32/'4.Doanh thu'!L$11,0)</f>
        <v>0</v>
      </c>
      <c r="R32" s="397">
        <f>ROUND(CPSX!R32/'4.Doanh thu'!M$11,0)</f>
        <v>0</v>
      </c>
      <c r="S32" s="397">
        <f>ROUND(CPSX!S32/'4.Doanh thu'!N$11,0)</f>
        <v>0</v>
      </c>
      <c r="T32" s="397">
        <f>ROUND(CPSX!T32/'4.Doanh thu'!O$11,0)</f>
        <v>0</v>
      </c>
      <c r="U32" s="397">
        <f>ROUND(CPSX!U32/'4.Doanh thu'!P$11,0)</f>
        <v>0</v>
      </c>
      <c r="V32" s="397">
        <f>ROUND(CPSX!V32/'4.Doanh thu'!Q$11,0)</f>
        <v>0</v>
      </c>
      <c r="W32" s="397">
        <f t="shared" si="4"/>
        <v>0</v>
      </c>
    </row>
    <row r="33" spans="2:23" outlineLevel="1" x14ac:dyDescent="0.25">
      <c r="B33" s="186">
        <v>5</v>
      </c>
      <c r="C33" s="186"/>
      <c r="D33" s="187">
        <v>6271007202</v>
      </c>
      <c r="E33" s="188" t="s">
        <v>170</v>
      </c>
      <c r="F33" s="188" t="s">
        <v>169</v>
      </c>
      <c r="G33" s="188" t="s">
        <v>170</v>
      </c>
      <c r="H33" s="187" t="s">
        <v>154</v>
      </c>
      <c r="I33" s="195" t="s">
        <v>228</v>
      </c>
      <c r="J33" s="189"/>
      <c r="K33" s="189"/>
      <c r="L33" s="189"/>
      <c r="M33" s="189"/>
      <c r="N33" s="397">
        <f>ROUND(CPSX!N33/'4.Doanh thu'!I$11,0)</f>
        <v>0</v>
      </c>
      <c r="O33" s="397">
        <f>ROUND(CPSX!O33/'4.Doanh thu'!J$11,0)</f>
        <v>0</v>
      </c>
      <c r="P33" s="397">
        <f>ROUND(CPSX!P33/'4.Doanh thu'!K$11,0)</f>
        <v>0</v>
      </c>
      <c r="Q33" s="397">
        <f>ROUND(CPSX!Q33/'4.Doanh thu'!L$11,0)</f>
        <v>0</v>
      </c>
      <c r="R33" s="397">
        <f>ROUND(CPSX!R33/'4.Doanh thu'!M$11,0)</f>
        <v>0</v>
      </c>
      <c r="S33" s="397">
        <f>ROUND(CPSX!S33/'4.Doanh thu'!N$11,0)</f>
        <v>0</v>
      </c>
      <c r="T33" s="397">
        <f>ROUND(CPSX!T33/'4.Doanh thu'!O$11,0)</f>
        <v>0</v>
      </c>
      <c r="U33" s="397">
        <f>ROUND(CPSX!U33/'4.Doanh thu'!P$11,0)</f>
        <v>0</v>
      </c>
      <c r="V33" s="397">
        <f>ROUND(CPSX!V33/'4.Doanh thu'!Q$11,0)</f>
        <v>0</v>
      </c>
      <c r="W33" s="397">
        <f t="shared" si="4"/>
        <v>0</v>
      </c>
    </row>
    <row r="34" spans="2:23" outlineLevel="1" x14ac:dyDescent="0.25">
      <c r="B34" s="186">
        <v>6</v>
      </c>
      <c r="C34" s="186"/>
      <c r="D34" s="306">
        <v>6271003202</v>
      </c>
      <c r="E34" s="307" t="s">
        <v>171</v>
      </c>
      <c r="F34" s="307" t="s">
        <v>169</v>
      </c>
      <c r="G34" s="307" t="s">
        <v>171</v>
      </c>
      <c r="H34" s="306" t="s">
        <v>154</v>
      </c>
      <c r="I34" s="195" t="s">
        <v>228</v>
      </c>
      <c r="J34" s="244"/>
      <c r="K34" s="244">
        <f>'Dinh muc'!$G$13*'3.Thanh pham'!F$10</f>
        <v>0</v>
      </c>
      <c r="L34" s="244">
        <f>'Dinh muc'!$G$13*'3.Thanh pham'!G$10</f>
        <v>0</v>
      </c>
      <c r="M34" s="244">
        <f>'Dinh muc'!$G$13*'3.Thanh pham'!H$10</f>
        <v>0</v>
      </c>
      <c r="N34" s="397">
        <f>ROUND(CPSX!N34/'4.Doanh thu'!I$11,0)</f>
        <v>40</v>
      </c>
      <c r="O34" s="397">
        <f>ROUND(CPSX!O34/'4.Doanh thu'!J$11,0)</f>
        <v>40</v>
      </c>
      <c r="P34" s="397">
        <f>ROUND(CPSX!P34/'4.Doanh thu'!K$11,0)</f>
        <v>40</v>
      </c>
      <c r="Q34" s="397">
        <f>ROUND(CPSX!Q34/'4.Doanh thu'!L$11,0)</f>
        <v>40</v>
      </c>
      <c r="R34" s="397">
        <f>ROUND(CPSX!R34/'4.Doanh thu'!M$11,0)</f>
        <v>40</v>
      </c>
      <c r="S34" s="397">
        <f>ROUND(CPSX!S34/'4.Doanh thu'!N$11,0)</f>
        <v>40</v>
      </c>
      <c r="T34" s="397">
        <f>ROUND(CPSX!T34/'4.Doanh thu'!O$11,0)</f>
        <v>40</v>
      </c>
      <c r="U34" s="397">
        <f>ROUND(CPSX!U34/'4.Doanh thu'!P$11,0)</f>
        <v>40</v>
      </c>
      <c r="V34" s="397">
        <f>ROUND(CPSX!V34/'4.Doanh thu'!Q$11,0)</f>
        <v>40</v>
      </c>
      <c r="W34" s="397">
        <f t="shared" si="4"/>
        <v>40</v>
      </c>
    </row>
    <row r="35" spans="2:23" outlineLevel="1" x14ac:dyDescent="0.25">
      <c r="B35" s="186">
        <v>7</v>
      </c>
      <c r="C35" s="186"/>
      <c r="D35" s="306">
        <v>6271002603</v>
      </c>
      <c r="E35" s="307" t="s">
        <v>172</v>
      </c>
      <c r="F35" s="307" t="s">
        <v>167</v>
      </c>
      <c r="G35" s="307" t="s">
        <v>172</v>
      </c>
      <c r="H35" s="306" t="s">
        <v>154</v>
      </c>
      <c r="I35" s="195" t="s">
        <v>228</v>
      </c>
      <c r="J35" s="244"/>
      <c r="K35" s="244"/>
      <c r="L35" s="244"/>
      <c r="M35" s="244"/>
      <c r="N35" s="397">
        <f>ROUND(CPSX!N35/'4.Doanh thu'!I$11,0)</f>
        <v>0</v>
      </c>
      <c r="O35" s="397">
        <f>ROUND(CPSX!O35/'4.Doanh thu'!J$11,0)</f>
        <v>0</v>
      </c>
      <c r="P35" s="397">
        <f>ROUND(CPSX!P35/'4.Doanh thu'!K$11,0)</f>
        <v>0</v>
      </c>
      <c r="Q35" s="397">
        <f>ROUND(CPSX!Q35/'4.Doanh thu'!L$11,0)</f>
        <v>0</v>
      </c>
      <c r="R35" s="397">
        <f>ROUND(CPSX!R35/'4.Doanh thu'!M$11,0)</f>
        <v>0</v>
      </c>
      <c r="S35" s="397">
        <f>ROUND(CPSX!S35/'4.Doanh thu'!N$11,0)</f>
        <v>0</v>
      </c>
      <c r="T35" s="397">
        <f>ROUND(CPSX!T35/'4.Doanh thu'!O$11,0)</f>
        <v>0</v>
      </c>
      <c r="U35" s="397">
        <f>ROUND(CPSX!U35/'4.Doanh thu'!P$11,0)</f>
        <v>0</v>
      </c>
      <c r="V35" s="397">
        <f>ROUND(CPSX!V35/'4.Doanh thu'!Q$11,0)</f>
        <v>0</v>
      </c>
      <c r="W35" s="397">
        <f t="shared" si="4"/>
        <v>0</v>
      </c>
    </row>
    <row r="36" spans="2:23" outlineLevel="1" x14ac:dyDescent="0.25">
      <c r="B36" s="186">
        <v>8</v>
      </c>
      <c r="C36" s="186"/>
      <c r="D36" s="306">
        <v>6271003401</v>
      </c>
      <c r="E36" s="307" t="s">
        <v>173</v>
      </c>
      <c r="F36" s="307" t="s">
        <v>169</v>
      </c>
      <c r="G36" s="307" t="s">
        <v>173</v>
      </c>
      <c r="H36" s="306" t="s">
        <v>154</v>
      </c>
      <c r="I36" s="195" t="s">
        <v>228</v>
      </c>
      <c r="J36" s="244"/>
      <c r="K36" s="244"/>
      <c r="L36" s="244"/>
      <c r="M36" s="244"/>
      <c r="N36" s="397">
        <f>ROUND(CPSX!N36/'4.Doanh thu'!I$11,0)</f>
        <v>0</v>
      </c>
      <c r="O36" s="397">
        <f>ROUND(CPSX!O36/'4.Doanh thu'!J$11,0)</f>
        <v>0</v>
      </c>
      <c r="P36" s="397">
        <f>ROUND(CPSX!P36/'4.Doanh thu'!K$11,0)</f>
        <v>0</v>
      </c>
      <c r="Q36" s="397">
        <f>ROUND(CPSX!Q36/'4.Doanh thu'!L$11,0)</f>
        <v>0</v>
      </c>
      <c r="R36" s="397">
        <f>ROUND(CPSX!R36/'4.Doanh thu'!M$11,0)</f>
        <v>0</v>
      </c>
      <c r="S36" s="397">
        <f>ROUND(CPSX!S36/'4.Doanh thu'!N$11,0)</f>
        <v>0</v>
      </c>
      <c r="T36" s="397">
        <f>ROUND(CPSX!T36/'4.Doanh thu'!O$11,0)</f>
        <v>0</v>
      </c>
      <c r="U36" s="397">
        <f>ROUND(CPSX!U36/'4.Doanh thu'!P$11,0)</f>
        <v>0</v>
      </c>
      <c r="V36" s="397">
        <f>ROUND(CPSX!V36/'4.Doanh thu'!Q$11,0)</f>
        <v>0</v>
      </c>
      <c r="W36" s="397">
        <f t="shared" si="4"/>
        <v>0</v>
      </c>
    </row>
    <row r="37" spans="2:23" outlineLevel="1" x14ac:dyDescent="0.25">
      <c r="B37" s="186">
        <v>9</v>
      </c>
      <c r="C37" s="186"/>
      <c r="D37" s="306">
        <v>6271002703</v>
      </c>
      <c r="E37" s="307" t="s">
        <v>174</v>
      </c>
      <c r="F37" s="307" t="s">
        <v>167</v>
      </c>
      <c r="G37" s="307" t="s">
        <v>174</v>
      </c>
      <c r="H37" s="306" t="s">
        <v>154</v>
      </c>
      <c r="I37" s="195" t="s">
        <v>228</v>
      </c>
      <c r="J37" s="244"/>
      <c r="K37" s="244"/>
      <c r="L37" s="244"/>
      <c r="M37" s="244"/>
      <c r="N37" s="397">
        <f>ROUND(CPSX!N37/'4.Doanh thu'!I$11,0)</f>
        <v>0</v>
      </c>
      <c r="O37" s="397">
        <f>ROUND(CPSX!O37/'4.Doanh thu'!J$11,0)</f>
        <v>0</v>
      </c>
      <c r="P37" s="397">
        <f>ROUND(CPSX!P37/'4.Doanh thu'!K$11,0)</f>
        <v>0</v>
      </c>
      <c r="Q37" s="397">
        <f>ROUND(CPSX!Q37/'4.Doanh thu'!L$11,0)</f>
        <v>0</v>
      </c>
      <c r="R37" s="397">
        <f>ROUND(CPSX!R37/'4.Doanh thu'!M$11,0)</f>
        <v>0</v>
      </c>
      <c r="S37" s="397">
        <f>ROUND(CPSX!S37/'4.Doanh thu'!N$11,0)</f>
        <v>0</v>
      </c>
      <c r="T37" s="397">
        <f>ROUND(CPSX!T37/'4.Doanh thu'!O$11,0)</f>
        <v>0</v>
      </c>
      <c r="U37" s="397">
        <f>ROUND(CPSX!U37/'4.Doanh thu'!P$11,0)</f>
        <v>0</v>
      </c>
      <c r="V37" s="397">
        <f>ROUND(CPSX!V37/'4.Doanh thu'!Q$11,0)</f>
        <v>0</v>
      </c>
      <c r="W37" s="397">
        <f t="shared" si="4"/>
        <v>0</v>
      </c>
    </row>
    <row r="38" spans="2:23" outlineLevel="1" x14ac:dyDescent="0.25">
      <c r="B38" s="186">
        <v>10</v>
      </c>
      <c r="C38" s="186"/>
      <c r="D38" s="306" t="s">
        <v>343</v>
      </c>
      <c r="E38" s="307" t="s">
        <v>344</v>
      </c>
      <c r="F38" s="307" t="s">
        <v>345</v>
      </c>
      <c r="G38" s="307" t="s">
        <v>344</v>
      </c>
      <c r="H38" s="306" t="s">
        <v>154</v>
      </c>
      <c r="I38" s="195" t="s">
        <v>246</v>
      </c>
      <c r="J38" s="244"/>
      <c r="K38" s="244"/>
      <c r="L38" s="244"/>
      <c r="M38" s="244"/>
      <c r="N38" s="397">
        <f>ROUND(CPSX!N38/'4.Doanh thu'!I$11,0)</f>
        <v>0</v>
      </c>
      <c r="O38" s="397">
        <f>ROUND(CPSX!O38/'4.Doanh thu'!J$11,0)</f>
        <v>0</v>
      </c>
      <c r="P38" s="397">
        <f>ROUND(CPSX!P38/'4.Doanh thu'!K$11,0)</f>
        <v>0</v>
      </c>
      <c r="Q38" s="397">
        <f>ROUND(CPSX!Q38/'4.Doanh thu'!L$11,0)</f>
        <v>0</v>
      </c>
      <c r="R38" s="397">
        <f>ROUND(CPSX!R38/'4.Doanh thu'!M$11,0)</f>
        <v>0</v>
      </c>
      <c r="S38" s="397">
        <f>ROUND(CPSX!S38/'4.Doanh thu'!N$11,0)</f>
        <v>0</v>
      </c>
      <c r="T38" s="397">
        <f>ROUND(CPSX!T38/'4.Doanh thu'!O$11,0)</f>
        <v>0</v>
      </c>
      <c r="U38" s="397">
        <f>ROUND(CPSX!U38/'4.Doanh thu'!P$11,0)</f>
        <v>0</v>
      </c>
      <c r="V38" s="397">
        <f>ROUND(CPSX!V38/'4.Doanh thu'!Q$11,0)</f>
        <v>0</v>
      </c>
      <c r="W38" s="397">
        <f t="shared" si="4"/>
        <v>0</v>
      </c>
    </row>
    <row r="39" spans="2:23" outlineLevel="1" x14ac:dyDescent="0.25">
      <c r="B39" s="186">
        <v>11</v>
      </c>
      <c r="C39" s="186"/>
      <c r="D39" s="306">
        <v>6271003001</v>
      </c>
      <c r="E39" s="307" t="s">
        <v>229</v>
      </c>
      <c r="F39" s="307" t="s">
        <v>169</v>
      </c>
      <c r="G39" s="307" t="s">
        <v>229</v>
      </c>
      <c r="H39" s="306" t="s">
        <v>154</v>
      </c>
      <c r="I39" s="195" t="s">
        <v>230</v>
      </c>
      <c r="J39" s="244"/>
      <c r="K39" s="244"/>
      <c r="L39" s="244"/>
      <c r="M39" s="244"/>
      <c r="N39" s="397">
        <f>ROUND(CPSX!N39/'4.Doanh thu'!I$11,0)</f>
        <v>0</v>
      </c>
      <c r="O39" s="397">
        <f>ROUND(CPSX!O39/'4.Doanh thu'!J$11,0)</f>
        <v>0</v>
      </c>
      <c r="P39" s="397">
        <f>ROUND(CPSX!P39/'4.Doanh thu'!K$11,0)</f>
        <v>0</v>
      </c>
      <c r="Q39" s="397">
        <f>ROUND(CPSX!Q39/'4.Doanh thu'!L$11,0)</f>
        <v>0</v>
      </c>
      <c r="R39" s="397">
        <f>ROUND(CPSX!R39/'4.Doanh thu'!M$11,0)</f>
        <v>0</v>
      </c>
      <c r="S39" s="397">
        <f>ROUND(CPSX!S39/'4.Doanh thu'!N$11,0)</f>
        <v>0</v>
      </c>
      <c r="T39" s="397">
        <f>ROUND(CPSX!T39/'4.Doanh thu'!O$11,0)</f>
        <v>0</v>
      </c>
      <c r="U39" s="397">
        <f>ROUND(CPSX!U39/'4.Doanh thu'!P$11,0)</f>
        <v>0</v>
      </c>
      <c r="V39" s="397">
        <f>ROUND(CPSX!V39/'4.Doanh thu'!Q$11,0)</f>
        <v>0</v>
      </c>
      <c r="W39" s="397">
        <f t="shared" si="4"/>
        <v>0</v>
      </c>
    </row>
    <row r="40" spans="2:23" outlineLevel="1" x14ac:dyDescent="0.25">
      <c r="B40" s="186">
        <v>12</v>
      </c>
      <c r="C40" s="186"/>
      <c r="D40" s="306" t="s">
        <v>276</v>
      </c>
      <c r="E40" s="307" t="s">
        <v>231</v>
      </c>
      <c r="F40" s="307" t="s">
        <v>169</v>
      </c>
      <c r="G40" s="307" t="s">
        <v>232</v>
      </c>
      <c r="H40" s="306" t="s">
        <v>154</v>
      </c>
      <c r="I40" s="195" t="s">
        <v>230</v>
      </c>
      <c r="J40" s="244"/>
      <c r="K40" s="244"/>
      <c r="L40" s="244"/>
      <c r="M40" s="244"/>
      <c r="N40" s="397">
        <f>ROUND(CPSX!N40/'4.Doanh thu'!I$11,0)</f>
        <v>0</v>
      </c>
      <c r="O40" s="397">
        <f>ROUND(CPSX!O40/'4.Doanh thu'!J$11,0)</f>
        <v>0</v>
      </c>
      <c r="P40" s="397">
        <f>ROUND(CPSX!P40/'4.Doanh thu'!K$11,0)</f>
        <v>0</v>
      </c>
      <c r="Q40" s="397">
        <f>ROUND(CPSX!Q40/'4.Doanh thu'!L$11,0)</f>
        <v>0</v>
      </c>
      <c r="R40" s="397">
        <f>ROUND(CPSX!R40/'4.Doanh thu'!M$11,0)</f>
        <v>0</v>
      </c>
      <c r="S40" s="397">
        <f>ROUND(CPSX!S40/'4.Doanh thu'!N$11,0)</f>
        <v>0</v>
      </c>
      <c r="T40" s="397">
        <f>ROUND(CPSX!T40/'4.Doanh thu'!O$11,0)</f>
        <v>0</v>
      </c>
      <c r="U40" s="397">
        <f>ROUND(CPSX!U40/'4.Doanh thu'!P$11,0)</f>
        <v>0</v>
      </c>
      <c r="V40" s="397">
        <f>ROUND(CPSX!V40/'4.Doanh thu'!Q$11,0)</f>
        <v>0</v>
      </c>
      <c r="W40" s="397">
        <f t="shared" si="4"/>
        <v>0</v>
      </c>
    </row>
    <row r="41" spans="2:23" outlineLevel="1" x14ac:dyDescent="0.25">
      <c r="B41" s="186">
        <v>13</v>
      </c>
      <c r="C41" s="186"/>
      <c r="D41" s="306">
        <v>6273000100</v>
      </c>
      <c r="E41" s="307" t="s">
        <v>244</v>
      </c>
      <c r="F41" s="307" t="s">
        <v>245</v>
      </c>
      <c r="G41" s="307" t="s">
        <v>244</v>
      </c>
      <c r="H41" s="306" t="s">
        <v>158</v>
      </c>
      <c r="I41" s="195" t="s">
        <v>246</v>
      </c>
      <c r="J41" s="244"/>
      <c r="K41" s="244"/>
      <c r="L41" s="244"/>
      <c r="M41" s="244"/>
      <c r="N41" s="397">
        <f>ROUND(CPSX!N41/'4.Doanh thu'!I$11,0)</f>
        <v>23</v>
      </c>
      <c r="O41" s="397">
        <f>ROUND(CPSX!O41/'4.Doanh thu'!J$11,0)</f>
        <v>23</v>
      </c>
      <c r="P41" s="397">
        <f>ROUND(CPSX!P41/'4.Doanh thu'!K$11,0)</f>
        <v>23</v>
      </c>
      <c r="Q41" s="397">
        <f>ROUND(CPSX!Q41/'4.Doanh thu'!L$11,0)</f>
        <v>23</v>
      </c>
      <c r="R41" s="397">
        <f>ROUND(CPSX!R41/'4.Doanh thu'!M$11,0)</f>
        <v>23</v>
      </c>
      <c r="S41" s="397">
        <f>ROUND(CPSX!S41/'4.Doanh thu'!N$11,0)</f>
        <v>23</v>
      </c>
      <c r="T41" s="397">
        <f>ROUND(CPSX!T41/'4.Doanh thu'!O$11,0)</f>
        <v>23</v>
      </c>
      <c r="U41" s="397">
        <f>ROUND(CPSX!U41/'4.Doanh thu'!P$11,0)</f>
        <v>23</v>
      </c>
      <c r="V41" s="397">
        <f>ROUND(CPSX!V41/'4.Doanh thu'!Q$11,0)</f>
        <v>23</v>
      </c>
      <c r="W41" s="397">
        <f t="shared" si="4"/>
        <v>23</v>
      </c>
    </row>
    <row r="42" spans="2:23" outlineLevel="1" x14ac:dyDescent="0.25">
      <c r="B42" s="186">
        <v>14</v>
      </c>
      <c r="C42" s="186"/>
      <c r="D42" s="306">
        <v>6275001803</v>
      </c>
      <c r="E42" s="307" t="s">
        <v>247</v>
      </c>
      <c r="F42" s="307" t="s">
        <v>240</v>
      </c>
      <c r="G42" s="307" t="s">
        <v>247</v>
      </c>
      <c r="H42" s="306" t="s">
        <v>158</v>
      </c>
      <c r="I42" s="195" t="s">
        <v>246</v>
      </c>
      <c r="J42" s="244"/>
      <c r="K42" s="244"/>
      <c r="L42" s="244"/>
      <c r="M42" s="244"/>
      <c r="N42" s="397">
        <f>ROUND(CPSX!N42/'4.Doanh thu'!I$11,0)</f>
        <v>0</v>
      </c>
      <c r="O42" s="397">
        <f>ROUND(CPSX!O42/'4.Doanh thu'!J$11,0)</f>
        <v>0</v>
      </c>
      <c r="P42" s="397">
        <f>ROUND(CPSX!P42/'4.Doanh thu'!K$11,0)</f>
        <v>0</v>
      </c>
      <c r="Q42" s="397">
        <f>ROUND(CPSX!Q42/'4.Doanh thu'!L$11,0)</f>
        <v>0</v>
      </c>
      <c r="R42" s="397">
        <f>ROUND(CPSX!R42/'4.Doanh thu'!M$11,0)</f>
        <v>0</v>
      </c>
      <c r="S42" s="397">
        <f>ROUND(CPSX!S42/'4.Doanh thu'!N$11,0)</f>
        <v>0</v>
      </c>
      <c r="T42" s="397">
        <f>ROUND(CPSX!T42/'4.Doanh thu'!O$11,0)</f>
        <v>0</v>
      </c>
      <c r="U42" s="397">
        <f>ROUND(CPSX!U42/'4.Doanh thu'!P$11,0)</f>
        <v>0</v>
      </c>
      <c r="V42" s="397">
        <f>ROUND(CPSX!V42/'4.Doanh thu'!Q$11,0)</f>
        <v>0</v>
      </c>
      <c r="W42" s="397">
        <f t="shared" si="4"/>
        <v>0</v>
      </c>
    </row>
    <row r="43" spans="2:23" outlineLevel="1" x14ac:dyDescent="0.25">
      <c r="B43" s="186">
        <v>15</v>
      </c>
      <c r="C43" s="186"/>
      <c r="D43" s="306">
        <v>6277002804</v>
      </c>
      <c r="E43" s="307" t="s">
        <v>248</v>
      </c>
      <c r="F43" s="307" t="s">
        <v>249</v>
      </c>
      <c r="G43" s="307" t="s">
        <v>248</v>
      </c>
      <c r="H43" s="306" t="s">
        <v>154</v>
      </c>
      <c r="I43" s="195" t="s">
        <v>246</v>
      </c>
      <c r="J43" s="244"/>
      <c r="K43" s="244"/>
      <c r="L43" s="244"/>
      <c r="M43" s="244"/>
      <c r="N43" s="397">
        <f>ROUND(CPSX!N43/'4.Doanh thu'!I$11,0)</f>
        <v>0</v>
      </c>
      <c r="O43" s="397">
        <f>ROUND(CPSX!O43/'4.Doanh thu'!J$11,0)</f>
        <v>0</v>
      </c>
      <c r="P43" s="397">
        <f>ROUND(CPSX!P43/'4.Doanh thu'!K$11,0)</f>
        <v>0</v>
      </c>
      <c r="Q43" s="397">
        <f>ROUND(CPSX!Q43/'4.Doanh thu'!L$11,0)</f>
        <v>0</v>
      </c>
      <c r="R43" s="397">
        <f>ROUND(CPSX!R43/'4.Doanh thu'!M$11,0)</f>
        <v>0</v>
      </c>
      <c r="S43" s="397">
        <f>ROUND(CPSX!S43/'4.Doanh thu'!N$11,0)</f>
        <v>0</v>
      </c>
      <c r="T43" s="397">
        <f>ROUND(CPSX!T43/'4.Doanh thu'!O$11,0)</f>
        <v>0</v>
      </c>
      <c r="U43" s="397">
        <f>ROUND(CPSX!U43/'4.Doanh thu'!P$11,0)</f>
        <v>0</v>
      </c>
      <c r="V43" s="397">
        <f>ROUND(CPSX!V43/'4.Doanh thu'!Q$11,0)</f>
        <v>0</v>
      </c>
      <c r="W43" s="397">
        <f t="shared" si="4"/>
        <v>0</v>
      </c>
    </row>
    <row r="44" spans="2:23" outlineLevel="1" x14ac:dyDescent="0.25">
      <c r="B44" s="186">
        <v>16</v>
      </c>
      <c r="C44" s="186"/>
      <c r="D44" s="306">
        <v>6277003702</v>
      </c>
      <c r="E44" s="307" t="s">
        <v>250</v>
      </c>
      <c r="F44" s="307" t="s">
        <v>251</v>
      </c>
      <c r="G44" s="307" t="s">
        <v>250</v>
      </c>
      <c r="H44" s="306" t="s">
        <v>153</v>
      </c>
      <c r="I44" s="195" t="s">
        <v>230</v>
      </c>
      <c r="J44" s="244"/>
      <c r="K44" s="244"/>
      <c r="L44" s="244"/>
      <c r="M44" s="244"/>
      <c r="N44" s="397">
        <f>ROUND(CPSX!N44/'4.Doanh thu'!I$11,0)</f>
        <v>0</v>
      </c>
      <c r="O44" s="397">
        <f>ROUND(CPSX!O44/'4.Doanh thu'!J$11,0)</f>
        <v>0</v>
      </c>
      <c r="P44" s="397">
        <f>ROUND(CPSX!P44/'4.Doanh thu'!K$11,0)</f>
        <v>0</v>
      </c>
      <c r="Q44" s="397">
        <f>ROUND(CPSX!Q44/'4.Doanh thu'!L$11,0)</f>
        <v>0</v>
      </c>
      <c r="R44" s="397">
        <f>ROUND(CPSX!R44/'4.Doanh thu'!M$11,0)</f>
        <v>0</v>
      </c>
      <c r="S44" s="397">
        <f>ROUND(CPSX!S44/'4.Doanh thu'!N$11,0)</f>
        <v>0</v>
      </c>
      <c r="T44" s="397">
        <f>ROUND(CPSX!T44/'4.Doanh thu'!O$11,0)</f>
        <v>0</v>
      </c>
      <c r="U44" s="397">
        <f>ROUND(CPSX!U44/'4.Doanh thu'!P$11,0)</f>
        <v>0</v>
      </c>
      <c r="V44" s="397">
        <f>ROUND(CPSX!V44/'4.Doanh thu'!Q$11,0)</f>
        <v>0</v>
      </c>
      <c r="W44" s="397">
        <f t="shared" si="4"/>
        <v>0</v>
      </c>
    </row>
    <row r="45" spans="2:23" x14ac:dyDescent="0.25">
      <c r="B45" s="186">
        <v>17</v>
      </c>
      <c r="C45" s="186"/>
      <c r="D45" s="306">
        <v>6277005001</v>
      </c>
      <c r="E45" s="307" t="s">
        <v>252</v>
      </c>
      <c r="F45" s="307" t="s">
        <v>253</v>
      </c>
      <c r="G45" s="307" t="s">
        <v>252</v>
      </c>
      <c r="H45" s="306" t="s">
        <v>153</v>
      </c>
      <c r="I45" s="195" t="s">
        <v>235</v>
      </c>
      <c r="J45" s="244"/>
      <c r="K45" s="244"/>
      <c r="L45" s="244"/>
      <c r="M45" s="244"/>
      <c r="N45" s="397">
        <f>ROUND(CPSX!N45/'4.Doanh thu'!I$11,0)</f>
        <v>0</v>
      </c>
      <c r="O45" s="397">
        <f>ROUND(CPSX!O45/'4.Doanh thu'!J$11,0)</f>
        <v>0</v>
      </c>
      <c r="P45" s="397">
        <f>ROUND(CPSX!P45/'4.Doanh thu'!K$11,0)</f>
        <v>0</v>
      </c>
      <c r="Q45" s="397">
        <f>ROUND(CPSX!Q45/'4.Doanh thu'!L$11,0)</f>
        <v>0</v>
      </c>
      <c r="R45" s="397">
        <f>ROUND(CPSX!R45/'4.Doanh thu'!M$11,0)</f>
        <v>0</v>
      </c>
      <c r="S45" s="397">
        <f>ROUND(CPSX!S45/'4.Doanh thu'!N$11,0)</f>
        <v>0</v>
      </c>
      <c r="T45" s="397">
        <f>ROUND(CPSX!T45/'4.Doanh thu'!O$11,0)</f>
        <v>0</v>
      </c>
      <c r="U45" s="397">
        <f>ROUND(CPSX!U45/'4.Doanh thu'!P$11,0)</f>
        <v>0</v>
      </c>
      <c r="V45" s="397">
        <f>ROUND(CPSX!V45/'4.Doanh thu'!Q$11,0)</f>
        <v>0</v>
      </c>
      <c r="W45" s="397">
        <f t="shared" si="4"/>
        <v>0</v>
      </c>
    </row>
    <row r="46" spans="2:23" outlineLevel="1" x14ac:dyDescent="0.25">
      <c r="B46" s="186">
        <v>18</v>
      </c>
      <c r="C46" s="186"/>
      <c r="D46" s="306">
        <v>6278007201</v>
      </c>
      <c r="E46" s="307" t="s">
        <v>254</v>
      </c>
      <c r="F46" s="307" t="s">
        <v>249</v>
      </c>
      <c r="G46" s="307" t="s">
        <v>254</v>
      </c>
      <c r="H46" s="306" t="s">
        <v>158</v>
      </c>
      <c r="I46" s="195" t="s">
        <v>246</v>
      </c>
      <c r="J46" s="244"/>
      <c r="K46" s="244"/>
      <c r="L46" s="244"/>
      <c r="M46" s="244"/>
      <c r="N46" s="397">
        <f>ROUND(CPSX!N46/'4.Doanh thu'!I$11,0)</f>
        <v>0</v>
      </c>
      <c r="O46" s="397">
        <f>ROUND(CPSX!O46/'4.Doanh thu'!J$11,0)</f>
        <v>0</v>
      </c>
      <c r="P46" s="397">
        <f>ROUND(CPSX!P46/'4.Doanh thu'!K$11,0)</f>
        <v>0</v>
      </c>
      <c r="Q46" s="397">
        <f>ROUND(CPSX!Q46/'4.Doanh thu'!L$11,0)</f>
        <v>0</v>
      </c>
      <c r="R46" s="397">
        <f>ROUND(CPSX!R46/'4.Doanh thu'!M$11,0)</f>
        <v>0</v>
      </c>
      <c r="S46" s="397">
        <f>ROUND(CPSX!S46/'4.Doanh thu'!N$11,0)</f>
        <v>0</v>
      </c>
      <c r="T46" s="397">
        <f>ROUND(CPSX!T46/'4.Doanh thu'!O$11,0)</f>
        <v>0</v>
      </c>
      <c r="U46" s="397">
        <f>ROUND(CPSX!U46/'4.Doanh thu'!P$11,0)</f>
        <v>0</v>
      </c>
      <c r="V46" s="397">
        <f>ROUND(CPSX!V46/'4.Doanh thu'!Q$11,0)</f>
        <v>0</v>
      </c>
      <c r="W46" s="397">
        <f t="shared" si="4"/>
        <v>0</v>
      </c>
    </row>
    <row r="47" spans="2:23" outlineLevel="1" x14ac:dyDescent="0.25">
      <c r="B47" s="186">
        <v>19</v>
      </c>
      <c r="C47" s="186"/>
      <c r="D47" s="306" t="s">
        <v>313</v>
      </c>
      <c r="E47" s="307" t="s">
        <v>314</v>
      </c>
      <c r="F47" s="307" t="s">
        <v>256</v>
      </c>
      <c r="G47" s="307" t="s">
        <v>355</v>
      </c>
      <c r="H47" s="306" t="s">
        <v>157</v>
      </c>
      <c r="I47" s="195" t="s">
        <v>246</v>
      </c>
      <c r="J47" s="244"/>
      <c r="K47" s="244"/>
      <c r="L47" s="244"/>
      <c r="M47" s="244"/>
      <c r="N47" s="397">
        <f>ROUND(CPSX!N47/'4.Doanh thu'!I$11,0)</f>
        <v>0</v>
      </c>
      <c r="O47" s="397">
        <f>ROUND(CPSX!O47/'4.Doanh thu'!J$11,0)</f>
        <v>0</v>
      </c>
      <c r="P47" s="397">
        <f>ROUND(CPSX!P47/'4.Doanh thu'!K$11,0)</f>
        <v>0</v>
      </c>
      <c r="Q47" s="397">
        <f>ROUND(CPSX!Q47/'4.Doanh thu'!L$11,0)</f>
        <v>0</v>
      </c>
      <c r="R47" s="397">
        <f>ROUND(CPSX!R47/'4.Doanh thu'!M$11,0)</f>
        <v>0</v>
      </c>
      <c r="S47" s="397">
        <f>ROUND(CPSX!S47/'4.Doanh thu'!N$11,0)</f>
        <v>0</v>
      </c>
      <c r="T47" s="397">
        <f>ROUND(CPSX!T47/'4.Doanh thu'!O$11,0)</f>
        <v>0</v>
      </c>
      <c r="U47" s="397">
        <f>ROUND(CPSX!U47/'4.Doanh thu'!P$11,0)</f>
        <v>0</v>
      </c>
      <c r="V47" s="397">
        <f>ROUND(CPSX!V47/'4.Doanh thu'!Q$11,0)</f>
        <v>0</v>
      </c>
      <c r="W47" s="397">
        <f t="shared" si="4"/>
        <v>0</v>
      </c>
    </row>
    <row r="48" spans="2:23" outlineLevel="1" x14ac:dyDescent="0.25">
      <c r="B48" s="186">
        <v>20</v>
      </c>
      <c r="C48" s="186"/>
      <c r="D48" s="306">
        <v>6273006501</v>
      </c>
      <c r="E48" s="307" t="s">
        <v>255</v>
      </c>
      <c r="F48" s="307" t="s">
        <v>256</v>
      </c>
      <c r="G48" s="307" t="s">
        <v>257</v>
      </c>
      <c r="H48" s="306" t="s">
        <v>157</v>
      </c>
      <c r="I48" s="195" t="s">
        <v>230</v>
      </c>
      <c r="J48" s="244"/>
      <c r="K48" s="244"/>
      <c r="L48" s="244"/>
      <c r="M48" s="244"/>
      <c r="N48" s="397">
        <f>ROUND(CPSX!N48/'4.Doanh thu'!I$11,0)</f>
        <v>0</v>
      </c>
      <c r="O48" s="397">
        <f>ROUND(CPSX!O48/'4.Doanh thu'!J$11,0)</f>
        <v>0</v>
      </c>
      <c r="P48" s="397">
        <f>ROUND(CPSX!P48/'4.Doanh thu'!K$11,0)</f>
        <v>0</v>
      </c>
      <c r="Q48" s="397">
        <f>ROUND(CPSX!Q48/'4.Doanh thu'!L$11,0)</f>
        <v>0</v>
      </c>
      <c r="R48" s="397">
        <f>ROUND(CPSX!R48/'4.Doanh thu'!M$11,0)</f>
        <v>0</v>
      </c>
      <c r="S48" s="397">
        <f>ROUND(CPSX!S48/'4.Doanh thu'!N$11,0)</f>
        <v>0</v>
      </c>
      <c r="T48" s="397">
        <f>ROUND(CPSX!T48/'4.Doanh thu'!O$11,0)</f>
        <v>0</v>
      </c>
      <c r="U48" s="397">
        <f>ROUND(CPSX!U48/'4.Doanh thu'!P$11,0)</f>
        <v>0</v>
      </c>
      <c r="V48" s="397">
        <f>ROUND(CPSX!V48/'4.Doanh thu'!Q$11,0)</f>
        <v>0</v>
      </c>
      <c r="W48" s="397">
        <f t="shared" si="4"/>
        <v>0</v>
      </c>
    </row>
    <row r="49" spans="2:23" outlineLevel="1" x14ac:dyDescent="0.25">
      <c r="B49" s="186">
        <v>21</v>
      </c>
      <c r="C49" s="186"/>
      <c r="D49" s="306" t="s">
        <v>258</v>
      </c>
      <c r="E49" s="307" t="s">
        <v>259</v>
      </c>
      <c r="F49" s="307" t="s">
        <v>260</v>
      </c>
      <c r="G49" s="307" t="s">
        <v>259</v>
      </c>
      <c r="H49" s="306" t="s">
        <v>153</v>
      </c>
      <c r="I49" s="195" t="s">
        <v>230</v>
      </c>
      <c r="J49" s="244"/>
      <c r="K49" s="308"/>
      <c r="L49" s="308"/>
      <c r="M49" s="308"/>
      <c r="N49" s="397">
        <f>ROUND(CPSX!N49/'4.Doanh thu'!I$11,0)</f>
        <v>0</v>
      </c>
      <c r="O49" s="397">
        <f>ROUND(CPSX!O49/'4.Doanh thu'!J$11,0)</f>
        <v>0</v>
      </c>
      <c r="P49" s="397">
        <f>ROUND(CPSX!P49/'4.Doanh thu'!K$11,0)</f>
        <v>0</v>
      </c>
      <c r="Q49" s="397">
        <f>ROUND(CPSX!Q49/'4.Doanh thu'!L$11,0)</f>
        <v>0</v>
      </c>
      <c r="R49" s="397">
        <f>ROUND(CPSX!R49/'4.Doanh thu'!M$11,0)</f>
        <v>0</v>
      </c>
      <c r="S49" s="397">
        <f>ROUND(CPSX!S49/'4.Doanh thu'!N$11,0)</f>
        <v>0</v>
      </c>
      <c r="T49" s="397">
        <f>ROUND(CPSX!T49/'4.Doanh thu'!O$11,0)</f>
        <v>0</v>
      </c>
      <c r="U49" s="397">
        <f>ROUND(CPSX!U49/'4.Doanh thu'!P$11,0)</f>
        <v>0</v>
      </c>
      <c r="V49" s="397">
        <f>ROUND(CPSX!V49/'4.Doanh thu'!Q$11,0)</f>
        <v>0</v>
      </c>
      <c r="W49" s="397">
        <f t="shared" si="4"/>
        <v>0</v>
      </c>
    </row>
    <row r="50" spans="2:23" outlineLevel="1" x14ac:dyDescent="0.25">
      <c r="B50" s="186">
        <v>22</v>
      </c>
      <c r="C50" s="186"/>
      <c r="D50" s="306">
        <v>6277006501</v>
      </c>
      <c r="E50" s="307" t="s">
        <v>354</v>
      </c>
      <c r="F50" s="307" t="s">
        <v>256</v>
      </c>
      <c r="G50" s="307" t="s">
        <v>261</v>
      </c>
      <c r="H50" s="306" t="s">
        <v>157</v>
      </c>
      <c r="I50" s="195" t="s">
        <v>246</v>
      </c>
      <c r="J50" s="244"/>
      <c r="K50" s="244"/>
      <c r="L50" s="244"/>
      <c r="M50" s="244"/>
      <c r="N50" s="397">
        <f>ROUND(CPSX!N50/'4.Doanh thu'!I$11,0)</f>
        <v>0</v>
      </c>
      <c r="O50" s="397">
        <f>ROUND(CPSX!O50/'4.Doanh thu'!J$11,0)</f>
        <v>0</v>
      </c>
      <c r="P50" s="397">
        <f>ROUND(CPSX!P50/'4.Doanh thu'!K$11,0)</f>
        <v>0</v>
      </c>
      <c r="Q50" s="397">
        <f>ROUND(CPSX!Q50/'4.Doanh thu'!L$11,0)</f>
        <v>0</v>
      </c>
      <c r="R50" s="397">
        <f>ROUND(CPSX!R50/'4.Doanh thu'!M$11,0)</f>
        <v>0</v>
      </c>
      <c r="S50" s="397">
        <f>ROUND(CPSX!S50/'4.Doanh thu'!N$11,0)</f>
        <v>0</v>
      </c>
      <c r="T50" s="397">
        <f>ROUND(CPSX!T50/'4.Doanh thu'!O$11,0)</f>
        <v>0</v>
      </c>
      <c r="U50" s="397">
        <f>ROUND(CPSX!U50/'4.Doanh thu'!P$11,0)</f>
        <v>0</v>
      </c>
      <c r="V50" s="397">
        <f>ROUND(CPSX!V50/'4.Doanh thu'!Q$11,0)</f>
        <v>0</v>
      </c>
      <c r="W50" s="397">
        <f t="shared" si="4"/>
        <v>0</v>
      </c>
    </row>
    <row r="51" spans="2:23" x14ac:dyDescent="0.25">
      <c r="B51" s="186">
        <v>23</v>
      </c>
      <c r="C51" s="186"/>
      <c r="D51" s="306">
        <v>6273002001</v>
      </c>
      <c r="E51" s="307" t="s">
        <v>262</v>
      </c>
      <c r="F51" s="307" t="s">
        <v>256</v>
      </c>
      <c r="G51" s="307" t="s">
        <v>263</v>
      </c>
      <c r="H51" s="306" t="s">
        <v>156</v>
      </c>
      <c r="I51" s="195" t="s">
        <v>230</v>
      </c>
      <c r="J51" s="244"/>
      <c r="K51" s="244"/>
      <c r="L51" s="244"/>
      <c r="M51" s="244"/>
      <c r="N51" s="397">
        <f>ROUND(CPSX!N51/'4.Doanh thu'!I$11,0)</f>
        <v>0</v>
      </c>
      <c r="O51" s="397">
        <f>ROUND(CPSX!O51/'4.Doanh thu'!J$11,0)</f>
        <v>0</v>
      </c>
      <c r="P51" s="397">
        <f>ROUND(CPSX!P51/'4.Doanh thu'!K$11,0)</f>
        <v>0</v>
      </c>
      <c r="Q51" s="397">
        <f>ROUND(CPSX!Q51/'4.Doanh thu'!L$11,0)</f>
        <v>0</v>
      </c>
      <c r="R51" s="397">
        <f>ROUND(CPSX!R51/'4.Doanh thu'!M$11,0)</f>
        <v>0</v>
      </c>
      <c r="S51" s="397">
        <f>ROUND(CPSX!S51/'4.Doanh thu'!N$11,0)</f>
        <v>0</v>
      </c>
      <c r="T51" s="397">
        <f>ROUND(CPSX!T51/'4.Doanh thu'!O$11,0)</f>
        <v>0</v>
      </c>
      <c r="U51" s="397">
        <f>ROUND(CPSX!U51/'4.Doanh thu'!P$11,0)</f>
        <v>0</v>
      </c>
      <c r="V51" s="397">
        <f>ROUND(CPSX!V51/'4.Doanh thu'!Q$11,0)</f>
        <v>0</v>
      </c>
      <c r="W51" s="397">
        <f t="shared" si="4"/>
        <v>0</v>
      </c>
    </row>
    <row r="52" spans="2:23" outlineLevel="1" x14ac:dyDescent="0.25">
      <c r="B52" s="186">
        <v>24</v>
      </c>
      <c r="C52" s="186"/>
      <c r="D52" s="306">
        <v>6277002204</v>
      </c>
      <c r="E52" s="307" t="s">
        <v>264</v>
      </c>
      <c r="F52" s="307" t="s">
        <v>256</v>
      </c>
      <c r="G52" s="307" t="s">
        <v>265</v>
      </c>
      <c r="H52" s="306" t="s">
        <v>159</v>
      </c>
      <c r="I52" s="195" t="s">
        <v>230</v>
      </c>
      <c r="J52" s="244"/>
      <c r="K52" s="244"/>
      <c r="L52" s="244"/>
      <c r="M52" s="244"/>
      <c r="N52" s="397">
        <f>ROUND(CPSX!N52/'4.Doanh thu'!I$11,0)</f>
        <v>0</v>
      </c>
      <c r="O52" s="397">
        <f>ROUND(CPSX!O52/'4.Doanh thu'!J$11,0)</f>
        <v>0</v>
      </c>
      <c r="P52" s="397">
        <f>ROUND(CPSX!P52/'4.Doanh thu'!K$11,0)</f>
        <v>0</v>
      </c>
      <c r="Q52" s="397">
        <f>ROUND(CPSX!Q52/'4.Doanh thu'!L$11,0)</f>
        <v>0</v>
      </c>
      <c r="R52" s="397">
        <f>ROUND(CPSX!R52/'4.Doanh thu'!M$11,0)</f>
        <v>0</v>
      </c>
      <c r="S52" s="397">
        <f>ROUND(CPSX!S52/'4.Doanh thu'!N$11,0)</f>
        <v>0</v>
      </c>
      <c r="T52" s="397">
        <f>ROUND(CPSX!T52/'4.Doanh thu'!O$11,0)</f>
        <v>0</v>
      </c>
      <c r="U52" s="397">
        <f>ROUND(CPSX!U52/'4.Doanh thu'!P$11,0)</f>
        <v>0</v>
      </c>
      <c r="V52" s="397">
        <f>ROUND(CPSX!V52/'4.Doanh thu'!Q$11,0)</f>
        <v>0</v>
      </c>
      <c r="W52" s="397">
        <f t="shared" si="4"/>
        <v>0</v>
      </c>
    </row>
    <row r="53" spans="2:23" outlineLevel="1" x14ac:dyDescent="0.25">
      <c r="B53" s="186">
        <v>25</v>
      </c>
      <c r="C53" s="186"/>
      <c r="D53" s="306">
        <v>6277002301</v>
      </c>
      <c r="E53" s="307" t="s">
        <v>266</v>
      </c>
      <c r="F53" s="307" t="s">
        <v>267</v>
      </c>
      <c r="G53" s="307" t="s">
        <v>266</v>
      </c>
      <c r="H53" s="306" t="s">
        <v>155</v>
      </c>
      <c r="I53" s="195" t="s">
        <v>230</v>
      </c>
      <c r="J53" s="244"/>
      <c r="K53" s="244"/>
      <c r="L53" s="244"/>
      <c r="M53" s="244"/>
      <c r="N53" s="397">
        <f>ROUND(CPSX!N53/'4.Doanh thu'!I$11,0)</f>
        <v>0</v>
      </c>
      <c r="O53" s="397">
        <f>ROUND(CPSX!O53/'4.Doanh thu'!J$11,0)</f>
        <v>0</v>
      </c>
      <c r="P53" s="397">
        <f>ROUND(CPSX!P53/'4.Doanh thu'!K$11,0)</f>
        <v>0</v>
      </c>
      <c r="Q53" s="397">
        <f>ROUND(CPSX!Q53/'4.Doanh thu'!L$11,0)</f>
        <v>0</v>
      </c>
      <c r="R53" s="397">
        <f>ROUND(CPSX!R53/'4.Doanh thu'!M$11,0)</f>
        <v>0</v>
      </c>
      <c r="S53" s="397">
        <f>ROUND(CPSX!S53/'4.Doanh thu'!N$11,0)</f>
        <v>0</v>
      </c>
      <c r="T53" s="397">
        <f>ROUND(CPSX!T53/'4.Doanh thu'!O$11,0)</f>
        <v>0</v>
      </c>
      <c r="U53" s="397">
        <f>ROUND(CPSX!U53/'4.Doanh thu'!P$11,0)</f>
        <v>0</v>
      </c>
      <c r="V53" s="397">
        <f>ROUND(CPSX!V53/'4.Doanh thu'!Q$11,0)</f>
        <v>0</v>
      </c>
      <c r="W53" s="397">
        <f t="shared" si="4"/>
        <v>0</v>
      </c>
    </row>
    <row r="54" spans="2:23" outlineLevel="1" x14ac:dyDescent="0.25">
      <c r="B54" s="186">
        <v>26</v>
      </c>
      <c r="C54" s="186"/>
      <c r="D54" s="306">
        <v>6273001908</v>
      </c>
      <c r="E54" s="307" t="s">
        <v>268</v>
      </c>
      <c r="F54" s="307" t="s">
        <v>245</v>
      </c>
      <c r="G54" s="307" t="s">
        <v>268</v>
      </c>
      <c r="H54" s="306" t="s">
        <v>155</v>
      </c>
      <c r="I54" s="195" t="s">
        <v>230</v>
      </c>
      <c r="J54" s="244"/>
      <c r="K54" s="244"/>
      <c r="L54" s="244"/>
      <c r="M54" s="244"/>
      <c r="N54" s="397">
        <f>ROUND(CPSX!N54/'4.Doanh thu'!I$11,0)</f>
        <v>0</v>
      </c>
      <c r="O54" s="397">
        <f>ROUND(CPSX!O54/'4.Doanh thu'!J$11,0)</f>
        <v>0</v>
      </c>
      <c r="P54" s="397">
        <f>ROUND(CPSX!P54/'4.Doanh thu'!K$11,0)</f>
        <v>0</v>
      </c>
      <c r="Q54" s="397">
        <f>ROUND(CPSX!Q54/'4.Doanh thu'!L$11,0)</f>
        <v>0</v>
      </c>
      <c r="R54" s="397">
        <f>ROUND(CPSX!R54/'4.Doanh thu'!M$11,0)</f>
        <v>0</v>
      </c>
      <c r="S54" s="397">
        <f>ROUND(CPSX!S54/'4.Doanh thu'!N$11,0)</f>
        <v>0</v>
      </c>
      <c r="T54" s="397">
        <f>ROUND(CPSX!T54/'4.Doanh thu'!O$11,0)</f>
        <v>0</v>
      </c>
      <c r="U54" s="397">
        <f>ROUND(CPSX!U54/'4.Doanh thu'!P$11,0)</f>
        <v>0</v>
      </c>
      <c r="V54" s="397">
        <f>ROUND(CPSX!V54/'4.Doanh thu'!Q$11,0)</f>
        <v>0</v>
      </c>
      <c r="W54" s="397">
        <f t="shared" si="4"/>
        <v>0</v>
      </c>
    </row>
    <row r="55" spans="2:23" outlineLevel="1" x14ac:dyDescent="0.25">
      <c r="B55" s="186">
        <v>27</v>
      </c>
      <c r="C55" s="186"/>
      <c r="D55" s="309">
        <v>6277003803</v>
      </c>
      <c r="E55" s="310" t="s">
        <v>269</v>
      </c>
      <c r="F55" s="307" t="s">
        <v>270</v>
      </c>
      <c r="G55" s="307" t="s">
        <v>269</v>
      </c>
      <c r="H55" s="306"/>
      <c r="I55" s="195"/>
      <c r="J55" s="244"/>
      <c r="K55" s="244"/>
      <c r="L55" s="244"/>
      <c r="M55" s="244"/>
      <c r="N55" s="397">
        <f>ROUND(CPSX!N55/'4.Doanh thu'!I$11,0)</f>
        <v>0</v>
      </c>
      <c r="O55" s="397">
        <f>ROUND(CPSX!O55/'4.Doanh thu'!J$11,0)</f>
        <v>0</v>
      </c>
      <c r="P55" s="397">
        <f>ROUND(CPSX!P55/'4.Doanh thu'!K$11,0)</f>
        <v>0</v>
      </c>
      <c r="Q55" s="397">
        <f>ROUND(CPSX!Q55/'4.Doanh thu'!L$11,0)</f>
        <v>0</v>
      </c>
      <c r="R55" s="397">
        <f>ROUND(CPSX!R55/'4.Doanh thu'!M$11,0)</f>
        <v>0</v>
      </c>
      <c r="S55" s="397">
        <f>ROUND(CPSX!S55/'4.Doanh thu'!N$11,0)</f>
        <v>0</v>
      </c>
      <c r="T55" s="397">
        <f>ROUND(CPSX!T55/'4.Doanh thu'!O$11,0)</f>
        <v>0</v>
      </c>
      <c r="U55" s="397">
        <f>ROUND(CPSX!U55/'4.Doanh thu'!P$11,0)</f>
        <v>0</v>
      </c>
      <c r="V55" s="397">
        <f>ROUND(CPSX!V55/'4.Doanh thu'!Q$11,0)</f>
        <v>0</v>
      </c>
      <c r="W55" s="397">
        <f t="shared" si="4"/>
        <v>0</v>
      </c>
    </row>
    <row r="56" spans="2:23" x14ac:dyDescent="0.25">
      <c r="B56" s="186">
        <v>28</v>
      </c>
      <c r="C56" s="186"/>
      <c r="D56" s="306"/>
      <c r="E56" s="307" t="s">
        <v>271</v>
      </c>
      <c r="F56" s="307" t="s">
        <v>272</v>
      </c>
      <c r="G56" s="307" t="s">
        <v>271</v>
      </c>
      <c r="H56" s="306" t="s">
        <v>155</v>
      </c>
      <c r="I56" s="195" t="s">
        <v>273</v>
      </c>
      <c r="J56" s="244"/>
      <c r="K56" s="244">
        <f>'PB_TSCD DC'!AF27</f>
        <v>0</v>
      </c>
      <c r="L56" s="244">
        <f>'PB_TSCD DC'!AG27</f>
        <v>0</v>
      </c>
      <c r="M56" s="244">
        <f>'PB_TSCD DC'!AH27</f>
        <v>0</v>
      </c>
      <c r="N56" s="397">
        <f>ROUND(CPSX!N56/'4.Doanh thu'!I$11,0)</f>
        <v>327</v>
      </c>
      <c r="O56" s="397">
        <f>ROUND(CPSX!O56/'4.Doanh thu'!J$11,0)</f>
        <v>327</v>
      </c>
      <c r="P56" s="397">
        <f>ROUND(CPSX!P56/'4.Doanh thu'!K$11,0)</f>
        <v>327</v>
      </c>
      <c r="Q56" s="397">
        <f>ROUND(CPSX!Q56/'4.Doanh thu'!L$11,0)</f>
        <v>327</v>
      </c>
      <c r="R56" s="397">
        <f>ROUND(CPSX!R56/'4.Doanh thu'!M$11,0)</f>
        <v>327</v>
      </c>
      <c r="S56" s="397">
        <f>ROUND(CPSX!S56/'4.Doanh thu'!N$11,0)</f>
        <v>327</v>
      </c>
      <c r="T56" s="397">
        <f>ROUND(CPSX!T56/'4.Doanh thu'!O$11,0)</f>
        <v>327</v>
      </c>
      <c r="U56" s="397">
        <f>ROUND(CPSX!U56/'4.Doanh thu'!P$11,0)</f>
        <v>327</v>
      </c>
      <c r="V56" s="397">
        <f>ROUND(CPSX!V56/'4.Doanh thu'!Q$11,0)</f>
        <v>327</v>
      </c>
      <c r="W56" s="397">
        <f t="shared" si="4"/>
        <v>327</v>
      </c>
    </row>
    <row r="57" spans="2:23" x14ac:dyDescent="0.25">
      <c r="B57" s="190"/>
      <c r="C57" s="190"/>
      <c r="D57" s="191"/>
      <c r="E57" s="192"/>
      <c r="F57" s="192"/>
      <c r="G57" s="192"/>
      <c r="H57" s="191"/>
      <c r="I57" s="196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</row>
    <row r="58" spans="2:23" s="9" customFormat="1" ht="13" x14ac:dyDescent="0.35">
      <c r="B58" s="229" t="s">
        <v>274</v>
      </c>
      <c r="C58" s="229"/>
      <c r="D58" s="365"/>
      <c r="E58" s="366" t="s">
        <v>275</v>
      </c>
      <c r="F58" s="367"/>
      <c r="G58" s="368"/>
      <c r="H58" s="368"/>
      <c r="I58" s="369"/>
      <c r="J58" s="181" t="e">
        <f>J28+#REF!</f>
        <v>#REF!</v>
      </c>
      <c r="K58" s="181">
        <f t="shared" ref="K58:W58" si="5">SUM(K5,K28)</f>
        <v>0</v>
      </c>
      <c r="L58" s="181">
        <f t="shared" si="5"/>
        <v>0</v>
      </c>
      <c r="M58" s="181">
        <f t="shared" si="5"/>
        <v>0</v>
      </c>
      <c r="N58" s="181">
        <f t="shared" si="5"/>
        <v>6146</v>
      </c>
      <c r="O58" s="181">
        <f t="shared" si="5"/>
        <v>6146</v>
      </c>
      <c r="P58" s="181">
        <f t="shared" si="5"/>
        <v>6146</v>
      </c>
      <c r="Q58" s="181">
        <f t="shared" si="5"/>
        <v>6146</v>
      </c>
      <c r="R58" s="181">
        <f t="shared" si="5"/>
        <v>6146</v>
      </c>
      <c r="S58" s="181">
        <f t="shared" si="5"/>
        <v>6146</v>
      </c>
      <c r="T58" s="181">
        <f t="shared" si="5"/>
        <v>6146</v>
      </c>
      <c r="U58" s="181">
        <f t="shared" si="5"/>
        <v>6146</v>
      </c>
      <c r="V58" s="181">
        <f t="shared" si="5"/>
        <v>6146</v>
      </c>
      <c r="W58" s="181">
        <f t="shared" si="5"/>
        <v>6146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9"/>
  </sheetPr>
  <dimension ref="B1:AR21"/>
  <sheetViews>
    <sheetView showGridLines="0" topLeftCell="G5" zoomScale="85" zoomScaleNormal="85" workbookViewId="0">
      <selection activeCell="N8" sqref="N8"/>
    </sheetView>
  </sheetViews>
  <sheetFormatPr defaultRowHeight="14.5" outlineLevelCol="1" x14ac:dyDescent="0.35"/>
  <cols>
    <col min="1" max="1" width="3.7265625" customWidth="1"/>
    <col min="2" max="2" width="7.26953125" customWidth="1"/>
    <col min="3" max="3" width="10.81640625" customWidth="1" outlineLevel="1"/>
    <col min="4" max="4" width="15" customWidth="1" outlineLevel="1"/>
    <col min="5" max="5" width="33.54296875" customWidth="1"/>
    <col min="6" max="6" width="32.54296875" customWidth="1" outlineLevel="1"/>
    <col min="7" max="7" width="29.7265625" customWidth="1" outlineLevel="1"/>
    <col min="8" max="8" width="13.453125" customWidth="1" outlineLevel="1"/>
    <col min="9" max="9" width="10.1796875" customWidth="1" outlineLevel="1"/>
    <col min="10" max="10" width="7" customWidth="1" outlineLevel="1"/>
    <col min="11" max="11" width="5.7265625" customWidth="1"/>
    <col min="12" max="22" width="6.1796875" bestFit="1" customWidth="1"/>
    <col min="23" max="23" width="11" style="394" customWidth="1"/>
    <col min="24" max="24" width="1" customWidth="1"/>
    <col min="25" max="25" width="5.7265625" hidden="1" customWidth="1" outlineLevel="1"/>
    <col min="26" max="36" width="6.1796875" hidden="1" customWidth="1" outlineLevel="1"/>
    <col min="37" max="37" width="11" style="394" bestFit="1" customWidth="1" collapsed="1"/>
    <col min="38" max="38" width="4.7265625" hidden="1" customWidth="1" outlineLevel="1"/>
    <col min="39" max="39" width="11" style="394" hidden="1" customWidth="1" outlineLevel="1"/>
    <col min="40" max="40" width="3.7265625" hidden="1" customWidth="1" outlineLevel="1"/>
    <col min="41" max="41" width="12.26953125" style="394" hidden="1" customWidth="1" outlineLevel="1"/>
    <col min="42" max="42" width="1.54296875" customWidth="1" collapsed="1"/>
  </cols>
  <sheetData>
    <row r="1" spans="2:44" s="8" customFormat="1" ht="13" x14ac:dyDescent="0.35">
      <c r="B1" s="122"/>
      <c r="C1" s="122"/>
      <c r="D1" s="122"/>
      <c r="E1" s="122"/>
      <c r="F1" s="122"/>
      <c r="G1" s="12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6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6"/>
      <c r="AM1" s="16"/>
      <c r="AO1" s="16"/>
    </row>
    <row r="2" spans="2:44" s="8" customFormat="1" ht="13" x14ac:dyDescent="0.35">
      <c r="B2" s="11"/>
      <c r="C2" s="11"/>
      <c r="D2" s="11"/>
      <c r="E2" s="1"/>
      <c r="F2" s="1"/>
      <c r="G2" s="1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  <c r="AM2" s="16"/>
      <c r="AO2" s="16"/>
    </row>
    <row r="3" spans="2:44" s="8" customFormat="1" ht="13" x14ac:dyDescent="0.35">
      <c r="B3" s="55" t="s">
        <v>417</v>
      </c>
      <c r="C3" s="55"/>
      <c r="D3" s="55"/>
      <c r="E3" s="55"/>
      <c r="F3" s="55"/>
      <c r="G3" s="5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374" t="s">
        <v>6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374"/>
      <c r="AM3" s="374"/>
      <c r="AO3" s="374"/>
    </row>
    <row r="4" spans="2:44" s="8" customFormat="1" ht="39" x14ac:dyDescent="0.35">
      <c r="B4" s="124" t="s">
        <v>0</v>
      </c>
      <c r="C4" s="124" t="s">
        <v>224</v>
      </c>
      <c r="D4" s="125" t="s">
        <v>161</v>
      </c>
      <c r="E4" s="214" t="s">
        <v>162</v>
      </c>
      <c r="F4" s="375" t="s">
        <v>163</v>
      </c>
      <c r="G4" s="124" t="s">
        <v>225</v>
      </c>
      <c r="H4" s="124" t="s">
        <v>152</v>
      </c>
      <c r="I4" s="376" t="s">
        <v>226</v>
      </c>
      <c r="J4" s="92" t="s">
        <v>227</v>
      </c>
      <c r="K4" s="92" t="s">
        <v>10</v>
      </c>
      <c r="L4" s="92" t="s">
        <v>11</v>
      </c>
      <c r="M4" s="92" t="s">
        <v>12</v>
      </c>
      <c r="N4" s="92" t="s">
        <v>13</v>
      </c>
      <c r="O4" s="92" t="s">
        <v>14</v>
      </c>
      <c r="P4" s="92" t="s">
        <v>15</v>
      </c>
      <c r="Q4" s="92" t="s">
        <v>16</v>
      </c>
      <c r="R4" s="92" t="s">
        <v>17</v>
      </c>
      <c r="S4" s="92" t="s">
        <v>18</v>
      </c>
      <c r="T4" s="92" t="s">
        <v>19</v>
      </c>
      <c r="U4" s="92" t="s">
        <v>20</v>
      </c>
      <c r="V4" s="92" t="s">
        <v>21</v>
      </c>
      <c r="W4" s="92" t="s">
        <v>363</v>
      </c>
      <c r="Y4" s="224" t="s">
        <v>10</v>
      </c>
      <c r="Z4" s="224" t="s">
        <v>11</v>
      </c>
      <c r="AA4" s="224" t="s">
        <v>12</v>
      </c>
      <c r="AB4" s="224" t="s">
        <v>13</v>
      </c>
      <c r="AC4" s="224" t="s">
        <v>14</v>
      </c>
      <c r="AD4" s="224" t="s">
        <v>15</v>
      </c>
      <c r="AE4" s="224" t="s">
        <v>16</v>
      </c>
      <c r="AF4" s="224" t="s">
        <v>17</v>
      </c>
      <c r="AG4" s="224" t="s">
        <v>18</v>
      </c>
      <c r="AH4" s="377" t="s">
        <v>19</v>
      </c>
      <c r="AI4" s="377" t="s">
        <v>20</v>
      </c>
      <c r="AJ4" s="377" t="s">
        <v>21</v>
      </c>
      <c r="AK4" s="224" t="s">
        <v>9</v>
      </c>
      <c r="AM4" s="224" t="s">
        <v>418</v>
      </c>
      <c r="AO4" s="224" t="s">
        <v>419</v>
      </c>
      <c r="AQ4" s="227" t="s">
        <v>188</v>
      </c>
      <c r="AR4" s="228" t="s">
        <v>189</v>
      </c>
    </row>
    <row r="5" spans="2:44" s="8" customFormat="1" ht="13" x14ac:dyDescent="0.35">
      <c r="B5" s="182">
        <v>1</v>
      </c>
      <c r="C5" s="182"/>
      <c r="D5" s="184" t="s">
        <v>420</v>
      </c>
      <c r="E5" s="183" t="s">
        <v>421</v>
      </c>
      <c r="F5" s="184" t="s">
        <v>422</v>
      </c>
      <c r="G5" s="378" t="s">
        <v>423</v>
      </c>
      <c r="H5" s="378" t="s">
        <v>159</v>
      </c>
      <c r="I5" s="379" t="s">
        <v>235</v>
      </c>
      <c r="J5" s="379"/>
      <c r="K5" s="185">
        <f>'Dinh muc'!$G$22*'4.Doanh thu'!F11</f>
        <v>0</v>
      </c>
      <c r="L5" s="185">
        <f>'Dinh muc'!$G$22*'4.Doanh thu'!G11</f>
        <v>0</v>
      </c>
      <c r="M5" s="185">
        <f>'Dinh muc'!$G$22*'4.Doanh thu'!H11</f>
        <v>0</v>
      </c>
      <c r="N5" s="185">
        <f>'Dinh muc'!$G$22*'4.Doanh thu'!I11</f>
        <v>58153200</v>
      </c>
      <c r="O5" s="185">
        <f>'Dinh muc'!$G$22*'4.Doanh thu'!J11</f>
        <v>58153200</v>
      </c>
      <c r="P5" s="185">
        <f>'Dinh muc'!$G$22*'4.Doanh thu'!K11</f>
        <v>58153200</v>
      </c>
      <c r="Q5" s="185">
        <f>'Dinh muc'!$G$22*'4.Doanh thu'!L11</f>
        <v>58153200</v>
      </c>
      <c r="R5" s="185">
        <f>'Dinh muc'!$G$22*'4.Doanh thu'!M11</f>
        <v>58153200</v>
      </c>
      <c r="S5" s="185">
        <f>'Dinh muc'!$G$22*'4.Doanh thu'!N11</f>
        <v>58153200</v>
      </c>
      <c r="T5" s="185">
        <f>'Dinh muc'!$G$22*'4.Doanh thu'!O11</f>
        <v>58153200</v>
      </c>
      <c r="U5" s="185">
        <f>'Dinh muc'!$G$22*'4.Doanh thu'!P11</f>
        <v>58153200</v>
      </c>
      <c r="V5" s="185">
        <f>'Dinh muc'!$G$22*'4.Doanh thu'!Q11</f>
        <v>58153200</v>
      </c>
      <c r="W5" s="380">
        <f t="shared" ref="W5:W12" si="0">SUM(K5:V5)</f>
        <v>523378800</v>
      </c>
      <c r="Y5" s="185">
        <v>91100000</v>
      </c>
      <c r="Z5" s="185">
        <v>139700000</v>
      </c>
      <c r="AA5" s="185">
        <v>291900000</v>
      </c>
      <c r="AB5" s="185">
        <v>255100000</v>
      </c>
      <c r="AC5" s="185">
        <v>287700000</v>
      </c>
      <c r="AD5" s="185">
        <v>330500000</v>
      </c>
      <c r="AE5" s="185">
        <v>365500000</v>
      </c>
      <c r="AF5" s="185">
        <v>358900000</v>
      </c>
      <c r="AG5" s="185">
        <v>327900000</v>
      </c>
      <c r="AH5" s="185">
        <v>237051733.33333331</v>
      </c>
      <c r="AI5" s="185">
        <v>237051733.33333331</v>
      </c>
      <c r="AJ5" s="185">
        <v>237051733.33333331</v>
      </c>
      <c r="AK5" s="380">
        <f>SUM(Y5:AJ5)</f>
        <v>3159455200.0000005</v>
      </c>
      <c r="AM5" s="380">
        <v>1908089700</v>
      </c>
      <c r="AO5" s="380">
        <v>1657669600</v>
      </c>
      <c r="AQ5" s="185">
        <f t="shared" ref="AQ5:AQ13" si="1">IFERROR(W5-AK5,0)</f>
        <v>-2636076400.0000005</v>
      </c>
      <c r="AR5" s="226">
        <f t="shared" ref="AR5:AR13" si="2">IFERROR((W5/AK5)-1,0)</f>
        <v>-0.83434523774858405</v>
      </c>
    </row>
    <row r="6" spans="2:44" s="8" customFormat="1" ht="13" x14ac:dyDescent="0.35">
      <c r="B6" s="190">
        <v>2</v>
      </c>
      <c r="C6" s="190"/>
      <c r="D6" s="192" t="s">
        <v>420</v>
      </c>
      <c r="E6" s="191" t="s">
        <v>421</v>
      </c>
      <c r="F6" s="192" t="s">
        <v>422</v>
      </c>
      <c r="G6" s="381"/>
      <c r="H6" s="381"/>
      <c r="I6" s="382"/>
      <c r="J6" s="382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383">
        <f t="shared" si="0"/>
        <v>0</v>
      </c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383">
        <f>SUM(Y6:AJ6)</f>
        <v>0</v>
      </c>
      <c r="AM6" s="383"/>
      <c r="AO6" s="383"/>
      <c r="AQ6" s="185">
        <f t="shared" si="1"/>
        <v>0</v>
      </c>
      <c r="AR6" s="226">
        <f t="shared" si="2"/>
        <v>0</v>
      </c>
    </row>
    <row r="7" spans="2:44" s="8" customFormat="1" ht="13" x14ac:dyDescent="0.35">
      <c r="B7" s="384">
        <v>3</v>
      </c>
      <c r="C7" s="384"/>
      <c r="D7" s="385"/>
      <c r="E7" s="191" t="s">
        <v>415</v>
      </c>
      <c r="F7" s="192"/>
      <c r="G7" s="381" t="s">
        <v>415</v>
      </c>
      <c r="H7" s="381"/>
      <c r="I7" s="382"/>
      <c r="J7" s="386"/>
      <c r="K7" s="387">
        <f>'4.Doanh thu'!F27*10%</f>
        <v>0</v>
      </c>
      <c r="L7" s="387">
        <f>'4.Doanh thu'!G27*10%</f>
        <v>0</v>
      </c>
      <c r="M7" s="387">
        <f>'4.Doanh thu'!H27*10%</f>
        <v>0</v>
      </c>
      <c r="N7" s="387">
        <f>'4.Doanh thu'!I27*10%</f>
        <v>284832000</v>
      </c>
      <c r="O7" s="387">
        <f>'4.Doanh thu'!J27*10%</f>
        <v>284832000</v>
      </c>
      <c r="P7" s="387">
        <f>'4.Doanh thu'!K27*10%</f>
        <v>284832000</v>
      </c>
      <c r="Q7" s="387">
        <f>'4.Doanh thu'!L27*10%</f>
        <v>284832000</v>
      </c>
      <c r="R7" s="387">
        <f>'4.Doanh thu'!M27*10%</f>
        <v>284832000</v>
      </c>
      <c r="S7" s="387">
        <f>'4.Doanh thu'!N27*10%</f>
        <v>284832000</v>
      </c>
      <c r="T7" s="387">
        <f>'4.Doanh thu'!O27*10%</f>
        <v>284832000</v>
      </c>
      <c r="U7" s="387">
        <f>'4.Doanh thu'!P27*10%</f>
        <v>284832000</v>
      </c>
      <c r="V7" s="387">
        <f>'4.Doanh thu'!Q27*10%</f>
        <v>284832000</v>
      </c>
      <c r="W7" s="383">
        <f t="shared" si="0"/>
        <v>2563488000</v>
      </c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8"/>
      <c r="AM7" s="388"/>
      <c r="AO7" s="388"/>
      <c r="AQ7" s="185">
        <f t="shared" si="1"/>
        <v>2563488000</v>
      </c>
      <c r="AR7" s="226">
        <f t="shared" si="2"/>
        <v>0</v>
      </c>
    </row>
    <row r="8" spans="2:44" s="8" customFormat="1" ht="13" x14ac:dyDescent="0.35">
      <c r="B8" s="384">
        <v>3</v>
      </c>
      <c r="C8" s="384"/>
      <c r="D8" s="385"/>
      <c r="E8" s="191" t="s">
        <v>414</v>
      </c>
      <c r="F8" s="192"/>
      <c r="G8" s="381" t="s">
        <v>414</v>
      </c>
      <c r="H8" s="381"/>
      <c r="I8" s="382"/>
      <c r="J8" s="386"/>
      <c r="K8" s="387">
        <f>'4.Doanh thu'!F27*10%</f>
        <v>0</v>
      </c>
      <c r="L8" s="387">
        <f>'4.Doanh thu'!G27*10%</f>
        <v>0</v>
      </c>
      <c r="M8" s="387">
        <f>'4.Doanh thu'!H27*10%</f>
        <v>0</v>
      </c>
      <c r="N8" s="387">
        <f>'4.Doanh thu'!I27*10%</f>
        <v>284832000</v>
      </c>
      <c r="O8" s="387">
        <f>'4.Doanh thu'!J27*10%</f>
        <v>284832000</v>
      </c>
      <c r="P8" s="387">
        <f>'4.Doanh thu'!K27*10%</f>
        <v>284832000</v>
      </c>
      <c r="Q8" s="387">
        <f>'4.Doanh thu'!L27*10%</f>
        <v>284832000</v>
      </c>
      <c r="R8" s="387">
        <f>'4.Doanh thu'!M27*10%</f>
        <v>284832000</v>
      </c>
      <c r="S8" s="387">
        <f>'4.Doanh thu'!N27*10%</f>
        <v>284832000</v>
      </c>
      <c r="T8" s="387">
        <f>'4.Doanh thu'!O27*10%</f>
        <v>284832000</v>
      </c>
      <c r="U8" s="387">
        <f>'4.Doanh thu'!P27*10%</f>
        <v>284832000</v>
      </c>
      <c r="V8" s="387">
        <f>'4.Doanh thu'!Q27*10%</f>
        <v>284832000</v>
      </c>
      <c r="W8" s="383">
        <f t="shared" si="0"/>
        <v>2563488000</v>
      </c>
      <c r="Y8" s="387"/>
      <c r="Z8" s="387"/>
      <c r="AA8" s="387"/>
      <c r="AB8" s="387"/>
      <c r="AC8" s="387"/>
      <c r="AD8" s="387"/>
      <c r="AE8" s="387"/>
      <c r="AF8" s="387"/>
      <c r="AG8" s="387"/>
      <c r="AH8" s="387"/>
      <c r="AI8" s="387"/>
      <c r="AJ8" s="387"/>
      <c r="AK8" s="388"/>
      <c r="AM8" s="388"/>
      <c r="AO8" s="388"/>
      <c r="AQ8" s="185">
        <f t="shared" si="1"/>
        <v>2563488000</v>
      </c>
      <c r="AR8" s="226">
        <f t="shared" si="2"/>
        <v>0</v>
      </c>
    </row>
    <row r="9" spans="2:44" s="8" customFormat="1" ht="13" x14ac:dyDescent="0.35">
      <c r="B9" s="384">
        <v>3</v>
      </c>
      <c r="C9" s="384"/>
      <c r="D9" s="385"/>
      <c r="E9" s="191" t="s">
        <v>413</v>
      </c>
      <c r="F9" s="192"/>
      <c r="G9" s="381" t="s">
        <v>413</v>
      </c>
      <c r="H9" s="381"/>
      <c r="I9" s="382"/>
      <c r="J9" s="386"/>
      <c r="K9" s="387">
        <f>'4.Doanh thu'!F27*5%</f>
        <v>0</v>
      </c>
      <c r="L9" s="387">
        <f>'4.Doanh thu'!G27*5%</f>
        <v>0</v>
      </c>
      <c r="M9" s="387">
        <f>'4.Doanh thu'!H27*5%</f>
        <v>0</v>
      </c>
      <c r="N9" s="387">
        <f>'4.Doanh thu'!I27*5%</f>
        <v>142416000</v>
      </c>
      <c r="O9" s="387">
        <f>'4.Doanh thu'!J27*5%</f>
        <v>142416000</v>
      </c>
      <c r="P9" s="387">
        <f>'4.Doanh thu'!K27*5%</f>
        <v>142416000</v>
      </c>
      <c r="Q9" s="387">
        <f>'4.Doanh thu'!L27*5%</f>
        <v>142416000</v>
      </c>
      <c r="R9" s="387">
        <f>'4.Doanh thu'!M27*5%</f>
        <v>142416000</v>
      </c>
      <c r="S9" s="387">
        <f>'4.Doanh thu'!N27*5%</f>
        <v>142416000</v>
      </c>
      <c r="T9" s="387">
        <f>'4.Doanh thu'!O27*5%</f>
        <v>142416000</v>
      </c>
      <c r="U9" s="387">
        <f>'4.Doanh thu'!P27*5%</f>
        <v>142416000</v>
      </c>
      <c r="V9" s="387">
        <f>'4.Doanh thu'!Q27*5%</f>
        <v>142416000</v>
      </c>
      <c r="W9" s="383">
        <f t="shared" si="0"/>
        <v>1281744000</v>
      </c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387"/>
      <c r="AJ9" s="387"/>
      <c r="AK9" s="388"/>
      <c r="AM9" s="388"/>
      <c r="AO9" s="388"/>
      <c r="AQ9" s="185">
        <f t="shared" si="1"/>
        <v>1281744000</v>
      </c>
      <c r="AR9" s="226">
        <f t="shared" si="2"/>
        <v>0</v>
      </c>
    </row>
    <row r="10" spans="2:44" s="8" customFormat="1" ht="13" x14ac:dyDescent="0.35">
      <c r="B10" s="384">
        <v>3</v>
      </c>
      <c r="C10" s="384"/>
      <c r="D10" s="385"/>
      <c r="E10" s="191" t="s">
        <v>416</v>
      </c>
      <c r="F10" s="192"/>
      <c r="G10" s="381" t="s">
        <v>416</v>
      </c>
      <c r="H10" s="381"/>
      <c r="I10" s="382"/>
      <c r="J10" s="386"/>
      <c r="K10" s="387">
        <f>'4.Doanh thu'!F27*5%</f>
        <v>0</v>
      </c>
      <c r="L10" s="387">
        <f>'4.Doanh thu'!G27*5%</f>
        <v>0</v>
      </c>
      <c r="M10" s="387">
        <f>'4.Doanh thu'!H27*5%</f>
        <v>0</v>
      </c>
      <c r="N10" s="387">
        <f>'4.Doanh thu'!I27*5%</f>
        <v>142416000</v>
      </c>
      <c r="O10" s="387">
        <f>'4.Doanh thu'!J27*5%</f>
        <v>142416000</v>
      </c>
      <c r="P10" s="387">
        <f>'4.Doanh thu'!K27*5%</f>
        <v>142416000</v>
      </c>
      <c r="Q10" s="387">
        <f>'4.Doanh thu'!L27*5%</f>
        <v>142416000</v>
      </c>
      <c r="R10" s="387">
        <f>'4.Doanh thu'!M27*5%</f>
        <v>142416000</v>
      </c>
      <c r="S10" s="387">
        <f>'4.Doanh thu'!N27*5%</f>
        <v>142416000</v>
      </c>
      <c r="T10" s="387">
        <f>'4.Doanh thu'!O27*5%</f>
        <v>142416000</v>
      </c>
      <c r="U10" s="387">
        <f>'4.Doanh thu'!P27*5%</f>
        <v>142416000</v>
      </c>
      <c r="V10" s="387">
        <f>'4.Doanh thu'!Q27*5%</f>
        <v>142416000</v>
      </c>
      <c r="W10" s="383">
        <f t="shared" si="0"/>
        <v>1281744000</v>
      </c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8"/>
      <c r="AM10" s="388"/>
      <c r="AO10" s="388"/>
      <c r="AQ10" s="185">
        <f t="shared" si="1"/>
        <v>1281744000</v>
      </c>
      <c r="AR10" s="226">
        <f t="shared" si="2"/>
        <v>0</v>
      </c>
    </row>
    <row r="11" spans="2:44" s="8" customFormat="1" ht="13" x14ac:dyDescent="0.35">
      <c r="B11" s="384">
        <v>3</v>
      </c>
      <c r="C11" s="384"/>
      <c r="D11" s="385"/>
      <c r="E11" s="191"/>
      <c r="F11" s="192"/>
      <c r="G11" s="381"/>
      <c r="H11" s="381"/>
      <c r="I11" s="382"/>
      <c r="J11" s="386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3">
        <f t="shared" si="0"/>
        <v>0</v>
      </c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8"/>
      <c r="AM11" s="388"/>
      <c r="AO11" s="388"/>
      <c r="AQ11" s="185">
        <f t="shared" si="1"/>
        <v>0</v>
      </c>
      <c r="AR11" s="226">
        <f t="shared" si="2"/>
        <v>0</v>
      </c>
    </row>
    <row r="12" spans="2:44" s="8" customFormat="1" ht="13" x14ac:dyDescent="0.35">
      <c r="B12" s="384">
        <v>3</v>
      </c>
      <c r="C12" s="384"/>
      <c r="D12" s="385"/>
      <c r="E12" s="191"/>
      <c r="F12" s="192"/>
      <c r="G12" s="381"/>
      <c r="H12" s="381"/>
      <c r="I12" s="382"/>
      <c r="J12" s="386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3">
        <f t="shared" si="0"/>
        <v>0</v>
      </c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388"/>
      <c r="AM12" s="388"/>
      <c r="AO12" s="388"/>
      <c r="AQ12" s="185">
        <f t="shared" si="1"/>
        <v>0</v>
      </c>
      <c r="AR12" s="226">
        <f t="shared" si="2"/>
        <v>0</v>
      </c>
    </row>
    <row r="13" spans="2:44" s="9" customFormat="1" ht="13" x14ac:dyDescent="0.35">
      <c r="B13" s="389"/>
      <c r="C13" s="389"/>
      <c r="D13" s="390"/>
      <c r="E13" s="389"/>
      <c r="F13" s="389"/>
      <c r="G13" s="391" t="s">
        <v>424</v>
      </c>
      <c r="H13" s="390"/>
      <c r="I13" s="392"/>
      <c r="J13" s="180">
        <f>SUM(J5:J6)</f>
        <v>0</v>
      </c>
      <c r="K13" s="180">
        <f t="shared" ref="K13:W13" si="3">SUM(K5:K12)</f>
        <v>0</v>
      </c>
      <c r="L13" s="180">
        <f t="shared" si="3"/>
        <v>0</v>
      </c>
      <c r="M13" s="180">
        <f t="shared" si="3"/>
        <v>0</v>
      </c>
      <c r="N13" s="180">
        <f t="shared" si="3"/>
        <v>912649200</v>
      </c>
      <c r="O13" s="180">
        <f t="shared" si="3"/>
        <v>912649200</v>
      </c>
      <c r="P13" s="180">
        <f t="shared" si="3"/>
        <v>912649200</v>
      </c>
      <c r="Q13" s="180">
        <f t="shared" si="3"/>
        <v>912649200</v>
      </c>
      <c r="R13" s="180">
        <f t="shared" si="3"/>
        <v>912649200</v>
      </c>
      <c r="S13" s="180">
        <f t="shared" si="3"/>
        <v>912649200</v>
      </c>
      <c r="T13" s="180">
        <f t="shared" si="3"/>
        <v>912649200</v>
      </c>
      <c r="U13" s="180">
        <f t="shared" si="3"/>
        <v>912649200</v>
      </c>
      <c r="V13" s="180">
        <f t="shared" si="3"/>
        <v>912649200</v>
      </c>
      <c r="W13" s="180">
        <f t="shared" si="3"/>
        <v>8213842800</v>
      </c>
      <c r="Y13" s="180">
        <f t="shared" ref="Y13:AK13" si="4">SUM(Y5:Y12)</f>
        <v>91100000</v>
      </c>
      <c r="Z13" s="180">
        <f t="shared" si="4"/>
        <v>139700000</v>
      </c>
      <c r="AA13" s="180">
        <f t="shared" si="4"/>
        <v>291900000</v>
      </c>
      <c r="AB13" s="180">
        <f t="shared" si="4"/>
        <v>255100000</v>
      </c>
      <c r="AC13" s="180">
        <f t="shared" si="4"/>
        <v>287700000</v>
      </c>
      <c r="AD13" s="180">
        <f t="shared" si="4"/>
        <v>330500000</v>
      </c>
      <c r="AE13" s="180">
        <f t="shared" si="4"/>
        <v>365500000</v>
      </c>
      <c r="AF13" s="180">
        <f t="shared" si="4"/>
        <v>358900000</v>
      </c>
      <c r="AG13" s="180">
        <f t="shared" si="4"/>
        <v>327900000</v>
      </c>
      <c r="AH13" s="180">
        <f t="shared" si="4"/>
        <v>237051733.33333331</v>
      </c>
      <c r="AI13" s="180">
        <f t="shared" si="4"/>
        <v>237051733.33333331</v>
      </c>
      <c r="AJ13" s="180">
        <f t="shared" si="4"/>
        <v>237051733.33333331</v>
      </c>
      <c r="AK13" s="180">
        <f t="shared" si="4"/>
        <v>3159455200.0000005</v>
      </c>
      <c r="AM13" s="180">
        <f>SUM(AM5:AM12)</f>
        <v>1908089700</v>
      </c>
      <c r="AO13" s="180">
        <f>SUM(AO5:AO12)</f>
        <v>1657669600</v>
      </c>
      <c r="AQ13" s="180">
        <f t="shared" si="1"/>
        <v>5054387600</v>
      </c>
      <c r="AR13" s="393">
        <f t="shared" si="2"/>
        <v>1.5997655545171203</v>
      </c>
    </row>
    <row r="14" spans="2:44" x14ac:dyDescent="0.35">
      <c r="X14" s="8"/>
    </row>
    <row r="15" spans="2:44" s="8" customFormat="1" ht="13" x14ac:dyDescent="0.35">
      <c r="B15" s="55" t="s">
        <v>425</v>
      </c>
      <c r="C15" s="55"/>
      <c r="D15" s="55"/>
      <c r="E15" s="55"/>
      <c r="F15" s="55"/>
      <c r="G15" s="5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374" t="s">
        <v>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74"/>
      <c r="AM15" s="374"/>
      <c r="AO15" s="374"/>
    </row>
    <row r="16" spans="2:44" s="8" customFormat="1" ht="39" x14ac:dyDescent="0.35">
      <c r="B16" s="124" t="s">
        <v>0</v>
      </c>
      <c r="C16" s="124" t="s">
        <v>224</v>
      </c>
      <c r="D16" s="125" t="s">
        <v>161</v>
      </c>
      <c r="E16" s="214" t="s">
        <v>162</v>
      </c>
      <c r="F16" s="375" t="s">
        <v>163</v>
      </c>
      <c r="G16" s="124" t="s">
        <v>225</v>
      </c>
      <c r="H16" s="124" t="s">
        <v>152</v>
      </c>
      <c r="I16" s="376" t="s">
        <v>226</v>
      </c>
      <c r="J16" s="92" t="s">
        <v>227</v>
      </c>
      <c r="K16" s="92" t="s">
        <v>10</v>
      </c>
      <c r="L16" s="92" t="s">
        <v>11</v>
      </c>
      <c r="M16" s="92" t="s">
        <v>12</v>
      </c>
      <c r="N16" s="92" t="s">
        <v>13</v>
      </c>
      <c r="O16" s="92" t="s">
        <v>14</v>
      </c>
      <c r="P16" s="92" t="s">
        <v>15</v>
      </c>
      <c r="Q16" s="92" t="s">
        <v>16</v>
      </c>
      <c r="R16" s="92" t="s">
        <v>17</v>
      </c>
      <c r="S16" s="92" t="s">
        <v>18</v>
      </c>
      <c r="T16" s="92" t="s">
        <v>19</v>
      </c>
      <c r="U16" s="92" t="s">
        <v>20</v>
      </c>
      <c r="V16" s="92" t="s">
        <v>21</v>
      </c>
      <c r="W16" s="92" t="s">
        <v>22</v>
      </c>
      <c r="Y16" s="224" t="s">
        <v>10</v>
      </c>
      <c r="Z16" s="224" t="s">
        <v>11</v>
      </c>
      <c r="AA16" s="224" t="s">
        <v>12</v>
      </c>
      <c r="AB16" s="224" t="s">
        <v>13</v>
      </c>
      <c r="AC16" s="224" t="s">
        <v>14</v>
      </c>
      <c r="AD16" s="224" t="s">
        <v>15</v>
      </c>
      <c r="AE16" s="224" t="s">
        <v>16</v>
      </c>
      <c r="AF16" s="224" t="s">
        <v>17</v>
      </c>
      <c r="AG16" s="224" t="s">
        <v>18</v>
      </c>
      <c r="AH16" s="224" t="s">
        <v>19</v>
      </c>
      <c r="AI16" s="224" t="s">
        <v>20</v>
      </c>
      <c r="AJ16" s="224" t="s">
        <v>21</v>
      </c>
      <c r="AK16" s="224" t="s">
        <v>9</v>
      </c>
      <c r="AM16" s="224" t="s">
        <v>418</v>
      </c>
      <c r="AO16" s="224" t="s">
        <v>419</v>
      </c>
      <c r="AQ16" s="227" t="s">
        <v>188</v>
      </c>
      <c r="AR16" s="228" t="s">
        <v>189</v>
      </c>
    </row>
    <row r="17" spans="2:44" s="8" customFormat="1" ht="13" x14ac:dyDescent="0.35">
      <c r="B17" s="182">
        <v>1</v>
      </c>
      <c r="C17" s="182"/>
      <c r="D17" s="184" t="s">
        <v>420</v>
      </c>
      <c r="E17" s="183" t="s">
        <v>421</v>
      </c>
      <c r="F17" s="184" t="s">
        <v>422</v>
      </c>
      <c r="G17" s="378" t="s">
        <v>426</v>
      </c>
      <c r="H17" s="378" t="s">
        <v>159</v>
      </c>
      <c r="I17" s="379" t="s">
        <v>235</v>
      </c>
      <c r="J17" s="379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380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380">
        <f t="shared" ref="AK17:AK18" si="5">SUM(Y17:AJ17)</f>
        <v>0</v>
      </c>
      <c r="AM17" s="380"/>
      <c r="AO17" s="380"/>
      <c r="AQ17" s="185">
        <f t="shared" ref="AQ17:AQ18" si="6">IFERROR(W17-AK17,0)</f>
        <v>0</v>
      </c>
      <c r="AR17" s="226">
        <f t="shared" ref="AR17:AR18" si="7">IFERROR((W17/AK17)-1,0)</f>
        <v>0</v>
      </c>
    </row>
    <row r="18" spans="2:44" s="8" customFormat="1" ht="13" x14ac:dyDescent="0.35">
      <c r="B18" s="190"/>
      <c r="C18" s="190"/>
      <c r="D18" s="192"/>
      <c r="E18" s="191"/>
      <c r="F18" s="192"/>
      <c r="G18" s="381"/>
      <c r="H18" s="381"/>
      <c r="I18" s="382"/>
      <c r="J18" s="382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38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380">
        <f t="shared" si="5"/>
        <v>0</v>
      </c>
      <c r="AM18" s="383"/>
      <c r="AO18" s="383"/>
      <c r="AQ18" s="185">
        <f t="shared" si="6"/>
        <v>0</v>
      </c>
      <c r="AR18" s="226">
        <f t="shared" si="7"/>
        <v>0</v>
      </c>
    </row>
    <row r="19" spans="2:44" s="9" customFormat="1" ht="13" x14ac:dyDescent="0.35">
      <c r="B19" s="389"/>
      <c r="C19" s="389"/>
      <c r="D19" s="390"/>
      <c r="E19" s="389"/>
      <c r="F19" s="389"/>
      <c r="G19" s="391" t="s">
        <v>424</v>
      </c>
      <c r="H19" s="390"/>
      <c r="I19" s="392"/>
      <c r="J19" s="180">
        <f>SUM(J17:J18)</f>
        <v>0</v>
      </c>
      <c r="K19" s="180">
        <f t="shared" ref="K19:W19" si="8">SUM(K17:K18)</f>
        <v>0</v>
      </c>
      <c r="L19" s="180">
        <f>SUM(L17:L18)</f>
        <v>0</v>
      </c>
      <c r="M19" s="180">
        <f t="shared" si="8"/>
        <v>0</v>
      </c>
      <c r="N19" s="180">
        <f t="shared" si="8"/>
        <v>0</v>
      </c>
      <c r="O19" s="180">
        <f t="shared" si="8"/>
        <v>0</v>
      </c>
      <c r="P19" s="180">
        <f t="shared" si="8"/>
        <v>0</v>
      </c>
      <c r="Q19" s="180">
        <f t="shared" si="8"/>
        <v>0</v>
      </c>
      <c r="R19" s="180">
        <f t="shared" si="8"/>
        <v>0</v>
      </c>
      <c r="S19" s="180">
        <f t="shared" si="8"/>
        <v>0</v>
      </c>
      <c r="T19" s="180">
        <f t="shared" si="8"/>
        <v>0</v>
      </c>
      <c r="U19" s="180">
        <f t="shared" si="8"/>
        <v>0</v>
      </c>
      <c r="V19" s="180">
        <f t="shared" si="8"/>
        <v>0</v>
      </c>
      <c r="W19" s="180">
        <f t="shared" si="8"/>
        <v>0</v>
      </c>
      <c r="Y19" s="180">
        <f t="shared" ref="Y19" si="9">SUM(Y17:Y18)</f>
        <v>0</v>
      </c>
      <c r="Z19" s="180">
        <f>SUM(Z17:Z18)</f>
        <v>0</v>
      </c>
      <c r="AA19" s="180">
        <f t="shared" ref="AA19:AK19" si="10">SUM(AA17:AA18)</f>
        <v>0</v>
      </c>
      <c r="AB19" s="180">
        <f t="shared" si="10"/>
        <v>0</v>
      </c>
      <c r="AC19" s="180">
        <f t="shared" si="10"/>
        <v>0</v>
      </c>
      <c r="AD19" s="180">
        <f t="shared" si="10"/>
        <v>0</v>
      </c>
      <c r="AE19" s="180">
        <f t="shared" si="10"/>
        <v>0</v>
      </c>
      <c r="AF19" s="180">
        <f t="shared" si="10"/>
        <v>0</v>
      </c>
      <c r="AG19" s="180">
        <f t="shared" si="10"/>
        <v>0</v>
      </c>
      <c r="AH19" s="180">
        <f t="shared" si="10"/>
        <v>0</v>
      </c>
      <c r="AI19" s="180">
        <f t="shared" si="10"/>
        <v>0</v>
      </c>
      <c r="AJ19" s="180">
        <f t="shared" si="10"/>
        <v>0</v>
      </c>
      <c r="AK19" s="180">
        <f t="shared" si="10"/>
        <v>0</v>
      </c>
      <c r="AM19" s="180">
        <f t="shared" ref="AM19" si="11">SUM(AM17:AM18)</f>
        <v>0</v>
      </c>
      <c r="AO19" s="180">
        <f t="shared" ref="AO19" si="12">SUM(AO17:AO18)</f>
        <v>0</v>
      </c>
      <c r="AQ19" s="180">
        <f>IFERROR(W19-AK19,0)</f>
        <v>0</v>
      </c>
      <c r="AR19" s="393">
        <f>IFERROR((W19/AK19)-1,0)</f>
        <v>0</v>
      </c>
    </row>
    <row r="20" spans="2:44" x14ac:dyDescent="0.35">
      <c r="X20" s="8"/>
    </row>
    <row r="21" spans="2:44" x14ac:dyDescent="0.35">
      <c r="X2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AR20"/>
  <sheetViews>
    <sheetView topLeftCell="A15" workbookViewId="0">
      <selection activeCell="M15" sqref="M15"/>
    </sheetView>
  </sheetViews>
  <sheetFormatPr defaultRowHeight="14.5" outlineLevelCol="1" x14ac:dyDescent="0.35"/>
  <cols>
    <col min="1" max="1" width="3.7265625" customWidth="1"/>
    <col min="2" max="2" width="7.26953125" customWidth="1"/>
    <col min="3" max="3" width="8.54296875" customWidth="1" outlineLevel="1"/>
    <col min="4" max="4" width="12.1796875" customWidth="1" outlineLevel="1"/>
    <col min="5" max="5" width="36" customWidth="1"/>
    <col min="6" max="6" width="32.54296875" hidden="1" customWidth="1" outlineLevel="1"/>
    <col min="7" max="7" width="37.26953125" hidden="1" customWidth="1" outlineLevel="1"/>
    <col min="8" max="8" width="13.453125" hidden="1" customWidth="1" outlineLevel="1"/>
    <col min="9" max="9" width="10.1796875" hidden="1" customWidth="1" outlineLevel="1"/>
    <col min="10" max="10" width="7" hidden="1" customWidth="1" outlineLevel="1"/>
    <col min="11" max="11" width="5.7265625" customWidth="1" collapsed="1"/>
    <col min="12" max="13" width="6.1796875" bestFit="1" customWidth="1"/>
    <col min="14" max="22" width="7.7265625" bestFit="1" customWidth="1"/>
    <col min="23" max="23" width="11" style="394" customWidth="1"/>
    <col min="24" max="24" width="1" customWidth="1"/>
    <col min="25" max="25" width="5.7265625" hidden="1" customWidth="1" outlineLevel="1"/>
    <col min="26" max="36" width="6.1796875" hidden="1" customWidth="1" outlineLevel="1"/>
    <col min="37" max="37" width="11" style="394" bestFit="1" customWidth="1" collapsed="1"/>
    <col min="38" max="38" width="4.7265625" hidden="1" customWidth="1" outlineLevel="1"/>
    <col min="39" max="39" width="11" style="394" hidden="1" customWidth="1" outlineLevel="1"/>
    <col min="40" max="40" width="3.7265625" hidden="1" customWidth="1" outlineLevel="1"/>
    <col min="41" max="41" width="12.26953125" style="394" hidden="1" customWidth="1" outlineLevel="1"/>
    <col min="42" max="42" width="1.54296875" customWidth="1" collapsed="1"/>
  </cols>
  <sheetData>
    <row r="1" spans="2:44" s="8" customFormat="1" ht="13" x14ac:dyDescent="0.35">
      <c r="B1" s="122"/>
      <c r="C1" s="122"/>
      <c r="D1" s="122"/>
      <c r="E1" s="122"/>
      <c r="F1" s="122"/>
      <c r="G1" s="12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6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6"/>
      <c r="AM1" s="16"/>
      <c r="AO1" s="16"/>
    </row>
    <row r="2" spans="2:44" s="8" customFormat="1" ht="13" x14ac:dyDescent="0.35">
      <c r="B2" s="11"/>
      <c r="C2" s="11"/>
      <c r="D2" s="11"/>
      <c r="E2" s="1"/>
      <c r="F2" s="1"/>
      <c r="G2" s="1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  <c r="AM2" s="16"/>
      <c r="AO2" s="16"/>
    </row>
    <row r="3" spans="2:44" s="8" customFormat="1" ht="13" x14ac:dyDescent="0.35">
      <c r="B3" s="55" t="s">
        <v>417</v>
      </c>
      <c r="C3" s="55"/>
      <c r="D3" s="55"/>
      <c r="E3" s="55"/>
      <c r="F3" s="55"/>
      <c r="G3" s="5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374" t="s">
        <v>434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374"/>
      <c r="AM3" s="374"/>
      <c r="AO3" s="374"/>
    </row>
    <row r="4" spans="2:44" s="8" customFormat="1" ht="43.5" x14ac:dyDescent="0.35">
      <c r="B4" s="124" t="s">
        <v>0</v>
      </c>
      <c r="C4" s="124" t="s">
        <v>224</v>
      </c>
      <c r="D4" s="125" t="s">
        <v>161</v>
      </c>
      <c r="E4" s="214" t="s">
        <v>162</v>
      </c>
      <c r="F4" s="375" t="s">
        <v>163</v>
      </c>
      <c r="G4" s="124" t="s">
        <v>225</v>
      </c>
      <c r="H4" s="124" t="s">
        <v>152</v>
      </c>
      <c r="I4" s="376" t="s">
        <v>226</v>
      </c>
      <c r="J4" s="92" t="s">
        <v>227</v>
      </c>
      <c r="K4" s="92" t="s">
        <v>10</v>
      </c>
      <c r="L4" s="92" t="s">
        <v>11</v>
      </c>
      <c r="M4" s="92" t="s">
        <v>12</v>
      </c>
      <c r="N4" s="92" t="s">
        <v>13</v>
      </c>
      <c r="O4" s="92" t="s">
        <v>14</v>
      </c>
      <c r="P4" s="92" t="s">
        <v>15</v>
      </c>
      <c r="Q4" s="92" t="s">
        <v>16</v>
      </c>
      <c r="R4" s="92" t="s">
        <v>17</v>
      </c>
      <c r="S4" s="92" t="s">
        <v>18</v>
      </c>
      <c r="T4" s="92" t="s">
        <v>19</v>
      </c>
      <c r="U4" s="92" t="s">
        <v>20</v>
      </c>
      <c r="V4" s="92" t="s">
        <v>21</v>
      </c>
      <c r="W4" s="92" t="s">
        <v>363</v>
      </c>
      <c r="Y4" s="224" t="s">
        <v>10</v>
      </c>
      <c r="Z4" s="224" t="s">
        <v>11</v>
      </c>
      <c r="AA4" s="224" t="s">
        <v>12</v>
      </c>
      <c r="AB4" s="224" t="s">
        <v>13</v>
      </c>
      <c r="AC4" s="224" t="s">
        <v>14</v>
      </c>
      <c r="AD4" s="224" t="s">
        <v>15</v>
      </c>
      <c r="AE4" s="224" t="s">
        <v>16</v>
      </c>
      <c r="AF4" s="224" t="s">
        <v>17</v>
      </c>
      <c r="AG4" s="224" t="s">
        <v>18</v>
      </c>
      <c r="AH4" s="377" t="s">
        <v>19</v>
      </c>
      <c r="AI4" s="377" t="s">
        <v>20</v>
      </c>
      <c r="AJ4" s="377" t="s">
        <v>21</v>
      </c>
      <c r="AK4" s="224" t="s">
        <v>9</v>
      </c>
      <c r="AM4" s="224" t="s">
        <v>418</v>
      </c>
      <c r="AO4" s="224" t="s">
        <v>419</v>
      </c>
      <c r="AQ4" s="227" t="s">
        <v>188</v>
      </c>
      <c r="AR4" s="228" t="s">
        <v>189</v>
      </c>
    </row>
    <row r="5" spans="2:44" s="8" customFormat="1" ht="13" x14ac:dyDescent="0.35">
      <c r="B5" s="182">
        <v>1</v>
      </c>
      <c r="C5" s="182"/>
      <c r="D5" s="184" t="s">
        <v>420</v>
      </c>
      <c r="E5" s="183" t="s">
        <v>421</v>
      </c>
      <c r="F5" s="184" t="s">
        <v>422</v>
      </c>
      <c r="G5" s="378" t="s">
        <v>423</v>
      </c>
      <c r="H5" s="378" t="s">
        <v>159</v>
      </c>
      <c r="I5" s="379" t="s">
        <v>235</v>
      </c>
      <c r="J5" s="379"/>
      <c r="K5" s="185">
        <f>'Dinh muc'!$G$22*'4.Doanh thu'!F11</f>
        <v>0</v>
      </c>
      <c r="L5" s="185">
        <f>'Dinh muc'!$G$22*'4.Doanh thu'!G11</f>
        <v>0</v>
      </c>
      <c r="M5" s="185">
        <f>'Dinh muc'!$G$22*'4.Doanh thu'!H11</f>
        <v>0</v>
      </c>
      <c r="N5" s="379">
        <f>CPBH!N5/'4.Doanh thu'!I$11</f>
        <v>408.33333333333331</v>
      </c>
      <c r="O5" s="379">
        <f>CPBH!O5/'4.Doanh thu'!J$11</f>
        <v>408.33333333333331</v>
      </c>
      <c r="P5" s="379">
        <f>CPBH!P5/'4.Doanh thu'!K$11</f>
        <v>408.33333333333331</v>
      </c>
      <c r="Q5" s="379">
        <f>CPBH!Q5/'4.Doanh thu'!L$11</f>
        <v>408.33333333333331</v>
      </c>
      <c r="R5" s="379">
        <f>CPBH!R5/'4.Doanh thu'!M$11</f>
        <v>408.33333333333331</v>
      </c>
      <c r="S5" s="379">
        <f>CPBH!S5/'4.Doanh thu'!N$11</f>
        <v>408.33333333333331</v>
      </c>
      <c r="T5" s="379">
        <f>CPBH!T5/'4.Doanh thu'!O$11</f>
        <v>408.33333333333331</v>
      </c>
      <c r="U5" s="379">
        <f>CPBH!U5/'4.Doanh thu'!P$11</f>
        <v>408.33333333333331</v>
      </c>
      <c r="V5" s="379">
        <f>CPBH!V5/'4.Doanh thu'!Q$11</f>
        <v>408.33333333333331</v>
      </c>
      <c r="W5" s="403">
        <f>AVERAGE(N5:V5)</f>
        <v>408.33333333333337</v>
      </c>
      <c r="Y5" s="185">
        <v>91100000</v>
      </c>
      <c r="Z5" s="185">
        <v>139700000</v>
      </c>
      <c r="AA5" s="185">
        <v>291900000</v>
      </c>
      <c r="AB5" s="185">
        <v>255100000</v>
      </c>
      <c r="AC5" s="185">
        <v>287700000</v>
      </c>
      <c r="AD5" s="185">
        <v>330500000</v>
      </c>
      <c r="AE5" s="185">
        <v>365500000</v>
      </c>
      <c r="AF5" s="185">
        <v>358900000</v>
      </c>
      <c r="AG5" s="185">
        <v>327900000</v>
      </c>
      <c r="AH5" s="185">
        <v>237051733.33333331</v>
      </c>
      <c r="AI5" s="185">
        <v>237051733.33333331</v>
      </c>
      <c r="AJ5" s="185">
        <v>237051733.33333331</v>
      </c>
      <c r="AK5" s="380">
        <f>SUM(Y5:AJ5)</f>
        <v>3159455200.0000005</v>
      </c>
      <c r="AM5" s="380">
        <v>1908089700</v>
      </c>
      <c r="AO5" s="380">
        <v>1657669600</v>
      </c>
      <c r="AQ5" s="185">
        <f t="shared" ref="AQ5:AQ12" si="0">IFERROR(W5-AK5,0)</f>
        <v>-3159454791.666667</v>
      </c>
      <c r="AR5" s="226">
        <f t="shared" ref="AR5:AR12" si="1">IFERROR((W5/AK5)-1,0)</f>
        <v>-0.99999987075830876</v>
      </c>
    </row>
    <row r="6" spans="2:44" s="8" customFormat="1" ht="13" x14ac:dyDescent="0.35">
      <c r="B6" s="384">
        <v>3</v>
      </c>
      <c r="C6" s="384"/>
      <c r="D6" s="385"/>
      <c r="E6" s="412" t="s">
        <v>415</v>
      </c>
      <c r="F6" s="192"/>
      <c r="G6" s="381" t="s">
        <v>415</v>
      </c>
      <c r="H6" s="381"/>
      <c r="I6" s="382"/>
      <c r="J6" s="386"/>
      <c r="K6" s="387">
        <f>'4.Doanh thu'!F27*10%</f>
        <v>0</v>
      </c>
      <c r="L6" s="387">
        <f>'4.Doanh thu'!G27*10%</f>
        <v>0</v>
      </c>
      <c r="M6" s="387">
        <f>'4.Doanh thu'!H27*10%</f>
        <v>0</v>
      </c>
      <c r="N6" s="379">
        <f>CPBH!N7/'4.Doanh thu'!I$11</f>
        <v>2000</v>
      </c>
      <c r="O6" s="379">
        <f>CPBH!O7/'4.Doanh thu'!J$11</f>
        <v>2000</v>
      </c>
      <c r="P6" s="379">
        <f>CPBH!P7/'4.Doanh thu'!K$11</f>
        <v>2000</v>
      </c>
      <c r="Q6" s="379">
        <f>CPBH!Q7/'4.Doanh thu'!L$11</f>
        <v>2000</v>
      </c>
      <c r="R6" s="379">
        <f>CPBH!R7/'4.Doanh thu'!M$11</f>
        <v>2000</v>
      </c>
      <c r="S6" s="379">
        <f>CPBH!S7/'4.Doanh thu'!N$11</f>
        <v>2000</v>
      </c>
      <c r="T6" s="379">
        <f>CPBH!T7/'4.Doanh thu'!O$11</f>
        <v>2000</v>
      </c>
      <c r="U6" s="379">
        <f>CPBH!U7/'4.Doanh thu'!P$11</f>
        <v>2000</v>
      </c>
      <c r="V6" s="379">
        <f>CPBH!V7/'4.Doanh thu'!Q$11</f>
        <v>2000</v>
      </c>
      <c r="W6" s="403">
        <f t="shared" ref="W6:W9" si="2">AVERAGE(N6:V6)</f>
        <v>2000</v>
      </c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8"/>
      <c r="AM6" s="388"/>
      <c r="AO6" s="388"/>
      <c r="AQ6" s="185">
        <f t="shared" si="0"/>
        <v>2000</v>
      </c>
      <c r="AR6" s="226">
        <f t="shared" si="1"/>
        <v>0</v>
      </c>
    </row>
    <row r="7" spans="2:44" s="8" customFormat="1" ht="13" x14ac:dyDescent="0.35">
      <c r="B7" s="384">
        <v>3</v>
      </c>
      <c r="C7" s="384"/>
      <c r="D7" s="385"/>
      <c r="E7" s="412" t="s">
        <v>414</v>
      </c>
      <c r="F7" s="192"/>
      <c r="G7" s="381" t="s">
        <v>414</v>
      </c>
      <c r="H7" s="381"/>
      <c r="I7" s="382"/>
      <c r="J7" s="386"/>
      <c r="K7" s="387">
        <f>'4.Doanh thu'!F27*10%</f>
        <v>0</v>
      </c>
      <c r="L7" s="387">
        <f>'4.Doanh thu'!G27*10%</f>
        <v>0</v>
      </c>
      <c r="M7" s="387">
        <f>'4.Doanh thu'!H27*10%</f>
        <v>0</v>
      </c>
      <c r="N7" s="379">
        <f>CPBH!N8/'4.Doanh thu'!I$11</f>
        <v>2000</v>
      </c>
      <c r="O7" s="379">
        <f>CPBH!O8/'4.Doanh thu'!J$11</f>
        <v>2000</v>
      </c>
      <c r="P7" s="379">
        <f>CPBH!P8/'4.Doanh thu'!K$11</f>
        <v>2000</v>
      </c>
      <c r="Q7" s="379">
        <f>CPBH!Q8/'4.Doanh thu'!L$11</f>
        <v>2000</v>
      </c>
      <c r="R7" s="379">
        <f>CPBH!R8/'4.Doanh thu'!M$11</f>
        <v>2000</v>
      </c>
      <c r="S7" s="379">
        <f>CPBH!S8/'4.Doanh thu'!N$11</f>
        <v>2000</v>
      </c>
      <c r="T7" s="379">
        <f>CPBH!T8/'4.Doanh thu'!O$11</f>
        <v>2000</v>
      </c>
      <c r="U7" s="379">
        <f>CPBH!U8/'4.Doanh thu'!P$11</f>
        <v>2000</v>
      </c>
      <c r="V7" s="379">
        <f>CPBH!V8/'4.Doanh thu'!Q$11</f>
        <v>2000</v>
      </c>
      <c r="W7" s="403">
        <f t="shared" si="2"/>
        <v>2000</v>
      </c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8"/>
      <c r="AM7" s="388"/>
      <c r="AO7" s="388"/>
      <c r="AQ7" s="185">
        <f t="shared" si="0"/>
        <v>2000</v>
      </c>
      <c r="AR7" s="226">
        <f t="shared" si="1"/>
        <v>0</v>
      </c>
    </row>
    <row r="8" spans="2:44" s="8" customFormat="1" ht="13" x14ac:dyDescent="0.35">
      <c r="B8" s="384">
        <v>3</v>
      </c>
      <c r="C8" s="384"/>
      <c r="D8" s="385"/>
      <c r="E8" s="412" t="s">
        <v>413</v>
      </c>
      <c r="F8" s="192"/>
      <c r="G8" s="381" t="s">
        <v>413</v>
      </c>
      <c r="H8" s="381"/>
      <c r="I8" s="382"/>
      <c r="J8" s="386"/>
      <c r="K8" s="387">
        <f>'4.Doanh thu'!F27*5%</f>
        <v>0</v>
      </c>
      <c r="L8" s="387">
        <f>'4.Doanh thu'!G27*5%</f>
        <v>0</v>
      </c>
      <c r="M8" s="387">
        <f>'4.Doanh thu'!H27*5%</f>
        <v>0</v>
      </c>
      <c r="N8" s="379">
        <f>CPBH!N9/'4.Doanh thu'!I$11</f>
        <v>1000</v>
      </c>
      <c r="O8" s="379">
        <f>CPBH!O9/'4.Doanh thu'!J$11</f>
        <v>1000</v>
      </c>
      <c r="P8" s="379">
        <f>CPBH!P9/'4.Doanh thu'!K$11</f>
        <v>1000</v>
      </c>
      <c r="Q8" s="379">
        <f>CPBH!Q9/'4.Doanh thu'!L$11</f>
        <v>1000</v>
      </c>
      <c r="R8" s="379">
        <f>CPBH!R9/'4.Doanh thu'!M$11</f>
        <v>1000</v>
      </c>
      <c r="S8" s="379">
        <f>CPBH!S9/'4.Doanh thu'!N$11</f>
        <v>1000</v>
      </c>
      <c r="T8" s="379">
        <f>CPBH!T9/'4.Doanh thu'!O$11</f>
        <v>1000</v>
      </c>
      <c r="U8" s="379">
        <f>CPBH!U9/'4.Doanh thu'!P$11</f>
        <v>1000</v>
      </c>
      <c r="V8" s="379">
        <f>CPBH!V9/'4.Doanh thu'!Q$11</f>
        <v>1000</v>
      </c>
      <c r="W8" s="403">
        <f t="shared" si="2"/>
        <v>1000</v>
      </c>
      <c r="Y8" s="387"/>
      <c r="Z8" s="387"/>
      <c r="AA8" s="387"/>
      <c r="AB8" s="387"/>
      <c r="AC8" s="387"/>
      <c r="AD8" s="387"/>
      <c r="AE8" s="387"/>
      <c r="AF8" s="387"/>
      <c r="AG8" s="387"/>
      <c r="AH8" s="387"/>
      <c r="AI8" s="387"/>
      <c r="AJ8" s="387"/>
      <c r="AK8" s="388"/>
      <c r="AM8" s="388"/>
      <c r="AO8" s="388"/>
      <c r="AQ8" s="185">
        <f t="shared" si="0"/>
        <v>1000</v>
      </c>
      <c r="AR8" s="226">
        <f t="shared" si="1"/>
        <v>0</v>
      </c>
    </row>
    <row r="9" spans="2:44" s="8" customFormat="1" ht="13" x14ac:dyDescent="0.35">
      <c r="B9" s="384">
        <v>3</v>
      </c>
      <c r="C9" s="384"/>
      <c r="D9" s="385"/>
      <c r="E9" s="412" t="s">
        <v>416</v>
      </c>
      <c r="F9" s="192"/>
      <c r="G9" s="381" t="s">
        <v>416</v>
      </c>
      <c r="H9" s="381"/>
      <c r="I9" s="382"/>
      <c r="J9" s="386"/>
      <c r="K9" s="387">
        <f>'4.Doanh thu'!F27*5%</f>
        <v>0</v>
      </c>
      <c r="L9" s="387">
        <f>'4.Doanh thu'!G27*5%</f>
        <v>0</v>
      </c>
      <c r="M9" s="387">
        <f>'4.Doanh thu'!H27*5%</f>
        <v>0</v>
      </c>
      <c r="N9" s="379">
        <f>CPBH!N10/'4.Doanh thu'!I$11</f>
        <v>1000</v>
      </c>
      <c r="O9" s="379">
        <f>CPBH!O10/'4.Doanh thu'!J$11</f>
        <v>1000</v>
      </c>
      <c r="P9" s="379">
        <f>CPBH!P10/'4.Doanh thu'!K$11</f>
        <v>1000</v>
      </c>
      <c r="Q9" s="379">
        <f>CPBH!Q10/'4.Doanh thu'!L$11</f>
        <v>1000</v>
      </c>
      <c r="R9" s="379">
        <f>CPBH!R10/'4.Doanh thu'!M$11</f>
        <v>1000</v>
      </c>
      <c r="S9" s="379">
        <f>CPBH!S10/'4.Doanh thu'!N$11</f>
        <v>1000</v>
      </c>
      <c r="T9" s="379">
        <f>CPBH!T10/'4.Doanh thu'!O$11</f>
        <v>1000</v>
      </c>
      <c r="U9" s="379">
        <f>CPBH!U10/'4.Doanh thu'!P$11</f>
        <v>1000</v>
      </c>
      <c r="V9" s="379">
        <f>CPBH!V10/'4.Doanh thu'!Q$11</f>
        <v>1000</v>
      </c>
      <c r="W9" s="403">
        <f t="shared" si="2"/>
        <v>1000</v>
      </c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387"/>
      <c r="AJ9" s="387"/>
      <c r="AK9" s="388"/>
      <c r="AM9" s="388"/>
      <c r="AO9" s="388"/>
      <c r="AQ9" s="185">
        <f t="shared" si="0"/>
        <v>1000</v>
      </c>
      <c r="AR9" s="226">
        <f t="shared" si="1"/>
        <v>0</v>
      </c>
    </row>
    <row r="10" spans="2:44" s="8" customFormat="1" ht="13" x14ac:dyDescent="0.35">
      <c r="B10" s="384">
        <v>3</v>
      </c>
      <c r="C10" s="384"/>
      <c r="D10" s="385"/>
      <c r="E10" s="191"/>
      <c r="F10" s="192"/>
      <c r="G10" s="381"/>
      <c r="H10" s="381"/>
      <c r="I10" s="382"/>
      <c r="J10" s="386"/>
      <c r="K10" s="387"/>
      <c r="L10" s="387"/>
      <c r="M10" s="387"/>
      <c r="N10" s="379">
        <f>CPBH!N11/'4.Doanh thu'!I$11</f>
        <v>0</v>
      </c>
      <c r="O10" s="379">
        <f>CPBH!O11/'4.Doanh thu'!J$11</f>
        <v>0</v>
      </c>
      <c r="P10" s="379">
        <f>CPBH!P11/'4.Doanh thu'!K$11</f>
        <v>0</v>
      </c>
      <c r="Q10" s="379">
        <f>CPBH!Q11/'4.Doanh thu'!L$11</f>
        <v>0</v>
      </c>
      <c r="R10" s="379">
        <f>CPBH!R11/'4.Doanh thu'!M$11</f>
        <v>0</v>
      </c>
      <c r="S10" s="379">
        <f>CPBH!S11/'4.Doanh thu'!N$11</f>
        <v>0</v>
      </c>
      <c r="T10" s="379">
        <f>CPBH!T11/'4.Doanh thu'!O$11</f>
        <v>0</v>
      </c>
      <c r="U10" s="379">
        <f>CPBH!U11/'4.Doanh thu'!P$11</f>
        <v>0</v>
      </c>
      <c r="V10" s="379">
        <f>CPBH!V11/'4.Doanh thu'!Q$11</f>
        <v>0</v>
      </c>
      <c r="W10" s="383">
        <f t="shared" ref="W10:W11" si="3">SUM(K10:V10)</f>
        <v>0</v>
      </c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8"/>
      <c r="AM10" s="388"/>
      <c r="AO10" s="388"/>
      <c r="AQ10" s="185">
        <f t="shared" si="0"/>
        <v>0</v>
      </c>
      <c r="AR10" s="226">
        <f t="shared" si="1"/>
        <v>0</v>
      </c>
    </row>
    <row r="11" spans="2:44" s="8" customFormat="1" ht="13" x14ac:dyDescent="0.35">
      <c r="B11" s="384">
        <v>3</v>
      </c>
      <c r="C11" s="384"/>
      <c r="D11" s="385"/>
      <c r="E11" s="191"/>
      <c r="F11" s="192"/>
      <c r="G11" s="381"/>
      <c r="H11" s="381"/>
      <c r="I11" s="382"/>
      <c r="J11" s="386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3">
        <f t="shared" si="3"/>
        <v>0</v>
      </c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8"/>
      <c r="AM11" s="388"/>
      <c r="AO11" s="388"/>
      <c r="AQ11" s="185">
        <f t="shared" si="0"/>
        <v>0</v>
      </c>
      <c r="AR11" s="226">
        <f t="shared" si="1"/>
        <v>0</v>
      </c>
    </row>
    <row r="12" spans="2:44" s="9" customFormat="1" ht="13" x14ac:dyDescent="0.35">
      <c r="B12" s="389"/>
      <c r="C12" s="389"/>
      <c r="D12" s="390"/>
      <c r="E12" s="389"/>
      <c r="F12" s="389"/>
      <c r="G12" s="391" t="s">
        <v>424</v>
      </c>
      <c r="H12" s="390"/>
      <c r="I12" s="392"/>
      <c r="J12" s="180">
        <f>SUM(J5:J5)</f>
        <v>0</v>
      </c>
      <c r="K12" s="180">
        <f t="shared" ref="K12:W12" si="4">SUM(K5:K11)</f>
        <v>0</v>
      </c>
      <c r="L12" s="180">
        <f t="shared" si="4"/>
        <v>0</v>
      </c>
      <c r="M12" s="180">
        <f t="shared" si="4"/>
        <v>0</v>
      </c>
      <c r="N12" s="180">
        <f t="shared" si="4"/>
        <v>6408.3333333333339</v>
      </c>
      <c r="O12" s="180">
        <f t="shared" si="4"/>
        <v>6408.3333333333339</v>
      </c>
      <c r="P12" s="180">
        <f t="shared" si="4"/>
        <v>6408.3333333333339</v>
      </c>
      <c r="Q12" s="180">
        <f t="shared" si="4"/>
        <v>6408.3333333333339</v>
      </c>
      <c r="R12" s="180">
        <f t="shared" si="4"/>
        <v>6408.3333333333339</v>
      </c>
      <c r="S12" s="180">
        <f t="shared" si="4"/>
        <v>6408.3333333333339</v>
      </c>
      <c r="T12" s="180">
        <f t="shared" si="4"/>
        <v>6408.3333333333339</v>
      </c>
      <c r="U12" s="180">
        <f t="shared" si="4"/>
        <v>6408.3333333333339</v>
      </c>
      <c r="V12" s="180">
        <f t="shared" si="4"/>
        <v>6408.3333333333339</v>
      </c>
      <c r="W12" s="180">
        <f t="shared" si="4"/>
        <v>6408.3333333333339</v>
      </c>
      <c r="Y12" s="180">
        <f t="shared" ref="Y12:AK12" si="5">SUM(Y5:Y11)</f>
        <v>91100000</v>
      </c>
      <c r="Z12" s="180">
        <f t="shared" si="5"/>
        <v>139700000</v>
      </c>
      <c r="AA12" s="180">
        <f t="shared" si="5"/>
        <v>291900000</v>
      </c>
      <c r="AB12" s="180">
        <f t="shared" si="5"/>
        <v>255100000</v>
      </c>
      <c r="AC12" s="180">
        <f t="shared" si="5"/>
        <v>287700000</v>
      </c>
      <c r="AD12" s="180">
        <f t="shared" si="5"/>
        <v>330500000</v>
      </c>
      <c r="AE12" s="180">
        <f t="shared" si="5"/>
        <v>365500000</v>
      </c>
      <c r="AF12" s="180">
        <f t="shared" si="5"/>
        <v>358900000</v>
      </c>
      <c r="AG12" s="180">
        <f t="shared" si="5"/>
        <v>327900000</v>
      </c>
      <c r="AH12" s="180">
        <f t="shared" si="5"/>
        <v>237051733.33333331</v>
      </c>
      <c r="AI12" s="180">
        <f t="shared" si="5"/>
        <v>237051733.33333331</v>
      </c>
      <c r="AJ12" s="180">
        <f t="shared" si="5"/>
        <v>237051733.33333331</v>
      </c>
      <c r="AK12" s="180">
        <f t="shared" si="5"/>
        <v>3159455200.0000005</v>
      </c>
      <c r="AM12" s="180">
        <f>SUM(AM5:AM11)</f>
        <v>1908089700</v>
      </c>
      <c r="AO12" s="180">
        <f>SUM(AO5:AO11)</f>
        <v>1657669600</v>
      </c>
      <c r="AQ12" s="180">
        <f t="shared" si="0"/>
        <v>-3159448791.666667</v>
      </c>
      <c r="AR12" s="393">
        <f t="shared" si="1"/>
        <v>-0.99999797169672378</v>
      </c>
    </row>
    <row r="13" spans="2:44" x14ac:dyDescent="0.35">
      <c r="X13" s="8"/>
    </row>
    <row r="14" spans="2:44" s="8" customFormat="1" ht="13" x14ac:dyDescent="0.35">
      <c r="B14" s="55" t="s">
        <v>425</v>
      </c>
      <c r="C14" s="55"/>
      <c r="D14" s="55"/>
      <c r="E14" s="55"/>
      <c r="F14" s="55"/>
      <c r="G14" s="5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374" t="s">
        <v>6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74"/>
      <c r="AM14" s="374"/>
      <c r="AO14" s="374"/>
    </row>
    <row r="15" spans="2:44" s="8" customFormat="1" ht="43.5" x14ac:dyDescent="0.35">
      <c r="B15" s="124" t="s">
        <v>0</v>
      </c>
      <c r="C15" s="124" t="s">
        <v>224</v>
      </c>
      <c r="D15" s="125" t="s">
        <v>161</v>
      </c>
      <c r="E15" s="214" t="s">
        <v>162</v>
      </c>
      <c r="F15" s="375" t="s">
        <v>163</v>
      </c>
      <c r="G15" s="124" t="s">
        <v>225</v>
      </c>
      <c r="H15" s="124" t="s">
        <v>152</v>
      </c>
      <c r="I15" s="376" t="s">
        <v>226</v>
      </c>
      <c r="J15" s="92" t="s">
        <v>227</v>
      </c>
      <c r="K15" s="92" t="s">
        <v>10</v>
      </c>
      <c r="L15" s="92" t="s">
        <v>11</v>
      </c>
      <c r="M15" s="92" t="s">
        <v>12</v>
      </c>
      <c r="N15" s="92" t="s">
        <v>13</v>
      </c>
      <c r="O15" s="92" t="s">
        <v>14</v>
      </c>
      <c r="P15" s="92" t="s">
        <v>15</v>
      </c>
      <c r="Q15" s="92" t="s">
        <v>16</v>
      </c>
      <c r="R15" s="92" t="s">
        <v>17</v>
      </c>
      <c r="S15" s="92" t="s">
        <v>18</v>
      </c>
      <c r="T15" s="92" t="s">
        <v>19</v>
      </c>
      <c r="U15" s="92" t="s">
        <v>20</v>
      </c>
      <c r="V15" s="92" t="s">
        <v>21</v>
      </c>
      <c r="W15" s="92" t="s">
        <v>22</v>
      </c>
      <c r="Y15" s="224" t="s">
        <v>10</v>
      </c>
      <c r="Z15" s="224" t="s">
        <v>11</v>
      </c>
      <c r="AA15" s="224" t="s">
        <v>12</v>
      </c>
      <c r="AB15" s="224" t="s">
        <v>13</v>
      </c>
      <c r="AC15" s="224" t="s">
        <v>14</v>
      </c>
      <c r="AD15" s="224" t="s">
        <v>15</v>
      </c>
      <c r="AE15" s="224" t="s">
        <v>16</v>
      </c>
      <c r="AF15" s="224" t="s">
        <v>17</v>
      </c>
      <c r="AG15" s="224" t="s">
        <v>18</v>
      </c>
      <c r="AH15" s="224" t="s">
        <v>19</v>
      </c>
      <c r="AI15" s="224" t="s">
        <v>20</v>
      </c>
      <c r="AJ15" s="224" t="s">
        <v>21</v>
      </c>
      <c r="AK15" s="224" t="s">
        <v>9</v>
      </c>
      <c r="AM15" s="224" t="s">
        <v>418</v>
      </c>
      <c r="AO15" s="224" t="s">
        <v>419</v>
      </c>
      <c r="AQ15" s="227" t="s">
        <v>188</v>
      </c>
      <c r="AR15" s="228" t="s">
        <v>189</v>
      </c>
    </row>
    <row r="16" spans="2:44" s="8" customFormat="1" ht="13" x14ac:dyDescent="0.35">
      <c r="B16" s="182">
        <v>1</v>
      </c>
      <c r="C16" s="182"/>
      <c r="D16" s="184" t="s">
        <v>420</v>
      </c>
      <c r="E16" s="183" t="s">
        <v>421</v>
      </c>
      <c r="F16" s="184" t="s">
        <v>422</v>
      </c>
      <c r="G16" s="378" t="s">
        <v>426</v>
      </c>
      <c r="H16" s="378" t="s">
        <v>159</v>
      </c>
      <c r="I16" s="379" t="s">
        <v>235</v>
      </c>
      <c r="J16" s="379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380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380">
        <f t="shared" ref="AK16:AK17" si="6">SUM(Y16:AJ16)</f>
        <v>0</v>
      </c>
      <c r="AM16" s="380"/>
      <c r="AO16" s="380"/>
      <c r="AQ16" s="185">
        <f t="shared" ref="AQ16:AQ17" si="7">IFERROR(W16-AK16,0)</f>
        <v>0</v>
      </c>
      <c r="AR16" s="226">
        <f t="shared" ref="AR16:AR17" si="8">IFERROR((W16/AK16)-1,0)</f>
        <v>0</v>
      </c>
    </row>
    <row r="17" spans="2:44" s="8" customFormat="1" ht="13" x14ac:dyDescent="0.35">
      <c r="B17" s="190"/>
      <c r="C17" s="190"/>
      <c r="D17" s="192"/>
      <c r="E17" s="191"/>
      <c r="F17" s="192"/>
      <c r="G17" s="381"/>
      <c r="H17" s="381"/>
      <c r="I17" s="382"/>
      <c r="J17" s="382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38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380">
        <f t="shared" si="6"/>
        <v>0</v>
      </c>
      <c r="AM17" s="383"/>
      <c r="AO17" s="383"/>
      <c r="AQ17" s="185">
        <f t="shared" si="7"/>
        <v>0</v>
      </c>
      <c r="AR17" s="226">
        <f t="shared" si="8"/>
        <v>0</v>
      </c>
    </row>
    <row r="18" spans="2:44" s="9" customFormat="1" ht="13" x14ac:dyDescent="0.35">
      <c r="B18" s="389"/>
      <c r="C18" s="389"/>
      <c r="D18" s="390"/>
      <c r="E18" s="389"/>
      <c r="F18" s="389"/>
      <c r="G18" s="391" t="s">
        <v>424</v>
      </c>
      <c r="H18" s="390"/>
      <c r="I18" s="392"/>
      <c r="J18" s="180">
        <f>SUM(J16:J17)</f>
        <v>0</v>
      </c>
      <c r="K18" s="180">
        <f t="shared" ref="K18:W18" si="9">SUM(K16:K17)</f>
        <v>0</v>
      </c>
      <c r="L18" s="180">
        <f>SUM(L16:L17)</f>
        <v>0</v>
      </c>
      <c r="M18" s="180">
        <f t="shared" si="9"/>
        <v>0</v>
      </c>
      <c r="N18" s="180">
        <f t="shared" si="9"/>
        <v>0</v>
      </c>
      <c r="O18" s="180">
        <f t="shared" si="9"/>
        <v>0</v>
      </c>
      <c r="P18" s="180">
        <f t="shared" si="9"/>
        <v>0</v>
      </c>
      <c r="Q18" s="180">
        <f t="shared" si="9"/>
        <v>0</v>
      </c>
      <c r="R18" s="180">
        <f t="shared" si="9"/>
        <v>0</v>
      </c>
      <c r="S18" s="180">
        <f t="shared" si="9"/>
        <v>0</v>
      </c>
      <c r="T18" s="180">
        <f t="shared" si="9"/>
        <v>0</v>
      </c>
      <c r="U18" s="180">
        <f t="shared" si="9"/>
        <v>0</v>
      </c>
      <c r="V18" s="180">
        <f t="shared" si="9"/>
        <v>0</v>
      </c>
      <c r="W18" s="180">
        <f t="shared" si="9"/>
        <v>0</v>
      </c>
      <c r="Y18" s="180">
        <f t="shared" ref="Y18" si="10">SUM(Y16:Y17)</f>
        <v>0</v>
      </c>
      <c r="Z18" s="180">
        <f>SUM(Z16:Z17)</f>
        <v>0</v>
      </c>
      <c r="AA18" s="180">
        <f t="shared" ref="AA18:AK18" si="11">SUM(AA16:AA17)</f>
        <v>0</v>
      </c>
      <c r="AB18" s="180">
        <f t="shared" si="11"/>
        <v>0</v>
      </c>
      <c r="AC18" s="180">
        <f t="shared" si="11"/>
        <v>0</v>
      </c>
      <c r="AD18" s="180">
        <f t="shared" si="11"/>
        <v>0</v>
      </c>
      <c r="AE18" s="180">
        <f t="shared" si="11"/>
        <v>0</v>
      </c>
      <c r="AF18" s="180">
        <f t="shared" si="11"/>
        <v>0</v>
      </c>
      <c r="AG18" s="180">
        <f t="shared" si="11"/>
        <v>0</v>
      </c>
      <c r="AH18" s="180">
        <f t="shared" si="11"/>
        <v>0</v>
      </c>
      <c r="AI18" s="180">
        <f t="shared" si="11"/>
        <v>0</v>
      </c>
      <c r="AJ18" s="180">
        <f t="shared" si="11"/>
        <v>0</v>
      </c>
      <c r="AK18" s="180">
        <f t="shared" si="11"/>
        <v>0</v>
      </c>
      <c r="AM18" s="180">
        <f t="shared" ref="AM18" si="12">SUM(AM16:AM17)</f>
        <v>0</v>
      </c>
      <c r="AO18" s="180">
        <f t="shared" ref="AO18" si="13">SUM(AO16:AO17)</f>
        <v>0</v>
      </c>
      <c r="AQ18" s="180">
        <f>IFERROR(W18-AK18,0)</f>
        <v>0</v>
      </c>
      <c r="AR18" s="393">
        <f>IFERROR((W18/AK18)-1,0)</f>
        <v>0</v>
      </c>
    </row>
    <row r="19" spans="2:44" x14ac:dyDescent="0.35">
      <c r="X19" s="8"/>
    </row>
    <row r="20" spans="2:44" x14ac:dyDescent="0.35">
      <c r="X20" s="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theme="9" tint="0.79998168889431442"/>
  </sheetPr>
  <dimension ref="B1:W27"/>
  <sheetViews>
    <sheetView showGridLines="0" zoomScale="85" zoomScaleNormal="85" workbookViewId="0">
      <pane ySplit="6" topLeftCell="A16" activePane="bottomLeft" state="frozen"/>
      <selection pane="bottomLeft" activeCell="C26" sqref="C26"/>
    </sheetView>
  </sheetViews>
  <sheetFormatPr defaultColWidth="8.7265625" defaultRowHeight="13" outlineLevelRow="1" outlineLevelCol="1" x14ac:dyDescent="0.3"/>
  <cols>
    <col min="1" max="1" width="2.81640625" style="5" customWidth="1"/>
    <col min="2" max="2" width="6.26953125" style="5" customWidth="1"/>
    <col min="3" max="3" width="26.26953125" style="5" customWidth="1"/>
    <col min="4" max="4" width="8.26953125" style="5" customWidth="1"/>
    <col min="5" max="5" width="9.54296875" style="5" hidden="1" customWidth="1" outlineLevel="1"/>
    <col min="6" max="6" width="8.26953125" style="5" customWidth="1" collapsed="1"/>
    <col min="7" max="10" width="8.26953125" style="5" customWidth="1" outlineLevel="1"/>
    <col min="11" max="11" width="9" style="5" customWidth="1" outlineLevel="1"/>
    <col min="12" max="12" width="10" style="5" customWidth="1" outlineLevel="1"/>
    <col min="13" max="13" width="10.453125" style="5" customWidth="1" outlineLevel="1"/>
    <col min="14" max="15" width="8.7265625" style="5" customWidth="1" outlineLevel="1"/>
    <col min="16" max="16" width="8.81640625" style="5" customWidth="1" outlineLevel="1"/>
    <col min="17" max="17" width="10.54296875" style="5" customWidth="1" outlineLevel="1"/>
    <col min="18" max="18" width="11.1796875" style="4" customWidth="1"/>
    <col min="19" max="19" width="2" style="5" customWidth="1"/>
    <col min="20" max="20" width="3.7265625" style="5" customWidth="1"/>
    <col min="21" max="22" width="11.1796875" style="4" customWidth="1"/>
    <col min="23" max="23" width="6" style="5" customWidth="1"/>
    <col min="24" max="16384" width="8.7265625" style="5"/>
  </cols>
  <sheetData>
    <row r="1" spans="2:22" ht="15.5" x14ac:dyDescent="0.3">
      <c r="B1" s="169"/>
    </row>
    <row r="3" spans="2:22" x14ac:dyDescent="0.3">
      <c r="B3" s="56" t="s">
        <v>184</v>
      </c>
    </row>
    <row r="4" spans="2:22" x14ac:dyDescent="0.3">
      <c r="B4" s="55" t="s">
        <v>185</v>
      </c>
    </row>
    <row r="5" spans="2:22" x14ac:dyDescent="0.3">
      <c r="B5" s="4" t="s">
        <v>398</v>
      </c>
    </row>
    <row r="6" spans="2:22" ht="25.5" customHeight="1" x14ac:dyDescent="0.25">
      <c r="B6" s="361" t="s">
        <v>0</v>
      </c>
      <c r="C6" s="361" t="s">
        <v>186</v>
      </c>
      <c r="D6" s="361" t="s">
        <v>96</v>
      </c>
      <c r="E6" s="224" t="s">
        <v>187</v>
      </c>
      <c r="F6" s="224" t="s">
        <v>10</v>
      </c>
      <c r="G6" s="224" t="s">
        <v>11</v>
      </c>
      <c r="H6" s="224" t="s">
        <v>12</v>
      </c>
      <c r="I6" s="224" t="s">
        <v>13</v>
      </c>
      <c r="J6" s="224" t="s">
        <v>14</v>
      </c>
      <c r="K6" s="224" t="s">
        <v>15</v>
      </c>
      <c r="L6" s="224" t="s">
        <v>16</v>
      </c>
      <c r="M6" s="224" t="s">
        <v>17</v>
      </c>
      <c r="N6" s="224" t="s">
        <v>18</v>
      </c>
      <c r="O6" s="224" t="s">
        <v>19</v>
      </c>
      <c r="P6" s="224" t="s">
        <v>20</v>
      </c>
      <c r="Q6" s="224" t="s">
        <v>21</v>
      </c>
      <c r="R6" s="224" t="s">
        <v>363</v>
      </c>
      <c r="S6" s="8"/>
      <c r="T6" s="8"/>
      <c r="U6" s="227" t="s">
        <v>188</v>
      </c>
      <c r="V6" s="228" t="s">
        <v>189</v>
      </c>
    </row>
    <row r="7" spans="2:22" x14ac:dyDescent="0.25">
      <c r="B7" s="98">
        <v>1</v>
      </c>
      <c r="C7" s="99" t="s">
        <v>395</v>
      </c>
      <c r="D7" s="100" t="s">
        <v>190</v>
      </c>
      <c r="E7" s="256"/>
      <c r="F7" s="256">
        <f>'3.Thanh pham'!F14</f>
        <v>0</v>
      </c>
      <c r="G7" s="256">
        <f>'3.Thanh pham'!G14</f>
        <v>0</v>
      </c>
      <c r="H7" s="256">
        <f>'3.Thanh pham'!H14</f>
        <v>0</v>
      </c>
      <c r="I7" s="256">
        <f>'3.Thanh pham'!I14</f>
        <v>142416</v>
      </c>
      <c r="J7" s="256">
        <f>'3.Thanh pham'!J14</f>
        <v>142416</v>
      </c>
      <c r="K7" s="256">
        <f>'3.Thanh pham'!K14</f>
        <v>142416</v>
      </c>
      <c r="L7" s="256">
        <f>'3.Thanh pham'!L14</f>
        <v>142416</v>
      </c>
      <c r="M7" s="256">
        <f>'3.Thanh pham'!M14</f>
        <v>142416</v>
      </c>
      <c r="N7" s="256">
        <f>'3.Thanh pham'!N14</f>
        <v>142416</v>
      </c>
      <c r="O7" s="256">
        <f>'3.Thanh pham'!O14</f>
        <v>142416</v>
      </c>
      <c r="P7" s="256">
        <f>'3.Thanh pham'!P14</f>
        <v>142416</v>
      </c>
      <c r="Q7" s="256">
        <f>'3.Thanh pham'!Q14</f>
        <v>142416</v>
      </c>
      <c r="R7" s="116">
        <f>SUM(F7:Q7)</f>
        <v>1281744</v>
      </c>
      <c r="U7" s="185">
        <f>IFERROR(R7-#REF!,0)</f>
        <v>0</v>
      </c>
      <c r="V7" s="226">
        <f>IFERROR((R7/#REF!)-1,0)</f>
        <v>0</v>
      </c>
    </row>
    <row r="8" spans="2:22" x14ac:dyDescent="0.25">
      <c r="B8" s="98">
        <v>2</v>
      </c>
      <c r="C8" s="99" t="s">
        <v>191</v>
      </c>
      <c r="D8" s="100" t="s">
        <v>190</v>
      </c>
      <c r="E8" s="256"/>
      <c r="F8" s="256">
        <f>'3.Thanh pham'!F15</f>
        <v>0</v>
      </c>
      <c r="G8" s="256">
        <f>'3.Thanh pham'!G15</f>
        <v>0</v>
      </c>
      <c r="H8" s="256">
        <f>'3.Thanh pham'!H15</f>
        <v>0</v>
      </c>
      <c r="I8" s="256">
        <f>'3.Thanh pham'!I15</f>
        <v>0</v>
      </c>
      <c r="J8" s="256">
        <f>'3.Thanh pham'!J15</f>
        <v>0</v>
      </c>
      <c r="K8" s="256">
        <f>'3.Thanh pham'!K15</f>
        <v>0</v>
      </c>
      <c r="L8" s="256">
        <f>'3.Thanh pham'!L15</f>
        <v>0</v>
      </c>
      <c r="M8" s="256">
        <f>'3.Thanh pham'!M15</f>
        <v>0</v>
      </c>
      <c r="N8" s="256">
        <f>'3.Thanh pham'!N15</f>
        <v>0</v>
      </c>
      <c r="O8" s="256">
        <f>'3.Thanh pham'!O15</f>
        <v>0</v>
      </c>
      <c r="P8" s="256">
        <f>'3.Thanh pham'!P15</f>
        <v>0</v>
      </c>
      <c r="Q8" s="256">
        <f>'3.Thanh pham'!Q15</f>
        <v>0</v>
      </c>
      <c r="R8" s="116">
        <f t="shared" ref="R8:R10" si="0">SUM(F8:Q8)</f>
        <v>0</v>
      </c>
      <c r="U8" s="256">
        <f>IFERROR(R8-#REF!,0)</f>
        <v>0</v>
      </c>
      <c r="V8" s="257">
        <f>IFERROR((R8/#REF!)-1,0)</f>
        <v>0</v>
      </c>
    </row>
    <row r="9" spans="2:22" x14ac:dyDescent="0.25">
      <c r="B9" s="98">
        <v>3</v>
      </c>
      <c r="C9" s="99" t="s">
        <v>192</v>
      </c>
      <c r="D9" s="100" t="s">
        <v>190</v>
      </c>
      <c r="E9" s="256"/>
      <c r="F9" s="256">
        <f>'3.Thanh pham'!F16</f>
        <v>0</v>
      </c>
      <c r="G9" s="256">
        <f>'3.Thanh pham'!G16</f>
        <v>0</v>
      </c>
      <c r="H9" s="256">
        <f>'3.Thanh pham'!H16</f>
        <v>0</v>
      </c>
      <c r="I9" s="256">
        <f>'3.Thanh pham'!I16</f>
        <v>0</v>
      </c>
      <c r="J9" s="256">
        <f>'3.Thanh pham'!J16</f>
        <v>0</v>
      </c>
      <c r="K9" s="256">
        <f>'3.Thanh pham'!K16</f>
        <v>0</v>
      </c>
      <c r="L9" s="256">
        <f>'3.Thanh pham'!L16</f>
        <v>0</v>
      </c>
      <c r="M9" s="256">
        <f>'3.Thanh pham'!M16</f>
        <v>0</v>
      </c>
      <c r="N9" s="256">
        <f>'3.Thanh pham'!N16</f>
        <v>0</v>
      </c>
      <c r="O9" s="256">
        <f>'3.Thanh pham'!O16</f>
        <v>0</v>
      </c>
      <c r="P9" s="256">
        <f>'3.Thanh pham'!P16</f>
        <v>0</v>
      </c>
      <c r="Q9" s="256">
        <f>'3.Thanh pham'!Q16</f>
        <v>0</v>
      </c>
      <c r="R9" s="116">
        <f t="shared" si="0"/>
        <v>0</v>
      </c>
      <c r="U9" s="256">
        <f>IFERROR(R9-#REF!,0)</f>
        <v>0</v>
      </c>
      <c r="V9" s="257">
        <f>IFERROR((R9/#REF!)-1,0)</f>
        <v>0</v>
      </c>
    </row>
    <row r="10" spans="2:22" x14ac:dyDescent="0.25">
      <c r="B10" s="98">
        <v>4</v>
      </c>
      <c r="C10" s="99" t="s">
        <v>193</v>
      </c>
      <c r="D10" s="100" t="s">
        <v>190</v>
      </c>
      <c r="E10" s="256"/>
      <c r="F10" s="256">
        <f>'3.Thanh pham'!F17</f>
        <v>0</v>
      </c>
      <c r="G10" s="256">
        <f>'3.Thanh pham'!G17</f>
        <v>0</v>
      </c>
      <c r="H10" s="256">
        <f>'3.Thanh pham'!H17</f>
        <v>0</v>
      </c>
      <c r="I10" s="256">
        <f>'3.Thanh pham'!I17</f>
        <v>0</v>
      </c>
      <c r="J10" s="256">
        <f>'3.Thanh pham'!J17</f>
        <v>0</v>
      </c>
      <c r="K10" s="256">
        <f>'3.Thanh pham'!K17</f>
        <v>0</v>
      </c>
      <c r="L10" s="256">
        <f>'3.Thanh pham'!L17</f>
        <v>0</v>
      </c>
      <c r="M10" s="256">
        <f>'3.Thanh pham'!M17</f>
        <v>0</v>
      </c>
      <c r="N10" s="256">
        <f>'3.Thanh pham'!N17</f>
        <v>0</v>
      </c>
      <c r="O10" s="256">
        <f>'3.Thanh pham'!O17</f>
        <v>0</v>
      </c>
      <c r="P10" s="256">
        <f>'3.Thanh pham'!P17</f>
        <v>0</v>
      </c>
      <c r="Q10" s="256">
        <f>'3.Thanh pham'!Q17</f>
        <v>0</v>
      </c>
      <c r="R10" s="116">
        <f t="shared" si="0"/>
        <v>0</v>
      </c>
      <c r="U10" s="256">
        <f>IFERROR(R10-#REF!,0)</f>
        <v>0</v>
      </c>
      <c r="V10" s="257">
        <f>IFERROR((R10/#REF!)-1,0)</f>
        <v>0</v>
      </c>
    </row>
    <row r="11" spans="2:22" x14ac:dyDescent="0.25">
      <c r="B11" s="118"/>
      <c r="C11" s="119" t="s">
        <v>160</v>
      </c>
      <c r="D11" s="258"/>
      <c r="E11" s="121">
        <f t="shared" ref="E11:Q11" si="1">SUM(E7:E10)</f>
        <v>0</v>
      </c>
      <c r="F11" s="121">
        <f t="shared" si="1"/>
        <v>0</v>
      </c>
      <c r="G11" s="121">
        <f t="shared" si="1"/>
        <v>0</v>
      </c>
      <c r="H11" s="121">
        <f t="shared" si="1"/>
        <v>0</v>
      </c>
      <c r="I11" s="121">
        <f t="shared" si="1"/>
        <v>142416</v>
      </c>
      <c r="J11" s="121">
        <f t="shared" si="1"/>
        <v>142416</v>
      </c>
      <c r="K11" s="121">
        <f t="shared" si="1"/>
        <v>142416</v>
      </c>
      <c r="L11" s="121">
        <f t="shared" si="1"/>
        <v>142416</v>
      </c>
      <c r="M11" s="121">
        <f t="shared" si="1"/>
        <v>142416</v>
      </c>
      <c r="N11" s="121">
        <f t="shared" si="1"/>
        <v>142416</v>
      </c>
      <c r="O11" s="121">
        <f t="shared" si="1"/>
        <v>142416</v>
      </c>
      <c r="P11" s="121">
        <f t="shared" si="1"/>
        <v>142416</v>
      </c>
      <c r="Q11" s="121">
        <f t="shared" si="1"/>
        <v>142416</v>
      </c>
      <c r="R11" s="121">
        <f>SUM(F11:Q11)</f>
        <v>1281744</v>
      </c>
      <c r="U11" s="121">
        <f>IFERROR(R11-#REF!,0)</f>
        <v>0</v>
      </c>
      <c r="V11" s="259">
        <f>IFERROR((R11/#REF!)-1,0)</f>
        <v>0</v>
      </c>
    </row>
    <row r="12" spans="2:22" ht="12.5" x14ac:dyDescent="0.25">
      <c r="K12" s="14"/>
      <c r="L12" s="14"/>
      <c r="M12" s="14"/>
      <c r="N12" s="14"/>
      <c r="O12" s="14"/>
      <c r="P12" s="14"/>
      <c r="Q12" s="14"/>
      <c r="R12" s="14"/>
      <c r="U12" s="14"/>
      <c r="V12" s="14"/>
    </row>
    <row r="13" spans="2:22" outlineLevel="1" x14ac:dyDescent="0.3">
      <c r="B13" s="4" t="s">
        <v>399</v>
      </c>
    </row>
    <row r="14" spans="2:22" ht="25.5" customHeight="1" outlineLevel="1" x14ac:dyDescent="0.25">
      <c r="B14" s="129" t="s">
        <v>0</v>
      </c>
      <c r="C14" s="129" t="s">
        <v>186</v>
      </c>
      <c r="D14" s="129" t="s">
        <v>96</v>
      </c>
      <c r="E14" s="92" t="s">
        <v>187</v>
      </c>
      <c r="F14" s="92" t="s">
        <v>10</v>
      </c>
      <c r="G14" s="92" t="s">
        <v>11</v>
      </c>
      <c r="H14" s="92" t="s">
        <v>12</v>
      </c>
      <c r="I14" s="92" t="s">
        <v>13</v>
      </c>
      <c r="J14" s="92" t="s">
        <v>14</v>
      </c>
      <c r="K14" s="92" t="s">
        <v>15</v>
      </c>
      <c r="L14" s="92" t="s">
        <v>16</v>
      </c>
      <c r="M14" s="92" t="s">
        <v>17</v>
      </c>
      <c r="N14" s="92" t="s">
        <v>18</v>
      </c>
      <c r="O14" s="92" t="s">
        <v>19</v>
      </c>
      <c r="P14" s="92" t="s">
        <v>20</v>
      </c>
      <c r="Q14" s="92" t="s">
        <v>21</v>
      </c>
      <c r="R14" s="92" t="s">
        <v>363</v>
      </c>
      <c r="S14" s="8"/>
      <c r="T14" s="8"/>
      <c r="U14" s="227" t="s">
        <v>188</v>
      </c>
      <c r="V14" s="228" t="s">
        <v>189</v>
      </c>
    </row>
    <row r="15" spans="2:22" ht="25" outlineLevel="1" x14ac:dyDescent="0.25">
      <c r="B15" s="260">
        <v>1</v>
      </c>
      <c r="C15" s="99" t="s">
        <v>408</v>
      </c>
      <c r="D15" s="262" t="s">
        <v>194</v>
      </c>
      <c r="E15" s="222"/>
      <c r="F15" s="263"/>
      <c r="G15" s="263"/>
      <c r="H15" s="263"/>
      <c r="I15" s="263">
        <v>20000</v>
      </c>
      <c r="J15" s="263">
        <v>20000</v>
      </c>
      <c r="K15" s="263">
        <v>20000</v>
      </c>
      <c r="L15" s="263">
        <v>20000</v>
      </c>
      <c r="M15" s="263">
        <v>20000</v>
      </c>
      <c r="N15" s="263">
        <v>20000</v>
      </c>
      <c r="O15" s="263">
        <v>20000</v>
      </c>
      <c r="P15" s="263">
        <v>20000</v>
      </c>
      <c r="Q15" s="263">
        <v>20000</v>
      </c>
      <c r="R15" s="267">
        <f>AVERAGE(F15:Q15)</f>
        <v>20000</v>
      </c>
      <c r="U15" s="256">
        <f>IFERROR(R15-#REF!,0)</f>
        <v>0</v>
      </c>
      <c r="V15" s="236">
        <f>IFERROR((R15/#REF!)-1,0)</f>
        <v>0</v>
      </c>
    </row>
    <row r="16" spans="2:22" ht="17.5" customHeight="1" outlineLevel="1" x14ac:dyDescent="0.25">
      <c r="B16" s="260">
        <v>2</v>
      </c>
      <c r="C16" s="261"/>
      <c r="D16" s="262" t="s">
        <v>194</v>
      </c>
      <c r="E16" s="222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7"/>
      <c r="U16" s="256">
        <f>IFERROR(R16-#REF!,0)</f>
        <v>0</v>
      </c>
      <c r="V16" s="236">
        <f>IFERROR((R16/#REF!)-1,0)</f>
        <v>0</v>
      </c>
    </row>
    <row r="17" spans="2:23" ht="15.5" outlineLevel="1" x14ac:dyDescent="0.25">
      <c r="B17" s="260">
        <v>3</v>
      </c>
      <c r="C17" s="261"/>
      <c r="D17" s="262" t="s">
        <v>194</v>
      </c>
      <c r="E17" s="222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7"/>
      <c r="U17" s="256">
        <f>IFERROR(R17-#REF!,0)</f>
        <v>0</v>
      </c>
      <c r="V17" s="236">
        <f>IFERROR((R17/#REF!)-1,0)</f>
        <v>0</v>
      </c>
    </row>
    <row r="18" spans="2:23" ht="15.5" outlineLevel="1" x14ac:dyDescent="0.25">
      <c r="B18" s="260">
        <v>4</v>
      </c>
      <c r="C18" s="261"/>
      <c r="D18" s="262" t="s">
        <v>194</v>
      </c>
      <c r="E18" s="222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7"/>
      <c r="U18" s="256">
        <f>IFERROR(R18-#REF!,0)</f>
        <v>0</v>
      </c>
      <c r="V18" s="236">
        <f>IFERROR((R18/#REF!)-1,0)</f>
        <v>0</v>
      </c>
    </row>
    <row r="19" spans="2:23" outlineLevel="1" x14ac:dyDescent="0.25">
      <c r="B19" s="118"/>
      <c r="C19" s="119" t="s">
        <v>195</v>
      </c>
      <c r="D19" s="258"/>
      <c r="E19" s="121"/>
      <c r="F19" s="264" t="e">
        <f t="shared" ref="F19:Q19" si="2">F27/F11</f>
        <v>#DIV/0!</v>
      </c>
      <c r="G19" s="264" t="e">
        <f t="shared" si="2"/>
        <v>#DIV/0!</v>
      </c>
      <c r="H19" s="264" t="e">
        <f t="shared" si="2"/>
        <v>#DIV/0!</v>
      </c>
      <c r="I19" s="264">
        <f t="shared" si="2"/>
        <v>20000</v>
      </c>
      <c r="J19" s="264">
        <f t="shared" si="2"/>
        <v>20000</v>
      </c>
      <c r="K19" s="264">
        <f t="shared" si="2"/>
        <v>20000</v>
      </c>
      <c r="L19" s="264">
        <f t="shared" si="2"/>
        <v>20000</v>
      </c>
      <c r="M19" s="264">
        <f t="shared" si="2"/>
        <v>20000</v>
      </c>
      <c r="N19" s="264">
        <f t="shared" si="2"/>
        <v>20000</v>
      </c>
      <c r="O19" s="264">
        <f t="shared" si="2"/>
        <v>20000</v>
      </c>
      <c r="P19" s="264">
        <f t="shared" si="2"/>
        <v>20000</v>
      </c>
      <c r="Q19" s="264">
        <f t="shared" si="2"/>
        <v>20000</v>
      </c>
      <c r="R19" s="121"/>
      <c r="U19" s="121">
        <f>IFERROR(R19-#REF!,0)</f>
        <v>0</v>
      </c>
      <c r="V19" s="259">
        <f>IFERROR((R19/#REF!)-1,0)</f>
        <v>0</v>
      </c>
    </row>
    <row r="20" spans="2:23" ht="12.5" x14ac:dyDescent="0.25">
      <c r="B20" s="67"/>
      <c r="C20" s="68"/>
      <c r="D20" s="69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 spans="2:23" x14ac:dyDescent="0.3">
      <c r="B21" s="4" t="s">
        <v>196</v>
      </c>
      <c r="R21" s="75"/>
      <c r="U21" s="75"/>
      <c r="V21" s="75"/>
    </row>
    <row r="22" spans="2:23" ht="25.5" customHeight="1" x14ac:dyDescent="0.25">
      <c r="B22" s="129" t="s">
        <v>0</v>
      </c>
      <c r="C22" s="129" t="s">
        <v>186</v>
      </c>
      <c r="D22" s="129" t="s">
        <v>96</v>
      </c>
      <c r="E22" s="92" t="s">
        <v>187</v>
      </c>
      <c r="F22" s="92" t="s">
        <v>10</v>
      </c>
      <c r="G22" s="92" t="s">
        <v>11</v>
      </c>
      <c r="H22" s="92" t="s">
        <v>12</v>
      </c>
      <c r="I22" s="92" t="s">
        <v>13</v>
      </c>
      <c r="J22" s="92" t="s">
        <v>14</v>
      </c>
      <c r="K22" s="92" t="s">
        <v>15</v>
      </c>
      <c r="L22" s="92" t="s">
        <v>16</v>
      </c>
      <c r="M22" s="92" t="s">
        <v>17</v>
      </c>
      <c r="N22" s="92" t="s">
        <v>18</v>
      </c>
      <c r="O22" s="92" t="s">
        <v>19</v>
      </c>
      <c r="P22" s="92" t="s">
        <v>20</v>
      </c>
      <c r="Q22" s="92" t="s">
        <v>21</v>
      </c>
      <c r="R22" s="92" t="s">
        <v>363</v>
      </c>
      <c r="S22" s="8"/>
      <c r="T22" s="8"/>
      <c r="U22" s="227" t="s">
        <v>188</v>
      </c>
      <c r="V22" s="228" t="s">
        <v>189</v>
      </c>
    </row>
    <row r="23" spans="2:23" x14ac:dyDescent="0.25">
      <c r="B23" s="98">
        <v>1</v>
      </c>
      <c r="C23" s="99" t="s">
        <v>395</v>
      </c>
      <c r="D23" s="100" t="s">
        <v>197</v>
      </c>
      <c r="E23" s="117"/>
      <c r="F23" s="117">
        <f t="shared" ref="F23:Q23" si="3">F7*F15</f>
        <v>0</v>
      </c>
      <c r="G23" s="117">
        <f t="shared" si="3"/>
        <v>0</v>
      </c>
      <c r="H23" s="117">
        <f t="shared" si="3"/>
        <v>0</v>
      </c>
      <c r="I23" s="117">
        <f t="shared" si="3"/>
        <v>2848320000</v>
      </c>
      <c r="J23" s="117">
        <f t="shared" si="3"/>
        <v>2848320000</v>
      </c>
      <c r="K23" s="117">
        <f t="shared" si="3"/>
        <v>2848320000</v>
      </c>
      <c r="L23" s="117">
        <f t="shared" si="3"/>
        <v>2848320000</v>
      </c>
      <c r="M23" s="117">
        <f t="shared" si="3"/>
        <v>2848320000</v>
      </c>
      <c r="N23" s="117">
        <f t="shared" si="3"/>
        <v>2848320000</v>
      </c>
      <c r="O23" s="117">
        <f t="shared" si="3"/>
        <v>2848320000</v>
      </c>
      <c r="P23" s="117">
        <f t="shared" si="3"/>
        <v>2848320000</v>
      </c>
      <c r="Q23" s="117">
        <f t="shared" si="3"/>
        <v>2848320000</v>
      </c>
      <c r="R23" s="265">
        <f>SUM(F23:Q23)</f>
        <v>25634880000</v>
      </c>
      <c r="U23" s="117">
        <f>IFERROR(R23-#REF!,0)</f>
        <v>0</v>
      </c>
      <c r="V23" s="236">
        <f>IFERROR((R23/#REF!)-1,0)</f>
        <v>0</v>
      </c>
    </row>
    <row r="24" spans="2:23" x14ac:dyDescent="0.25">
      <c r="B24" s="98">
        <v>2</v>
      </c>
      <c r="C24" s="99"/>
      <c r="D24" s="100" t="s">
        <v>197</v>
      </c>
      <c r="E24" s="117"/>
      <c r="F24" s="117">
        <f t="shared" ref="F24:Q24" si="4">F8*F16</f>
        <v>0</v>
      </c>
      <c r="G24" s="117">
        <f t="shared" si="4"/>
        <v>0</v>
      </c>
      <c r="H24" s="117">
        <f t="shared" si="4"/>
        <v>0</v>
      </c>
      <c r="I24" s="117">
        <f t="shared" si="4"/>
        <v>0</v>
      </c>
      <c r="J24" s="117">
        <f t="shared" si="4"/>
        <v>0</v>
      </c>
      <c r="K24" s="117">
        <f t="shared" si="4"/>
        <v>0</v>
      </c>
      <c r="L24" s="117">
        <f t="shared" si="4"/>
        <v>0</v>
      </c>
      <c r="M24" s="117">
        <f t="shared" si="4"/>
        <v>0</v>
      </c>
      <c r="N24" s="117">
        <f t="shared" si="4"/>
        <v>0</v>
      </c>
      <c r="O24" s="117">
        <f t="shared" si="4"/>
        <v>0</v>
      </c>
      <c r="P24" s="117">
        <f t="shared" si="4"/>
        <v>0</v>
      </c>
      <c r="Q24" s="117">
        <f t="shared" si="4"/>
        <v>0</v>
      </c>
      <c r="R24" s="265">
        <f t="shared" ref="R24:R26" si="5">SUM(F24:Q24)</f>
        <v>0</v>
      </c>
      <c r="U24" s="117">
        <f>IFERROR(R24-#REF!,0)</f>
        <v>0</v>
      </c>
      <c r="V24" s="236">
        <f>IFERROR((R24/#REF!)-1,0)</f>
        <v>0</v>
      </c>
    </row>
    <row r="25" spans="2:23" x14ac:dyDescent="0.25">
      <c r="B25" s="98">
        <v>3</v>
      </c>
      <c r="C25" s="99"/>
      <c r="D25" s="100" t="s">
        <v>197</v>
      </c>
      <c r="E25" s="117"/>
      <c r="F25" s="117">
        <f t="shared" ref="F25:Q25" si="6">F9*F17</f>
        <v>0</v>
      </c>
      <c r="G25" s="117">
        <f t="shared" si="6"/>
        <v>0</v>
      </c>
      <c r="H25" s="117">
        <f t="shared" si="6"/>
        <v>0</v>
      </c>
      <c r="I25" s="117">
        <f t="shared" si="6"/>
        <v>0</v>
      </c>
      <c r="J25" s="117">
        <f t="shared" si="6"/>
        <v>0</v>
      </c>
      <c r="K25" s="117">
        <f t="shared" si="6"/>
        <v>0</v>
      </c>
      <c r="L25" s="117">
        <f t="shared" si="6"/>
        <v>0</v>
      </c>
      <c r="M25" s="117">
        <f t="shared" si="6"/>
        <v>0</v>
      </c>
      <c r="N25" s="117">
        <f t="shared" si="6"/>
        <v>0</v>
      </c>
      <c r="O25" s="117">
        <f t="shared" si="6"/>
        <v>0</v>
      </c>
      <c r="P25" s="117">
        <f t="shared" si="6"/>
        <v>0</v>
      </c>
      <c r="Q25" s="117">
        <f t="shared" si="6"/>
        <v>0</v>
      </c>
      <c r="R25" s="265">
        <f t="shared" si="5"/>
        <v>0</v>
      </c>
      <c r="U25" s="117">
        <f>IFERROR(R25-#REF!,0)</f>
        <v>0</v>
      </c>
      <c r="V25" s="236">
        <f>IFERROR((R25/#REF!)-1,0)</f>
        <v>0</v>
      </c>
    </row>
    <row r="26" spans="2:23" x14ac:dyDescent="0.25">
      <c r="B26" s="98">
        <v>4</v>
      </c>
      <c r="C26" s="99"/>
      <c r="D26" s="100" t="s">
        <v>197</v>
      </c>
      <c r="E26" s="117"/>
      <c r="F26" s="117">
        <f t="shared" ref="F26:Q26" si="7">F10*F18</f>
        <v>0</v>
      </c>
      <c r="G26" s="117">
        <f t="shared" si="7"/>
        <v>0</v>
      </c>
      <c r="H26" s="117">
        <f t="shared" si="7"/>
        <v>0</v>
      </c>
      <c r="I26" s="117">
        <f t="shared" si="7"/>
        <v>0</v>
      </c>
      <c r="J26" s="117">
        <f t="shared" si="7"/>
        <v>0</v>
      </c>
      <c r="K26" s="117">
        <f t="shared" si="7"/>
        <v>0</v>
      </c>
      <c r="L26" s="117">
        <f t="shared" si="7"/>
        <v>0</v>
      </c>
      <c r="M26" s="117">
        <f t="shared" si="7"/>
        <v>0</v>
      </c>
      <c r="N26" s="117">
        <f t="shared" si="7"/>
        <v>0</v>
      </c>
      <c r="O26" s="117">
        <f t="shared" si="7"/>
        <v>0</v>
      </c>
      <c r="P26" s="117">
        <f t="shared" si="7"/>
        <v>0</v>
      </c>
      <c r="Q26" s="117">
        <f t="shared" si="7"/>
        <v>0</v>
      </c>
      <c r="R26" s="265">
        <f t="shared" si="5"/>
        <v>0</v>
      </c>
      <c r="U26" s="117">
        <f>IFERROR(R26-#REF!,0)</f>
        <v>0</v>
      </c>
      <c r="V26" s="236">
        <f>IFERROR((R26/#REF!)-1,0)</f>
        <v>0</v>
      </c>
    </row>
    <row r="27" spans="2:23" ht="12.4" customHeight="1" x14ac:dyDescent="0.25">
      <c r="B27" s="118"/>
      <c r="C27" s="119" t="s">
        <v>160</v>
      </c>
      <c r="D27" s="258"/>
      <c r="E27" s="266">
        <f t="shared" ref="E27:Q27" si="8">SUM(E23:E26)</f>
        <v>0</v>
      </c>
      <c r="F27" s="266">
        <f t="shared" si="8"/>
        <v>0</v>
      </c>
      <c r="G27" s="266">
        <f t="shared" si="8"/>
        <v>0</v>
      </c>
      <c r="H27" s="266">
        <f t="shared" si="8"/>
        <v>0</v>
      </c>
      <c r="I27" s="266">
        <f t="shared" si="8"/>
        <v>2848320000</v>
      </c>
      <c r="J27" s="266">
        <f t="shared" si="8"/>
        <v>2848320000</v>
      </c>
      <c r="K27" s="266">
        <f t="shared" si="8"/>
        <v>2848320000</v>
      </c>
      <c r="L27" s="266">
        <f t="shared" si="8"/>
        <v>2848320000</v>
      </c>
      <c r="M27" s="266">
        <f t="shared" si="8"/>
        <v>2848320000</v>
      </c>
      <c r="N27" s="266">
        <f t="shared" si="8"/>
        <v>2848320000</v>
      </c>
      <c r="O27" s="266">
        <f t="shared" si="8"/>
        <v>2848320000</v>
      </c>
      <c r="P27" s="266">
        <f t="shared" si="8"/>
        <v>2848320000</v>
      </c>
      <c r="Q27" s="266">
        <f t="shared" si="8"/>
        <v>2848320000</v>
      </c>
      <c r="R27" s="266">
        <f>SUM(F27:Q27)</f>
        <v>25634880000</v>
      </c>
      <c r="U27" s="266">
        <f>IFERROR(R27-#REF!,0)</f>
        <v>0</v>
      </c>
      <c r="V27" s="259">
        <f>IFERROR((R27/#REF!)-1,0)</f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>
    <tabColor rgb="FFFF0000"/>
  </sheetPr>
  <dimension ref="B1:Y34"/>
  <sheetViews>
    <sheetView showGridLines="0" topLeftCell="A5" zoomScale="85" zoomScaleNormal="85" workbookViewId="0">
      <selection activeCell="J18" sqref="J18"/>
    </sheetView>
  </sheetViews>
  <sheetFormatPr defaultColWidth="8.7265625" defaultRowHeight="12.5" outlineLevelRow="1" outlineLevelCol="1" x14ac:dyDescent="0.25"/>
  <cols>
    <col min="1" max="1" width="1.7265625" style="5" customWidth="1"/>
    <col min="2" max="2" width="4.26953125" style="5" customWidth="1"/>
    <col min="3" max="3" width="28.54296875" style="5" customWidth="1"/>
    <col min="4" max="4" width="11.1796875" style="5" customWidth="1"/>
    <col min="5" max="7" width="10.7265625" style="5" hidden="1" customWidth="1" outlineLevel="1"/>
    <col min="8" max="8" width="8.7265625" style="5" customWidth="1" collapsed="1"/>
    <col min="9" max="19" width="8.7265625" style="5" customWidth="1"/>
    <col min="20" max="20" width="10.26953125" style="5" customWidth="1"/>
    <col min="21" max="21" width="18.7265625" style="5" bestFit="1" customWidth="1"/>
    <col min="22" max="22" width="12.453125" style="5" bestFit="1" customWidth="1"/>
    <col min="23" max="23" width="15.26953125" style="5" bestFit="1" customWidth="1"/>
    <col min="24" max="24" width="16.81640625" style="5" bestFit="1" customWidth="1"/>
    <col min="25" max="16384" width="8.7265625" style="5"/>
  </cols>
  <sheetData>
    <row r="1" spans="2:25" ht="15.5" x14ac:dyDescent="0.25">
      <c r="B1" s="169" t="s">
        <v>198</v>
      </c>
    </row>
    <row r="3" spans="2:25" ht="13" x14ac:dyDescent="0.3">
      <c r="B3" s="56" t="s">
        <v>199</v>
      </c>
    </row>
    <row r="4" spans="2:25" ht="13" x14ac:dyDescent="0.3">
      <c r="B4" s="4" t="s">
        <v>200</v>
      </c>
      <c r="H4" s="5">
        <f>SUM(H12:H13)/1000</f>
        <v>0</v>
      </c>
      <c r="I4" s="5">
        <f t="shared" ref="I4:S4" si="0">SUM(I12:I13)/1000</f>
        <v>0</v>
      </c>
      <c r="J4" s="5">
        <f t="shared" si="0"/>
        <v>0</v>
      </c>
      <c r="K4" s="5">
        <f t="shared" si="0"/>
        <v>165.6</v>
      </c>
      <c r="L4" s="5">
        <f t="shared" si="0"/>
        <v>165.6</v>
      </c>
      <c r="M4" s="5">
        <f t="shared" si="0"/>
        <v>165.6</v>
      </c>
      <c r="N4" s="5">
        <f t="shared" si="0"/>
        <v>165.6</v>
      </c>
      <c r="O4" s="5">
        <f t="shared" si="0"/>
        <v>165.6</v>
      </c>
      <c r="P4" s="5">
        <f t="shared" si="0"/>
        <v>165.6</v>
      </c>
      <c r="Q4" s="5">
        <f t="shared" si="0"/>
        <v>165.6</v>
      </c>
      <c r="R4" s="5">
        <f t="shared" si="0"/>
        <v>165.6</v>
      </c>
      <c r="S4" s="5">
        <f t="shared" si="0"/>
        <v>165.6</v>
      </c>
    </row>
    <row r="5" spans="2:25" ht="39.4" customHeight="1" x14ac:dyDescent="0.25">
      <c r="B5" s="92" t="s">
        <v>0</v>
      </c>
      <c r="C5" s="92" t="s">
        <v>201</v>
      </c>
      <c r="D5" s="92" t="s">
        <v>96</v>
      </c>
      <c r="E5" s="224" t="s">
        <v>77</v>
      </c>
      <c r="F5" s="224" t="s">
        <v>8</v>
      </c>
      <c r="G5" s="224" t="s">
        <v>9</v>
      </c>
      <c r="H5" s="92" t="s">
        <v>10</v>
      </c>
      <c r="I5" s="92" t="s">
        <v>11</v>
      </c>
      <c r="J5" s="92" t="s">
        <v>12</v>
      </c>
      <c r="K5" s="92" t="s">
        <v>13</v>
      </c>
      <c r="L5" s="92" t="s">
        <v>14</v>
      </c>
      <c r="M5" s="92" t="s">
        <v>15</v>
      </c>
      <c r="N5" s="92" t="s">
        <v>16</v>
      </c>
      <c r="O5" s="92" t="s">
        <v>17</v>
      </c>
      <c r="P5" s="92" t="s">
        <v>18</v>
      </c>
      <c r="Q5" s="92" t="s">
        <v>19</v>
      </c>
      <c r="R5" s="92" t="s">
        <v>20</v>
      </c>
      <c r="S5" s="92" t="s">
        <v>21</v>
      </c>
      <c r="T5" s="92" t="s">
        <v>363</v>
      </c>
    </row>
    <row r="6" spans="2:25" s="6" customFormat="1" ht="13" outlineLevel="1" x14ac:dyDescent="0.25">
      <c r="B6" s="271" t="s">
        <v>202</v>
      </c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</row>
    <row r="7" spans="2:25" s="6" customFormat="1" outlineLevel="1" x14ac:dyDescent="0.25">
      <c r="B7" s="98">
        <v>1</v>
      </c>
      <c r="C7" s="99" t="s">
        <v>369</v>
      </c>
      <c r="D7" s="273" t="s">
        <v>1</v>
      </c>
      <c r="E7" s="235"/>
      <c r="F7" s="235"/>
      <c r="G7" s="235">
        <f>G12/$G$14</f>
        <v>0.24307791816739763</v>
      </c>
      <c r="H7" s="274">
        <v>1</v>
      </c>
      <c r="I7" s="274">
        <v>1</v>
      </c>
      <c r="J7" s="274">
        <v>1</v>
      </c>
      <c r="K7" s="274">
        <v>1</v>
      </c>
      <c r="L7" s="274">
        <v>1</v>
      </c>
      <c r="M7" s="274">
        <v>1</v>
      </c>
      <c r="N7" s="274">
        <v>1</v>
      </c>
      <c r="O7" s="274">
        <v>1</v>
      </c>
      <c r="P7" s="274">
        <v>1</v>
      </c>
      <c r="Q7" s="274">
        <v>1</v>
      </c>
      <c r="R7" s="274">
        <v>1</v>
      </c>
      <c r="S7" s="274">
        <v>1</v>
      </c>
      <c r="T7" s="235">
        <v>1</v>
      </c>
    </row>
    <row r="8" spans="2:25" s="6" customFormat="1" outlineLevel="1" x14ac:dyDescent="0.25">
      <c r="B8" s="98">
        <v>3</v>
      </c>
      <c r="C8" s="99" t="s">
        <v>393</v>
      </c>
      <c r="D8" s="273" t="s">
        <v>1</v>
      </c>
      <c r="E8" s="235"/>
      <c r="F8" s="235"/>
      <c r="G8" s="235" t="e">
        <f>#REF!/$G$14</f>
        <v>#REF!</v>
      </c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</row>
    <row r="9" spans="2:25" s="76" customFormat="1" ht="13" outlineLevel="1" x14ac:dyDescent="0.3">
      <c r="B9" s="268"/>
      <c r="C9" s="269" t="s">
        <v>203</v>
      </c>
      <c r="D9" s="97"/>
      <c r="E9" s="275" t="e">
        <f>E7+#REF!+E8</f>
        <v>#REF!</v>
      </c>
      <c r="F9" s="275" t="e">
        <f>F7+#REF!+F8</f>
        <v>#REF!</v>
      </c>
      <c r="G9" s="275" t="e">
        <f>G7+#REF!+G8</f>
        <v>#REF!</v>
      </c>
      <c r="H9" s="275">
        <v>1</v>
      </c>
      <c r="I9" s="275">
        <v>1</v>
      </c>
      <c r="J9" s="275">
        <v>1</v>
      </c>
      <c r="K9" s="275">
        <v>1</v>
      </c>
      <c r="L9" s="275">
        <v>1</v>
      </c>
      <c r="M9" s="275">
        <v>1</v>
      </c>
      <c r="N9" s="275">
        <v>1</v>
      </c>
      <c r="O9" s="275">
        <v>1</v>
      </c>
      <c r="P9" s="275">
        <v>1</v>
      </c>
      <c r="Q9" s="275">
        <v>1</v>
      </c>
      <c r="R9" s="275">
        <v>1</v>
      </c>
      <c r="S9" s="275">
        <v>1</v>
      </c>
      <c r="T9" s="275">
        <v>1</v>
      </c>
      <c r="V9" s="6"/>
      <c r="W9" s="6"/>
      <c r="X9" s="6"/>
    </row>
    <row r="10" spans="2:25" s="76" customFormat="1" ht="13" x14ac:dyDescent="0.3">
      <c r="V10" s="5"/>
      <c r="W10" s="5"/>
      <c r="X10" s="5"/>
      <c r="Y10" s="4"/>
    </row>
    <row r="11" spans="2:25" s="6" customFormat="1" ht="13" x14ac:dyDescent="0.3">
      <c r="B11" s="271" t="s">
        <v>204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V11" s="4"/>
      <c r="W11" s="4"/>
      <c r="X11" s="4"/>
      <c r="Y11" s="5"/>
    </row>
    <row r="12" spans="2:25" x14ac:dyDescent="0.25">
      <c r="B12" s="98">
        <v>1</v>
      </c>
      <c r="C12" s="99" t="s">
        <v>369</v>
      </c>
      <c r="D12" s="100" t="s">
        <v>190</v>
      </c>
      <c r="E12" s="101"/>
      <c r="F12" s="101"/>
      <c r="G12" s="101">
        <v>2584077</v>
      </c>
      <c r="H12" s="101"/>
      <c r="I12" s="101"/>
      <c r="J12" s="101"/>
      <c r="K12" s="101">
        <f>300*24*23</f>
        <v>165600</v>
      </c>
      <c r="L12" s="101">
        <f t="shared" ref="L12:S12" si="1">300*24*23</f>
        <v>165600</v>
      </c>
      <c r="M12" s="101">
        <f t="shared" si="1"/>
        <v>165600</v>
      </c>
      <c r="N12" s="101">
        <f t="shared" si="1"/>
        <v>165600</v>
      </c>
      <c r="O12" s="101">
        <f t="shared" si="1"/>
        <v>165600</v>
      </c>
      <c r="P12" s="101">
        <f t="shared" si="1"/>
        <v>165600</v>
      </c>
      <c r="Q12" s="101">
        <f t="shared" si="1"/>
        <v>165600</v>
      </c>
      <c r="R12" s="101">
        <f t="shared" si="1"/>
        <v>165600</v>
      </c>
      <c r="S12" s="101">
        <f t="shared" si="1"/>
        <v>165600</v>
      </c>
      <c r="T12" s="101">
        <f>SUM(H12:S12)</f>
        <v>1490400</v>
      </c>
      <c r="V12" s="109"/>
    </row>
    <row r="13" spans="2:25" ht="13" x14ac:dyDescent="0.3">
      <c r="B13" s="98">
        <v>2</v>
      </c>
      <c r="C13" s="99"/>
      <c r="D13" s="100" t="s">
        <v>190</v>
      </c>
      <c r="E13" s="101"/>
      <c r="F13" s="101"/>
      <c r="G13" s="101">
        <v>5699155</v>
      </c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>
        <f>SUM(H13:S13)</f>
        <v>0</v>
      </c>
      <c r="Y13" s="4"/>
    </row>
    <row r="14" spans="2:25" s="4" customFormat="1" ht="13" x14ac:dyDescent="0.3">
      <c r="B14" s="268"/>
      <c r="C14" s="269" t="s">
        <v>203</v>
      </c>
      <c r="D14" s="270" t="s">
        <v>190</v>
      </c>
      <c r="E14" s="102"/>
      <c r="F14" s="102"/>
      <c r="G14" s="102">
        <v>10630653</v>
      </c>
      <c r="H14" s="336"/>
      <c r="I14" s="336"/>
      <c r="J14" s="336"/>
      <c r="K14" s="336">
        <f>SUM(K12:K13)</f>
        <v>165600</v>
      </c>
      <c r="L14" s="336">
        <f t="shared" ref="L14:S14" si="2">SUM(L12:L13)</f>
        <v>165600</v>
      </c>
      <c r="M14" s="336">
        <f t="shared" si="2"/>
        <v>165600</v>
      </c>
      <c r="N14" s="336">
        <f t="shared" si="2"/>
        <v>165600</v>
      </c>
      <c r="O14" s="336">
        <f t="shared" si="2"/>
        <v>165600</v>
      </c>
      <c r="P14" s="336">
        <f t="shared" si="2"/>
        <v>165600</v>
      </c>
      <c r="Q14" s="336">
        <f t="shared" si="2"/>
        <v>165600</v>
      </c>
      <c r="R14" s="336">
        <f t="shared" si="2"/>
        <v>165600</v>
      </c>
      <c r="S14" s="336">
        <f t="shared" si="2"/>
        <v>165600</v>
      </c>
      <c r="T14" s="102">
        <f>SUM(H14:S14)</f>
        <v>1490400</v>
      </c>
      <c r="U14" s="136" t="s">
        <v>205</v>
      </c>
      <c r="Y14" s="5"/>
    </row>
    <row r="15" spans="2:25" x14ac:dyDescent="0.25">
      <c r="H15" s="337">
        <f>H14/1000</f>
        <v>0</v>
      </c>
      <c r="I15" s="337">
        <f t="shared" ref="I15:S15" si="3">I14/1000</f>
        <v>0</v>
      </c>
      <c r="J15" s="337">
        <f t="shared" si="3"/>
        <v>0</v>
      </c>
      <c r="K15" s="337">
        <f t="shared" si="3"/>
        <v>165.6</v>
      </c>
      <c r="L15" s="337">
        <f t="shared" si="3"/>
        <v>165.6</v>
      </c>
      <c r="M15" s="337">
        <f t="shared" si="3"/>
        <v>165.6</v>
      </c>
      <c r="N15" s="337">
        <f t="shared" si="3"/>
        <v>165.6</v>
      </c>
      <c r="O15" s="337">
        <f t="shared" si="3"/>
        <v>165.6</v>
      </c>
      <c r="P15" s="337">
        <f t="shared" si="3"/>
        <v>165.6</v>
      </c>
      <c r="Q15" s="337">
        <f t="shared" si="3"/>
        <v>165.6</v>
      </c>
      <c r="R15" s="337">
        <f t="shared" si="3"/>
        <v>165.6</v>
      </c>
      <c r="S15" s="337">
        <f t="shared" si="3"/>
        <v>165.6</v>
      </c>
    </row>
    <row r="16" spans="2:25" ht="13" x14ac:dyDescent="0.3">
      <c r="B16" s="4" t="s">
        <v>206</v>
      </c>
    </row>
    <row r="17" spans="2:25" ht="39.4" customHeight="1" x14ac:dyDescent="0.25">
      <c r="B17" s="92" t="s">
        <v>0</v>
      </c>
      <c r="C17" s="92" t="s">
        <v>201</v>
      </c>
      <c r="D17" s="92" t="s">
        <v>96</v>
      </c>
      <c r="E17" s="224" t="s">
        <v>77</v>
      </c>
      <c r="F17" s="224" t="s">
        <v>8</v>
      </c>
      <c r="G17" s="224" t="s">
        <v>9</v>
      </c>
      <c r="H17" s="92" t="s">
        <v>10</v>
      </c>
      <c r="I17" s="92" t="s">
        <v>11</v>
      </c>
      <c r="J17" s="92" t="s">
        <v>12</v>
      </c>
      <c r="K17" s="92" t="s">
        <v>13</v>
      </c>
      <c r="L17" s="92" t="s">
        <v>14</v>
      </c>
      <c r="M17" s="92" t="s">
        <v>15</v>
      </c>
      <c r="N17" s="92" t="s">
        <v>16</v>
      </c>
      <c r="O17" s="92" t="s">
        <v>17</v>
      </c>
      <c r="P17" s="92" t="s">
        <v>18</v>
      </c>
      <c r="Q17" s="92" t="s">
        <v>19</v>
      </c>
      <c r="R17" s="92" t="s">
        <v>20</v>
      </c>
      <c r="S17" s="92" t="s">
        <v>21</v>
      </c>
      <c r="T17" s="92" t="s">
        <v>363</v>
      </c>
      <c r="U17" s="221"/>
    </row>
    <row r="18" spans="2:25" s="4" customFormat="1" ht="15.5" x14ac:dyDescent="0.3">
      <c r="B18" s="276">
        <v>1</v>
      </c>
      <c r="C18" s="277" t="s">
        <v>369</v>
      </c>
      <c r="D18" s="278" t="s">
        <v>194</v>
      </c>
      <c r="E18" s="170"/>
      <c r="F18" s="170"/>
      <c r="G18" s="170"/>
      <c r="H18" s="279">
        <f t="shared" ref="H18:J18" si="4">SUM(H19:H20)</f>
        <v>0</v>
      </c>
      <c r="I18" s="279">
        <f t="shared" si="4"/>
        <v>0</v>
      </c>
      <c r="J18" s="279">
        <f t="shared" si="4"/>
        <v>0</v>
      </c>
      <c r="K18" s="279">
        <f>SUM(K19:K20)</f>
        <v>13408.333333333334</v>
      </c>
      <c r="L18" s="279">
        <f t="shared" ref="L18:S18" si="5">SUM(L19:L20)</f>
        <v>13408.333333333334</v>
      </c>
      <c r="M18" s="279">
        <f t="shared" si="5"/>
        <v>13408.333333333334</v>
      </c>
      <c r="N18" s="279">
        <f t="shared" si="5"/>
        <v>13408.333333333334</v>
      </c>
      <c r="O18" s="279">
        <f t="shared" si="5"/>
        <v>13408.333333333334</v>
      </c>
      <c r="P18" s="279">
        <f t="shared" si="5"/>
        <v>13408.333333333334</v>
      </c>
      <c r="Q18" s="279">
        <f t="shared" si="5"/>
        <v>13408.333333333334</v>
      </c>
      <c r="R18" s="279">
        <f t="shared" si="5"/>
        <v>13408.333333333334</v>
      </c>
      <c r="S18" s="279">
        <f t="shared" si="5"/>
        <v>13408.333333333334</v>
      </c>
      <c r="T18" s="279">
        <f t="shared" ref="T18" si="6">T19+T20</f>
        <v>13306.25</v>
      </c>
      <c r="V18" s="5"/>
      <c r="W18" s="5"/>
      <c r="X18" s="5"/>
      <c r="Y18" s="7"/>
    </row>
    <row r="19" spans="2:25" x14ac:dyDescent="0.25">
      <c r="B19" s="98" t="s">
        <v>112</v>
      </c>
      <c r="C19" s="99" t="s">
        <v>369</v>
      </c>
      <c r="D19" s="100"/>
      <c r="E19" s="280"/>
      <c r="F19" s="280"/>
      <c r="G19" s="280"/>
      <c r="H19" s="395"/>
      <c r="I19" s="395"/>
      <c r="J19" s="395"/>
      <c r="K19" s="395">
        <v>13000</v>
      </c>
      <c r="L19" s="395">
        <v>13000</v>
      </c>
      <c r="M19" s="395">
        <v>13000</v>
      </c>
      <c r="N19" s="395">
        <v>13000</v>
      </c>
      <c r="O19" s="395">
        <v>13000</v>
      </c>
      <c r="P19" s="395">
        <v>13000</v>
      </c>
      <c r="Q19" s="395">
        <v>13000</v>
      </c>
      <c r="R19" s="395">
        <v>13000</v>
      </c>
      <c r="S19" s="395">
        <v>13000</v>
      </c>
      <c r="T19" s="396">
        <f>AVERAGE(H19:S19)</f>
        <v>13000</v>
      </c>
      <c r="V19" s="7"/>
      <c r="W19" s="7"/>
      <c r="X19" s="7"/>
    </row>
    <row r="20" spans="2:25" ht="25" x14ac:dyDescent="0.25">
      <c r="B20" s="98" t="s">
        <v>114</v>
      </c>
      <c r="C20" s="404" t="s">
        <v>207</v>
      </c>
      <c r="D20" s="405"/>
      <c r="E20" s="406"/>
      <c r="F20" s="406"/>
      <c r="G20" s="406"/>
      <c r="H20" s="407">
        <v>0</v>
      </c>
      <c r="I20" s="407">
        <v>0</v>
      </c>
      <c r="J20" s="407">
        <v>0</v>
      </c>
      <c r="K20" s="407">
        <f>4900000/12000</f>
        <v>408.33333333333331</v>
      </c>
      <c r="L20" s="407">
        <f t="shared" ref="L20:S20" si="7">4900000/12000</f>
        <v>408.33333333333331</v>
      </c>
      <c r="M20" s="407">
        <f t="shared" si="7"/>
        <v>408.33333333333331</v>
      </c>
      <c r="N20" s="407">
        <f t="shared" si="7"/>
        <v>408.33333333333331</v>
      </c>
      <c r="O20" s="407">
        <f t="shared" si="7"/>
        <v>408.33333333333331</v>
      </c>
      <c r="P20" s="407">
        <f t="shared" si="7"/>
        <v>408.33333333333331</v>
      </c>
      <c r="Q20" s="407">
        <f t="shared" si="7"/>
        <v>408.33333333333331</v>
      </c>
      <c r="R20" s="407">
        <f t="shared" si="7"/>
        <v>408.33333333333331</v>
      </c>
      <c r="S20" s="407">
        <f t="shared" si="7"/>
        <v>408.33333333333331</v>
      </c>
      <c r="T20" s="408">
        <f>AVERAGE(H20:S20)</f>
        <v>306.25000000000006</v>
      </c>
    </row>
    <row r="21" spans="2:25" s="4" customFormat="1" ht="13" x14ac:dyDescent="0.3">
      <c r="B21" s="281"/>
      <c r="C21" s="282" t="s">
        <v>208</v>
      </c>
      <c r="D21" s="283" t="s">
        <v>194</v>
      </c>
      <c r="E21" s="284"/>
      <c r="F21" s="284"/>
      <c r="G21" s="284"/>
      <c r="H21" s="284"/>
      <c r="I21" s="284"/>
      <c r="J21" s="284"/>
      <c r="K21" s="284">
        <f t="shared" ref="K21:S21" si="8">K27/K14</f>
        <v>13408.333333333334</v>
      </c>
      <c r="L21" s="284">
        <f t="shared" si="8"/>
        <v>13408.333333333334</v>
      </c>
      <c r="M21" s="284">
        <f t="shared" si="8"/>
        <v>13408.333333333334</v>
      </c>
      <c r="N21" s="284">
        <f t="shared" si="8"/>
        <v>13408.333333333334</v>
      </c>
      <c r="O21" s="284">
        <f t="shared" si="8"/>
        <v>13408.333333333334</v>
      </c>
      <c r="P21" s="284">
        <f t="shared" si="8"/>
        <v>13408.333333333334</v>
      </c>
      <c r="Q21" s="284">
        <f t="shared" si="8"/>
        <v>13408.333333333334</v>
      </c>
      <c r="R21" s="284">
        <f t="shared" si="8"/>
        <v>13408.333333333334</v>
      </c>
      <c r="S21" s="284">
        <f t="shared" si="8"/>
        <v>13408.333333333334</v>
      </c>
      <c r="T21" s="284"/>
      <c r="V21" s="5"/>
      <c r="W21" s="5"/>
      <c r="X21" s="5"/>
      <c r="Y21" s="7"/>
    </row>
    <row r="22" spans="2:25" x14ac:dyDescent="0.25">
      <c r="K22" s="14"/>
      <c r="V22" s="7"/>
      <c r="W22" s="7"/>
      <c r="X22" s="7"/>
    </row>
    <row r="23" spans="2:25" ht="13" x14ac:dyDescent="0.3">
      <c r="B23" s="4" t="s">
        <v>209</v>
      </c>
    </row>
    <row r="24" spans="2:25" ht="39.4" customHeight="1" x14ac:dyDescent="0.25">
      <c r="B24" s="92" t="s">
        <v>0</v>
      </c>
      <c r="C24" s="92" t="s">
        <v>201</v>
      </c>
      <c r="D24" s="92" t="s">
        <v>96</v>
      </c>
      <c r="E24" s="224" t="s">
        <v>77</v>
      </c>
      <c r="F24" s="224" t="s">
        <v>8</v>
      </c>
      <c r="G24" s="224" t="s">
        <v>9</v>
      </c>
      <c r="H24" s="92" t="s">
        <v>10</v>
      </c>
      <c r="I24" s="92" t="s">
        <v>11</v>
      </c>
      <c r="J24" s="92" t="s">
        <v>12</v>
      </c>
      <c r="K24" s="92" t="s">
        <v>13</v>
      </c>
      <c r="L24" s="92" t="s">
        <v>14</v>
      </c>
      <c r="M24" s="92" t="s">
        <v>15</v>
      </c>
      <c r="N24" s="92" t="s">
        <v>16</v>
      </c>
      <c r="O24" s="92" t="s">
        <v>17</v>
      </c>
      <c r="P24" s="92" t="s">
        <v>18</v>
      </c>
      <c r="Q24" s="92" t="s">
        <v>19</v>
      </c>
      <c r="R24" s="92" t="s">
        <v>20</v>
      </c>
      <c r="S24" s="92" t="s">
        <v>21</v>
      </c>
      <c r="T24" s="92" t="s">
        <v>363</v>
      </c>
    </row>
    <row r="25" spans="2:25" x14ac:dyDescent="0.25">
      <c r="B25" s="98">
        <v>1</v>
      </c>
      <c r="C25" s="99" t="s">
        <v>369</v>
      </c>
      <c r="D25" s="100" t="s">
        <v>197</v>
      </c>
      <c r="E25" s="285"/>
      <c r="F25" s="285"/>
      <c r="G25" s="285"/>
      <c r="H25" s="285">
        <f t="shared" ref="H25:S25" si="9">H$12*H$18</f>
        <v>0</v>
      </c>
      <c r="I25" s="285">
        <f t="shared" si="9"/>
        <v>0</v>
      </c>
      <c r="J25" s="285">
        <f t="shared" si="9"/>
        <v>0</v>
      </c>
      <c r="K25" s="285">
        <f t="shared" si="9"/>
        <v>2220420000</v>
      </c>
      <c r="L25" s="285">
        <f t="shared" si="9"/>
        <v>2220420000</v>
      </c>
      <c r="M25" s="285">
        <f t="shared" si="9"/>
        <v>2220420000</v>
      </c>
      <c r="N25" s="285">
        <f t="shared" si="9"/>
        <v>2220420000</v>
      </c>
      <c r="O25" s="285">
        <f t="shared" si="9"/>
        <v>2220420000</v>
      </c>
      <c r="P25" s="285">
        <f t="shared" si="9"/>
        <v>2220420000</v>
      </c>
      <c r="Q25" s="285">
        <f t="shared" si="9"/>
        <v>2220420000</v>
      </c>
      <c r="R25" s="285">
        <f t="shared" si="9"/>
        <v>2220420000</v>
      </c>
      <c r="S25" s="285">
        <f t="shared" si="9"/>
        <v>2220420000</v>
      </c>
      <c r="T25" s="285">
        <f>SUM(H25:S25)</f>
        <v>19983780000</v>
      </c>
    </row>
    <row r="26" spans="2:25" x14ac:dyDescent="0.25">
      <c r="B26" s="98"/>
      <c r="C26" s="99"/>
      <c r="D26" s="100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>
        <f>SUM(H26:S26)</f>
        <v>0</v>
      </c>
    </row>
    <row r="27" spans="2:25" s="4" customFormat="1" ht="13" x14ac:dyDescent="0.3">
      <c r="B27" s="276"/>
      <c r="C27" s="277" t="s">
        <v>203</v>
      </c>
      <c r="D27" s="278" t="s">
        <v>197</v>
      </c>
      <c r="E27" s="286">
        <f t="shared" ref="E27:S27" si="10">SUM(E25:E26)</f>
        <v>0</v>
      </c>
      <c r="F27" s="286">
        <f t="shared" si="10"/>
        <v>0</v>
      </c>
      <c r="G27" s="286">
        <f t="shared" si="10"/>
        <v>0</v>
      </c>
      <c r="H27" s="286">
        <f t="shared" si="10"/>
        <v>0</v>
      </c>
      <c r="I27" s="286">
        <f t="shared" si="10"/>
        <v>0</v>
      </c>
      <c r="J27" s="286">
        <f t="shared" si="10"/>
        <v>0</v>
      </c>
      <c r="K27" s="286">
        <f t="shared" si="10"/>
        <v>2220420000</v>
      </c>
      <c r="L27" s="286">
        <f t="shared" si="10"/>
        <v>2220420000</v>
      </c>
      <c r="M27" s="286">
        <f t="shared" si="10"/>
        <v>2220420000</v>
      </c>
      <c r="N27" s="286">
        <f t="shared" si="10"/>
        <v>2220420000</v>
      </c>
      <c r="O27" s="286">
        <f t="shared" si="10"/>
        <v>2220420000</v>
      </c>
      <c r="P27" s="286">
        <f t="shared" si="10"/>
        <v>2220420000</v>
      </c>
      <c r="Q27" s="286">
        <f t="shared" si="10"/>
        <v>2220420000</v>
      </c>
      <c r="R27" s="286">
        <f t="shared" si="10"/>
        <v>2220420000</v>
      </c>
      <c r="S27" s="286">
        <f t="shared" si="10"/>
        <v>2220420000</v>
      </c>
      <c r="T27" s="286">
        <f>SUM(H27:S27)</f>
        <v>19983780000</v>
      </c>
      <c r="V27" s="5"/>
      <c r="W27" s="5"/>
      <c r="X27" s="5"/>
      <c r="Y27" s="7"/>
    </row>
    <row r="28" spans="2:25" x14ac:dyDescent="0.25">
      <c r="V28" s="7"/>
      <c r="W28" s="7"/>
      <c r="X28" s="7"/>
    </row>
    <row r="29" spans="2:25" ht="13" x14ac:dyDescent="0.3">
      <c r="B29" s="4" t="s">
        <v>370</v>
      </c>
    </row>
    <row r="30" spans="2:25" ht="39.65" customHeight="1" x14ac:dyDescent="0.25">
      <c r="B30" s="92" t="s">
        <v>0</v>
      </c>
      <c r="C30" s="92" t="s">
        <v>201</v>
      </c>
      <c r="D30" s="92" t="s">
        <v>96</v>
      </c>
      <c r="E30" s="224" t="s">
        <v>77</v>
      </c>
      <c r="F30" s="224" t="s">
        <v>8</v>
      </c>
      <c r="G30" s="224" t="s">
        <v>9</v>
      </c>
      <c r="H30" s="92" t="s">
        <v>10</v>
      </c>
      <c r="I30" s="92" t="s">
        <v>11</v>
      </c>
      <c r="J30" s="92" t="s">
        <v>12</v>
      </c>
      <c r="K30" s="92" t="s">
        <v>13</v>
      </c>
      <c r="L30" s="92" t="s">
        <v>14</v>
      </c>
      <c r="M30" s="92" t="s">
        <v>15</v>
      </c>
      <c r="N30" s="92" t="s">
        <v>16</v>
      </c>
      <c r="O30" s="92" t="s">
        <v>17</v>
      </c>
      <c r="P30" s="92" t="s">
        <v>18</v>
      </c>
      <c r="Q30" s="92" t="s">
        <v>19</v>
      </c>
      <c r="R30" s="92" t="s">
        <v>20</v>
      </c>
      <c r="S30" s="92" t="s">
        <v>21</v>
      </c>
      <c r="T30" s="92" t="s">
        <v>363</v>
      </c>
    </row>
    <row r="31" spans="2:25" ht="19.899999999999999" customHeight="1" x14ac:dyDescent="0.25">
      <c r="B31" s="98">
        <v>1</v>
      </c>
      <c r="C31" s="99" t="s">
        <v>210</v>
      </c>
      <c r="D31" s="100" t="s">
        <v>190</v>
      </c>
      <c r="E31" s="101"/>
      <c r="F31" s="101"/>
      <c r="G31" s="101"/>
      <c r="H31" s="101">
        <f t="shared" ref="H31:S31" si="11">H14</f>
        <v>0</v>
      </c>
      <c r="I31" s="101">
        <f t="shared" si="11"/>
        <v>0</v>
      </c>
      <c r="J31" s="101">
        <f t="shared" si="11"/>
        <v>0</v>
      </c>
      <c r="K31" s="101">
        <f t="shared" si="11"/>
        <v>165600</v>
      </c>
      <c r="L31" s="101">
        <f t="shared" si="11"/>
        <v>165600</v>
      </c>
      <c r="M31" s="101">
        <f t="shared" si="11"/>
        <v>165600</v>
      </c>
      <c r="N31" s="101">
        <f t="shared" si="11"/>
        <v>165600</v>
      </c>
      <c r="O31" s="101">
        <f t="shared" si="11"/>
        <v>165600</v>
      </c>
      <c r="P31" s="101">
        <f t="shared" si="11"/>
        <v>165600</v>
      </c>
      <c r="Q31" s="101">
        <f t="shared" si="11"/>
        <v>165600</v>
      </c>
      <c r="R31" s="101">
        <f t="shared" si="11"/>
        <v>165600</v>
      </c>
      <c r="S31" s="101">
        <f t="shared" si="11"/>
        <v>165600</v>
      </c>
      <c r="T31" s="102">
        <f>SUM(H31:S31)</f>
        <v>1490400</v>
      </c>
    </row>
    <row r="32" spans="2:25" ht="19.899999999999999" customHeight="1" x14ac:dyDescent="0.25">
      <c r="B32" s="98">
        <v>2</v>
      </c>
      <c r="C32" s="99" t="s">
        <v>211</v>
      </c>
      <c r="D32" s="100" t="s">
        <v>190</v>
      </c>
      <c r="E32" s="101"/>
      <c r="F32" s="101"/>
      <c r="G32" s="101"/>
      <c r="H32" s="101"/>
      <c r="I32" s="101"/>
      <c r="J32" s="101"/>
      <c r="K32" s="101"/>
      <c r="L32" s="101">
        <f>'Cong suat'!J$32</f>
        <v>216000</v>
      </c>
      <c r="M32" s="101">
        <f>'Cong suat'!K$32</f>
        <v>216000</v>
      </c>
      <c r="N32" s="101">
        <f>'Cong suat'!L$32</f>
        <v>216000</v>
      </c>
      <c r="O32" s="101">
        <f>'Cong suat'!M$32</f>
        <v>216000</v>
      </c>
      <c r="P32" s="101">
        <f>'Cong suat'!N$32</f>
        <v>216000</v>
      </c>
      <c r="Q32" s="101">
        <f>'Cong suat'!O$32</f>
        <v>216000</v>
      </c>
      <c r="R32" s="101">
        <f>'Cong suat'!P$32</f>
        <v>216000</v>
      </c>
      <c r="S32" s="101">
        <f>'Cong suat'!Q$32</f>
        <v>216000</v>
      </c>
      <c r="T32" s="102">
        <f>SUM(H32:S32)</f>
        <v>1728000</v>
      </c>
    </row>
    <row r="34" spans="2:20" ht="13" x14ac:dyDescent="0.25">
      <c r="B34" s="67"/>
      <c r="C34" s="68"/>
      <c r="D34" s="69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>
    <tabColor theme="9" tint="0.79998168889431442"/>
  </sheetPr>
  <dimension ref="B1:R36"/>
  <sheetViews>
    <sheetView showGridLines="0" topLeftCell="A12" zoomScale="90" zoomScaleNormal="90" workbookViewId="0">
      <selection activeCell="C7" sqref="C7"/>
    </sheetView>
  </sheetViews>
  <sheetFormatPr defaultColWidth="8.7265625" defaultRowHeight="12.5" x14ac:dyDescent="0.35"/>
  <cols>
    <col min="1" max="1" width="3" style="8" customWidth="1"/>
    <col min="2" max="2" width="5.26953125" style="11" customWidth="1"/>
    <col min="3" max="3" width="30.26953125" style="8" customWidth="1"/>
    <col min="4" max="4" width="6.26953125" style="11" customWidth="1"/>
    <col min="5" max="5" width="8.7265625" style="8" customWidth="1"/>
    <col min="6" max="9" width="7.7265625" style="8" customWidth="1"/>
    <col min="10" max="10" width="9" style="8" customWidth="1"/>
    <col min="11" max="17" width="7.7265625" style="8" customWidth="1"/>
    <col min="18" max="18" width="9.26953125" style="8" customWidth="1"/>
    <col min="19" max="16384" width="8.7265625" style="8"/>
  </cols>
  <sheetData>
    <row r="1" spans="2:18" ht="25.15" customHeight="1" x14ac:dyDescent="0.35">
      <c r="B1" s="79"/>
    </row>
    <row r="3" spans="2:18" ht="13" x14ac:dyDescent="0.35">
      <c r="B3" s="72" t="s">
        <v>374</v>
      </c>
      <c r="E3" s="9"/>
      <c r="K3" s="9"/>
    </row>
    <row r="4" spans="2:18" s="10" customFormat="1" ht="26" x14ac:dyDescent="0.35">
      <c r="B4" s="224">
        <v>1</v>
      </c>
      <c r="C4" s="340" t="s">
        <v>372</v>
      </c>
      <c r="D4" s="224" t="s">
        <v>96</v>
      </c>
      <c r="E4" s="225" t="s">
        <v>375</v>
      </c>
      <c r="F4" s="224" t="s">
        <v>10</v>
      </c>
      <c r="G4" s="224" t="s">
        <v>11</v>
      </c>
      <c r="H4" s="224" t="s">
        <v>12</v>
      </c>
      <c r="I4" s="224" t="s">
        <v>13</v>
      </c>
      <c r="J4" s="224" t="s">
        <v>14</v>
      </c>
      <c r="K4" s="224" t="s">
        <v>15</v>
      </c>
      <c r="L4" s="224" t="s">
        <v>16</v>
      </c>
      <c r="M4" s="224" t="s">
        <v>17</v>
      </c>
      <c r="N4" s="224" t="s">
        <v>18</v>
      </c>
      <c r="O4" s="224" t="s">
        <v>19</v>
      </c>
      <c r="P4" s="224" t="s">
        <v>20</v>
      </c>
      <c r="Q4" s="224" t="s">
        <v>21</v>
      </c>
      <c r="R4" s="224" t="s">
        <v>363</v>
      </c>
    </row>
    <row r="5" spans="2:18" x14ac:dyDescent="0.35">
      <c r="B5" s="164">
        <v>1</v>
      </c>
      <c r="C5" s="234" t="s">
        <v>376</v>
      </c>
      <c r="D5" s="164"/>
      <c r="E5" s="234">
        <v>0.01</v>
      </c>
      <c r="F5" s="234"/>
      <c r="G5" s="234"/>
      <c r="H5" s="234"/>
      <c r="I5" s="234">
        <f>$E5</f>
        <v>0.01</v>
      </c>
      <c r="J5" s="234">
        <f t="shared" ref="J5:Q5" si="0">$E5</f>
        <v>0.01</v>
      </c>
      <c r="K5" s="234">
        <f t="shared" si="0"/>
        <v>0.01</v>
      </c>
      <c r="L5" s="234">
        <f t="shared" si="0"/>
        <v>0.01</v>
      </c>
      <c r="M5" s="234">
        <f t="shared" si="0"/>
        <v>0.01</v>
      </c>
      <c r="N5" s="234">
        <f t="shared" si="0"/>
        <v>0.01</v>
      </c>
      <c r="O5" s="234">
        <f t="shared" si="0"/>
        <v>0.01</v>
      </c>
      <c r="P5" s="234">
        <f t="shared" si="0"/>
        <v>0.01</v>
      </c>
      <c r="Q5" s="234">
        <f t="shared" si="0"/>
        <v>0.01</v>
      </c>
      <c r="R5" s="234">
        <f>AVERAGE(F5:Q5)</f>
        <v>0.01</v>
      </c>
    </row>
    <row r="6" spans="2:18" x14ac:dyDescent="0.35">
      <c r="B6" s="164"/>
      <c r="C6" s="234" t="s">
        <v>377</v>
      </c>
      <c r="D6" s="164"/>
      <c r="E6" s="234">
        <v>0.05</v>
      </c>
      <c r="F6" s="234"/>
      <c r="G6" s="234"/>
      <c r="H6" s="234"/>
      <c r="I6" s="234">
        <f t="shared" ref="I6:Q8" si="1">$E6</f>
        <v>0.05</v>
      </c>
      <c r="J6" s="234">
        <f t="shared" si="1"/>
        <v>0.05</v>
      </c>
      <c r="K6" s="234">
        <f t="shared" si="1"/>
        <v>0.05</v>
      </c>
      <c r="L6" s="234">
        <f t="shared" si="1"/>
        <v>0.05</v>
      </c>
      <c r="M6" s="234">
        <f t="shared" si="1"/>
        <v>0.05</v>
      </c>
      <c r="N6" s="234">
        <f t="shared" si="1"/>
        <v>0.05</v>
      </c>
      <c r="O6" s="234">
        <f t="shared" si="1"/>
        <v>0.05</v>
      </c>
      <c r="P6" s="234">
        <f t="shared" si="1"/>
        <v>0.05</v>
      </c>
      <c r="Q6" s="234">
        <f t="shared" si="1"/>
        <v>0.05</v>
      </c>
      <c r="R6" s="234">
        <f t="shared" ref="R6:R8" si="2">AVERAGE(F6:Q6)</f>
        <v>4.9999999999999996E-2</v>
      </c>
    </row>
    <row r="7" spans="2:18" x14ac:dyDescent="0.35">
      <c r="B7" s="164"/>
      <c r="C7" s="234" t="s">
        <v>378</v>
      </c>
      <c r="D7" s="164"/>
      <c r="E7" s="234">
        <v>0.01</v>
      </c>
      <c r="F7" s="234"/>
      <c r="G7" s="234"/>
      <c r="H7" s="234"/>
      <c r="I7" s="234">
        <f t="shared" si="1"/>
        <v>0.01</v>
      </c>
      <c r="J7" s="234">
        <f t="shared" si="1"/>
        <v>0.01</v>
      </c>
      <c r="K7" s="234">
        <f t="shared" si="1"/>
        <v>0.01</v>
      </c>
      <c r="L7" s="234">
        <f t="shared" si="1"/>
        <v>0.01</v>
      </c>
      <c r="M7" s="234">
        <f t="shared" si="1"/>
        <v>0.01</v>
      </c>
      <c r="N7" s="234">
        <f t="shared" si="1"/>
        <v>0.01</v>
      </c>
      <c r="O7" s="234">
        <f t="shared" si="1"/>
        <v>0.01</v>
      </c>
      <c r="P7" s="234">
        <f t="shared" si="1"/>
        <v>0.01</v>
      </c>
      <c r="Q7" s="234">
        <f t="shared" si="1"/>
        <v>0.01</v>
      </c>
      <c r="R7" s="234">
        <f t="shared" si="2"/>
        <v>0.01</v>
      </c>
    </row>
    <row r="8" spans="2:18" x14ac:dyDescent="0.35">
      <c r="B8" s="164"/>
      <c r="C8" s="234" t="s">
        <v>379</v>
      </c>
      <c r="D8" s="164"/>
      <c r="E8" s="234">
        <v>0.03</v>
      </c>
      <c r="F8" s="234"/>
      <c r="G8" s="234"/>
      <c r="H8" s="234"/>
      <c r="I8" s="234">
        <f t="shared" si="1"/>
        <v>0.03</v>
      </c>
      <c r="J8" s="234">
        <f t="shared" si="1"/>
        <v>0.03</v>
      </c>
      <c r="K8" s="234">
        <f t="shared" si="1"/>
        <v>0.03</v>
      </c>
      <c r="L8" s="234">
        <f t="shared" si="1"/>
        <v>0.03</v>
      </c>
      <c r="M8" s="234">
        <f t="shared" si="1"/>
        <v>0.03</v>
      </c>
      <c r="N8" s="234">
        <f t="shared" si="1"/>
        <v>0.03</v>
      </c>
      <c r="O8" s="234">
        <f t="shared" si="1"/>
        <v>0.03</v>
      </c>
      <c r="P8" s="234">
        <f t="shared" si="1"/>
        <v>0.03</v>
      </c>
      <c r="Q8" s="234">
        <f t="shared" si="1"/>
        <v>0.03</v>
      </c>
      <c r="R8" s="234">
        <f t="shared" si="2"/>
        <v>3.0000000000000002E-2</v>
      </c>
    </row>
    <row r="9" spans="2:18" x14ac:dyDescent="0.35">
      <c r="B9" s="164">
        <v>2</v>
      </c>
      <c r="C9" s="83" t="s">
        <v>371</v>
      </c>
      <c r="D9" s="164"/>
      <c r="E9" s="341">
        <v>0.04</v>
      </c>
      <c r="F9" s="234"/>
      <c r="G9" s="234"/>
      <c r="H9" s="234"/>
      <c r="I9" s="234">
        <v>0.04</v>
      </c>
      <c r="J9" s="234">
        <v>0.04</v>
      </c>
      <c r="K9" s="234">
        <v>0.04</v>
      </c>
      <c r="L9" s="234">
        <v>0.04</v>
      </c>
      <c r="M9" s="234">
        <v>0.04</v>
      </c>
      <c r="N9" s="234">
        <v>0.04</v>
      </c>
      <c r="O9" s="234">
        <v>0.04</v>
      </c>
      <c r="P9" s="234">
        <v>0.04</v>
      </c>
      <c r="Q9" s="234">
        <v>0.04</v>
      </c>
      <c r="R9" s="234">
        <f t="shared" ref="R9:R11" si="3">AVERAGE(F9:Q9)</f>
        <v>0.04</v>
      </c>
    </row>
    <row r="10" spans="2:18" ht="37.5" x14ac:dyDescent="0.35">
      <c r="B10" s="164"/>
      <c r="C10" s="83" t="s">
        <v>212</v>
      </c>
      <c r="D10" s="164"/>
      <c r="E10" s="341">
        <v>0</v>
      </c>
      <c r="F10" s="234"/>
      <c r="G10" s="234"/>
      <c r="H10" s="234"/>
      <c r="I10" s="234">
        <v>0</v>
      </c>
      <c r="J10" s="234">
        <v>0</v>
      </c>
      <c r="K10" s="234">
        <v>0</v>
      </c>
      <c r="L10" s="234">
        <v>0</v>
      </c>
      <c r="M10" s="234">
        <v>0</v>
      </c>
      <c r="N10" s="234">
        <v>0</v>
      </c>
      <c r="O10" s="234">
        <v>0</v>
      </c>
      <c r="P10" s="234">
        <v>0</v>
      </c>
      <c r="Q10" s="234">
        <v>0</v>
      </c>
      <c r="R10" s="234">
        <f t="shared" si="3"/>
        <v>0</v>
      </c>
    </row>
    <row r="11" spans="2:18" s="9" customFormat="1" ht="13" x14ac:dyDescent="0.35">
      <c r="B11" s="165"/>
      <c r="C11" s="163" t="s">
        <v>213</v>
      </c>
      <c r="D11" s="165"/>
      <c r="E11" s="342">
        <f>SUM(E5:E10)</f>
        <v>0.14000000000000001</v>
      </c>
      <c r="F11" s="233"/>
      <c r="G11" s="233"/>
      <c r="H11" s="233"/>
      <c r="I11" s="233">
        <f t="shared" ref="I11:Q11" si="4">SUM(I5:I10)</f>
        <v>0.14000000000000001</v>
      </c>
      <c r="J11" s="233">
        <f t="shared" si="4"/>
        <v>0.14000000000000001</v>
      </c>
      <c r="K11" s="233">
        <f t="shared" si="4"/>
        <v>0.14000000000000001</v>
      </c>
      <c r="L11" s="233">
        <f t="shared" si="4"/>
        <v>0.14000000000000001</v>
      </c>
      <c r="M11" s="233">
        <f t="shared" si="4"/>
        <v>0.14000000000000001</v>
      </c>
      <c r="N11" s="233">
        <f t="shared" si="4"/>
        <v>0.14000000000000001</v>
      </c>
      <c r="O11" s="233">
        <f t="shared" si="4"/>
        <v>0.14000000000000001</v>
      </c>
      <c r="P11" s="233">
        <f t="shared" si="4"/>
        <v>0.14000000000000001</v>
      </c>
      <c r="Q11" s="233">
        <f t="shared" si="4"/>
        <v>0.14000000000000001</v>
      </c>
      <c r="R11" s="234">
        <f t="shared" si="3"/>
        <v>0.14000000000000001</v>
      </c>
    </row>
    <row r="12" spans="2:18" x14ac:dyDescent="0.35">
      <c r="B12" s="71"/>
      <c r="C12" s="12"/>
      <c r="D12" s="71"/>
      <c r="E12" s="12"/>
    </row>
    <row r="13" spans="2:18" ht="13" x14ac:dyDescent="0.35">
      <c r="B13" s="73"/>
      <c r="C13" s="10"/>
      <c r="D13" s="73"/>
      <c r="E13" s="10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</row>
    <row r="14" spans="2:18" ht="13" x14ac:dyDescent="0.35">
      <c r="B14" s="72" t="s">
        <v>373</v>
      </c>
      <c r="C14" s="12"/>
      <c r="D14" s="71"/>
      <c r="E14" s="12"/>
      <c r="F14" s="12"/>
      <c r="G14" s="12"/>
    </row>
    <row r="15" spans="2:18" s="10" customFormat="1" ht="26" x14ac:dyDescent="0.35">
      <c r="B15" s="224">
        <v>1</v>
      </c>
      <c r="C15" s="340" t="s">
        <v>214</v>
      </c>
      <c r="D15" s="224" t="s">
        <v>96</v>
      </c>
      <c r="E15" s="225" t="s">
        <v>375</v>
      </c>
      <c r="F15" s="224" t="s">
        <v>10</v>
      </c>
      <c r="G15" s="224" t="s">
        <v>11</v>
      </c>
      <c r="H15" s="224" t="s">
        <v>12</v>
      </c>
      <c r="I15" s="224" t="s">
        <v>13</v>
      </c>
      <c r="J15" s="224" t="s">
        <v>14</v>
      </c>
      <c r="K15" s="224" t="s">
        <v>15</v>
      </c>
      <c r="L15" s="224" t="s">
        <v>16</v>
      </c>
      <c r="M15" s="224" t="s">
        <v>17</v>
      </c>
      <c r="N15" s="224" t="s">
        <v>18</v>
      </c>
      <c r="O15" s="224" t="s">
        <v>19</v>
      </c>
      <c r="P15" s="224" t="s">
        <v>20</v>
      </c>
      <c r="Q15" s="224" t="s">
        <v>21</v>
      </c>
      <c r="R15" s="224" t="s">
        <v>363</v>
      </c>
    </row>
    <row r="16" spans="2:18" x14ac:dyDescent="0.35">
      <c r="B16" s="166"/>
      <c r="C16" s="234" t="s">
        <v>376</v>
      </c>
      <c r="D16" s="166"/>
      <c r="E16" s="234">
        <v>0.01</v>
      </c>
      <c r="F16" s="234"/>
      <c r="G16" s="234"/>
      <c r="H16" s="234"/>
      <c r="I16" s="234">
        <f>$E16</f>
        <v>0.01</v>
      </c>
      <c r="J16" s="234">
        <f t="shared" ref="J16:Q16" si="5">$E16</f>
        <v>0.01</v>
      </c>
      <c r="K16" s="234">
        <f t="shared" si="5"/>
        <v>0.01</v>
      </c>
      <c r="L16" s="234">
        <f t="shared" si="5"/>
        <v>0.01</v>
      </c>
      <c r="M16" s="234">
        <f t="shared" si="5"/>
        <v>0.01</v>
      </c>
      <c r="N16" s="234">
        <f t="shared" si="5"/>
        <v>0.01</v>
      </c>
      <c r="O16" s="234">
        <f t="shared" si="5"/>
        <v>0.01</v>
      </c>
      <c r="P16" s="234">
        <f t="shared" si="5"/>
        <v>0.01</v>
      </c>
      <c r="Q16" s="234">
        <f t="shared" si="5"/>
        <v>0.01</v>
      </c>
      <c r="R16" s="234">
        <f t="shared" ref="R16:R21" si="6">AVERAGE(F16:Q16)</f>
        <v>0.01</v>
      </c>
    </row>
    <row r="17" spans="2:18" x14ac:dyDescent="0.35">
      <c r="B17" s="166"/>
      <c r="C17" s="234" t="s">
        <v>377</v>
      </c>
      <c r="D17" s="166"/>
      <c r="E17" s="234">
        <v>0.05</v>
      </c>
      <c r="F17" s="234"/>
      <c r="G17" s="234"/>
      <c r="H17" s="234"/>
      <c r="I17" s="234">
        <f t="shared" ref="I17:Q19" si="7">$E17</f>
        <v>0.05</v>
      </c>
      <c r="J17" s="234">
        <f t="shared" si="7"/>
        <v>0.05</v>
      </c>
      <c r="K17" s="234">
        <f t="shared" si="7"/>
        <v>0.05</v>
      </c>
      <c r="L17" s="234">
        <f t="shared" si="7"/>
        <v>0.05</v>
      </c>
      <c r="M17" s="234">
        <f t="shared" si="7"/>
        <v>0.05</v>
      </c>
      <c r="N17" s="234">
        <f t="shared" si="7"/>
        <v>0.05</v>
      </c>
      <c r="O17" s="234">
        <f t="shared" si="7"/>
        <v>0.05</v>
      </c>
      <c r="P17" s="234">
        <f t="shared" si="7"/>
        <v>0.05</v>
      </c>
      <c r="Q17" s="234">
        <f t="shared" si="7"/>
        <v>0.05</v>
      </c>
      <c r="R17" s="234">
        <f t="shared" si="6"/>
        <v>4.9999999999999996E-2</v>
      </c>
    </row>
    <row r="18" spans="2:18" x14ac:dyDescent="0.35">
      <c r="B18" s="166"/>
      <c r="C18" s="234" t="s">
        <v>378</v>
      </c>
      <c r="D18" s="166"/>
      <c r="E18" s="234">
        <v>0.01</v>
      </c>
      <c r="F18" s="234"/>
      <c r="G18" s="234"/>
      <c r="H18" s="234"/>
      <c r="I18" s="234">
        <f t="shared" si="7"/>
        <v>0.01</v>
      </c>
      <c r="J18" s="234">
        <f t="shared" si="7"/>
        <v>0.01</v>
      </c>
      <c r="K18" s="234">
        <f t="shared" si="7"/>
        <v>0.01</v>
      </c>
      <c r="L18" s="234">
        <f t="shared" si="7"/>
        <v>0.01</v>
      </c>
      <c r="M18" s="234">
        <f t="shared" si="7"/>
        <v>0.01</v>
      </c>
      <c r="N18" s="234">
        <f t="shared" si="7"/>
        <v>0.01</v>
      </c>
      <c r="O18" s="234">
        <f t="shared" si="7"/>
        <v>0.01</v>
      </c>
      <c r="P18" s="234">
        <f t="shared" si="7"/>
        <v>0.01</v>
      </c>
      <c r="Q18" s="234">
        <f t="shared" si="7"/>
        <v>0.01</v>
      </c>
      <c r="R18" s="234">
        <f t="shared" si="6"/>
        <v>0.01</v>
      </c>
    </row>
    <row r="19" spans="2:18" x14ac:dyDescent="0.35">
      <c r="B19" s="166"/>
      <c r="C19" s="234" t="s">
        <v>379</v>
      </c>
      <c r="D19" s="166"/>
      <c r="E19" s="234">
        <v>0.03</v>
      </c>
      <c r="F19" s="234"/>
      <c r="G19" s="234"/>
      <c r="H19" s="234"/>
      <c r="I19" s="234">
        <f t="shared" si="7"/>
        <v>0.03</v>
      </c>
      <c r="J19" s="234">
        <f t="shared" si="7"/>
        <v>0.03</v>
      </c>
      <c r="K19" s="234">
        <f t="shared" si="7"/>
        <v>0.03</v>
      </c>
      <c r="L19" s="234">
        <f t="shared" si="7"/>
        <v>0.03</v>
      </c>
      <c r="M19" s="234">
        <f t="shared" si="7"/>
        <v>0.03</v>
      </c>
      <c r="N19" s="234">
        <f t="shared" si="7"/>
        <v>0.03</v>
      </c>
      <c r="O19" s="234">
        <f t="shared" si="7"/>
        <v>0.03</v>
      </c>
      <c r="P19" s="234">
        <f t="shared" si="7"/>
        <v>0.03</v>
      </c>
      <c r="Q19" s="234">
        <f t="shared" si="7"/>
        <v>0.03</v>
      </c>
      <c r="R19" s="234">
        <f t="shared" si="6"/>
        <v>3.0000000000000002E-2</v>
      </c>
    </row>
    <row r="20" spans="2:18" x14ac:dyDescent="0.35">
      <c r="B20" s="166"/>
      <c r="C20" s="234" t="s">
        <v>215</v>
      </c>
      <c r="D20" s="166"/>
      <c r="E20" s="234">
        <v>0.04</v>
      </c>
      <c r="F20" s="234"/>
      <c r="G20" s="234"/>
      <c r="H20" s="234"/>
      <c r="I20" s="234">
        <f>I9</f>
        <v>0.04</v>
      </c>
      <c r="J20" s="234">
        <f t="shared" ref="J20:Q20" si="8">J9</f>
        <v>0.04</v>
      </c>
      <c r="K20" s="234">
        <f t="shared" si="8"/>
        <v>0.04</v>
      </c>
      <c r="L20" s="234">
        <f t="shared" si="8"/>
        <v>0.04</v>
      </c>
      <c r="M20" s="234">
        <f t="shared" si="8"/>
        <v>0.04</v>
      </c>
      <c r="N20" s="234">
        <f t="shared" si="8"/>
        <v>0.04</v>
      </c>
      <c r="O20" s="234">
        <f t="shared" si="8"/>
        <v>0.04</v>
      </c>
      <c r="P20" s="234">
        <f t="shared" si="8"/>
        <v>0.04</v>
      </c>
      <c r="Q20" s="234">
        <f t="shared" si="8"/>
        <v>0.04</v>
      </c>
      <c r="R20" s="234">
        <f t="shared" si="6"/>
        <v>0.04</v>
      </c>
    </row>
    <row r="21" spans="2:18" ht="13" x14ac:dyDescent="0.35">
      <c r="B21" s="167"/>
      <c r="C21" s="233" t="s">
        <v>216</v>
      </c>
      <c r="D21" s="167"/>
      <c r="E21" s="233"/>
      <c r="F21" s="233"/>
      <c r="G21" s="233"/>
      <c r="H21" s="233"/>
      <c r="I21" s="233">
        <f t="shared" ref="I21:Q21" si="9">SUM(I16:I20)</f>
        <v>0.14000000000000001</v>
      </c>
      <c r="J21" s="233">
        <f t="shared" si="9"/>
        <v>0.14000000000000001</v>
      </c>
      <c r="K21" s="233">
        <f t="shared" si="9"/>
        <v>0.14000000000000001</v>
      </c>
      <c r="L21" s="233">
        <f t="shared" si="9"/>
        <v>0.14000000000000001</v>
      </c>
      <c r="M21" s="233">
        <f t="shared" si="9"/>
        <v>0.14000000000000001</v>
      </c>
      <c r="N21" s="233">
        <f t="shared" si="9"/>
        <v>0.14000000000000001</v>
      </c>
      <c r="O21" s="233">
        <f t="shared" si="9"/>
        <v>0.14000000000000001</v>
      </c>
      <c r="P21" s="233">
        <f t="shared" si="9"/>
        <v>0.14000000000000001</v>
      </c>
      <c r="Q21" s="233">
        <f t="shared" si="9"/>
        <v>0.14000000000000001</v>
      </c>
      <c r="R21" s="234">
        <f t="shared" si="6"/>
        <v>0.14000000000000001</v>
      </c>
    </row>
    <row r="22" spans="2:18" ht="13" x14ac:dyDescent="0.35">
      <c r="B22" s="168"/>
      <c r="C22" s="287" t="s">
        <v>217</v>
      </c>
      <c r="D22" s="168"/>
      <c r="E22" s="287"/>
      <c r="F22" s="288"/>
      <c r="G22" s="288"/>
      <c r="H22" s="288"/>
      <c r="I22" s="288">
        <f t="shared" ref="I22:Q22" si="10">1-I21</f>
        <v>0.86</v>
      </c>
      <c r="J22" s="288">
        <f t="shared" si="10"/>
        <v>0.86</v>
      </c>
      <c r="K22" s="288">
        <f t="shared" si="10"/>
        <v>0.86</v>
      </c>
      <c r="L22" s="288">
        <f t="shared" si="10"/>
        <v>0.86</v>
      </c>
      <c r="M22" s="288">
        <f t="shared" si="10"/>
        <v>0.86</v>
      </c>
      <c r="N22" s="288">
        <f t="shared" si="10"/>
        <v>0.86</v>
      </c>
      <c r="O22" s="288">
        <f t="shared" si="10"/>
        <v>0.86</v>
      </c>
      <c r="P22" s="288">
        <f t="shared" si="10"/>
        <v>0.86</v>
      </c>
      <c r="Q22" s="288">
        <f t="shared" si="10"/>
        <v>0.86</v>
      </c>
      <c r="R22" s="234">
        <f>AVERAGE(F22:Q22)</f>
        <v>0.8600000000000001</v>
      </c>
    </row>
    <row r="26" spans="2:18" ht="18" customHeight="1" x14ac:dyDescent="0.35">
      <c r="B26" s="72" t="s">
        <v>218</v>
      </c>
      <c r="F26" s="110"/>
      <c r="G26" s="110"/>
      <c r="H26" s="110"/>
      <c r="I26" s="110"/>
      <c r="J26" s="110"/>
      <c r="K26" s="9"/>
    </row>
    <row r="27" spans="2:18" s="5" customFormat="1" ht="13" x14ac:dyDescent="0.3">
      <c r="B27" s="5" t="s">
        <v>219</v>
      </c>
      <c r="D27" s="13"/>
    </row>
    <row r="28" spans="2:18" s="5" customFormat="1" ht="26" x14ac:dyDescent="0.25">
      <c r="B28" s="224" t="s">
        <v>0</v>
      </c>
      <c r="C28" s="340" t="s">
        <v>380</v>
      </c>
      <c r="D28" s="224" t="s">
        <v>96</v>
      </c>
      <c r="E28" s="225" t="s">
        <v>375</v>
      </c>
      <c r="F28" s="224" t="s">
        <v>10</v>
      </c>
      <c r="G28" s="224" t="s">
        <v>11</v>
      </c>
      <c r="H28" s="224" t="s">
        <v>12</v>
      </c>
      <c r="I28" s="224" t="s">
        <v>13</v>
      </c>
      <c r="J28" s="224" t="s">
        <v>14</v>
      </c>
      <c r="K28" s="224" t="s">
        <v>15</v>
      </c>
      <c r="L28" s="224" t="s">
        <v>16</v>
      </c>
      <c r="M28" s="224" t="s">
        <v>17</v>
      </c>
      <c r="N28" s="224" t="s">
        <v>18</v>
      </c>
      <c r="O28" s="224" t="s">
        <v>19</v>
      </c>
      <c r="P28" s="224" t="s">
        <v>20</v>
      </c>
      <c r="Q28" s="224" t="s">
        <v>21</v>
      </c>
      <c r="R28" s="224" t="s">
        <v>363</v>
      </c>
    </row>
    <row r="29" spans="2:18" s="5" customFormat="1" x14ac:dyDescent="0.25">
      <c r="B29" s="98">
        <v>1</v>
      </c>
      <c r="C29" s="99" t="s">
        <v>369</v>
      </c>
      <c r="D29" s="98"/>
      <c r="E29" s="100">
        <v>0.86</v>
      </c>
      <c r="F29" s="100"/>
      <c r="G29" s="100"/>
      <c r="H29" s="100"/>
      <c r="I29" s="100">
        <f>$E29</f>
        <v>0.86</v>
      </c>
      <c r="J29" s="100">
        <f t="shared" ref="J29:Q33" si="11">$E29</f>
        <v>0.86</v>
      </c>
      <c r="K29" s="100">
        <f t="shared" si="11"/>
        <v>0.86</v>
      </c>
      <c r="L29" s="100">
        <f t="shared" si="11"/>
        <v>0.86</v>
      </c>
      <c r="M29" s="100">
        <f t="shared" si="11"/>
        <v>0.86</v>
      </c>
      <c r="N29" s="100">
        <f t="shared" si="11"/>
        <v>0.86</v>
      </c>
      <c r="O29" s="100">
        <f t="shared" si="11"/>
        <v>0.86</v>
      </c>
      <c r="P29" s="100">
        <f t="shared" si="11"/>
        <v>0.86</v>
      </c>
      <c r="Q29" s="100">
        <f t="shared" si="11"/>
        <v>0.86</v>
      </c>
      <c r="R29" s="234"/>
    </row>
    <row r="30" spans="2:18" s="5" customFormat="1" x14ac:dyDescent="0.25">
      <c r="B30" s="98">
        <v>2</v>
      </c>
      <c r="C30" s="99"/>
      <c r="D30" s="98"/>
      <c r="E30" s="100"/>
      <c r="F30" s="100"/>
      <c r="G30" s="100"/>
      <c r="H30" s="100"/>
      <c r="I30" s="100">
        <f t="shared" ref="I30:I33" si="12">$E30</f>
        <v>0</v>
      </c>
      <c r="J30" s="100">
        <f t="shared" si="11"/>
        <v>0</v>
      </c>
      <c r="K30" s="100">
        <f t="shared" si="11"/>
        <v>0</v>
      </c>
      <c r="L30" s="100">
        <f t="shared" si="11"/>
        <v>0</v>
      </c>
      <c r="M30" s="100">
        <f t="shared" si="11"/>
        <v>0</v>
      </c>
      <c r="N30" s="100">
        <f t="shared" si="11"/>
        <v>0</v>
      </c>
      <c r="O30" s="100">
        <f t="shared" si="11"/>
        <v>0</v>
      </c>
      <c r="P30" s="100">
        <f t="shared" si="11"/>
        <v>0</v>
      </c>
      <c r="Q30" s="100">
        <f t="shared" si="11"/>
        <v>0</v>
      </c>
      <c r="R30" s="234"/>
    </row>
    <row r="31" spans="2:18" s="5" customFormat="1" x14ac:dyDescent="0.25">
      <c r="B31" s="98">
        <v>3</v>
      </c>
      <c r="C31" s="99"/>
      <c r="D31" s="98"/>
      <c r="E31" s="100"/>
      <c r="F31" s="100"/>
      <c r="G31" s="100"/>
      <c r="H31" s="100"/>
      <c r="I31" s="100">
        <f t="shared" si="12"/>
        <v>0</v>
      </c>
      <c r="J31" s="100">
        <f t="shared" si="11"/>
        <v>0</v>
      </c>
      <c r="K31" s="100">
        <f t="shared" si="11"/>
        <v>0</v>
      </c>
      <c r="L31" s="100">
        <f t="shared" si="11"/>
        <v>0</v>
      </c>
      <c r="M31" s="100">
        <f t="shared" si="11"/>
        <v>0</v>
      </c>
      <c r="N31" s="100">
        <f t="shared" si="11"/>
        <v>0</v>
      </c>
      <c r="O31" s="100">
        <f t="shared" si="11"/>
        <v>0</v>
      </c>
      <c r="P31" s="100">
        <f t="shared" si="11"/>
        <v>0</v>
      </c>
      <c r="Q31" s="100">
        <f t="shared" si="11"/>
        <v>0</v>
      </c>
      <c r="R31" s="234"/>
    </row>
    <row r="32" spans="2:18" s="5" customFormat="1" ht="13.15" customHeight="1" x14ac:dyDescent="0.25">
      <c r="B32" s="98">
        <v>4</v>
      </c>
      <c r="C32" s="99"/>
      <c r="D32" s="98"/>
      <c r="E32" s="100"/>
      <c r="F32" s="100"/>
      <c r="G32" s="100"/>
      <c r="H32" s="100"/>
      <c r="I32" s="100">
        <f t="shared" si="12"/>
        <v>0</v>
      </c>
      <c r="J32" s="100">
        <f t="shared" si="11"/>
        <v>0</v>
      </c>
      <c r="K32" s="100">
        <f t="shared" si="11"/>
        <v>0</v>
      </c>
      <c r="L32" s="100">
        <f t="shared" si="11"/>
        <v>0</v>
      </c>
      <c r="M32" s="100">
        <f t="shared" si="11"/>
        <v>0</v>
      </c>
      <c r="N32" s="100">
        <f t="shared" si="11"/>
        <v>0</v>
      </c>
      <c r="O32" s="100">
        <f t="shared" si="11"/>
        <v>0</v>
      </c>
      <c r="P32" s="100">
        <f t="shared" si="11"/>
        <v>0</v>
      </c>
      <c r="Q32" s="100">
        <f t="shared" si="11"/>
        <v>0</v>
      </c>
      <c r="R32" s="233"/>
    </row>
    <row r="33" spans="2:18" s="5" customFormat="1" ht="13" x14ac:dyDescent="0.25">
      <c r="B33" s="98">
        <v>5</v>
      </c>
      <c r="C33" s="99"/>
      <c r="D33" s="98"/>
      <c r="E33" s="100"/>
      <c r="F33" s="100"/>
      <c r="G33" s="100"/>
      <c r="H33" s="100"/>
      <c r="I33" s="100">
        <f t="shared" si="12"/>
        <v>0</v>
      </c>
      <c r="J33" s="100">
        <f t="shared" si="11"/>
        <v>0</v>
      </c>
      <c r="K33" s="100">
        <f t="shared" si="11"/>
        <v>0</v>
      </c>
      <c r="L33" s="100">
        <f t="shared" si="11"/>
        <v>0</v>
      </c>
      <c r="M33" s="100">
        <f t="shared" si="11"/>
        <v>0</v>
      </c>
      <c r="N33" s="100">
        <f t="shared" si="11"/>
        <v>0</v>
      </c>
      <c r="O33" s="100">
        <f t="shared" si="11"/>
        <v>0</v>
      </c>
      <c r="P33" s="100">
        <f t="shared" si="11"/>
        <v>0</v>
      </c>
      <c r="Q33" s="100">
        <f t="shared" si="11"/>
        <v>0</v>
      </c>
      <c r="R33" s="233"/>
    </row>
    <row r="34" spans="2:18" s="5" customFormat="1" ht="13" x14ac:dyDescent="0.25">
      <c r="B34" s="98">
        <v>6</v>
      </c>
      <c r="C34" s="99"/>
      <c r="D34" s="98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233"/>
    </row>
    <row r="35" spans="2:18" s="5" customFormat="1" ht="13" x14ac:dyDescent="0.25">
      <c r="B35" s="118"/>
      <c r="C35" s="119" t="s">
        <v>160</v>
      </c>
      <c r="D35" s="118"/>
      <c r="E35" s="120">
        <f t="shared" ref="E35:Q35" si="13">SUM(E29:E34)</f>
        <v>0.86</v>
      </c>
      <c r="F35" s="103">
        <f t="shared" si="13"/>
        <v>0</v>
      </c>
      <c r="G35" s="103">
        <f t="shared" si="13"/>
        <v>0</v>
      </c>
      <c r="H35" s="103">
        <f t="shared" si="13"/>
        <v>0</v>
      </c>
      <c r="I35" s="103">
        <f t="shared" si="13"/>
        <v>0.86</v>
      </c>
      <c r="J35" s="103">
        <f t="shared" si="13"/>
        <v>0.86</v>
      </c>
      <c r="K35" s="103">
        <f t="shared" si="13"/>
        <v>0.86</v>
      </c>
      <c r="L35" s="103">
        <f t="shared" si="13"/>
        <v>0.86</v>
      </c>
      <c r="M35" s="103">
        <f t="shared" si="13"/>
        <v>0.86</v>
      </c>
      <c r="N35" s="103">
        <f t="shared" si="13"/>
        <v>0.86</v>
      </c>
      <c r="O35" s="103">
        <f t="shared" si="13"/>
        <v>0.86</v>
      </c>
      <c r="P35" s="103">
        <f t="shared" si="13"/>
        <v>0.86</v>
      </c>
      <c r="Q35" s="103">
        <f t="shared" si="13"/>
        <v>0.86</v>
      </c>
      <c r="R35" s="103"/>
    </row>
    <row r="36" spans="2:18" s="5" customFormat="1" ht="15" customHeight="1" x14ac:dyDescent="0.25">
      <c r="D36" s="13"/>
      <c r="F36" s="86"/>
      <c r="G36" s="86"/>
      <c r="H36" s="86"/>
      <c r="I36" s="86"/>
      <c r="J36" s="343"/>
      <c r="K36" s="86"/>
      <c r="L36" s="86"/>
      <c r="M36" s="86"/>
      <c r="N36" s="86"/>
      <c r="O36" s="86"/>
      <c r="P36" s="86"/>
      <c r="Q36" s="86"/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>
    <tabColor rgb="FF0000FF"/>
  </sheetPr>
  <dimension ref="B1:AG19"/>
  <sheetViews>
    <sheetView showGridLines="0" zoomScale="70" zoomScaleNormal="70" workbookViewId="0">
      <selection activeCell="C5" sqref="C5"/>
    </sheetView>
  </sheetViews>
  <sheetFormatPr defaultColWidth="8.7265625" defaultRowHeight="13" x14ac:dyDescent="0.35"/>
  <cols>
    <col min="1" max="1" width="2.1796875" style="8" customWidth="1"/>
    <col min="2" max="2" width="7.81640625" style="8" customWidth="1"/>
    <col min="3" max="3" width="37.81640625" style="8" bestFit="1" customWidth="1"/>
    <col min="4" max="4" width="7.81640625" style="8" customWidth="1"/>
    <col min="5" max="5" width="11.453125" style="9" customWidth="1"/>
    <col min="6" max="17" width="7.26953125" style="8" customWidth="1"/>
    <col min="18" max="18" width="10.54296875" style="9" customWidth="1"/>
    <col min="19" max="19" width="2.81640625" style="8" customWidth="1"/>
    <col min="20" max="31" width="7.26953125" style="8" hidden="1" customWidth="1"/>
    <col min="32" max="32" width="10.54296875" style="9" hidden="1" customWidth="1"/>
    <col min="33" max="33" width="12.54296875" style="8" hidden="1" customWidth="1"/>
    <col min="34" max="34" width="0" style="8" hidden="1" customWidth="1"/>
    <col min="35" max="16384" width="8.7265625" style="8"/>
  </cols>
  <sheetData>
    <row r="1" spans="2:33" ht="15.5" x14ac:dyDescent="0.35">
      <c r="B1" s="79"/>
    </row>
    <row r="2" spans="2:33" ht="12" customHeight="1" x14ac:dyDescent="0.35"/>
    <row r="3" spans="2:33" x14ac:dyDescent="0.35">
      <c r="B3" s="55" t="s">
        <v>220</v>
      </c>
    </row>
    <row r="4" spans="2:33" x14ac:dyDescent="0.35">
      <c r="B4" s="9" t="s">
        <v>396</v>
      </c>
      <c r="R4" s="9" t="s">
        <v>221</v>
      </c>
      <c r="AF4" s="9" t="s">
        <v>221</v>
      </c>
    </row>
    <row r="5" spans="2:33" ht="26" x14ac:dyDescent="0.35">
      <c r="B5" s="361" t="s">
        <v>0</v>
      </c>
      <c r="C5" s="361" t="s">
        <v>186</v>
      </c>
      <c r="D5" s="361" t="s">
        <v>96</v>
      </c>
      <c r="E5" s="224" t="s">
        <v>9</v>
      </c>
      <c r="F5" s="224" t="s">
        <v>10</v>
      </c>
      <c r="G5" s="224" t="s">
        <v>11</v>
      </c>
      <c r="H5" s="224" t="s">
        <v>12</v>
      </c>
      <c r="I5" s="224" t="s">
        <v>13</v>
      </c>
      <c r="J5" s="224" t="s">
        <v>14</v>
      </c>
      <c r="K5" s="224" t="s">
        <v>15</v>
      </c>
      <c r="L5" s="224" t="s">
        <v>16</v>
      </c>
      <c r="M5" s="224" t="s">
        <v>17</v>
      </c>
      <c r="N5" s="224" t="s">
        <v>18</v>
      </c>
      <c r="O5" s="224" t="s">
        <v>19</v>
      </c>
      <c r="P5" s="224" t="s">
        <v>20</v>
      </c>
      <c r="Q5" s="224" t="s">
        <v>21</v>
      </c>
      <c r="R5" s="224" t="s">
        <v>363</v>
      </c>
      <c r="T5" s="224" t="s">
        <v>10</v>
      </c>
      <c r="U5" s="224" t="s">
        <v>11</v>
      </c>
      <c r="V5" s="224" t="s">
        <v>12</v>
      </c>
      <c r="W5" s="224" t="s">
        <v>13</v>
      </c>
      <c r="X5" s="224" t="s">
        <v>14</v>
      </c>
      <c r="Y5" s="224" t="s">
        <v>15</v>
      </c>
      <c r="Z5" s="224" t="s">
        <v>16</v>
      </c>
      <c r="AA5" s="224" t="s">
        <v>17</v>
      </c>
      <c r="AB5" s="224" t="s">
        <v>18</v>
      </c>
      <c r="AC5" s="224" t="s">
        <v>19</v>
      </c>
      <c r="AD5" s="224" t="s">
        <v>20</v>
      </c>
      <c r="AE5" s="224" t="s">
        <v>21</v>
      </c>
      <c r="AF5" s="224" t="s">
        <v>9</v>
      </c>
    </row>
    <row r="6" spans="2:33" ht="14.5" x14ac:dyDescent="0.35">
      <c r="B6" s="198">
        <v>1</v>
      </c>
      <c r="C6" s="199" t="s">
        <v>395</v>
      </c>
      <c r="D6" s="199"/>
      <c r="E6" s="200"/>
      <c r="F6" s="201">
        <f>'1.NVL'!H$12*'2.Hao hut'!F29</f>
        <v>0</v>
      </c>
      <c r="G6" s="201">
        <f>'1.NVL'!I$12*'2.Hao hut'!G29</f>
        <v>0</v>
      </c>
      <c r="H6" s="201">
        <f>'1.NVL'!J$12*'2.Hao hut'!H29</f>
        <v>0</v>
      </c>
      <c r="I6" s="201">
        <f>'1.NVL'!K$12*'2.Hao hut'!I29</f>
        <v>142416</v>
      </c>
      <c r="J6" s="201">
        <f>'1.NVL'!L$12*'2.Hao hut'!J29</f>
        <v>142416</v>
      </c>
      <c r="K6" s="201">
        <f>'1.NVL'!M$12*'2.Hao hut'!K29</f>
        <v>142416</v>
      </c>
      <c r="L6" s="201">
        <f>'1.NVL'!N$12*'2.Hao hut'!L29</f>
        <v>142416</v>
      </c>
      <c r="M6" s="201">
        <f>'1.NVL'!O$12*'2.Hao hut'!M29</f>
        <v>142416</v>
      </c>
      <c r="N6" s="201">
        <f>'1.NVL'!P$12*'2.Hao hut'!N29</f>
        <v>142416</v>
      </c>
      <c r="O6" s="201">
        <f>'1.NVL'!Q$12*'2.Hao hut'!O29</f>
        <v>142416</v>
      </c>
      <c r="P6" s="201">
        <f>'1.NVL'!R$12*'2.Hao hut'!P29</f>
        <v>142416</v>
      </c>
      <c r="Q6" s="201">
        <f>'1.NVL'!S$12*'2.Hao hut'!Q29</f>
        <v>142416</v>
      </c>
      <c r="R6" s="200">
        <f>SUM(F6:Q6)</f>
        <v>1281744</v>
      </c>
      <c r="S6" s="206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0">
        <f>SUM(T6:AE6)</f>
        <v>0</v>
      </c>
      <c r="AG6" s="206"/>
    </row>
    <row r="7" spans="2:33" ht="14.5" x14ac:dyDescent="0.35">
      <c r="B7" s="202">
        <v>2</v>
      </c>
      <c r="C7" s="203"/>
      <c r="D7" s="203"/>
      <c r="E7" s="204"/>
      <c r="F7" s="205">
        <f>'1.NVL'!H$12*'2.Hao hut'!F30</f>
        <v>0</v>
      </c>
      <c r="G7" s="205">
        <f>'1.NVL'!I$12*'2.Hao hut'!G30</f>
        <v>0</v>
      </c>
      <c r="H7" s="205">
        <f>'1.NVL'!J$12*'2.Hao hut'!H30</f>
        <v>0</v>
      </c>
      <c r="I7" s="205">
        <f>'1.NVL'!K$12*'2.Hao hut'!I30</f>
        <v>0</v>
      </c>
      <c r="J7" s="205">
        <f>'1.NVL'!L$12*'2.Hao hut'!J30</f>
        <v>0</v>
      </c>
      <c r="K7" s="205">
        <f>'1.NVL'!M$12*'2.Hao hut'!K30</f>
        <v>0</v>
      </c>
      <c r="L7" s="205">
        <f>'1.NVL'!N$12*'2.Hao hut'!L30</f>
        <v>0</v>
      </c>
      <c r="M7" s="205">
        <f>'1.NVL'!O$12*'2.Hao hut'!M30</f>
        <v>0</v>
      </c>
      <c r="N7" s="205">
        <f>'1.NVL'!P$12*'2.Hao hut'!N30</f>
        <v>0</v>
      </c>
      <c r="O7" s="205">
        <f>'1.NVL'!Q$12*'2.Hao hut'!O30</f>
        <v>0</v>
      </c>
      <c r="P7" s="205">
        <f>'1.NVL'!R$12*'2.Hao hut'!P30</f>
        <v>0</v>
      </c>
      <c r="Q7" s="205">
        <f>'1.NVL'!S$12*'2.Hao hut'!Q30</f>
        <v>0</v>
      </c>
      <c r="R7" s="204">
        <f t="shared" ref="R7:R9" si="0">SUM(F7:Q7)</f>
        <v>0</v>
      </c>
      <c r="S7" s="206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4">
        <f t="shared" ref="AF7:AF9" si="1">SUM(T7:AE7)</f>
        <v>0</v>
      </c>
      <c r="AG7" s="206"/>
    </row>
    <row r="8" spans="2:33" ht="14.5" x14ac:dyDescent="0.35">
      <c r="B8" s="202">
        <v>3</v>
      </c>
      <c r="C8" s="203"/>
      <c r="D8" s="203"/>
      <c r="E8" s="204"/>
      <c r="F8" s="205">
        <f>'1.NVL'!H$12*'2.Hao hut'!F31</f>
        <v>0</v>
      </c>
      <c r="G8" s="205">
        <f>'1.NVL'!I$12*'2.Hao hut'!G31</f>
        <v>0</v>
      </c>
      <c r="H8" s="205">
        <f>'1.NVL'!J$12*'2.Hao hut'!H31</f>
        <v>0</v>
      </c>
      <c r="I8" s="205">
        <f>'1.NVL'!K$12*'2.Hao hut'!I31</f>
        <v>0</v>
      </c>
      <c r="J8" s="205">
        <f>'1.NVL'!L$12*'2.Hao hut'!J31</f>
        <v>0</v>
      </c>
      <c r="K8" s="205">
        <f>'1.NVL'!M$12*'2.Hao hut'!K31</f>
        <v>0</v>
      </c>
      <c r="L8" s="205">
        <f>'1.NVL'!N$12*'2.Hao hut'!L31</f>
        <v>0</v>
      </c>
      <c r="M8" s="205">
        <f>'1.NVL'!O$12*'2.Hao hut'!M31</f>
        <v>0</v>
      </c>
      <c r="N8" s="205">
        <f>'1.NVL'!P$12*'2.Hao hut'!N31</f>
        <v>0</v>
      </c>
      <c r="O8" s="205">
        <f>'1.NVL'!Q$12*'2.Hao hut'!O31</f>
        <v>0</v>
      </c>
      <c r="P8" s="205">
        <f>'1.NVL'!R$12*'2.Hao hut'!P31</f>
        <v>0</v>
      </c>
      <c r="Q8" s="205">
        <f>'1.NVL'!S$12*'2.Hao hut'!Q31</f>
        <v>0</v>
      </c>
      <c r="R8" s="204">
        <f t="shared" si="0"/>
        <v>0</v>
      </c>
      <c r="S8" s="206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4">
        <f t="shared" si="1"/>
        <v>0</v>
      </c>
      <c r="AG8" s="206"/>
    </row>
    <row r="9" spans="2:33" ht="14.5" x14ac:dyDescent="0.35">
      <c r="B9" s="202">
        <v>4</v>
      </c>
      <c r="C9" s="203"/>
      <c r="D9" s="203"/>
      <c r="E9" s="204"/>
      <c r="F9" s="205">
        <f>'1.NVL'!H$12*'2.Hao hut'!F32</f>
        <v>0</v>
      </c>
      <c r="G9" s="205">
        <f>'1.NVL'!I$12*'2.Hao hut'!G32</f>
        <v>0</v>
      </c>
      <c r="H9" s="205">
        <f>'1.NVL'!J$12*'2.Hao hut'!H32</f>
        <v>0</v>
      </c>
      <c r="I9" s="205">
        <f>'1.NVL'!K$12*'2.Hao hut'!I32</f>
        <v>0</v>
      </c>
      <c r="J9" s="205">
        <f>'1.NVL'!L$12*'2.Hao hut'!J32</f>
        <v>0</v>
      </c>
      <c r="K9" s="205">
        <f>'1.NVL'!M$12*'2.Hao hut'!K32</f>
        <v>0</v>
      </c>
      <c r="L9" s="205">
        <f>'1.NVL'!N$12*'2.Hao hut'!L32</f>
        <v>0</v>
      </c>
      <c r="M9" s="205">
        <f>'1.NVL'!O$12*'2.Hao hut'!M32</f>
        <v>0</v>
      </c>
      <c r="N9" s="205">
        <f>'1.NVL'!P$12*'2.Hao hut'!N32</f>
        <v>0</v>
      </c>
      <c r="O9" s="205">
        <f>'1.NVL'!Q$12*'2.Hao hut'!O32</f>
        <v>0</v>
      </c>
      <c r="P9" s="205">
        <f>'1.NVL'!R$12*'2.Hao hut'!P32</f>
        <v>0</v>
      </c>
      <c r="Q9" s="205">
        <f>'1.NVL'!S$12*'2.Hao hut'!Q32</f>
        <v>0</v>
      </c>
      <c r="R9" s="204">
        <f t="shared" si="0"/>
        <v>0</v>
      </c>
      <c r="S9" s="206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4">
        <f t="shared" si="1"/>
        <v>0</v>
      </c>
      <c r="AG9" s="206"/>
    </row>
    <row r="10" spans="2:33" x14ac:dyDescent="0.35">
      <c r="B10" s="118"/>
      <c r="C10" s="119" t="s">
        <v>160</v>
      </c>
      <c r="D10" s="119"/>
      <c r="E10" s="121">
        <f t="shared" ref="E10:R10" si="2">SUM(E6:E9)</f>
        <v>0</v>
      </c>
      <c r="F10" s="121">
        <f t="shared" si="2"/>
        <v>0</v>
      </c>
      <c r="G10" s="121">
        <f t="shared" si="2"/>
        <v>0</v>
      </c>
      <c r="H10" s="121">
        <f t="shared" si="2"/>
        <v>0</v>
      </c>
      <c r="I10" s="121">
        <f t="shared" si="2"/>
        <v>142416</v>
      </c>
      <c r="J10" s="121">
        <f t="shared" si="2"/>
        <v>142416</v>
      </c>
      <c r="K10" s="121">
        <f t="shared" si="2"/>
        <v>142416</v>
      </c>
      <c r="L10" s="121">
        <f t="shared" si="2"/>
        <v>142416</v>
      </c>
      <c r="M10" s="121">
        <f t="shared" si="2"/>
        <v>142416</v>
      </c>
      <c r="N10" s="121">
        <f t="shared" si="2"/>
        <v>142416</v>
      </c>
      <c r="O10" s="121">
        <f t="shared" si="2"/>
        <v>142416</v>
      </c>
      <c r="P10" s="121">
        <f t="shared" si="2"/>
        <v>142416</v>
      </c>
      <c r="Q10" s="121">
        <f t="shared" si="2"/>
        <v>142416</v>
      </c>
      <c r="R10" s="121">
        <f t="shared" si="2"/>
        <v>1281744</v>
      </c>
      <c r="T10" s="121">
        <f t="shared" ref="T10:AF10" si="3">SUM(T6:T9)</f>
        <v>0</v>
      </c>
      <c r="U10" s="121">
        <f t="shared" si="3"/>
        <v>0</v>
      </c>
      <c r="V10" s="121">
        <f t="shared" si="3"/>
        <v>0</v>
      </c>
      <c r="W10" s="121">
        <f t="shared" si="3"/>
        <v>0</v>
      </c>
      <c r="X10" s="121">
        <f t="shared" si="3"/>
        <v>0</v>
      </c>
      <c r="Y10" s="121">
        <f t="shared" si="3"/>
        <v>0</v>
      </c>
      <c r="Z10" s="121">
        <f t="shared" si="3"/>
        <v>0</v>
      </c>
      <c r="AA10" s="121">
        <f t="shared" si="3"/>
        <v>0</v>
      </c>
      <c r="AB10" s="121">
        <f t="shared" si="3"/>
        <v>0</v>
      </c>
      <c r="AC10" s="121">
        <f t="shared" si="3"/>
        <v>0</v>
      </c>
      <c r="AD10" s="121">
        <f t="shared" si="3"/>
        <v>0</v>
      </c>
      <c r="AE10" s="121">
        <f t="shared" si="3"/>
        <v>0</v>
      </c>
      <c r="AF10" s="121">
        <f t="shared" si="3"/>
        <v>0</v>
      </c>
    </row>
    <row r="11" spans="2:33" x14ac:dyDescent="0.35">
      <c r="E11" s="207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</row>
    <row r="12" spans="2:33" s="208" customFormat="1" ht="21.65" customHeight="1" x14ac:dyDescent="0.35">
      <c r="B12" s="134" t="s">
        <v>397</v>
      </c>
      <c r="E12" s="134"/>
      <c r="R12" s="134"/>
      <c r="AF12" s="134"/>
    </row>
    <row r="13" spans="2:33" ht="25.5" customHeight="1" x14ac:dyDescent="0.35">
      <c r="B13" s="361" t="s">
        <v>0</v>
      </c>
      <c r="C13" s="361" t="s">
        <v>186</v>
      </c>
      <c r="D13" s="361" t="s">
        <v>96</v>
      </c>
      <c r="E13" s="224" t="s">
        <v>9</v>
      </c>
      <c r="F13" s="224" t="s">
        <v>10</v>
      </c>
      <c r="G13" s="224" t="s">
        <v>11</v>
      </c>
      <c r="H13" s="224" t="s">
        <v>12</v>
      </c>
      <c r="I13" s="224" t="s">
        <v>13</v>
      </c>
      <c r="J13" s="224" t="s">
        <v>14</v>
      </c>
      <c r="K13" s="224" t="s">
        <v>15</v>
      </c>
      <c r="L13" s="224" t="s">
        <v>16</v>
      </c>
      <c r="M13" s="224" t="s">
        <v>17</v>
      </c>
      <c r="N13" s="224" t="s">
        <v>18</v>
      </c>
      <c r="O13" s="224" t="s">
        <v>19</v>
      </c>
      <c r="P13" s="224" t="s">
        <v>20</v>
      </c>
      <c r="Q13" s="224" t="s">
        <v>21</v>
      </c>
      <c r="R13" s="224" t="s">
        <v>363</v>
      </c>
      <c r="T13" s="224" t="s">
        <v>10</v>
      </c>
      <c r="U13" s="224" t="s">
        <v>11</v>
      </c>
      <c r="V13" s="224" t="s">
        <v>12</v>
      </c>
      <c r="W13" s="224" t="s">
        <v>13</v>
      </c>
      <c r="X13" s="224" t="s">
        <v>14</v>
      </c>
      <c r="Y13" s="224" t="s">
        <v>15</v>
      </c>
      <c r="Z13" s="224" t="s">
        <v>16</v>
      </c>
      <c r="AA13" s="224" t="s">
        <v>17</v>
      </c>
      <c r="AB13" s="224" t="s">
        <v>18</v>
      </c>
      <c r="AC13" s="224" t="s">
        <v>19</v>
      </c>
      <c r="AD13" s="224" t="s">
        <v>20</v>
      </c>
      <c r="AE13" s="224" t="s">
        <v>21</v>
      </c>
      <c r="AF13" s="224" t="s">
        <v>9</v>
      </c>
    </row>
    <row r="14" spans="2:33" x14ac:dyDescent="0.35">
      <c r="B14" s="198">
        <v>1</v>
      </c>
      <c r="C14" s="199" t="s">
        <v>395</v>
      </c>
      <c r="D14" s="199"/>
      <c r="E14" s="200"/>
      <c r="F14" s="201">
        <f>F6</f>
        <v>0</v>
      </c>
      <c r="G14" s="201">
        <f t="shared" ref="G14:Q14" si="4">G6</f>
        <v>0</v>
      </c>
      <c r="H14" s="201">
        <f t="shared" si="4"/>
        <v>0</v>
      </c>
      <c r="I14" s="201">
        <f t="shared" si="4"/>
        <v>142416</v>
      </c>
      <c r="J14" s="201">
        <f t="shared" si="4"/>
        <v>142416</v>
      </c>
      <c r="K14" s="201">
        <f t="shared" si="4"/>
        <v>142416</v>
      </c>
      <c r="L14" s="201">
        <f t="shared" si="4"/>
        <v>142416</v>
      </c>
      <c r="M14" s="201">
        <f t="shared" si="4"/>
        <v>142416</v>
      </c>
      <c r="N14" s="201">
        <f t="shared" si="4"/>
        <v>142416</v>
      </c>
      <c r="O14" s="201">
        <f t="shared" si="4"/>
        <v>142416</v>
      </c>
      <c r="P14" s="201">
        <f t="shared" si="4"/>
        <v>142416</v>
      </c>
      <c r="Q14" s="201">
        <f t="shared" si="4"/>
        <v>142416</v>
      </c>
      <c r="R14" s="200">
        <f t="shared" ref="R14:R17" si="5">SUM(F14:Q14)</f>
        <v>1281744</v>
      </c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0">
        <f t="shared" ref="AF14:AF17" si="6">SUM(T14:AE14)</f>
        <v>0</v>
      </c>
    </row>
    <row r="15" spans="2:33" x14ac:dyDescent="0.35">
      <c r="B15" s="202">
        <v>2</v>
      </c>
      <c r="C15" s="203"/>
      <c r="D15" s="203"/>
      <c r="E15" s="204"/>
      <c r="F15" s="201">
        <f t="shared" ref="F15:Q15" si="7">F7</f>
        <v>0</v>
      </c>
      <c r="G15" s="201">
        <f t="shared" si="7"/>
        <v>0</v>
      </c>
      <c r="H15" s="201">
        <f t="shared" si="7"/>
        <v>0</v>
      </c>
      <c r="I15" s="201">
        <f t="shared" si="7"/>
        <v>0</v>
      </c>
      <c r="J15" s="201">
        <f t="shared" si="7"/>
        <v>0</v>
      </c>
      <c r="K15" s="201">
        <f t="shared" si="7"/>
        <v>0</v>
      </c>
      <c r="L15" s="201">
        <f t="shared" si="7"/>
        <v>0</v>
      </c>
      <c r="M15" s="201">
        <f t="shared" si="7"/>
        <v>0</v>
      </c>
      <c r="N15" s="201">
        <f t="shared" si="7"/>
        <v>0</v>
      </c>
      <c r="O15" s="201">
        <f t="shared" si="7"/>
        <v>0</v>
      </c>
      <c r="P15" s="201">
        <f t="shared" si="7"/>
        <v>0</v>
      </c>
      <c r="Q15" s="201">
        <f t="shared" si="7"/>
        <v>0</v>
      </c>
      <c r="R15" s="204">
        <f t="shared" si="5"/>
        <v>0</v>
      </c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4">
        <f t="shared" si="6"/>
        <v>0</v>
      </c>
    </row>
    <row r="16" spans="2:33" x14ac:dyDescent="0.35">
      <c r="B16" s="202">
        <v>3</v>
      </c>
      <c r="C16" s="203"/>
      <c r="D16" s="203"/>
      <c r="E16" s="204"/>
      <c r="F16" s="201">
        <f t="shared" ref="F16:Q16" si="8">F8</f>
        <v>0</v>
      </c>
      <c r="G16" s="201">
        <f t="shared" si="8"/>
        <v>0</v>
      </c>
      <c r="H16" s="201">
        <f t="shared" si="8"/>
        <v>0</v>
      </c>
      <c r="I16" s="201">
        <f t="shared" si="8"/>
        <v>0</v>
      </c>
      <c r="J16" s="201">
        <f t="shared" si="8"/>
        <v>0</v>
      </c>
      <c r="K16" s="201">
        <f t="shared" si="8"/>
        <v>0</v>
      </c>
      <c r="L16" s="201">
        <f t="shared" si="8"/>
        <v>0</v>
      </c>
      <c r="M16" s="201">
        <f t="shared" si="8"/>
        <v>0</v>
      </c>
      <c r="N16" s="201">
        <f t="shared" si="8"/>
        <v>0</v>
      </c>
      <c r="O16" s="201">
        <f t="shared" si="8"/>
        <v>0</v>
      </c>
      <c r="P16" s="201">
        <f t="shared" si="8"/>
        <v>0</v>
      </c>
      <c r="Q16" s="201">
        <f t="shared" si="8"/>
        <v>0</v>
      </c>
      <c r="R16" s="204">
        <f t="shared" si="5"/>
        <v>0</v>
      </c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4">
        <f t="shared" si="6"/>
        <v>0</v>
      </c>
    </row>
    <row r="17" spans="2:32" x14ac:dyDescent="0.35">
      <c r="B17" s="202">
        <v>4</v>
      </c>
      <c r="C17" s="203"/>
      <c r="D17" s="203"/>
      <c r="E17" s="204"/>
      <c r="F17" s="201">
        <f t="shared" ref="F17:Q17" si="9">F9</f>
        <v>0</v>
      </c>
      <c r="G17" s="201">
        <f t="shared" si="9"/>
        <v>0</v>
      </c>
      <c r="H17" s="201">
        <f t="shared" si="9"/>
        <v>0</v>
      </c>
      <c r="I17" s="201">
        <f t="shared" si="9"/>
        <v>0</v>
      </c>
      <c r="J17" s="201">
        <f t="shared" si="9"/>
        <v>0</v>
      </c>
      <c r="K17" s="201">
        <f t="shared" si="9"/>
        <v>0</v>
      </c>
      <c r="L17" s="201">
        <f t="shared" si="9"/>
        <v>0</v>
      </c>
      <c r="M17" s="201">
        <f t="shared" si="9"/>
        <v>0</v>
      </c>
      <c r="N17" s="201">
        <f t="shared" si="9"/>
        <v>0</v>
      </c>
      <c r="O17" s="201">
        <f t="shared" si="9"/>
        <v>0</v>
      </c>
      <c r="P17" s="201">
        <f t="shared" si="9"/>
        <v>0</v>
      </c>
      <c r="Q17" s="201">
        <f t="shared" si="9"/>
        <v>0</v>
      </c>
      <c r="R17" s="204">
        <f t="shared" si="5"/>
        <v>0</v>
      </c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4">
        <f t="shared" si="6"/>
        <v>0</v>
      </c>
    </row>
    <row r="18" spans="2:32" x14ac:dyDescent="0.35">
      <c r="B18" s="118"/>
      <c r="C18" s="119" t="s">
        <v>222</v>
      </c>
      <c r="D18" s="119"/>
      <c r="E18" s="121"/>
      <c r="F18" s="121">
        <f t="shared" ref="F18:R18" si="10">SUM(F14:F17)</f>
        <v>0</v>
      </c>
      <c r="G18" s="121">
        <f t="shared" si="10"/>
        <v>0</v>
      </c>
      <c r="H18" s="121">
        <f t="shared" si="10"/>
        <v>0</v>
      </c>
      <c r="I18" s="121">
        <f t="shared" si="10"/>
        <v>142416</v>
      </c>
      <c r="J18" s="121">
        <f t="shared" si="10"/>
        <v>142416</v>
      </c>
      <c r="K18" s="121">
        <f t="shared" si="10"/>
        <v>142416</v>
      </c>
      <c r="L18" s="121">
        <f t="shared" si="10"/>
        <v>142416</v>
      </c>
      <c r="M18" s="121">
        <f t="shared" si="10"/>
        <v>142416</v>
      </c>
      <c r="N18" s="121">
        <f t="shared" si="10"/>
        <v>142416</v>
      </c>
      <c r="O18" s="121">
        <f t="shared" si="10"/>
        <v>142416</v>
      </c>
      <c r="P18" s="121">
        <f t="shared" si="10"/>
        <v>142416</v>
      </c>
      <c r="Q18" s="121">
        <f t="shared" si="10"/>
        <v>142416</v>
      </c>
      <c r="R18" s="121">
        <f t="shared" si="10"/>
        <v>1281744</v>
      </c>
      <c r="T18" s="121">
        <f t="shared" ref="T18:AF18" si="11">SUM(T14:T17)</f>
        <v>0</v>
      </c>
      <c r="U18" s="121">
        <f t="shared" si="11"/>
        <v>0</v>
      </c>
      <c r="V18" s="121">
        <f t="shared" si="11"/>
        <v>0</v>
      </c>
      <c r="W18" s="121">
        <f t="shared" si="11"/>
        <v>0</v>
      </c>
      <c r="X18" s="121">
        <f t="shared" si="11"/>
        <v>0</v>
      </c>
      <c r="Y18" s="121">
        <f t="shared" si="11"/>
        <v>0</v>
      </c>
      <c r="Z18" s="121">
        <f t="shared" si="11"/>
        <v>0</v>
      </c>
      <c r="AA18" s="121">
        <f t="shared" si="11"/>
        <v>0</v>
      </c>
      <c r="AB18" s="121">
        <f t="shared" si="11"/>
        <v>0</v>
      </c>
      <c r="AC18" s="121">
        <f t="shared" si="11"/>
        <v>0</v>
      </c>
      <c r="AD18" s="121">
        <f t="shared" si="11"/>
        <v>0</v>
      </c>
      <c r="AE18" s="121">
        <f t="shared" si="11"/>
        <v>0</v>
      </c>
      <c r="AF18" s="121">
        <f t="shared" si="11"/>
        <v>0</v>
      </c>
    </row>
    <row r="19" spans="2:32" x14ac:dyDescent="0.35">
      <c r="F19" s="8">
        <f>F18/1000</f>
        <v>0</v>
      </c>
      <c r="G19" s="8">
        <f t="shared" ref="G19:Q19" si="12">G18/1000</f>
        <v>0</v>
      </c>
      <c r="H19" s="8">
        <f t="shared" si="12"/>
        <v>0</v>
      </c>
      <c r="I19" s="8">
        <f t="shared" si="12"/>
        <v>142.416</v>
      </c>
      <c r="J19" s="8">
        <f t="shared" si="12"/>
        <v>142.416</v>
      </c>
      <c r="K19" s="8">
        <f t="shared" si="12"/>
        <v>142.416</v>
      </c>
      <c r="L19" s="8">
        <f t="shared" si="12"/>
        <v>142.416</v>
      </c>
      <c r="M19" s="8">
        <f t="shared" si="12"/>
        <v>142.416</v>
      </c>
      <c r="N19" s="8">
        <f t="shared" si="12"/>
        <v>142.416</v>
      </c>
      <c r="O19" s="8">
        <f t="shared" si="12"/>
        <v>142.416</v>
      </c>
      <c r="P19" s="8">
        <f t="shared" si="12"/>
        <v>142.416</v>
      </c>
      <c r="Q19" s="8">
        <f t="shared" si="12"/>
        <v>142.416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8">
    <tabColor theme="7" tint="0.39997558519241921"/>
  </sheetPr>
  <dimension ref="A1:BC34"/>
  <sheetViews>
    <sheetView tabSelected="1" topLeftCell="AE18" workbookViewId="0">
      <selection activeCell="AI32" sqref="AI32"/>
    </sheetView>
  </sheetViews>
  <sheetFormatPr defaultColWidth="8.81640625" defaultRowHeight="12.5" outlineLevelRow="3" outlineLevelCol="2" x14ac:dyDescent="0.25"/>
  <cols>
    <col min="1" max="1" width="5.7265625" style="137" customWidth="1"/>
    <col min="2" max="2" width="11.81640625" style="137" hidden="1" customWidth="1" outlineLevel="1"/>
    <col min="3" max="3" width="13" style="137" hidden="1" customWidth="1" outlineLevel="1"/>
    <col min="4" max="4" width="28.7265625" style="137" hidden="1" customWidth="1" outlineLevel="2"/>
    <col min="5" max="5" width="10.1796875" style="137" hidden="1" customWidth="1" outlineLevel="2"/>
    <col min="6" max="6" width="18.7265625" style="137" hidden="1" customWidth="1" outlineLevel="2"/>
    <col min="7" max="7" width="28.26953125" style="137" hidden="1" customWidth="1" outlineLevel="2"/>
    <col min="8" max="8" width="16.1796875" style="137" hidden="1" customWidth="1" outlineLevel="1" collapsed="1"/>
    <col min="9" max="9" width="16.1796875" style="137" hidden="1" customWidth="1" outlineLevel="1"/>
    <col min="10" max="10" width="16.1796875" style="137" hidden="1" customWidth="1" outlineLevel="2"/>
    <col min="11" max="11" width="12.7265625" style="137" hidden="1" customWidth="1" outlineLevel="2"/>
    <col min="12" max="12" width="16.1796875" style="137" hidden="1" customWidth="1" outlineLevel="2"/>
    <col min="13" max="13" width="11.26953125" style="137" hidden="1" customWidth="1" outlineLevel="2"/>
    <col min="14" max="14" width="12.1796875" style="137" hidden="1" customWidth="1" outlineLevel="1" collapsed="1"/>
    <col min="15" max="15" width="12.26953125" style="137" hidden="1" customWidth="1" outlineLevel="1"/>
    <col min="16" max="16" width="17.453125" style="137" hidden="1" customWidth="1" outlineLevel="2"/>
    <col min="17" max="17" width="14" style="137" hidden="1" customWidth="1" outlineLevel="2"/>
    <col min="18" max="18" width="12.26953125" style="137" hidden="1" customWidth="1" outlineLevel="1" collapsed="1"/>
    <col min="19" max="19" width="29" style="137" hidden="1" customWidth="1" outlineLevel="1"/>
    <col min="20" max="20" width="24.81640625" style="137" hidden="1" customWidth="1" outlineLevel="2"/>
    <col min="21" max="21" width="13.7265625" style="3" hidden="1" customWidth="1" outlineLevel="2"/>
    <col min="22" max="22" width="13.7265625" style="137" hidden="1" customWidth="1" outlineLevel="2"/>
    <col min="23" max="23" width="13.7265625" style="137" customWidth="1" collapsed="1"/>
    <col min="24" max="24" width="29" style="237" customWidth="1"/>
    <col min="25" max="25" width="13.7265625" style="140" customWidth="1"/>
    <col min="26" max="26" width="13.7265625" style="154" hidden="1" customWidth="1" outlineLevel="1"/>
    <col min="27" max="27" width="32" style="137" hidden="1" customWidth="1" outlineLevel="1"/>
    <col min="28" max="28" width="39.1796875" style="137" hidden="1" customWidth="1" outlineLevel="1"/>
    <col min="29" max="29" width="18.453125" style="141" bestFit="1" customWidth="1" collapsed="1"/>
    <col min="30" max="30" width="19.54296875" style="141" bestFit="1" customWidth="1"/>
    <col min="31" max="31" width="14.26953125" style="141" customWidth="1"/>
    <col min="32" max="32" width="11.54296875" style="137" customWidth="1" outlineLevel="1"/>
    <col min="33" max="34" width="7" style="3" customWidth="1" outlineLevel="1"/>
    <col min="35" max="36" width="8.6328125" style="3" bestFit="1" customWidth="1" outlineLevel="1"/>
    <col min="37" max="40" width="7" style="3" customWidth="1" outlineLevel="1"/>
    <col min="41" max="43" width="7" style="137" customWidth="1" outlineLevel="1"/>
    <col min="44" max="44" width="11.7265625" style="141" customWidth="1" outlineLevel="1"/>
    <col min="45" max="45" width="17.453125" style="141" customWidth="1"/>
    <col min="46" max="46" width="0" style="137" hidden="1" customWidth="1"/>
    <col min="47" max="54" width="8.81640625" style="137"/>
    <col min="55" max="55" width="12.81640625" style="141" bestFit="1" customWidth="1"/>
    <col min="56" max="16384" width="8.81640625" style="137"/>
  </cols>
  <sheetData>
    <row r="1" spans="1:55" ht="13" x14ac:dyDescent="0.25">
      <c r="D1" s="138" t="s">
        <v>277</v>
      </c>
      <c r="E1" s="139"/>
      <c r="U1" s="137"/>
      <c r="AG1" s="137"/>
      <c r="AH1" s="137"/>
      <c r="AI1" s="137"/>
      <c r="AJ1" s="137"/>
      <c r="AK1" s="137"/>
      <c r="AL1" s="137"/>
      <c r="AM1" s="137"/>
      <c r="AN1" s="137"/>
    </row>
    <row r="2" spans="1:55" ht="13" x14ac:dyDescent="0.25">
      <c r="D2" s="142" t="s">
        <v>278</v>
      </c>
      <c r="E2" s="139"/>
      <c r="U2" s="137"/>
      <c r="AG2" s="137"/>
      <c r="AH2" s="137"/>
      <c r="AI2" s="137"/>
      <c r="AJ2" s="137"/>
      <c r="AK2" s="137"/>
      <c r="AL2" s="137"/>
      <c r="AM2" s="137"/>
      <c r="AN2" s="137"/>
    </row>
    <row r="3" spans="1:55" ht="13" x14ac:dyDescent="0.25">
      <c r="D3" s="143" t="s">
        <v>315</v>
      </c>
      <c r="E3" s="139"/>
      <c r="U3" s="137"/>
      <c r="AG3" s="137"/>
      <c r="AH3" s="137"/>
      <c r="AI3" s="137"/>
      <c r="AJ3" s="137"/>
      <c r="AK3" s="137"/>
      <c r="AL3" s="137"/>
      <c r="AM3" s="137"/>
      <c r="AN3" s="137"/>
    </row>
    <row r="4" spans="1:55" ht="13" x14ac:dyDescent="0.3">
      <c r="D4" s="144"/>
      <c r="E4" s="144"/>
      <c r="U4" s="137"/>
      <c r="AG4" s="137"/>
      <c r="AH4" s="137"/>
      <c r="AI4" s="137"/>
      <c r="AJ4" s="137"/>
      <c r="AK4" s="137"/>
      <c r="AL4" s="137"/>
      <c r="AM4" s="137"/>
      <c r="AN4" s="137"/>
    </row>
    <row r="5" spans="1:55" ht="13" x14ac:dyDescent="0.3">
      <c r="L5" s="145" t="s">
        <v>279</v>
      </c>
      <c r="M5" s="146">
        <v>26500</v>
      </c>
      <c r="U5" s="137"/>
      <c r="AG5" s="137"/>
      <c r="AH5" s="137"/>
      <c r="AI5" s="137"/>
      <c r="AJ5" s="137"/>
      <c r="AK5" s="137"/>
      <c r="AL5" s="137"/>
      <c r="AM5" s="137"/>
      <c r="AN5" s="137"/>
    </row>
    <row r="6" spans="1:55" s="147" customFormat="1" ht="26" x14ac:dyDescent="0.3">
      <c r="B6" s="148" t="s">
        <v>280</v>
      </c>
      <c r="C6" s="148"/>
      <c r="D6" s="148" t="s">
        <v>280</v>
      </c>
      <c r="E6" s="148"/>
      <c r="F6" s="148"/>
      <c r="G6" s="148"/>
      <c r="H6" s="148" t="s">
        <v>280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 t="s">
        <v>280</v>
      </c>
      <c r="T6" s="148"/>
      <c r="U6" s="148"/>
      <c r="V6" s="148"/>
      <c r="W6" s="148"/>
      <c r="X6" s="219"/>
      <c r="Y6" s="149"/>
      <c r="Z6" s="219" t="s">
        <v>281</v>
      </c>
      <c r="AA6" s="219" t="s">
        <v>281</v>
      </c>
      <c r="AB6" s="219" t="s">
        <v>281</v>
      </c>
      <c r="AC6" s="150"/>
      <c r="AD6" s="150"/>
      <c r="AE6" s="150"/>
      <c r="AR6" s="151"/>
      <c r="AS6" s="150"/>
      <c r="BC6" s="151" t="e">
        <f>SUM(#REF!)</f>
        <v>#REF!</v>
      </c>
    </row>
    <row r="7" spans="1:55" ht="39" x14ac:dyDescent="0.25">
      <c r="A7" s="211" t="s">
        <v>0</v>
      </c>
      <c r="B7" s="211" t="s">
        <v>282</v>
      </c>
      <c r="C7" s="211" t="s">
        <v>283</v>
      </c>
      <c r="D7" s="217" t="s">
        <v>284</v>
      </c>
      <c r="E7" s="217" t="s">
        <v>285</v>
      </c>
      <c r="F7" s="218" t="s">
        <v>286</v>
      </c>
      <c r="G7" s="218" t="s">
        <v>287</v>
      </c>
      <c r="H7" s="211" t="s">
        <v>288</v>
      </c>
      <c r="I7" s="211" t="s">
        <v>289</v>
      </c>
      <c r="J7" s="211" t="s">
        <v>290</v>
      </c>
      <c r="K7" s="211" t="s">
        <v>291</v>
      </c>
      <c r="L7" s="211" t="s">
        <v>292</v>
      </c>
      <c r="M7" s="211" t="s">
        <v>293</v>
      </c>
      <c r="N7" s="211" t="s">
        <v>294</v>
      </c>
      <c r="O7" s="212" t="s">
        <v>295</v>
      </c>
      <c r="P7" s="212" t="s">
        <v>296</v>
      </c>
      <c r="Q7" s="212" t="s">
        <v>297</v>
      </c>
      <c r="R7" s="212" t="s">
        <v>298</v>
      </c>
      <c r="S7" s="212" t="s">
        <v>299</v>
      </c>
      <c r="T7" s="211" t="s">
        <v>300</v>
      </c>
      <c r="U7" s="211" t="s">
        <v>301</v>
      </c>
      <c r="V7" s="211" t="s">
        <v>302</v>
      </c>
      <c r="W7" s="211" t="s">
        <v>303</v>
      </c>
      <c r="X7" s="211" t="s">
        <v>304</v>
      </c>
      <c r="Y7" s="213" t="s">
        <v>305</v>
      </c>
      <c r="Z7" s="214" t="s">
        <v>161</v>
      </c>
      <c r="AA7" s="214" t="s">
        <v>162</v>
      </c>
      <c r="AB7" s="177" t="s">
        <v>163</v>
      </c>
      <c r="AC7" s="178" t="s">
        <v>306</v>
      </c>
      <c r="AD7" s="178" t="s">
        <v>307</v>
      </c>
      <c r="AE7" s="178" t="s">
        <v>308</v>
      </c>
      <c r="AF7" s="179" t="s">
        <v>10</v>
      </c>
      <c r="AG7" s="179" t="s">
        <v>11</v>
      </c>
      <c r="AH7" s="179" t="s">
        <v>12</v>
      </c>
      <c r="AI7" s="179" t="s">
        <v>13</v>
      </c>
      <c r="AJ7" s="179" t="s">
        <v>14</v>
      </c>
      <c r="AK7" s="179" t="s">
        <v>15</v>
      </c>
      <c r="AL7" s="179" t="s">
        <v>16</v>
      </c>
      <c r="AM7" s="179" t="s">
        <v>17</v>
      </c>
      <c r="AN7" s="179" t="s">
        <v>18</v>
      </c>
      <c r="AO7" s="179" t="s">
        <v>19</v>
      </c>
      <c r="AP7" s="179" t="s">
        <v>20</v>
      </c>
      <c r="AQ7" s="179" t="s">
        <v>21</v>
      </c>
      <c r="AR7" s="215" t="s">
        <v>22</v>
      </c>
      <c r="AS7" s="216" t="s">
        <v>309</v>
      </c>
      <c r="AU7" s="137" t="s">
        <v>360</v>
      </c>
      <c r="AV7" s="339" t="s">
        <v>356</v>
      </c>
      <c r="AW7" s="339" t="s">
        <v>357</v>
      </c>
      <c r="AX7" s="339" t="s">
        <v>358</v>
      </c>
      <c r="AY7" s="137" t="s">
        <v>359</v>
      </c>
      <c r="AZ7" s="137" t="s">
        <v>361</v>
      </c>
      <c r="BB7" s="137" t="s">
        <v>362</v>
      </c>
    </row>
    <row r="8" spans="1:55" s="319" customFormat="1" x14ac:dyDescent="0.25">
      <c r="A8" s="329">
        <v>2.2000000000000002</v>
      </c>
      <c r="B8" s="329" t="s">
        <v>310</v>
      </c>
      <c r="C8" s="329" t="s">
        <v>334</v>
      </c>
      <c r="D8" s="329"/>
      <c r="E8" s="329"/>
      <c r="F8" s="329"/>
      <c r="G8" s="329"/>
      <c r="H8" s="329"/>
      <c r="I8" s="330"/>
      <c r="J8" s="329"/>
      <c r="K8" s="329"/>
      <c r="L8" s="329"/>
      <c r="M8" s="329"/>
      <c r="N8" s="331">
        <v>46023</v>
      </c>
      <c r="O8" s="329">
        <f>12*12</f>
        <v>144</v>
      </c>
      <c r="P8" s="320" t="s">
        <v>317</v>
      </c>
      <c r="Q8" s="320"/>
      <c r="R8" s="320"/>
      <c r="S8" s="210" t="s">
        <v>319</v>
      </c>
      <c r="T8" s="315"/>
      <c r="U8" s="327"/>
      <c r="V8" s="327"/>
      <c r="W8" s="328"/>
      <c r="X8" s="210" t="s">
        <v>319</v>
      </c>
      <c r="Y8" s="317">
        <v>627</v>
      </c>
      <c r="Z8" s="318">
        <v>6274001903</v>
      </c>
      <c r="AA8" s="328" t="s">
        <v>312</v>
      </c>
      <c r="AB8" s="328" t="s">
        <v>316</v>
      </c>
      <c r="AC8" s="131">
        <f>SUM(AC9:AC21)</f>
        <v>6697017215</v>
      </c>
      <c r="AD8" s="131">
        <f t="shared" ref="AD8:AD18" si="0">AC8-AE8</f>
        <v>0</v>
      </c>
      <c r="AE8" s="131">
        <f>CAPEX_202512[[#This Row],[Giá trị nguyên giá]]</f>
        <v>6697017215</v>
      </c>
      <c r="AF8" s="238">
        <f t="shared" ref="AF8" si="1">SUM(AF9:AF21)</f>
        <v>0</v>
      </c>
      <c r="AG8" s="238">
        <f t="shared" ref="AG8" si="2">SUM(AG9:AG21)</f>
        <v>0</v>
      </c>
      <c r="AH8" s="238">
        <f t="shared" ref="AH8:AQ8" si="3">SUM(AH9:AH21)</f>
        <v>0</v>
      </c>
      <c r="AI8" s="238">
        <f t="shared" si="3"/>
        <v>46507063.993055552</v>
      </c>
      <c r="AJ8" s="238">
        <f t="shared" si="3"/>
        <v>46507063.993055552</v>
      </c>
      <c r="AK8" s="238">
        <f t="shared" si="3"/>
        <v>46507063.993055552</v>
      </c>
      <c r="AL8" s="238">
        <f t="shared" si="3"/>
        <v>46507063.993055552</v>
      </c>
      <c r="AM8" s="238">
        <f t="shared" si="3"/>
        <v>46507063.993055552</v>
      </c>
      <c r="AN8" s="238">
        <f t="shared" si="3"/>
        <v>46507063.993055552</v>
      </c>
      <c r="AO8" s="238">
        <f t="shared" si="3"/>
        <v>46507063.993055552</v>
      </c>
      <c r="AP8" s="238">
        <f t="shared" si="3"/>
        <v>46507063.993055552</v>
      </c>
      <c r="AQ8" s="238">
        <f t="shared" si="3"/>
        <v>46507063.993055552</v>
      </c>
      <c r="AR8" s="238">
        <f>SUM(AF8:AQ8)</f>
        <v>418563575.9375</v>
      </c>
      <c r="AS8" s="238"/>
      <c r="BC8" s="14"/>
    </row>
    <row r="9" spans="1:55" outlineLevel="3" x14ac:dyDescent="0.25">
      <c r="A9" s="152"/>
      <c r="B9" s="152"/>
      <c r="C9" s="152"/>
      <c r="D9" s="311"/>
      <c r="E9" s="311"/>
      <c r="F9" s="152"/>
      <c r="G9" s="312"/>
      <c r="H9" s="152" t="s">
        <v>320</v>
      </c>
      <c r="I9" s="321" t="s">
        <v>321</v>
      </c>
      <c r="J9" s="152"/>
      <c r="K9" s="152"/>
      <c r="L9" s="152"/>
      <c r="M9" s="152"/>
      <c r="N9" s="313">
        <v>46023</v>
      </c>
      <c r="O9" s="152">
        <v>120</v>
      </c>
      <c r="P9" s="314" t="s">
        <v>317</v>
      </c>
      <c r="Q9" s="314"/>
      <c r="R9" s="314"/>
      <c r="S9" s="314"/>
      <c r="T9" s="322" t="s">
        <v>322</v>
      </c>
      <c r="U9" s="316" t="s">
        <v>323</v>
      </c>
      <c r="V9" s="316">
        <v>1</v>
      </c>
      <c r="W9" s="326">
        <v>45901</v>
      </c>
      <c r="X9" s="303" t="s">
        <v>346</v>
      </c>
      <c r="Y9" s="304"/>
      <c r="Z9" s="247">
        <v>6274001903</v>
      </c>
      <c r="AA9" s="326" t="s">
        <v>312</v>
      </c>
      <c r="AB9" s="326" t="s">
        <v>316</v>
      </c>
      <c r="AC9" s="245">
        <v>3945000000</v>
      </c>
      <c r="AD9" s="245">
        <f t="shared" si="0"/>
        <v>0</v>
      </c>
      <c r="AE9" s="245">
        <f>CAPEX_202512[[#This Row],[Giá trị nguyên giá]]</f>
        <v>3945000000</v>
      </c>
      <c r="AF9" s="130"/>
      <c r="AG9" s="130"/>
      <c r="AH9" s="130"/>
      <c r="AI9" s="130">
        <f>CAPEX_202512[[#This Row],[Giá trị nguyên giá]]/144</f>
        <v>27395833.333333332</v>
      </c>
      <c r="AJ9" s="130">
        <f>CAPEX_202512[[#This Row],[Giá trị nguyên giá]]/144</f>
        <v>27395833.333333332</v>
      </c>
      <c r="AK9" s="130">
        <f>CAPEX_202512[[#This Row],[Giá trị nguyên giá]]/144</f>
        <v>27395833.333333332</v>
      </c>
      <c r="AL9" s="130">
        <f>CAPEX_202512[[#This Row],[Giá trị nguyên giá]]/144</f>
        <v>27395833.333333332</v>
      </c>
      <c r="AM9" s="130">
        <f>CAPEX_202512[[#This Row],[Giá trị nguyên giá]]/144</f>
        <v>27395833.333333332</v>
      </c>
      <c r="AN9" s="130">
        <f>CAPEX_202512[[#This Row],[Giá trị nguyên giá]]/144</f>
        <v>27395833.333333332</v>
      </c>
      <c r="AO9" s="130">
        <f>CAPEX_202512[[#This Row],[Giá trị nguyên giá]]/144</f>
        <v>27395833.333333332</v>
      </c>
      <c r="AP9" s="130">
        <f>CAPEX_202512[[#This Row],[Giá trị nguyên giá]]/144</f>
        <v>27395833.333333332</v>
      </c>
      <c r="AQ9" s="130">
        <f>CAPEX_202512[[#This Row],[Giá trị nguyên giá]]/144</f>
        <v>27395833.333333332</v>
      </c>
      <c r="AR9" s="130">
        <f t="shared" ref="AR9:AR18" si="4">SUM(AF9:AQ9)</f>
        <v>246562500.00000003</v>
      </c>
      <c r="AS9" s="130"/>
    </row>
    <row r="10" spans="1:55" ht="25" outlineLevel="3" x14ac:dyDescent="0.25">
      <c r="A10" s="152"/>
      <c r="B10" s="152"/>
      <c r="C10" s="152"/>
      <c r="D10" s="311"/>
      <c r="E10" s="311"/>
      <c r="F10" s="152"/>
      <c r="G10" s="312"/>
      <c r="H10" s="152" t="s">
        <v>320</v>
      </c>
      <c r="I10" s="321" t="s">
        <v>324</v>
      </c>
      <c r="J10" s="152"/>
      <c r="K10" s="152"/>
      <c r="L10" s="152"/>
      <c r="M10" s="152"/>
      <c r="N10" s="313">
        <v>46023</v>
      </c>
      <c r="O10" s="152">
        <v>120</v>
      </c>
      <c r="P10" s="314" t="s">
        <v>317</v>
      </c>
      <c r="Q10" s="314"/>
      <c r="R10" s="314"/>
      <c r="S10" s="314"/>
      <c r="T10" s="322" t="s">
        <v>325</v>
      </c>
      <c r="U10" s="316"/>
      <c r="V10" s="316"/>
      <c r="W10" s="326">
        <v>45962</v>
      </c>
      <c r="X10" s="303" t="s">
        <v>347</v>
      </c>
      <c r="Y10" s="304"/>
      <c r="Z10" s="247">
        <v>6274001903</v>
      </c>
      <c r="AA10" s="326" t="s">
        <v>312</v>
      </c>
      <c r="AB10" s="326" t="s">
        <v>316</v>
      </c>
      <c r="AC10" s="245">
        <v>276150000</v>
      </c>
      <c r="AD10" s="245">
        <f t="shared" si="0"/>
        <v>0</v>
      </c>
      <c r="AE10" s="245">
        <f>CAPEX_202512[[#This Row],[Giá trị nguyên giá]]</f>
        <v>276150000</v>
      </c>
      <c r="AF10" s="130"/>
      <c r="AG10" s="130"/>
      <c r="AH10" s="130"/>
      <c r="AI10" s="130">
        <f>CAPEX_202512[[#This Row],[Giá trị nguyên giá]]/144</f>
        <v>1917708.3333333333</v>
      </c>
      <c r="AJ10" s="130">
        <f>CAPEX_202512[[#This Row],[Giá trị nguyên giá]]/144</f>
        <v>1917708.3333333333</v>
      </c>
      <c r="AK10" s="130">
        <f>CAPEX_202512[[#This Row],[Giá trị nguyên giá]]/144</f>
        <v>1917708.3333333333</v>
      </c>
      <c r="AL10" s="130">
        <f>CAPEX_202512[[#This Row],[Giá trị nguyên giá]]/144</f>
        <v>1917708.3333333333</v>
      </c>
      <c r="AM10" s="130">
        <f>CAPEX_202512[[#This Row],[Giá trị nguyên giá]]/144</f>
        <v>1917708.3333333333</v>
      </c>
      <c r="AN10" s="130">
        <f>CAPEX_202512[[#This Row],[Giá trị nguyên giá]]/144</f>
        <v>1917708.3333333333</v>
      </c>
      <c r="AO10" s="130">
        <f>CAPEX_202512[[#This Row],[Giá trị nguyên giá]]/144</f>
        <v>1917708.3333333333</v>
      </c>
      <c r="AP10" s="130">
        <f>CAPEX_202512[[#This Row],[Giá trị nguyên giá]]/144</f>
        <v>1917708.3333333333</v>
      </c>
      <c r="AQ10" s="130">
        <f>CAPEX_202512[[#This Row],[Giá trị nguyên giá]]/144</f>
        <v>1917708.3333333333</v>
      </c>
      <c r="AR10" s="130">
        <f t="shared" si="4"/>
        <v>17259375</v>
      </c>
      <c r="AS10" s="130"/>
    </row>
    <row r="11" spans="1:55" ht="25" outlineLevel="3" x14ac:dyDescent="0.25">
      <c r="A11" s="152"/>
      <c r="B11" s="152"/>
      <c r="C11" s="152"/>
      <c r="D11" s="311"/>
      <c r="E11" s="311"/>
      <c r="F11" s="152"/>
      <c r="G11" s="312"/>
      <c r="H11" s="152" t="s">
        <v>320</v>
      </c>
      <c r="I11" s="321" t="s">
        <v>324</v>
      </c>
      <c r="J11" s="152"/>
      <c r="K11" s="152"/>
      <c r="L11" s="152"/>
      <c r="M11" s="152"/>
      <c r="N11" s="313">
        <v>46023</v>
      </c>
      <c r="O11" s="152">
        <v>120</v>
      </c>
      <c r="P11" s="314" t="s">
        <v>317</v>
      </c>
      <c r="Q11" s="314"/>
      <c r="R11" s="314"/>
      <c r="S11" s="314"/>
      <c r="T11" s="322" t="s">
        <v>326</v>
      </c>
      <c r="U11" s="316"/>
      <c r="V11" s="316"/>
      <c r="W11" s="326">
        <v>45962</v>
      </c>
      <c r="X11" s="303" t="s">
        <v>348</v>
      </c>
      <c r="Y11" s="304"/>
      <c r="Z11" s="247">
        <v>6274001903</v>
      </c>
      <c r="AA11" s="326" t="s">
        <v>312</v>
      </c>
      <c r="AB11" s="326" t="s">
        <v>316</v>
      </c>
      <c r="AC11" s="245">
        <v>101255000</v>
      </c>
      <c r="AD11" s="245">
        <f t="shared" si="0"/>
        <v>0</v>
      </c>
      <c r="AE11" s="245">
        <f>CAPEX_202512[[#This Row],[Giá trị nguyên giá]]</f>
        <v>101255000</v>
      </c>
      <c r="AF11" s="130"/>
      <c r="AG11" s="130"/>
      <c r="AH11" s="130"/>
      <c r="AI11" s="130">
        <f>CAPEX_202512[[#This Row],[Giá trị nguyên giá]]/144</f>
        <v>703159.72222222225</v>
      </c>
      <c r="AJ11" s="130">
        <f>CAPEX_202512[[#This Row],[Giá trị nguyên giá]]/144</f>
        <v>703159.72222222225</v>
      </c>
      <c r="AK11" s="130">
        <f>CAPEX_202512[[#This Row],[Giá trị nguyên giá]]/144</f>
        <v>703159.72222222225</v>
      </c>
      <c r="AL11" s="130">
        <f>CAPEX_202512[[#This Row],[Giá trị nguyên giá]]/144</f>
        <v>703159.72222222225</v>
      </c>
      <c r="AM11" s="130">
        <f>CAPEX_202512[[#This Row],[Giá trị nguyên giá]]/144</f>
        <v>703159.72222222225</v>
      </c>
      <c r="AN11" s="130">
        <f>CAPEX_202512[[#This Row],[Giá trị nguyên giá]]/144</f>
        <v>703159.72222222225</v>
      </c>
      <c r="AO11" s="130">
        <f>CAPEX_202512[[#This Row],[Giá trị nguyên giá]]/144</f>
        <v>703159.72222222225</v>
      </c>
      <c r="AP11" s="130">
        <f>CAPEX_202512[[#This Row],[Giá trị nguyên giá]]/144</f>
        <v>703159.72222222225</v>
      </c>
      <c r="AQ11" s="130">
        <f>CAPEX_202512[[#This Row],[Giá trị nguyên giá]]/144</f>
        <v>703159.72222222225</v>
      </c>
      <c r="AR11" s="130">
        <f t="shared" si="4"/>
        <v>6328437.4999999991</v>
      </c>
      <c r="AS11" s="130"/>
    </row>
    <row r="12" spans="1:55" outlineLevel="3" x14ac:dyDescent="0.25">
      <c r="A12" s="152"/>
      <c r="B12" s="152"/>
      <c r="C12" s="152"/>
      <c r="D12" s="311"/>
      <c r="E12" s="311"/>
      <c r="F12" s="152"/>
      <c r="G12" s="312"/>
      <c r="H12" s="152" t="s">
        <v>327</v>
      </c>
      <c r="I12" s="321" t="s">
        <v>328</v>
      </c>
      <c r="J12" s="152"/>
      <c r="K12" s="152"/>
      <c r="L12" s="152"/>
      <c r="M12" s="152"/>
      <c r="N12" s="313">
        <v>46023</v>
      </c>
      <c r="O12" s="152">
        <v>120</v>
      </c>
      <c r="P12" s="314" t="s">
        <v>317</v>
      </c>
      <c r="Q12" s="314"/>
      <c r="R12" s="314"/>
      <c r="S12" s="314"/>
      <c r="T12" s="322" t="s">
        <v>329</v>
      </c>
      <c r="U12" s="316"/>
      <c r="V12" s="316"/>
      <c r="W12" s="326">
        <v>45962</v>
      </c>
      <c r="X12" s="303" t="s">
        <v>349</v>
      </c>
      <c r="Y12" s="304"/>
      <c r="Z12" s="247">
        <v>6274001903</v>
      </c>
      <c r="AA12" s="326" t="s">
        <v>312</v>
      </c>
      <c r="AB12" s="326" t="s">
        <v>316</v>
      </c>
      <c r="AC12" s="245">
        <v>931989999</v>
      </c>
      <c r="AD12" s="245">
        <f t="shared" si="0"/>
        <v>0</v>
      </c>
      <c r="AE12" s="245">
        <f>CAPEX_202512[[#This Row],[Giá trị nguyên giá]]</f>
        <v>931989999</v>
      </c>
      <c r="AF12" s="130"/>
      <c r="AG12" s="130"/>
      <c r="AH12" s="130"/>
      <c r="AI12" s="130">
        <f>CAPEX_202512[[#This Row],[Giá trị nguyên giá]]/144</f>
        <v>6472152.770833333</v>
      </c>
      <c r="AJ12" s="130">
        <f>CAPEX_202512[[#This Row],[Giá trị nguyên giá]]/144</f>
        <v>6472152.770833333</v>
      </c>
      <c r="AK12" s="130">
        <f>CAPEX_202512[[#This Row],[Giá trị nguyên giá]]/144</f>
        <v>6472152.770833333</v>
      </c>
      <c r="AL12" s="130">
        <f>CAPEX_202512[[#This Row],[Giá trị nguyên giá]]/144</f>
        <v>6472152.770833333</v>
      </c>
      <c r="AM12" s="130">
        <f>CAPEX_202512[[#This Row],[Giá trị nguyên giá]]/144</f>
        <v>6472152.770833333</v>
      </c>
      <c r="AN12" s="130">
        <f>CAPEX_202512[[#This Row],[Giá trị nguyên giá]]/144</f>
        <v>6472152.770833333</v>
      </c>
      <c r="AO12" s="130">
        <f>CAPEX_202512[[#This Row],[Giá trị nguyên giá]]/144</f>
        <v>6472152.770833333</v>
      </c>
      <c r="AP12" s="130">
        <f>CAPEX_202512[[#This Row],[Giá trị nguyên giá]]/144</f>
        <v>6472152.770833333</v>
      </c>
      <c r="AQ12" s="130">
        <f>CAPEX_202512[[#This Row],[Giá trị nguyên giá]]/144</f>
        <v>6472152.770833333</v>
      </c>
      <c r="AR12" s="130">
        <f t="shared" si="4"/>
        <v>58249374.937500007</v>
      </c>
      <c r="AS12" s="130"/>
    </row>
    <row r="13" spans="1:55" outlineLevel="3" x14ac:dyDescent="0.25">
      <c r="A13" s="152"/>
      <c r="B13" s="152"/>
      <c r="C13" s="152"/>
      <c r="D13" s="311"/>
      <c r="E13" s="311"/>
      <c r="F13" s="152"/>
      <c r="G13" s="312"/>
      <c r="H13" s="152" t="s">
        <v>327</v>
      </c>
      <c r="I13" s="321" t="s">
        <v>330</v>
      </c>
      <c r="J13" s="152"/>
      <c r="K13" s="152"/>
      <c r="L13" s="152"/>
      <c r="M13" s="152"/>
      <c r="N13" s="313">
        <v>46023</v>
      </c>
      <c r="O13" s="152">
        <v>120</v>
      </c>
      <c r="P13" s="314" t="s">
        <v>317</v>
      </c>
      <c r="Q13" s="314"/>
      <c r="R13" s="314"/>
      <c r="S13" s="314"/>
      <c r="T13" s="322" t="s">
        <v>330</v>
      </c>
      <c r="U13" s="316"/>
      <c r="V13" s="316"/>
      <c r="W13" s="326">
        <v>45962</v>
      </c>
      <c r="X13" s="303" t="s">
        <v>318</v>
      </c>
      <c r="Y13" s="304"/>
      <c r="Z13" s="247">
        <v>6274001903</v>
      </c>
      <c r="AA13" s="326" t="s">
        <v>312</v>
      </c>
      <c r="AB13" s="326"/>
      <c r="AC13" s="245">
        <v>411189335</v>
      </c>
      <c r="AD13" s="245">
        <f t="shared" si="0"/>
        <v>0</v>
      </c>
      <c r="AE13" s="245">
        <f>CAPEX_202512[[#This Row],[Giá trị nguyên giá]]</f>
        <v>411189335</v>
      </c>
      <c r="AF13" s="130"/>
      <c r="AG13" s="130"/>
      <c r="AH13" s="130"/>
      <c r="AI13" s="130">
        <f>CAPEX_202512[[#This Row],[Giá trị nguyên giá]]/144</f>
        <v>2855481.4930555555</v>
      </c>
      <c r="AJ13" s="130">
        <f>CAPEX_202512[[#This Row],[Giá trị nguyên giá]]/144</f>
        <v>2855481.4930555555</v>
      </c>
      <c r="AK13" s="130">
        <f>CAPEX_202512[[#This Row],[Giá trị nguyên giá]]/144</f>
        <v>2855481.4930555555</v>
      </c>
      <c r="AL13" s="130">
        <f>CAPEX_202512[[#This Row],[Giá trị nguyên giá]]/144</f>
        <v>2855481.4930555555</v>
      </c>
      <c r="AM13" s="130">
        <f>CAPEX_202512[[#This Row],[Giá trị nguyên giá]]/144</f>
        <v>2855481.4930555555</v>
      </c>
      <c r="AN13" s="130">
        <f>CAPEX_202512[[#This Row],[Giá trị nguyên giá]]/144</f>
        <v>2855481.4930555555</v>
      </c>
      <c r="AO13" s="130">
        <f>CAPEX_202512[[#This Row],[Giá trị nguyên giá]]/144</f>
        <v>2855481.4930555555</v>
      </c>
      <c r="AP13" s="130">
        <f>CAPEX_202512[[#This Row],[Giá trị nguyên giá]]/144</f>
        <v>2855481.4930555555</v>
      </c>
      <c r="AQ13" s="130">
        <f>CAPEX_202512[[#This Row],[Giá trị nguyên giá]]/144</f>
        <v>2855481.4930555555</v>
      </c>
      <c r="AR13" s="130">
        <f t="shared" si="4"/>
        <v>25699333.4375</v>
      </c>
      <c r="AS13" s="130"/>
    </row>
    <row r="14" spans="1:55" ht="25" outlineLevel="3" x14ac:dyDescent="0.25">
      <c r="A14" s="152"/>
      <c r="B14" s="152"/>
      <c r="C14" s="152"/>
      <c r="D14" s="311"/>
      <c r="E14" s="311"/>
      <c r="F14" s="152"/>
      <c r="G14" s="312"/>
      <c r="H14" s="152" t="s">
        <v>327</v>
      </c>
      <c r="I14" s="321" t="s">
        <v>331</v>
      </c>
      <c r="J14" s="152"/>
      <c r="K14" s="152"/>
      <c r="L14" s="152"/>
      <c r="M14" s="152"/>
      <c r="N14" s="313">
        <v>46023</v>
      </c>
      <c r="O14" s="152">
        <v>120</v>
      </c>
      <c r="P14" s="314" t="s">
        <v>317</v>
      </c>
      <c r="Q14" s="314"/>
      <c r="R14" s="314"/>
      <c r="S14" s="314"/>
      <c r="T14" s="322" t="s">
        <v>331</v>
      </c>
      <c r="U14" s="316"/>
      <c r="V14" s="316"/>
      <c r="W14" s="326">
        <v>45962</v>
      </c>
      <c r="X14" s="303" t="s">
        <v>332</v>
      </c>
      <c r="Y14" s="304"/>
      <c r="Z14" s="247">
        <v>6274001903</v>
      </c>
      <c r="AA14" s="326" t="s">
        <v>312</v>
      </c>
      <c r="AB14" s="326"/>
      <c r="AC14" s="245">
        <v>379743553</v>
      </c>
      <c r="AD14" s="245">
        <f t="shared" si="0"/>
        <v>0</v>
      </c>
      <c r="AE14" s="245">
        <f>CAPEX_202512[[#This Row],[Giá trị nguyên giá]]</f>
        <v>379743553</v>
      </c>
      <c r="AF14" s="130"/>
      <c r="AG14" s="130"/>
      <c r="AH14" s="130"/>
      <c r="AI14" s="130">
        <f>CAPEX_202512[[#This Row],[Giá trị nguyên giá]]/144</f>
        <v>2637108.0069444445</v>
      </c>
      <c r="AJ14" s="130">
        <f>CAPEX_202512[[#This Row],[Giá trị nguyên giá]]/144</f>
        <v>2637108.0069444445</v>
      </c>
      <c r="AK14" s="130">
        <f>CAPEX_202512[[#This Row],[Giá trị nguyên giá]]/144</f>
        <v>2637108.0069444445</v>
      </c>
      <c r="AL14" s="130">
        <f>CAPEX_202512[[#This Row],[Giá trị nguyên giá]]/144</f>
        <v>2637108.0069444445</v>
      </c>
      <c r="AM14" s="130">
        <f>CAPEX_202512[[#This Row],[Giá trị nguyên giá]]/144</f>
        <v>2637108.0069444445</v>
      </c>
      <c r="AN14" s="130">
        <f>CAPEX_202512[[#This Row],[Giá trị nguyên giá]]/144</f>
        <v>2637108.0069444445</v>
      </c>
      <c r="AO14" s="130">
        <f>CAPEX_202512[[#This Row],[Giá trị nguyên giá]]/144</f>
        <v>2637108.0069444445</v>
      </c>
      <c r="AP14" s="130">
        <f>CAPEX_202512[[#This Row],[Giá trị nguyên giá]]/144</f>
        <v>2637108.0069444445</v>
      </c>
      <c r="AQ14" s="130">
        <f>CAPEX_202512[[#This Row],[Giá trị nguyên giá]]/144</f>
        <v>2637108.0069444445</v>
      </c>
      <c r="AR14" s="130">
        <f t="shared" si="4"/>
        <v>23733972.0625</v>
      </c>
      <c r="AS14" s="130"/>
    </row>
    <row r="15" spans="1:55" outlineLevel="3" x14ac:dyDescent="0.25">
      <c r="A15" s="152"/>
      <c r="B15" s="152"/>
      <c r="C15" s="152"/>
      <c r="D15" s="311"/>
      <c r="E15" s="311"/>
      <c r="F15" s="152"/>
      <c r="G15" s="312"/>
      <c r="H15" s="152" t="s">
        <v>327</v>
      </c>
      <c r="I15" s="321" t="s">
        <v>333</v>
      </c>
      <c r="J15" s="152"/>
      <c r="K15" s="152"/>
      <c r="L15" s="152"/>
      <c r="M15" s="152"/>
      <c r="N15" s="313">
        <v>46023</v>
      </c>
      <c r="O15" s="152">
        <v>120</v>
      </c>
      <c r="P15" s="314" t="s">
        <v>317</v>
      </c>
      <c r="Q15" s="314"/>
      <c r="R15" s="314"/>
      <c r="S15" s="314"/>
      <c r="T15" s="322" t="s">
        <v>333</v>
      </c>
      <c r="U15" s="316"/>
      <c r="V15" s="316"/>
      <c r="W15" s="326">
        <v>45962</v>
      </c>
      <c r="X15" s="303" t="s">
        <v>350</v>
      </c>
      <c r="Y15" s="304"/>
      <c r="Z15" s="247">
        <v>6274001903</v>
      </c>
      <c r="AA15" s="326" t="s">
        <v>312</v>
      </c>
      <c r="AB15" s="326"/>
      <c r="AC15" s="245">
        <v>172119328</v>
      </c>
      <c r="AD15" s="245">
        <f t="shared" si="0"/>
        <v>0</v>
      </c>
      <c r="AE15" s="245">
        <f>CAPEX_202512[[#This Row],[Giá trị nguyên giá]]</f>
        <v>172119328</v>
      </c>
      <c r="AF15" s="130"/>
      <c r="AG15" s="130"/>
      <c r="AH15" s="130"/>
      <c r="AI15" s="130">
        <f>CAPEX_202512[[#This Row],[Giá trị nguyên giá]]/144</f>
        <v>1195273.111111111</v>
      </c>
      <c r="AJ15" s="130">
        <f>CAPEX_202512[[#This Row],[Giá trị nguyên giá]]/144</f>
        <v>1195273.111111111</v>
      </c>
      <c r="AK15" s="130">
        <f>CAPEX_202512[[#This Row],[Giá trị nguyên giá]]/144</f>
        <v>1195273.111111111</v>
      </c>
      <c r="AL15" s="130">
        <f>CAPEX_202512[[#This Row],[Giá trị nguyên giá]]/144</f>
        <v>1195273.111111111</v>
      </c>
      <c r="AM15" s="130">
        <f>CAPEX_202512[[#This Row],[Giá trị nguyên giá]]/144</f>
        <v>1195273.111111111</v>
      </c>
      <c r="AN15" s="130">
        <f>CAPEX_202512[[#This Row],[Giá trị nguyên giá]]/144</f>
        <v>1195273.111111111</v>
      </c>
      <c r="AO15" s="130">
        <f>CAPEX_202512[[#This Row],[Giá trị nguyên giá]]/144</f>
        <v>1195273.111111111</v>
      </c>
      <c r="AP15" s="130">
        <f>CAPEX_202512[[#This Row],[Giá trị nguyên giá]]/144</f>
        <v>1195273.111111111</v>
      </c>
      <c r="AQ15" s="130">
        <f>CAPEX_202512[[#This Row],[Giá trị nguyên giá]]/144</f>
        <v>1195273.111111111</v>
      </c>
      <c r="AR15" s="130">
        <f t="shared" si="4"/>
        <v>10757458</v>
      </c>
      <c r="AS15" s="130"/>
    </row>
    <row r="16" spans="1:55" outlineLevel="3" x14ac:dyDescent="0.25">
      <c r="A16" s="152"/>
      <c r="B16" s="152"/>
      <c r="C16" s="152"/>
      <c r="D16" s="311"/>
      <c r="E16" s="311"/>
      <c r="F16" s="152"/>
      <c r="G16" s="312"/>
      <c r="H16" s="152" t="s">
        <v>327</v>
      </c>
      <c r="I16" s="321"/>
      <c r="J16" s="152"/>
      <c r="K16" s="152"/>
      <c r="L16" s="152"/>
      <c r="M16" s="152"/>
      <c r="N16" s="313">
        <v>46023</v>
      </c>
      <c r="O16" s="152">
        <v>120</v>
      </c>
      <c r="P16" s="314" t="s">
        <v>317</v>
      </c>
      <c r="Q16" s="314"/>
      <c r="R16" s="314"/>
      <c r="S16" s="314"/>
      <c r="T16" s="322"/>
      <c r="U16" s="316"/>
      <c r="V16" s="316"/>
      <c r="W16" s="326">
        <v>45962</v>
      </c>
      <c r="X16" s="303" t="s">
        <v>351</v>
      </c>
      <c r="Y16" s="304"/>
      <c r="Z16" s="247">
        <v>6274001903</v>
      </c>
      <c r="AA16" s="326" t="s">
        <v>312</v>
      </c>
      <c r="AB16" s="326"/>
      <c r="AC16" s="245">
        <v>114000000</v>
      </c>
      <c r="AD16" s="245">
        <f t="shared" si="0"/>
        <v>0</v>
      </c>
      <c r="AE16" s="245">
        <f>CAPEX_202512[[#This Row],[Giá trị nguyên giá]]</f>
        <v>114000000</v>
      </c>
      <c r="AF16" s="130"/>
      <c r="AG16" s="130"/>
      <c r="AH16" s="130"/>
      <c r="AI16" s="130">
        <f>CAPEX_202512[[#This Row],[Giá trị nguyên giá]]/144</f>
        <v>791666.66666666663</v>
      </c>
      <c r="AJ16" s="130">
        <f>CAPEX_202512[[#This Row],[Giá trị nguyên giá]]/144</f>
        <v>791666.66666666663</v>
      </c>
      <c r="AK16" s="130">
        <f>CAPEX_202512[[#This Row],[Giá trị nguyên giá]]/144</f>
        <v>791666.66666666663</v>
      </c>
      <c r="AL16" s="130">
        <f>CAPEX_202512[[#This Row],[Giá trị nguyên giá]]/144</f>
        <v>791666.66666666663</v>
      </c>
      <c r="AM16" s="130">
        <f>CAPEX_202512[[#This Row],[Giá trị nguyên giá]]/144</f>
        <v>791666.66666666663</v>
      </c>
      <c r="AN16" s="130">
        <f>CAPEX_202512[[#This Row],[Giá trị nguyên giá]]/144</f>
        <v>791666.66666666663</v>
      </c>
      <c r="AO16" s="130">
        <f>CAPEX_202512[[#This Row],[Giá trị nguyên giá]]/144</f>
        <v>791666.66666666663</v>
      </c>
      <c r="AP16" s="130">
        <f>CAPEX_202512[[#This Row],[Giá trị nguyên giá]]/144</f>
        <v>791666.66666666663</v>
      </c>
      <c r="AQ16" s="130">
        <f>CAPEX_202512[[#This Row],[Giá trị nguyên giá]]/144</f>
        <v>791666.66666666663</v>
      </c>
      <c r="AR16" s="130">
        <f t="shared" si="4"/>
        <v>7125000.0000000009</v>
      </c>
      <c r="AS16" s="130"/>
    </row>
    <row r="17" spans="1:45" outlineLevel="3" x14ac:dyDescent="0.25">
      <c r="A17" s="152"/>
      <c r="B17" s="152"/>
      <c r="C17" s="152"/>
      <c r="D17" s="311"/>
      <c r="E17" s="311"/>
      <c r="F17" s="152"/>
      <c r="G17" s="312"/>
      <c r="H17" s="152" t="s">
        <v>327</v>
      </c>
      <c r="I17" s="321"/>
      <c r="J17" s="152"/>
      <c r="K17" s="152"/>
      <c r="L17" s="152"/>
      <c r="M17" s="152"/>
      <c r="N17" s="313">
        <v>46023</v>
      </c>
      <c r="O17" s="152">
        <v>120</v>
      </c>
      <c r="P17" s="314" t="s">
        <v>317</v>
      </c>
      <c r="Q17" s="314"/>
      <c r="R17" s="314"/>
      <c r="S17" s="314"/>
      <c r="T17" s="322"/>
      <c r="U17" s="316"/>
      <c r="V17" s="316"/>
      <c r="W17" s="326">
        <v>45962</v>
      </c>
      <c r="X17" s="303" t="s">
        <v>352</v>
      </c>
      <c r="Y17" s="304"/>
      <c r="Z17" s="247">
        <v>6274001903</v>
      </c>
      <c r="AA17" s="326" t="s">
        <v>312</v>
      </c>
      <c r="AB17" s="326"/>
      <c r="AC17" s="245">
        <v>43650000</v>
      </c>
      <c r="AD17" s="245">
        <f t="shared" si="0"/>
        <v>0</v>
      </c>
      <c r="AE17" s="245">
        <f>CAPEX_202512[[#This Row],[Giá trị nguyên giá]]</f>
        <v>43650000</v>
      </c>
      <c r="AF17" s="130"/>
      <c r="AG17" s="130"/>
      <c r="AH17" s="130"/>
      <c r="AI17" s="130">
        <f>CAPEX_202512[[#This Row],[Giá trị nguyên giá]]/144</f>
        <v>303125</v>
      </c>
      <c r="AJ17" s="130">
        <f>CAPEX_202512[[#This Row],[Giá trị nguyên giá]]/144</f>
        <v>303125</v>
      </c>
      <c r="AK17" s="130">
        <f>CAPEX_202512[[#This Row],[Giá trị nguyên giá]]/144</f>
        <v>303125</v>
      </c>
      <c r="AL17" s="130">
        <f>CAPEX_202512[[#This Row],[Giá trị nguyên giá]]/144</f>
        <v>303125</v>
      </c>
      <c r="AM17" s="130">
        <f>CAPEX_202512[[#This Row],[Giá trị nguyên giá]]/144</f>
        <v>303125</v>
      </c>
      <c r="AN17" s="130">
        <f>CAPEX_202512[[#This Row],[Giá trị nguyên giá]]/144</f>
        <v>303125</v>
      </c>
      <c r="AO17" s="130">
        <f>CAPEX_202512[[#This Row],[Giá trị nguyên giá]]/144</f>
        <v>303125</v>
      </c>
      <c r="AP17" s="130">
        <f>CAPEX_202512[[#This Row],[Giá trị nguyên giá]]/144</f>
        <v>303125</v>
      </c>
      <c r="AQ17" s="130">
        <f>CAPEX_202512[[#This Row],[Giá trị nguyên giá]]/144</f>
        <v>303125</v>
      </c>
      <c r="AR17" s="130">
        <f t="shared" si="4"/>
        <v>2728125</v>
      </c>
      <c r="AS17" s="130"/>
    </row>
    <row r="18" spans="1:45" outlineLevel="3" x14ac:dyDescent="0.25">
      <c r="A18" s="152"/>
      <c r="B18" s="152"/>
      <c r="C18" s="152"/>
      <c r="D18" s="311"/>
      <c r="E18" s="311"/>
      <c r="F18" s="152"/>
      <c r="G18" s="312"/>
      <c r="H18" s="152" t="s">
        <v>327</v>
      </c>
      <c r="I18" s="321"/>
      <c r="J18" s="152"/>
      <c r="K18" s="152"/>
      <c r="L18" s="152"/>
      <c r="M18" s="152"/>
      <c r="N18" s="313">
        <v>46023</v>
      </c>
      <c r="O18" s="152">
        <v>120</v>
      </c>
      <c r="P18" s="314" t="s">
        <v>317</v>
      </c>
      <c r="Q18" s="314"/>
      <c r="R18" s="314"/>
      <c r="S18" s="314"/>
      <c r="T18" s="322"/>
      <c r="U18" s="316"/>
      <c r="V18" s="316"/>
      <c r="W18" s="326">
        <v>45962</v>
      </c>
      <c r="X18" s="303" t="s">
        <v>353</v>
      </c>
      <c r="Y18" s="304"/>
      <c r="Z18" s="247">
        <v>6274001903</v>
      </c>
      <c r="AA18" s="326" t="s">
        <v>312</v>
      </c>
      <c r="AB18" s="326"/>
      <c r="AC18" s="245">
        <v>23670000</v>
      </c>
      <c r="AD18" s="245">
        <f t="shared" si="0"/>
        <v>0</v>
      </c>
      <c r="AE18" s="245">
        <f>CAPEX_202512[[#This Row],[Giá trị nguyên giá]]</f>
        <v>23670000</v>
      </c>
      <c r="AF18" s="130"/>
      <c r="AG18" s="130"/>
      <c r="AH18" s="130"/>
      <c r="AI18" s="130">
        <f>CAPEX_202512[[#This Row],[Giá trị nguyên giá]]/144</f>
        <v>164375</v>
      </c>
      <c r="AJ18" s="130">
        <f>CAPEX_202512[[#This Row],[Giá trị nguyên giá]]/144</f>
        <v>164375</v>
      </c>
      <c r="AK18" s="130">
        <f>CAPEX_202512[[#This Row],[Giá trị nguyên giá]]/144</f>
        <v>164375</v>
      </c>
      <c r="AL18" s="130">
        <f>CAPEX_202512[[#This Row],[Giá trị nguyên giá]]/144</f>
        <v>164375</v>
      </c>
      <c r="AM18" s="130">
        <f>CAPEX_202512[[#This Row],[Giá trị nguyên giá]]/144</f>
        <v>164375</v>
      </c>
      <c r="AN18" s="130">
        <f>CAPEX_202512[[#This Row],[Giá trị nguyên giá]]/144</f>
        <v>164375</v>
      </c>
      <c r="AO18" s="130">
        <f>CAPEX_202512[[#This Row],[Giá trị nguyên giá]]/144</f>
        <v>164375</v>
      </c>
      <c r="AP18" s="130">
        <f>CAPEX_202512[[#This Row],[Giá trị nguyên giá]]/144</f>
        <v>164375</v>
      </c>
      <c r="AQ18" s="130">
        <f>CAPEX_202512[[#This Row],[Giá trị nguyên giá]]/144</f>
        <v>164375</v>
      </c>
      <c r="AR18" s="130">
        <f t="shared" si="4"/>
        <v>1479375</v>
      </c>
      <c r="AS18" s="130"/>
    </row>
    <row r="19" spans="1:45" outlineLevel="3" x14ac:dyDescent="0.25">
      <c r="A19" s="152"/>
      <c r="B19" s="152"/>
      <c r="C19" s="152"/>
      <c r="D19" s="311"/>
      <c r="E19" s="311"/>
      <c r="F19" s="152"/>
      <c r="G19" s="312"/>
      <c r="H19" s="152"/>
      <c r="I19" s="312"/>
      <c r="J19" s="152"/>
      <c r="K19" s="152"/>
      <c r="L19" s="152"/>
      <c r="M19" s="152"/>
      <c r="N19" s="313"/>
      <c r="O19" s="370"/>
      <c r="P19" s="314"/>
      <c r="Q19" s="314"/>
      <c r="R19" s="314"/>
      <c r="S19" s="314"/>
      <c r="T19" s="315"/>
      <c r="U19" s="316"/>
      <c r="V19" s="316"/>
      <c r="W19" s="371"/>
      <c r="X19" s="372" t="s">
        <v>400</v>
      </c>
      <c r="Y19" s="304"/>
      <c r="Z19" s="373"/>
      <c r="AA19" s="371"/>
      <c r="AB19" s="371"/>
      <c r="AC19" s="245">
        <f>(8500+2000)*26500+8000000+7000000+5000000</f>
        <v>298250000</v>
      </c>
      <c r="AD19" s="245">
        <f>AC19-AE19</f>
        <v>0</v>
      </c>
      <c r="AE19" s="245">
        <f>CAPEX_202512[[#This Row],[Giá trị nguyên giá]]</f>
        <v>298250000</v>
      </c>
      <c r="AF19" s="130"/>
      <c r="AG19" s="130"/>
      <c r="AH19" s="130"/>
      <c r="AI19" s="130">
        <f>CAPEX_202512[[#This Row],[Giá trị nguyên giá]]/144</f>
        <v>2071180.5555555555</v>
      </c>
      <c r="AJ19" s="130">
        <f>CAPEX_202512[[#This Row],[Giá trị nguyên giá]]/144</f>
        <v>2071180.5555555555</v>
      </c>
      <c r="AK19" s="130">
        <f>CAPEX_202512[[#This Row],[Giá trị nguyên giá]]/144</f>
        <v>2071180.5555555555</v>
      </c>
      <c r="AL19" s="130">
        <f>CAPEX_202512[[#This Row],[Giá trị nguyên giá]]/144</f>
        <v>2071180.5555555555</v>
      </c>
      <c r="AM19" s="130">
        <f>CAPEX_202512[[#This Row],[Giá trị nguyên giá]]/144</f>
        <v>2071180.5555555555</v>
      </c>
      <c r="AN19" s="130">
        <f>CAPEX_202512[[#This Row],[Giá trị nguyên giá]]/144</f>
        <v>2071180.5555555555</v>
      </c>
      <c r="AO19" s="130">
        <f>CAPEX_202512[[#This Row],[Giá trị nguyên giá]]/144</f>
        <v>2071180.5555555555</v>
      </c>
      <c r="AP19" s="130">
        <f>CAPEX_202512[[#This Row],[Giá trị nguyên giá]]/144</f>
        <v>2071180.5555555555</v>
      </c>
      <c r="AQ19" s="130">
        <f>CAPEX_202512[[#This Row],[Giá trị nguyên giá]]/144</f>
        <v>2071180.5555555555</v>
      </c>
      <c r="AR19" s="130">
        <f>SUM(AF19:AQ19)</f>
        <v>18640625</v>
      </c>
      <c r="AS19" s="130"/>
    </row>
    <row r="20" spans="1:45" outlineLevel="3" x14ac:dyDescent="0.25">
      <c r="A20" s="152"/>
      <c r="B20" s="152"/>
      <c r="C20" s="152"/>
      <c r="D20" s="311"/>
      <c r="E20" s="311"/>
      <c r="F20" s="152"/>
      <c r="G20" s="312"/>
      <c r="H20" s="152"/>
      <c r="I20" s="312"/>
      <c r="J20" s="152"/>
      <c r="K20" s="152"/>
      <c r="L20" s="152"/>
      <c r="M20" s="152"/>
      <c r="N20" s="313"/>
      <c r="O20" s="370"/>
      <c r="P20" s="314"/>
      <c r="Q20" s="314"/>
      <c r="R20" s="314"/>
      <c r="S20" s="314"/>
      <c r="T20" s="315"/>
      <c r="U20" s="316"/>
      <c r="V20" s="316"/>
      <c r="W20" s="371"/>
      <c r="X20" s="372"/>
      <c r="Y20" s="304"/>
      <c r="Z20" s="373"/>
      <c r="AA20" s="371"/>
      <c r="AB20" s="371"/>
      <c r="AC20" s="246"/>
      <c r="AD20" s="239">
        <f>AC20-AE20</f>
        <v>0</v>
      </c>
      <c r="AE20" s="239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238">
        <f>SUM(AF20:AQ20)</f>
        <v>0</v>
      </c>
      <c r="AS20" s="130"/>
    </row>
    <row r="21" spans="1:45" outlineLevel="2" x14ac:dyDescent="0.25">
      <c r="A21" s="289"/>
      <c r="B21" s="289"/>
      <c r="C21" s="289"/>
      <c r="D21" s="290"/>
      <c r="E21" s="290"/>
      <c r="F21" s="289"/>
      <c r="G21" s="291"/>
      <c r="H21" s="289"/>
      <c r="I21" s="291"/>
      <c r="J21" s="289"/>
      <c r="K21" s="289"/>
      <c r="L21" s="289"/>
      <c r="M21" s="289"/>
      <c r="N21" s="331"/>
      <c r="O21" s="292"/>
      <c r="P21" s="293"/>
      <c r="Q21" s="293"/>
      <c r="R21" s="293"/>
      <c r="S21" s="293"/>
      <c r="T21" s="294"/>
      <c r="U21" s="295"/>
      <c r="V21" s="295"/>
      <c r="W21" s="325"/>
      <c r="X21" s="296"/>
      <c r="Y21" s="297"/>
      <c r="Z21" s="153"/>
      <c r="AA21" s="325"/>
      <c r="AB21" s="325"/>
      <c r="AC21" s="298"/>
      <c r="AD21" s="299">
        <f>AC21-AE21</f>
        <v>0</v>
      </c>
      <c r="AE21" s="299"/>
      <c r="AF21" s="295"/>
      <c r="AG21" s="295"/>
      <c r="AH21" s="295"/>
      <c r="AI21" s="295"/>
      <c r="AJ21" s="295"/>
      <c r="AK21" s="295"/>
      <c r="AL21" s="295"/>
      <c r="AM21" s="295"/>
      <c r="AN21" s="295"/>
      <c r="AO21" s="295"/>
      <c r="AP21" s="295"/>
      <c r="AQ21" s="295"/>
      <c r="AR21" s="305">
        <f>SUM(AF21:AQ21)</f>
        <v>0</v>
      </c>
      <c r="AS21" s="238"/>
    </row>
    <row r="22" spans="1:45" outlineLevel="1" x14ac:dyDescent="0.25">
      <c r="A22" s="155"/>
      <c r="B22" s="155"/>
      <c r="C22" s="155"/>
      <c r="D22" s="155"/>
      <c r="E22" s="155"/>
      <c r="F22" s="155"/>
      <c r="G22" s="155"/>
      <c r="H22" s="155"/>
      <c r="I22" s="302"/>
      <c r="J22" s="155"/>
      <c r="K22" s="155"/>
      <c r="L22" s="155"/>
      <c r="M22" s="155"/>
      <c r="N22" s="332"/>
      <c r="O22" s="155"/>
      <c r="P22" s="209"/>
      <c r="Q22" s="156"/>
      <c r="R22" s="156"/>
      <c r="S22" s="156"/>
      <c r="T22" s="209"/>
      <c r="U22" s="156"/>
      <c r="V22" s="156"/>
      <c r="W22" s="156"/>
      <c r="X22" s="240"/>
      <c r="Y22" s="157"/>
      <c r="Z22" s="158"/>
      <c r="AA22" s="159"/>
      <c r="AB22" s="159"/>
      <c r="AC22" s="131"/>
      <c r="AD22" s="131"/>
      <c r="AE22" s="131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300">
        <f t="shared" ref="AR22" si="5">SUM(AF22:AQ22)</f>
        <v>0</v>
      </c>
      <c r="AS22" s="131">
        <f t="shared" ref="AS22:AS29" si="6">AE22-AR22</f>
        <v>0</v>
      </c>
    </row>
    <row r="23" spans="1:45" ht="13" x14ac:dyDescent="0.3">
      <c r="A23" s="160"/>
      <c r="B23" s="160"/>
      <c r="C23" s="161" t="s">
        <v>335</v>
      </c>
      <c r="D23" s="160"/>
      <c r="E23" s="160"/>
      <c r="F23" s="160"/>
      <c r="G23" s="160"/>
      <c r="H23" s="160"/>
      <c r="I23" s="241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32"/>
      <c r="V23" s="160"/>
      <c r="W23" s="160"/>
      <c r="X23" s="241"/>
      <c r="Y23" s="176">
        <v>627</v>
      </c>
      <c r="Z23" s="162"/>
      <c r="AA23" s="160"/>
      <c r="AB23" s="160"/>
      <c r="AC23" s="242">
        <f>SUMIFS($AC$8:$AC$22,$Y$8:$Y$22,$Y23)</f>
        <v>6697017215</v>
      </c>
      <c r="AD23" s="242">
        <f>SUMIFS(AD$8:AD$22,$Y$8:$Y$22,$Y23)</f>
        <v>0</v>
      </c>
      <c r="AE23" s="242">
        <f>SUMIFS(AE$8:AE$22,$Y$8:$Y$22,$Y23)</f>
        <v>6697017215</v>
      </c>
      <c r="AF23" s="242">
        <f>AF8</f>
        <v>0</v>
      </c>
      <c r="AG23" s="242">
        <f t="shared" ref="AG23:AQ23" si="7">AG8</f>
        <v>0</v>
      </c>
      <c r="AH23" s="242">
        <f t="shared" si="7"/>
        <v>0</v>
      </c>
      <c r="AI23" s="242">
        <f t="shared" si="7"/>
        <v>46507063.993055552</v>
      </c>
      <c r="AJ23" s="242">
        <f t="shared" si="7"/>
        <v>46507063.993055552</v>
      </c>
      <c r="AK23" s="242">
        <f t="shared" si="7"/>
        <v>46507063.993055552</v>
      </c>
      <c r="AL23" s="242">
        <f t="shared" si="7"/>
        <v>46507063.993055552</v>
      </c>
      <c r="AM23" s="242">
        <f t="shared" si="7"/>
        <v>46507063.993055552</v>
      </c>
      <c r="AN23" s="242">
        <f t="shared" si="7"/>
        <v>46507063.993055552</v>
      </c>
      <c r="AO23" s="242">
        <f t="shared" si="7"/>
        <v>46507063.993055552</v>
      </c>
      <c r="AP23" s="242">
        <f t="shared" si="7"/>
        <v>46507063.993055552</v>
      </c>
      <c r="AQ23" s="242">
        <f t="shared" si="7"/>
        <v>46507063.993055552</v>
      </c>
      <c r="AR23" s="242">
        <f>SUMIFS(AR$8:AR$22,$Y$8:$Y$22,$Y23)</f>
        <v>418563575.9375</v>
      </c>
      <c r="AS23" s="180">
        <f t="shared" si="6"/>
        <v>6278453639.0625</v>
      </c>
    </row>
    <row r="24" spans="1:45" ht="13" x14ac:dyDescent="0.25">
      <c r="A24" s="160"/>
      <c r="B24" s="160"/>
      <c r="C24" s="301" t="s">
        <v>336</v>
      </c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32"/>
      <c r="V24" s="160"/>
      <c r="W24" s="160"/>
      <c r="X24" s="301" t="s">
        <v>336</v>
      </c>
      <c r="Y24" s="176"/>
      <c r="Z24" s="162"/>
      <c r="AA24" s="301" t="s">
        <v>336</v>
      </c>
      <c r="AB24" s="160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324"/>
    </row>
    <row r="25" spans="1:45" ht="13" x14ac:dyDescent="0.25">
      <c r="A25" s="160"/>
      <c r="B25" s="160"/>
      <c r="C25" s="301" t="s">
        <v>337</v>
      </c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32"/>
      <c r="V25" s="160"/>
      <c r="W25" s="160"/>
      <c r="X25" s="301" t="s">
        <v>337</v>
      </c>
      <c r="Y25" s="176"/>
      <c r="Z25" s="162"/>
      <c r="AA25" s="301" t="s">
        <v>337</v>
      </c>
      <c r="AB25" s="160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324"/>
    </row>
    <row r="26" spans="1:45" ht="13" x14ac:dyDescent="0.25">
      <c r="A26" s="160"/>
      <c r="B26" s="160"/>
      <c r="C26" s="301" t="s">
        <v>338</v>
      </c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32"/>
      <c r="V26" s="160"/>
      <c r="W26" s="160"/>
      <c r="X26" s="301" t="s">
        <v>338</v>
      </c>
      <c r="Y26" s="176"/>
      <c r="Z26" s="162"/>
      <c r="AA26" s="301" t="s">
        <v>338</v>
      </c>
      <c r="AB26" s="160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324"/>
    </row>
    <row r="27" spans="1:45" ht="13" x14ac:dyDescent="0.25">
      <c r="A27" s="160"/>
      <c r="B27" s="160"/>
      <c r="C27" s="301" t="s">
        <v>339</v>
      </c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32"/>
      <c r="V27" s="160"/>
      <c r="W27" s="160"/>
      <c r="X27" s="301" t="s">
        <v>339</v>
      </c>
      <c r="Y27" s="176"/>
      <c r="Z27" s="162"/>
      <c r="AA27" s="301" t="s">
        <v>339</v>
      </c>
      <c r="AB27" s="160"/>
      <c r="AC27" s="133">
        <f t="shared" ref="AC27:AR27" si="8">SUM(AC8)</f>
        <v>6697017215</v>
      </c>
      <c r="AD27" s="133">
        <f t="shared" si="8"/>
        <v>0</v>
      </c>
      <c r="AE27" s="133">
        <f t="shared" si="8"/>
        <v>6697017215</v>
      </c>
      <c r="AF27" s="133">
        <f t="shared" si="8"/>
        <v>0</v>
      </c>
      <c r="AG27" s="133">
        <f t="shared" si="8"/>
        <v>0</v>
      </c>
      <c r="AH27" s="133">
        <f t="shared" si="8"/>
        <v>0</v>
      </c>
      <c r="AI27" s="133">
        <f t="shared" si="8"/>
        <v>46507063.993055552</v>
      </c>
      <c r="AJ27" s="133">
        <f t="shared" si="8"/>
        <v>46507063.993055552</v>
      </c>
      <c r="AK27" s="133">
        <f t="shared" si="8"/>
        <v>46507063.993055552</v>
      </c>
      <c r="AL27" s="133">
        <f t="shared" si="8"/>
        <v>46507063.993055552</v>
      </c>
      <c r="AM27" s="133">
        <f t="shared" si="8"/>
        <v>46507063.993055552</v>
      </c>
      <c r="AN27" s="133">
        <f t="shared" si="8"/>
        <v>46507063.993055552</v>
      </c>
      <c r="AO27" s="133">
        <f t="shared" si="8"/>
        <v>46507063.993055552</v>
      </c>
      <c r="AP27" s="133">
        <f t="shared" si="8"/>
        <v>46507063.993055552</v>
      </c>
      <c r="AQ27" s="133">
        <f t="shared" si="8"/>
        <v>46507063.993055552</v>
      </c>
      <c r="AR27" s="133">
        <f t="shared" si="8"/>
        <v>418563575.9375</v>
      </c>
      <c r="AS27" s="324">
        <f t="shared" si="6"/>
        <v>6278453639.0625</v>
      </c>
    </row>
    <row r="28" spans="1:45" ht="13" x14ac:dyDescent="0.25">
      <c r="A28" s="160"/>
      <c r="B28" s="160"/>
      <c r="C28" s="301" t="s">
        <v>340</v>
      </c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32"/>
      <c r="V28" s="160"/>
      <c r="W28" s="160"/>
      <c r="X28" s="301" t="s">
        <v>340</v>
      </c>
      <c r="Y28" s="176"/>
      <c r="Z28" s="162"/>
      <c r="AA28" s="301" t="s">
        <v>340</v>
      </c>
      <c r="AB28" s="160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324">
        <f t="shared" si="6"/>
        <v>0</v>
      </c>
    </row>
    <row r="29" spans="1:45" ht="13" x14ac:dyDescent="0.3">
      <c r="A29" s="160"/>
      <c r="B29" s="160"/>
      <c r="C29" s="161" t="s">
        <v>341</v>
      </c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32"/>
      <c r="V29" s="160"/>
      <c r="W29" s="160"/>
      <c r="X29" s="241"/>
      <c r="Y29" s="176">
        <v>642</v>
      </c>
      <c r="Z29" s="162"/>
      <c r="AA29" s="160"/>
      <c r="AB29" s="160"/>
      <c r="AC29" s="133">
        <f>SUMIFS($AC$8:$AC$22,$Y$8:$Y$22,$Y29)</f>
        <v>0</v>
      </c>
      <c r="AD29" s="133">
        <f t="shared" ref="AD29:AR29" si="9">SUMIFS(AD$8:AD$22,$Y$8:$Y$22,$Y29)</f>
        <v>0</v>
      </c>
      <c r="AE29" s="133">
        <f t="shared" si="9"/>
        <v>0</v>
      </c>
      <c r="AF29" s="133">
        <f t="shared" si="9"/>
        <v>0</v>
      </c>
      <c r="AG29" s="133">
        <f t="shared" si="9"/>
        <v>0</v>
      </c>
      <c r="AH29" s="133">
        <f t="shared" si="9"/>
        <v>0</v>
      </c>
      <c r="AI29" s="133">
        <f t="shared" si="9"/>
        <v>0</v>
      </c>
      <c r="AJ29" s="133">
        <f t="shared" si="9"/>
        <v>0</v>
      </c>
      <c r="AK29" s="133">
        <f t="shared" si="9"/>
        <v>0</v>
      </c>
      <c r="AL29" s="133">
        <f t="shared" si="9"/>
        <v>0</v>
      </c>
      <c r="AM29" s="133">
        <f t="shared" si="9"/>
        <v>0</v>
      </c>
      <c r="AN29" s="133">
        <f t="shared" si="9"/>
        <v>0</v>
      </c>
      <c r="AO29" s="133">
        <f t="shared" si="9"/>
        <v>0</v>
      </c>
      <c r="AP29" s="133">
        <f t="shared" si="9"/>
        <v>0</v>
      </c>
      <c r="AQ29" s="133">
        <f t="shared" si="9"/>
        <v>0</v>
      </c>
      <c r="AR29" s="133">
        <f t="shared" si="9"/>
        <v>0</v>
      </c>
      <c r="AS29" s="324">
        <f t="shared" si="6"/>
        <v>0</v>
      </c>
    </row>
    <row r="30" spans="1:45" ht="13" x14ac:dyDescent="0.3">
      <c r="A30" s="160"/>
      <c r="B30" s="160"/>
      <c r="C30" s="161" t="s">
        <v>342</v>
      </c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32"/>
      <c r="V30" s="160"/>
      <c r="W30" s="160"/>
      <c r="X30" s="241"/>
      <c r="Y30" s="176"/>
      <c r="Z30" s="162"/>
      <c r="AA30" s="160"/>
      <c r="AB30" s="160"/>
      <c r="AC30" s="180">
        <f>AC23+AC29</f>
        <v>6697017215</v>
      </c>
      <c r="AD30" s="180">
        <f t="shared" ref="AD30:AS30" si="10">AD23+AD29</f>
        <v>0</v>
      </c>
      <c r="AE30" s="180">
        <f t="shared" si="10"/>
        <v>6697017215</v>
      </c>
      <c r="AF30" s="180">
        <f t="shared" si="10"/>
        <v>0</v>
      </c>
      <c r="AG30" s="180">
        <f t="shared" si="10"/>
        <v>0</v>
      </c>
      <c r="AH30" s="180">
        <f t="shared" si="10"/>
        <v>0</v>
      </c>
      <c r="AI30" s="180">
        <f t="shared" si="10"/>
        <v>46507063.993055552</v>
      </c>
      <c r="AJ30" s="180">
        <f t="shared" si="10"/>
        <v>46507063.993055552</v>
      </c>
      <c r="AK30" s="180">
        <f t="shared" si="10"/>
        <v>46507063.993055552</v>
      </c>
      <c r="AL30" s="180">
        <f t="shared" si="10"/>
        <v>46507063.993055552</v>
      </c>
      <c r="AM30" s="180">
        <f t="shared" si="10"/>
        <v>46507063.993055552</v>
      </c>
      <c r="AN30" s="180">
        <f t="shared" si="10"/>
        <v>46507063.993055552</v>
      </c>
      <c r="AO30" s="180">
        <f t="shared" si="10"/>
        <v>46507063.993055552</v>
      </c>
      <c r="AP30" s="180">
        <f t="shared" si="10"/>
        <v>46507063.993055552</v>
      </c>
      <c r="AQ30" s="180">
        <f t="shared" si="10"/>
        <v>46507063.993055552</v>
      </c>
      <c r="AR30" s="180">
        <f>AR23+AR29</f>
        <v>418563575.9375</v>
      </c>
      <c r="AS30" s="180">
        <f t="shared" si="10"/>
        <v>6278453639.0625</v>
      </c>
    </row>
    <row r="31" spans="1:45" x14ac:dyDescent="0.25">
      <c r="AF31" s="141"/>
      <c r="AI31" s="141">
        <f>'3.Thanh pham'!I10</f>
        <v>142416</v>
      </c>
      <c r="AJ31" s="141">
        <f>'3.Thanh pham'!J10</f>
        <v>142416</v>
      </c>
      <c r="AK31" s="141">
        <f>'3.Thanh pham'!K10</f>
        <v>142416</v>
      </c>
      <c r="AL31" s="141">
        <f>'3.Thanh pham'!L10</f>
        <v>142416</v>
      </c>
      <c r="AM31" s="141">
        <f>'3.Thanh pham'!M10</f>
        <v>142416</v>
      </c>
      <c r="AN31" s="141">
        <f>'3.Thanh pham'!N10</f>
        <v>142416</v>
      </c>
      <c r="AO31" s="141">
        <f>'3.Thanh pham'!O10</f>
        <v>142416</v>
      </c>
      <c r="AP31" s="141">
        <f>'3.Thanh pham'!P10</f>
        <v>142416</v>
      </c>
      <c r="AQ31" s="141">
        <f>'3.Thanh pham'!Q10</f>
        <v>142416</v>
      </c>
      <c r="AR31" s="141">
        <f>'3.Thanh pham'!R10</f>
        <v>1281744</v>
      </c>
      <c r="AS31" s="141">
        <f>'3.Thanh pham'!S10</f>
        <v>0</v>
      </c>
    </row>
    <row r="32" spans="1:45" x14ac:dyDescent="0.25">
      <c r="AF32" s="323"/>
      <c r="AG32" s="323"/>
      <c r="AH32" s="323"/>
      <c r="AI32" s="141">
        <f>AI30/AI31</f>
        <v>326.55785861880372</v>
      </c>
      <c r="AJ32" s="141">
        <f t="shared" ref="AJ32:AS32" si="11">AJ30/AJ31</f>
        <v>326.55785861880372</v>
      </c>
      <c r="AK32" s="141">
        <f t="shared" si="11"/>
        <v>326.55785861880372</v>
      </c>
      <c r="AL32" s="141">
        <f t="shared" si="11"/>
        <v>326.55785861880372</v>
      </c>
      <c r="AM32" s="141">
        <f t="shared" si="11"/>
        <v>326.55785861880372</v>
      </c>
      <c r="AN32" s="141">
        <f t="shared" si="11"/>
        <v>326.55785861880372</v>
      </c>
      <c r="AO32" s="141">
        <f t="shared" si="11"/>
        <v>326.55785861880372</v>
      </c>
      <c r="AP32" s="141">
        <f t="shared" si="11"/>
        <v>326.55785861880372</v>
      </c>
      <c r="AQ32" s="141">
        <f t="shared" si="11"/>
        <v>326.55785861880372</v>
      </c>
      <c r="AR32" s="141">
        <f t="shared" si="11"/>
        <v>326.55785861880378</v>
      </c>
      <c r="AS32" s="141" t="e">
        <f t="shared" si="11"/>
        <v>#DIV/0!</v>
      </c>
    </row>
    <row r="33" spans="32:44" x14ac:dyDescent="0.25"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</row>
    <row r="34" spans="32:44" x14ac:dyDescent="0.25"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</row>
  </sheetData>
  <conditionalFormatting sqref="D1">
    <cfRule type="duplicateValues" dxfId="5" priority="4"/>
  </conditionalFormatting>
  <conditionalFormatting sqref="D1:D3">
    <cfRule type="containsText" dxfId="4" priority="5" operator="containsText" text="xxx">
      <formula>NOT(ISERROR(SEARCH("xxx",D1)))</formula>
    </cfRule>
  </conditionalFormatting>
  <conditionalFormatting sqref="D2">
    <cfRule type="duplicateValues" dxfId="3" priority="6"/>
  </conditionalFormatting>
  <conditionalFormatting sqref="D3">
    <cfRule type="duplicateValues" dxfId="2" priority="3"/>
  </conditionalFormatting>
  <conditionalFormatting sqref="Z7">
    <cfRule type="containsText" dxfId="1" priority="2" operator="containsText" text="xxx">
      <formula>NOT(ISERROR(SEARCH("xxx",Z7)))</formula>
    </cfRule>
  </conditionalFormatting>
  <conditionalFormatting sqref="AA7">
    <cfRule type="containsText" dxfId="0" priority="1" operator="containsText" text="xxx">
      <formula>NOT(ISERROR(SEARCH("xxx",AA7)))</formula>
    </cfRule>
  </conditionalFormatting>
  <dataValidations count="1">
    <dataValidation type="list" allowBlank="1" showInputMessage="1" showErrorMessage="1" sqref="V8:V22" xr:uid="{00000000-0002-0000-0B00-000000000000}">
      <formula1>INDIRECT("MD_Possible_CAPEX[Khả năng đầu tư]")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afd88ccd273a29f43274d90ad9cb4a33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c980d1dccea66b983f4d7b9b0ae798d9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F7A6A-E9AD-406B-A113-54D1DEB73B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25121-0463-418A-B9E1-94D2891175B1}">
  <ds:schemaRefs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0df09a27-9771-47e1-b9df-a49ccb752b23"/>
    <ds:schemaRef ds:uri="http://schemas.microsoft.com/office/infopath/2007/PartnerControls"/>
    <ds:schemaRef ds:uri="http://schemas.openxmlformats.org/package/2006/metadata/core-properties"/>
    <ds:schemaRef ds:uri="da0191db-049f-49dc-a4a6-d804a7c1caa4"/>
  </ds:schemaRefs>
</ds:datastoreItem>
</file>

<file path=customXml/itemProps3.xml><?xml version="1.0" encoding="utf-8"?>
<ds:datastoreItem xmlns:ds="http://schemas.openxmlformats.org/officeDocument/2006/customXml" ds:itemID="{F21F221B-8579-4C27-9105-98B493897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KQKD Day Dai</vt:lpstr>
      <vt:lpstr>Cong suat</vt:lpstr>
      <vt:lpstr>Dinh muc</vt:lpstr>
      <vt:lpstr>CPSX</vt:lpstr>
      <vt:lpstr>CPSX Kg</vt:lpstr>
      <vt:lpstr>CPBH</vt:lpstr>
      <vt:lpstr>CPBH Kg</vt:lpstr>
      <vt:lpstr>4.Doanh thu</vt:lpstr>
      <vt:lpstr>1.NVL</vt:lpstr>
      <vt:lpstr>2.Hao hut</vt:lpstr>
      <vt:lpstr>3.Thanh pham</vt:lpstr>
      <vt:lpstr>PB_TSCD 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Duy, Lâm Thanh</dc:creator>
  <cp:keywords/>
  <dc:description/>
  <cp:lastModifiedBy>Cư, Lê Hoành</cp:lastModifiedBy>
  <cp:revision/>
  <dcterms:created xsi:type="dcterms:W3CDTF">2015-06-05T18:17:20Z</dcterms:created>
  <dcterms:modified xsi:type="dcterms:W3CDTF">2026-03-28T03:57:42Z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