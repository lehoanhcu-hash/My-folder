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Kiểm tra giá thành\"/>
    </mc:Choice>
  </mc:AlternateContent>
  <xr:revisionPtr revIDLastSave="0" documentId="13_ncr:1_{BFAA1303-3370-4652-8F55-415C1604D6FF}" xr6:coauthVersionLast="47" xr6:coauthVersionMax="47" xr10:uidLastSave="{00000000-0000-0000-0000-000000000000}"/>
  <bookViews>
    <workbookView xWindow="-110" yWindow="-110" windowWidth="19420" windowHeight="10300" xr2:uid="{C0D7B7AD-3060-4F16-A2DD-0A8C8022F3E7}"/>
  </bookViews>
  <sheets>
    <sheet name="Báo cáo" sheetId="3" r:id="rId1"/>
    <sheet name="Data" sheetId="1" r:id="rId2"/>
    <sheet name="MD" sheetId="2" r:id="rId3"/>
  </sheets>
  <definedNames>
    <definedName name="_xlnm._FilterDatabase" localSheetId="1" hidden="1">Data!$A$2:$J$252</definedName>
    <definedName name="_xlnm._FilterDatabase" localSheetId="2" hidden="1">MD!$A$2:$C$59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3" l="1"/>
  <c r="F19" i="3"/>
  <c r="E17" i="3"/>
  <c r="E18" i="3"/>
  <c r="E19" i="3"/>
  <c r="E20" i="3"/>
  <c r="F4" i="3"/>
  <c r="E16" i="3"/>
  <c r="E4" i="3"/>
  <c r="F12" i="3"/>
  <c r="M14" i="3"/>
  <c r="M15" i="3" s="1"/>
  <c r="I15" i="3"/>
  <c r="I4" i="3"/>
  <c r="D14" i="3"/>
  <c r="P15" i="3"/>
  <c r="H15" i="3"/>
  <c r="L15" i="3"/>
  <c r="D4" i="3" l="1"/>
  <c r="N14" i="3"/>
  <c r="N13" i="3"/>
  <c r="N12" i="3"/>
  <c r="N11" i="3"/>
  <c r="N10" i="3"/>
  <c r="N9" i="3"/>
  <c r="N8" i="3"/>
  <c r="N7" i="3"/>
  <c r="N6" i="3"/>
  <c r="N5" i="3"/>
  <c r="N4" i="3"/>
  <c r="Q13" i="3"/>
  <c r="Q12" i="3"/>
  <c r="Q11" i="3"/>
  <c r="P11" i="3"/>
  <c r="Q10" i="3"/>
  <c r="P10" i="3"/>
  <c r="Q9" i="3"/>
  <c r="P9" i="3"/>
  <c r="Q8" i="3"/>
  <c r="E8" i="3" s="1"/>
  <c r="P8" i="3"/>
  <c r="Q7" i="3"/>
  <c r="P7" i="3"/>
  <c r="Q6" i="3"/>
  <c r="P6" i="3"/>
  <c r="Q5" i="3"/>
  <c r="P5" i="3"/>
  <c r="P14" i="3" s="1"/>
  <c r="Q4" i="3"/>
  <c r="Q14" i="3" s="1"/>
  <c r="P4" i="3"/>
  <c r="M13" i="3"/>
  <c r="M12" i="3"/>
  <c r="M11" i="3"/>
  <c r="L11" i="3"/>
  <c r="M10" i="3"/>
  <c r="L10" i="3"/>
  <c r="D10" i="3" s="1"/>
  <c r="M9" i="3"/>
  <c r="L9" i="3"/>
  <c r="M8" i="3"/>
  <c r="L8" i="3"/>
  <c r="M7" i="3"/>
  <c r="L7" i="3"/>
  <c r="M6" i="3"/>
  <c r="L6" i="3"/>
  <c r="M5" i="3"/>
  <c r="L5" i="3"/>
  <c r="M4" i="3"/>
  <c r="L4" i="3"/>
  <c r="I13" i="3"/>
  <c r="I12" i="3"/>
  <c r="I11" i="3"/>
  <c r="I10" i="3"/>
  <c r="I9" i="3"/>
  <c r="I8" i="3"/>
  <c r="I7" i="3"/>
  <c r="I6" i="3"/>
  <c r="I5" i="3"/>
  <c r="E11" i="3"/>
  <c r="E10" i="3"/>
  <c r="E9" i="3"/>
  <c r="D13" i="3"/>
  <c r="D12" i="3"/>
  <c r="D11" i="3"/>
  <c r="H11" i="3"/>
  <c r="H10" i="3"/>
  <c r="H9" i="3"/>
  <c r="H8" i="3"/>
  <c r="H7" i="3"/>
  <c r="H6" i="3"/>
  <c r="H5" i="3"/>
  <c r="H4" i="3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0" i="1"/>
  <c r="J59" i="1"/>
  <c r="J58" i="1"/>
  <c r="J57" i="1"/>
  <c r="J56" i="1"/>
  <c r="J55" i="1"/>
  <c r="J54" i="1"/>
  <c r="J53" i="1"/>
  <c r="J52" i="1"/>
  <c r="J51" i="1"/>
  <c r="J50" i="1"/>
  <c r="J49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E14" i="3" l="1"/>
  <c r="E15" i="3"/>
  <c r="D6" i="3"/>
  <c r="D7" i="3"/>
  <c r="D9" i="3"/>
  <c r="D8" i="3"/>
  <c r="E13" i="3"/>
  <c r="E7" i="3"/>
  <c r="D5" i="3"/>
  <c r="E6" i="3"/>
  <c r="E5" i="3"/>
  <c r="E12" i="3"/>
  <c r="F9" i="3" l="1"/>
  <c r="Q15" i="3"/>
  <c r="F14" i="3"/>
  <c r="F6" i="3"/>
  <c r="F13" i="3"/>
  <c r="F11" i="3"/>
  <c r="F10" i="3"/>
  <c r="F8" i="3"/>
  <c r="F7" i="3"/>
  <c r="F5" i="3"/>
  <c r="F15" i="3"/>
  <c r="L14" i="3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0" i="1"/>
  <c r="I59" i="1"/>
  <c r="I58" i="1"/>
  <c r="I57" i="1"/>
  <c r="I56" i="1"/>
  <c r="I55" i="1"/>
  <c r="I54" i="1"/>
  <c r="I53" i="1"/>
  <c r="I52" i="1"/>
  <c r="I51" i="1"/>
  <c r="I50" i="1"/>
  <c r="I49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H14" i="3" l="1"/>
  <c r="I14" i="3"/>
  <c r="J10" i="3" l="1"/>
  <c r="J6" i="3"/>
  <c r="J5" i="3"/>
  <c r="J9" i="3"/>
  <c r="J7" i="3"/>
  <c r="J8" i="3"/>
  <c r="J14" i="3"/>
  <c r="J13" i="3"/>
  <c r="J12" i="3"/>
  <c r="J11" i="3"/>
  <c r="J4" i="3"/>
  <c r="R4" i="3"/>
  <c r="R12" i="3"/>
  <c r="R10" i="3"/>
  <c r="R8" i="3"/>
  <c r="R5" i="3"/>
  <c r="R13" i="3"/>
  <c r="R11" i="3"/>
  <c r="R7" i="3"/>
  <c r="R6" i="3"/>
  <c r="R9" i="3"/>
  <c r="R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B2" authorId="0" shapeId="0" xr:uid="{9FC616BF-97F6-4F02-AD8A-ADB533330C4A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Bao gồm công nghệ BORE-B01 | BORE-R01</t>
        </r>
      </text>
    </comment>
  </commentList>
</comments>
</file>

<file path=xl/sharedStrings.xml><?xml version="1.0" encoding="utf-8"?>
<sst xmlns="http://schemas.openxmlformats.org/spreadsheetml/2006/main" count="775" uniqueCount="176">
  <si>
    <t>Year | Month</t>
  </si>
  <si>
    <t>Material-Xuất</t>
  </si>
  <si>
    <t>Material description-Xuất</t>
  </si>
  <si>
    <t>Xuất-NX</t>
  </si>
  <si>
    <t>Nhập-SPC-NX</t>
  </si>
  <si>
    <t>Nhập-SPP-NX</t>
  </si>
  <si>
    <t>Nhập-PS-NX</t>
  </si>
  <si>
    <t>HHMĐ-NX</t>
  </si>
  <si>
    <t>2025 | 01</t>
  </si>
  <si>
    <t>150000051</t>
  </si>
  <si>
    <t>Vảy PET B1_A5.1</t>
  </si>
  <si>
    <t>160012368</t>
  </si>
  <si>
    <t>Vảy PET B1 chưa rửa 2</t>
  </si>
  <si>
    <t>160012682</t>
  </si>
  <si>
    <t>Vảy PET B2.2 chưa rửa 2</t>
  </si>
  <si>
    <t>150000052</t>
  </si>
  <si>
    <t>Vảy PET B1_A5.2_R2</t>
  </si>
  <si>
    <t>160012689</t>
  </si>
  <si>
    <t>Vảy PET B6.2_A3.2</t>
  </si>
  <si>
    <t>160012297</t>
  </si>
  <si>
    <t>Vảy PET B1_A3 MN</t>
  </si>
  <si>
    <t>160012293</t>
  </si>
  <si>
    <t>Vảy PET B1_A2.2 DT</t>
  </si>
  <si>
    <t>160012294</t>
  </si>
  <si>
    <t>Vảy PET B1_A3 DT</t>
  </si>
  <si>
    <t>150000061</t>
  </si>
  <si>
    <t>Vảy PET B6.2_A6</t>
  </si>
  <si>
    <t>160011727</t>
  </si>
  <si>
    <t>Vảy PET B7.1 chưa rửa 1</t>
  </si>
  <si>
    <t>160012371</t>
  </si>
  <si>
    <t>Vảy PET B5 chưa rửa 2</t>
  </si>
  <si>
    <t>150000189</t>
  </si>
  <si>
    <t>Vảy PET B1_A5.2_R1</t>
  </si>
  <si>
    <t>150000053</t>
  </si>
  <si>
    <t>Vảy PET B1_A6</t>
  </si>
  <si>
    <t>160012243</t>
  </si>
  <si>
    <t>Vảy PET B5 chưa rửa 1</t>
  </si>
  <si>
    <t>160012239</t>
  </si>
  <si>
    <t>Vảy PET B1 chưa rửa 1</t>
  </si>
  <si>
    <t>160012372</t>
  </si>
  <si>
    <t>Vảy PET B6 chưa rửa 2</t>
  </si>
  <si>
    <t>160012392</t>
  </si>
  <si>
    <t>Vảy PET B7.1 chưa rửa 2</t>
  </si>
  <si>
    <t>150000171</t>
  </si>
  <si>
    <t>Vảy PET B2.2_A6</t>
  </si>
  <si>
    <t>160012369</t>
  </si>
  <si>
    <t>Vảy PET B2 chưa rửa 2</t>
  </si>
  <si>
    <t>2025 | 01 Total</t>
  </si>
  <si>
    <t>2025 | 02</t>
  </si>
  <si>
    <t>160012906</t>
  </si>
  <si>
    <t>Vảy PET B1.3 Chưa Rửa 2</t>
  </si>
  <si>
    <t>160009895</t>
  </si>
  <si>
    <t>Vảy PET B1_A1 DT</t>
  </si>
  <si>
    <t>160012659</t>
  </si>
  <si>
    <t>Vảy PET B1_A2.1 DT</t>
  </si>
  <si>
    <t>160012296</t>
  </si>
  <si>
    <t>Vảy PET B1_A2.2 MN</t>
  </si>
  <si>
    <t>160012393</t>
  </si>
  <si>
    <t>Vảy PET B4 Chưa Rửa 2</t>
  </si>
  <si>
    <t>160012370</t>
  </si>
  <si>
    <t>Vảy PET B3 chưa rửa 2</t>
  </si>
  <si>
    <t>160012396</t>
  </si>
  <si>
    <t>Vảy PET B4_A3</t>
  </si>
  <si>
    <t>160012681</t>
  </si>
  <si>
    <t>Vảy PET B2.2 chưa rửa 1</t>
  </si>
  <si>
    <t>160012303</t>
  </si>
  <si>
    <t>Vảy PET B3_A3 DT</t>
  </si>
  <si>
    <t>160012295</t>
  </si>
  <si>
    <t>Vảy PET B1_A3.RN</t>
  </si>
  <si>
    <t>160012298</t>
  </si>
  <si>
    <t>Vảy PET A3.RN</t>
  </si>
  <si>
    <t>160012395</t>
  </si>
  <si>
    <t>Vảy PET B4_A2</t>
  </si>
  <si>
    <t>160012242</t>
  </si>
  <si>
    <t>Vảy PET B4 Chưa Rửa 1</t>
  </si>
  <si>
    <t>2025 | 02 Total</t>
  </si>
  <si>
    <t>2025 | 03</t>
  </si>
  <si>
    <t>160012688</t>
  </si>
  <si>
    <t>Vảy PET B6.2_A2</t>
  </si>
  <si>
    <t>160011761</t>
  </si>
  <si>
    <t>Vảy PET B1_A1 MN</t>
  </si>
  <si>
    <t>2025 | 03 Total</t>
  </si>
  <si>
    <t>2025 | 04</t>
  </si>
  <si>
    <t>160012384</t>
  </si>
  <si>
    <t>Vảy PET B6.1_A3</t>
  </si>
  <si>
    <t>160012910</t>
  </si>
  <si>
    <t>Vảy PET B1.3_A3 DT</t>
  </si>
  <si>
    <t>160012905</t>
  </si>
  <si>
    <t>Vảy PET B1.3 Chưa Rửa 1</t>
  </si>
  <si>
    <t>160012244</t>
  </si>
  <si>
    <t>Vảy PET B6 chưa rửa 1</t>
  </si>
  <si>
    <t>2025 | 04 Total</t>
  </si>
  <si>
    <t>2025 | 05</t>
  </si>
  <si>
    <t>2025 | 05 Total</t>
  </si>
  <si>
    <t>2025 | 06</t>
  </si>
  <si>
    <t>150000079</t>
  </si>
  <si>
    <t>Vảy PET B3_A5.2</t>
  </si>
  <si>
    <t>160012685</t>
  </si>
  <si>
    <t>Vảy PET B2.2_A3</t>
  </si>
  <si>
    <t>160012415</t>
  </si>
  <si>
    <t>Vảy PET B3_A6_A3</t>
  </si>
  <si>
    <t>160012380</t>
  </si>
  <si>
    <t>Vảy PET B7.1_A3</t>
  </si>
  <si>
    <t>160012413</t>
  </si>
  <si>
    <t>Vảy PET B3_A6_A1</t>
  </si>
  <si>
    <t>160012687</t>
  </si>
  <si>
    <t>Vảy PET B6.2_A1</t>
  </si>
  <si>
    <t>2025 | 06 Total</t>
  </si>
  <si>
    <t>2025 | 07</t>
  </si>
  <si>
    <t>2025 | 07 Total</t>
  </si>
  <si>
    <t>2025 | 08</t>
  </si>
  <si>
    <t>160012856</t>
  </si>
  <si>
    <t>Vảy PET Cổ Chai Sau Băm</t>
  </si>
  <si>
    <t>2025 | 08 Total</t>
  </si>
  <si>
    <t>2025 | 09</t>
  </si>
  <si>
    <t>160012428</t>
  </si>
  <si>
    <t>Vảy PET B1-B7.1</t>
  </si>
  <si>
    <t>2025 | 09 Total</t>
  </si>
  <si>
    <t>2025 | 10</t>
  </si>
  <si>
    <t>160012830</t>
  </si>
  <si>
    <t>Vảy PET B1_A1 DT-L</t>
  </si>
  <si>
    <t>160012667</t>
  </si>
  <si>
    <t>Vảy PET B6.2_A6 GC</t>
  </si>
  <si>
    <t>160011808</t>
  </si>
  <si>
    <t>Vảy PET B7_A1</t>
  </si>
  <si>
    <t>2025 | 10 Total</t>
  </si>
  <si>
    <t>2025 | 11</t>
  </si>
  <si>
    <t>160012907</t>
  </si>
  <si>
    <t>Vảy PET B1.3_A1 DT</t>
  </si>
  <si>
    <t>160012909</t>
  </si>
  <si>
    <t>Vảy PET B1.3_A2.2 DT</t>
  </si>
  <si>
    <t>160012908</t>
  </si>
  <si>
    <t>Vảy PET B1.3_A2.1 DT</t>
  </si>
  <si>
    <t>160012961</t>
  </si>
  <si>
    <t>Vảy PET B1.2 Chưa Rửa 2</t>
  </si>
  <si>
    <t>160012241</t>
  </si>
  <si>
    <t>Vảy PET B3 chưa rửa 1</t>
  </si>
  <si>
    <t>160012960</t>
  </si>
  <si>
    <t>Vảy PET B1.2 Chưa Rửa 1</t>
  </si>
  <si>
    <t>2025 | 11 Total</t>
  </si>
  <si>
    <t>2025 | 12</t>
  </si>
  <si>
    <t>160012964</t>
  </si>
  <si>
    <t>Vảy PET B1.2_A3 DT</t>
  </si>
  <si>
    <t>160012869</t>
  </si>
  <si>
    <t>Vảy PET WSS03G Mixed</t>
  </si>
  <si>
    <t>2025 | 12 Total</t>
  </si>
  <si>
    <t>Grand Total</t>
  </si>
  <si>
    <t>(Loại phó sản)</t>
  </si>
  <si>
    <t>Loại chai/vảy</t>
  </si>
  <si>
    <t>B1</t>
  </si>
  <si>
    <t>B2</t>
  </si>
  <si>
    <t>B3</t>
  </si>
  <si>
    <t>B5</t>
  </si>
  <si>
    <t>B6</t>
  </si>
  <si>
    <t>Loại</t>
  </si>
  <si>
    <t>B4</t>
  </si>
  <si>
    <t>B7</t>
  </si>
  <si>
    <t>Unknown</t>
  </si>
  <si>
    <t>Tổng</t>
  </si>
  <si>
    <t>Sản lượng đầu vào</t>
  </si>
  <si>
    <t>Sản lượng thu hồi</t>
  </si>
  <si>
    <t>Đvt: kg</t>
  </si>
  <si>
    <t>% Cơ cấu đầu ra</t>
  </si>
  <si>
    <t>Hao hụt mất đi</t>
  </si>
  <si>
    <t>Phó sản</t>
  </si>
  <si>
    <t>Nguồn</t>
  </si>
  <si>
    <t>NGUỒN DTR</t>
  </si>
  <si>
    <t>NGUỒN MUA NGOÀI</t>
  </si>
  <si>
    <t>STT</t>
  </si>
  <si>
    <t>TỔNG</t>
  </si>
  <si>
    <t>DTR</t>
  </si>
  <si>
    <t>MN</t>
  </si>
  <si>
    <t>NGUỒN UNKNOWN</t>
  </si>
  <si>
    <t>B6: đưa hết vào nguồn DTR</t>
  </si>
  <si>
    <t>MN=&gt;</t>
  </si>
  <si>
    <t>DT 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</si>
</sst>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</numFmts>
  <fonts count="11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Display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Display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theme="5" tint="-0.24997711111789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5" tint="0.79998168889431442"/>
      </bottom>
      <diagonal/>
    </border>
    <border>
      <left/>
      <right/>
      <top/>
      <bottom style="thin">
        <color theme="5" tint="0.59999389629810485"/>
      </bottom>
      <diagonal/>
    </border>
    <border>
      <left/>
      <right/>
      <top style="thin">
        <color theme="5" tint="0.79998168889431442"/>
      </top>
      <bottom style="thin">
        <color theme="5" tint="0.39997558519241921"/>
      </bottom>
      <diagonal/>
    </border>
    <border>
      <left/>
      <right/>
      <top style="thin">
        <color theme="5" tint="0.79998168889431442"/>
      </top>
      <bottom style="thin">
        <color theme="5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79998168889431442"/>
      </bottom>
      <diagonal/>
    </border>
    <border>
      <left/>
      <right/>
      <top style="double">
        <color theme="5" tint="-0.249977111117893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4" fillId="3" borderId="3" xfId="0" applyFont="1" applyFill="1" applyBorder="1"/>
    <xf numFmtId="0" fontId="0" fillId="4" borderId="4" xfId="0" applyFill="1" applyBorder="1"/>
    <xf numFmtId="0" fontId="0" fillId="0" borderId="5" xfId="0" applyBorder="1"/>
    <xf numFmtId="164" fontId="0" fillId="0" borderId="5" xfId="0" applyNumberFormat="1" applyBorder="1"/>
    <xf numFmtId="0" fontId="4" fillId="3" borderId="6" xfId="0" applyFont="1" applyFill="1" applyBorder="1"/>
    <xf numFmtId="0" fontId="4" fillId="3" borderId="7" xfId="0" applyFont="1" applyFill="1" applyBorder="1"/>
    <xf numFmtId="0" fontId="5" fillId="3" borderId="5" xfId="0" applyFont="1" applyFill="1" applyBorder="1"/>
    <xf numFmtId="164" fontId="5" fillId="3" borderId="5" xfId="0" applyNumberFormat="1" applyFont="1" applyFill="1" applyBorder="1"/>
    <xf numFmtId="0" fontId="6" fillId="0" borderId="8" xfId="0" applyFont="1" applyBorder="1"/>
    <xf numFmtId="164" fontId="6" fillId="0" borderId="8" xfId="0" applyNumberFormat="1" applyFont="1" applyBorder="1"/>
    <xf numFmtId="0" fontId="2" fillId="5" borderId="0" xfId="0" applyFont="1" applyFill="1"/>
    <xf numFmtId="0" fontId="3" fillId="0" borderId="0" xfId="0" applyFont="1"/>
    <xf numFmtId="0" fontId="3" fillId="0" borderId="9" xfId="0" applyFont="1" applyBorder="1"/>
    <xf numFmtId="164" fontId="3" fillId="0" borderId="9" xfId="0" applyNumberFormat="1" applyFont="1" applyBorder="1"/>
    <xf numFmtId="0" fontId="7" fillId="0" borderId="0" xfId="0" applyFont="1"/>
    <xf numFmtId="165" fontId="3" fillId="0" borderId="9" xfId="0" applyNumberFormat="1" applyFont="1" applyBorder="1"/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horizontal="right" vertical="top"/>
    </xf>
    <xf numFmtId="0" fontId="4" fillId="6" borderId="0" xfId="0" applyFont="1" applyFill="1" applyAlignment="1">
      <alignment horizontal="right" vertical="top"/>
    </xf>
    <xf numFmtId="0" fontId="0" fillId="0" borderId="0" xfId="0" applyAlignment="1">
      <alignment vertical="top"/>
    </xf>
    <xf numFmtId="0" fontId="0" fillId="0" borderId="10" xfId="0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7" borderId="1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164" fontId="0" fillId="0" borderId="13" xfId="1" applyNumberFormat="1" applyFont="1" applyBorder="1"/>
    <xf numFmtId="165" fontId="0" fillId="0" borderId="13" xfId="0" applyNumberFormat="1" applyBorder="1"/>
    <xf numFmtId="164" fontId="0" fillId="0" borderId="14" xfId="1" applyNumberFormat="1" applyFont="1" applyBorder="1"/>
    <xf numFmtId="165" fontId="0" fillId="0" borderId="14" xfId="0" applyNumberFormat="1" applyBorder="1"/>
    <xf numFmtId="165" fontId="0" fillId="0" borderId="15" xfId="0" applyNumberFormat="1" applyBorder="1"/>
    <xf numFmtId="0" fontId="2" fillId="8" borderId="12" xfId="0" applyFont="1" applyFill="1" applyBorder="1" applyAlignment="1">
      <alignment vertical="center"/>
    </xf>
    <xf numFmtId="164" fontId="0" fillId="0" borderId="14" xfId="1" applyNumberFormat="1" applyFont="1" applyFill="1" applyBorder="1"/>
    <xf numFmtId="164" fontId="0" fillId="0" borderId="15" xfId="1" applyNumberFormat="1" applyFont="1" applyFill="1" applyBorder="1"/>
    <xf numFmtId="165" fontId="10" fillId="0" borderId="15" xfId="0" applyNumberFormat="1" applyFont="1" applyBorder="1"/>
    <xf numFmtId="165" fontId="0" fillId="0" borderId="0" xfId="0" applyNumberFormat="1"/>
    <xf numFmtId="166" fontId="0" fillId="0" borderId="0" xfId="1" applyNumberFormat="1" applyFont="1" applyFill="1" applyBorder="1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165" fontId="0" fillId="0" borderId="0" xfId="2" applyNumberFormat="1" applyFont="1"/>
    <xf numFmtId="165" fontId="10" fillId="9" borderId="14" xfId="0" applyNumberFormat="1" applyFont="1" applyFill="1" applyBorder="1"/>
    <xf numFmtId="165" fontId="10" fillId="10" borderId="0" xfId="2" applyNumberFormat="1" applyFont="1" applyFill="1"/>
    <xf numFmtId="165" fontId="10" fillId="11" borderId="0" xfId="2" applyNumberFormat="1" applyFont="1" applyFill="1"/>
    <xf numFmtId="165" fontId="10" fillId="11" borderId="14" xfId="0" applyNumberFormat="1" applyFont="1" applyFill="1" applyBorder="1"/>
    <xf numFmtId="165" fontId="10" fillId="10" borderId="14" xfId="0" applyNumberFormat="1" applyFont="1" applyFill="1" applyBorder="1"/>
    <xf numFmtId="0" fontId="3" fillId="7" borderId="11" xfId="0" applyFont="1" applyFill="1" applyBorder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70338</xdr:colOff>
      <xdr:row>17</xdr:row>
      <xdr:rowOff>11723</xdr:rowOff>
    </xdr:from>
    <xdr:to>
      <xdr:col>15</xdr:col>
      <xdr:colOff>128954</xdr:colOff>
      <xdr:row>22</xdr:row>
      <xdr:rowOff>31750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0D79F9-9A8A-703B-5F7A-85FE760CC988}"/>
            </a:ext>
          </a:extLst>
        </xdr:cNvPr>
        <xdr:cNvSpPr/>
      </xdr:nvSpPr>
      <xdr:spPr>
        <a:xfrm>
          <a:off x="5455138" y="3154973"/>
          <a:ext cx="7646866" cy="94077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 b="1" u="sng"/>
            <a:t>GHI</a:t>
          </a:r>
          <a:r>
            <a:rPr lang="vi-VN" sz="1100" b="1" u="sng" baseline="0"/>
            <a:t> CHÚ:</a:t>
          </a:r>
        </a:p>
        <a:p>
          <a:pPr algn="l"/>
          <a:r>
            <a:rPr lang="vi-VN" sz="1100" b="0" u="none" baseline="0"/>
            <a:t>1. Chai của 3 trạm bán hiện tại đang để ở "nguồn mua ngoài"; lúc xuất không biết của bên ngoài hay trạm</a:t>
          </a:r>
        </a:p>
        <a:p>
          <a:pPr algn="l"/>
          <a:r>
            <a:rPr lang="vi-VN" sz="1100" b="0" u="none" baseline="0"/>
            <a:t>2. Số liệu bao gồm công nghệ BORE-B01 | BORE-R01 nên có thể ảnh hưởng tới tỷ lệ thu hồi nếu như có lấy "Sản lượng thu hồi" / "Sản lượng đầu vào"</a:t>
          </a:r>
          <a:endParaRPr lang="en-US" sz="1100" b="0" u="none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2704-B07D-406C-A8C4-9349524CBBD3}">
  <dimension ref="A1:R20"/>
  <sheetViews>
    <sheetView showGridLines="0" tabSelected="1" zoomScaleNormal="100" workbookViewId="0">
      <pane xSplit="2" ySplit="3" topLeftCell="C4" activePane="bottomRight" state="frozen"/>
      <selection pane="topRight" activeCell="B1" sqref="B1"/>
      <selection pane="bottomLeft" activeCell="A3" sqref="A3"/>
      <selection pane="bottomRight" activeCell="F18" sqref="F18"/>
    </sheetView>
  </sheetViews>
  <sheetFormatPr defaultRowHeight="14.5" x14ac:dyDescent="0.35"/>
  <cols>
    <col min="1" max="1" width="4.08203125" style="25" bestFit="1" customWidth="1"/>
    <col min="2" max="2" width="16.6640625" bestFit="1" customWidth="1"/>
    <col min="3" max="3" width="1.33203125" customWidth="1"/>
    <col min="4" max="4" width="16.58203125" bestFit="1" customWidth="1"/>
    <col min="5" max="5" width="14.4140625" bestFit="1" customWidth="1"/>
    <col min="6" max="6" width="13.33203125" bestFit="1" customWidth="1"/>
    <col min="7" max="7" width="1.33203125" customWidth="1"/>
    <col min="8" max="8" width="16.58203125" bestFit="1" customWidth="1"/>
    <col min="9" max="9" width="15.75" bestFit="1" customWidth="1"/>
    <col min="10" max="10" width="13.33203125" bestFit="1" customWidth="1"/>
    <col min="11" max="11" width="1.33203125" customWidth="1"/>
    <col min="12" max="12" width="16.9140625" customWidth="1"/>
    <col min="13" max="13" width="15.75" bestFit="1" customWidth="1"/>
    <col min="14" max="14" width="13.33203125" bestFit="1" customWidth="1"/>
    <col min="15" max="15" width="1.33203125" customWidth="1"/>
    <col min="16" max="16" width="15.08203125" bestFit="1" customWidth="1"/>
    <col min="17" max="17" width="14.4140625" bestFit="1" customWidth="1"/>
    <col min="18" max="18" width="13.33203125" bestFit="1" customWidth="1"/>
  </cols>
  <sheetData>
    <row r="1" spans="1:18" x14ac:dyDescent="0.35">
      <c r="B1" s="15" t="s">
        <v>161</v>
      </c>
      <c r="H1" t="s">
        <v>173</v>
      </c>
    </row>
    <row r="2" spans="1:18" s="22" customFormat="1" x14ac:dyDescent="0.35">
      <c r="A2" s="54" t="s">
        <v>168</v>
      </c>
      <c r="B2" s="53" t="s">
        <v>148</v>
      </c>
      <c r="D2" s="55" t="s">
        <v>169</v>
      </c>
      <c r="E2" s="55"/>
      <c r="F2" s="55"/>
      <c r="H2" s="52" t="s">
        <v>166</v>
      </c>
      <c r="I2" s="52"/>
      <c r="J2" s="52"/>
      <c r="L2" s="52" t="s">
        <v>167</v>
      </c>
      <c r="M2" s="56"/>
      <c r="N2" s="56"/>
      <c r="P2" s="52" t="s">
        <v>172</v>
      </c>
      <c r="Q2" s="52"/>
      <c r="R2" s="52"/>
    </row>
    <row r="3" spans="1:18" s="23" customFormat="1" x14ac:dyDescent="0.35">
      <c r="A3" s="54"/>
      <c r="B3" s="53"/>
      <c r="D3" s="37" t="s">
        <v>159</v>
      </c>
      <c r="E3" s="37" t="s">
        <v>160</v>
      </c>
      <c r="F3" s="37" t="s">
        <v>162</v>
      </c>
      <c r="H3" s="24" t="s">
        <v>159</v>
      </c>
      <c r="I3" s="24" t="s">
        <v>160</v>
      </c>
      <c r="J3" s="24" t="s">
        <v>162</v>
      </c>
      <c r="L3" s="24" t="s">
        <v>159</v>
      </c>
      <c r="M3" s="24" t="s">
        <v>160</v>
      </c>
      <c r="N3" s="24" t="s">
        <v>162</v>
      </c>
      <c r="P3" s="24" t="s">
        <v>159</v>
      </c>
      <c r="Q3" s="24" t="s">
        <v>160</v>
      </c>
      <c r="R3" s="24" t="s">
        <v>162</v>
      </c>
    </row>
    <row r="4" spans="1:18" x14ac:dyDescent="0.35">
      <c r="A4" s="26">
        <v>1</v>
      </c>
      <c r="B4" s="27" t="s">
        <v>149</v>
      </c>
      <c r="D4" s="32">
        <f>H4+L4+P4</f>
        <v>34662018.769999996</v>
      </c>
      <c r="E4" s="32">
        <f>I4+M4+Q4</f>
        <v>32683112.099644128</v>
      </c>
      <c r="F4" s="33">
        <f>IFERROR(E4/$E$14,0)</f>
        <v>0.79257545572111232</v>
      </c>
      <c r="H4" s="32">
        <f>SUMIFS(Data!$D$3:$D$300,Data!$I$3:$I$300,$B4,Data!$J$3:$J$300,"DTR")</f>
        <v>9848801.7699999996</v>
      </c>
      <c r="I4" s="32">
        <f>SUMIFS(Data!$E$3:$E$300,Data!$I$3:$I$300,$B4,Data!$J$3:$J$300,"DTR")+SUMIFS(Data!$F$3:$F$300,Data!$I$3:$I$300,$B4,Data!$J$3:$J$300,"DTR")</f>
        <v>9161109.3180682398</v>
      </c>
      <c r="J4" s="33">
        <f>IFERROR(I4/$I$14,0)</f>
        <v>0.56910053055124266</v>
      </c>
      <c r="L4" s="32">
        <f>SUMIFS(Data!$D$3:$D$300,Data!$I$3:$I$300,$B4,Data!$J$3:$J$300,"MN")</f>
        <v>24813217</v>
      </c>
      <c r="M4" s="32">
        <f>SUMIFS(Data!$E$3:$E$300,Data!$I$3:$I$300,$B4,Data!$J$3:$J$300,"MN")+SUMIFS(Data!$F$3:$F$300,Data!$I$3:$I$300,$B4,Data!$J$3:$J$300,"MN")</f>
        <v>23522002.781575888</v>
      </c>
      <c r="N4" s="33">
        <f>IFERROR(M4/$M$14,0)</f>
        <v>0.94102804087106051</v>
      </c>
      <c r="P4" s="32">
        <f>SUMIFS(Data!$D$3:$D$300,Data!$I$3:$I$300,$B4,Data!$J$3:$J$300,"Unknown")</f>
        <v>0</v>
      </c>
      <c r="Q4" s="32">
        <f>SUMIFS(Data!$E$3:$E$300,Data!$I$3:$I$300,$B4,Data!$J$3:$J$300,"Unknown")+SUMIFS(Data!$F$3:$F$300,Data!$I$3:$I$300,$B4,Data!$J$3:$J$300,"Unknown")</f>
        <v>0</v>
      </c>
      <c r="R4" s="33">
        <f t="shared" ref="R4:R14" si="0">IFERROR(Q4/$H$14,0)</f>
        <v>0</v>
      </c>
    </row>
    <row r="5" spans="1:18" x14ac:dyDescent="0.35">
      <c r="A5" s="28">
        <v>2</v>
      </c>
      <c r="B5" s="29" t="s">
        <v>150</v>
      </c>
      <c r="D5" s="34">
        <f t="shared" ref="D5:E13" si="1">H5+L5+P5</f>
        <v>587311</v>
      </c>
      <c r="E5" s="34">
        <f t="shared" si="1"/>
        <v>550350</v>
      </c>
      <c r="F5" s="35">
        <f t="shared" ref="F5:F14" si="2">IFERROR(E5/$E$14,0)</f>
        <v>1.3346155675942E-2</v>
      </c>
      <c r="H5" s="34">
        <f>SUMIFS(Data!$D$3:$D$300,Data!$I$3:$I$300,$B5,Data!$J$3:$J$300,"DTR")</f>
        <v>522911</v>
      </c>
      <c r="I5" s="34">
        <f>SUMIFS(Data!$E$3:$E$300,Data!$I$3:$I$300,$B5,Data!$J$3:$J$300,"DTR")+SUMIFS(Data!$F$3:$F$300,Data!$I$3:$I$300,$B5,Data!$J$3:$J$300,"DTR")</f>
        <v>489150</v>
      </c>
      <c r="J5" s="35">
        <f t="shared" ref="J5:J14" si="3">IFERROR(I5/$I$14,0)</f>
        <v>3.0386661140491669E-2</v>
      </c>
      <c r="L5" s="34">
        <f>SUMIFS(Data!$D$3:$D$300,Data!$I$3:$I$300,$B5,Data!$J$3:$J$300,"MN")</f>
        <v>64400</v>
      </c>
      <c r="M5" s="34">
        <f>SUMIFS(Data!$E$3:$E$300,Data!$I$3:$I$300,$B5,Data!$J$3:$J$300,"MN")+SUMIFS(Data!$F$3:$F$300,Data!$I$3:$I$300,$B5,Data!$J$3:$J$300,"MN")</f>
        <v>61200</v>
      </c>
      <c r="N5" s="35">
        <f t="shared" ref="N5:N14" si="4">IFERROR(M5/$M$14,0)</f>
        <v>2.4483848861040955E-3</v>
      </c>
      <c r="P5" s="34">
        <f>SUMIFS(Data!$D$3:$D$300,Data!$I$3:$I$300,$B5,Data!$J$3:$J$300,"Unknown")</f>
        <v>0</v>
      </c>
      <c r="Q5" s="34">
        <f>SUMIFS(Data!$E$3:$E$300,Data!$I$3:$I$300,$B5,Data!$J$3:$J$300,"Unknown")+SUMIFS(Data!$F$3:$F$300,Data!$I$3:$I$300,$B5,Data!$J$3:$J$300,"Unknown")</f>
        <v>0</v>
      </c>
      <c r="R5" s="35">
        <f t="shared" si="0"/>
        <v>0</v>
      </c>
    </row>
    <row r="6" spans="1:18" x14ac:dyDescent="0.35">
      <c r="A6" s="28">
        <v>3</v>
      </c>
      <c r="B6" s="29" t="s">
        <v>151</v>
      </c>
      <c r="D6" s="34">
        <f t="shared" si="1"/>
        <v>103993</v>
      </c>
      <c r="E6" s="34">
        <f t="shared" si="1"/>
        <v>96500</v>
      </c>
      <c r="F6" s="35">
        <f t="shared" si="2"/>
        <v>2.3401544884680712E-3</v>
      </c>
      <c r="H6" s="34">
        <f>SUMIFS(Data!$D$3:$D$300,Data!$I$3:$I$300,$B6,Data!$J$3:$J$300,"DTR")</f>
        <v>38500</v>
      </c>
      <c r="I6" s="34">
        <f>SUMIFS(Data!$E$3:$E$300,Data!$I$3:$I$300,$B6,Data!$J$3:$J$300,"DTR")+SUMIFS(Data!$F$3:$F$300,Data!$I$3:$I$300,$B6,Data!$J$3:$J$300,"DTR")</f>
        <v>37500</v>
      </c>
      <c r="J6" s="35">
        <f t="shared" si="3"/>
        <v>2.3295508387374785E-3</v>
      </c>
      <c r="L6" s="34">
        <f>SUMIFS(Data!$D$3:$D$300,Data!$I$3:$I$300,$B6,Data!$J$3:$J$300,"MN")</f>
        <v>65493</v>
      </c>
      <c r="M6" s="34">
        <f>SUMIFS(Data!$E$3:$E$300,Data!$I$3:$I$300,$B6,Data!$J$3:$J$300,"MN")+SUMIFS(Data!$F$3:$F$300,Data!$I$3:$I$300,$B6,Data!$J$3:$J$300,"MN")</f>
        <v>59000</v>
      </c>
      <c r="N6" s="35">
        <f t="shared" si="4"/>
        <v>2.3603710503291115E-3</v>
      </c>
      <c r="P6" s="34">
        <f>SUMIFS(Data!$D$3:$D$300,Data!$I$3:$I$300,$B6,Data!$J$3:$J$300,"Unknown")</f>
        <v>0</v>
      </c>
      <c r="Q6" s="34">
        <f>SUMIFS(Data!$E$3:$E$300,Data!$I$3:$I$300,$B6,Data!$J$3:$J$300,"Unknown")+SUMIFS(Data!$F$3:$F$300,Data!$I$3:$I$300,$B6,Data!$J$3:$J$300,"Unknown")</f>
        <v>0</v>
      </c>
      <c r="R6" s="35">
        <f t="shared" si="0"/>
        <v>0</v>
      </c>
    </row>
    <row r="7" spans="1:18" x14ac:dyDescent="0.35">
      <c r="A7" s="28">
        <v>4</v>
      </c>
      <c r="B7" s="29" t="s">
        <v>155</v>
      </c>
      <c r="D7" s="34">
        <f t="shared" si="1"/>
        <v>209050</v>
      </c>
      <c r="E7" s="34">
        <f t="shared" si="1"/>
        <v>195450</v>
      </c>
      <c r="F7" s="35">
        <f t="shared" si="2"/>
        <v>4.7397222256070938E-3</v>
      </c>
      <c r="H7" s="34">
        <f>SUMIFS(Data!$D$3:$D$300,Data!$I$3:$I$300,$B7,Data!$J$3:$J$300,"DTR")</f>
        <v>200050</v>
      </c>
      <c r="I7" s="34">
        <f>SUMIFS(Data!$E$3:$E$300,Data!$I$3:$I$300,$B7,Data!$J$3:$J$300,"DTR")+SUMIFS(Data!$F$3:$F$300,Data!$I$3:$I$300,$B7,Data!$J$3:$J$300,"DTR")</f>
        <v>186450</v>
      </c>
      <c r="J7" s="35">
        <f t="shared" si="3"/>
        <v>1.1582526770202743E-2</v>
      </c>
      <c r="L7" s="34">
        <f>SUMIFS(Data!$D$3:$D$300,Data!$I$3:$I$300,$B7,Data!$J$3:$J$300,"MN")</f>
        <v>9000</v>
      </c>
      <c r="M7" s="34">
        <f>SUMIFS(Data!$E$3:$E$300,Data!$I$3:$I$300,$B7,Data!$J$3:$J$300,"MN")+SUMIFS(Data!$F$3:$F$300,Data!$I$3:$I$300,$B7,Data!$J$3:$J$300,"MN")</f>
        <v>9000</v>
      </c>
      <c r="N7" s="35">
        <f t="shared" si="4"/>
        <v>3.6005660089766109E-4</v>
      </c>
      <c r="P7" s="34">
        <f>SUMIFS(Data!$D$3:$D$300,Data!$I$3:$I$300,$B7,Data!$J$3:$J$300,"Unknown")</f>
        <v>0</v>
      </c>
      <c r="Q7" s="34">
        <f>SUMIFS(Data!$E$3:$E$300,Data!$I$3:$I$300,$B7,Data!$J$3:$J$300,"Unknown")+SUMIFS(Data!$F$3:$F$300,Data!$I$3:$I$300,$B7,Data!$J$3:$J$300,"Unknown")</f>
        <v>0</v>
      </c>
      <c r="R7" s="35">
        <f t="shared" si="0"/>
        <v>0</v>
      </c>
    </row>
    <row r="8" spans="1:18" x14ac:dyDescent="0.35">
      <c r="A8" s="28">
        <v>5</v>
      </c>
      <c r="B8" s="29" t="s">
        <v>152</v>
      </c>
      <c r="D8" s="34">
        <f t="shared" si="1"/>
        <v>164500</v>
      </c>
      <c r="E8" s="34">
        <f t="shared" si="1"/>
        <v>154000</v>
      </c>
      <c r="F8" s="35">
        <f t="shared" si="2"/>
        <v>3.7345470593169224E-3</v>
      </c>
      <c r="H8" s="34">
        <f>SUMIFS(Data!$D$3:$D$300,Data!$I$3:$I$300,$B8,Data!$J$3:$J$300,"DTR")</f>
        <v>164500</v>
      </c>
      <c r="I8" s="34">
        <f>SUMIFS(Data!$E$3:$E$300,Data!$I$3:$I$300,$B8,Data!$J$3:$J$300,"DTR")+SUMIFS(Data!$F$3:$F$300,Data!$I$3:$I$300,$B8,Data!$J$3:$J$300,"DTR")</f>
        <v>154000</v>
      </c>
      <c r="J8" s="35">
        <f t="shared" si="3"/>
        <v>9.5666887777485776E-3</v>
      </c>
      <c r="L8" s="34">
        <f>SUMIFS(Data!$D$3:$D$300,Data!$I$3:$I$300,$B8,Data!$J$3:$J$300,"MN")</f>
        <v>0</v>
      </c>
      <c r="M8" s="34">
        <f>SUMIFS(Data!$E$3:$E$300,Data!$I$3:$I$300,$B8,Data!$J$3:$J$300,"MN")+SUMIFS(Data!$F$3:$F$300,Data!$I$3:$I$300,$B8,Data!$J$3:$J$300,"MN")</f>
        <v>0</v>
      </c>
      <c r="N8" s="35">
        <f t="shared" si="4"/>
        <v>0</v>
      </c>
      <c r="P8" s="34">
        <f>SUMIFS(Data!$D$3:$D$300,Data!$I$3:$I$300,$B8,Data!$J$3:$J$300,"Unknown")</f>
        <v>0</v>
      </c>
      <c r="Q8" s="34">
        <f>SUMIFS(Data!$E$3:$E$300,Data!$I$3:$I$300,$B8,Data!$J$3:$J$300,"Unknown")+SUMIFS(Data!$F$3:$F$300,Data!$I$3:$I$300,$B8,Data!$J$3:$J$300,"Unknown")</f>
        <v>0</v>
      </c>
      <c r="R8" s="35">
        <f t="shared" si="0"/>
        <v>0</v>
      </c>
    </row>
    <row r="9" spans="1:18" x14ac:dyDescent="0.35">
      <c r="A9" s="28">
        <v>6</v>
      </c>
      <c r="B9" s="29" t="s">
        <v>153</v>
      </c>
      <c r="D9" s="34">
        <f t="shared" si="1"/>
        <v>4888056</v>
      </c>
      <c r="E9" s="34">
        <f t="shared" si="1"/>
        <v>4363227.3169136019</v>
      </c>
      <c r="F9" s="35">
        <f>IFERROR(E9/$E$14,0)</f>
        <v>0.10580959575007115</v>
      </c>
      <c r="H9" s="34">
        <f>SUMIFS(Data!$D$3:$D$300,Data!$I$3:$I$300,$B9,Data!$J$3:$J$300,"DTR")</f>
        <v>4888056</v>
      </c>
      <c r="I9" s="34">
        <f>SUMIFS(Data!$E$3:$E$300,Data!$I$3:$I$300,$B9,Data!$J$3:$J$300,"DTR")+SUMIFS(Data!$F$3:$F$300,Data!$I$3:$I$300,$B9,Data!$J$3:$J$300,"DTR")</f>
        <v>4363227.3169136019</v>
      </c>
      <c r="J9" s="35">
        <f t="shared" si="3"/>
        <v>0.27104959615248958</v>
      </c>
      <c r="L9" s="34">
        <f>SUMIFS(Data!$D$3:$D$300,Data!$I$3:$I$300,$B9,Data!$J$3:$J$300,"MN")</f>
        <v>0</v>
      </c>
      <c r="M9" s="34">
        <f>SUMIFS(Data!$E$3:$E$300,Data!$I$3:$I$300,$B9,Data!$J$3:$J$300,"MN")+SUMIFS(Data!$F$3:$F$300,Data!$I$3:$I$300,$B9,Data!$J$3:$J$300,"MN")</f>
        <v>0</v>
      </c>
      <c r="N9" s="35">
        <f t="shared" si="4"/>
        <v>0</v>
      </c>
      <c r="P9" s="34">
        <f>SUMIFS(Data!$D$3:$D$300,Data!$I$3:$I$300,$B9,Data!$J$3:$J$300,"Unknown")</f>
        <v>0</v>
      </c>
      <c r="Q9" s="34">
        <f>SUMIFS(Data!$E$3:$E$300,Data!$I$3:$I$300,$B9,Data!$J$3:$J$300,"Unknown")+SUMIFS(Data!$F$3:$F$300,Data!$I$3:$I$300,$B9,Data!$J$3:$J$300,"Unknown")</f>
        <v>0</v>
      </c>
      <c r="R9" s="35">
        <f t="shared" si="0"/>
        <v>0</v>
      </c>
    </row>
    <row r="10" spans="1:18" x14ac:dyDescent="0.35">
      <c r="A10" s="28">
        <v>7</v>
      </c>
      <c r="B10" s="29" t="s">
        <v>156</v>
      </c>
      <c r="D10" s="34">
        <f t="shared" si="1"/>
        <v>478665</v>
      </c>
      <c r="E10" s="34">
        <f t="shared" si="1"/>
        <v>458020.00000000006</v>
      </c>
      <c r="F10" s="35">
        <f t="shared" si="2"/>
        <v>1.1107124961742447E-2</v>
      </c>
      <c r="H10" s="34">
        <f>SUMIFS(Data!$D$3:$D$300,Data!$I$3:$I$300,$B10,Data!$J$3:$J$300,"DTR")</f>
        <v>434705</v>
      </c>
      <c r="I10" s="34">
        <f>SUMIFS(Data!$E$3:$E$300,Data!$I$3:$I$300,$B10,Data!$J$3:$J$300,"DTR")+SUMIFS(Data!$F$3:$F$300,Data!$I$3:$I$300,$B10,Data!$J$3:$J$300,"DTR")</f>
        <v>417428.19690249045</v>
      </c>
      <c r="J10" s="35">
        <f t="shared" si="3"/>
        <v>2.5931205498849867E-2</v>
      </c>
      <c r="L10" s="34">
        <f>SUMIFS(Data!$D$3:$D$300,Data!$I$3:$I$300,$B10,Data!$J$3:$J$300,"MN")</f>
        <v>43960</v>
      </c>
      <c r="M10" s="34">
        <f>SUMIFS(Data!$E$3:$E$300,Data!$I$3:$I$300,$B10,Data!$J$3:$J$300,"MN")+SUMIFS(Data!$F$3:$F$300,Data!$I$3:$I$300,$B10,Data!$J$3:$J$300,"MN")</f>
        <v>40591.803097509619</v>
      </c>
      <c r="N10" s="35">
        <f t="shared" si="4"/>
        <v>1.6239274052884962E-3</v>
      </c>
      <c r="P10" s="34">
        <f>SUMIFS(Data!$D$3:$D$300,Data!$I$3:$I$300,$B10,Data!$J$3:$J$300,"Unknown")</f>
        <v>0</v>
      </c>
      <c r="Q10" s="34">
        <f>SUMIFS(Data!$E$3:$E$300,Data!$I$3:$I$300,$B10,Data!$J$3:$J$300,"Unknown")+SUMIFS(Data!$F$3:$F$300,Data!$I$3:$I$300,$B10,Data!$J$3:$J$300,"Unknown")</f>
        <v>0</v>
      </c>
      <c r="R10" s="35">
        <f t="shared" si="0"/>
        <v>0</v>
      </c>
    </row>
    <row r="11" spans="1:18" x14ac:dyDescent="0.35">
      <c r="A11" s="28">
        <v>8</v>
      </c>
      <c r="B11" s="29" t="s">
        <v>157</v>
      </c>
      <c r="D11" s="34">
        <f t="shared" si="1"/>
        <v>143000</v>
      </c>
      <c r="E11" s="34">
        <f t="shared" si="1"/>
        <v>79100</v>
      </c>
      <c r="F11" s="35">
        <f t="shared" si="2"/>
        <v>1.9181991713764191E-3</v>
      </c>
      <c r="H11" s="34">
        <f>SUMIFS(Data!$D$3:$D$300,Data!$I$3:$I$300,$B11,Data!$J$3:$J$300,"DTR")</f>
        <v>0</v>
      </c>
      <c r="I11" s="34">
        <f>SUMIFS(Data!$E$3:$E$300,Data!$I$3:$I$300,$B11,Data!$J$3:$J$300,"DTR")+SUMIFS(Data!$F$3:$F$300,Data!$I$3:$I$300,$B11,Data!$J$3:$J$300,"DTR")</f>
        <v>0</v>
      </c>
      <c r="J11" s="35">
        <f t="shared" si="3"/>
        <v>0</v>
      </c>
      <c r="L11" s="34">
        <f>SUMIFS(Data!$D$3:$D$300,Data!$I$3:$I$300,$B11,Data!$J$3:$J$300,"MN")</f>
        <v>0</v>
      </c>
      <c r="M11" s="34">
        <f>SUMIFS(Data!$E$3:$E$300,Data!$I$3:$I$300,$B11,Data!$J$3:$J$300,"MN")+SUMIFS(Data!$F$3:$F$300,Data!$I$3:$I$300,$B11,Data!$J$3:$J$300,"MN")</f>
        <v>0</v>
      </c>
      <c r="N11" s="35">
        <f t="shared" si="4"/>
        <v>0</v>
      </c>
      <c r="P11" s="34">
        <f>SUMIFS(Data!$D$3:$D$300,Data!$I$3:$I$300,$B11,Data!$J$3:$J$300,"Unknown")</f>
        <v>143000</v>
      </c>
      <c r="Q11" s="34">
        <f>SUMIFS(Data!$E$3:$E$300,Data!$I$3:$I$300,$B11,Data!$J$3:$J$300,"Unknown")+SUMIFS(Data!$F$3:$F$300,Data!$I$3:$I$300,$B11,Data!$J$3:$J$300,"Unknown")</f>
        <v>79100</v>
      </c>
      <c r="R11" s="35">
        <f t="shared" si="0"/>
        <v>4.9137992358435885E-3</v>
      </c>
    </row>
    <row r="12" spans="1:18" x14ac:dyDescent="0.35">
      <c r="A12" s="28">
        <v>9</v>
      </c>
      <c r="B12" s="29" t="s">
        <v>164</v>
      </c>
      <c r="D12" s="38">
        <f t="shared" si="1"/>
        <v>0</v>
      </c>
      <c r="E12" s="38">
        <f t="shared" si="1"/>
        <v>2048103.3391895839</v>
      </c>
      <c r="F12" s="51">
        <f>IFERROR(E12/$E$14,0)</f>
        <v>4.9667131834724869E-2</v>
      </c>
      <c r="H12" s="38"/>
      <c r="I12" s="38">
        <f>SUMIFS(Data!$G$3:$G$300,Data!$J$3:$J$300,"DTR")</f>
        <v>1049489.4435617579</v>
      </c>
      <c r="J12" s="50">
        <f t="shared" si="3"/>
        <v>6.5195707026544605E-2</v>
      </c>
      <c r="L12" s="38"/>
      <c r="M12" s="38">
        <f>SUMIFS(Data!$G$3:$G$300,Data!$J$3:$J$300,"MN")</f>
        <v>943737.89562782587</v>
      </c>
      <c r="N12" s="47">
        <f t="shared" si="4"/>
        <v>3.7755450982007409E-2</v>
      </c>
      <c r="P12" s="38"/>
      <c r="Q12" s="38">
        <f>SUMIFS(Data!$G$3:$G$300,Data!$J$3:$J$300,"Unknown")</f>
        <v>54876</v>
      </c>
      <c r="R12" s="35">
        <f t="shared" si="0"/>
        <v>3.4089715153748771E-3</v>
      </c>
    </row>
    <row r="13" spans="1:18" ht="15" thickBot="1" x14ac:dyDescent="0.4">
      <c r="A13" s="30">
        <v>10</v>
      </c>
      <c r="B13" s="31" t="s">
        <v>163</v>
      </c>
      <c r="D13" s="39">
        <f t="shared" si="1"/>
        <v>0</v>
      </c>
      <c r="E13" s="39">
        <f t="shared" si="1"/>
        <v>608731.01425268676</v>
      </c>
      <c r="F13" s="40">
        <f t="shared" si="2"/>
        <v>1.4761913111638823E-2</v>
      </c>
      <c r="H13" s="39"/>
      <c r="I13" s="39">
        <f>SUMIFS(Data!$H$3:$H$300,Data!$J$3:$J$300,"DTR")</f>
        <v>239169.49455391063</v>
      </c>
      <c r="J13" s="40">
        <f t="shared" si="3"/>
        <v>1.4857533243692834E-2</v>
      </c>
      <c r="L13" s="39"/>
      <c r="M13" s="39">
        <f>SUMIFS(Data!$H$3:$H$300,Data!$J$3:$J$300,"MN")</f>
        <v>360537.51969877613</v>
      </c>
      <c r="N13" s="40">
        <f t="shared" si="4"/>
        <v>1.4423768204312763E-2</v>
      </c>
      <c r="P13" s="39"/>
      <c r="Q13" s="39">
        <f>SUMIFS(Data!$H$3:$H$300,Data!$J$3:$J$300,"Unknown")</f>
        <v>9024</v>
      </c>
      <c r="R13" s="36">
        <f t="shared" si="0"/>
        <v>5.6058311383378693E-4</v>
      </c>
    </row>
    <row r="14" spans="1:18" s="12" customFormat="1" ht="15" thickBot="1" x14ac:dyDescent="0.4">
      <c r="A14" s="13"/>
      <c r="B14" s="13" t="s">
        <v>158</v>
      </c>
      <c r="D14" s="14">
        <f>SUM(D4:D13)</f>
        <v>41236593.769999996</v>
      </c>
      <c r="E14" s="14">
        <f>SUM(E4:E13)</f>
        <v>41236593.769999996</v>
      </c>
      <c r="F14" s="16">
        <f t="shared" si="2"/>
        <v>1</v>
      </c>
      <c r="H14" s="14">
        <f>SUM(H4:H13)</f>
        <v>16097523.77</v>
      </c>
      <c r="I14" s="14">
        <f>SUM(I4:I13)</f>
        <v>16097523.770000001</v>
      </c>
      <c r="J14" s="16">
        <f t="shared" si="3"/>
        <v>1</v>
      </c>
      <c r="L14" s="14">
        <f>SUM(L4:L13)</f>
        <v>24996070</v>
      </c>
      <c r="M14" s="14">
        <f>SUM(M4:M13)</f>
        <v>24996070</v>
      </c>
      <c r="N14" s="16">
        <f t="shared" si="4"/>
        <v>1</v>
      </c>
      <c r="P14" s="14">
        <f>SUM(P4:P13)</f>
        <v>143000</v>
      </c>
      <c r="Q14" s="14">
        <f>SUM(Q4:Q13)</f>
        <v>143000</v>
      </c>
      <c r="R14" s="16">
        <f t="shared" si="0"/>
        <v>8.8833538650522521E-3</v>
      </c>
    </row>
    <row r="15" spans="1:18" x14ac:dyDescent="0.35">
      <c r="E15" s="42">
        <f>E4/E9</f>
        <v>7.4905820223831583</v>
      </c>
      <c r="F15" s="41">
        <f>IFERROR(E15/$E$14,0)</f>
        <v>1.8164890301469629E-7</v>
      </c>
      <c r="H15" s="48">
        <f>$H$14/$D$14</f>
        <v>0.39036987050349192</v>
      </c>
      <c r="I15" s="49">
        <f>$I$14/$E$14</f>
        <v>0.39036987050349198</v>
      </c>
      <c r="L15" s="48">
        <f>L14/D14</f>
        <v>0.60616233579857104</v>
      </c>
      <c r="M15" s="49">
        <f>$M$14/$E$14</f>
        <v>0.60616233579857104</v>
      </c>
      <c r="P15" s="48">
        <f>$P$14/$D$14</f>
        <v>3.4677936979371419E-3</v>
      </c>
      <c r="Q15" s="49">
        <f>$Q$14/$E$14</f>
        <v>3.4677936979371419E-3</v>
      </c>
    </row>
    <row r="16" spans="1:18" x14ac:dyDescent="0.35">
      <c r="E16" s="43">
        <f>53/29</f>
        <v>1.8275862068965518</v>
      </c>
    </row>
    <row r="17" spans="4:6" x14ac:dyDescent="0.35">
      <c r="E17" s="44">
        <f>$E$16*E9</f>
        <v>7974174.0619455492</v>
      </c>
    </row>
    <row r="18" spans="4:6" x14ac:dyDescent="0.35">
      <c r="E18" s="45">
        <f>E4-E17</f>
        <v>24708938.037698578</v>
      </c>
    </row>
    <row r="19" spans="4:6" x14ac:dyDescent="0.35">
      <c r="D19" t="s">
        <v>174</v>
      </c>
      <c r="E19" s="46">
        <f>E18/E4</f>
        <v>0.75601546028927957</v>
      </c>
      <c r="F19" s="41">
        <f>M15</f>
        <v>0.60616233579857104</v>
      </c>
    </row>
    <row r="20" spans="4:6" x14ac:dyDescent="0.35">
      <c r="D20" t="s">
        <v>175</v>
      </c>
      <c r="E20" s="46">
        <f>100%-E19</f>
        <v>0.24398453971072043</v>
      </c>
      <c r="F20" s="41">
        <f>I15</f>
        <v>0.39036987050349198</v>
      </c>
    </row>
  </sheetData>
  <mergeCells count="6">
    <mergeCell ref="P2:R2"/>
    <mergeCell ref="B2:B3"/>
    <mergeCell ref="A2:A3"/>
    <mergeCell ref="D2:F2"/>
    <mergeCell ref="H2:J2"/>
    <mergeCell ref="L2:N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832F-4000-4350-B9EB-5EDF1D4A237F}">
  <dimension ref="A1:J301"/>
  <sheetViews>
    <sheetView showGridLines="0" zoomScale="115" zoomScaleNormal="115" workbookViewId="0">
      <pane xSplit="3" ySplit="2" topLeftCell="G195" activePane="bottomRight" state="frozen"/>
      <selection pane="topRight" activeCell="D1" sqref="D1"/>
      <selection pane="bottomLeft" activeCell="A3" sqref="A3"/>
      <selection pane="bottomRight" activeCell="A227" sqref="A227"/>
    </sheetView>
  </sheetViews>
  <sheetFormatPr defaultRowHeight="14.5" zeroHeight="1" x14ac:dyDescent="0.35"/>
  <cols>
    <col min="1" max="1" width="13.33203125" bestFit="1" customWidth="1"/>
    <col min="2" max="2" width="11.75" bestFit="1" customWidth="1"/>
    <col min="3" max="3" width="22.4140625" bestFit="1" customWidth="1"/>
    <col min="4" max="8" width="16.08203125" customWidth="1"/>
    <col min="9" max="9" width="11.33203125" customWidth="1"/>
  </cols>
  <sheetData>
    <row r="1" spans="1:10" x14ac:dyDescent="0.35">
      <c r="A1" t="s">
        <v>147</v>
      </c>
    </row>
    <row r="2" spans="1:10" s="20" customFormat="1" ht="24" customHeight="1" x14ac:dyDescent="0.35">
      <c r="A2" s="17" t="s">
        <v>0</v>
      </c>
      <c r="B2" s="17" t="s">
        <v>1</v>
      </c>
      <c r="C2" s="17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9" t="s">
        <v>154</v>
      </c>
      <c r="J2" s="19" t="s">
        <v>165</v>
      </c>
    </row>
    <row r="3" spans="1:10" x14ac:dyDescent="0.35">
      <c r="A3" s="1" t="s">
        <v>8</v>
      </c>
      <c r="B3" s="2" t="s">
        <v>9</v>
      </c>
      <c r="C3" s="3" t="s">
        <v>10</v>
      </c>
      <c r="D3" s="4">
        <v>730500.00000000012</v>
      </c>
      <c r="E3" s="4">
        <v>326000</v>
      </c>
      <c r="F3" s="4">
        <v>379000</v>
      </c>
      <c r="G3" s="4">
        <v>22010</v>
      </c>
      <c r="H3" s="4">
        <v>3490.0000000001164</v>
      </c>
      <c r="I3" t="str">
        <f>_xlfn.XLOOKUP($B3,MD!$A$3:$A$100,MD!$C$3:$C$100)</f>
        <v>B1</v>
      </c>
      <c r="J3" t="str">
        <f>_xlfn.XLOOKUP($B3,MD!$A$3:$A$100,MD!$D$3:$D$100)</f>
        <v>MN</v>
      </c>
    </row>
    <row r="4" spans="1:10" x14ac:dyDescent="0.35">
      <c r="A4" s="5"/>
      <c r="B4" s="2" t="s">
        <v>11</v>
      </c>
      <c r="C4" s="3" t="s">
        <v>12</v>
      </c>
      <c r="D4" s="4">
        <v>501299.99999999994</v>
      </c>
      <c r="E4" s="4">
        <v>352629.09090909088</v>
      </c>
      <c r="F4" s="4">
        <v>111309.09090909091</v>
      </c>
      <c r="G4" s="4">
        <v>36033.090909090912</v>
      </c>
      <c r="H4" s="4">
        <v>1328.7272727272357</v>
      </c>
      <c r="I4" t="str">
        <f>_xlfn.XLOOKUP($B4,MD!$A$3:$A$100,MD!$C$3:$C$100)</f>
        <v>B1</v>
      </c>
      <c r="J4" t="str">
        <f>_xlfn.XLOOKUP($B4,MD!$A$3:$A$100,MD!$D$3:$D$100)</f>
        <v>DTR</v>
      </c>
    </row>
    <row r="5" spans="1:10" x14ac:dyDescent="0.35">
      <c r="A5" s="5"/>
      <c r="B5" s="2" t="s">
        <v>13</v>
      </c>
      <c r="C5" s="3" t="s">
        <v>14</v>
      </c>
      <c r="D5" s="4">
        <v>229500.00000000003</v>
      </c>
      <c r="E5" s="4">
        <v>121845.71428571429</v>
      </c>
      <c r="F5" s="4">
        <v>100404.28571428571</v>
      </c>
      <c r="G5" s="4">
        <v>6020</v>
      </c>
      <c r="H5" s="4">
        <v>1230.0000000000291</v>
      </c>
      <c r="I5" t="str">
        <f>_xlfn.XLOOKUP($B5,MD!$A$3:$A$100,MD!$C$3:$C$100)</f>
        <v>B2</v>
      </c>
      <c r="J5" t="str">
        <f>_xlfn.XLOOKUP($B5,MD!$A$3:$A$100,MD!$D$3:$D$100)</f>
        <v>DTR</v>
      </c>
    </row>
    <row r="6" spans="1:10" x14ac:dyDescent="0.35">
      <c r="A6" s="5"/>
      <c r="B6" s="2" t="s">
        <v>15</v>
      </c>
      <c r="C6" s="3" t="s">
        <v>16</v>
      </c>
      <c r="D6" s="4">
        <v>140000</v>
      </c>
      <c r="E6" s="4">
        <v>29062.317996505531</v>
      </c>
      <c r="F6" s="4">
        <v>98008.444962143272</v>
      </c>
      <c r="G6" s="4">
        <v>12672.334498155698</v>
      </c>
      <c r="H6" s="4">
        <v>256.90254319549786</v>
      </c>
      <c r="I6" t="str">
        <f>_xlfn.XLOOKUP($B6,MD!$A$3:$A$100,MD!$C$3:$C$100)</f>
        <v>B1</v>
      </c>
      <c r="J6" t="str">
        <f>_xlfn.XLOOKUP($B6,MD!$A$3:$A$100,MD!$D$3:$D$100)</f>
        <v>MN</v>
      </c>
    </row>
    <row r="7" spans="1:10" x14ac:dyDescent="0.35">
      <c r="A7" s="5"/>
      <c r="B7" s="2" t="s">
        <v>17</v>
      </c>
      <c r="C7" s="3" t="s">
        <v>18</v>
      </c>
      <c r="D7" s="4">
        <v>140000</v>
      </c>
      <c r="E7" s="4">
        <v>0</v>
      </c>
      <c r="F7" s="4">
        <v>134500</v>
      </c>
      <c r="G7" s="4">
        <v>4850</v>
      </c>
      <c r="H7" s="4">
        <v>650</v>
      </c>
      <c r="I7" t="str">
        <f>_xlfn.XLOOKUP($B7,MD!$A$3:$A$100,MD!$C$3:$C$100)</f>
        <v>B6</v>
      </c>
      <c r="J7" t="str">
        <f>_xlfn.XLOOKUP($B7,MD!$A$3:$A$100,MD!$D$3:$D$100)</f>
        <v>DTR</v>
      </c>
    </row>
    <row r="8" spans="1:10" x14ac:dyDescent="0.35">
      <c r="A8" s="5"/>
      <c r="B8" s="2" t="s">
        <v>19</v>
      </c>
      <c r="C8" s="3" t="s">
        <v>20</v>
      </c>
      <c r="D8" s="4">
        <v>133500.00000000003</v>
      </c>
      <c r="E8" s="4">
        <v>88500</v>
      </c>
      <c r="F8" s="4">
        <v>41000</v>
      </c>
      <c r="G8" s="4">
        <v>3550</v>
      </c>
      <c r="H8" s="4">
        <v>450.0000000000291</v>
      </c>
      <c r="I8" t="str">
        <f>_xlfn.XLOOKUP($B8,MD!$A$3:$A$100,MD!$C$3:$C$100)</f>
        <v>B1</v>
      </c>
      <c r="J8" t="str">
        <f>_xlfn.XLOOKUP($B8,MD!$A$3:$A$100,MD!$D$3:$D$100)</f>
        <v>MN</v>
      </c>
    </row>
    <row r="9" spans="1:10" x14ac:dyDescent="0.35">
      <c r="A9" s="5"/>
      <c r="B9" s="2" t="s">
        <v>21</v>
      </c>
      <c r="C9" s="3" t="s">
        <v>22</v>
      </c>
      <c r="D9" s="4">
        <v>94500</v>
      </c>
      <c r="E9" s="4">
        <v>50911.428571428572</v>
      </c>
      <c r="F9" s="4">
        <v>40542.857142857145</v>
      </c>
      <c r="G9" s="4">
        <v>2577.2571428571428</v>
      </c>
      <c r="H9" s="4">
        <v>468.45714285713984</v>
      </c>
      <c r="I9" t="str">
        <f>_xlfn.XLOOKUP($B9,MD!$A$3:$A$100,MD!$C$3:$C$100)</f>
        <v>B1</v>
      </c>
      <c r="J9" t="str">
        <f>_xlfn.XLOOKUP($B9,MD!$A$3:$A$100,MD!$D$3:$D$100)</f>
        <v>DTR</v>
      </c>
    </row>
    <row r="10" spans="1:10" x14ac:dyDescent="0.35">
      <c r="A10" s="5"/>
      <c r="B10" s="2" t="s">
        <v>23</v>
      </c>
      <c r="C10" s="3" t="s">
        <v>24</v>
      </c>
      <c r="D10" s="4">
        <v>47000</v>
      </c>
      <c r="E10" s="4">
        <v>26588.571428571428</v>
      </c>
      <c r="F10" s="4">
        <v>17457.142857142855</v>
      </c>
      <c r="G10" s="4">
        <v>2642.7428571428572</v>
      </c>
      <c r="H10" s="4">
        <v>311.54285714286016</v>
      </c>
      <c r="I10" t="str">
        <f>_xlfn.XLOOKUP($B10,MD!$A$3:$A$100,MD!$C$3:$C$100)</f>
        <v>B1</v>
      </c>
      <c r="J10" t="str">
        <f>_xlfn.XLOOKUP($B10,MD!$A$3:$A$100,MD!$D$3:$D$100)</f>
        <v>DTR</v>
      </c>
    </row>
    <row r="11" spans="1:10" x14ac:dyDescent="0.35">
      <c r="A11" s="5"/>
      <c r="B11" s="2" t="s">
        <v>25</v>
      </c>
      <c r="C11" s="3" t="s">
        <v>26</v>
      </c>
      <c r="D11" s="4">
        <v>44775</v>
      </c>
      <c r="E11" s="4">
        <v>500</v>
      </c>
      <c r="F11" s="4">
        <v>28000</v>
      </c>
      <c r="G11" s="4">
        <v>16100</v>
      </c>
      <c r="H11" s="4">
        <v>175</v>
      </c>
      <c r="I11" t="str">
        <f>_xlfn.XLOOKUP($B11,MD!$A$3:$A$100,MD!$C$3:$C$100)</f>
        <v>B6</v>
      </c>
      <c r="J11" t="str">
        <f>_xlfn.XLOOKUP($B11,MD!$A$3:$A$100,MD!$D$3:$D$100)</f>
        <v>DTR</v>
      </c>
    </row>
    <row r="12" spans="1:10" x14ac:dyDescent="0.35">
      <c r="A12" s="5"/>
      <c r="B12" s="2" t="s">
        <v>27</v>
      </c>
      <c r="C12" s="3" t="s">
        <v>28</v>
      </c>
      <c r="D12" s="4">
        <v>24000</v>
      </c>
      <c r="E12" s="4">
        <v>23349.152542372882</v>
      </c>
      <c r="F12" s="4">
        <v>0</v>
      </c>
      <c r="G12" s="4">
        <v>325.42372881355931</v>
      </c>
      <c r="H12" s="4">
        <v>325.42372881355897</v>
      </c>
      <c r="I12" t="str">
        <f>_xlfn.XLOOKUP($B12,MD!$A$3:$A$100,MD!$C$3:$C$100)</f>
        <v>B7</v>
      </c>
      <c r="J12" t="str">
        <f>_xlfn.XLOOKUP($B12,MD!$A$3:$A$100,MD!$D$3:$D$100)</f>
        <v>DTR</v>
      </c>
    </row>
    <row r="13" spans="1:10" x14ac:dyDescent="0.35">
      <c r="A13" s="5"/>
      <c r="B13" s="2" t="s">
        <v>29</v>
      </c>
      <c r="C13" s="3" t="s">
        <v>30</v>
      </c>
      <c r="D13" s="4">
        <v>23000</v>
      </c>
      <c r="E13" s="4">
        <v>9850</v>
      </c>
      <c r="F13" s="4">
        <v>12850</v>
      </c>
      <c r="G13" s="4">
        <v>295</v>
      </c>
      <c r="H13" s="4">
        <v>5</v>
      </c>
      <c r="I13" t="str">
        <f>_xlfn.XLOOKUP($B13,MD!$A$3:$A$100,MD!$C$3:$C$100)</f>
        <v>B5</v>
      </c>
      <c r="J13" t="str">
        <f>_xlfn.XLOOKUP($B13,MD!$A$3:$A$100,MD!$D$3:$D$100)</f>
        <v>DTR</v>
      </c>
    </row>
    <row r="14" spans="1:10" x14ac:dyDescent="0.35">
      <c r="A14" s="5"/>
      <c r="B14" s="2" t="s">
        <v>31</v>
      </c>
      <c r="C14" s="3" t="s">
        <v>32</v>
      </c>
      <c r="D14" s="4">
        <v>22094</v>
      </c>
      <c r="E14" s="4">
        <v>8000</v>
      </c>
      <c r="F14" s="4">
        <v>13000</v>
      </c>
      <c r="G14" s="4">
        <v>850</v>
      </c>
      <c r="H14" s="4">
        <v>244</v>
      </c>
      <c r="I14" t="str">
        <f>_xlfn.XLOOKUP($B14,MD!$A$3:$A$100,MD!$C$3:$C$100)</f>
        <v>B1</v>
      </c>
      <c r="J14" t="str">
        <f>_xlfn.XLOOKUP($B14,MD!$A$3:$A$100,MD!$D$3:$D$100)</f>
        <v>MN</v>
      </c>
    </row>
    <row r="15" spans="1:10" x14ac:dyDescent="0.35">
      <c r="A15" s="5"/>
      <c r="B15" s="2" t="s">
        <v>33</v>
      </c>
      <c r="C15" s="3" t="s">
        <v>34</v>
      </c>
      <c r="D15" s="4">
        <v>17416</v>
      </c>
      <c r="E15" s="4">
        <v>4437.6820034944667</v>
      </c>
      <c r="F15" s="4">
        <v>11791.555037856726</v>
      </c>
      <c r="G15" s="4">
        <v>1132.6655018443021</v>
      </c>
      <c r="H15" s="4">
        <v>54.097456804505327</v>
      </c>
      <c r="I15" t="str">
        <f>_xlfn.XLOOKUP($B15,MD!$A$3:$A$100,MD!$C$3:$C$100)</f>
        <v>B1</v>
      </c>
      <c r="J15" t="str">
        <f>_xlfn.XLOOKUP($B15,MD!$A$3:$A$100,MD!$D$3:$D$100)</f>
        <v>MN</v>
      </c>
    </row>
    <row r="16" spans="1:10" x14ac:dyDescent="0.35">
      <c r="A16" s="5"/>
      <c r="B16" s="2" t="s">
        <v>35</v>
      </c>
      <c r="C16" s="3" t="s">
        <v>36</v>
      </c>
      <c r="D16" s="4">
        <v>13500</v>
      </c>
      <c r="E16" s="4">
        <v>3150</v>
      </c>
      <c r="F16" s="4">
        <v>7650</v>
      </c>
      <c r="G16" s="4">
        <v>2655</v>
      </c>
      <c r="H16" s="4">
        <v>45</v>
      </c>
      <c r="I16" t="str">
        <f>_xlfn.XLOOKUP($B16,MD!$A$3:$A$100,MD!$C$3:$C$100)</f>
        <v>B5</v>
      </c>
      <c r="J16" t="str">
        <f>_xlfn.XLOOKUP($B16,MD!$A$3:$A$100,MD!$D$3:$D$100)</f>
        <v>DTR</v>
      </c>
    </row>
    <row r="17" spans="1:10" x14ac:dyDescent="0.35">
      <c r="A17" s="5"/>
      <c r="B17" s="2" t="s">
        <v>37</v>
      </c>
      <c r="C17" s="3" t="s">
        <v>38</v>
      </c>
      <c r="D17" s="4">
        <v>11699.999999999998</v>
      </c>
      <c r="E17" s="4">
        <v>7870.909090909091</v>
      </c>
      <c r="F17" s="4">
        <v>3190.909090909091</v>
      </c>
      <c r="G17" s="4">
        <v>616.90909090909088</v>
      </c>
      <c r="H17" s="4">
        <v>21.272727272725319</v>
      </c>
      <c r="I17" t="str">
        <f>_xlfn.XLOOKUP($B17,MD!$A$3:$A$100,MD!$C$3:$C$100)</f>
        <v>B1</v>
      </c>
      <c r="J17" t="str">
        <f>_xlfn.XLOOKUP($B17,MD!$A$3:$A$100,MD!$D$3:$D$100)</f>
        <v>DTR</v>
      </c>
    </row>
    <row r="18" spans="1:10" x14ac:dyDescent="0.35">
      <c r="A18" s="5"/>
      <c r="B18" s="2" t="s">
        <v>39</v>
      </c>
      <c r="C18" s="3" t="s">
        <v>40</v>
      </c>
      <c r="D18" s="4">
        <v>8400</v>
      </c>
      <c r="E18" s="4">
        <v>0</v>
      </c>
      <c r="F18" s="4">
        <v>8000</v>
      </c>
      <c r="G18" s="4">
        <v>350</v>
      </c>
      <c r="H18" s="4">
        <v>50</v>
      </c>
      <c r="I18" t="str">
        <f>_xlfn.XLOOKUP($B18,MD!$A$3:$A$100,MD!$C$3:$C$100)</f>
        <v>B6</v>
      </c>
      <c r="J18" t="str">
        <f>_xlfn.XLOOKUP($B18,MD!$A$3:$A$100,MD!$D$3:$D$100)</f>
        <v>DTR</v>
      </c>
    </row>
    <row r="19" spans="1:10" x14ac:dyDescent="0.35">
      <c r="A19" s="5"/>
      <c r="B19" s="2" t="s">
        <v>41</v>
      </c>
      <c r="C19" s="3" t="s">
        <v>42</v>
      </c>
      <c r="D19" s="4">
        <v>5500</v>
      </c>
      <c r="E19" s="4">
        <v>5350.8474576271183</v>
      </c>
      <c r="F19" s="4">
        <v>0</v>
      </c>
      <c r="G19" s="4">
        <v>74.576271186440678</v>
      </c>
      <c r="H19" s="4">
        <v>74.576271186441048</v>
      </c>
      <c r="I19" t="str">
        <f>_xlfn.XLOOKUP($B19,MD!$A$3:$A$100,MD!$C$3:$C$100)</f>
        <v>B7</v>
      </c>
      <c r="J19" t="str">
        <f>_xlfn.XLOOKUP($B19,MD!$A$3:$A$100,MD!$D$3:$D$100)</f>
        <v>DTR</v>
      </c>
    </row>
    <row r="20" spans="1:10" x14ac:dyDescent="0.35">
      <c r="A20" s="5"/>
      <c r="B20" s="2" t="s">
        <v>43</v>
      </c>
      <c r="C20" s="3" t="s">
        <v>44</v>
      </c>
      <c r="D20" s="4">
        <v>4513</v>
      </c>
      <c r="E20" s="4">
        <v>4400</v>
      </c>
      <c r="F20" s="4">
        <v>0</v>
      </c>
      <c r="G20" s="4">
        <v>0</v>
      </c>
      <c r="H20" s="4">
        <v>113</v>
      </c>
      <c r="I20" t="str">
        <f>_xlfn.XLOOKUP($B20,MD!$A$3:$A$100,MD!$C$3:$C$100)</f>
        <v>B2</v>
      </c>
      <c r="J20" t="str">
        <f>_xlfn.XLOOKUP($B20,MD!$A$3:$A$100,MD!$D$3:$D$100)</f>
        <v>DTR</v>
      </c>
    </row>
    <row r="21" spans="1:10" x14ac:dyDescent="0.35">
      <c r="A21" s="6"/>
      <c r="B21" s="2" t="s">
        <v>45</v>
      </c>
      <c r="C21" s="3" t="s">
        <v>46</v>
      </c>
      <c r="D21" s="4">
        <v>2400</v>
      </c>
      <c r="E21" s="4">
        <v>1354.2857142857142</v>
      </c>
      <c r="F21" s="4">
        <v>1045.7142857142858</v>
      </c>
      <c r="G21" s="4">
        <v>0</v>
      </c>
      <c r="H21" s="4">
        <v>0</v>
      </c>
      <c r="I21" t="str">
        <f>_xlfn.XLOOKUP($B21,MD!$A$3:$A$100,MD!$C$3:$C$100)</f>
        <v>B2</v>
      </c>
      <c r="J21" t="str">
        <f>_xlfn.XLOOKUP($B21,MD!$A$3:$A$100,MD!$D$3:$D$100)</f>
        <v>DTR</v>
      </c>
    </row>
    <row r="22" spans="1:10" x14ac:dyDescent="0.35">
      <c r="A22" s="7" t="s">
        <v>47</v>
      </c>
      <c r="B22" s="7"/>
      <c r="C22" s="7"/>
      <c r="D22" s="8">
        <v>2193597.9999999991</v>
      </c>
      <c r="E22" s="8">
        <v>1063800</v>
      </c>
      <c r="F22" s="8">
        <v>1007750</v>
      </c>
      <c r="G22" s="8">
        <v>112755</v>
      </c>
      <c r="H22" s="8">
        <v>9292.9999999990687</v>
      </c>
    </row>
    <row r="23" spans="1:10" x14ac:dyDescent="0.35">
      <c r="A23" s="1" t="s">
        <v>48</v>
      </c>
      <c r="B23" s="2" t="s">
        <v>9</v>
      </c>
      <c r="C23" s="3" t="s">
        <v>10</v>
      </c>
      <c r="D23" s="4">
        <v>615751</v>
      </c>
      <c r="E23" s="4">
        <v>248782.83604686373</v>
      </c>
      <c r="F23" s="4">
        <v>337322.66554864554</v>
      </c>
      <c r="G23" s="4">
        <v>26663.648850534555</v>
      </c>
      <c r="H23" s="4">
        <v>2981.8495539562064</v>
      </c>
      <c r="I23" t="str">
        <f>_xlfn.XLOOKUP($B23,MD!$A$3:$A$100,MD!$C$3:$C$100)</f>
        <v>B1</v>
      </c>
      <c r="J23" t="str">
        <f>_xlfn.XLOOKUP($B23,MD!$A$3:$A$100,MD!$D$3:$D$100)</f>
        <v>MN</v>
      </c>
    </row>
    <row r="24" spans="1:10" x14ac:dyDescent="0.35">
      <c r="A24" s="5"/>
      <c r="B24" s="2" t="s">
        <v>17</v>
      </c>
      <c r="C24" s="3" t="s">
        <v>18</v>
      </c>
      <c r="D24" s="4">
        <v>491999.99999999994</v>
      </c>
      <c r="E24" s="4">
        <v>139500</v>
      </c>
      <c r="F24" s="4">
        <v>325000</v>
      </c>
      <c r="G24" s="4">
        <v>25587.8</v>
      </c>
      <c r="H24" s="4">
        <v>1912.1999999999425</v>
      </c>
      <c r="I24" t="str">
        <f>_xlfn.XLOOKUP($B24,MD!$A$3:$A$100,MD!$C$3:$C$100)</f>
        <v>B6</v>
      </c>
      <c r="J24" t="str">
        <f>_xlfn.XLOOKUP($B24,MD!$A$3:$A$100,MD!$D$3:$D$100)</f>
        <v>DTR</v>
      </c>
    </row>
    <row r="25" spans="1:10" x14ac:dyDescent="0.35">
      <c r="A25" s="5"/>
      <c r="B25" s="2" t="s">
        <v>49</v>
      </c>
      <c r="C25" s="3" t="s">
        <v>50</v>
      </c>
      <c r="D25" s="4">
        <v>367499.99999999994</v>
      </c>
      <c r="E25" s="4">
        <v>279500</v>
      </c>
      <c r="F25" s="4">
        <v>64000</v>
      </c>
      <c r="G25" s="4">
        <v>23069</v>
      </c>
      <c r="H25" s="4">
        <v>930.99999999994179</v>
      </c>
      <c r="I25" t="str">
        <f>_xlfn.XLOOKUP($B25,MD!$A$3:$A$100,MD!$C$3:$C$100)</f>
        <v>B1</v>
      </c>
      <c r="J25" t="str">
        <f>_xlfn.XLOOKUP($B25,MD!$A$3:$A$100,MD!$D$3:$D$100)</f>
        <v>DTR</v>
      </c>
    </row>
    <row r="26" spans="1:10" x14ac:dyDescent="0.35">
      <c r="A26" s="5"/>
      <c r="B26" s="2" t="s">
        <v>25</v>
      </c>
      <c r="C26" s="3" t="s">
        <v>26</v>
      </c>
      <c r="D26" s="4">
        <v>286060</v>
      </c>
      <c r="E26" s="4">
        <v>268500</v>
      </c>
      <c r="F26" s="4">
        <v>0</v>
      </c>
      <c r="G26" s="4">
        <v>16191</v>
      </c>
      <c r="H26" s="4">
        <v>1369</v>
      </c>
      <c r="I26" t="str">
        <f>_xlfn.XLOOKUP($B26,MD!$A$3:$A$100,MD!$C$3:$C$100)</f>
        <v>B6</v>
      </c>
      <c r="J26" t="str">
        <f>_xlfn.XLOOKUP($B26,MD!$A$3:$A$100,MD!$D$3:$D$100)</f>
        <v>DTR</v>
      </c>
    </row>
    <row r="27" spans="1:10" x14ac:dyDescent="0.35">
      <c r="A27" s="5"/>
      <c r="B27" s="2" t="s">
        <v>21</v>
      </c>
      <c r="C27" s="3" t="s">
        <v>22</v>
      </c>
      <c r="D27" s="4">
        <v>198000.00000000006</v>
      </c>
      <c r="E27" s="4">
        <v>122524.50743173176</v>
      </c>
      <c r="F27" s="4">
        <v>66078.067749740745</v>
      </c>
      <c r="G27" s="4">
        <v>8389.6042516418947</v>
      </c>
      <c r="H27" s="4">
        <v>1007.8205668856554</v>
      </c>
      <c r="I27" t="str">
        <f>_xlfn.XLOOKUP($B27,MD!$A$3:$A$100,MD!$C$3:$C$100)</f>
        <v>B1</v>
      </c>
      <c r="J27" t="str">
        <f>_xlfn.XLOOKUP($B27,MD!$A$3:$A$100,MD!$D$3:$D$100)</f>
        <v>DTR</v>
      </c>
    </row>
    <row r="28" spans="1:10" x14ac:dyDescent="0.35">
      <c r="A28" s="5"/>
      <c r="B28" s="2" t="s">
        <v>15</v>
      </c>
      <c r="C28" s="3" t="s">
        <v>16</v>
      </c>
      <c r="D28" s="4">
        <v>108844</v>
      </c>
      <c r="E28" s="4">
        <v>82500</v>
      </c>
      <c r="F28" s="4">
        <v>21500</v>
      </c>
      <c r="G28" s="4">
        <v>4450</v>
      </c>
      <c r="H28" s="4">
        <v>394</v>
      </c>
      <c r="I28" t="str">
        <f>_xlfn.XLOOKUP($B28,MD!$A$3:$A$100,MD!$C$3:$C$100)</f>
        <v>B1</v>
      </c>
      <c r="J28" t="str">
        <f>_xlfn.XLOOKUP($B28,MD!$A$3:$A$100,MD!$D$3:$D$100)</f>
        <v>MN</v>
      </c>
    </row>
    <row r="29" spans="1:10" x14ac:dyDescent="0.35">
      <c r="A29" s="5"/>
      <c r="B29" s="2" t="s">
        <v>51</v>
      </c>
      <c r="C29" s="3" t="s">
        <v>52</v>
      </c>
      <c r="D29" s="4">
        <v>105200</v>
      </c>
      <c r="E29" s="4">
        <v>76257.185974555905</v>
      </c>
      <c r="F29" s="4">
        <v>26199.261791615496</v>
      </c>
      <c r="G29" s="4">
        <v>2614.2318690006814</v>
      </c>
      <c r="H29" s="4">
        <v>129.32036482791773</v>
      </c>
      <c r="I29" t="str">
        <f>_xlfn.XLOOKUP($B29,MD!$A$3:$A$100,MD!$C$3:$C$100)</f>
        <v>B1</v>
      </c>
      <c r="J29" t="str">
        <f>_xlfn.XLOOKUP($B29,MD!$A$3:$A$100,MD!$D$3:$D$100)</f>
        <v>DTR</v>
      </c>
    </row>
    <row r="30" spans="1:10" x14ac:dyDescent="0.35">
      <c r="A30" s="5"/>
      <c r="B30" s="2" t="s">
        <v>31</v>
      </c>
      <c r="C30" s="3" t="s">
        <v>32</v>
      </c>
      <c r="D30" s="4">
        <v>100238</v>
      </c>
      <c r="E30" s="4">
        <v>19717.163953136282</v>
      </c>
      <c r="F30" s="4">
        <v>75177.334451354443</v>
      </c>
      <c r="G30" s="4">
        <v>4888.0511494654456</v>
      </c>
      <c r="H30" s="4">
        <v>455.45044604383656</v>
      </c>
      <c r="I30" t="str">
        <f>_xlfn.XLOOKUP($B30,MD!$A$3:$A$100,MD!$C$3:$C$100)</f>
        <v>B1</v>
      </c>
      <c r="J30" t="str">
        <f>_xlfn.XLOOKUP($B30,MD!$A$3:$A$100,MD!$D$3:$D$100)</f>
        <v>MN</v>
      </c>
    </row>
    <row r="31" spans="1:10" x14ac:dyDescent="0.35">
      <c r="A31" s="5"/>
      <c r="B31" s="2" t="s">
        <v>53</v>
      </c>
      <c r="C31" s="3" t="s">
        <v>54</v>
      </c>
      <c r="D31" s="4">
        <v>87000</v>
      </c>
      <c r="E31" s="4">
        <v>62389.409255309285</v>
      </c>
      <c r="F31" s="4">
        <v>22235.978443434626</v>
      </c>
      <c r="G31" s="4">
        <v>2257.2133090152192</v>
      </c>
      <c r="H31" s="4">
        <v>117.39899224087003</v>
      </c>
      <c r="I31" t="str">
        <f>_xlfn.XLOOKUP($B31,MD!$A$3:$A$100,MD!$C$3:$C$100)</f>
        <v>B1</v>
      </c>
      <c r="J31" t="str">
        <f>_xlfn.XLOOKUP($B31,MD!$A$3:$A$100,MD!$D$3:$D$100)</f>
        <v>DTR</v>
      </c>
    </row>
    <row r="32" spans="1:10" x14ac:dyDescent="0.35">
      <c r="A32" s="5"/>
      <c r="B32" s="2" t="s">
        <v>11</v>
      </c>
      <c r="C32" s="3" t="s">
        <v>12</v>
      </c>
      <c r="D32" s="4">
        <v>70500</v>
      </c>
      <c r="E32" s="4">
        <v>34593.167701863356</v>
      </c>
      <c r="F32" s="4">
        <v>30214.285714285714</v>
      </c>
      <c r="G32" s="4">
        <v>5359.7515527950309</v>
      </c>
      <c r="H32" s="4">
        <v>332.79503105589902</v>
      </c>
      <c r="I32" t="str">
        <f>_xlfn.XLOOKUP($B32,MD!$A$3:$A$100,MD!$C$3:$C$100)</f>
        <v>B1</v>
      </c>
      <c r="J32" t="str">
        <f>_xlfn.XLOOKUP($B32,MD!$A$3:$A$100,MD!$D$3:$D$100)</f>
        <v>DTR</v>
      </c>
    </row>
    <row r="33" spans="1:10" x14ac:dyDescent="0.35">
      <c r="A33" s="5"/>
      <c r="B33" s="2" t="s">
        <v>39</v>
      </c>
      <c r="C33" s="3" t="s">
        <v>40</v>
      </c>
      <c r="D33" s="4">
        <v>49200</v>
      </c>
      <c r="E33" s="4">
        <v>7000</v>
      </c>
      <c r="F33" s="4">
        <v>32000</v>
      </c>
      <c r="G33" s="4">
        <v>9800</v>
      </c>
      <c r="H33" s="4">
        <v>400</v>
      </c>
      <c r="I33" t="str">
        <f>_xlfn.XLOOKUP($B33,MD!$A$3:$A$100,MD!$C$3:$C$100)</f>
        <v>B6</v>
      </c>
      <c r="J33" t="str">
        <f>_xlfn.XLOOKUP($B33,MD!$A$3:$A$100,MD!$D$3:$D$100)</f>
        <v>DTR</v>
      </c>
    </row>
    <row r="34" spans="1:10" x14ac:dyDescent="0.35">
      <c r="A34" s="5"/>
      <c r="B34" s="2" t="s">
        <v>55</v>
      </c>
      <c r="C34" s="3" t="s">
        <v>56</v>
      </c>
      <c r="D34" s="4">
        <v>27000</v>
      </c>
      <c r="E34" s="4">
        <v>11955.719557195573</v>
      </c>
      <c r="F34" s="4">
        <v>14446.494464944648</v>
      </c>
      <c r="G34" s="4">
        <v>323.80073800738006</v>
      </c>
      <c r="H34" s="4">
        <v>273.98523985239939</v>
      </c>
      <c r="I34" t="str">
        <f>_xlfn.XLOOKUP($B34,MD!$A$3:$A$100,MD!$C$3:$C$100)</f>
        <v>B1</v>
      </c>
      <c r="J34" t="str">
        <f>_xlfn.XLOOKUP($B34,MD!$A$3:$A$100,MD!$D$3:$D$100)</f>
        <v>MN</v>
      </c>
    </row>
    <row r="35" spans="1:10" x14ac:dyDescent="0.35">
      <c r="A35" s="5"/>
      <c r="B35" s="2" t="s">
        <v>19</v>
      </c>
      <c r="C35" s="3" t="s">
        <v>20</v>
      </c>
      <c r="D35" s="4">
        <v>23200</v>
      </c>
      <c r="E35" s="4">
        <v>10273.062730627305</v>
      </c>
      <c r="F35" s="4">
        <v>12413.284132841329</v>
      </c>
      <c r="G35" s="4">
        <v>278.22878228782287</v>
      </c>
      <c r="H35" s="4">
        <v>235.42435424354295</v>
      </c>
      <c r="I35" t="str">
        <f>_xlfn.XLOOKUP($B35,MD!$A$3:$A$100,MD!$C$3:$C$100)</f>
        <v>B1</v>
      </c>
      <c r="J35" t="str">
        <f>_xlfn.XLOOKUP($B35,MD!$A$3:$A$100,MD!$D$3:$D$100)</f>
        <v>MN</v>
      </c>
    </row>
    <row r="36" spans="1:10" x14ac:dyDescent="0.35">
      <c r="A36" s="5"/>
      <c r="B36" s="2" t="s">
        <v>23</v>
      </c>
      <c r="C36" s="3" t="s">
        <v>24</v>
      </c>
      <c r="D36" s="4">
        <v>20000</v>
      </c>
      <c r="E36" s="4">
        <v>14828.897338403041</v>
      </c>
      <c r="F36" s="4">
        <v>4486.6920152091252</v>
      </c>
      <c r="G36" s="4">
        <v>650.95057034220542</v>
      </c>
      <c r="H36" s="4">
        <v>33.460076045627943</v>
      </c>
      <c r="I36" t="str">
        <f>_xlfn.XLOOKUP($B36,MD!$A$3:$A$100,MD!$C$3:$C$100)</f>
        <v>B1</v>
      </c>
      <c r="J36" t="str">
        <f>_xlfn.XLOOKUP($B36,MD!$A$3:$A$100,MD!$D$3:$D$100)</f>
        <v>DTR</v>
      </c>
    </row>
    <row r="37" spans="1:10" x14ac:dyDescent="0.35">
      <c r="A37" s="5"/>
      <c r="B37" s="2" t="s">
        <v>57</v>
      </c>
      <c r="C37" s="3" t="s">
        <v>58</v>
      </c>
      <c r="D37" s="4">
        <v>17000</v>
      </c>
      <c r="E37" s="4">
        <v>0</v>
      </c>
      <c r="F37" s="4">
        <v>17000</v>
      </c>
      <c r="G37" s="4">
        <v>0</v>
      </c>
      <c r="H37" s="4">
        <v>0</v>
      </c>
      <c r="I37" t="str">
        <f>_xlfn.XLOOKUP($B37,MD!$A$3:$A$100,MD!$C$3:$C$100)</f>
        <v>B4</v>
      </c>
      <c r="J37" t="str">
        <f>_xlfn.XLOOKUP($B37,MD!$A$3:$A$100,MD!$D$3:$D$100)</f>
        <v>DTR</v>
      </c>
    </row>
    <row r="38" spans="1:10" x14ac:dyDescent="0.35">
      <c r="A38" s="5"/>
      <c r="B38" s="2" t="s">
        <v>13</v>
      </c>
      <c r="C38" s="3" t="s">
        <v>14</v>
      </c>
      <c r="D38" s="4">
        <v>15700</v>
      </c>
      <c r="E38" s="4">
        <v>8413.3971291866037</v>
      </c>
      <c r="F38" s="4">
        <v>1201.9138755980862</v>
      </c>
      <c r="G38" s="4">
        <v>5825.5263157894733</v>
      </c>
      <c r="H38" s="4">
        <v>259.16267942583727</v>
      </c>
      <c r="I38" t="str">
        <f>_xlfn.XLOOKUP($B38,MD!$A$3:$A$100,MD!$C$3:$C$100)</f>
        <v>B2</v>
      </c>
      <c r="J38" t="str">
        <f>_xlfn.XLOOKUP($B38,MD!$A$3:$A$100,MD!$D$3:$D$100)</f>
        <v>DTR</v>
      </c>
    </row>
    <row r="39" spans="1:10" x14ac:dyDescent="0.35">
      <c r="A39" s="5"/>
      <c r="B39" s="2" t="s">
        <v>59</v>
      </c>
      <c r="C39" s="3" t="s">
        <v>60</v>
      </c>
      <c r="D39" s="4">
        <v>11000</v>
      </c>
      <c r="E39" s="4">
        <v>8962.9629629629635</v>
      </c>
      <c r="F39" s="4">
        <v>1629.6296296296296</v>
      </c>
      <c r="G39" s="4">
        <v>399.25925925925924</v>
      </c>
      <c r="H39" s="4">
        <v>8.1481481481476976</v>
      </c>
      <c r="I39" t="str">
        <f>_xlfn.XLOOKUP($B39,MD!$A$3:$A$100,MD!$C$3:$C$100)</f>
        <v>B3</v>
      </c>
      <c r="J39" t="str">
        <f>_xlfn.XLOOKUP($B39,MD!$A$3:$A$100,MD!$D$3:$D$100)</f>
        <v>DTR</v>
      </c>
    </row>
    <row r="40" spans="1:10" x14ac:dyDescent="0.35">
      <c r="A40" s="5"/>
      <c r="B40" s="2" t="s">
        <v>37</v>
      </c>
      <c r="C40" s="3" t="s">
        <v>38</v>
      </c>
      <c r="D40" s="4">
        <v>10000</v>
      </c>
      <c r="E40" s="4">
        <v>4906.8322981366464</v>
      </c>
      <c r="F40" s="4">
        <v>4285.7142857142862</v>
      </c>
      <c r="G40" s="4">
        <v>760.24844720496901</v>
      </c>
      <c r="H40" s="4">
        <v>47.204968944098368</v>
      </c>
      <c r="I40" t="str">
        <f>_xlfn.XLOOKUP($B40,MD!$A$3:$A$100,MD!$C$3:$C$100)</f>
        <v>B1</v>
      </c>
      <c r="J40" t="str">
        <f>_xlfn.XLOOKUP($B40,MD!$A$3:$A$100,MD!$D$3:$D$100)</f>
        <v>DTR</v>
      </c>
    </row>
    <row r="41" spans="1:10" x14ac:dyDescent="0.35">
      <c r="A41" s="5"/>
      <c r="B41" s="2" t="s">
        <v>61</v>
      </c>
      <c r="C41" s="3" t="s">
        <v>62</v>
      </c>
      <c r="D41" s="4">
        <v>7506</v>
      </c>
      <c r="E41" s="4">
        <v>0</v>
      </c>
      <c r="F41" s="4">
        <v>7506</v>
      </c>
      <c r="G41" s="4">
        <v>0</v>
      </c>
      <c r="H41" s="4">
        <v>0</v>
      </c>
      <c r="I41" t="str">
        <f>_xlfn.XLOOKUP($B41,MD!$A$3:$A$100,MD!$C$3:$C$100)</f>
        <v>B4</v>
      </c>
      <c r="J41" t="str">
        <f>_xlfn.XLOOKUP($B41,MD!$A$3:$A$100,MD!$D$3:$D$100)</f>
        <v>MN</v>
      </c>
    </row>
    <row r="42" spans="1:10" x14ac:dyDescent="0.35">
      <c r="A42" s="5"/>
      <c r="B42" s="2" t="s">
        <v>63</v>
      </c>
      <c r="C42" s="3" t="s">
        <v>64</v>
      </c>
      <c r="D42" s="4">
        <v>5200</v>
      </c>
      <c r="E42" s="4">
        <v>2786.6028708133972</v>
      </c>
      <c r="F42" s="4">
        <v>398.08612440191388</v>
      </c>
      <c r="G42" s="4">
        <v>1929.4736842105262</v>
      </c>
      <c r="H42" s="4">
        <v>85.837320574162732</v>
      </c>
      <c r="I42" t="str">
        <f>_xlfn.XLOOKUP($B42,MD!$A$3:$A$100,MD!$C$3:$C$100)</f>
        <v>B2</v>
      </c>
      <c r="J42" t="str">
        <f>_xlfn.XLOOKUP($B42,MD!$A$3:$A$100,MD!$D$3:$D$100)</f>
        <v>DTR</v>
      </c>
    </row>
    <row r="43" spans="1:10" x14ac:dyDescent="0.35">
      <c r="A43" s="5"/>
      <c r="B43" s="2" t="s">
        <v>65</v>
      </c>
      <c r="C43" s="3" t="s">
        <v>66</v>
      </c>
      <c r="D43" s="4">
        <v>2500</v>
      </c>
      <c r="E43" s="4">
        <v>2037.037037037037</v>
      </c>
      <c r="F43" s="4">
        <v>370.37037037037038</v>
      </c>
      <c r="G43" s="4">
        <v>90.740740740740748</v>
      </c>
      <c r="H43" s="4">
        <v>1.8518518518519187</v>
      </c>
      <c r="I43" t="str">
        <f>_xlfn.XLOOKUP($B43,MD!$A$3:$A$100,MD!$C$3:$C$100)</f>
        <v>B3</v>
      </c>
      <c r="J43" t="str">
        <f>_xlfn.XLOOKUP($B43,MD!$A$3:$A$100,MD!$D$3:$D$100)</f>
        <v>DTR</v>
      </c>
    </row>
    <row r="44" spans="1:10" x14ac:dyDescent="0.35">
      <c r="A44" s="5"/>
      <c r="B44" s="2" t="s">
        <v>67</v>
      </c>
      <c r="C44" s="3" t="s">
        <v>68</v>
      </c>
      <c r="D44" s="4">
        <v>2000</v>
      </c>
      <c r="E44" s="4">
        <v>885.60885608856086</v>
      </c>
      <c r="F44" s="4">
        <v>1070.1107011070112</v>
      </c>
      <c r="G44" s="4">
        <v>23.985239852398525</v>
      </c>
      <c r="H44" s="4">
        <v>20.295202952029296</v>
      </c>
      <c r="I44" t="str">
        <f>_xlfn.XLOOKUP($B44,MD!$A$3:$A$100,MD!$C$3:$C$100)</f>
        <v>B1</v>
      </c>
      <c r="J44" t="str">
        <f>_xlfn.XLOOKUP($B44,MD!$A$3:$A$100,MD!$D$3:$D$100)</f>
        <v>MN</v>
      </c>
    </row>
    <row r="45" spans="1:10" x14ac:dyDescent="0.35">
      <c r="A45" s="5"/>
      <c r="B45" s="2" t="s">
        <v>69</v>
      </c>
      <c r="C45" s="3" t="s">
        <v>70</v>
      </c>
      <c r="D45" s="4">
        <v>2000</v>
      </c>
      <c r="E45" s="4">
        <v>885.60885608856086</v>
      </c>
      <c r="F45" s="4">
        <v>1070.1107011070112</v>
      </c>
      <c r="G45" s="4">
        <v>23.985239852398525</v>
      </c>
      <c r="H45" s="4">
        <v>20.295202952029296</v>
      </c>
      <c r="I45" t="str">
        <f>_xlfn.XLOOKUP($B45,MD!$A$3:$A$100,MD!$C$3:$C$100)</f>
        <v>B1</v>
      </c>
      <c r="J45" t="str">
        <f>_xlfn.XLOOKUP($B45,MD!$A$3:$A$100,MD!$D$3:$D$100)</f>
        <v>MN</v>
      </c>
    </row>
    <row r="46" spans="1:10" x14ac:dyDescent="0.35">
      <c r="A46" s="5"/>
      <c r="B46" s="2" t="s">
        <v>71</v>
      </c>
      <c r="C46" s="3" t="s">
        <v>72</v>
      </c>
      <c r="D46" s="4">
        <v>1494</v>
      </c>
      <c r="E46" s="4">
        <v>0</v>
      </c>
      <c r="F46" s="4">
        <v>1494</v>
      </c>
      <c r="G46" s="4">
        <v>0</v>
      </c>
      <c r="H46" s="4">
        <v>0</v>
      </c>
      <c r="I46" t="str">
        <f>_xlfn.XLOOKUP($B46,MD!$A$3:$A$100,MD!$C$3:$C$100)</f>
        <v>B4</v>
      </c>
      <c r="J46" t="str">
        <f>_xlfn.XLOOKUP($B46,MD!$A$3:$A$100,MD!$D$3:$D$100)</f>
        <v>MN</v>
      </c>
    </row>
    <row r="47" spans="1:10" x14ac:dyDescent="0.35">
      <c r="A47" s="6"/>
      <c r="B47" s="2" t="s">
        <v>73</v>
      </c>
      <c r="C47" s="3" t="s">
        <v>74</v>
      </c>
      <c r="D47" s="4">
        <v>500</v>
      </c>
      <c r="E47" s="4">
        <v>0</v>
      </c>
      <c r="F47" s="4">
        <v>500</v>
      </c>
      <c r="G47" s="4">
        <v>0</v>
      </c>
      <c r="H47" s="4">
        <v>0</v>
      </c>
      <c r="I47" t="str">
        <f>_xlfn.XLOOKUP($B47,MD!$A$3:$A$100,MD!$C$3:$C$100)</f>
        <v>B4</v>
      </c>
      <c r="J47" t="str">
        <f>_xlfn.XLOOKUP($B47,MD!$A$3:$A$100,MD!$D$3:$D$100)</f>
        <v>DTR</v>
      </c>
    </row>
    <row r="48" spans="1:10" x14ac:dyDescent="0.35">
      <c r="A48" s="7" t="s">
        <v>75</v>
      </c>
      <c r="B48" s="7"/>
      <c r="C48" s="7"/>
      <c r="D48" s="8">
        <v>2625393.0000000009</v>
      </c>
      <c r="E48" s="8">
        <v>1407200</v>
      </c>
      <c r="F48" s="8">
        <v>1067600.0000000002</v>
      </c>
      <c r="G48" s="8">
        <v>139576.49999999997</v>
      </c>
      <c r="H48" s="8">
        <v>11016.500000000728</v>
      </c>
    </row>
    <row r="49" spans="1:10" x14ac:dyDescent="0.35">
      <c r="A49" s="1" t="s">
        <v>76</v>
      </c>
      <c r="B49" s="2" t="s">
        <v>9</v>
      </c>
      <c r="C49" s="3" t="s">
        <v>10</v>
      </c>
      <c r="D49" s="4">
        <v>1499112.0000000005</v>
      </c>
      <c r="E49" s="4">
        <v>506000</v>
      </c>
      <c r="F49" s="4">
        <v>912500</v>
      </c>
      <c r="G49" s="4">
        <v>75806.899999999994</v>
      </c>
      <c r="H49" s="4">
        <v>4805.1000000004715</v>
      </c>
      <c r="I49" t="str">
        <f>_xlfn.XLOOKUP($B49,MD!$A$3:$A$100,MD!$C$3:$C$100)</f>
        <v>B1</v>
      </c>
      <c r="J49" t="str">
        <f>_xlfn.XLOOKUP($B49,MD!$A$3:$A$100,MD!$D$3:$D$100)</f>
        <v>MN</v>
      </c>
    </row>
    <row r="50" spans="1:10" x14ac:dyDescent="0.35">
      <c r="A50" s="5"/>
      <c r="B50" s="2" t="s">
        <v>17</v>
      </c>
      <c r="C50" s="3" t="s">
        <v>18</v>
      </c>
      <c r="D50" s="4">
        <v>243000</v>
      </c>
      <c r="E50" s="4">
        <v>65000</v>
      </c>
      <c r="F50" s="4">
        <v>169000</v>
      </c>
      <c r="G50" s="4">
        <v>8410</v>
      </c>
      <c r="H50" s="4">
        <v>590</v>
      </c>
      <c r="I50" t="str">
        <f>_xlfn.XLOOKUP($B50,MD!$A$3:$A$100,MD!$C$3:$C$100)</f>
        <v>B6</v>
      </c>
      <c r="J50" t="str">
        <f>_xlfn.XLOOKUP($B50,MD!$A$3:$A$100,MD!$D$3:$D$100)</f>
        <v>DTR</v>
      </c>
    </row>
    <row r="51" spans="1:10" x14ac:dyDescent="0.35">
      <c r="A51" s="5"/>
      <c r="B51" s="2" t="s">
        <v>11</v>
      </c>
      <c r="C51" s="3" t="s">
        <v>12</v>
      </c>
      <c r="D51" s="4">
        <v>150584.77000000002</v>
      </c>
      <c r="E51" s="4">
        <v>85191.829361301847</v>
      </c>
      <c r="F51" s="4">
        <v>55589.898937546553</v>
      </c>
      <c r="G51" s="4">
        <v>9241.9612339920259</v>
      </c>
      <c r="H51" s="4">
        <v>561.08046715959244</v>
      </c>
      <c r="I51" t="str">
        <f>_xlfn.XLOOKUP($B51,MD!$A$3:$A$100,MD!$C$3:$C$100)</f>
        <v>B1</v>
      </c>
      <c r="J51" t="str">
        <f>_xlfn.XLOOKUP($B51,MD!$A$3:$A$100,MD!$D$3:$D$100)</f>
        <v>DTR</v>
      </c>
    </row>
    <row r="52" spans="1:10" x14ac:dyDescent="0.35">
      <c r="A52" s="5"/>
      <c r="B52" s="2" t="s">
        <v>49</v>
      </c>
      <c r="C52" s="3" t="s">
        <v>50</v>
      </c>
      <c r="D52" s="4">
        <v>129000</v>
      </c>
      <c r="E52" s="4">
        <v>74500</v>
      </c>
      <c r="F52" s="4">
        <v>47500</v>
      </c>
      <c r="G52" s="4">
        <v>6435</v>
      </c>
      <c r="H52" s="4">
        <v>565</v>
      </c>
      <c r="I52" t="str">
        <f>_xlfn.XLOOKUP($B52,MD!$A$3:$A$100,MD!$C$3:$C$100)</f>
        <v>B1</v>
      </c>
      <c r="J52" t="str">
        <f>_xlfn.XLOOKUP($B52,MD!$A$3:$A$100,MD!$D$3:$D$100)</f>
        <v>DTR</v>
      </c>
    </row>
    <row r="53" spans="1:10" x14ac:dyDescent="0.35">
      <c r="A53" s="5"/>
      <c r="B53" s="2" t="s">
        <v>27</v>
      </c>
      <c r="C53" s="3" t="s">
        <v>28</v>
      </c>
      <c r="D53" s="4">
        <v>67500.000000000015</v>
      </c>
      <c r="E53" s="4">
        <v>64100</v>
      </c>
      <c r="F53" s="4">
        <v>700</v>
      </c>
      <c r="G53" s="4">
        <v>2450</v>
      </c>
      <c r="H53" s="4">
        <v>250.00000000001455</v>
      </c>
      <c r="I53" t="str">
        <f>_xlfn.XLOOKUP($B53,MD!$A$3:$A$100,MD!$C$3:$C$100)</f>
        <v>B7</v>
      </c>
      <c r="J53" t="str">
        <f>_xlfn.XLOOKUP($B53,MD!$A$3:$A$100,MD!$D$3:$D$100)</f>
        <v>DTR</v>
      </c>
    </row>
    <row r="54" spans="1:10" x14ac:dyDescent="0.35">
      <c r="A54" s="5"/>
      <c r="B54" s="2" t="s">
        <v>15</v>
      </c>
      <c r="C54" s="3" t="s">
        <v>16</v>
      </c>
      <c r="D54" s="4">
        <v>57278</v>
      </c>
      <c r="E54" s="4">
        <v>14500</v>
      </c>
      <c r="F54" s="4">
        <v>40500</v>
      </c>
      <c r="G54" s="4">
        <v>1700</v>
      </c>
      <c r="H54" s="4">
        <v>578</v>
      </c>
      <c r="I54" t="str">
        <f>_xlfn.XLOOKUP($B54,MD!$A$3:$A$100,MD!$C$3:$C$100)</f>
        <v>B1</v>
      </c>
      <c r="J54" t="str">
        <f>_xlfn.XLOOKUP($B54,MD!$A$3:$A$100,MD!$D$3:$D$100)</f>
        <v>MN</v>
      </c>
    </row>
    <row r="55" spans="1:10" x14ac:dyDescent="0.35">
      <c r="A55" s="5"/>
      <c r="B55" s="2" t="s">
        <v>25</v>
      </c>
      <c r="C55" s="3" t="s">
        <v>26</v>
      </c>
      <c r="D55" s="4">
        <v>29287</v>
      </c>
      <c r="E55" s="4">
        <v>22500</v>
      </c>
      <c r="F55" s="4">
        <v>2000</v>
      </c>
      <c r="G55" s="4">
        <v>4676</v>
      </c>
      <c r="H55" s="4">
        <v>111</v>
      </c>
      <c r="I55" t="str">
        <f>_xlfn.XLOOKUP($B55,MD!$A$3:$A$100,MD!$C$3:$C$100)</f>
        <v>B6</v>
      </c>
      <c r="J55" t="str">
        <f>_xlfn.XLOOKUP($B55,MD!$A$3:$A$100,MD!$D$3:$D$100)</f>
        <v>DTR</v>
      </c>
    </row>
    <row r="56" spans="1:10" x14ac:dyDescent="0.35">
      <c r="A56" s="5"/>
      <c r="B56" s="2" t="s">
        <v>37</v>
      </c>
      <c r="C56" s="3" t="s">
        <v>38</v>
      </c>
      <c r="D56" s="4">
        <v>26000.000000000004</v>
      </c>
      <c r="E56" s="4">
        <v>16308.17063869816</v>
      </c>
      <c r="F56" s="4">
        <v>7410.1010624534483</v>
      </c>
      <c r="G56" s="4">
        <v>2105.0387660079737</v>
      </c>
      <c r="H56" s="4">
        <v>176.68953284042118</v>
      </c>
      <c r="I56" t="str">
        <f>_xlfn.XLOOKUP($B56,MD!$A$3:$A$100,MD!$C$3:$C$100)</f>
        <v>B1</v>
      </c>
      <c r="J56" t="str">
        <f>_xlfn.XLOOKUP($B56,MD!$A$3:$A$100,MD!$D$3:$D$100)</f>
        <v>DTR</v>
      </c>
    </row>
    <row r="57" spans="1:10" x14ac:dyDescent="0.35">
      <c r="A57" s="5"/>
      <c r="B57" s="2" t="s">
        <v>77</v>
      </c>
      <c r="C57" s="3" t="s">
        <v>78</v>
      </c>
      <c r="D57" s="4">
        <v>18000</v>
      </c>
      <c r="E57" s="4">
        <v>0</v>
      </c>
      <c r="F57" s="4">
        <v>17500</v>
      </c>
      <c r="G57" s="4">
        <v>400</v>
      </c>
      <c r="H57" s="4">
        <v>100</v>
      </c>
      <c r="I57" t="str">
        <f>_xlfn.XLOOKUP($B57,MD!$A$3:$A$100,MD!$C$3:$C$100)</f>
        <v>B6</v>
      </c>
      <c r="J57" t="str">
        <f>_xlfn.XLOOKUP($B57,MD!$A$3:$A$100,MD!$D$3:$D$100)</f>
        <v>DTR</v>
      </c>
    </row>
    <row r="58" spans="1:10" x14ac:dyDescent="0.35">
      <c r="A58" s="5"/>
      <c r="B58" s="2" t="s">
        <v>79</v>
      </c>
      <c r="C58" s="3" t="s">
        <v>80</v>
      </c>
      <c r="D58" s="4">
        <v>17000</v>
      </c>
      <c r="E58" s="4">
        <v>12142.857142857143</v>
      </c>
      <c r="F58" s="4">
        <v>3238.0952380952381</v>
      </c>
      <c r="G58" s="4">
        <v>1578.5714285714284</v>
      </c>
      <c r="H58" s="4">
        <v>40.476190476190368</v>
      </c>
      <c r="I58" t="str">
        <f>_xlfn.XLOOKUP($B58,MD!$A$3:$A$100,MD!$C$3:$C$100)</f>
        <v>B1</v>
      </c>
      <c r="J58" t="str">
        <f>_xlfn.XLOOKUP($B58,MD!$A$3:$A$100,MD!$D$3:$D$100)</f>
        <v>MN</v>
      </c>
    </row>
    <row r="59" spans="1:10" x14ac:dyDescent="0.35">
      <c r="A59" s="5"/>
      <c r="B59" s="2" t="s">
        <v>31</v>
      </c>
      <c r="C59" s="3" t="s">
        <v>32</v>
      </c>
      <c r="D59" s="4">
        <v>13986</v>
      </c>
      <c r="E59" s="4">
        <v>3500</v>
      </c>
      <c r="F59" s="4">
        <v>9500</v>
      </c>
      <c r="G59" s="4">
        <v>900</v>
      </c>
      <c r="H59" s="4">
        <v>86</v>
      </c>
      <c r="I59" t="str">
        <f>_xlfn.XLOOKUP($B59,MD!$A$3:$A$100,MD!$C$3:$C$100)</f>
        <v>B1</v>
      </c>
      <c r="J59" t="str">
        <f>_xlfn.XLOOKUP($B59,MD!$A$3:$A$100,MD!$D$3:$D$100)</f>
        <v>MN</v>
      </c>
    </row>
    <row r="60" spans="1:10" x14ac:dyDescent="0.35">
      <c r="A60" s="6"/>
      <c r="B60" s="2" t="s">
        <v>19</v>
      </c>
      <c r="C60" s="3" t="s">
        <v>20</v>
      </c>
      <c r="D60" s="4">
        <v>4000.0000000000005</v>
      </c>
      <c r="E60" s="4">
        <v>2857.1428571428573</v>
      </c>
      <c r="F60" s="4">
        <v>761.90476190476193</v>
      </c>
      <c r="G60" s="4">
        <v>371.42857142857144</v>
      </c>
      <c r="H60" s="4">
        <v>9.5238095238097458</v>
      </c>
      <c r="I60" t="str">
        <f>_xlfn.XLOOKUP($B60,MD!$A$3:$A$100,MD!$C$3:$C$100)</f>
        <v>B1</v>
      </c>
      <c r="J60" t="str">
        <f>_xlfn.XLOOKUP($B60,MD!$A$3:$A$100,MD!$D$3:$D$100)</f>
        <v>MN</v>
      </c>
    </row>
    <row r="61" spans="1:10" x14ac:dyDescent="0.35">
      <c r="A61" s="7" t="s">
        <v>81</v>
      </c>
      <c r="B61" s="7"/>
      <c r="C61" s="7"/>
      <c r="D61" s="8">
        <v>2254747.7699999991</v>
      </c>
      <c r="E61" s="8">
        <v>866600</v>
      </c>
      <c r="F61" s="8">
        <v>1266200</v>
      </c>
      <c r="G61" s="8">
        <v>114074.9</v>
      </c>
      <c r="H61" s="8">
        <v>7872.8699999990931</v>
      </c>
    </row>
    <row r="62" spans="1:10" x14ac:dyDescent="0.35">
      <c r="A62" s="1" t="s">
        <v>82</v>
      </c>
      <c r="B62" s="2" t="s">
        <v>9</v>
      </c>
      <c r="C62" s="3" t="s">
        <v>10</v>
      </c>
      <c r="D62" s="4">
        <v>3315668</v>
      </c>
      <c r="E62" s="4">
        <v>1053500</v>
      </c>
      <c r="F62" s="4">
        <v>2130000</v>
      </c>
      <c r="G62" s="4">
        <v>101872</v>
      </c>
      <c r="H62" s="4">
        <v>30296</v>
      </c>
      <c r="I62" t="str">
        <f>_xlfn.XLOOKUP($B62,MD!$A$3:$A$100,MD!$C$3:$C$100)</f>
        <v>B1</v>
      </c>
      <c r="J62" t="str">
        <f>_xlfn.XLOOKUP($B62,MD!$A$3:$A$100,MD!$D$3:$D$100)</f>
        <v>MN</v>
      </c>
    </row>
    <row r="63" spans="1:10" x14ac:dyDescent="0.35">
      <c r="A63" s="5"/>
      <c r="B63" s="2" t="s">
        <v>25</v>
      </c>
      <c r="C63" s="3" t="s">
        <v>26</v>
      </c>
      <c r="D63" s="4">
        <v>311591.99999999994</v>
      </c>
      <c r="E63" s="4">
        <v>218000</v>
      </c>
      <c r="F63" s="4">
        <v>38500</v>
      </c>
      <c r="G63" s="4">
        <v>47361</v>
      </c>
      <c r="H63" s="4">
        <v>7730.9999999999418</v>
      </c>
      <c r="I63" t="str">
        <f>_xlfn.XLOOKUP($B63,MD!$A$3:$A$100,MD!$C$3:$C$100)</f>
        <v>B6</v>
      </c>
      <c r="J63" t="str">
        <f>_xlfn.XLOOKUP($B63,MD!$A$3:$A$100,MD!$D$3:$D$100)</f>
        <v>DTR</v>
      </c>
    </row>
    <row r="64" spans="1:10" x14ac:dyDescent="0.35">
      <c r="A64" s="5"/>
      <c r="B64" s="2" t="s">
        <v>11</v>
      </c>
      <c r="C64" s="3" t="s">
        <v>12</v>
      </c>
      <c r="D64" s="4">
        <v>302199.99999999994</v>
      </c>
      <c r="E64" s="4">
        <v>178924.64301348216</v>
      </c>
      <c r="F64" s="4">
        <v>107087.49355947248</v>
      </c>
      <c r="G64" s="4">
        <v>11705.165304063226</v>
      </c>
      <c r="H64" s="4">
        <v>4482.6981229820776</v>
      </c>
      <c r="I64" t="str">
        <f>_xlfn.XLOOKUP($B64,MD!$A$3:$A$100,MD!$C$3:$C$100)</f>
        <v>B1</v>
      </c>
      <c r="J64" t="str">
        <f>_xlfn.XLOOKUP($B64,MD!$A$3:$A$100,MD!$D$3:$D$100)</f>
        <v>DTR</v>
      </c>
    </row>
    <row r="65" spans="1:10" x14ac:dyDescent="0.35">
      <c r="A65" s="5"/>
      <c r="B65" s="2" t="s">
        <v>17</v>
      </c>
      <c r="C65" s="3" t="s">
        <v>18</v>
      </c>
      <c r="D65" s="4">
        <v>182000</v>
      </c>
      <c r="E65" s="4">
        <v>81500</v>
      </c>
      <c r="F65" s="4">
        <v>90000</v>
      </c>
      <c r="G65" s="4">
        <v>9953</v>
      </c>
      <c r="H65" s="4">
        <v>547</v>
      </c>
      <c r="I65" t="str">
        <f>_xlfn.XLOOKUP($B65,MD!$A$3:$A$100,MD!$C$3:$C$100)</f>
        <v>B6</v>
      </c>
      <c r="J65" t="str">
        <f>_xlfn.XLOOKUP($B65,MD!$A$3:$A$100,MD!$D$3:$D$100)</f>
        <v>DTR</v>
      </c>
    </row>
    <row r="66" spans="1:10" x14ac:dyDescent="0.35">
      <c r="A66" s="5"/>
      <c r="B66" s="2" t="s">
        <v>15</v>
      </c>
      <c r="C66" s="3" t="s">
        <v>16</v>
      </c>
      <c r="D66" s="4">
        <v>111394.32799999999</v>
      </c>
      <c r="E66" s="4">
        <v>48500</v>
      </c>
      <c r="F66" s="4">
        <v>54500</v>
      </c>
      <c r="G66" s="4">
        <v>5738</v>
      </c>
      <c r="H66" s="4">
        <v>2656.3279999999941</v>
      </c>
      <c r="I66" t="str">
        <f>_xlfn.XLOOKUP($B66,MD!$A$3:$A$100,MD!$C$3:$C$100)</f>
        <v>B1</v>
      </c>
      <c r="J66" t="str">
        <f>_xlfn.XLOOKUP($B66,MD!$A$3:$A$100,MD!$D$3:$D$100)</f>
        <v>MN</v>
      </c>
    </row>
    <row r="67" spans="1:10" x14ac:dyDescent="0.35">
      <c r="A67" s="5"/>
      <c r="B67" s="2" t="s">
        <v>39</v>
      </c>
      <c r="C67" s="3" t="s">
        <v>40</v>
      </c>
      <c r="D67" s="4">
        <v>107300</v>
      </c>
      <c r="E67" s="4">
        <v>10934.065934065933</v>
      </c>
      <c r="F67" s="4">
        <v>90423.076923076922</v>
      </c>
      <c r="G67" s="4">
        <v>4429.802197802198</v>
      </c>
      <c r="H67" s="4">
        <v>1513.054945054947</v>
      </c>
      <c r="I67" t="str">
        <f>_xlfn.XLOOKUP($B67,MD!$A$3:$A$100,MD!$C$3:$C$100)</f>
        <v>B6</v>
      </c>
      <c r="J67" t="str">
        <f>_xlfn.XLOOKUP($B67,MD!$A$3:$A$100,MD!$D$3:$D$100)</f>
        <v>DTR</v>
      </c>
    </row>
    <row r="68" spans="1:10" x14ac:dyDescent="0.35">
      <c r="A68" s="5"/>
      <c r="B68" s="2" t="s">
        <v>33</v>
      </c>
      <c r="C68" s="3" t="s">
        <v>34</v>
      </c>
      <c r="D68" s="4">
        <v>105787</v>
      </c>
      <c r="E68" s="4">
        <v>20500</v>
      </c>
      <c r="F68" s="4">
        <v>79500</v>
      </c>
      <c r="G68" s="4">
        <v>3990</v>
      </c>
      <c r="H68" s="4">
        <v>1797</v>
      </c>
      <c r="I68" t="str">
        <f>_xlfn.XLOOKUP($B68,MD!$A$3:$A$100,MD!$C$3:$C$100)</f>
        <v>B1</v>
      </c>
      <c r="J68" t="str">
        <f>_xlfn.XLOOKUP($B68,MD!$A$3:$A$100,MD!$D$3:$D$100)</f>
        <v>MN</v>
      </c>
    </row>
    <row r="69" spans="1:10" x14ac:dyDescent="0.35">
      <c r="A69" s="5"/>
      <c r="B69" s="2" t="s">
        <v>37</v>
      </c>
      <c r="C69" s="3" t="s">
        <v>38</v>
      </c>
      <c r="D69" s="4">
        <v>88099.999999999985</v>
      </c>
      <c r="E69" s="4">
        <v>57075.356986517821</v>
      </c>
      <c r="F69" s="4">
        <v>25112.506440527526</v>
      </c>
      <c r="G69" s="4">
        <v>4033.8346959367732</v>
      </c>
      <c r="H69" s="4">
        <v>1878.3018770178646</v>
      </c>
      <c r="I69" t="str">
        <f>_xlfn.XLOOKUP($B69,MD!$A$3:$A$100,MD!$C$3:$C$100)</f>
        <v>B1</v>
      </c>
      <c r="J69" t="str">
        <f>_xlfn.XLOOKUP($B69,MD!$A$3:$A$100,MD!$D$3:$D$100)</f>
        <v>DTR</v>
      </c>
    </row>
    <row r="70" spans="1:10" x14ac:dyDescent="0.35">
      <c r="A70" s="5"/>
      <c r="B70" s="2" t="s">
        <v>31</v>
      </c>
      <c r="C70" s="3" t="s">
        <v>32</v>
      </c>
      <c r="D70" s="4">
        <v>56033.999999999993</v>
      </c>
      <c r="E70" s="4">
        <v>22000</v>
      </c>
      <c r="F70" s="4">
        <v>32500</v>
      </c>
      <c r="G70" s="4">
        <v>1116</v>
      </c>
      <c r="H70" s="4">
        <v>417.99999999999272</v>
      </c>
      <c r="I70" t="str">
        <f>_xlfn.XLOOKUP($B70,MD!$A$3:$A$100,MD!$C$3:$C$100)</f>
        <v>B1</v>
      </c>
      <c r="J70" t="str">
        <f>_xlfn.XLOOKUP($B70,MD!$A$3:$A$100,MD!$D$3:$D$100)</f>
        <v>MN</v>
      </c>
    </row>
    <row r="71" spans="1:10" x14ac:dyDescent="0.35">
      <c r="A71" s="5"/>
      <c r="B71" s="2" t="s">
        <v>13</v>
      </c>
      <c r="C71" s="3" t="s">
        <v>14</v>
      </c>
      <c r="D71" s="4">
        <v>55600</v>
      </c>
      <c r="E71" s="4">
        <v>28000</v>
      </c>
      <c r="F71" s="4">
        <v>26800</v>
      </c>
      <c r="G71" s="4">
        <v>150</v>
      </c>
      <c r="H71" s="4">
        <v>650</v>
      </c>
      <c r="I71" t="str">
        <f>_xlfn.XLOOKUP($B71,MD!$A$3:$A$100,MD!$C$3:$C$100)</f>
        <v>B2</v>
      </c>
      <c r="J71" t="str">
        <f>_xlfn.XLOOKUP($B71,MD!$A$3:$A$100,MD!$D$3:$D$100)</f>
        <v>DTR</v>
      </c>
    </row>
    <row r="72" spans="1:10" x14ac:dyDescent="0.35">
      <c r="A72" s="5"/>
      <c r="B72" s="2" t="s">
        <v>27</v>
      </c>
      <c r="C72" s="3" t="s">
        <v>28</v>
      </c>
      <c r="D72" s="4">
        <v>37432</v>
      </c>
      <c r="E72" s="4">
        <v>28000</v>
      </c>
      <c r="F72" s="4">
        <v>8400</v>
      </c>
      <c r="G72" s="4">
        <v>828</v>
      </c>
      <c r="H72" s="4">
        <v>204</v>
      </c>
      <c r="I72" t="str">
        <f>_xlfn.XLOOKUP($B72,MD!$A$3:$A$100,MD!$C$3:$C$100)</f>
        <v>B7</v>
      </c>
      <c r="J72" t="str">
        <f>_xlfn.XLOOKUP($B72,MD!$A$3:$A$100,MD!$D$3:$D$100)</f>
        <v>DTR</v>
      </c>
    </row>
    <row r="73" spans="1:10" x14ac:dyDescent="0.35">
      <c r="A73" s="5"/>
      <c r="B73" s="2" t="s">
        <v>57</v>
      </c>
      <c r="C73" s="3" t="s">
        <v>58</v>
      </c>
      <c r="D73" s="4">
        <v>30050</v>
      </c>
      <c r="E73" s="4">
        <v>2500</v>
      </c>
      <c r="F73" s="4">
        <v>27000</v>
      </c>
      <c r="G73" s="4">
        <v>350</v>
      </c>
      <c r="H73" s="4">
        <v>200</v>
      </c>
      <c r="I73" t="str">
        <f>_xlfn.XLOOKUP($B73,MD!$A$3:$A$100,MD!$C$3:$C$100)</f>
        <v>B4</v>
      </c>
      <c r="J73" t="str">
        <f>_xlfn.XLOOKUP($B73,MD!$A$3:$A$100,MD!$D$3:$D$100)</f>
        <v>DTR</v>
      </c>
    </row>
    <row r="74" spans="1:10" x14ac:dyDescent="0.35">
      <c r="A74" s="5"/>
      <c r="B74" s="2" t="s">
        <v>49</v>
      </c>
      <c r="C74" s="3" t="s">
        <v>50</v>
      </c>
      <c r="D74" s="4">
        <v>21500</v>
      </c>
      <c r="E74" s="4">
        <v>7329.545454545455</v>
      </c>
      <c r="F74" s="4">
        <v>13681.818181818182</v>
      </c>
      <c r="G74" s="4">
        <v>48.863636363636367</v>
      </c>
      <c r="H74" s="4">
        <v>439.77272727272577</v>
      </c>
      <c r="I74" t="str">
        <f>_xlfn.XLOOKUP($B74,MD!$A$3:$A$100,MD!$C$3:$C$100)</f>
        <v>B1</v>
      </c>
      <c r="J74" t="str">
        <f>_xlfn.XLOOKUP($B74,MD!$A$3:$A$100,MD!$D$3:$D$100)</f>
        <v>DTR</v>
      </c>
    </row>
    <row r="75" spans="1:10" x14ac:dyDescent="0.35">
      <c r="A75" s="5"/>
      <c r="B75" s="2" t="s">
        <v>83</v>
      </c>
      <c r="C75" s="3" t="s">
        <v>84</v>
      </c>
      <c r="D75" s="4">
        <v>15000</v>
      </c>
      <c r="E75" s="4">
        <v>2000</v>
      </c>
      <c r="F75" s="4">
        <v>13000</v>
      </c>
      <c r="G75" s="4">
        <v>0</v>
      </c>
      <c r="H75" s="4">
        <v>0</v>
      </c>
      <c r="I75" t="str">
        <f>_xlfn.XLOOKUP($B75,MD!$A$3:$A$100,MD!$C$3:$C$100)</f>
        <v>B6</v>
      </c>
      <c r="J75" t="str">
        <f>_xlfn.XLOOKUP($B75,MD!$A$3:$A$100,MD!$D$3:$D$100)</f>
        <v>DTR</v>
      </c>
    </row>
    <row r="76" spans="1:10" x14ac:dyDescent="0.35">
      <c r="A76" s="5"/>
      <c r="B76" s="2" t="s">
        <v>51</v>
      </c>
      <c r="C76" s="3" t="s">
        <v>52</v>
      </c>
      <c r="D76" s="4">
        <v>10000</v>
      </c>
      <c r="E76" s="4">
        <v>8571.4285714285706</v>
      </c>
      <c r="F76" s="4">
        <v>952.38095238095241</v>
      </c>
      <c r="G76" s="4">
        <v>452.38095238095241</v>
      </c>
      <c r="H76" s="4">
        <v>23.809523809524535</v>
      </c>
      <c r="I76" t="str">
        <f>_xlfn.XLOOKUP($B76,MD!$A$3:$A$100,MD!$C$3:$C$100)</f>
        <v>B1</v>
      </c>
      <c r="J76" t="str">
        <f>_xlfn.XLOOKUP($B76,MD!$A$3:$A$100,MD!$D$3:$D$100)</f>
        <v>DTR</v>
      </c>
    </row>
    <row r="77" spans="1:10" x14ac:dyDescent="0.35">
      <c r="A77" s="5"/>
      <c r="B77" s="2" t="s">
        <v>85</v>
      </c>
      <c r="C77" s="3" t="s">
        <v>86</v>
      </c>
      <c r="D77" s="4">
        <v>8000</v>
      </c>
      <c r="E77" s="4">
        <v>4500</v>
      </c>
      <c r="F77" s="4">
        <v>2500</v>
      </c>
      <c r="G77" s="4">
        <v>900</v>
      </c>
      <c r="H77" s="4">
        <v>100</v>
      </c>
      <c r="I77" t="str">
        <f>_xlfn.XLOOKUP($B77,MD!$A$3:$A$100,MD!$C$3:$C$100)</f>
        <v>B1</v>
      </c>
      <c r="J77" t="str">
        <f>_xlfn.XLOOKUP($B77,MD!$A$3:$A$100,MD!$D$3:$D$100)</f>
        <v>DTR</v>
      </c>
    </row>
    <row r="78" spans="1:10" x14ac:dyDescent="0.35">
      <c r="A78" s="5"/>
      <c r="B78" s="2" t="s">
        <v>23</v>
      </c>
      <c r="C78" s="3" t="s">
        <v>24</v>
      </c>
      <c r="D78" s="4">
        <v>6999.9999999999991</v>
      </c>
      <c r="E78" s="4">
        <v>6000</v>
      </c>
      <c r="F78" s="4">
        <v>666.66666666666663</v>
      </c>
      <c r="G78" s="4">
        <v>316.66666666666663</v>
      </c>
      <c r="H78" s="4">
        <v>16.666666666665833</v>
      </c>
      <c r="I78" t="str">
        <f>_xlfn.XLOOKUP($B78,MD!$A$3:$A$100,MD!$C$3:$C$100)</f>
        <v>B1</v>
      </c>
      <c r="J78" t="str">
        <f>_xlfn.XLOOKUP($B78,MD!$A$3:$A$100,MD!$D$3:$D$100)</f>
        <v>DTR</v>
      </c>
    </row>
    <row r="79" spans="1:10" x14ac:dyDescent="0.35">
      <c r="A79" s="5"/>
      <c r="B79" s="2" t="s">
        <v>59</v>
      </c>
      <c r="C79" s="3" t="s">
        <v>60</v>
      </c>
      <c r="D79" s="4">
        <v>6000</v>
      </c>
      <c r="E79" s="4">
        <v>3000</v>
      </c>
      <c r="F79" s="4">
        <v>3000</v>
      </c>
      <c r="G79" s="4">
        <v>0</v>
      </c>
      <c r="H79" s="4">
        <v>0</v>
      </c>
      <c r="I79" t="str">
        <f>_xlfn.XLOOKUP($B79,MD!$A$3:$A$100,MD!$C$3:$C$100)</f>
        <v>B3</v>
      </c>
      <c r="J79" t="str">
        <f>_xlfn.XLOOKUP($B79,MD!$A$3:$A$100,MD!$D$3:$D$100)</f>
        <v>DTR</v>
      </c>
    </row>
    <row r="80" spans="1:10" x14ac:dyDescent="0.35">
      <c r="A80" s="5"/>
      <c r="B80" s="2" t="s">
        <v>21</v>
      </c>
      <c r="C80" s="3" t="s">
        <v>22</v>
      </c>
      <c r="D80" s="4">
        <v>4000.0000000000005</v>
      </c>
      <c r="E80" s="4">
        <v>3428.5714285714284</v>
      </c>
      <c r="F80" s="4">
        <v>380.95238095238096</v>
      </c>
      <c r="G80" s="4">
        <v>180.95238095238096</v>
      </c>
      <c r="H80" s="4">
        <v>9.5238095238100868</v>
      </c>
      <c r="I80" t="str">
        <f>_xlfn.XLOOKUP($B80,MD!$A$3:$A$100,MD!$C$3:$C$100)</f>
        <v>B1</v>
      </c>
      <c r="J80" t="str">
        <f>_xlfn.XLOOKUP($B80,MD!$A$3:$A$100,MD!$D$3:$D$100)</f>
        <v>DTR</v>
      </c>
    </row>
    <row r="81" spans="1:10" x14ac:dyDescent="0.35">
      <c r="A81" s="5"/>
      <c r="B81" s="2" t="s">
        <v>87</v>
      </c>
      <c r="C81" s="3" t="s">
        <v>88</v>
      </c>
      <c r="D81" s="4">
        <v>3500</v>
      </c>
      <c r="E81" s="4">
        <v>2670.4545454545455</v>
      </c>
      <c r="F81" s="4">
        <v>818.18181818181824</v>
      </c>
      <c r="G81" s="4">
        <v>1.1363636363636365</v>
      </c>
      <c r="H81" s="4">
        <v>10.227272727272624</v>
      </c>
      <c r="I81" t="str">
        <f>_xlfn.XLOOKUP($B81,MD!$A$3:$A$100,MD!$C$3:$C$100)</f>
        <v>B1</v>
      </c>
      <c r="J81" t="str">
        <f>_xlfn.XLOOKUP($B81,MD!$A$3:$A$100,MD!$D$3:$D$100)</f>
        <v>DTR</v>
      </c>
    </row>
    <row r="82" spans="1:10" x14ac:dyDescent="0.35">
      <c r="A82" s="6"/>
      <c r="B82" s="2" t="s">
        <v>89</v>
      </c>
      <c r="C82" s="3" t="s">
        <v>90</v>
      </c>
      <c r="D82" s="4">
        <v>1200</v>
      </c>
      <c r="E82" s="4">
        <v>65.934065934065927</v>
      </c>
      <c r="F82" s="4">
        <v>1076.9230769230769</v>
      </c>
      <c r="G82" s="4">
        <v>38.197802197802204</v>
      </c>
      <c r="H82" s="4">
        <v>18.945054945054906</v>
      </c>
      <c r="I82" t="str">
        <f>_xlfn.XLOOKUP($B82,MD!$A$3:$A$100,MD!$C$3:$C$100)</f>
        <v>B6</v>
      </c>
      <c r="J82" t="str">
        <f>_xlfn.XLOOKUP($B82,MD!$A$3:$A$100,MD!$D$3:$D$100)</f>
        <v>DTR</v>
      </c>
    </row>
    <row r="83" spans="1:10" x14ac:dyDescent="0.35">
      <c r="A83" s="7" t="s">
        <v>91</v>
      </c>
      <c r="B83" s="7"/>
      <c r="C83" s="7"/>
      <c r="D83" s="8">
        <v>4779357.3279999997</v>
      </c>
      <c r="E83" s="8">
        <v>1787000</v>
      </c>
      <c r="F83" s="8">
        <v>2745900</v>
      </c>
      <c r="G83" s="8">
        <v>193465</v>
      </c>
      <c r="H83" s="8">
        <v>52992.327999999747</v>
      </c>
    </row>
    <row r="84" spans="1:10" x14ac:dyDescent="0.35">
      <c r="A84" s="1" t="s">
        <v>92</v>
      </c>
      <c r="B84" s="2" t="s">
        <v>9</v>
      </c>
      <c r="C84" s="3" t="s">
        <v>10</v>
      </c>
      <c r="D84" s="4">
        <v>2299761.0000000005</v>
      </c>
      <c r="E84" s="4">
        <v>706500</v>
      </c>
      <c r="F84" s="4">
        <v>1487500</v>
      </c>
      <c r="G84" s="4">
        <v>74870</v>
      </c>
      <c r="H84" s="4">
        <v>30891.000000000466</v>
      </c>
      <c r="I84" t="str">
        <f>_xlfn.XLOOKUP($B84,MD!$A$3:$A$100,MD!$C$3:$C$100)</f>
        <v>B1</v>
      </c>
      <c r="J84" t="str">
        <f>_xlfn.XLOOKUP($B84,MD!$A$3:$A$100,MD!$D$3:$D$100)</f>
        <v>MN</v>
      </c>
    </row>
    <row r="85" spans="1:10" x14ac:dyDescent="0.35">
      <c r="A85" s="5"/>
      <c r="B85" s="2" t="s">
        <v>33</v>
      </c>
      <c r="C85" s="3" t="s">
        <v>34</v>
      </c>
      <c r="D85" s="4">
        <v>351139.99999999988</v>
      </c>
      <c r="E85" s="4">
        <v>110000</v>
      </c>
      <c r="F85" s="4">
        <v>212000</v>
      </c>
      <c r="G85" s="4">
        <v>22895</v>
      </c>
      <c r="H85" s="4">
        <v>6244.9999999998836</v>
      </c>
      <c r="I85" t="str">
        <f>_xlfn.XLOOKUP($B85,MD!$A$3:$A$100,MD!$C$3:$C$100)</f>
        <v>B1</v>
      </c>
      <c r="J85" t="str">
        <f>_xlfn.XLOOKUP($B85,MD!$A$3:$A$100,MD!$D$3:$D$100)</f>
        <v>MN</v>
      </c>
    </row>
    <row r="86" spans="1:10" x14ac:dyDescent="0.35">
      <c r="A86" s="5"/>
      <c r="B86" s="2" t="s">
        <v>31</v>
      </c>
      <c r="C86" s="3" t="s">
        <v>32</v>
      </c>
      <c r="D86" s="4">
        <v>122944</v>
      </c>
      <c r="E86" s="4">
        <v>33500</v>
      </c>
      <c r="F86" s="4">
        <v>82000</v>
      </c>
      <c r="G86" s="4">
        <v>6120</v>
      </c>
      <c r="H86" s="4">
        <v>1324</v>
      </c>
      <c r="I86" t="str">
        <f>_xlfn.XLOOKUP($B86,MD!$A$3:$A$100,MD!$C$3:$C$100)</f>
        <v>B1</v>
      </c>
      <c r="J86" t="str">
        <f>_xlfn.XLOOKUP($B86,MD!$A$3:$A$100,MD!$D$3:$D$100)</f>
        <v>MN</v>
      </c>
    </row>
    <row r="87" spans="1:10" x14ac:dyDescent="0.35">
      <c r="A87" s="5"/>
      <c r="B87" s="2" t="s">
        <v>49</v>
      </c>
      <c r="C87" s="3" t="s">
        <v>50</v>
      </c>
      <c r="D87" s="4">
        <v>114300</v>
      </c>
      <c r="E87" s="4">
        <v>57853.176219077679</v>
      </c>
      <c r="F87" s="4">
        <v>48243.535579761781</v>
      </c>
      <c r="G87" s="4">
        <v>6125.3282093046937</v>
      </c>
      <c r="H87" s="4">
        <v>2077.9599918558461</v>
      </c>
      <c r="I87" t="str">
        <f>_xlfn.XLOOKUP($B87,MD!$A$3:$A$100,MD!$C$3:$C$100)</f>
        <v>B1</v>
      </c>
      <c r="J87" t="str">
        <f>_xlfn.XLOOKUP($B87,MD!$A$3:$A$100,MD!$D$3:$D$100)</f>
        <v>DTR</v>
      </c>
    </row>
    <row r="88" spans="1:10" x14ac:dyDescent="0.35">
      <c r="A88" s="5"/>
      <c r="B88" s="2" t="s">
        <v>11</v>
      </c>
      <c r="C88" s="3" t="s">
        <v>12</v>
      </c>
      <c r="D88" s="4">
        <v>112699.99999999999</v>
      </c>
      <c r="E88" s="4">
        <v>63524.429678536486</v>
      </c>
      <c r="F88" s="4">
        <v>41027.417311306475</v>
      </c>
      <c r="G88" s="4">
        <v>6604.7913549050108</v>
      </c>
      <c r="H88" s="4">
        <v>1543.3616552520134</v>
      </c>
      <c r="I88" t="str">
        <f>_xlfn.XLOOKUP($B88,MD!$A$3:$A$100,MD!$C$3:$C$100)</f>
        <v>B1</v>
      </c>
      <c r="J88" t="str">
        <f>_xlfn.XLOOKUP($B88,MD!$A$3:$A$100,MD!$D$3:$D$100)</f>
        <v>DTR</v>
      </c>
    </row>
    <row r="89" spans="1:10" x14ac:dyDescent="0.35">
      <c r="A89" s="5"/>
      <c r="B89" s="2" t="s">
        <v>37</v>
      </c>
      <c r="C89" s="3" t="s">
        <v>38</v>
      </c>
      <c r="D89" s="4">
        <v>105000</v>
      </c>
      <c r="E89" s="4">
        <v>60475.570321463514</v>
      </c>
      <c r="F89" s="4">
        <v>36172.582688693525</v>
      </c>
      <c r="G89" s="4">
        <v>7075.2086450949892</v>
      </c>
      <c r="H89" s="4">
        <v>1276.638344747972</v>
      </c>
      <c r="I89" t="str">
        <f>_xlfn.XLOOKUP($B89,MD!$A$3:$A$100,MD!$C$3:$C$100)</f>
        <v>B1</v>
      </c>
      <c r="J89" t="str">
        <f>_xlfn.XLOOKUP($B89,MD!$A$3:$A$100,MD!$D$3:$D$100)</f>
        <v>DTR</v>
      </c>
    </row>
    <row r="90" spans="1:10" x14ac:dyDescent="0.35">
      <c r="A90" s="5"/>
      <c r="B90" s="2" t="s">
        <v>89</v>
      </c>
      <c r="C90" s="3" t="s">
        <v>90</v>
      </c>
      <c r="D90" s="4">
        <v>80017</v>
      </c>
      <c r="E90" s="4">
        <v>8455.8414602761459</v>
      </c>
      <c r="F90" s="4">
        <v>64431.503524523112</v>
      </c>
      <c r="G90" s="4">
        <v>4763.5761645014582</v>
      </c>
      <c r="H90" s="4">
        <v>2366.0788506992822</v>
      </c>
      <c r="I90" t="str">
        <f>_xlfn.XLOOKUP($B90,MD!$A$3:$A$100,MD!$C$3:$C$100)</f>
        <v>B6</v>
      </c>
      <c r="J90" t="str">
        <f>_xlfn.XLOOKUP($B90,MD!$A$3:$A$100,MD!$D$3:$D$100)</f>
        <v>DTR</v>
      </c>
    </row>
    <row r="91" spans="1:10" x14ac:dyDescent="0.35">
      <c r="A91" s="5"/>
      <c r="B91" s="2" t="s">
        <v>15</v>
      </c>
      <c r="C91" s="3" t="s">
        <v>16</v>
      </c>
      <c r="D91" s="4">
        <v>61488</v>
      </c>
      <c r="E91" s="4">
        <v>10000</v>
      </c>
      <c r="F91" s="4">
        <v>47000</v>
      </c>
      <c r="G91" s="4">
        <v>4088</v>
      </c>
      <c r="H91" s="4">
        <v>400</v>
      </c>
      <c r="I91" t="str">
        <f>_xlfn.XLOOKUP($B91,MD!$A$3:$A$100,MD!$C$3:$C$100)</f>
        <v>B1</v>
      </c>
      <c r="J91" t="str">
        <f>_xlfn.XLOOKUP($B91,MD!$A$3:$A$100,MD!$D$3:$D$100)</f>
        <v>MN</v>
      </c>
    </row>
    <row r="92" spans="1:10" x14ac:dyDescent="0.35">
      <c r="A92" s="5"/>
      <c r="B92" s="2" t="s">
        <v>39</v>
      </c>
      <c r="C92" s="3" t="s">
        <v>40</v>
      </c>
      <c r="D92" s="4">
        <v>61195.999999999993</v>
      </c>
      <c r="E92" s="4">
        <v>9044.1585397238541</v>
      </c>
      <c r="F92" s="4">
        <v>46068.496475476888</v>
      </c>
      <c r="G92" s="4">
        <v>3608.4238354985423</v>
      </c>
      <c r="H92" s="4">
        <v>2474.9211493007101</v>
      </c>
      <c r="I92" t="str">
        <f>_xlfn.XLOOKUP($B92,MD!$A$3:$A$100,MD!$C$3:$C$100)</f>
        <v>B6</v>
      </c>
      <c r="J92" t="str">
        <f>_xlfn.XLOOKUP($B92,MD!$A$3:$A$100,MD!$D$3:$D$100)</f>
        <v>DTR</v>
      </c>
    </row>
    <row r="93" spans="1:10" x14ac:dyDescent="0.35">
      <c r="A93" s="5"/>
      <c r="B93" s="2" t="s">
        <v>21</v>
      </c>
      <c r="C93" s="3" t="s">
        <v>22</v>
      </c>
      <c r="D93" s="4">
        <v>51240</v>
      </c>
      <c r="E93" s="4">
        <v>32500</v>
      </c>
      <c r="F93" s="4">
        <v>15500</v>
      </c>
      <c r="G93" s="4">
        <v>2280</v>
      </c>
      <c r="H93" s="4">
        <v>960</v>
      </c>
      <c r="I93" t="str">
        <f>_xlfn.XLOOKUP($B93,MD!$A$3:$A$100,MD!$C$3:$C$100)</f>
        <v>B1</v>
      </c>
      <c r="J93" t="str">
        <f>_xlfn.XLOOKUP($B93,MD!$A$3:$A$100,MD!$D$3:$D$100)</f>
        <v>DTR</v>
      </c>
    </row>
    <row r="94" spans="1:10" x14ac:dyDescent="0.35">
      <c r="A94" s="5"/>
      <c r="B94" s="2" t="s">
        <v>27</v>
      </c>
      <c r="C94" s="3" t="s">
        <v>28</v>
      </c>
      <c r="D94" s="4">
        <v>22368</v>
      </c>
      <c r="E94" s="4">
        <v>18900</v>
      </c>
      <c r="F94" s="4">
        <v>2100</v>
      </c>
      <c r="G94" s="4">
        <v>600</v>
      </c>
      <c r="H94" s="4">
        <v>768</v>
      </c>
      <c r="I94" t="str">
        <f>_xlfn.XLOOKUP($B94,MD!$A$3:$A$100,MD!$C$3:$C$100)</f>
        <v>B7</v>
      </c>
      <c r="J94" t="str">
        <f>_xlfn.XLOOKUP($B94,MD!$A$3:$A$100,MD!$D$3:$D$100)</f>
        <v>DTR</v>
      </c>
    </row>
    <row r="95" spans="1:10" x14ac:dyDescent="0.35">
      <c r="A95" s="5"/>
      <c r="B95" s="2" t="s">
        <v>87</v>
      </c>
      <c r="C95" s="3" t="s">
        <v>88</v>
      </c>
      <c r="D95" s="4">
        <v>21000.000000000004</v>
      </c>
      <c r="E95" s="4">
        <v>13146.823780922326</v>
      </c>
      <c r="F95" s="4">
        <v>6756.464420238216</v>
      </c>
      <c r="G95" s="4">
        <v>722.67179069530698</v>
      </c>
      <c r="H95" s="4">
        <v>374.04000814415417</v>
      </c>
      <c r="I95" t="str">
        <f>_xlfn.XLOOKUP($B95,MD!$A$3:$A$100,MD!$C$3:$C$100)</f>
        <v>B1</v>
      </c>
      <c r="J95" t="str">
        <f>_xlfn.XLOOKUP($B95,MD!$A$3:$A$100,MD!$D$3:$D$100)</f>
        <v>DTR</v>
      </c>
    </row>
    <row r="96" spans="1:10" x14ac:dyDescent="0.35">
      <c r="A96" s="5"/>
      <c r="B96" s="2" t="s">
        <v>23</v>
      </c>
      <c r="C96" s="3" t="s">
        <v>24</v>
      </c>
      <c r="D96" s="4">
        <v>14950.000000000002</v>
      </c>
      <c r="E96" s="4">
        <v>10636.363636363636</v>
      </c>
      <c r="F96" s="4">
        <v>2818.181818181818</v>
      </c>
      <c r="G96" s="4">
        <v>1172.7272727272727</v>
      </c>
      <c r="H96" s="4">
        <v>322.72727272727502</v>
      </c>
      <c r="I96" t="str">
        <f>_xlfn.XLOOKUP($B96,MD!$A$3:$A$100,MD!$C$3:$C$100)</f>
        <v>B1</v>
      </c>
      <c r="J96" t="str">
        <f>_xlfn.XLOOKUP($B96,MD!$A$3:$A$100,MD!$D$3:$D$100)</f>
        <v>DTR</v>
      </c>
    </row>
    <row r="97" spans="1:10" x14ac:dyDescent="0.35">
      <c r="A97" s="6"/>
      <c r="B97" s="2" t="s">
        <v>19</v>
      </c>
      <c r="C97" s="3" t="s">
        <v>20</v>
      </c>
      <c r="D97" s="4">
        <v>1150</v>
      </c>
      <c r="E97" s="4">
        <v>863.63636363636363</v>
      </c>
      <c r="F97" s="4">
        <v>181.81818181818181</v>
      </c>
      <c r="G97" s="4">
        <v>87.27272727272728</v>
      </c>
      <c r="H97" s="4">
        <v>17.27272727272728</v>
      </c>
      <c r="I97" t="str">
        <f>_xlfn.XLOOKUP($B97,MD!$A$3:$A$100,MD!$C$3:$C$100)</f>
        <v>B1</v>
      </c>
      <c r="J97" t="str">
        <f>_xlfn.XLOOKUP($B97,MD!$A$3:$A$100,MD!$D$3:$D$100)</f>
        <v>MN</v>
      </c>
    </row>
    <row r="98" spans="1:10" x14ac:dyDescent="0.35">
      <c r="A98" s="7" t="s">
        <v>93</v>
      </c>
      <c r="B98" s="7"/>
      <c r="C98" s="7"/>
      <c r="D98" s="8">
        <v>3419254.0000000005</v>
      </c>
      <c r="E98" s="8">
        <v>1135400</v>
      </c>
      <c r="F98" s="8">
        <v>2091800</v>
      </c>
      <c r="G98" s="8">
        <v>141013</v>
      </c>
      <c r="H98" s="8">
        <v>51041.000000000466</v>
      </c>
    </row>
    <row r="99" spans="1:10" x14ac:dyDescent="0.35">
      <c r="A99" s="1" t="s">
        <v>94</v>
      </c>
      <c r="B99" s="2" t="s">
        <v>9</v>
      </c>
      <c r="C99" s="3" t="s">
        <v>10</v>
      </c>
      <c r="D99" s="4">
        <v>2438228.0000000005</v>
      </c>
      <c r="E99" s="4">
        <v>839500</v>
      </c>
      <c r="F99" s="4">
        <v>1491500</v>
      </c>
      <c r="G99" s="4">
        <v>73054</v>
      </c>
      <c r="H99" s="4">
        <v>34174.000000000466</v>
      </c>
      <c r="I99" t="str">
        <f>_xlfn.XLOOKUP($B99,MD!$A$3:$A$100,MD!$C$3:$C$100)</f>
        <v>B1</v>
      </c>
      <c r="J99" t="str">
        <f>_xlfn.XLOOKUP($B99,MD!$A$3:$A$100,MD!$D$3:$D$100)</f>
        <v>MN</v>
      </c>
    </row>
    <row r="100" spans="1:10" x14ac:dyDescent="0.35">
      <c r="A100" s="5"/>
      <c r="B100" s="2" t="s">
        <v>33</v>
      </c>
      <c r="C100" s="3" t="s">
        <v>34</v>
      </c>
      <c r="D100" s="4">
        <v>324103.99999999994</v>
      </c>
      <c r="E100" s="4">
        <v>131000</v>
      </c>
      <c r="F100" s="4">
        <v>169500</v>
      </c>
      <c r="G100" s="4">
        <v>19938</v>
      </c>
      <c r="H100" s="4">
        <v>3665.9999999999418</v>
      </c>
      <c r="I100" t="str">
        <f>_xlfn.XLOOKUP($B100,MD!$A$3:$A$100,MD!$C$3:$C$100)</f>
        <v>B1</v>
      </c>
      <c r="J100" t="str">
        <f>_xlfn.XLOOKUP($B100,MD!$A$3:$A$100,MD!$D$3:$D$100)</f>
        <v>MN</v>
      </c>
    </row>
    <row r="101" spans="1:10" x14ac:dyDescent="0.35">
      <c r="A101" s="5"/>
      <c r="B101" s="2" t="s">
        <v>37</v>
      </c>
      <c r="C101" s="3" t="s">
        <v>38</v>
      </c>
      <c r="D101" s="4">
        <v>261847.00000000003</v>
      </c>
      <c r="E101" s="4">
        <v>130179.93597597632</v>
      </c>
      <c r="F101" s="4">
        <v>112657.07162304113</v>
      </c>
      <c r="G101" s="4">
        <v>15154.724343792737</v>
      </c>
      <c r="H101" s="4">
        <v>3855.26805718984</v>
      </c>
      <c r="I101" t="str">
        <f>_xlfn.XLOOKUP($B101,MD!$A$3:$A$100,MD!$C$3:$C$100)</f>
        <v>B1</v>
      </c>
      <c r="J101" t="str">
        <f>_xlfn.XLOOKUP($B101,MD!$A$3:$A$100,MD!$D$3:$D$100)</f>
        <v>DTR</v>
      </c>
    </row>
    <row r="102" spans="1:10" x14ac:dyDescent="0.35">
      <c r="A102" s="5"/>
      <c r="B102" s="2" t="s">
        <v>11</v>
      </c>
      <c r="C102" s="3" t="s">
        <v>12</v>
      </c>
      <c r="D102" s="4">
        <v>248600</v>
      </c>
      <c r="E102" s="4">
        <v>112320.06402402368</v>
      </c>
      <c r="F102" s="4">
        <v>116342.92837695887</v>
      </c>
      <c r="G102" s="4">
        <v>14801.275656207261</v>
      </c>
      <c r="H102" s="4">
        <v>5135.731942810191</v>
      </c>
      <c r="I102" t="str">
        <f>_xlfn.XLOOKUP($B102,MD!$A$3:$A$100,MD!$C$3:$C$100)</f>
        <v>B1</v>
      </c>
      <c r="J102" t="str">
        <f>_xlfn.XLOOKUP($B102,MD!$A$3:$A$100,MD!$D$3:$D$100)</f>
        <v>DTR</v>
      </c>
    </row>
    <row r="103" spans="1:10" x14ac:dyDescent="0.35">
      <c r="A103" s="5"/>
      <c r="B103" s="2" t="s">
        <v>89</v>
      </c>
      <c r="C103" s="3" t="s">
        <v>90</v>
      </c>
      <c r="D103" s="4">
        <v>204876</v>
      </c>
      <c r="E103" s="4">
        <v>21570.510705849334</v>
      </c>
      <c r="F103" s="4">
        <v>166572.72969353013</v>
      </c>
      <c r="G103" s="4">
        <v>12194.516572692359</v>
      </c>
      <c r="H103" s="4">
        <v>4538.2430279281834</v>
      </c>
      <c r="I103" t="str">
        <f>_xlfn.XLOOKUP($B103,MD!$A$3:$A$100,MD!$C$3:$C$100)</f>
        <v>B6</v>
      </c>
      <c r="J103" t="str">
        <f>_xlfn.XLOOKUP($B103,MD!$A$3:$A$100,MD!$D$3:$D$100)</f>
        <v>DTR</v>
      </c>
    </row>
    <row r="104" spans="1:10" x14ac:dyDescent="0.35">
      <c r="A104" s="5"/>
      <c r="B104" s="2" t="s">
        <v>25</v>
      </c>
      <c r="C104" s="3" t="s">
        <v>26</v>
      </c>
      <c r="D104" s="4">
        <v>91138</v>
      </c>
      <c r="E104" s="4">
        <v>62170</v>
      </c>
      <c r="F104" s="4">
        <v>18500</v>
      </c>
      <c r="G104" s="4">
        <v>9223</v>
      </c>
      <c r="H104" s="4">
        <v>1245</v>
      </c>
      <c r="I104" t="str">
        <f>_xlfn.XLOOKUP($B104,MD!$A$3:$A$100,MD!$C$3:$C$100)</f>
        <v>B6</v>
      </c>
      <c r="J104" t="str">
        <f>_xlfn.XLOOKUP($B104,MD!$A$3:$A$100,MD!$D$3:$D$100)</f>
        <v>DTR</v>
      </c>
    </row>
    <row r="105" spans="1:10" x14ac:dyDescent="0.35">
      <c r="A105" s="5"/>
      <c r="B105" s="2" t="s">
        <v>51</v>
      </c>
      <c r="C105" s="3" t="s">
        <v>52</v>
      </c>
      <c r="D105" s="4">
        <v>66200</v>
      </c>
      <c r="E105" s="4">
        <v>53000</v>
      </c>
      <c r="F105" s="4">
        <v>10500</v>
      </c>
      <c r="G105" s="4">
        <v>1400</v>
      </c>
      <c r="H105" s="4">
        <v>1300</v>
      </c>
      <c r="I105" t="str">
        <f>_xlfn.XLOOKUP($B105,MD!$A$3:$A$100,MD!$C$3:$C$100)</f>
        <v>B1</v>
      </c>
      <c r="J105" t="str">
        <f>_xlfn.XLOOKUP($B105,MD!$A$3:$A$100,MD!$D$3:$D$100)</f>
        <v>DTR</v>
      </c>
    </row>
    <row r="106" spans="1:10" x14ac:dyDescent="0.35">
      <c r="A106" s="5"/>
      <c r="B106" s="2" t="s">
        <v>31</v>
      </c>
      <c r="C106" s="3" t="s">
        <v>32</v>
      </c>
      <c r="D106" s="4">
        <v>53507.999999999993</v>
      </c>
      <c r="E106" s="4">
        <v>9500</v>
      </c>
      <c r="F106" s="4">
        <v>42500</v>
      </c>
      <c r="G106" s="4">
        <v>940</v>
      </c>
      <c r="H106" s="4">
        <v>567.99999999999272</v>
      </c>
      <c r="I106" t="str">
        <f>_xlfn.XLOOKUP($B106,MD!$A$3:$A$100,MD!$C$3:$C$100)</f>
        <v>B1</v>
      </c>
      <c r="J106" t="str">
        <f>_xlfn.XLOOKUP($B106,MD!$A$3:$A$100,MD!$D$3:$D$100)</f>
        <v>MN</v>
      </c>
    </row>
    <row r="107" spans="1:10" x14ac:dyDescent="0.35">
      <c r="A107" s="5"/>
      <c r="B107" s="2" t="s">
        <v>39</v>
      </c>
      <c r="C107" s="3" t="s">
        <v>40</v>
      </c>
      <c r="D107" s="4">
        <v>43703.999999999993</v>
      </c>
      <c r="E107" s="4">
        <v>9332.6630434782601</v>
      </c>
      <c r="F107" s="4">
        <v>31152.391339283222</v>
      </c>
      <c r="G107" s="4">
        <v>2592.829312191986</v>
      </c>
      <c r="H107" s="4">
        <v>626.11630504652112</v>
      </c>
      <c r="I107" t="str">
        <f>_xlfn.XLOOKUP($B107,MD!$A$3:$A$100,MD!$C$3:$C$100)</f>
        <v>B6</v>
      </c>
      <c r="J107" t="str">
        <f>_xlfn.XLOOKUP($B107,MD!$A$3:$A$100,MD!$D$3:$D$100)</f>
        <v>DTR</v>
      </c>
    </row>
    <row r="108" spans="1:10" x14ac:dyDescent="0.35">
      <c r="A108" s="5"/>
      <c r="B108" s="2" t="s">
        <v>15</v>
      </c>
      <c r="C108" s="3" t="s">
        <v>16</v>
      </c>
      <c r="D108" s="4">
        <v>40062</v>
      </c>
      <c r="E108" s="4">
        <v>25000</v>
      </c>
      <c r="F108" s="4">
        <v>12500</v>
      </c>
      <c r="G108" s="4">
        <v>1800</v>
      </c>
      <c r="H108" s="4">
        <v>762</v>
      </c>
      <c r="I108" t="str">
        <f>_xlfn.XLOOKUP($B108,MD!$A$3:$A$100,MD!$C$3:$C$100)</f>
        <v>B1</v>
      </c>
      <c r="J108" t="str">
        <f>_xlfn.XLOOKUP($B108,MD!$A$3:$A$100,MD!$D$3:$D$100)</f>
        <v>MN</v>
      </c>
    </row>
    <row r="109" spans="1:10" x14ac:dyDescent="0.35">
      <c r="A109" s="5"/>
      <c r="B109" s="2" t="s">
        <v>21</v>
      </c>
      <c r="C109" s="3" t="s">
        <v>22</v>
      </c>
      <c r="D109" s="4">
        <v>33900</v>
      </c>
      <c r="E109" s="4">
        <v>22828.282828282827</v>
      </c>
      <c r="F109" s="4">
        <v>9131.3131313131307</v>
      </c>
      <c r="G109" s="4">
        <v>1314.3383838383838</v>
      </c>
      <c r="H109" s="4">
        <v>626.06565656565863</v>
      </c>
      <c r="I109" t="str">
        <f>_xlfn.XLOOKUP($B109,MD!$A$3:$A$100,MD!$C$3:$C$100)</f>
        <v>B1</v>
      </c>
      <c r="J109" t="str">
        <f>_xlfn.XLOOKUP($B109,MD!$A$3:$A$100,MD!$D$3:$D$100)</f>
        <v>DTR</v>
      </c>
    </row>
    <row r="110" spans="1:10" x14ac:dyDescent="0.35">
      <c r="A110" s="5"/>
      <c r="B110" s="2" t="s">
        <v>73</v>
      </c>
      <c r="C110" s="3" t="s">
        <v>74</v>
      </c>
      <c r="D110" s="4">
        <v>28000</v>
      </c>
      <c r="E110" s="4">
        <v>0</v>
      </c>
      <c r="F110" s="4">
        <v>27000</v>
      </c>
      <c r="G110" s="4">
        <v>650</v>
      </c>
      <c r="H110" s="4">
        <v>350</v>
      </c>
      <c r="I110" t="str">
        <f>_xlfn.XLOOKUP($B110,MD!$A$3:$A$100,MD!$C$3:$C$100)</f>
        <v>B4</v>
      </c>
      <c r="J110" t="str">
        <f>_xlfn.XLOOKUP($B110,MD!$A$3:$A$100,MD!$D$3:$D$100)</f>
        <v>DTR</v>
      </c>
    </row>
    <row r="111" spans="1:10" x14ac:dyDescent="0.35">
      <c r="A111" s="5"/>
      <c r="B111" s="2" t="s">
        <v>53</v>
      </c>
      <c r="C111" s="3" t="s">
        <v>54</v>
      </c>
      <c r="D111" s="4">
        <v>25499.999999999996</v>
      </c>
      <c r="E111" s="4">
        <v>17171.717171717173</v>
      </c>
      <c r="F111" s="4">
        <v>6868.6868686868693</v>
      </c>
      <c r="G111" s="4">
        <v>988.66161616161617</v>
      </c>
      <c r="H111" s="4">
        <v>470.93434343433773</v>
      </c>
      <c r="I111" t="str">
        <f>_xlfn.XLOOKUP($B111,MD!$A$3:$A$100,MD!$C$3:$C$100)</f>
        <v>B1</v>
      </c>
      <c r="J111" t="str">
        <f>_xlfn.XLOOKUP($B111,MD!$A$3:$A$100,MD!$D$3:$D$100)</f>
        <v>DTR</v>
      </c>
    </row>
    <row r="112" spans="1:10" x14ac:dyDescent="0.35">
      <c r="A112" s="5"/>
      <c r="B112" s="2" t="s">
        <v>95</v>
      </c>
      <c r="C112" s="3" t="s">
        <v>96</v>
      </c>
      <c r="D112" s="4">
        <v>21330</v>
      </c>
      <c r="E112" s="4">
        <v>2400</v>
      </c>
      <c r="F112" s="4">
        <v>17600</v>
      </c>
      <c r="G112" s="4">
        <v>1200</v>
      </c>
      <c r="H112" s="4">
        <v>130</v>
      </c>
      <c r="I112" t="str">
        <f>_xlfn.XLOOKUP($B112,MD!$A$3:$A$100,MD!$C$3:$C$100)</f>
        <v>B3</v>
      </c>
      <c r="J112" t="str">
        <f>_xlfn.XLOOKUP($B112,MD!$A$3:$A$100,MD!$D$3:$D$100)</f>
        <v>MN</v>
      </c>
    </row>
    <row r="113" spans="1:10" x14ac:dyDescent="0.35">
      <c r="A113" s="5"/>
      <c r="B113" s="2" t="s">
        <v>35</v>
      </c>
      <c r="C113" s="3" t="s">
        <v>36</v>
      </c>
      <c r="D113" s="4">
        <v>20000</v>
      </c>
      <c r="E113" s="4">
        <v>4242.424242424242</v>
      </c>
      <c r="F113" s="4">
        <v>15757.575757575758</v>
      </c>
      <c r="G113" s="4">
        <v>0</v>
      </c>
      <c r="H113" s="4">
        <v>0</v>
      </c>
      <c r="I113" t="str">
        <f>_xlfn.XLOOKUP($B113,MD!$A$3:$A$100,MD!$C$3:$C$100)</f>
        <v>B5</v>
      </c>
      <c r="J113" t="str">
        <f>_xlfn.XLOOKUP($B113,MD!$A$3:$A$100,MD!$D$3:$D$100)</f>
        <v>DTR</v>
      </c>
    </row>
    <row r="114" spans="1:10" x14ac:dyDescent="0.35">
      <c r="A114" s="5"/>
      <c r="B114" s="2" t="s">
        <v>27</v>
      </c>
      <c r="C114" s="3" t="s">
        <v>28</v>
      </c>
      <c r="D114" s="4">
        <v>19000</v>
      </c>
      <c r="E114" s="4">
        <v>18900</v>
      </c>
      <c r="F114" s="4">
        <v>0</v>
      </c>
      <c r="G114" s="4">
        <v>0</v>
      </c>
      <c r="H114" s="4">
        <v>100</v>
      </c>
      <c r="I114" t="str">
        <f>_xlfn.XLOOKUP($B114,MD!$A$3:$A$100,MD!$C$3:$C$100)</f>
        <v>B7</v>
      </c>
      <c r="J114" t="str">
        <f>_xlfn.XLOOKUP($B114,MD!$A$3:$A$100,MD!$D$3:$D$100)</f>
        <v>DTR</v>
      </c>
    </row>
    <row r="115" spans="1:10" x14ac:dyDescent="0.35">
      <c r="A115" s="5"/>
      <c r="B115" s="2" t="s">
        <v>87</v>
      </c>
      <c r="C115" s="3" t="s">
        <v>88</v>
      </c>
      <c r="D115" s="4">
        <v>13500</v>
      </c>
      <c r="E115" s="4">
        <v>5558.8235294117649</v>
      </c>
      <c r="F115" s="4">
        <v>7147.0588235294117</v>
      </c>
      <c r="G115" s="4">
        <v>767.64705882352939</v>
      </c>
      <c r="H115" s="4">
        <v>26.470588235294031</v>
      </c>
      <c r="I115" t="str">
        <f>_xlfn.XLOOKUP($B115,MD!$A$3:$A$100,MD!$C$3:$C$100)</f>
        <v>B1</v>
      </c>
      <c r="J115" t="str">
        <f>_xlfn.XLOOKUP($B115,MD!$A$3:$A$100,MD!$D$3:$D$100)</f>
        <v>DTR</v>
      </c>
    </row>
    <row r="116" spans="1:10" x14ac:dyDescent="0.35">
      <c r="A116" s="5"/>
      <c r="B116" s="2" t="s">
        <v>29</v>
      </c>
      <c r="C116" s="3" t="s">
        <v>30</v>
      </c>
      <c r="D116" s="4">
        <v>13000</v>
      </c>
      <c r="E116" s="4">
        <v>2757.5757575757575</v>
      </c>
      <c r="F116" s="4">
        <v>10242.424242424242</v>
      </c>
      <c r="G116" s="4">
        <v>0</v>
      </c>
      <c r="H116" s="4">
        <v>0</v>
      </c>
      <c r="I116" t="str">
        <f>_xlfn.XLOOKUP($B116,MD!$A$3:$A$100,MD!$C$3:$C$100)</f>
        <v>B5</v>
      </c>
      <c r="J116" t="str">
        <f>_xlfn.XLOOKUP($B116,MD!$A$3:$A$100,MD!$D$3:$D$100)</f>
        <v>DTR</v>
      </c>
    </row>
    <row r="117" spans="1:10" x14ac:dyDescent="0.35">
      <c r="A117" s="5"/>
      <c r="B117" s="2" t="s">
        <v>49</v>
      </c>
      <c r="C117" s="3" t="s">
        <v>50</v>
      </c>
      <c r="D117" s="4">
        <v>12000</v>
      </c>
      <c r="E117" s="4">
        <v>4941.1764705882351</v>
      </c>
      <c r="F117" s="4">
        <v>6352.9411764705883</v>
      </c>
      <c r="G117" s="4">
        <v>682.35294117647061</v>
      </c>
      <c r="H117" s="4">
        <v>23.529411764705969</v>
      </c>
      <c r="I117" t="str">
        <f>_xlfn.XLOOKUP($B117,MD!$A$3:$A$100,MD!$C$3:$C$100)</f>
        <v>B1</v>
      </c>
      <c r="J117" t="str">
        <f>_xlfn.XLOOKUP($B117,MD!$A$3:$A$100,MD!$D$3:$D$100)</f>
        <v>DTR</v>
      </c>
    </row>
    <row r="118" spans="1:10" x14ac:dyDescent="0.35">
      <c r="A118" s="5"/>
      <c r="B118" s="2" t="s">
        <v>97</v>
      </c>
      <c r="C118" s="3" t="s">
        <v>98</v>
      </c>
      <c r="D118" s="4">
        <v>12000</v>
      </c>
      <c r="E118" s="4">
        <v>9600</v>
      </c>
      <c r="F118" s="4">
        <v>1600</v>
      </c>
      <c r="G118" s="4">
        <v>576</v>
      </c>
      <c r="H118" s="4">
        <v>224</v>
      </c>
      <c r="I118" t="str">
        <f>_xlfn.XLOOKUP($B118,MD!$A$3:$A$100,MD!$C$3:$C$100)</f>
        <v>B2</v>
      </c>
      <c r="J118" t="str">
        <f>_xlfn.XLOOKUP($B118,MD!$A$3:$A$100,MD!$D$3:$D$100)</f>
        <v>MN</v>
      </c>
    </row>
    <row r="119" spans="1:10" x14ac:dyDescent="0.35">
      <c r="A119" s="5"/>
      <c r="B119" s="2" t="s">
        <v>99</v>
      </c>
      <c r="C119" s="3" t="s">
        <v>100</v>
      </c>
      <c r="D119" s="4">
        <v>10500.000000000002</v>
      </c>
      <c r="E119" s="4">
        <v>8944.4444444444453</v>
      </c>
      <c r="F119" s="4">
        <v>1166.6666666666667</v>
      </c>
      <c r="G119" s="4">
        <v>233.33333333333334</v>
      </c>
      <c r="H119" s="4">
        <v>155.55555555555648</v>
      </c>
      <c r="I119" t="str">
        <f>_xlfn.XLOOKUP($B119,MD!$A$3:$A$100,MD!$C$3:$C$100)</f>
        <v>B3</v>
      </c>
      <c r="J119" t="str">
        <f>_xlfn.XLOOKUP($B119,MD!$A$3:$A$100,MD!$D$3:$D$100)</f>
        <v>MN</v>
      </c>
    </row>
    <row r="120" spans="1:10" x14ac:dyDescent="0.35">
      <c r="A120" s="5"/>
      <c r="B120" s="2" t="s">
        <v>101</v>
      </c>
      <c r="C120" s="3" t="s">
        <v>102</v>
      </c>
      <c r="D120" s="4">
        <v>8200</v>
      </c>
      <c r="E120" s="4">
        <v>7700</v>
      </c>
      <c r="F120" s="4">
        <v>0</v>
      </c>
      <c r="G120" s="4">
        <v>360</v>
      </c>
      <c r="H120" s="4">
        <v>140</v>
      </c>
      <c r="I120" t="str">
        <f>_xlfn.XLOOKUP($B120,MD!$A$3:$A$100,MD!$C$3:$C$100)</f>
        <v>B7</v>
      </c>
      <c r="J120" t="str">
        <f>_xlfn.XLOOKUP($B120,MD!$A$3:$A$100,MD!$D$3:$D$100)</f>
        <v>MN</v>
      </c>
    </row>
    <row r="121" spans="1:10" x14ac:dyDescent="0.35">
      <c r="A121" s="5"/>
      <c r="B121" s="2" t="s">
        <v>103</v>
      </c>
      <c r="C121" s="3" t="s">
        <v>104</v>
      </c>
      <c r="D121" s="4">
        <v>3000</v>
      </c>
      <c r="E121" s="4">
        <v>2555.5555555555557</v>
      </c>
      <c r="F121" s="4">
        <v>333.33333333333331</v>
      </c>
      <c r="G121" s="4">
        <v>66.666666666666671</v>
      </c>
      <c r="H121" s="4">
        <v>44.444444444444358</v>
      </c>
      <c r="I121" t="str">
        <f>_xlfn.XLOOKUP($B121,MD!$A$3:$A$100,MD!$C$3:$C$100)</f>
        <v>B3</v>
      </c>
      <c r="J121" t="str">
        <f>_xlfn.XLOOKUP($B121,MD!$A$3:$A$100,MD!$D$3:$D$100)</f>
        <v>MN</v>
      </c>
    </row>
    <row r="122" spans="1:10" x14ac:dyDescent="0.35">
      <c r="A122" s="6"/>
      <c r="B122" s="2" t="s">
        <v>105</v>
      </c>
      <c r="C122" s="3" t="s">
        <v>106</v>
      </c>
      <c r="D122" s="4">
        <v>1500</v>
      </c>
      <c r="E122" s="4">
        <v>96.826250672404512</v>
      </c>
      <c r="F122" s="4">
        <v>1274.8789671866596</v>
      </c>
      <c r="G122" s="4">
        <v>76.654115115653582</v>
      </c>
      <c r="H122" s="4">
        <v>51.64066702528234</v>
      </c>
      <c r="I122" t="str">
        <f>_xlfn.XLOOKUP($B122,MD!$A$3:$A$100,MD!$C$3:$C$100)</f>
        <v>B6</v>
      </c>
      <c r="J122" t="str">
        <f>_xlfn.XLOOKUP($B122,MD!$A$3:$A$100,MD!$D$3:$D$100)</f>
        <v>DTR</v>
      </c>
    </row>
    <row r="123" spans="1:10" x14ac:dyDescent="0.35">
      <c r="A123" s="7" t="s">
        <v>107</v>
      </c>
      <c r="B123" s="7"/>
      <c r="C123" s="7"/>
      <c r="D123" s="8">
        <v>3993697.0000000023</v>
      </c>
      <c r="E123" s="8">
        <v>1501270</v>
      </c>
      <c r="F123" s="8">
        <v>2276200</v>
      </c>
      <c r="G123" s="8">
        <v>158014</v>
      </c>
      <c r="H123" s="8">
        <v>58213.000000002328</v>
      </c>
    </row>
    <row r="124" spans="1:10" x14ac:dyDescent="0.35">
      <c r="A124" s="1" t="s">
        <v>108</v>
      </c>
      <c r="B124" s="2" t="s">
        <v>9</v>
      </c>
      <c r="C124" s="3" t="s">
        <v>10</v>
      </c>
      <c r="D124" s="4">
        <v>1133239.9999999998</v>
      </c>
      <c r="E124" s="4">
        <v>408780.26145232905</v>
      </c>
      <c r="F124" s="4">
        <v>704737.45828621858</v>
      </c>
      <c r="G124" s="4">
        <v>9125</v>
      </c>
      <c r="H124" s="4">
        <v>10597.280261452077</v>
      </c>
      <c r="I124" t="str">
        <f>_xlfn.XLOOKUP($B124,MD!$A$3:$A$100,MD!$C$3:$C$100)</f>
        <v>B1</v>
      </c>
      <c r="J124" t="str">
        <f>_xlfn.XLOOKUP($B124,MD!$A$3:$A$100,MD!$D$3:$D$100)</f>
        <v>MN</v>
      </c>
    </row>
    <row r="125" spans="1:10" x14ac:dyDescent="0.35">
      <c r="A125" s="5"/>
      <c r="B125" s="2" t="s">
        <v>33</v>
      </c>
      <c r="C125" s="3" t="s">
        <v>34</v>
      </c>
      <c r="D125" s="4">
        <v>704670.00000000023</v>
      </c>
      <c r="E125" s="4">
        <v>343500</v>
      </c>
      <c r="F125" s="4">
        <v>312500</v>
      </c>
      <c r="G125" s="4">
        <v>37283</v>
      </c>
      <c r="H125" s="4">
        <v>11387.000000000233</v>
      </c>
      <c r="I125" t="str">
        <f>_xlfn.XLOOKUP($B125,MD!$A$3:$A$100,MD!$C$3:$C$100)</f>
        <v>B1</v>
      </c>
      <c r="J125" t="str">
        <f>_xlfn.XLOOKUP($B125,MD!$A$3:$A$100,MD!$D$3:$D$100)</f>
        <v>MN</v>
      </c>
    </row>
    <row r="126" spans="1:10" x14ac:dyDescent="0.35">
      <c r="A126" s="5"/>
      <c r="B126" s="2" t="s">
        <v>89</v>
      </c>
      <c r="C126" s="3" t="s">
        <v>90</v>
      </c>
      <c r="D126" s="4">
        <v>408040</v>
      </c>
      <c r="E126" s="4">
        <v>38276.641550053821</v>
      </c>
      <c r="F126" s="4">
        <v>331173.30462863296</v>
      </c>
      <c r="G126" s="4">
        <v>32502.629709364905</v>
      </c>
      <c r="H126" s="4">
        <v>6087.4241119482904</v>
      </c>
      <c r="I126" t="str">
        <f>_xlfn.XLOOKUP($B126,MD!$A$3:$A$100,MD!$C$3:$C$100)</f>
        <v>B6</v>
      </c>
      <c r="J126" t="str">
        <f>_xlfn.XLOOKUP($B126,MD!$A$3:$A$100,MD!$D$3:$D$100)</f>
        <v>DTR</v>
      </c>
    </row>
    <row r="127" spans="1:10" x14ac:dyDescent="0.35">
      <c r="A127" s="5"/>
      <c r="B127" s="2" t="s">
        <v>11</v>
      </c>
      <c r="C127" s="3" t="s">
        <v>12</v>
      </c>
      <c r="D127" s="4">
        <v>330500</v>
      </c>
      <c r="E127" s="4">
        <v>107198.35736947606</v>
      </c>
      <c r="F127" s="4">
        <v>197103.45299971709</v>
      </c>
      <c r="G127" s="4">
        <v>21997.794955402096</v>
      </c>
      <c r="H127" s="4">
        <v>4200.3946754047574</v>
      </c>
      <c r="I127" t="str">
        <f>_xlfn.XLOOKUP($B127,MD!$A$3:$A$100,MD!$C$3:$C$100)</f>
        <v>B1</v>
      </c>
      <c r="J127" t="str">
        <f>_xlfn.XLOOKUP($B127,MD!$A$3:$A$100,MD!$D$3:$D$100)</f>
        <v>DTR</v>
      </c>
    </row>
    <row r="128" spans="1:10" x14ac:dyDescent="0.35">
      <c r="A128" s="5"/>
      <c r="B128" s="2" t="s">
        <v>25</v>
      </c>
      <c r="C128" s="3" t="s">
        <v>26</v>
      </c>
      <c r="D128" s="4">
        <v>279938.99999999994</v>
      </c>
      <c r="E128" s="4">
        <v>209472.09767942151</v>
      </c>
      <c r="F128" s="4">
        <v>31296.297085165974</v>
      </c>
      <c r="G128" s="4">
        <v>34832.616481538673</v>
      </c>
      <c r="H128" s="4">
        <v>4337.9887538737821</v>
      </c>
      <c r="I128" t="str">
        <f>_xlfn.XLOOKUP($B128,MD!$A$3:$A$100,MD!$C$3:$C$100)</f>
        <v>B6</v>
      </c>
      <c r="J128" t="str">
        <f>_xlfn.XLOOKUP($B128,MD!$A$3:$A$100,MD!$D$3:$D$100)</f>
        <v>DTR</v>
      </c>
    </row>
    <row r="129" spans="1:10" x14ac:dyDescent="0.35">
      <c r="A129" s="5"/>
      <c r="B129" s="2" t="s">
        <v>31</v>
      </c>
      <c r="C129" s="3" t="s">
        <v>32</v>
      </c>
      <c r="D129" s="4">
        <v>160725</v>
      </c>
      <c r="E129" s="4">
        <v>60719.738547670924</v>
      </c>
      <c r="F129" s="4">
        <v>94762.541713781407</v>
      </c>
      <c r="G129" s="4">
        <v>2890</v>
      </c>
      <c r="H129" s="4">
        <v>2352.7197385476757</v>
      </c>
      <c r="I129" t="str">
        <f>_xlfn.XLOOKUP($B129,MD!$A$3:$A$100,MD!$C$3:$C$100)</f>
        <v>B1</v>
      </c>
      <c r="J129" t="str">
        <f>_xlfn.XLOOKUP($B129,MD!$A$3:$A$100,MD!$D$3:$D$100)</f>
        <v>MN</v>
      </c>
    </row>
    <row r="130" spans="1:10" x14ac:dyDescent="0.35">
      <c r="A130" s="5"/>
      <c r="B130" s="2" t="s">
        <v>37</v>
      </c>
      <c r="C130" s="3" t="s">
        <v>38</v>
      </c>
      <c r="D130" s="4">
        <v>155000</v>
      </c>
      <c r="E130" s="4">
        <v>62801.642630523958</v>
      </c>
      <c r="F130" s="4">
        <v>82896.547000282881</v>
      </c>
      <c r="G130" s="4">
        <v>6558.2050445979075</v>
      </c>
      <c r="H130" s="4">
        <v>2743.6053245952535</v>
      </c>
      <c r="I130" t="str">
        <f>_xlfn.XLOOKUP($B130,MD!$A$3:$A$100,MD!$C$3:$C$100)</f>
        <v>B1</v>
      </c>
      <c r="J130" t="str">
        <f>_xlfn.XLOOKUP($B130,MD!$A$3:$A$100,MD!$D$3:$D$100)</f>
        <v>DTR</v>
      </c>
    </row>
    <row r="131" spans="1:10" x14ac:dyDescent="0.35">
      <c r="A131" s="5"/>
      <c r="B131" s="2" t="s">
        <v>95</v>
      </c>
      <c r="C131" s="3" t="s">
        <v>96</v>
      </c>
      <c r="D131" s="4">
        <v>30663</v>
      </c>
      <c r="E131" s="4">
        <v>800</v>
      </c>
      <c r="F131" s="4">
        <v>25200</v>
      </c>
      <c r="G131" s="4">
        <v>4145</v>
      </c>
      <c r="H131" s="4">
        <v>518</v>
      </c>
      <c r="I131" t="str">
        <f>_xlfn.XLOOKUP($B131,MD!$A$3:$A$100,MD!$C$3:$C$100)</f>
        <v>B3</v>
      </c>
      <c r="J131" t="str">
        <f>_xlfn.XLOOKUP($B131,MD!$A$3:$A$100,MD!$D$3:$D$100)</f>
        <v>MN</v>
      </c>
    </row>
    <row r="132" spans="1:10" x14ac:dyDescent="0.35">
      <c r="A132" s="5"/>
      <c r="B132" s="2" t="s">
        <v>15</v>
      </c>
      <c r="C132" s="3" t="s">
        <v>16</v>
      </c>
      <c r="D132" s="4">
        <v>28412.672000000002</v>
      </c>
      <c r="E132" s="4">
        <v>7000</v>
      </c>
      <c r="F132" s="4">
        <v>19500</v>
      </c>
      <c r="G132" s="4">
        <v>1482</v>
      </c>
      <c r="H132" s="4">
        <v>430.6720000000023</v>
      </c>
      <c r="I132" t="str">
        <f>_xlfn.XLOOKUP($B132,MD!$A$3:$A$100,MD!$C$3:$C$100)</f>
        <v>B1</v>
      </c>
      <c r="J132" t="str">
        <f>_xlfn.XLOOKUP($B132,MD!$A$3:$A$100,MD!$D$3:$D$100)</f>
        <v>MN</v>
      </c>
    </row>
    <row r="133" spans="1:10" x14ac:dyDescent="0.35">
      <c r="A133" s="5"/>
      <c r="B133" s="2" t="s">
        <v>27</v>
      </c>
      <c r="C133" s="3" t="s">
        <v>28</v>
      </c>
      <c r="D133" s="4">
        <v>27000</v>
      </c>
      <c r="E133" s="4">
        <v>25200</v>
      </c>
      <c r="F133" s="4">
        <v>700</v>
      </c>
      <c r="G133" s="4">
        <v>900</v>
      </c>
      <c r="H133" s="4">
        <v>200</v>
      </c>
      <c r="I133" t="str">
        <f>_xlfn.XLOOKUP($B133,MD!$A$3:$A$100,MD!$C$3:$C$100)</f>
        <v>B7</v>
      </c>
      <c r="J133" t="str">
        <f>_xlfn.XLOOKUP($B133,MD!$A$3:$A$100,MD!$D$3:$D$100)</f>
        <v>DTR</v>
      </c>
    </row>
    <row r="134" spans="1:10" x14ac:dyDescent="0.35">
      <c r="A134" s="5"/>
      <c r="B134" s="2" t="s">
        <v>73</v>
      </c>
      <c r="C134" s="3" t="s">
        <v>74</v>
      </c>
      <c r="D134" s="4">
        <v>13000</v>
      </c>
      <c r="E134" s="4">
        <v>0</v>
      </c>
      <c r="F134" s="4">
        <v>12506.896551724138</v>
      </c>
      <c r="G134" s="4">
        <v>0</v>
      </c>
      <c r="H134" s="4">
        <v>493.10344827586232</v>
      </c>
      <c r="I134" t="str">
        <f>_xlfn.XLOOKUP($B134,MD!$A$3:$A$100,MD!$C$3:$C$100)</f>
        <v>B4</v>
      </c>
      <c r="J134" t="str">
        <f>_xlfn.XLOOKUP($B134,MD!$A$3:$A$100,MD!$D$3:$D$100)</f>
        <v>DTR</v>
      </c>
    </row>
    <row r="135" spans="1:10" x14ac:dyDescent="0.35">
      <c r="A135" s="5"/>
      <c r="B135" s="2" t="s">
        <v>41</v>
      </c>
      <c r="C135" s="3" t="s">
        <v>42</v>
      </c>
      <c r="D135" s="4">
        <v>11000</v>
      </c>
      <c r="E135" s="4">
        <v>9100</v>
      </c>
      <c r="F135" s="4">
        <v>700</v>
      </c>
      <c r="G135" s="4">
        <v>1000</v>
      </c>
      <c r="H135" s="4">
        <v>200</v>
      </c>
      <c r="I135" t="str">
        <f>_xlfn.XLOOKUP($B135,MD!$A$3:$A$100,MD!$C$3:$C$100)</f>
        <v>B7</v>
      </c>
      <c r="J135" t="str">
        <f>_xlfn.XLOOKUP($B135,MD!$A$3:$A$100,MD!$D$3:$D$100)</f>
        <v>DTR</v>
      </c>
    </row>
    <row r="136" spans="1:10" x14ac:dyDescent="0.35">
      <c r="A136" s="5"/>
      <c r="B136" s="2" t="s">
        <v>39</v>
      </c>
      <c r="C136" s="3" t="s">
        <v>40</v>
      </c>
      <c r="D136" s="4">
        <v>8400</v>
      </c>
      <c r="E136" s="4">
        <v>723.35844994617867</v>
      </c>
      <c r="F136" s="4">
        <v>6826.6953713670609</v>
      </c>
      <c r="G136" s="4">
        <v>704.37029063509146</v>
      </c>
      <c r="H136" s="4">
        <v>145.57588805166904</v>
      </c>
      <c r="I136" t="str">
        <f>_xlfn.XLOOKUP($B136,MD!$A$3:$A$100,MD!$C$3:$C$100)</f>
        <v>B6</v>
      </c>
      <c r="J136" t="str">
        <f>_xlfn.XLOOKUP($B136,MD!$A$3:$A$100,MD!$D$3:$D$100)</f>
        <v>DTR</v>
      </c>
    </row>
    <row r="137" spans="1:10" x14ac:dyDescent="0.35">
      <c r="A137" s="5"/>
      <c r="B137" s="2" t="s">
        <v>23</v>
      </c>
      <c r="C137" s="3" t="s">
        <v>24</v>
      </c>
      <c r="D137" s="4">
        <v>7000</v>
      </c>
      <c r="E137" s="4">
        <v>5000</v>
      </c>
      <c r="F137" s="4">
        <v>2000</v>
      </c>
      <c r="G137" s="4">
        <v>0</v>
      </c>
      <c r="H137" s="4">
        <v>0</v>
      </c>
      <c r="I137" t="str">
        <f>_xlfn.XLOOKUP($B137,MD!$A$3:$A$100,MD!$C$3:$C$100)</f>
        <v>B1</v>
      </c>
      <c r="J137" t="str">
        <f>_xlfn.XLOOKUP($B137,MD!$A$3:$A$100,MD!$D$3:$D$100)</f>
        <v>DTR</v>
      </c>
    </row>
    <row r="138" spans="1:10" x14ac:dyDescent="0.35">
      <c r="A138" s="5"/>
      <c r="B138" s="2" t="s">
        <v>19</v>
      </c>
      <c r="C138" s="3" t="s">
        <v>20</v>
      </c>
      <c r="D138" s="4">
        <v>3200</v>
      </c>
      <c r="E138" s="4">
        <v>0</v>
      </c>
      <c r="F138" s="4">
        <v>3000</v>
      </c>
      <c r="G138" s="4">
        <v>200</v>
      </c>
      <c r="H138" s="4">
        <v>0</v>
      </c>
      <c r="I138" t="str">
        <f>_xlfn.XLOOKUP($B138,MD!$A$3:$A$100,MD!$C$3:$C$100)</f>
        <v>B1</v>
      </c>
      <c r="J138" t="str">
        <f>_xlfn.XLOOKUP($B138,MD!$A$3:$A$100,MD!$D$3:$D$100)</f>
        <v>MN</v>
      </c>
    </row>
    <row r="139" spans="1:10" x14ac:dyDescent="0.35">
      <c r="A139" s="6"/>
      <c r="B139" s="2" t="s">
        <v>57</v>
      </c>
      <c r="C139" s="3" t="s">
        <v>58</v>
      </c>
      <c r="D139" s="4">
        <v>1500</v>
      </c>
      <c r="E139" s="4">
        <v>0</v>
      </c>
      <c r="F139" s="4">
        <v>1443.1034482758621</v>
      </c>
      <c r="G139" s="4">
        <v>0</v>
      </c>
      <c r="H139" s="4">
        <v>56.896551724137908</v>
      </c>
      <c r="I139" t="str">
        <f>_xlfn.XLOOKUP($B139,MD!$A$3:$A$100,MD!$C$3:$C$100)</f>
        <v>B4</v>
      </c>
      <c r="J139" t="str">
        <f>_xlfn.XLOOKUP($B139,MD!$A$3:$A$100,MD!$D$3:$D$100)</f>
        <v>DTR</v>
      </c>
    </row>
    <row r="140" spans="1:10" x14ac:dyDescent="0.35">
      <c r="A140" s="7" t="s">
        <v>109</v>
      </c>
      <c r="B140" s="7"/>
      <c r="C140" s="7"/>
      <c r="D140" s="8">
        <v>3302289.6719999998</v>
      </c>
      <c r="E140" s="8">
        <v>1278572.0976794215</v>
      </c>
      <c r="F140" s="8">
        <v>1826346.297085166</v>
      </c>
      <c r="G140" s="8">
        <v>153620.61648153869</v>
      </c>
      <c r="H140" s="8">
        <v>43750.660753873584</v>
      </c>
    </row>
    <row r="141" spans="1:10" x14ac:dyDescent="0.35">
      <c r="A141" s="1" t="s">
        <v>110</v>
      </c>
      <c r="B141" s="2" t="s">
        <v>9</v>
      </c>
      <c r="C141" s="3" t="s">
        <v>10</v>
      </c>
      <c r="D141" s="4">
        <v>1974846</v>
      </c>
      <c r="E141" s="4">
        <v>949000</v>
      </c>
      <c r="F141" s="4">
        <v>896000</v>
      </c>
      <c r="G141" s="4">
        <v>93085</v>
      </c>
      <c r="H141" s="4">
        <v>36761</v>
      </c>
      <c r="I141" t="str">
        <f>_xlfn.XLOOKUP($B141,MD!$A$3:$A$100,MD!$C$3:$C$100)</f>
        <v>B1</v>
      </c>
      <c r="J141" t="str">
        <f>_xlfn.XLOOKUP($B141,MD!$A$3:$A$100,MD!$D$3:$D$100)</f>
        <v>MN</v>
      </c>
    </row>
    <row r="142" spans="1:10" x14ac:dyDescent="0.35">
      <c r="A142" s="5"/>
      <c r="B142" s="2" t="s">
        <v>33</v>
      </c>
      <c r="C142" s="3" t="s">
        <v>34</v>
      </c>
      <c r="D142" s="4">
        <v>485220</v>
      </c>
      <c r="E142" s="4">
        <v>168000</v>
      </c>
      <c r="F142" s="4">
        <v>287000</v>
      </c>
      <c r="G142" s="4">
        <v>21377</v>
      </c>
      <c r="H142" s="4">
        <v>8843</v>
      </c>
      <c r="I142" t="str">
        <f>_xlfn.XLOOKUP($B142,MD!$A$3:$A$100,MD!$C$3:$C$100)</f>
        <v>B1</v>
      </c>
      <c r="J142" t="str">
        <f>_xlfn.XLOOKUP($B142,MD!$A$3:$A$100,MD!$D$3:$D$100)</f>
        <v>MN</v>
      </c>
    </row>
    <row r="143" spans="1:10" x14ac:dyDescent="0.35">
      <c r="A143" s="5"/>
      <c r="B143" s="2" t="s">
        <v>11</v>
      </c>
      <c r="C143" s="3" t="s">
        <v>12</v>
      </c>
      <c r="D143" s="4">
        <v>414000</v>
      </c>
      <c r="E143" s="4">
        <v>208512.58751359762</v>
      </c>
      <c r="F143" s="4">
        <v>171484.55431200311</v>
      </c>
      <c r="G143" s="4">
        <v>26230.169096703696</v>
      </c>
      <c r="H143" s="4">
        <v>7772.6890776955734</v>
      </c>
      <c r="I143" t="str">
        <f>_xlfn.XLOOKUP($B143,MD!$A$3:$A$100,MD!$C$3:$C$100)</f>
        <v>B1</v>
      </c>
      <c r="J143" t="str">
        <f>_xlfn.XLOOKUP($B143,MD!$A$3:$A$100,MD!$D$3:$D$100)</f>
        <v>DTR</v>
      </c>
    </row>
    <row r="144" spans="1:10" x14ac:dyDescent="0.35">
      <c r="A144" s="5"/>
      <c r="B144" s="2" t="s">
        <v>25</v>
      </c>
      <c r="C144" s="3" t="s">
        <v>26</v>
      </c>
      <c r="D144" s="4">
        <v>325764.99999999994</v>
      </c>
      <c r="E144" s="4">
        <v>173479.61967386666</v>
      </c>
      <c r="F144" s="4">
        <v>94452.694745106826</v>
      </c>
      <c r="G144" s="4">
        <v>52403.789300293036</v>
      </c>
      <c r="H144" s="4">
        <v>5428.8962807334174</v>
      </c>
      <c r="I144" t="str">
        <f>_xlfn.XLOOKUP($B144,MD!$A$3:$A$100,MD!$C$3:$C$100)</f>
        <v>B6</v>
      </c>
      <c r="J144" t="str">
        <f>_xlfn.XLOOKUP($B144,MD!$A$3:$A$100,MD!$D$3:$D$100)</f>
        <v>DTR</v>
      </c>
    </row>
    <row r="145" spans="1:10" x14ac:dyDescent="0.35">
      <c r="A145" s="5"/>
      <c r="B145" s="2" t="s">
        <v>89</v>
      </c>
      <c r="C145" s="3" t="s">
        <v>90</v>
      </c>
      <c r="D145" s="4">
        <v>205267</v>
      </c>
      <c r="E145" s="4">
        <v>7000</v>
      </c>
      <c r="F145" s="4">
        <v>180000</v>
      </c>
      <c r="G145" s="4">
        <v>14873</v>
      </c>
      <c r="H145" s="4">
        <v>3394</v>
      </c>
      <c r="I145" t="str">
        <f>_xlfn.XLOOKUP($B145,MD!$A$3:$A$100,MD!$C$3:$C$100)</f>
        <v>B6</v>
      </c>
      <c r="J145" t="str">
        <f>_xlfn.XLOOKUP($B145,MD!$A$3:$A$100,MD!$D$3:$D$100)</f>
        <v>DTR</v>
      </c>
    </row>
    <row r="146" spans="1:10" x14ac:dyDescent="0.35">
      <c r="A146" s="5"/>
      <c r="B146" s="2" t="s">
        <v>15</v>
      </c>
      <c r="C146" s="3" t="s">
        <v>16</v>
      </c>
      <c r="D146" s="4">
        <v>94082</v>
      </c>
      <c r="E146" s="4">
        <v>33500</v>
      </c>
      <c r="F146" s="4">
        <v>55500</v>
      </c>
      <c r="G146" s="4">
        <v>3310</v>
      </c>
      <c r="H146" s="4">
        <v>1772</v>
      </c>
      <c r="I146" t="str">
        <f>_xlfn.XLOOKUP($B146,MD!$A$3:$A$100,MD!$C$3:$C$100)</f>
        <v>B1</v>
      </c>
      <c r="J146" t="str">
        <f>_xlfn.XLOOKUP($B146,MD!$A$3:$A$100,MD!$D$3:$D$100)</f>
        <v>MN</v>
      </c>
    </row>
    <row r="147" spans="1:10" x14ac:dyDescent="0.35">
      <c r="A147" s="5"/>
      <c r="B147" s="2" t="s">
        <v>21</v>
      </c>
      <c r="C147" s="3" t="s">
        <v>22</v>
      </c>
      <c r="D147" s="4">
        <v>78550</v>
      </c>
      <c r="E147" s="4">
        <v>62000</v>
      </c>
      <c r="F147" s="4">
        <v>10000</v>
      </c>
      <c r="G147" s="4">
        <v>5014</v>
      </c>
      <c r="H147" s="4">
        <v>1536</v>
      </c>
      <c r="I147" t="str">
        <f>_xlfn.XLOOKUP($B147,MD!$A$3:$A$100,MD!$C$3:$C$100)</f>
        <v>B1</v>
      </c>
      <c r="J147" t="str">
        <f>_xlfn.XLOOKUP($B147,MD!$A$3:$A$100,MD!$D$3:$D$100)</f>
        <v>DTR</v>
      </c>
    </row>
    <row r="148" spans="1:10" x14ac:dyDescent="0.35">
      <c r="A148" s="5"/>
      <c r="B148" s="2" t="s">
        <v>37</v>
      </c>
      <c r="C148" s="3" t="s">
        <v>38</v>
      </c>
      <c r="D148" s="4">
        <v>68500</v>
      </c>
      <c r="E148" s="4">
        <v>35987.412486402354</v>
      </c>
      <c r="F148" s="4">
        <v>26515.445687996886</v>
      </c>
      <c r="G148" s="4">
        <v>4728.8309032963098</v>
      </c>
      <c r="H148" s="4">
        <v>1268.3109223044503</v>
      </c>
      <c r="I148" t="str">
        <f>_xlfn.XLOOKUP($B148,MD!$A$3:$A$100,MD!$C$3:$C$100)</f>
        <v>B1</v>
      </c>
      <c r="J148" t="str">
        <f>_xlfn.XLOOKUP($B148,MD!$A$3:$A$100,MD!$D$3:$D$100)</f>
        <v>DTR</v>
      </c>
    </row>
    <row r="149" spans="1:10" x14ac:dyDescent="0.35">
      <c r="A149" s="5"/>
      <c r="B149" s="2" t="s">
        <v>31</v>
      </c>
      <c r="C149" s="3" t="s">
        <v>32</v>
      </c>
      <c r="D149" s="4">
        <v>43464</v>
      </c>
      <c r="E149" s="4">
        <v>12500</v>
      </c>
      <c r="F149" s="4">
        <v>28500</v>
      </c>
      <c r="G149" s="4">
        <v>1650</v>
      </c>
      <c r="H149" s="4">
        <v>814</v>
      </c>
      <c r="I149" t="str">
        <f>_xlfn.XLOOKUP($B149,MD!$A$3:$A$100,MD!$C$3:$C$100)</f>
        <v>B1</v>
      </c>
      <c r="J149" t="str">
        <f>_xlfn.XLOOKUP($B149,MD!$A$3:$A$100,MD!$D$3:$D$100)</f>
        <v>MN</v>
      </c>
    </row>
    <row r="150" spans="1:10" x14ac:dyDescent="0.35">
      <c r="A150" s="5"/>
      <c r="B150" s="2" t="s">
        <v>97</v>
      </c>
      <c r="C150" s="3" t="s">
        <v>98</v>
      </c>
      <c r="D150" s="4">
        <v>27200</v>
      </c>
      <c r="E150" s="4">
        <v>20800</v>
      </c>
      <c r="F150" s="4">
        <v>4800</v>
      </c>
      <c r="G150" s="4">
        <v>1056</v>
      </c>
      <c r="H150" s="4">
        <v>544</v>
      </c>
      <c r="I150" t="str">
        <f>_xlfn.XLOOKUP($B150,MD!$A$3:$A$100,MD!$C$3:$C$100)</f>
        <v>B2</v>
      </c>
      <c r="J150" t="str">
        <f>_xlfn.XLOOKUP($B150,MD!$A$3:$A$100,MD!$D$3:$D$100)</f>
        <v>MN</v>
      </c>
    </row>
    <row r="151" spans="1:10" x14ac:dyDescent="0.35">
      <c r="A151" s="5"/>
      <c r="B151" s="2" t="s">
        <v>27</v>
      </c>
      <c r="C151" s="3" t="s">
        <v>28</v>
      </c>
      <c r="D151" s="4">
        <v>26000</v>
      </c>
      <c r="E151" s="4">
        <v>24444.403567447047</v>
      </c>
      <c r="F151" s="4">
        <v>437.5</v>
      </c>
      <c r="G151" s="4">
        <v>733.75</v>
      </c>
      <c r="H151" s="4">
        <v>384.34643255295305</v>
      </c>
      <c r="I151" t="str">
        <f>_xlfn.XLOOKUP($B151,MD!$A$3:$A$100,MD!$C$3:$C$100)</f>
        <v>B7</v>
      </c>
      <c r="J151" t="str">
        <f>_xlfn.XLOOKUP($B151,MD!$A$3:$A$100,MD!$D$3:$D$100)</f>
        <v>DTR</v>
      </c>
    </row>
    <row r="152" spans="1:10" x14ac:dyDescent="0.35">
      <c r="A152" s="5"/>
      <c r="B152" s="2" t="s">
        <v>35</v>
      </c>
      <c r="C152" s="3" t="s">
        <v>36</v>
      </c>
      <c r="D152" s="4">
        <v>26000</v>
      </c>
      <c r="E152" s="4">
        <v>2197.1830985915494</v>
      </c>
      <c r="F152" s="4">
        <v>21971.830985915494</v>
      </c>
      <c r="G152" s="4">
        <v>1684.5070422535211</v>
      </c>
      <c r="H152" s="4">
        <v>146.47887323943337</v>
      </c>
      <c r="I152" t="str">
        <f>_xlfn.XLOOKUP($B152,MD!$A$3:$A$100,MD!$C$3:$C$100)</f>
        <v>B5</v>
      </c>
      <c r="J152" t="str">
        <f>_xlfn.XLOOKUP($B152,MD!$A$3:$A$100,MD!$D$3:$D$100)</f>
        <v>DTR</v>
      </c>
    </row>
    <row r="153" spans="1:10" x14ac:dyDescent="0.35">
      <c r="A153" s="5"/>
      <c r="B153" s="2" t="s">
        <v>29</v>
      </c>
      <c r="C153" s="3" t="s">
        <v>30</v>
      </c>
      <c r="D153" s="4">
        <v>9500</v>
      </c>
      <c r="E153" s="4">
        <v>802.81690140845069</v>
      </c>
      <c r="F153" s="4">
        <v>8028.1690140845076</v>
      </c>
      <c r="G153" s="4">
        <v>615.49295774647885</v>
      </c>
      <c r="H153" s="4">
        <v>53.521126760562993</v>
      </c>
      <c r="I153" t="str">
        <f>_xlfn.XLOOKUP($B153,MD!$A$3:$A$100,MD!$C$3:$C$100)</f>
        <v>B5</v>
      </c>
      <c r="J153" t="str">
        <f>_xlfn.XLOOKUP($B153,MD!$A$3:$A$100,MD!$D$3:$D$100)</f>
        <v>DTR</v>
      </c>
    </row>
    <row r="154" spans="1:10" x14ac:dyDescent="0.35">
      <c r="A154" s="5"/>
      <c r="B154" s="2" t="s">
        <v>101</v>
      </c>
      <c r="C154" s="3" t="s">
        <v>102</v>
      </c>
      <c r="D154" s="4">
        <v>8200</v>
      </c>
      <c r="E154" s="4">
        <v>7445.596432552954</v>
      </c>
      <c r="F154" s="4">
        <v>262.5</v>
      </c>
      <c r="G154" s="4">
        <v>356.25</v>
      </c>
      <c r="H154" s="4">
        <v>135.65356744704604</v>
      </c>
      <c r="I154" t="str">
        <f>_xlfn.XLOOKUP($B154,MD!$A$3:$A$100,MD!$C$3:$C$100)</f>
        <v>B7</v>
      </c>
      <c r="J154" t="str">
        <f>_xlfn.XLOOKUP($B154,MD!$A$3:$A$100,MD!$D$3:$D$100)</f>
        <v>MN</v>
      </c>
    </row>
    <row r="155" spans="1:10" x14ac:dyDescent="0.35">
      <c r="A155" s="6"/>
      <c r="B155" s="2" t="s">
        <v>111</v>
      </c>
      <c r="C155" s="3" t="s">
        <v>112</v>
      </c>
      <c r="D155" s="4">
        <v>5000</v>
      </c>
      <c r="E155" s="4">
        <v>3000</v>
      </c>
      <c r="F155" s="4">
        <v>0</v>
      </c>
      <c r="G155" s="4">
        <v>1800</v>
      </c>
      <c r="H155" s="4">
        <v>200</v>
      </c>
      <c r="I155" t="str">
        <f>_xlfn.XLOOKUP($B155,MD!$A$3:$A$100,MD!$C$3:$C$100)</f>
        <v>Unknown</v>
      </c>
      <c r="J155" t="str">
        <f>_xlfn.XLOOKUP($B155,MD!$A$3:$A$100,MD!$D$3:$D$100)</f>
        <v>Unknown</v>
      </c>
    </row>
    <row r="156" spans="1:10" x14ac:dyDescent="0.35">
      <c r="A156" s="7" t="s">
        <v>113</v>
      </c>
      <c r="B156" s="7"/>
      <c r="C156" s="7"/>
      <c r="D156" s="8">
        <v>3791594.0000000023</v>
      </c>
      <c r="E156" s="8">
        <v>1708669.6196738668</v>
      </c>
      <c r="F156" s="8">
        <v>1784952.6947451069</v>
      </c>
      <c r="G156" s="8">
        <v>228917.78930029305</v>
      </c>
      <c r="H156" s="8">
        <v>69053.896280735644</v>
      </c>
    </row>
    <row r="157" spans="1:10" x14ac:dyDescent="0.35">
      <c r="A157" s="1" t="s">
        <v>114</v>
      </c>
      <c r="B157" s="2" t="s">
        <v>9</v>
      </c>
      <c r="C157" s="3" t="s">
        <v>10</v>
      </c>
      <c r="D157" s="4">
        <v>641276</v>
      </c>
      <c r="E157" s="4">
        <v>272000</v>
      </c>
      <c r="F157" s="4">
        <v>347500</v>
      </c>
      <c r="G157" s="4">
        <v>9148</v>
      </c>
      <c r="H157" s="4">
        <v>12628</v>
      </c>
      <c r="I157" t="str">
        <f>_xlfn.XLOOKUP($B157,MD!$A$3:$A$100,MD!$C$3:$C$100)</f>
        <v>B1</v>
      </c>
      <c r="J157" t="str">
        <f>_xlfn.XLOOKUP($B157,MD!$A$3:$A$100,MD!$D$3:$D$100)</f>
        <v>MN</v>
      </c>
    </row>
    <row r="158" spans="1:10" x14ac:dyDescent="0.35">
      <c r="A158" s="5"/>
      <c r="B158" s="2" t="s">
        <v>21</v>
      </c>
      <c r="C158" s="3" t="s">
        <v>22</v>
      </c>
      <c r="D158" s="4">
        <v>276750.00000000006</v>
      </c>
      <c r="E158" s="4">
        <v>215982.72739034804</v>
      </c>
      <c r="F158" s="4">
        <v>43986.673567085003</v>
      </c>
      <c r="G158" s="4">
        <v>11387.264329149955</v>
      </c>
      <c r="H158" s="4">
        <v>5393.3347134170617</v>
      </c>
      <c r="I158" t="str">
        <f>_xlfn.XLOOKUP($B158,MD!$A$3:$A$100,MD!$C$3:$C$100)</f>
        <v>B1</v>
      </c>
      <c r="J158" t="str">
        <f>_xlfn.XLOOKUP($B158,MD!$A$3:$A$100,MD!$D$3:$D$100)</f>
        <v>DTR</v>
      </c>
    </row>
    <row r="159" spans="1:10" x14ac:dyDescent="0.35">
      <c r="A159" s="5"/>
      <c r="B159" s="2" t="s">
        <v>11</v>
      </c>
      <c r="C159" s="3" t="s">
        <v>12</v>
      </c>
      <c r="D159" s="4">
        <v>263300</v>
      </c>
      <c r="E159" s="4">
        <v>90631.854316908648</v>
      </c>
      <c r="F159" s="4">
        <v>149756.47686879517</v>
      </c>
      <c r="G159" s="4">
        <v>18850.195492881332</v>
      </c>
      <c r="H159" s="4">
        <v>4061.4733214148619</v>
      </c>
      <c r="I159" t="str">
        <f>_xlfn.XLOOKUP($B159,MD!$A$3:$A$100,MD!$C$3:$C$100)</f>
        <v>B1</v>
      </c>
      <c r="J159" t="str">
        <f>_xlfn.XLOOKUP($B159,MD!$A$3:$A$100,MD!$D$3:$D$100)</f>
        <v>DTR</v>
      </c>
    </row>
    <row r="160" spans="1:10" x14ac:dyDescent="0.35">
      <c r="A160" s="5"/>
      <c r="B160" s="2" t="s">
        <v>33</v>
      </c>
      <c r="C160" s="3" t="s">
        <v>34</v>
      </c>
      <c r="D160" s="4">
        <v>235492</v>
      </c>
      <c r="E160" s="4">
        <v>93000</v>
      </c>
      <c r="F160" s="4">
        <v>129000</v>
      </c>
      <c r="G160" s="4">
        <v>8849</v>
      </c>
      <c r="H160" s="4">
        <v>4643</v>
      </c>
      <c r="I160" t="str">
        <f>_xlfn.XLOOKUP($B160,MD!$A$3:$A$100,MD!$C$3:$C$100)</f>
        <v>B1</v>
      </c>
      <c r="J160" t="str">
        <f>_xlfn.XLOOKUP($B160,MD!$A$3:$A$100,MD!$D$3:$D$100)</f>
        <v>MN</v>
      </c>
    </row>
    <row r="161" spans="1:10" x14ac:dyDescent="0.35">
      <c r="A161" s="5"/>
      <c r="B161" s="2" t="s">
        <v>89</v>
      </c>
      <c r="C161" s="3" t="s">
        <v>90</v>
      </c>
      <c r="D161" s="4">
        <v>207799.99999999997</v>
      </c>
      <c r="E161" s="4">
        <v>24500</v>
      </c>
      <c r="F161" s="4">
        <v>161575</v>
      </c>
      <c r="G161" s="4">
        <v>17938</v>
      </c>
      <c r="H161" s="4">
        <v>3786.9999999999709</v>
      </c>
      <c r="I161" t="str">
        <f>_xlfn.XLOOKUP($B161,MD!$A$3:$A$100,MD!$C$3:$C$100)</f>
        <v>B6</v>
      </c>
      <c r="J161" t="str">
        <f>_xlfn.XLOOKUP($B161,MD!$A$3:$A$100,MD!$D$3:$D$100)</f>
        <v>DTR</v>
      </c>
    </row>
    <row r="162" spans="1:10" x14ac:dyDescent="0.35">
      <c r="A162" s="5"/>
      <c r="B162" s="2" t="s">
        <v>31</v>
      </c>
      <c r="C162" s="3" t="s">
        <v>32</v>
      </c>
      <c r="D162" s="4">
        <v>168772</v>
      </c>
      <c r="E162" s="4">
        <v>92000</v>
      </c>
      <c r="F162" s="4">
        <v>68500</v>
      </c>
      <c r="G162" s="4">
        <v>5568</v>
      </c>
      <c r="H162" s="4">
        <v>2704</v>
      </c>
      <c r="I162" t="str">
        <f>_xlfn.XLOOKUP($B162,MD!$A$3:$A$100,MD!$C$3:$C$100)</f>
        <v>B1</v>
      </c>
      <c r="J162" t="str">
        <f>_xlfn.XLOOKUP($B162,MD!$A$3:$A$100,MD!$D$3:$D$100)</f>
        <v>MN</v>
      </c>
    </row>
    <row r="163" spans="1:10" x14ac:dyDescent="0.35">
      <c r="A163" s="5"/>
      <c r="B163" s="2" t="s">
        <v>25</v>
      </c>
      <c r="C163" s="3" t="s">
        <v>26</v>
      </c>
      <c r="D163" s="4">
        <v>168564.99999999994</v>
      </c>
      <c r="E163" s="4">
        <v>86351.533272659231</v>
      </c>
      <c r="F163" s="4">
        <v>49803.787781218358</v>
      </c>
      <c r="G163" s="4">
        <v>29091.736307920477</v>
      </c>
      <c r="H163" s="4">
        <v>3317.9426382018755</v>
      </c>
      <c r="I163" t="str">
        <f>_xlfn.XLOOKUP($B163,MD!$A$3:$A$100,MD!$C$3:$C$100)</f>
        <v>B6</v>
      </c>
      <c r="J163" t="str">
        <f>_xlfn.XLOOKUP($B163,MD!$A$3:$A$100,MD!$D$3:$D$100)</f>
        <v>DTR</v>
      </c>
    </row>
    <row r="164" spans="1:10" x14ac:dyDescent="0.35">
      <c r="A164" s="5"/>
      <c r="B164" s="2" t="s">
        <v>37</v>
      </c>
      <c r="C164" s="3" t="s">
        <v>38</v>
      </c>
      <c r="D164" s="4">
        <v>124500</v>
      </c>
      <c r="E164" s="4">
        <v>42868.145683091345</v>
      </c>
      <c r="F164" s="4">
        <v>72243.523131204827</v>
      </c>
      <c r="G164" s="4">
        <v>7586.8045071186662</v>
      </c>
      <c r="H164" s="4">
        <v>1801.5266785851691</v>
      </c>
      <c r="I164" t="str">
        <f>_xlfn.XLOOKUP($B164,MD!$A$3:$A$100,MD!$C$3:$C$100)</f>
        <v>B1</v>
      </c>
      <c r="J164" t="str">
        <f>_xlfn.XLOOKUP($B164,MD!$A$3:$A$100,MD!$D$3:$D$100)</f>
        <v>DTR</v>
      </c>
    </row>
    <row r="165" spans="1:10" x14ac:dyDescent="0.35">
      <c r="A165" s="5"/>
      <c r="B165" s="2" t="s">
        <v>15</v>
      </c>
      <c r="C165" s="3" t="s">
        <v>16</v>
      </c>
      <c r="D165" s="4">
        <v>84272</v>
      </c>
      <c r="E165" s="4">
        <v>44000</v>
      </c>
      <c r="F165" s="4">
        <v>38000</v>
      </c>
      <c r="G165" s="4">
        <v>1000</v>
      </c>
      <c r="H165" s="4">
        <v>1272</v>
      </c>
      <c r="I165" t="str">
        <f>_xlfn.XLOOKUP($B165,MD!$A$3:$A$100,MD!$C$3:$C$100)</f>
        <v>B1</v>
      </c>
      <c r="J165" t="str">
        <f>_xlfn.XLOOKUP($B165,MD!$A$3:$A$100,MD!$D$3:$D$100)</f>
        <v>MN</v>
      </c>
    </row>
    <row r="166" spans="1:10" x14ac:dyDescent="0.35">
      <c r="A166" s="5"/>
      <c r="B166" s="2" t="s">
        <v>51</v>
      </c>
      <c r="C166" s="3" t="s">
        <v>52</v>
      </c>
      <c r="D166" s="4">
        <v>82580</v>
      </c>
      <c r="E166" s="4">
        <v>70517.272609651962</v>
      </c>
      <c r="F166" s="4">
        <v>8013.3264329149952</v>
      </c>
      <c r="G166" s="4">
        <v>2446.7356708500456</v>
      </c>
      <c r="H166" s="4">
        <v>1602.6652865829974</v>
      </c>
      <c r="I166" t="str">
        <f>_xlfn.XLOOKUP($B166,MD!$A$3:$A$100,MD!$C$3:$C$100)</f>
        <v>B1</v>
      </c>
      <c r="J166" t="str">
        <f>_xlfn.XLOOKUP($B166,MD!$A$3:$A$100,MD!$D$3:$D$100)</f>
        <v>DTR</v>
      </c>
    </row>
    <row r="167" spans="1:10" x14ac:dyDescent="0.35">
      <c r="A167" s="5"/>
      <c r="B167" s="2" t="s">
        <v>27</v>
      </c>
      <c r="C167" s="3" t="s">
        <v>28</v>
      </c>
      <c r="D167" s="4">
        <v>44300</v>
      </c>
      <c r="E167" s="4">
        <v>38200</v>
      </c>
      <c r="F167" s="4">
        <v>5400</v>
      </c>
      <c r="G167" s="4">
        <v>210</v>
      </c>
      <c r="H167" s="4">
        <v>490</v>
      </c>
      <c r="I167" t="str">
        <f>_xlfn.XLOOKUP($B167,MD!$A$3:$A$100,MD!$C$3:$C$100)</f>
        <v>B7</v>
      </c>
      <c r="J167" t="str">
        <f>_xlfn.XLOOKUP($B167,MD!$A$3:$A$100,MD!$D$3:$D$100)</f>
        <v>DTR</v>
      </c>
    </row>
    <row r="168" spans="1:10" x14ac:dyDescent="0.35">
      <c r="A168" s="5"/>
      <c r="B168" s="2" t="s">
        <v>73</v>
      </c>
      <c r="C168" s="3" t="s">
        <v>74</v>
      </c>
      <c r="D168" s="4">
        <v>35000</v>
      </c>
      <c r="E168" s="4">
        <v>0</v>
      </c>
      <c r="F168" s="4">
        <v>32941.176470588238</v>
      </c>
      <c r="G168" s="4">
        <v>1421.4117647058822</v>
      </c>
      <c r="H168" s="4">
        <v>637.41176470587993</v>
      </c>
      <c r="I168" t="str">
        <f>_xlfn.XLOOKUP($B168,MD!$A$3:$A$100,MD!$C$3:$C$100)</f>
        <v>B4</v>
      </c>
      <c r="J168" t="str">
        <f>_xlfn.XLOOKUP($B168,MD!$A$3:$A$100,MD!$D$3:$D$100)</f>
        <v>DTR</v>
      </c>
    </row>
    <row r="169" spans="1:10" x14ac:dyDescent="0.35">
      <c r="A169" s="5"/>
      <c r="B169" s="2" t="s">
        <v>115</v>
      </c>
      <c r="C169" s="3" t="s">
        <v>116</v>
      </c>
      <c r="D169" s="4">
        <v>30500</v>
      </c>
      <c r="E169" s="4">
        <v>28000</v>
      </c>
      <c r="F169" s="4">
        <v>1000</v>
      </c>
      <c r="G169" s="4">
        <v>1100</v>
      </c>
      <c r="H169" s="4">
        <v>400</v>
      </c>
      <c r="I169" t="str">
        <f>_xlfn.XLOOKUP($B169,MD!$A$3:$A$100,MD!$C$3:$C$100)</f>
        <v>Unknown</v>
      </c>
      <c r="J169" t="str">
        <f>_xlfn.XLOOKUP($B169,MD!$A$3:$A$100,MD!$D$3:$D$100)</f>
        <v>Unknown</v>
      </c>
    </row>
    <row r="170" spans="1:10" x14ac:dyDescent="0.35">
      <c r="A170" s="5"/>
      <c r="B170" s="2" t="s">
        <v>17</v>
      </c>
      <c r="C170" s="3" t="s">
        <v>18</v>
      </c>
      <c r="D170" s="4">
        <v>16100</v>
      </c>
      <c r="E170" s="4">
        <v>0</v>
      </c>
      <c r="F170" s="4">
        <v>15000</v>
      </c>
      <c r="G170" s="4">
        <v>790</v>
      </c>
      <c r="H170" s="4">
        <v>310</v>
      </c>
      <c r="I170" t="str">
        <f>_xlfn.XLOOKUP($B170,MD!$A$3:$A$100,MD!$C$3:$C$100)</f>
        <v>B6</v>
      </c>
      <c r="J170" t="str">
        <f>_xlfn.XLOOKUP($B170,MD!$A$3:$A$100,MD!$D$3:$D$100)</f>
        <v>DTR</v>
      </c>
    </row>
    <row r="171" spans="1:10" x14ac:dyDescent="0.35">
      <c r="A171" s="5"/>
      <c r="B171" s="2" t="s">
        <v>57</v>
      </c>
      <c r="C171" s="3" t="s">
        <v>58</v>
      </c>
      <c r="D171" s="4">
        <v>7500</v>
      </c>
      <c r="E171" s="4">
        <v>0</v>
      </c>
      <c r="F171" s="4">
        <v>7058.8235294117649</v>
      </c>
      <c r="G171" s="4">
        <v>304.58823529411768</v>
      </c>
      <c r="H171" s="4">
        <v>136.58823529411745</v>
      </c>
      <c r="I171" t="str">
        <f>_xlfn.XLOOKUP($B171,MD!$A$3:$A$100,MD!$C$3:$C$100)</f>
        <v>B4</v>
      </c>
      <c r="J171" t="str">
        <f>_xlfn.XLOOKUP($B171,MD!$A$3:$A$100,MD!$D$3:$D$100)</f>
        <v>DTR</v>
      </c>
    </row>
    <row r="172" spans="1:10" x14ac:dyDescent="0.35">
      <c r="A172" s="5"/>
      <c r="B172" s="2" t="s">
        <v>19</v>
      </c>
      <c r="C172" s="3" t="s">
        <v>20</v>
      </c>
      <c r="D172" s="4">
        <v>4500</v>
      </c>
      <c r="E172" s="4">
        <v>2500</v>
      </c>
      <c r="F172" s="4">
        <v>2000</v>
      </c>
      <c r="G172" s="4">
        <v>0</v>
      </c>
      <c r="H172" s="4">
        <v>0</v>
      </c>
      <c r="I172" t="str">
        <f>_xlfn.XLOOKUP($B172,MD!$A$3:$A$100,MD!$C$3:$C$100)</f>
        <v>B1</v>
      </c>
      <c r="J172" t="str">
        <f>_xlfn.XLOOKUP($B172,MD!$A$3:$A$100,MD!$D$3:$D$100)</f>
        <v>MN</v>
      </c>
    </row>
    <row r="173" spans="1:10" x14ac:dyDescent="0.35">
      <c r="A173" s="6"/>
      <c r="B173" s="2" t="s">
        <v>101</v>
      </c>
      <c r="C173" s="3" t="s">
        <v>102</v>
      </c>
      <c r="D173" s="4">
        <v>500</v>
      </c>
      <c r="E173" s="4">
        <v>500</v>
      </c>
      <c r="F173" s="4">
        <v>0</v>
      </c>
      <c r="G173" s="4">
        <v>0</v>
      </c>
      <c r="H173" s="4">
        <v>0</v>
      </c>
      <c r="I173" t="str">
        <f>_xlfn.XLOOKUP($B173,MD!$A$3:$A$100,MD!$C$3:$C$100)</f>
        <v>B7</v>
      </c>
      <c r="J173" t="str">
        <f>_xlfn.XLOOKUP($B173,MD!$A$3:$A$100,MD!$D$3:$D$100)</f>
        <v>MN</v>
      </c>
    </row>
    <row r="174" spans="1:10" x14ac:dyDescent="0.35">
      <c r="A174" s="7" t="s">
        <v>117</v>
      </c>
      <c r="B174" s="7"/>
      <c r="C174" s="7"/>
      <c r="D174" s="8">
        <v>2391706.9999999986</v>
      </c>
      <c r="E174" s="8">
        <v>1101051.5332726592</v>
      </c>
      <c r="F174" s="8">
        <v>1131778.7877812183</v>
      </c>
      <c r="G174" s="8">
        <v>115691.7363079205</v>
      </c>
      <c r="H174" s="8">
        <v>43184.942638200635</v>
      </c>
    </row>
    <row r="175" spans="1:10" x14ac:dyDescent="0.35">
      <c r="A175" s="1" t="s">
        <v>118</v>
      </c>
      <c r="B175" s="2" t="s">
        <v>9</v>
      </c>
      <c r="C175" s="3" t="s">
        <v>10</v>
      </c>
      <c r="D175" s="4">
        <v>1137212</v>
      </c>
      <c r="E175" s="4">
        <v>444500</v>
      </c>
      <c r="F175" s="4">
        <v>622000</v>
      </c>
      <c r="G175" s="4">
        <v>50340</v>
      </c>
      <c r="H175" s="4">
        <v>20372</v>
      </c>
      <c r="I175" t="str">
        <f>_xlfn.XLOOKUP($B175,MD!$A$3:$A$100,MD!$C$3:$C$100)</f>
        <v>B1</v>
      </c>
      <c r="J175" t="str">
        <f>_xlfn.XLOOKUP($B175,MD!$A$3:$A$100,MD!$D$3:$D$100)</f>
        <v>MN</v>
      </c>
    </row>
    <row r="176" spans="1:10" x14ac:dyDescent="0.35">
      <c r="A176" s="5"/>
      <c r="B176" s="2" t="s">
        <v>11</v>
      </c>
      <c r="C176" s="3" t="s">
        <v>12</v>
      </c>
      <c r="D176" s="4">
        <v>915199.99999999965</v>
      </c>
      <c r="E176" s="4">
        <v>414764.88244747987</v>
      </c>
      <c r="F176" s="4">
        <v>405587.82643597748</v>
      </c>
      <c r="G176" s="4">
        <v>79037.995674944934</v>
      </c>
      <c r="H176" s="4">
        <v>15809.295441597365</v>
      </c>
      <c r="I176" t="str">
        <f>_xlfn.XLOOKUP($B176,MD!$A$3:$A$100,MD!$C$3:$C$100)</f>
        <v>B1</v>
      </c>
      <c r="J176" t="str">
        <f>_xlfn.XLOOKUP($B176,MD!$A$3:$A$100,MD!$D$3:$D$100)</f>
        <v>DTR</v>
      </c>
    </row>
    <row r="177" spans="1:10" x14ac:dyDescent="0.35">
      <c r="A177" s="5"/>
      <c r="B177" s="2" t="s">
        <v>51</v>
      </c>
      <c r="C177" s="3" t="s">
        <v>52</v>
      </c>
      <c r="D177" s="4">
        <v>541099.99999999988</v>
      </c>
      <c r="E177" s="4">
        <v>453249.82845423889</v>
      </c>
      <c r="F177" s="4">
        <v>49605.458851745781</v>
      </c>
      <c r="G177" s="4">
        <v>27775.024176216099</v>
      </c>
      <c r="H177" s="4">
        <v>10469.688517799117</v>
      </c>
      <c r="I177" t="str">
        <f>_xlfn.XLOOKUP($B177,MD!$A$3:$A$100,MD!$C$3:$C$100)</f>
        <v>B1</v>
      </c>
      <c r="J177" t="str">
        <f>_xlfn.XLOOKUP($B177,MD!$A$3:$A$100,MD!$D$3:$D$100)</f>
        <v>DTR</v>
      </c>
    </row>
    <row r="178" spans="1:10" x14ac:dyDescent="0.35">
      <c r="A178" s="5"/>
      <c r="B178" s="2" t="s">
        <v>21</v>
      </c>
      <c r="C178" s="3" t="s">
        <v>22</v>
      </c>
      <c r="D178" s="4">
        <v>538800.00000000023</v>
      </c>
      <c r="E178" s="4">
        <v>423365.46596415684</v>
      </c>
      <c r="F178" s="4">
        <v>81574.866378202278</v>
      </c>
      <c r="G178" s="4">
        <v>23272.870800851928</v>
      </c>
      <c r="H178" s="4">
        <v>10586.796856789184</v>
      </c>
      <c r="I178" t="str">
        <f>_xlfn.XLOOKUP($B178,MD!$A$3:$A$100,MD!$C$3:$C$100)</f>
        <v>B1</v>
      </c>
      <c r="J178" t="str">
        <f>_xlfn.XLOOKUP($B178,MD!$A$3:$A$100,MD!$D$3:$D$100)</f>
        <v>DTR</v>
      </c>
    </row>
    <row r="179" spans="1:10" x14ac:dyDescent="0.35">
      <c r="A179" s="5"/>
      <c r="B179" s="2" t="s">
        <v>89</v>
      </c>
      <c r="C179" s="3" t="s">
        <v>90</v>
      </c>
      <c r="D179" s="4">
        <v>405000</v>
      </c>
      <c r="E179" s="4">
        <v>94000</v>
      </c>
      <c r="F179" s="4">
        <v>268500</v>
      </c>
      <c r="G179" s="4">
        <v>34703</v>
      </c>
      <c r="H179" s="4">
        <v>7797</v>
      </c>
      <c r="I179" t="str">
        <f>_xlfn.XLOOKUP($B179,MD!$A$3:$A$100,MD!$C$3:$C$100)</f>
        <v>B6</v>
      </c>
      <c r="J179" t="str">
        <f>_xlfn.XLOOKUP($B179,MD!$A$3:$A$100,MD!$D$3:$D$100)</f>
        <v>DTR</v>
      </c>
    </row>
    <row r="180" spans="1:10" x14ac:dyDescent="0.35">
      <c r="A180" s="5"/>
      <c r="B180" s="2" t="s">
        <v>37</v>
      </c>
      <c r="C180" s="3" t="s">
        <v>38</v>
      </c>
      <c r="D180" s="4">
        <v>326999.99999999994</v>
      </c>
      <c r="E180" s="4">
        <v>178735.11755252018</v>
      </c>
      <c r="F180" s="4">
        <v>113412.17356402249</v>
      </c>
      <c r="G180" s="4">
        <v>29031.004325055063</v>
      </c>
      <c r="H180" s="4">
        <v>5821.7045584022017</v>
      </c>
      <c r="I180" t="str">
        <f>_xlfn.XLOOKUP($B180,MD!$A$3:$A$100,MD!$C$3:$C$100)</f>
        <v>B1</v>
      </c>
      <c r="J180" t="str">
        <f>_xlfn.XLOOKUP($B180,MD!$A$3:$A$100,MD!$D$3:$D$100)</f>
        <v>DTR</v>
      </c>
    </row>
    <row r="181" spans="1:10" x14ac:dyDescent="0.35">
      <c r="A181" s="5"/>
      <c r="B181" s="2" t="s">
        <v>25</v>
      </c>
      <c r="C181" s="3" t="s">
        <v>26</v>
      </c>
      <c r="D181" s="4">
        <v>195679.00000000003</v>
      </c>
      <c r="E181" s="4">
        <v>114507.63504178265</v>
      </c>
      <c r="F181" s="4">
        <v>38744.168155001309</v>
      </c>
      <c r="G181" s="4">
        <v>38718.710522258567</v>
      </c>
      <c r="H181" s="4">
        <v>3708.4862809575061</v>
      </c>
      <c r="I181" t="str">
        <f>_xlfn.XLOOKUP($B181,MD!$A$3:$A$100,MD!$C$3:$C$100)</f>
        <v>B6</v>
      </c>
      <c r="J181" t="str">
        <f>_xlfn.XLOOKUP($B181,MD!$A$3:$A$100,MD!$D$3:$D$100)</f>
        <v>DTR</v>
      </c>
    </row>
    <row r="182" spans="1:10" x14ac:dyDescent="0.35">
      <c r="A182" s="5"/>
      <c r="B182" s="2" t="s">
        <v>33</v>
      </c>
      <c r="C182" s="3" t="s">
        <v>34</v>
      </c>
      <c r="D182" s="4">
        <v>175564.00000000003</v>
      </c>
      <c r="E182" s="4">
        <v>51000</v>
      </c>
      <c r="F182" s="4">
        <v>110500</v>
      </c>
      <c r="G182" s="4">
        <v>10698</v>
      </c>
      <c r="H182" s="4">
        <v>3366.0000000000291</v>
      </c>
      <c r="I182" t="str">
        <f>_xlfn.XLOOKUP($B182,MD!$A$3:$A$100,MD!$C$3:$C$100)</f>
        <v>B1</v>
      </c>
      <c r="J182" t="str">
        <f>_xlfn.XLOOKUP($B182,MD!$A$3:$A$100,MD!$D$3:$D$100)</f>
        <v>MN</v>
      </c>
    </row>
    <row r="183" spans="1:10" x14ac:dyDescent="0.35">
      <c r="A183" s="5"/>
      <c r="B183" s="2" t="s">
        <v>53</v>
      </c>
      <c r="C183" s="3" t="s">
        <v>54</v>
      </c>
      <c r="D183" s="4">
        <v>113700</v>
      </c>
      <c r="E183" s="4">
        <v>91558.711913297724</v>
      </c>
      <c r="F183" s="4">
        <v>12785.588499037774</v>
      </c>
      <c r="G183" s="4">
        <v>7124.8280672187429</v>
      </c>
      <c r="H183" s="4">
        <v>2230.8715204457585</v>
      </c>
      <c r="I183" t="str">
        <f>_xlfn.XLOOKUP($B183,MD!$A$3:$A$100,MD!$C$3:$C$100)</f>
        <v>B1</v>
      </c>
      <c r="J183" t="str">
        <f>_xlfn.XLOOKUP($B183,MD!$A$3:$A$100,MD!$D$3:$D$100)</f>
        <v>DTR</v>
      </c>
    </row>
    <row r="184" spans="1:10" x14ac:dyDescent="0.35">
      <c r="A184" s="5"/>
      <c r="B184" s="2" t="s">
        <v>119</v>
      </c>
      <c r="C184" s="3" t="s">
        <v>120</v>
      </c>
      <c r="D184" s="4">
        <v>101550.00000000001</v>
      </c>
      <c r="E184" s="4">
        <v>92043.728135932033</v>
      </c>
      <c r="F184" s="4">
        <v>3001.4992503748126</v>
      </c>
      <c r="G184" s="4">
        <v>4503.7981009495252</v>
      </c>
      <c r="H184" s="4">
        <v>2000.9745127436436</v>
      </c>
      <c r="I184" t="str">
        <f>_xlfn.XLOOKUP($B184,MD!$A$3:$A$100,MD!$C$3:$C$100)</f>
        <v>B1</v>
      </c>
      <c r="J184" t="str">
        <f>_xlfn.XLOOKUP($B184,MD!$A$3:$A$100,MD!$D$3:$D$100)</f>
        <v>MN</v>
      </c>
    </row>
    <row r="185" spans="1:10" x14ac:dyDescent="0.35">
      <c r="A185" s="5"/>
      <c r="B185" s="2" t="s">
        <v>19</v>
      </c>
      <c r="C185" s="3" t="s">
        <v>20</v>
      </c>
      <c r="D185" s="4">
        <v>88999.999999999985</v>
      </c>
      <c r="E185" s="4">
        <v>56000</v>
      </c>
      <c r="F185" s="4">
        <v>31000</v>
      </c>
      <c r="G185" s="4">
        <v>650</v>
      </c>
      <c r="H185" s="4">
        <v>1349.9999999999854</v>
      </c>
      <c r="I185" t="str">
        <f>_xlfn.XLOOKUP($B185,MD!$A$3:$A$100,MD!$C$3:$C$100)</f>
        <v>B1</v>
      </c>
      <c r="J185" t="str">
        <f>_xlfn.XLOOKUP($B185,MD!$A$3:$A$100,MD!$D$3:$D$100)</f>
        <v>MN</v>
      </c>
    </row>
    <row r="186" spans="1:10" x14ac:dyDescent="0.35">
      <c r="A186" s="5"/>
      <c r="B186" s="2" t="s">
        <v>23</v>
      </c>
      <c r="C186" s="3" t="s">
        <v>24</v>
      </c>
      <c r="D186" s="4">
        <v>73499.999999999985</v>
      </c>
      <c r="E186" s="4">
        <v>58782.265532374389</v>
      </c>
      <c r="F186" s="4">
        <v>10532.587020639354</v>
      </c>
      <c r="G186" s="4">
        <v>2763.4788547636999</v>
      </c>
      <c r="H186" s="4">
        <v>1421.6685922225424</v>
      </c>
      <c r="I186" t="str">
        <f>_xlfn.XLOOKUP($B186,MD!$A$3:$A$100,MD!$C$3:$C$100)</f>
        <v>B1</v>
      </c>
      <c r="J186" t="str">
        <f>_xlfn.XLOOKUP($B186,MD!$A$3:$A$100,MD!$D$3:$D$100)</f>
        <v>DTR</v>
      </c>
    </row>
    <row r="187" spans="1:10" x14ac:dyDescent="0.35">
      <c r="A187" s="5"/>
      <c r="B187" s="2" t="s">
        <v>15</v>
      </c>
      <c r="C187" s="3" t="s">
        <v>16</v>
      </c>
      <c r="D187" s="4">
        <v>72150</v>
      </c>
      <c r="E187" s="4">
        <v>35000</v>
      </c>
      <c r="F187" s="4">
        <v>30000</v>
      </c>
      <c r="G187" s="4">
        <v>5704</v>
      </c>
      <c r="H187" s="4">
        <v>1446</v>
      </c>
      <c r="I187" t="str">
        <f>_xlfn.XLOOKUP($B187,MD!$A$3:$A$100,MD!$C$3:$C$100)</f>
        <v>B1</v>
      </c>
      <c r="J187" t="str">
        <f>_xlfn.XLOOKUP($B187,MD!$A$3:$A$100,MD!$D$3:$D$100)</f>
        <v>MN</v>
      </c>
    </row>
    <row r="188" spans="1:10" x14ac:dyDescent="0.35">
      <c r="A188" s="5"/>
      <c r="B188" s="2" t="s">
        <v>13</v>
      </c>
      <c r="C188" s="3" t="s">
        <v>14</v>
      </c>
      <c r="D188" s="4">
        <v>62747</v>
      </c>
      <c r="E188" s="4">
        <v>12328.547311276423</v>
      </c>
      <c r="F188" s="4">
        <v>44880.132420465154</v>
      </c>
      <c r="G188" s="4">
        <v>4363.1824841261196</v>
      </c>
      <c r="H188" s="4">
        <v>1175.1377841323038</v>
      </c>
      <c r="I188" t="str">
        <f>_xlfn.XLOOKUP($B188,MD!$A$3:$A$100,MD!$C$3:$C$100)</f>
        <v>B2</v>
      </c>
      <c r="J188" t="str">
        <f>_xlfn.XLOOKUP($B188,MD!$A$3:$A$100,MD!$D$3:$D$100)</f>
        <v>DTR</v>
      </c>
    </row>
    <row r="189" spans="1:10" x14ac:dyDescent="0.35">
      <c r="A189" s="5"/>
      <c r="B189" s="2" t="s">
        <v>27</v>
      </c>
      <c r="C189" s="3" t="s">
        <v>28</v>
      </c>
      <c r="D189" s="4">
        <v>59699.999999999993</v>
      </c>
      <c r="E189" s="4">
        <v>49617.587641117054</v>
      </c>
      <c r="F189" s="4">
        <v>9055.13963161022</v>
      </c>
      <c r="G189" s="4">
        <v>783.01587301587301</v>
      </c>
      <c r="H189" s="4">
        <v>244.25685425684583</v>
      </c>
      <c r="I189" t="str">
        <f>_xlfn.XLOOKUP($B189,MD!$A$3:$A$100,MD!$C$3:$C$100)</f>
        <v>B7</v>
      </c>
      <c r="J189" t="str">
        <f>_xlfn.XLOOKUP($B189,MD!$A$3:$A$100,MD!$D$3:$D$100)</f>
        <v>DTR</v>
      </c>
    </row>
    <row r="190" spans="1:10" x14ac:dyDescent="0.35">
      <c r="A190" s="5"/>
      <c r="B190" s="2" t="s">
        <v>73</v>
      </c>
      <c r="C190" s="3" t="s">
        <v>74</v>
      </c>
      <c r="D190" s="4">
        <v>57500</v>
      </c>
      <c r="E190" s="4">
        <v>0</v>
      </c>
      <c r="F190" s="4">
        <v>50030.612244897959</v>
      </c>
      <c r="G190" s="4">
        <v>6481.4285714285716</v>
      </c>
      <c r="H190" s="4">
        <v>987.95918367346985</v>
      </c>
      <c r="I190" t="str">
        <f>_xlfn.XLOOKUP($B190,MD!$A$3:$A$100,MD!$C$3:$C$100)</f>
        <v>B4</v>
      </c>
      <c r="J190" t="str">
        <f>_xlfn.XLOOKUP($B190,MD!$A$3:$A$100,MD!$D$3:$D$100)</f>
        <v>DTR</v>
      </c>
    </row>
    <row r="191" spans="1:10" x14ac:dyDescent="0.35">
      <c r="A191" s="5"/>
      <c r="B191" s="2" t="s">
        <v>31</v>
      </c>
      <c r="C191" s="3" t="s">
        <v>32</v>
      </c>
      <c r="D191" s="4">
        <v>52580</v>
      </c>
      <c r="E191" s="4">
        <v>19000</v>
      </c>
      <c r="F191" s="4">
        <v>28000</v>
      </c>
      <c r="G191" s="4">
        <v>4600</v>
      </c>
      <c r="H191" s="4">
        <v>980</v>
      </c>
      <c r="I191" t="str">
        <f>_xlfn.XLOOKUP($B191,MD!$A$3:$A$100,MD!$C$3:$C$100)</f>
        <v>B1</v>
      </c>
      <c r="J191" t="str">
        <f>_xlfn.XLOOKUP($B191,MD!$A$3:$A$100,MD!$D$3:$D$100)</f>
        <v>MN</v>
      </c>
    </row>
    <row r="192" spans="1:10" x14ac:dyDescent="0.35">
      <c r="A192" s="5"/>
      <c r="B192" s="2" t="s">
        <v>35</v>
      </c>
      <c r="C192" s="3" t="s">
        <v>36</v>
      </c>
      <c r="D192" s="4">
        <v>36500</v>
      </c>
      <c r="E192" s="4">
        <v>2504.9019607843138</v>
      </c>
      <c r="F192" s="4">
        <v>30416.666666666668</v>
      </c>
      <c r="G192" s="4">
        <v>3231.3235294117644</v>
      </c>
      <c r="H192" s="4">
        <v>347.10784313725298</v>
      </c>
      <c r="I192" t="str">
        <f>_xlfn.XLOOKUP($B192,MD!$A$3:$A$100,MD!$C$3:$C$100)</f>
        <v>B5</v>
      </c>
      <c r="J192" t="str">
        <f>_xlfn.XLOOKUP($B192,MD!$A$3:$A$100,MD!$D$3:$D$100)</f>
        <v>DTR</v>
      </c>
    </row>
    <row r="193" spans="1:10" x14ac:dyDescent="0.35">
      <c r="A193" s="5"/>
      <c r="B193" s="2" t="s">
        <v>111</v>
      </c>
      <c r="C193" s="3" t="s">
        <v>112</v>
      </c>
      <c r="D193" s="4">
        <v>26000</v>
      </c>
      <c r="E193" s="4">
        <v>0</v>
      </c>
      <c r="F193" s="4">
        <v>2500</v>
      </c>
      <c r="G193" s="4">
        <v>22980</v>
      </c>
      <c r="H193" s="4">
        <v>520</v>
      </c>
      <c r="I193" t="str">
        <f>_xlfn.XLOOKUP($B193,MD!$A$3:$A$100,MD!$C$3:$C$100)</f>
        <v>Unknown</v>
      </c>
      <c r="J193" t="str">
        <f>_xlfn.XLOOKUP($B193,MD!$A$3:$A$100,MD!$D$3:$D$100)</f>
        <v>Unknown</v>
      </c>
    </row>
    <row r="194" spans="1:10" x14ac:dyDescent="0.35">
      <c r="A194" s="5"/>
      <c r="B194" s="2" t="s">
        <v>97</v>
      </c>
      <c r="C194" s="3" t="s">
        <v>98</v>
      </c>
      <c r="D194" s="4">
        <v>25200</v>
      </c>
      <c r="E194" s="4">
        <v>24400</v>
      </c>
      <c r="F194" s="4">
        <v>0</v>
      </c>
      <c r="G194" s="4">
        <v>700</v>
      </c>
      <c r="H194" s="4">
        <v>100</v>
      </c>
      <c r="I194" t="str">
        <f>_xlfn.XLOOKUP($B194,MD!$A$3:$A$100,MD!$C$3:$C$100)</f>
        <v>B2</v>
      </c>
      <c r="J194" t="str">
        <f>_xlfn.XLOOKUP($B194,MD!$A$3:$A$100,MD!$D$3:$D$100)</f>
        <v>MN</v>
      </c>
    </row>
    <row r="195" spans="1:10" x14ac:dyDescent="0.35">
      <c r="A195" s="5"/>
      <c r="B195" s="2" t="s">
        <v>29</v>
      </c>
      <c r="C195" s="3" t="s">
        <v>30</v>
      </c>
      <c r="D195" s="4">
        <v>23000</v>
      </c>
      <c r="E195" s="4">
        <v>995.0980392156863</v>
      </c>
      <c r="F195" s="4">
        <v>20583.333333333336</v>
      </c>
      <c r="G195" s="4">
        <v>1283.6764705882351</v>
      </c>
      <c r="H195" s="4">
        <v>137.89215686274383</v>
      </c>
      <c r="I195" t="str">
        <f>_xlfn.XLOOKUP($B195,MD!$A$3:$A$100,MD!$C$3:$C$100)</f>
        <v>B5</v>
      </c>
      <c r="J195" t="str">
        <f>_xlfn.XLOOKUP($B195,MD!$A$3:$A$100,MD!$D$3:$D$100)</f>
        <v>DTR</v>
      </c>
    </row>
    <row r="196" spans="1:10" x14ac:dyDescent="0.35">
      <c r="A196" s="5"/>
      <c r="B196" s="2" t="s">
        <v>121</v>
      </c>
      <c r="C196" s="3" t="s">
        <v>122</v>
      </c>
      <c r="D196" s="4">
        <v>18156</v>
      </c>
      <c r="E196" s="4">
        <v>1556.9097194308224</v>
      </c>
      <c r="F196" s="4">
        <v>13817.573759948547</v>
      </c>
      <c r="G196" s="4">
        <v>2413.2100651177748</v>
      </c>
      <c r="H196" s="4">
        <v>368.30645550285453</v>
      </c>
      <c r="I196" t="str">
        <f>_xlfn.XLOOKUP($B196,MD!$A$3:$A$100,MD!$C$3:$C$100)</f>
        <v>B6</v>
      </c>
      <c r="J196" t="str">
        <f>_xlfn.XLOOKUP($B196,MD!$A$3:$A$100,MD!$D$3:$D$100)</f>
        <v>DTR</v>
      </c>
    </row>
    <row r="197" spans="1:10" x14ac:dyDescent="0.35">
      <c r="A197" s="5"/>
      <c r="B197" s="2" t="s">
        <v>63</v>
      </c>
      <c r="C197" s="3" t="s">
        <v>64</v>
      </c>
      <c r="D197" s="4">
        <v>16451</v>
      </c>
      <c r="E197" s="4">
        <v>4871.452688723577</v>
      </c>
      <c r="F197" s="4">
        <v>9619.8675795348445</v>
      </c>
      <c r="G197" s="4">
        <v>1636.8175158738807</v>
      </c>
      <c r="H197" s="4">
        <v>322.86221586769784</v>
      </c>
      <c r="I197" t="str">
        <f>_xlfn.XLOOKUP($B197,MD!$A$3:$A$100,MD!$C$3:$C$100)</f>
        <v>B2</v>
      </c>
      <c r="J197" t="str">
        <f>_xlfn.XLOOKUP($B197,MD!$A$3:$A$100,MD!$D$3:$D$100)</f>
        <v>DTR</v>
      </c>
    </row>
    <row r="198" spans="1:10" x14ac:dyDescent="0.35">
      <c r="A198" s="5"/>
      <c r="B198" s="2" t="s">
        <v>101</v>
      </c>
      <c r="C198" s="3" t="s">
        <v>102</v>
      </c>
      <c r="D198" s="4">
        <v>10700</v>
      </c>
      <c r="E198" s="4">
        <v>8126.8568033273914</v>
      </c>
      <c r="F198" s="4">
        <v>1644.8603683897802</v>
      </c>
      <c r="G198" s="4">
        <v>850</v>
      </c>
      <c r="H198" s="4">
        <v>78.282828282828405</v>
      </c>
      <c r="I198" t="str">
        <f>_xlfn.XLOOKUP($B198,MD!$A$3:$A$100,MD!$C$3:$C$100)</f>
        <v>B7</v>
      </c>
      <c r="J198" t="str">
        <f>_xlfn.XLOOKUP($B198,MD!$A$3:$A$100,MD!$D$3:$D$100)</f>
        <v>MN</v>
      </c>
    </row>
    <row r="199" spans="1:10" x14ac:dyDescent="0.35">
      <c r="A199" s="5"/>
      <c r="B199" s="2" t="s">
        <v>57</v>
      </c>
      <c r="C199" s="3" t="s">
        <v>58</v>
      </c>
      <c r="D199" s="4">
        <v>10000</v>
      </c>
      <c r="E199" s="4">
        <v>0</v>
      </c>
      <c r="F199" s="4">
        <v>8469.3877551020414</v>
      </c>
      <c r="G199" s="4">
        <v>1328.5714285714284</v>
      </c>
      <c r="H199" s="4">
        <v>202.04081632653015</v>
      </c>
      <c r="I199" t="str">
        <f>_xlfn.XLOOKUP($B199,MD!$A$3:$A$100,MD!$C$3:$C$100)</f>
        <v>B4</v>
      </c>
      <c r="J199" t="str">
        <f>_xlfn.XLOOKUP($B199,MD!$A$3:$A$100,MD!$D$3:$D$100)</f>
        <v>DTR</v>
      </c>
    </row>
    <row r="200" spans="1:10" x14ac:dyDescent="0.35">
      <c r="A200" s="5"/>
      <c r="B200" s="2" t="s">
        <v>17</v>
      </c>
      <c r="C200" s="3" t="s">
        <v>18</v>
      </c>
      <c r="D200" s="4">
        <v>5300</v>
      </c>
      <c r="E200" s="4">
        <v>500</v>
      </c>
      <c r="F200" s="4">
        <v>4500</v>
      </c>
      <c r="G200" s="4">
        <v>300</v>
      </c>
      <c r="H200" s="4">
        <v>0</v>
      </c>
      <c r="I200" t="str">
        <f>_xlfn.XLOOKUP($B200,MD!$A$3:$A$100,MD!$C$3:$C$100)</f>
        <v>B6</v>
      </c>
      <c r="J200" t="str">
        <f>_xlfn.XLOOKUP($B200,MD!$A$3:$A$100,MD!$D$3:$D$100)</f>
        <v>DTR</v>
      </c>
    </row>
    <row r="201" spans="1:10" x14ac:dyDescent="0.35">
      <c r="A201" s="6"/>
      <c r="B201" s="2" t="s">
        <v>123</v>
      </c>
      <c r="C201" s="3" t="s">
        <v>124</v>
      </c>
      <c r="D201" s="4">
        <v>2200</v>
      </c>
      <c r="E201" s="4">
        <v>1955.5555555555557</v>
      </c>
      <c r="F201" s="4">
        <v>0</v>
      </c>
      <c r="G201" s="4">
        <v>226.98412698412699</v>
      </c>
      <c r="H201" s="4">
        <v>17.460317460317356</v>
      </c>
      <c r="I201" t="str">
        <f>_xlfn.XLOOKUP($B201,MD!$A$3:$A$100,MD!$C$3:$C$100)</f>
        <v>B7</v>
      </c>
      <c r="J201" t="str">
        <f>_xlfn.XLOOKUP($B201,MD!$A$3:$A$100,MD!$D$3:$D$100)</f>
        <v>MN</v>
      </c>
    </row>
    <row r="202" spans="1:10" x14ac:dyDescent="0.35">
      <c r="A202" s="7" t="s">
        <v>125</v>
      </c>
      <c r="B202" s="7"/>
      <c r="C202" s="7"/>
      <c r="D202" s="8">
        <v>5091489.0000000047</v>
      </c>
      <c r="E202" s="8">
        <v>2633364.544761213</v>
      </c>
      <c r="F202" s="8">
        <v>2000761.7419149503</v>
      </c>
      <c r="G202" s="8">
        <v>365500.92058737628</v>
      </c>
      <c r="H202" s="8">
        <v>91861.792736465053</v>
      </c>
    </row>
    <row r="203" spans="1:10" x14ac:dyDescent="0.35">
      <c r="A203" s="1" t="s">
        <v>126</v>
      </c>
      <c r="B203" s="2" t="s">
        <v>9</v>
      </c>
      <c r="C203" s="3" t="s">
        <v>10</v>
      </c>
      <c r="D203" s="4">
        <v>1256733.0000000002</v>
      </c>
      <c r="E203" s="4">
        <v>424500</v>
      </c>
      <c r="F203" s="4">
        <v>748500</v>
      </c>
      <c r="G203" s="4">
        <v>58613</v>
      </c>
      <c r="H203" s="4">
        <v>25120.000000000233</v>
      </c>
      <c r="I203" t="str">
        <f>_xlfn.XLOOKUP($B203,MD!$A$3:$A$100,MD!$C$3:$C$100)</f>
        <v>B1</v>
      </c>
      <c r="J203" t="str">
        <f>_xlfn.XLOOKUP($B203,MD!$A$3:$A$100,MD!$D$3:$D$100)</f>
        <v>MN</v>
      </c>
    </row>
    <row r="204" spans="1:10" x14ac:dyDescent="0.35">
      <c r="A204" s="5"/>
      <c r="B204" s="2" t="s">
        <v>51</v>
      </c>
      <c r="C204" s="3" t="s">
        <v>52</v>
      </c>
      <c r="D204" s="4">
        <v>560500</v>
      </c>
      <c r="E204" s="4">
        <v>408446.5774054834</v>
      </c>
      <c r="F204" s="4">
        <v>124242.9209371951</v>
      </c>
      <c r="G204" s="4">
        <v>17193.375124386337</v>
      </c>
      <c r="H204" s="4">
        <v>10617.126532935159</v>
      </c>
      <c r="I204" t="str">
        <f>_xlfn.XLOOKUP($B204,MD!$A$3:$A$100,MD!$C$3:$C$100)</f>
        <v>B1</v>
      </c>
      <c r="J204" t="str">
        <f>_xlfn.XLOOKUP($B204,MD!$A$3:$A$100,MD!$D$3:$D$100)</f>
        <v>DTR</v>
      </c>
    </row>
    <row r="205" spans="1:10" x14ac:dyDescent="0.35">
      <c r="A205" s="5"/>
      <c r="B205" s="2" t="s">
        <v>55</v>
      </c>
      <c r="C205" s="3" t="s">
        <v>56</v>
      </c>
      <c r="D205" s="4">
        <v>460500</v>
      </c>
      <c r="E205" s="4">
        <v>290089.12783585506</v>
      </c>
      <c r="F205" s="4">
        <v>143468.8084921992</v>
      </c>
      <c r="G205" s="4">
        <v>17722.873820157431</v>
      </c>
      <c r="H205" s="4">
        <v>9219.1898517883092</v>
      </c>
      <c r="I205" t="str">
        <f>_xlfn.XLOOKUP($B205,MD!$A$3:$A$100,MD!$C$3:$C$100)</f>
        <v>B1</v>
      </c>
      <c r="J205" t="str">
        <f>_xlfn.XLOOKUP($B205,MD!$A$3:$A$100,MD!$D$3:$D$100)</f>
        <v>MN</v>
      </c>
    </row>
    <row r="206" spans="1:10" x14ac:dyDescent="0.35">
      <c r="A206" s="5"/>
      <c r="B206" s="2" t="s">
        <v>21</v>
      </c>
      <c r="C206" s="3" t="s">
        <v>22</v>
      </c>
      <c r="D206" s="4">
        <v>288500</v>
      </c>
      <c r="E206" s="4">
        <v>180290.66292800929</v>
      </c>
      <c r="F206" s="4">
        <v>93840.241631761528</v>
      </c>
      <c r="G206" s="4">
        <v>8742.8892386577209</v>
      </c>
      <c r="H206" s="4">
        <v>5626.2062015714619</v>
      </c>
      <c r="I206" t="str">
        <f>_xlfn.XLOOKUP($B206,MD!$A$3:$A$100,MD!$C$3:$C$100)</f>
        <v>B1</v>
      </c>
      <c r="J206" t="str">
        <f>_xlfn.XLOOKUP($B206,MD!$A$3:$A$100,MD!$D$3:$D$100)</f>
        <v>DTR</v>
      </c>
    </row>
    <row r="207" spans="1:10" x14ac:dyDescent="0.35">
      <c r="A207" s="5"/>
      <c r="B207" s="2" t="s">
        <v>19</v>
      </c>
      <c r="C207" s="3" t="s">
        <v>20</v>
      </c>
      <c r="D207" s="4">
        <v>160999.99999999997</v>
      </c>
      <c r="E207" s="4">
        <v>93910.872164144937</v>
      </c>
      <c r="F207" s="4">
        <v>58031.191507800788</v>
      </c>
      <c r="G207" s="4">
        <v>5817.1261798425667</v>
      </c>
      <c r="H207" s="4">
        <v>3240.810148211679</v>
      </c>
      <c r="I207" t="str">
        <f>_xlfn.XLOOKUP($B207,MD!$A$3:$A$100,MD!$C$3:$C$100)</f>
        <v>B1</v>
      </c>
      <c r="J207" t="str">
        <f>_xlfn.XLOOKUP($B207,MD!$A$3:$A$100,MD!$D$3:$D$100)</f>
        <v>MN</v>
      </c>
    </row>
    <row r="208" spans="1:10" x14ac:dyDescent="0.35">
      <c r="A208" s="5"/>
      <c r="B208" s="2" t="s">
        <v>11</v>
      </c>
      <c r="C208" s="3" t="s">
        <v>12</v>
      </c>
      <c r="D208" s="4">
        <v>146350</v>
      </c>
      <c r="E208" s="4">
        <v>43862.174073895352</v>
      </c>
      <c r="F208" s="4">
        <v>88524.204185365699</v>
      </c>
      <c r="G208" s="4">
        <v>11029.189620228733</v>
      </c>
      <c r="H208" s="4">
        <v>2934.4321205102151</v>
      </c>
      <c r="I208" t="str">
        <f>_xlfn.XLOOKUP($B208,MD!$A$3:$A$100,MD!$C$3:$C$100)</f>
        <v>B1</v>
      </c>
      <c r="J208" t="str">
        <f>_xlfn.XLOOKUP($B208,MD!$A$3:$A$100,MD!$D$3:$D$100)</f>
        <v>DTR</v>
      </c>
    </row>
    <row r="209" spans="1:10" x14ac:dyDescent="0.35">
      <c r="A209" s="5"/>
      <c r="B209" s="2" t="s">
        <v>127</v>
      </c>
      <c r="C209" s="3" t="s">
        <v>128</v>
      </c>
      <c r="D209" s="4">
        <v>142999.99999999997</v>
      </c>
      <c r="E209" s="4">
        <v>122320.79268292683</v>
      </c>
      <c r="F209" s="4">
        <v>12670.365853658535</v>
      </c>
      <c r="G209" s="4">
        <v>5170.2134146341468</v>
      </c>
      <c r="H209" s="4">
        <v>2838.6280487804634</v>
      </c>
      <c r="I209" t="str">
        <f>_xlfn.XLOOKUP($B209,MD!$A$3:$A$100,MD!$C$3:$C$100)</f>
        <v>B1</v>
      </c>
      <c r="J209" t="str">
        <f>_xlfn.XLOOKUP($B209,MD!$A$3:$A$100,MD!$D$3:$D$100)</f>
        <v>DTR</v>
      </c>
    </row>
    <row r="210" spans="1:10" x14ac:dyDescent="0.35">
      <c r="A210" s="5"/>
      <c r="B210" s="2" t="s">
        <v>53</v>
      </c>
      <c r="C210" s="3" t="s">
        <v>54</v>
      </c>
      <c r="D210" s="4">
        <v>124999.99999999999</v>
      </c>
      <c r="E210" s="4">
        <v>89642.790949395494</v>
      </c>
      <c r="F210" s="4">
        <v>29486.502039212693</v>
      </c>
      <c r="G210" s="4">
        <v>3465.397037439935</v>
      </c>
      <c r="H210" s="4">
        <v>2405.309973951863</v>
      </c>
      <c r="I210" t="str">
        <f>_xlfn.XLOOKUP($B210,MD!$A$3:$A$100,MD!$C$3:$C$100)</f>
        <v>B1</v>
      </c>
      <c r="J210" t="str">
        <f>_xlfn.XLOOKUP($B210,MD!$A$3:$A$100,MD!$D$3:$D$100)</f>
        <v>DTR</v>
      </c>
    </row>
    <row r="211" spans="1:10" x14ac:dyDescent="0.35">
      <c r="A211" s="5"/>
      <c r="B211" s="2" t="s">
        <v>37</v>
      </c>
      <c r="C211" s="3" t="s">
        <v>38</v>
      </c>
      <c r="D211" s="4">
        <v>90499.999999999985</v>
      </c>
      <c r="E211" s="4">
        <v>44137.825926104648</v>
      </c>
      <c r="F211" s="4">
        <v>38975.795814634301</v>
      </c>
      <c r="G211" s="4">
        <v>5582.8103797712702</v>
      </c>
      <c r="H211" s="4">
        <v>1803.5678794897667</v>
      </c>
      <c r="I211" t="str">
        <f>_xlfn.XLOOKUP($B211,MD!$A$3:$A$100,MD!$C$3:$C$100)</f>
        <v>B1</v>
      </c>
      <c r="J211" t="str">
        <f>_xlfn.XLOOKUP($B211,MD!$A$3:$A$100,MD!$D$3:$D$100)</f>
        <v>DTR</v>
      </c>
    </row>
    <row r="212" spans="1:10" x14ac:dyDescent="0.35">
      <c r="A212" s="5"/>
      <c r="B212" s="2" t="s">
        <v>27</v>
      </c>
      <c r="C212" s="3" t="s">
        <v>28</v>
      </c>
      <c r="D212" s="4">
        <v>54330</v>
      </c>
      <c r="E212" s="4">
        <v>43028.377717630268</v>
      </c>
      <c r="F212" s="4">
        <v>8029.2284599759123</v>
      </c>
      <c r="G212" s="4">
        <v>2644.8069498069499</v>
      </c>
      <c r="H212" s="4">
        <v>627.5868725868695</v>
      </c>
      <c r="I212" t="str">
        <f>_xlfn.XLOOKUP($B212,MD!$A$3:$A$100,MD!$C$3:$C$100)</f>
        <v>B7</v>
      </c>
      <c r="J212" t="str">
        <f>_xlfn.XLOOKUP($B212,MD!$A$3:$A$100,MD!$D$3:$D$100)</f>
        <v>DTR</v>
      </c>
    </row>
    <row r="213" spans="1:10" x14ac:dyDescent="0.35">
      <c r="A213" s="5"/>
      <c r="B213" s="2" t="s">
        <v>129</v>
      </c>
      <c r="C213" s="3" t="s">
        <v>130</v>
      </c>
      <c r="D213" s="4">
        <v>46500</v>
      </c>
      <c r="E213" s="4">
        <v>35392.865853658535</v>
      </c>
      <c r="F213" s="4">
        <v>8876.3414634146338</v>
      </c>
      <c r="G213" s="4">
        <v>1410.5487804878048</v>
      </c>
      <c r="H213" s="4">
        <v>820.24390243902599</v>
      </c>
      <c r="I213" t="str">
        <f>_xlfn.XLOOKUP($B213,MD!$A$3:$A$100,MD!$C$3:$C$100)</f>
        <v>B1</v>
      </c>
      <c r="J213" t="str">
        <f>_xlfn.XLOOKUP($B213,MD!$A$3:$A$100,MD!$D$3:$D$100)</f>
        <v>DTR</v>
      </c>
    </row>
    <row r="214" spans="1:10" x14ac:dyDescent="0.35">
      <c r="A214" s="5"/>
      <c r="B214" s="2" t="s">
        <v>131</v>
      </c>
      <c r="C214" s="3" t="s">
        <v>132</v>
      </c>
      <c r="D214" s="4">
        <v>43000.000000000007</v>
      </c>
      <c r="E214" s="4">
        <v>34286.341463414632</v>
      </c>
      <c r="F214" s="4">
        <v>5953.292682926829</v>
      </c>
      <c r="G214" s="4">
        <v>1904.2378048780488</v>
      </c>
      <c r="H214" s="4">
        <v>856.12804878049747</v>
      </c>
      <c r="I214" t="str">
        <f>_xlfn.XLOOKUP($B214,MD!$A$3:$A$100,MD!$C$3:$C$100)</f>
        <v>B1</v>
      </c>
      <c r="J214" t="str">
        <f>_xlfn.XLOOKUP($B214,MD!$A$3:$A$100,MD!$D$3:$D$100)</f>
        <v>DTR</v>
      </c>
    </row>
    <row r="215" spans="1:10" x14ac:dyDescent="0.35">
      <c r="A215" s="5"/>
      <c r="B215" s="2" t="s">
        <v>133</v>
      </c>
      <c r="C215" s="3" t="s">
        <v>134</v>
      </c>
      <c r="D215" s="4">
        <v>37000</v>
      </c>
      <c r="E215" s="4">
        <v>0</v>
      </c>
      <c r="F215" s="4">
        <v>31896.551724137928</v>
      </c>
      <c r="G215" s="4">
        <v>4335.3793103448279</v>
      </c>
      <c r="H215" s="4">
        <v>768.06896551724458</v>
      </c>
      <c r="I215" t="str">
        <f>_xlfn.XLOOKUP($B215,MD!$A$3:$A$100,MD!$C$3:$C$100)</f>
        <v>B1</v>
      </c>
      <c r="J215" t="str">
        <f>_xlfn.XLOOKUP($B215,MD!$A$3:$A$100,MD!$D$3:$D$100)</f>
        <v>DTR</v>
      </c>
    </row>
    <row r="216" spans="1:10" x14ac:dyDescent="0.35">
      <c r="A216" s="5"/>
      <c r="B216" s="2" t="s">
        <v>23</v>
      </c>
      <c r="C216" s="3" t="s">
        <v>24</v>
      </c>
      <c r="D216" s="4">
        <v>35500</v>
      </c>
      <c r="E216" s="4">
        <v>21619.96871711182</v>
      </c>
      <c r="F216" s="4">
        <v>11930.335391830646</v>
      </c>
      <c r="G216" s="4">
        <v>1255.6385995160131</v>
      </c>
      <c r="H216" s="4">
        <v>694.05729154152095</v>
      </c>
      <c r="I216" t="str">
        <f>_xlfn.XLOOKUP($B216,MD!$A$3:$A$100,MD!$C$3:$C$100)</f>
        <v>B1</v>
      </c>
      <c r="J216" t="str">
        <f>_xlfn.XLOOKUP($B216,MD!$A$3:$A$100,MD!$D$3:$D$100)</f>
        <v>DTR</v>
      </c>
    </row>
    <row r="217" spans="1:10" x14ac:dyDescent="0.35">
      <c r="A217" s="5"/>
      <c r="B217" s="2" t="s">
        <v>15</v>
      </c>
      <c r="C217" s="3" t="s">
        <v>16</v>
      </c>
      <c r="D217" s="4">
        <v>28378</v>
      </c>
      <c r="E217" s="4">
        <v>15500</v>
      </c>
      <c r="F217" s="4">
        <v>11500</v>
      </c>
      <c r="G217" s="4">
        <v>816</v>
      </c>
      <c r="H217" s="4">
        <v>562</v>
      </c>
      <c r="I217" t="str">
        <f>_xlfn.XLOOKUP($B217,MD!$A$3:$A$100,MD!$C$3:$C$100)</f>
        <v>B1</v>
      </c>
      <c r="J217" t="str">
        <f>_xlfn.XLOOKUP($B217,MD!$A$3:$A$100,MD!$D$3:$D$100)</f>
        <v>MN</v>
      </c>
    </row>
    <row r="218" spans="1:10" x14ac:dyDescent="0.35">
      <c r="A218" s="5"/>
      <c r="B218" s="2" t="s">
        <v>111</v>
      </c>
      <c r="C218" s="3" t="s">
        <v>112</v>
      </c>
      <c r="D218" s="4">
        <v>20000</v>
      </c>
      <c r="E218" s="4">
        <v>0</v>
      </c>
      <c r="F218" s="4">
        <v>10500</v>
      </c>
      <c r="G218" s="4">
        <v>9186</v>
      </c>
      <c r="H218" s="4">
        <v>314</v>
      </c>
      <c r="I218" t="str">
        <f>_xlfn.XLOOKUP($B218,MD!$A$3:$A$100,MD!$C$3:$C$100)</f>
        <v>Unknown</v>
      </c>
      <c r="J218" t="str">
        <f>_xlfn.XLOOKUP($B218,MD!$A$3:$A$100,MD!$D$3:$D$100)</f>
        <v>Unknown</v>
      </c>
    </row>
    <row r="219" spans="1:10" x14ac:dyDescent="0.35">
      <c r="A219" s="5"/>
      <c r="B219" s="2" t="s">
        <v>135</v>
      </c>
      <c r="C219" s="3" t="s">
        <v>136</v>
      </c>
      <c r="D219" s="4">
        <v>15000.000000000002</v>
      </c>
      <c r="E219" s="4">
        <v>12236.842105263158</v>
      </c>
      <c r="F219" s="4">
        <v>2368.4210526315792</v>
      </c>
      <c r="G219" s="4">
        <v>94.736842105263165</v>
      </c>
      <c r="H219" s="4">
        <v>300.00000000000108</v>
      </c>
      <c r="I219" t="str">
        <f>_xlfn.XLOOKUP($B219,MD!$A$3:$A$100,MD!$C$3:$C$100)</f>
        <v>B3</v>
      </c>
      <c r="J219" t="str">
        <f>_xlfn.XLOOKUP($B219,MD!$A$3:$A$100,MD!$D$3:$D$100)</f>
        <v>DTR</v>
      </c>
    </row>
    <row r="220" spans="1:10" x14ac:dyDescent="0.35">
      <c r="A220" s="5"/>
      <c r="B220" s="2" t="s">
        <v>33</v>
      </c>
      <c r="C220" s="3" t="s">
        <v>34</v>
      </c>
      <c r="D220" s="4">
        <v>10478</v>
      </c>
      <c r="E220" s="4">
        <v>2000</v>
      </c>
      <c r="F220" s="4">
        <v>7000</v>
      </c>
      <c r="G220" s="4">
        <v>1310</v>
      </c>
      <c r="H220" s="4">
        <v>168</v>
      </c>
      <c r="I220" t="str">
        <f>_xlfn.XLOOKUP($B220,MD!$A$3:$A$100,MD!$C$3:$C$100)</f>
        <v>B1</v>
      </c>
      <c r="J220" t="str">
        <f>_xlfn.XLOOKUP($B220,MD!$A$3:$A$100,MD!$D$3:$D$100)</f>
        <v>MN</v>
      </c>
    </row>
    <row r="221" spans="1:10" x14ac:dyDescent="0.35">
      <c r="A221" s="5"/>
      <c r="B221" s="2" t="s">
        <v>101</v>
      </c>
      <c r="C221" s="3" t="s">
        <v>102</v>
      </c>
      <c r="D221" s="4">
        <v>7000</v>
      </c>
      <c r="E221" s="4">
        <v>5203.3445929155741</v>
      </c>
      <c r="F221" s="4">
        <v>1553.4512785861796</v>
      </c>
      <c r="G221" s="4">
        <v>204.93060287177934</v>
      </c>
      <c r="H221" s="4">
        <v>38.273525626466949</v>
      </c>
      <c r="I221" t="str">
        <f>_xlfn.XLOOKUP($B221,MD!$A$3:$A$100,MD!$C$3:$C$100)</f>
        <v>B7</v>
      </c>
      <c r="J221" t="str">
        <f>_xlfn.XLOOKUP($B221,MD!$A$3:$A$100,MD!$D$3:$D$100)</f>
        <v>MN</v>
      </c>
    </row>
    <row r="222" spans="1:10" x14ac:dyDescent="0.35">
      <c r="A222" s="5"/>
      <c r="B222" s="2" t="s">
        <v>137</v>
      </c>
      <c r="C222" s="3" t="s">
        <v>138</v>
      </c>
      <c r="D222" s="4">
        <v>6499.9999999999991</v>
      </c>
      <c r="E222" s="4">
        <v>0</v>
      </c>
      <c r="F222" s="4">
        <v>5603.4482758620688</v>
      </c>
      <c r="G222" s="4">
        <v>761.62068965517244</v>
      </c>
      <c r="H222" s="4">
        <v>134.93103448275781</v>
      </c>
      <c r="I222" t="str">
        <f>_xlfn.XLOOKUP($B222,MD!$A$3:$A$100,MD!$C$3:$C$100)</f>
        <v>B1</v>
      </c>
      <c r="J222" t="str">
        <f>_xlfn.XLOOKUP($B222,MD!$A$3:$A$100,MD!$D$3:$D$100)</f>
        <v>DTR</v>
      </c>
    </row>
    <row r="223" spans="1:10" x14ac:dyDescent="0.35">
      <c r="A223" s="5"/>
      <c r="B223" s="2" t="s">
        <v>41</v>
      </c>
      <c r="C223" s="3" t="s">
        <v>42</v>
      </c>
      <c r="D223" s="4">
        <v>4575</v>
      </c>
      <c r="E223" s="4">
        <v>3647.2972972972975</v>
      </c>
      <c r="F223" s="4">
        <v>850</v>
      </c>
      <c r="G223" s="4">
        <v>66.602316602316606</v>
      </c>
      <c r="H223" s="4">
        <v>11.100386100385876</v>
      </c>
      <c r="I223" t="str">
        <f>_xlfn.XLOOKUP($B223,MD!$A$3:$A$100,MD!$C$3:$C$100)</f>
        <v>B7</v>
      </c>
      <c r="J223" t="str">
        <f>_xlfn.XLOOKUP($B223,MD!$A$3:$A$100,MD!$D$3:$D$100)</f>
        <v>DTR</v>
      </c>
    </row>
    <row r="224" spans="1:10" x14ac:dyDescent="0.35">
      <c r="A224" s="5"/>
      <c r="B224" s="2" t="s">
        <v>59</v>
      </c>
      <c r="C224" s="3" t="s">
        <v>60</v>
      </c>
      <c r="D224" s="4">
        <v>4000</v>
      </c>
      <c r="E224" s="4">
        <v>3263.1578947368421</v>
      </c>
      <c r="F224" s="4">
        <v>631.57894736842104</v>
      </c>
      <c r="G224" s="4">
        <v>25.263157894736842</v>
      </c>
      <c r="H224" s="4">
        <v>80.000000000000028</v>
      </c>
      <c r="I224" t="str">
        <f>_xlfn.XLOOKUP($B224,MD!$A$3:$A$100,MD!$C$3:$C$100)</f>
        <v>B3</v>
      </c>
      <c r="J224" t="str">
        <f>_xlfn.XLOOKUP($B224,MD!$A$3:$A$100,MD!$D$3:$D$100)</f>
        <v>DTR</v>
      </c>
    </row>
    <row r="225" spans="1:10" x14ac:dyDescent="0.35">
      <c r="A225" s="6"/>
      <c r="B225" s="2" t="s">
        <v>123</v>
      </c>
      <c r="C225" s="3" t="s">
        <v>124</v>
      </c>
      <c r="D225" s="4">
        <v>2960</v>
      </c>
      <c r="E225" s="4">
        <v>1450.9803921568628</v>
      </c>
      <c r="F225" s="4">
        <v>967.32026143790847</v>
      </c>
      <c r="G225" s="4">
        <v>483.66013071895424</v>
      </c>
      <c r="H225" s="4">
        <v>58.039215686274531</v>
      </c>
      <c r="I225" t="str">
        <f>_xlfn.XLOOKUP($B225,MD!$A$3:$A$100,MD!$C$3:$C$100)</f>
        <v>B7</v>
      </c>
      <c r="J225" t="str">
        <f>_xlfn.XLOOKUP($B225,MD!$A$3:$A$100,MD!$D$3:$D$100)</f>
        <v>MN</v>
      </c>
    </row>
    <row r="226" spans="1:10" x14ac:dyDescent="0.35">
      <c r="A226" s="7" t="s">
        <v>139</v>
      </c>
      <c r="B226" s="7"/>
      <c r="C226" s="7"/>
      <c r="D226" s="8">
        <v>3547303.9999999986</v>
      </c>
      <c r="E226" s="8">
        <v>1874830</v>
      </c>
      <c r="F226" s="8">
        <v>1445399.9999999995</v>
      </c>
      <c r="G226" s="8">
        <v>157836.29999999999</v>
      </c>
      <c r="H226" s="8">
        <v>69237.69999999908</v>
      </c>
    </row>
    <row r="227" spans="1:10" x14ac:dyDescent="0.35">
      <c r="A227" s="1" t="s">
        <v>140</v>
      </c>
      <c r="B227" s="2" t="s">
        <v>9</v>
      </c>
      <c r="C227" s="3" t="s">
        <v>10</v>
      </c>
      <c r="D227" s="4">
        <v>1567279.9999999998</v>
      </c>
      <c r="E227" s="4">
        <v>547000</v>
      </c>
      <c r="F227" s="4">
        <v>914500</v>
      </c>
      <c r="G227" s="4">
        <v>67475</v>
      </c>
      <c r="H227" s="4">
        <v>38304.999999999767</v>
      </c>
      <c r="I227" t="str">
        <f>_xlfn.XLOOKUP($B227,MD!$A$3:$A$100,MD!$C$3:$C$100)</f>
        <v>B1</v>
      </c>
      <c r="J227" t="str">
        <f>_xlfn.XLOOKUP($B227,MD!$A$3:$A$100,MD!$D$3:$D$100)</f>
        <v>MN</v>
      </c>
    </row>
    <row r="228" spans="1:10" x14ac:dyDescent="0.35">
      <c r="A228" s="5"/>
      <c r="B228" s="2" t="s">
        <v>31</v>
      </c>
      <c r="C228" s="3" t="s">
        <v>32</v>
      </c>
      <c r="D228" s="4">
        <v>360844.99999999994</v>
      </c>
      <c r="E228" s="4">
        <v>111500</v>
      </c>
      <c r="F228" s="4">
        <v>224500</v>
      </c>
      <c r="G228" s="4">
        <v>15200</v>
      </c>
      <c r="H228" s="4">
        <v>9644.9999999999418</v>
      </c>
      <c r="I228" t="str">
        <f>_xlfn.XLOOKUP($B228,MD!$A$3:$A$100,MD!$C$3:$C$100)</f>
        <v>B1</v>
      </c>
      <c r="J228" t="str">
        <f>_xlfn.XLOOKUP($B228,MD!$A$3:$A$100,MD!$D$3:$D$100)</f>
        <v>MN</v>
      </c>
    </row>
    <row r="229" spans="1:10" x14ac:dyDescent="0.35">
      <c r="A229" s="5"/>
      <c r="B229" s="2" t="s">
        <v>33</v>
      </c>
      <c r="C229" s="3" t="s">
        <v>34</v>
      </c>
      <c r="D229" s="4">
        <v>276803</v>
      </c>
      <c r="E229" s="4">
        <v>21000</v>
      </c>
      <c r="F229" s="4">
        <v>243500</v>
      </c>
      <c r="G229" s="4">
        <v>6240</v>
      </c>
      <c r="H229" s="4">
        <v>6063</v>
      </c>
      <c r="I229" t="str">
        <f>_xlfn.XLOOKUP($B229,MD!$A$3:$A$100,MD!$C$3:$C$100)</f>
        <v>B1</v>
      </c>
      <c r="J229" t="str">
        <f>_xlfn.XLOOKUP($B229,MD!$A$3:$A$100,MD!$D$3:$D$100)</f>
        <v>MN</v>
      </c>
    </row>
    <row r="230" spans="1:10" x14ac:dyDescent="0.35">
      <c r="A230" s="5"/>
      <c r="B230" s="2" t="s">
        <v>11</v>
      </c>
      <c r="C230" s="3" t="s">
        <v>12</v>
      </c>
      <c r="D230" s="4">
        <v>267650</v>
      </c>
      <c r="E230" s="4">
        <v>133728.52773067937</v>
      </c>
      <c r="F230" s="4">
        <v>115456.5985803567</v>
      </c>
      <c r="G230" s="4">
        <v>12068.924025771426</v>
      </c>
      <c r="H230" s="4">
        <v>6395.9496631924994</v>
      </c>
      <c r="I230" t="str">
        <f>_xlfn.XLOOKUP($B230,MD!$A$3:$A$100,MD!$C$3:$C$100)</f>
        <v>B1</v>
      </c>
      <c r="J230" t="str">
        <f>_xlfn.XLOOKUP($B230,MD!$A$3:$A$100,MD!$D$3:$D$100)</f>
        <v>DTR</v>
      </c>
    </row>
    <row r="231" spans="1:10" x14ac:dyDescent="0.35">
      <c r="A231" s="5"/>
      <c r="B231" s="2" t="s">
        <v>89</v>
      </c>
      <c r="C231" s="3" t="s">
        <v>90</v>
      </c>
      <c r="D231" s="4">
        <v>233800</v>
      </c>
      <c r="E231" s="4">
        <v>84500</v>
      </c>
      <c r="F231" s="4">
        <v>129500</v>
      </c>
      <c r="G231" s="4">
        <v>14109</v>
      </c>
      <c r="H231" s="4">
        <v>5691</v>
      </c>
      <c r="I231" t="str">
        <f>_xlfn.XLOOKUP($B231,MD!$A$3:$A$100,MD!$C$3:$C$100)</f>
        <v>B6</v>
      </c>
      <c r="J231" t="str">
        <f>_xlfn.XLOOKUP($B231,MD!$A$3:$A$100,MD!$D$3:$D$100)</f>
        <v>DTR</v>
      </c>
    </row>
    <row r="232" spans="1:10" x14ac:dyDescent="0.35">
      <c r="A232" s="5"/>
      <c r="B232" s="2" t="s">
        <v>55</v>
      </c>
      <c r="C232" s="3" t="s">
        <v>56</v>
      </c>
      <c r="D232" s="4">
        <v>203200.00000000003</v>
      </c>
      <c r="E232" s="4">
        <v>111426.08326253186</v>
      </c>
      <c r="F232" s="4">
        <v>81896.346644010191</v>
      </c>
      <c r="G232" s="4">
        <v>4798.5131690739163</v>
      </c>
      <c r="H232" s="4">
        <v>5079.0569243840637</v>
      </c>
      <c r="I232" t="str">
        <f>_xlfn.XLOOKUP($B232,MD!$A$3:$A$100,MD!$C$3:$C$100)</f>
        <v>B1</v>
      </c>
      <c r="J232" t="str">
        <f>_xlfn.XLOOKUP($B232,MD!$A$3:$A$100,MD!$D$3:$D$100)</f>
        <v>MN</v>
      </c>
    </row>
    <row r="233" spans="1:10" x14ac:dyDescent="0.35">
      <c r="A233" s="5"/>
      <c r="B233" s="2" t="s">
        <v>19</v>
      </c>
      <c r="C233" s="3" t="s">
        <v>20</v>
      </c>
      <c r="D233" s="4">
        <v>169000</v>
      </c>
      <c r="E233" s="4">
        <v>66073.916737468142</v>
      </c>
      <c r="F233" s="4">
        <v>90603.653355989809</v>
      </c>
      <c r="G233" s="4">
        <v>7571.4868309260837</v>
      </c>
      <c r="H233" s="4">
        <v>4750.9430756159654</v>
      </c>
      <c r="I233" t="str">
        <f>_xlfn.XLOOKUP($B233,MD!$A$3:$A$100,MD!$C$3:$C$100)</f>
        <v>B1</v>
      </c>
      <c r="J233" t="str">
        <f>_xlfn.XLOOKUP($B233,MD!$A$3:$A$100,MD!$D$3:$D$100)</f>
        <v>MN</v>
      </c>
    </row>
    <row r="234" spans="1:10" x14ac:dyDescent="0.35">
      <c r="A234" s="5"/>
      <c r="B234" s="2" t="s">
        <v>37</v>
      </c>
      <c r="C234" s="3" t="s">
        <v>38</v>
      </c>
      <c r="D234" s="4">
        <v>162500</v>
      </c>
      <c r="E234" s="4">
        <v>73271.472269320613</v>
      </c>
      <c r="F234" s="4">
        <v>78543.401419643298</v>
      </c>
      <c r="G234" s="4">
        <v>7179.0759742285736</v>
      </c>
      <c r="H234" s="4">
        <v>3506.0503368075151</v>
      </c>
      <c r="I234" t="str">
        <f>_xlfn.XLOOKUP($B234,MD!$A$3:$A$100,MD!$C$3:$C$100)</f>
        <v>B1</v>
      </c>
      <c r="J234" t="str">
        <f>_xlfn.XLOOKUP($B234,MD!$A$3:$A$100,MD!$D$3:$D$100)</f>
        <v>DTR</v>
      </c>
    </row>
    <row r="235" spans="1:10" x14ac:dyDescent="0.35">
      <c r="A235" s="5"/>
      <c r="B235" s="2" t="s">
        <v>15</v>
      </c>
      <c r="C235" s="3" t="s">
        <v>16</v>
      </c>
      <c r="D235" s="4">
        <v>133585</v>
      </c>
      <c r="E235" s="4">
        <v>36914.590747330963</v>
      </c>
      <c r="F235" s="4">
        <v>89697.508896797153</v>
      </c>
      <c r="G235" s="4">
        <v>2192.576512455516</v>
      </c>
      <c r="H235" s="4">
        <v>4780.3238434163668</v>
      </c>
      <c r="I235" t="str">
        <f>_xlfn.XLOOKUP($B235,MD!$A$3:$A$100,MD!$C$3:$C$100)</f>
        <v>B1</v>
      </c>
      <c r="J235" t="str">
        <f>_xlfn.XLOOKUP($B235,MD!$A$3:$A$100,MD!$D$3:$D$100)</f>
        <v>MN</v>
      </c>
    </row>
    <row r="236" spans="1:10" x14ac:dyDescent="0.35">
      <c r="A236" s="5"/>
      <c r="B236" s="2" t="s">
        <v>63</v>
      </c>
      <c r="C236" s="3" t="s">
        <v>64</v>
      </c>
      <c r="D236" s="4">
        <v>89599.999999999985</v>
      </c>
      <c r="E236" s="4">
        <v>52220.593096742828</v>
      </c>
      <c r="F236" s="4">
        <v>30462.109868740885</v>
      </c>
      <c r="G236" s="4">
        <v>4428.070004861449</v>
      </c>
      <c r="H236" s="4">
        <v>2489.2270296548231</v>
      </c>
      <c r="I236" t="str">
        <f>_xlfn.XLOOKUP($B236,MD!$A$3:$A$100,MD!$C$3:$C$100)</f>
        <v>B2</v>
      </c>
      <c r="J236" t="str">
        <f>_xlfn.XLOOKUP($B236,MD!$A$3:$A$100,MD!$D$3:$D$100)</f>
        <v>DTR</v>
      </c>
    </row>
    <row r="237" spans="1:10" x14ac:dyDescent="0.35">
      <c r="A237" s="5"/>
      <c r="B237" s="2" t="s">
        <v>133</v>
      </c>
      <c r="C237" s="3" t="s">
        <v>134</v>
      </c>
      <c r="D237" s="4">
        <v>62500</v>
      </c>
      <c r="E237" s="4">
        <v>27232.142857142859</v>
      </c>
      <c r="F237" s="4">
        <v>33482.142857142855</v>
      </c>
      <c r="G237" s="4">
        <v>535.71428571428567</v>
      </c>
      <c r="H237" s="4">
        <v>1250.0000000000041</v>
      </c>
      <c r="I237" t="str">
        <f>_xlfn.XLOOKUP($B237,MD!$A$3:$A$100,MD!$C$3:$C$100)</f>
        <v>B1</v>
      </c>
      <c r="J237" t="str">
        <f>_xlfn.XLOOKUP($B237,MD!$A$3:$A$100,MD!$D$3:$D$100)</f>
        <v>DTR</v>
      </c>
    </row>
    <row r="238" spans="1:10" x14ac:dyDescent="0.35">
      <c r="A238" s="5"/>
      <c r="B238" s="2" t="s">
        <v>21</v>
      </c>
      <c r="C238" s="3" t="s">
        <v>22</v>
      </c>
      <c r="D238" s="4">
        <v>55500</v>
      </c>
      <c r="E238" s="4">
        <v>43300</v>
      </c>
      <c r="F238" s="4">
        <v>11000</v>
      </c>
      <c r="G238" s="4">
        <v>100</v>
      </c>
      <c r="H238" s="4">
        <v>1100</v>
      </c>
      <c r="I238" t="str">
        <f>_xlfn.XLOOKUP($B238,MD!$A$3:$A$100,MD!$C$3:$C$100)</f>
        <v>B1</v>
      </c>
      <c r="J238" t="str">
        <f>_xlfn.XLOOKUP($B238,MD!$A$3:$A$100,MD!$D$3:$D$100)</f>
        <v>DTR</v>
      </c>
    </row>
    <row r="239" spans="1:10" x14ac:dyDescent="0.35">
      <c r="A239" s="5"/>
      <c r="B239" s="2" t="s">
        <v>111</v>
      </c>
      <c r="C239" s="3" t="s">
        <v>112</v>
      </c>
      <c r="D239" s="4">
        <v>44500</v>
      </c>
      <c r="E239" s="4">
        <v>0</v>
      </c>
      <c r="F239" s="4">
        <v>17600</v>
      </c>
      <c r="G239" s="4">
        <v>19650</v>
      </c>
      <c r="H239" s="4">
        <v>7250</v>
      </c>
      <c r="I239" t="str">
        <f>_xlfn.XLOOKUP($B239,MD!$A$3:$A$100,MD!$C$3:$C$100)</f>
        <v>Unknown</v>
      </c>
      <c r="J239" t="str">
        <f>_xlfn.XLOOKUP($B239,MD!$A$3:$A$100,MD!$D$3:$D$100)</f>
        <v>Unknown</v>
      </c>
    </row>
    <row r="240" spans="1:10" x14ac:dyDescent="0.35">
      <c r="A240" s="5"/>
      <c r="B240" s="2" t="s">
        <v>13</v>
      </c>
      <c r="C240" s="3" t="s">
        <v>14</v>
      </c>
      <c r="D240" s="4">
        <v>41200</v>
      </c>
      <c r="E240" s="4">
        <v>23379.406903257172</v>
      </c>
      <c r="F240" s="4">
        <v>14737.890131259117</v>
      </c>
      <c r="G240" s="4">
        <v>1951.9299951385512</v>
      </c>
      <c r="H240" s="4">
        <v>1130.7729703451603</v>
      </c>
      <c r="I240" t="str">
        <f>_xlfn.XLOOKUP($B240,MD!$A$3:$A$100,MD!$C$3:$C$100)</f>
        <v>B2</v>
      </c>
      <c r="J240" t="str">
        <f>_xlfn.XLOOKUP($B240,MD!$A$3:$A$100,MD!$D$3:$D$100)</f>
        <v>DTR</v>
      </c>
    </row>
    <row r="241" spans="1:10" x14ac:dyDescent="0.35">
      <c r="A241" s="5"/>
      <c r="B241" s="2" t="s">
        <v>137</v>
      </c>
      <c r="C241" s="3" t="s">
        <v>138</v>
      </c>
      <c r="D241" s="4">
        <v>32500</v>
      </c>
      <c r="E241" s="4">
        <v>24767.857142857141</v>
      </c>
      <c r="F241" s="4">
        <v>7017.8571428571431</v>
      </c>
      <c r="G241" s="4">
        <v>64.285714285714292</v>
      </c>
      <c r="H241" s="4">
        <v>650.00000000000125</v>
      </c>
      <c r="I241" t="str">
        <f>_xlfn.XLOOKUP($B241,MD!$A$3:$A$100,MD!$C$3:$C$100)</f>
        <v>B1</v>
      </c>
      <c r="J241" t="str">
        <f>_xlfn.XLOOKUP($B241,MD!$A$3:$A$100,MD!$D$3:$D$100)</f>
        <v>DTR</v>
      </c>
    </row>
    <row r="242" spans="1:10" x14ac:dyDescent="0.35">
      <c r="A242" s="5"/>
      <c r="B242" s="2" t="s">
        <v>27</v>
      </c>
      <c r="C242" s="3" t="s">
        <v>28</v>
      </c>
      <c r="D242" s="4">
        <v>30400.000000000004</v>
      </c>
      <c r="E242" s="4">
        <v>22448.732517482516</v>
      </c>
      <c r="F242" s="4">
        <v>5208.3916083916083</v>
      </c>
      <c r="G242" s="4">
        <v>2094.484265734266</v>
      </c>
      <c r="H242" s="4">
        <v>648.39160839161286</v>
      </c>
      <c r="I242" t="str">
        <f>_xlfn.XLOOKUP($B242,MD!$A$3:$A$100,MD!$C$3:$C$100)</f>
        <v>B7</v>
      </c>
      <c r="J242" t="str">
        <f>_xlfn.XLOOKUP($B242,MD!$A$3:$A$100,MD!$D$3:$D$100)</f>
        <v>DTR</v>
      </c>
    </row>
    <row r="243" spans="1:10" x14ac:dyDescent="0.35">
      <c r="A243" s="5"/>
      <c r="B243" s="2" t="s">
        <v>87</v>
      </c>
      <c r="C243" s="3" t="s">
        <v>88</v>
      </c>
      <c r="D243" s="4">
        <v>21000</v>
      </c>
      <c r="E243" s="4">
        <v>10652.173913043478</v>
      </c>
      <c r="F243" s="4">
        <v>9739.1304347826099</v>
      </c>
      <c r="G243" s="4">
        <v>182.60869565217391</v>
      </c>
      <c r="H243" s="4">
        <v>426.08695652173822</v>
      </c>
      <c r="I243" t="str">
        <f>_xlfn.XLOOKUP($B243,MD!$A$3:$A$100,MD!$C$3:$C$100)</f>
        <v>B1</v>
      </c>
      <c r="J243" t="str">
        <f>_xlfn.XLOOKUP($B243,MD!$A$3:$A$100,MD!$D$3:$D$100)</f>
        <v>DTR</v>
      </c>
    </row>
    <row r="244" spans="1:10" x14ac:dyDescent="0.35">
      <c r="A244" s="5"/>
      <c r="B244" s="2" t="s">
        <v>23</v>
      </c>
      <c r="C244" s="3" t="s">
        <v>24</v>
      </c>
      <c r="D244" s="4">
        <v>20000</v>
      </c>
      <c r="E244" s="4">
        <v>18590.909090909092</v>
      </c>
      <c r="F244" s="4">
        <v>863.63636363636363</v>
      </c>
      <c r="G244" s="4">
        <v>145.45454545454547</v>
      </c>
      <c r="H244" s="4">
        <v>399.99999999999898</v>
      </c>
      <c r="I244" t="str">
        <f>_xlfn.XLOOKUP($B244,MD!$A$3:$A$100,MD!$C$3:$C$100)</f>
        <v>B1</v>
      </c>
      <c r="J244" t="str">
        <f>_xlfn.XLOOKUP($B244,MD!$A$3:$A$100,MD!$D$3:$D$100)</f>
        <v>DTR</v>
      </c>
    </row>
    <row r="245" spans="1:10" x14ac:dyDescent="0.35">
      <c r="A245" s="5"/>
      <c r="B245" s="2" t="s">
        <v>141</v>
      </c>
      <c r="C245" s="3" t="s">
        <v>142</v>
      </c>
      <c r="D245" s="4">
        <v>20000</v>
      </c>
      <c r="E245" s="4">
        <v>10909.09090909091</v>
      </c>
      <c r="F245" s="4">
        <v>8636.363636363636</v>
      </c>
      <c r="G245" s="4">
        <v>54.545454545454547</v>
      </c>
      <c r="H245" s="4">
        <v>399.99999999999949</v>
      </c>
      <c r="I245" t="str">
        <f>_xlfn.XLOOKUP($B245,MD!$A$3:$A$100,MD!$C$3:$C$100)</f>
        <v>B1</v>
      </c>
      <c r="J245" t="str">
        <f>_xlfn.XLOOKUP($B245,MD!$A$3:$A$100,MD!$D$3:$D$100)</f>
        <v>DTR</v>
      </c>
    </row>
    <row r="246" spans="1:10" x14ac:dyDescent="0.35">
      <c r="A246" s="5"/>
      <c r="B246" s="2" t="s">
        <v>51</v>
      </c>
      <c r="C246" s="3" t="s">
        <v>52</v>
      </c>
      <c r="D246" s="4">
        <v>18000</v>
      </c>
      <c r="E246" s="4">
        <v>10000</v>
      </c>
      <c r="F246" s="4">
        <v>6500</v>
      </c>
      <c r="G246" s="4">
        <v>983</v>
      </c>
      <c r="H246" s="4">
        <v>517</v>
      </c>
      <c r="I246" t="str">
        <f>_xlfn.XLOOKUP($B246,MD!$A$3:$A$100,MD!$C$3:$C$100)</f>
        <v>B1</v>
      </c>
      <c r="J246" t="str">
        <f>_xlfn.XLOOKUP($B246,MD!$A$3:$A$100,MD!$D$3:$D$100)</f>
        <v>DTR</v>
      </c>
    </row>
    <row r="247" spans="1:10" x14ac:dyDescent="0.35">
      <c r="A247" s="5"/>
      <c r="B247" s="2" t="s">
        <v>143</v>
      </c>
      <c r="C247" s="3" t="s">
        <v>144</v>
      </c>
      <c r="D247" s="4">
        <v>17000</v>
      </c>
      <c r="E247" s="4">
        <v>16500</v>
      </c>
      <c r="F247" s="4">
        <v>0</v>
      </c>
      <c r="G247" s="4">
        <v>160</v>
      </c>
      <c r="H247" s="4">
        <v>340</v>
      </c>
      <c r="I247" t="str">
        <f>_xlfn.XLOOKUP($B247,MD!$A$3:$A$100,MD!$C$3:$C$100)</f>
        <v>Unknown</v>
      </c>
      <c r="J247" t="str">
        <f>_xlfn.XLOOKUP($B247,MD!$A$3:$A$100,MD!$D$3:$D$100)</f>
        <v>Unknown</v>
      </c>
    </row>
    <row r="248" spans="1:10" x14ac:dyDescent="0.35">
      <c r="A248" s="5"/>
      <c r="B248" s="2" t="s">
        <v>49</v>
      </c>
      <c r="C248" s="3" t="s">
        <v>50</v>
      </c>
      <c r="D248" s="4">
        <v>13500</v>
      </c>
      <c r="E248" s="4">
        <v>6847.826086956522</v>
      </c>
      <c r="F248" s="4">
        <v>6260.8695652173901</v>
      </c>
      <c r="G248" s="4">
        <v>117.39130434782609</v>
      </c>
      <c r="H248" s="4">
        <v>273.91304347826178</v>
      </c>
      <c r="I248" t="str">
        <f>_xlfn.XLOOKUP($B248,MD!$A$3:$A$100,MD!$C$3:$C$100)</f>
        <v>B1</v>
      </c>
      <c r="J248" t="str">
        <f>_xlfn.XLOOKUP($B248,MD!$A$3:$A$100,MD!$D$3:$D$100)</f>
        <v>DTR</v>
      </c>
    </row>
    <row r="249" spans="1:10" x14ac:dyDescent="0.35">
      <c r="A249" s="5"/>
      <c r="B249" s="2" t="s">
        <v>101</v>
      </c>
      <c r="C249" s="3" t="s">
        <v>102</v>
      </c>
      <c r="D249" s="4">
        <v>4199.9999999999991</v>
      </c>
      <c r="E249" s="4">
        <v>3120.4982517482517</v>
      </c>
      <c r="F249" s="4">
        <v>660.83916083916085</v>
      </c>
      <c r="G249" s="4">
        <v>327.82342657342662</v>
      </c>
      <c r="H249" s="4">
        <v>90.839160839159888</v>
      </c>
      <c r="I249" t="str">
        <f>_xlfn.XLOOKUP($B249,MD!$A$3:$A$100,MD!$C$3:$C$100)</f>
        <v>B7</v>
      </c>
      <c r="J249" t="str">
        <f>_xlfn.XLOOKUP($B249,MD!$A$3:$A$100,MD!$D$3:$D$100)</f>
        <v>MN</v>
      </c>
    </row>
    <row r="250" spans="1:10" x14ac:dyDescent="0.35">
      <c r="A250" s="6"/>
      <c r="B250" s="2" t="s">
        <v>41</v>
      </c>
      <c r="C250" s="3" t="s">
        <v>42</v>
      </c>
      <c r="D250" s="4">
        <v>1600</v>
      </c>
      <c r="E250" s="4">
        <v>1130.7692307692307</v>
      </c>
      <c r="F250" s="4">
        <v>430.76923076923077</v>
      </c>
      <c r="G250" s="4">
        <v>7.6923076923076925</v>
      </c>
      <c r="H250" s="4">
        <v>30.769230769230816</v>
      </c>
      <c r="I250" t="str">
        <f>_xlfn.XLOOKUP($B250,MD!$A$3:$A$100,MD!$C$3:$C$100)</f>
        <v>B7</v>
      </c>
      <c r="J250" t="str">
        <f>_xlfn.XLOOKUP($B250,MD!$A$3:$A$100,MD!$D$3:$D$100)</f>
        <v>DTR</v>
      </c>
    </row>
    <row r="251" spans="1:10" ht="15" thickBot="1" x14ac:dyDescent="0.4">
      <c r="A251" s="7" t="s">
        <v>145</v>
      </c>
      <c r="B251" s="7"/>
      <c r="C251" s="7"/>
      <c r="D251" s="8">
        <v>3846162.9999999986</v>
      </c>
      <c r="E251" s="8">
        <v>1456514.5907473308</v>
      </c>
      <c r="F251" s="8">
        <v>2120797.508896797</v>
      </c>
      <c r="G251" s="8">
        <v>167637.57651245553</v>
      </c>
      <c r="H251" s="8">
        <v>101213.3238434153</v>
      </c>
    </row>
    <row r="252" spans="1:10" ht="15" thickTop="1" x14ac:dyDescent="0.35">
      <c r="A252" s="9" t="s">
        <v>146</v>
      </c>
      <c r="B252" s="9"/>
      <c r="C252" s="9"/>
      <c r="D252" s="10">
        <v>41236593.770000011</v>
      </c>
      <c r="E252" s="10">
        <v>17814272.38613449</v>
      </c>
      <c r="F252" s="10">
        <v>20765487.030423239</v>
      </c>
      <c r="G252" s="10">
        <v>2048103.3391895839</v>
      </c>
      <c r="H252" s="10">
        <v>608731.01425269758</v>
      </c>
    </row>
    <row r="253" spans="1:10" x14ac:dyDescent="0.35"/>
    <row r="254" spans="1:10" x14ac:dyDescent="0.35"/>
    <row r="255" spans="1:10" x14ac:dyDescent="0.35"/>
    <row r="256" spans="1:10" x14ac:dyDescent="0.35"/>
    <row r="257" x14ac:dyDescent="0.35"/>
    <row r="258" x14ac:dyDescent="0.35"/>
    <row r="259" x14ac:dyDescent="0.35"/>
    <row r="260" x14ac:dyDescent="0.35"/>
    <row r="261" x14ac:dyDescent="0.35"/>
    <row r="262" x14ac:dyDescent="0.35"/>
    <row r="263" x14ac:dyDescent="0.35"/>
    <row r="264" x14ac:dyDescent="0.35"/>
    <row r="265" x14ac:dyDescent="0.35"/>
    <row r="266" x14ac:dyDescent="0.35"/>
    <row r="267" x14ac:dyDescent="0.35"/>
    <row r="268" x14ac:dyDescent="0.35"/>
    <row r="269" x14ac:dyDescent="0.35"/>
    <row r="270" x14ac:dyDescent="0.35"/>
    <row r="271" x14ac:dyDescent="0.35"/>
    <row r="272" x14ac:dyDescent="0.35"/>
    <row r="273" x14ac:dyDescent="0.35"/>
    <row r="274" x14ac:dyDescent="0.35"/>
    <row r="275" x14ac:dyDescent="0.35"/>
    <row r="276" x14ac:dyDescent="0.35"/>
    <row r="277" x14ac:dyDescent="0.35"/>
    <row r="278" x14ac:dyDescent="0.35"/>
    <row r="279" x14ac:dyDescent="0.35"/>
    <row r="280" x14ac:dyDescent="0.35"/>
    <row r="281" x14ac:dyDescent="0.35"/>
    <row r="282" x14ac:dyDescent="0.35"/>
    <row r="283" x14ac:dyDescent="0.35"/>
    <row r="284" x14ac:dyDescent="0.35"/>
    <row r="285" x14ac:dyDescent="0.35"/>
    <row r="286" x14ac:dyDescent="0.35"/>
    <row r="287" x14ac:dyDescent="0.35"/>
    <row r="288" x14ac:dyDescent="0.35"/>
    <row r="289" x14ac:dyDescent="0.35"/>
    <row r="290" x14ac:dyDescent="0.35"/>
    <row r="291" x14ac:dyDescent="0.35"/>
    <row r="292" x14ac:dyDescent="0.35"/>
    <row r="293" x14ac:dyDescent="0.35"/>
    <row r="294" x14ac:dyDescent="0.35"/>
    <row r="295" x14ac:dyDescent="0.35"/>
    <row r="296" x14ac:dyDescent="0.35"/>
    <row r="297" x14ac:dyDescent="0.35"/>
    <row r="298" x14ac:dyDescent="0.35"/>
    <row r="299" x14ac:dyDescent="0.35"/>
    <row r="300" x14ac:dyDescent="0.35"/>
    <row r="301" s="21" customFormat="1" ht="15" hidden="1" thickTop="1" x14ac:dyDescent="0.35"/>
  </sheetData>
  <autoFilter ref="A2:J252" xr:uid="{03A0832F-4000-4350-B9EB-5EDF1D4A237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7E85-3588-4723-A306-50FB1DA4B47C}">
  <dimension ref="A1:D100"/>
  <sheetViews>
    <sheetView showGridLines="0"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5" sqref="C35"/>
    </sheetView>
  </sheetViews>
  <sheetFormatPr defaultRowHeight="14.5" zeroHeight="1" x14ac:dyDescent="0.35"/>
  <cols>
    <col min="1" max="1" width="12.9140625" bestFit="1" customWidth="1"/>
    <col min="2" max="2" width="23.33203125" bestFit="1" customWidth="1"/>
    <col min="3" max="3" width="15.9140625" customWidth="1"/>
  </cols>
  <sheetData>
    <row r="1" spans="1:4" x14ac:dyDescent="0.35"/>
    <row r="2" spans="1:4" s="12" customFormat="1" x14ac:dyDescent="0.35">
      <c r="A2" s="11" t="s">
        <v>1</v>
      </c>
      <c r="B2" s="11" t="s">
        <v>2</v>
      </c>
      <c r="C2" s="11" t="s">
        <v>148</v>
      </c>
      <c r="D2" s="11" t="s">
        <v>165</v>
      </c>
    </row>
    <row r="3" spans="1:4" x14ac:dyDescent="0.35">
      <c r="A3" t="s">
        <v>9</v>
      </c>
      <c r="B3" t="s">
        <v>10</v>
      </c>
      <c r="C3" t="s">
        <v>149</v>
      </c>
      <c r="D3" t="s">
        <v>171</v>
      </c>
    </row>
    <row r="4" spans="1:4" x14ac:dyDescent="0.35">
      <c r="A4" t="s">
        <v>15</v>
      </c>
      <c r="B4" t="s">
        <v>16</v>
      </c>
      <c r="C4" t="s">
        <v>149</v>
      </c>
      <c r="D4" t="s">
        <v>171</v>
      </c>
    </row>
    <row r="5" spans="1:4" x14ac:dyDescent="0.35">
      <c r="A5" t="s">
        <v>33</v>
      </c>
      <c r="B5" t="s">
        <v>34</v>
      </c>
      <c r="C5" t="s">
        <v>149</v>
      </c>
      <c r="D5" t="s">
        <v>171</v>
      </c>
    </row>
    <row r="6" spans="1:4" x14ac:dyDescent="0.35">
      <c r="A6" t="s">
        <v>25</v>
      </c>
      <c r="B6" t="s">
        <v>26</v>
      </c>
      <c r="C6" t="s">
        <v>153</v>
      </c>
      <c r="D6" t="s">
        <v>170</v>
      </c>
    </row>
    <row r="7" spans="1:4" x14ac:dyDescent="0.35">
      <c r="A7" t="s">
        <v>95</v>
      </c>
      <c r="B7" t="s">
        <v>96</v>
      </c>
      <c r="C7" t="s">
        <v>151</v>
      </c>
      <c r="D7" t="s">
        <v>171</v>
      </c>
    </row>
    <row r="8" spans="1:4" x14ac:dyDescent="0.35">
      <c r="A8" t="s">
        <v>43</v>
      </c>
      <c r="B8" t="s">
        <v>44</v>
      </c>
      <c r="C8" t="s">
        <v>150</v>
      </c>
      <c r="D8" t="s">
        <v>170</v>
      </c>
    </row>
    <row r="9" spans="1:4" x14ac:dyDescent="0.35">
      <c r="A9" t="s">
        <v>31</v>
      </c>
      <c r="B9" t="s">
        <v>32</v>
      </c>
      <c r="C9" t="s">
        <v>149</v>
      </c>
      <c r="D9" t="s">
        <v>171</v>
      </c>
    </row>
    <row r="10" spans="1:4" x14ac:dyDescent="0.35">
      <c r="A10" t="s">
        <v>51</v>
      </c>
      <c r="B10" t="s">
        <v>52</v>
      </c>
      <c r="C10" t="s">
        <v>149</v>
      </c>
      <c r="D10" t="s">
        <v>170</v>
      </c>
    </row>
    <row r="11" spans="1:4" x14ac:dyDescent="0.35">
      <c r="A11" t="s">
        <v>27</v>
      </c>
      <c r="B11" t="s">
        <v>28</v>
      </c>
      <c r="C11" t="s">
        <v>156</v>
      </c>
      <c r="D11" t="s">
        <v>170</v>
      </c>
    </row>
    <row r="12" spans="1:4" x14ac:dyDescent="0.35">
      <c r="A12" t="s">
        <v>79</v>
      </c>
      <c r="B12" t="s">
        <v>80</v>
      </c>
      <c r="C12" t="s">
        <v>149</v>
      </c>
      <c r="D12" t="s">
        <v>171</v>
      </c>
    </row>
    <row r="13" spans="1:4" x14ac:dyDescent="0.35">
      <c r="A13" t="s">
        <v>123</v>
      </c>
      <c r="B13" t="s">
        <v>124</v>
      </c>
      <c r="C13" t="s">
        <v>156</v>
      </c>
      <c r="D13" t="s">
        <v>171</v>
      </c>
    </row>
    <row r="14" spans="1:4" x14ac:dyDescent="0.35">
      <c r="A14" t="s">
        <v>37</v>
      </c>
      <c r="B14" t="s">
        <v>38</v>
      </c>
      <c r="C14" t="s">
        <v>149</v>
      </c>
      <c r="D14" t="s">
        <v>170</v>
      </c>
    </row>
    <row r="15" spans="1:4" x14ac:dyDescent="0.35">
      <c r="A15" t="s">
        <v>135</v>
      </c>
      <c r="B15" t="s">
        <v>136</v>
      </c>
      <c r="C15" t="s">
        <v>151</v>
      </c>
      <c r="D15" t="s">
        <v>170</v>
      </c>
    </row>
    <row r="16" spans="1:4" x14ac:dyDescent="0.35">
      <c r="A16" t="s">
        <v>73</v>
      </c>
      <c r="B16" t="s">
        <v>74</v>
      </c>
      <c r="C16" t="s">
        <v>155</v>
      </c>
      <c r="D16" t="s">
        <v>170</v>
      </c>
    </row>
    <row r="17" spans="1:4" x14ac:dyDescent="0.35">
      <c r="A17" t="s">
        <v>35</v>
      </c>
      <c r="B17" t="s">
        <v>36</v>
      </c>
      <c r="C17" t="s">
        <v>152</v>
      </c>
      <c r="D17" t="s">
        <v>170</v>
      </c>
    </row>
    <row r="18" spans="1:4" x14ac:dyDescent="0.35">
      <c r="A18" t="s">
        <v>89</v>
      </c>
      <c r="B18" t="s">
        <v>90</v>
      </c>
      <c r="C18" t="s">
        <v>153</v>
      </c>
      <c r="D18" t="s">
        <v>170</v>
      </c>
    </row>
    <row r="19" spans="1:4" x14ac:dyDescent="0.35">
      <c r="A19" t="s">
        <v>21</v>
      </c>
      <c r="B19" t="s">
        <v>22</v>
      </c>
      <c r="C19" t="s">
        <v>149</v>
      </c>
      <c r="D19" t="s">
        <v>170</v>
      </c>
    </row>
    <row r="20" spans="1:4" x14ac:dyDescent="0.35">
      <c r="A20" t="s">
        <v>23</v>
      </c>
      <c r="B20" t="s">
        <v>24</v>
      </c>
      <c r="C20" t="s">
        <v>149</v>
      </c>
      <c r="D20" t="s">
        <v>170</v>
      </c>
    </row>
    <row r="21" spans="1:4" x14ac:dyDescent="0.35">
      <c r="A21" t="s">
        <v>67</v>
      </c>
      <c r="B21" t="s">
        <v>68</v>
      </c>
      <c r="C21" t="s">
        <v>149</v>
      </c>
      <c r="D21" t="s">
        <v>171</v>
      </c>
    </row>
    <row r="22" spans="1:4" x14ac:dyDescent="0.35">
      <c r="A22" t="s">
        <v>55</v>
      </c>
      <c r="B22" t="s">
        <v>56</v>
      </c>
      <c r="C22" t="s">
        <v>149</v>
      </c>
      <c r="D22" t="s">
        <v>171</v>
      </c>
    </row>
    <row r="23" spans="1:4" x14ac:dyDescent="0.35">
      <c r="A23" t="s">
        <v>19</v>
      </c>
      <c r="B23" t="s">
        <v>20</v>
      </c>
      <c r="C23" t="s">
        <v>149</v>
      </c>
      <c r="D23" t="s">
        <v>171</v>
      </c>
    </row>
    <row r="24" spans="1:4" x14ac:dyDescent="0.35">
      <c r="A24" t="s">
        <v>69</v>
      </c>
      <c r="B24" t="s">
        <v>70</v>
      </c>
      <c r="C24" t="s">
        <v>149</v>
      </c>
      <c r="D24" t="s">
        <v>171</v>
      </c>
    </row>
    <row r="25" spans="1:4" x14ac:dyDescent="0.35">
      <c r="A25" t="s">
        <v>65</v>
      </c>
      <c r="B25" t="s">
        <v>66</v>
      </c>
      <c r="C25" t="s">
        <v>151</v>
      </c>
      <c r="D25" t="s">
        <v>170</v>
      </c>
    </row>
    <row r="26" spans="1:4" x14ac:dyDescent="0.35">
      <c r="A26" t="s">
        <v>11</v>
      </c>
      <c r="B26" t="s">
        <v>12</v>
      </c>
      <c r="C26" t="s">
        <v>149</v>
      </c>
      <c r="D26" t="s">
        <v>170</v>
      </c>
    </row>
    <row r="27" spans="1:4" x14ac:dyDescent="0.35">
      <c r="A27" t="s">
        <v>45</v>
      </c>
      <c r="B27" t="s">
        <v>46</v>
      </c>
      <c r="C27" t="s">
        <v>150</v>
      </c>
      <c r="D27" t="s">
        <v>170</v>
      </c>
    </row>
    <row r="28" spans="1:4" x14ac:dyDescent="0.35">
      <c r="A28" t="s">
        <v>59</v>
      </c>
      <c r="B28" t="s">
        <v>60</v>
      </c>
      <c r="C28" t="s">
        <v>151</v>
      </c>
      <c r="D28" t="s">
        <v>170</v>
      </c>
    </row>
    <row r="29" spans="1:4" x14ac:dyDescent="0.35">
      <c r="A29" t="s">
        <v>29</v>
      </c>
      <c r="B29" t="s">
        <v>30</v>
      </c>
      <c r="C29" t="s">
        <v>152</v>
      </c>
      <c r="D29" t="s">
        <v>170</v>
      </c>
    </row>
    <row r="30" spans="1:4" x14ac:dyDescent="0.35">
      <c r="A30" t="s">
        <v>39</v>
      </c>
      <c r="B30" t="s">
        <v>40</v>
      </c>
      <c r="C30" t="s">
        <v>153</v>
      </c>
      <c r="D30" t="s">
        <v>170</v>
      </c>
    </row>
    <row r="31" spans="1:4" x14ac:dyDescent="0.35">
      <c r="A31" t="s">
        <v>101</v>
      </c>
      <c r="B31" t="s">
        <v>102</v>
      </c>
      <c r="C31" t="s">
        <v>156</v>
      </c>
      <c r="D31" t="s">
        <v>171</v>
      </c>
    </row>
    <row r="32" spans="1:4" x14ac:dyDescent="0.35">
      <c r="A32" t="s">
        <v>83</v>
      </c>
      <c r="B32" t="s">
        <v>84</v>
      </c>
      <c r="C32" t="s">
        <v>153</v>
      </c>
      <c r="D32" t="s">
        <v>170</v>
      </c>
    </row>
    <row r="33" spans="1:4" x14ac:dyDescent="0.35">
      <c r="A33" t="s">
        <v>41</v>
      </c>
      <c r="B33" t="s">
        <v>42</v>
      </c>
      <c r="C33" t="s">
        <v>156</v>
      </c>
      <c r="D33" t="s">
        <v>170</v>
      </c>
    </row>
    <row r="34" spans="1:4" x14ac:dyDescent="0.35">
      <c r="A34" t="s">
        <v>57</v>
      </c>
      <c r="B34" t="s">
        <v>58</v>
      </c>
      <c r="C34" t="s">
        <v>155</v>
      </c>
      <c r="D34" t="s">
        <v>170</v>
      </c>
    </row>
    <row r="35" spans="1:4" x14ac:dyDescent="0.35">
      <c r="A35" t="s">
        <v>71</v>
      </c>
      <c r="B35" t="s">
        <v>72</v>
      </c>
      <c r="C35" t="s">
        <v>155</v>
      </c>
      <c r="D35" t="s">
        <v>171</v>
      </c>
    </row>
    <row r="36" spans="1:4" x14ac:dyDescent="0.35">
      <c r="A36" t="s">
        <v>61</v>
      </c>
      <c r="B36" t="s">
        <v>62</v>
      </c>
      <c r="C36" t="s">
        <v>155</v>
      </c>
      <c r="D36" t="s">
        <v>171</v>
      </c>
    </row>
    <row r="37" spans="1:4" x14ac:dyDescent="0.35">
      <c r="A37" t="s">
        <v>103</v>
      </c>
      <c r="B37" t="s">
        <v>104</v>
      </c>
      <c r="C37" t="s">
        <v>151</v>
      </c>
      <c r="D37" t="s">
        <v>171</v>
      </c>
    </row>
    <row r="38" spans="1:4" x14ac:dyDescent="0.35">
      <c r="A38" t="s">
        <v>99</v>
      </c>
      <c r="B38" t="s">
        <v>100</v>
      </c>
      <c r="C38" t="s">
        <v>151</v>
      </c>
      <c r="D38" t="s">
        <v>171</v>
      </c>
    </row>
    <row r="39" spans="1:4" x14ac:dyDescent="0.35">
      <c r="A39" t="s">
        <v>115</v>
      </c>
      <c r="B39" t="s">
        <v>116</v>
      </c>
      <c r="C39" t="s">
        <v>157</v>
      </c>
      <c r="D39" t="s">
        <v>157</v>
      </c>
    </row>
    <row r="40" spans="1:4" x14ac:dyDescent="0.35">
      <c r="A40" t="s">
        <v>53</v>
      </c>
      <c r="B40" t="s">
        <v>54</v>
      </c>
      <c r="C40" t="s">
        <v>149</v>
      </c>
      <c r="D40" t="s">
        <v>170</v>
      </c>
    </row>
    <row r="41" spans="1:4" x14ac:dyDescent="0.35">
      <c r="A41" t="s">
        <v>121</v>
      </c>
      <c r="B41" t="s">
        <v>122</v>
      </c>
      <c r="C41" t="s">
        <v>153</v>
      </c>
      <c r="D41" t="s">
        <v>170</v>
      </c>
    </row>
    <row r="42" spans="1:4" x14ac:dyDescent="0.35">
      <c r="A42" t="s">
        <v>63</v>
      </c>
      <c r="B42" t="s">
        <v>64</v>
      </c>
      <c r="C42" t="s">
        <v>150</v>
      </c>
      <c r="D42" t="s">
        <v>170</v>
      </c>
    </row>
    <row r="43" spans="1:4" x14ac:dyDescent="0.35">
      <c r="A43" t="s">
        <v>13</v>
      </c>
      <c r="B43" t="s">
        <v>14</v>
      </c>
      <c r="C43" t="s">
        <v>150</v>
      </c>
      <c r="D43" t="s">
        <v>170</v>
      </c>
    </row>
    <row r="44" spans="1:4" x14ac:dyDescent="0.35">
      <c r="A44" t="s">
        <v>97</v>
      </c>
      <c r="B44" t="s">
        <v>98</v>
      </c>
      <c r="C44" t="s">
        <v>150</v>
      </c>
      <c r="D44" t="s">
        <v>171</v>
      </c>
    </row>
    <row r="45" spans="1:4" x14ac:dyDescent="0.35">
      <c r="A45" t="s">
        <v>105</v>
      </c>
      <c r="B45" t="s">
        <v>106</v>
      </c>
      <c r="C45" t="s">
        <v>153</v>
      </c>
      <c r="D45" t="s">
        <v>170</v>
      </c>
    </row>
    <row r="46" spans="1:4" x14ac:dyDescent="0.35">
      <c r="A46" t="s">
        <v>77</v>
      </c>
      <c r="B46" t="s">
        <v>78</v>
      </c>
      <c r="C46" t="s">
        <v>153</v>
      </c>
      <c r="D46" t="s">
        <v>170</v>
      </c>
    </row>
    <row r="47" spans="1:4" x14ac:dyDescent="0.35">
      <c r="A47" t="s">
        <v>17</v>
      </c>
      <c r="B47" t="s">
        <v>18</v>
      </c>
      <c r="C47" t="s">
        <v>153</v>
      </c>
      <c r="D47" t="s">
        <v>170</v>
      </c>
    </row>
    <row r="48" spans="1:4" x14ac:dyDescent="0.35">
      <c r="A48" t="s">
        <v>119</v>
      </c>
      <c r="B48" t="s">
        <v>120</v>
      </c>
      <c r="C48" t="s">
        <v>149</v>
      </c>
      <c r="D48" t="s">
        <v>171</v>
      </c>
    </row>
    <row r="49" spans="1:4" x14ac:dyDescent="0.35">
      <c r="A49" t="s">
        <v>111</v>
      </c>
      <c r="B49" t="s">
        <v>112</v>
      </c>
      <c r="C49" t="s">
        <v>157</v>
      </c>
      <c r="D49" t="s">
        <v>157</v>
      </c>
    </row>
    <row r="50" spans="1:4" x14ac:dyDescent="0.35">
      <c r="A50" t="s">
        <v>143</v>
      </c>
      <c r="B50" t="s">
        <v>144</v>
      </c>
      <c r="C50" t="s">
        <v>157</v>
      </c>
      <c r="D50" t="s">
        <v>157</v>
      </c>
    </row>
    <row r="51" spans="1:4" x14ac:dyDescent="0.35">
      <c r="A51" t="s">
        <v>87</v>
      </c>
      <c r="B51" t="s">
        <v>88</v>
      </c>
      <c r="C51" t="s">
        <v>149</v>
      </c>
      <c r="D51" t="s">
        <v>170</v>
      </c>
    </row>
    <row r="52" spans="1:4" x14ac:dyDescent="0.35">
      <c r="A52" t="s">
        <v>49</v>
      </c>
      <c r="B52" t="s">
        <v>50</v>
      </c>
      <c r="C52" t="s">
        <v>149</v>
      </c>
      <c r="D52" t="s">
        <v>170</v>
      </c>
    </row>
    <row r="53" spans="1:4" x14ac:dyDescent="0.35">
      <c r="A53" t="s">
        <v>127</v>
      </c>
      <c r="B53" t="s">
        <v>128</v>
      </c>
      <c r="C53" t="s">
        <v>149</v>
      </c>
      <c r="D53" t="s">
        <v>170</v>
      </c>
    </row>
    <row r="54" spans="1:4" x14ac:dyDescent="0.35">
      <c r="A54" t="s">
        <v>131</v>
      </c>
      <c r="B54" t="s">
        <v>132</v>
      </c>
      <c r="C54" t="s">
        <v>149</v>
      </c>
      <c r="D54" t="s">
        <v>170</v>
      </c>
    </row>
    <row r="55" spans="1:4" x14ac:dyDescent="0.35">
      <c r="A55" t="s">
        <v>129</v>
      </c>
      <c r="B55" t="s">
        <v>130</v>
      </c>
      <c r="C55" t="s">
        <v>149</v>
      </c>
      <c r="D55" t="s">
        <v>170</v>
      </c>
    </row>
    <row r="56" spans="1:4" x14ac:dyDescent="0.35">
      <c r="A56" t="s">
        <v>85</v>
      </c>
      <c r="B56" t="s">
        <v>86</v>
      </c>
      <c r="C56" t="s">
        <v>149</v>
      </c>
      <c r="D56" t="s">
        <v>170</v>
      </c>
    </row>
    <row r="57" spans="1:4" x14ac:dyDescent="0.35">
      <c r="A57" t="s">
        <v>137</v>
      </c>
      <c r="B57" t="s">
        <v>138</v>
      </c>
      <c r="C57" t="s">
        <v>149</v>
      </c>
      <c r="D57" t="s">
        <v>170</v>
      </c>
    </row>
    <row r="58" spans="1:4" x14ac:dyDescent="0.35">
      <c r="A58" t="s">
        <v>133</v>
      </c>
      <c r="B58" t="s">
        <v>134</v>
      </c>
      <c r="C58" t="s">
        <v>149</v>
      </c>
      <c r="D58" t="s">
        <v>170</v>
      </c>
    </row>
    <row r="59" spans="1:4" x14ac:dyDescent="0.35">
      <c r="A59" t="s">
        <v>141</v>
      </c>
      <c r="B59" t="s">
        <v>142</v>
      </c>
      <c r="C59" t="s">
        <v>149</v>
      </c>
      <c r="D59" t="s">
        <v>170</v>
      </c>
    </row>
    <row r="60" spans="1:4" x14ac:dyDescent="0.35"/>
    <row r="61" spans="1:4" x14ac:dyDescent="0.35"/>
    <row r="62" spans="1:4" x14ac:dyDescent="0.35"/>
    <row r="63" spans="1:4" x14ac:dyDescent="0.35"/>
    <row r="64" spans="1: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</sheetData>
  <autoFilter ref="A2:C59" xr:uid="{97BE7E85-3588-4723-A306-50FB1DA4B4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Báo cáo</vt:lpstr>
      <vt:lpstr>Data</vt:lpstr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2026-05-19T02:24:29Z</dcterms:created>
  <dcterms:modified xsi:type="dcterms:W3CDTF">2026-05-28T04:49:07Z</dcterms:modified>
</cp:coreProperties>
</file>